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9090" windowWidth="38430" windowHeight="9135" tabRatio="885"/>
  </bookViews>
  <sheets>
    <sheet name="ImportantDisclosures" sheetId="157" r:id="rId1"/>
    <sheet name="CircularReferenceAlert" sheetId="160" r:id="rId2"/>
    <sheet name="Index" sheetId="133" r:id="rId3"/>
    <sheet name="Model" sheetId="3" r:id="rId4"/>
    <sheet name="Revs" sheetId="155" r:id="rId5"/>
    <sheet name="Returns" sheetId="9" r:id="rId6"/>
    <sheet name="FCF" sheetId="10" r:id="rId7"/>
    <sheet name="IndexInformation" sheetId="158" r:id="rId8"/>
    <sheet name="ModPubIndex" sheetId="159" r:id="rId9"/>
    <sheet name="MW-Cache" sheetId="144" state="veryHidden" r:id="rId10"/>
    <sheet name="MWare_Cached" sheetId="5" state="veryHidden" r:id="rId11"/>
  </sheets>
  <externalReferences>
    <externalReference r:id="rId12"/>
    <externalReference r:id="rId13"/>
  </externalReferences>
  <definedNames>
    <definedName name="__FDS_HYPERLINK_TOGGLE_STATE__" hidden="1">"ON"</definedName>
    <definedName name="__FDS_UNIQUE_RANGE_ID_GENERATOR_COUNTER" hidden="1">1</definedName>
    <definedName name="_1H_96">"assumpt"</definedName>
    <definedName name="_bdm.010528B17BF247DC8D573563E8E47E73.edm" localSheetId="3" hidden="1">Model!$AO$89:$AR$95</definedName>
    <definedName name="_bdm.0CE4FCE19F1E40DA996FF113C1BAE9CB.edm" hidden="1">Returns!$1:$1048576</definedName>
    <definedName name="_bdm.1C62576FA9C048BF90D2A20247A5418E.edm" localSheetId="3" hidden="1">Model!$B$81:$X$172</definedName>
    <definedName name="_bdm.2B0B9307EF7C4C55A70EED393A62F026.edm" localSheetId="3" hidden="1">Model!$B$81:$Y$177</definedName>
    <definedName name="_bdm.3A43180AFE87486EB00C615179AD8066.edm" localSheetId="3" hidden="1">Model!$B$180:$Z$232</definedName>
    <definedName name="_bdm.3E32C1A3E4774A85BBD4B9647C091FDE.edm" localSheetId="3" hidden="1">Model!$B$179:$X$232</definedName>
    <definedName name="_bdm.482412C437E24FC1A627E388C55F5567.edm" localSheetId="3" hidden="1">Model!$B$235:$Z$289</definedName>
    <definedName name="_bdm.4D118603A6CF406B9242D6E2958A8933.edm" localSheetId="3" hidden="1">Model!$B$82:$X$163</definedName>
    <definedName name="_bdm.5EEBD0E3E1024DA7892698F3421B2150.edm" localSheetId="3" hidden="1">Model!$B$234:$Y$289</definedName>
    <definedName name="_bdm.66DC061E95C64400B178A65E7C5A9089.edm" localSheetId="3" hidden="1">Model!$B$81:$Y$172</definedName>
    <definedName name="_bdm.6BBCD3EC32204FD8854BBA6303E5A8B9.edm" localSheetId="3" hidden="1">Model!$B$40:$X$59</definedName>
    <definedName name="_bdm.6C95BD16C0074F9BA883CF807E0BD405.edm" hidden="1">Model!$1:$1048576</definedName>
    <definedName name="_bdm.7DB5198CF04F489190ACB76E2911EFA8.edm" localSheetId="3" hidden="1">Model!$B$234:$X$289</definedName>
    <definedName name="_bdm.99EB0FC2F68E4C0EA294D0403CA5A507.edm" localSheetId="5" hidden="1">Returns!$L$54:$N$58</definedName>
    <definedName name="_bdm.AEDFDBA40B384F26A24DC395CB9E47ED.edm" localSheetId="3" hidden="1">Model!$B$179:$Y$232</definedName>
    <definedName name="_bdm.BDB9E661F0D6433DB6FEBD2625F2898D.edm" localSheetId="3" hidden="1">Model!$B$40:$Y$59</definedName>
    <definedName name="_bdm.C3667033BE074A1FA206AB47F207E206.edm" localSheetId="3" hidden="1">Model!$B$82:$Z$172</definedName>
    <definedName name="_bdm.D9AAF8890419405EAADE04D59B988AA4.edm" localSheetId="3" hidden="1">Model!$B$81:$Y$164</definedName>
    <definedName name="_bdm.E26CE01B550245CB878A442CBA96539E.edm" localSheetId="3" hidden="1">Model!$AO$40:$AO$52</definedName>
    <definedName name="_bdm.E817CCEE0B8A4B71BF17D87BFE2CF00C.edm" localSheetId="3" hidden="1">Model!$AO$90:$AR$95</definedName>
    <definedName name="_Order1" hidden="1">255</definedName>
    <definedName name="AdditionalInstructions">IndexInformation!$B$42</definedName>
    <definedName name="Address" localSheetId="0">ImportantDisclosures!$A$2:$A$2</definedName>
    <definedName name="ANA" localSheetId="8">ModPubIndex!$A$7</definedName>
    <definedName name="anscount" hidden="1">1</definedName>
    <definedName name="AS2DocOpenMode" hidden="1">"AS2DocumentEdit"</definedName>
    <definedName name="Authors" localSheetId="0">ImportantDisclosures!$A$7</definedName>
    <definedName name="Authors" localSheetId="7">IndexInformation!$B$18</definedName>
    <definedName name="BBPTAutoColor_Changed" localSheetId="3" hidden="1">TRUE</definedName>
    <definedName name="BBPTAutoColor_ShadowWksName" localSheetId="3" hidden="1">"BBPTACShadowWks0001"</definedName>
    <definedName name="BRO" localSheetId="8">ModPubIndex!$A$1</definedName>
    <definedName name="Buttons" localSheetId="1">CircularReferenceAlert!$B$13:$B$15</definedName>
    <definedName name="CapTO" localSheetId="2">OFFSET([1]!XRange2,6,0)</definedName>
    <definedName name="CapTO">OFFSET([1]!XRange2,6,0)</definedName>
    <definedName name="CashTax" localSheetId="2">OFFSET([1]!XRange2,7,0)</definedName>
    <definedName name="CashTax">OFFSET([1]!XRange2,7,0)</definedName>
    <definedName name="CF_OP_GR">"'=BackSheet!$D$239:$AG$239"</definedName>
    <definedName name="CF_PR_DV">"'=BackSheet!$D$241:$AG$241"</definedName>
    <definedName name="CIQWBGuid" hidden="1">"dee65ffb-e4cf-40f2-a013-55909d5b26a5"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sh">"v3.54"</definedName>
    <definedName name="Date" localSheetId="0">ImportantDisclosures!$A$8</definedName>
    <definedName name="DB">"WIREUK"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0">ImportantDisclosures!#REF!</definedName>
    <definedName name="DistTablePreamble" localSheetId="0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Download_series">[2]!Download_series</definedName>
    <definedName name="EMAIL_ALERT" localSheetId="8">ModPubIndex!$A$10</definedName>
    <definedName name="EmailAlert" localSheetId="7">IndexInformation!$B$28</definedName>
    <definedName name="ertrerare">OFFSET([1]!XRange2,4,0)</definedName>
    <definedName name="ExcelPath" localSheetId="2">Index!ExcelPath</definedName>
    <definedName name="ExcelPath">Index!ExcelPath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FR_CODE_COPY_LINK">" "</definedName>
    <definedName name="FR_CODE_DOWNLOAD_START">" "</definedName>
    <definedName name="FR_CODE_STOCK_LINK">" "</definedName>
    <definedName name="FR_COM_ABBR">"APPB"</definedName>
    <definedName name="FR_COM_AGG">0</definedName>
    <definedName name="FR_COU_ABBR">"usa"</definedName>
    <definedName name="FR_DATABOX_DOWNLOAD">"Y"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FALSE</definedName>
    <definedName name="FR_START_DATE">"'"</definedName>
    <definedName name="FR_SYBASE_SERVER">"PNYEQFRD01"</definedName>
    <definedName name="FR_TEMPLATE_KEY">"45051|1"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gfdg" localSheetId="2">Index!gfdg</definedName>
    <definedName name="gfdg">Index!gfdg</definedName>
    <definedName name="Growth_ROIC" localSheetId="2">OFFSET([1]!XRange,10,0)</definedName>
    <definedName name="Growth_ROIC">OFFSET([1]!XRange,10,0)</definedName>
    <definedName name="HL" localSheetId="8">ModPubIndex!$A$8</definedName>
    <definedName name="IND" localSheetId="8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foNext" localSheetId="2">Index!InfoNext</definedName>
    <definedName name="InfoNext">Index!InfoNext</definedName>
    <definedName name="InfoPrev" localSheetId="2">Index!InfoPrev</definedName>
    <definedName name="InfoPrev">Index!InfoPrev</definedName>
    <definedName name="InvestCapGrowth" localSheetId="2">OFFSET([1]!XRange2,4,0)</definedName>
    <definedName name="InvestCapGrowth">OFFSET([1]!XRange2,4,0)</definedName>
    <definedName name="IQ_ADDIN" hidden="1">"AUTO"</definedName>
    <definedName name="IQ_NAMES_REVISION_DATE_" hidden="1">41855.3793287037</definedName>
    <definedName name="KeepVersions" localSheetId="7">IndexInformation!$B$8</definedName>
    <definedName name="LanguageCode">IndexInformation!$B$38</definedName>
    <definedName name="LastCell" localSheetId="0">ImportantDisclosures!$A$22</definedName>
    <definedName name="Linking_29">Model!$B$48:$AC$59</definedName>
    <definedName name="Linking_44">Model!$B$49:$AE$59</definedName>
    <definedName name="Linking_56">Model!$B$41:$AF$59</definedName>
    <definedName name="Linking_Range_21">Model!$B$81:$AB$168</definedName>
    <definedName name="Linking_Range_22">Model!$B$179:$AB$221</definedName>
    <definedName name="Linking_Range_23">Model!$B$82:$AB$168</definedName>
    <definedName name="Linking_Range_24">Model!$B$180:$AB$221</definedName>
    <definedName name="Linking_Range_25">Model!$B$235:$AB$289</definedName>
    <definedName name="Linking_Range_40">Model!$B$173:$AA$177</definedName>
    <definedName name="Linking_Range_46">Model!$B$40:$AC$59</definedName>
    <definedName name="Linking_Range_52">Model!$B$41:$AC$59</definedName>
    <definedName name="Linking_Range_53">Model!$B$41:$AC$60</definedName>
    <definedName name="Linking_Range_54">Model!$B$82:$AC$172</definedName>
    <definedName name="Linking_Range_55">Model!$B$180:$AC$232</definedName>
    <definedName name="Linking_Range_56">Model!$B$235:$AC$289</definedName>
    <definedName name="Linking_Range_58">Model!$B$84:$AC$172</definedName>
    <definedName name="Linking_Range_6">Model!$O$402:$Z$402</definedName>
    <definedName name="MacroVersion" localSheetId="7">IndexInformation!$B$1</definedName>
    <definedName name="MaxChange" localSheetId="1">CircularReferenceAlert!$B$9</definedName>
    <definedName name="MaxIterations" localSheetId="1">CircularReferenceAlert!$B$8</definedName>
    <definedName name="ModelPrice" localSheetId="0">ImportantDisclosures!$A$14</definedName>
    <definedName name="Multiplier" localSheetId="7">IndexInformation!$B$35</definedName>
    <definedName name="NCASHFLOW_90" localSheetId="2">[1]!NCASHFLOW90</definedName>
    <definedName name="NCASHFLOW_90">[1]!NCASHFLOW90</definedName>
    <definedName name="NextButton">"Button 18"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OpMargin" localSheetId="2">OFFSET([1]!XRange2,5,0)</definedName>
    <definedName name="OpMargin">OFFSET([1]!XRange2,5,0)</definedName>
    <definedName name="PANA" localSheetId="8">ModPubIndex!$A$11</definedName>
    <definedName name="PathName" localSheetId="7">IndexInformation!$B$25</definedName>
    <definedName name="Phase1NPVFCF" localSheetId="2">OFFSET([1]!XRange,39,0)</definedName>
    <definedName name="Phase1NPVFCF">OFFSET([1]!XRange,39,0)</definedName>
    <definedName name="Phase2NPVFCF" localSheetId="2">OFFSET([1]!XRange,40,0)</definedName>
    <definedName name="Phase2NPVFCF">OFFSET([1]!XRange,40,0)</definedName>
    <definedName name="Phase3NPVFCF" localSheetId="2">OFFSET([1]!XRange,41,0)</definedName>
    <definedName name="Phase3NPVFCF">OFFSET([1]!XRange,41,0)</definedName>
    <definedName name="Pictur9">"Picture 9"</definedName>
    <definedName name="Picture1">"Picture 1"</definedName>
    <definedName name="Picture10">"Picture 10"</definedName>
    <definedName name="Picture11">"Picture 11"</definedName>
    <definedName name="Picture2">"Picture 2"</definedName>
    <definedName name="Picture4">"Picture 4"</definedName>
    <definedName name="Picture5">"Picture 5"</definedName>
    <definedName name="Picture6">"Picture 6"</definedName>
    <definedName name="PreviousButton">"Button 19"</definedName>
    <definedName name="_xlnm.Print_Area">#REF!</definedName>
    <definedName name="_xlnm.Print_Titles">#REF!</definedName>
    <definedName name="process_flow">"Picture 13"</definedName>
    <definedName name="PRODUCT" localSheetId="8">ModPubIndex!$A$6</definedName>
    <definedName name="ProjectName" localSheetId="2">{"Client Name or Project Name"}</definedName>
    <definedName name="ProjectName">{"Client Name or Project Name"}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m_Bus_ROIC" localSheetId="2">OFFSET([1]!XRange,11,0)</definedName>
    <definedName name="Rem_Bus_ROIC">OFFSET([1]!XRange,11,0)</definedName>
    <definedName name="ResearchTopic" localSheetId="7">IndexInformation!$B$4</definedName>
    <definedName name="RIC" localSheetId="7">IndexInformation!$B$21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2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cAccount">"STINVGES"</definedName>
    <definedName name="rmcApplication">"QB"</definedName>
    <definedName name="rmcCategory">"AVOR2"</definedName>
    <definedName name="rmcFrequency">"YTD"</definedName>
    <definedName name="rmcName">"VAI"</definedName>
    <definedName name="RMCOptions">"*000000000000000"</definedName>
    <definedName name="RngAppName">"CGDATA - 1.0"</definedName>
    <definedName name="SECSettlement" localSheetId="0">ImportantDisclosures!#REF!</definedName>
    <definedName name="SEDOL" localSheetId="7">IndexInformation!$B$22</definedName>
    <definedName name="SourceDefined" localSheetId="0">ImportantDisclosures!$A$19</definedName>
    <definedName name="Sp">"       "</definedName>
    <definedName name="StockRating" localSheetId="0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0">ImportantDisclosures!$A$15</definedName>
    <definedName name="Template.WIRE">"DBACCESS"</definedName>
    <definedName name="TemplateRegion">IndexInformation!$B$36</definedName>
    <definedName name="TextRefCopyRangeCount" hidden="1">13</definedName>
    <definedName name="Ticker" localSheetId="0">ImportantDisclosures!$A$10</definedName>
    <definedName name="TickerRegion">IndexInformation!$B$41</definedName>
    <definedName name="Tickers" localSheetId="7">IndexInformation!$B$19</definedName>
    <definedName name="Total_Bus_ROIC" localSheetId="2">OFFSET([1]!XRange,12,0)</definedName>
    <definedName name="Total_Bus_ROIC">OFFSET([1]!XRange,12,0)</definedName>
    <definedName name="Trace">FALSE</definedName>
    <definedName name="Update_This">[2]!Update_This</definedName>
    <definedName name="UpdateReason" localSheetId="7">IndexInformation!$B$17</definedName>
    <definedName name="UpgradeVersion">"v3.54"</definedName>
    <definedName name="USRegDisclosures" localSheetId="0">ImportantDisclosures!#REF!</definedName>
    <definedName name="Version">"June 29, 2004"</definedName>
    <definedName name="Version.WIRE">1</definedName>
    <definedName name="WACC" localSheetId="2">OFFSET([1]!XRange,13,0)</definedName>
    <definedName name="WACC">OFFSET([1]!XRange,13,0)</definedName>
    <definedName name="XRefColumnsCount" hidden="1">1</definedName>
    <definedName name="XRefCopyRangeCount" hidden="1">1</definedName>
    <definedName name="Z_5F01622F_BD04_4698_B8E9_3B7E434CD47C_.wvu.Cols" localSheetId="3" hidden="1">Model!$C:$I</definedName>
    <definedName name="Z_F374C4C2_E461_4427_BC83_571704D130AE_.wvu.Cols" localSheetId="6" hidden="1">FCF!$C:$I</definedName>
    <definedName name="Z_F374C4C2_E461_4427_BC83_571704D130AE_.wvu.Cols" localSheetId="3" hidden="1">Model!$C:$I,Model!$AO:$AU</definedName>
    <definedName name="Z_F374C4C2_E461_4427_BC83_571704D130AE_.wvu.Cols" localSheetId="5" hidden="1">Returns!$C:$I</definedName>
  </definedNames>
  <calcPr calcId="145621" calcMode="autoNoTable" iterate="1" iterateDelta="1.0000000000000002E-3"/>
  <customWorkbookViews>
    <customWorkbookView name="manuber - Personal View" guid="{F374C4C2-E461-4427-BC83-571704D130AE}" mergeInterval="0" personalView="1" maximized="1" windowWidth="1276" windowHeight="852" tabRatio="751" activeSheetId="5"/>
    <customWorkbookView name="varadsiv - Personal View" guid="{5F01622F-BD04-4698-B8E9-3B7E434CD47C}" mergeInterval="0" personalView="1" maximized="1" windowWidth="1276" windowHeight="826" tabRatio="751" activeSheetId="3"/>
    <customWorkbookView name="thomaca - Personal View" guid="{BF409FF2-3E15-4B6B-AE18-50E58B89ECE7}" mergeInterval="0" personalView="1" maximized="1" windowWidth="1276" windowHeight="800" tabRatio="751" activeSheetId="6"/>
  </customWorkbookViews>
</workbook>
</file>

<file path=xl/calcChain.xml><?xml version="1.0" encoding="utf-8"?>
<calcChain xmlns="http://schemas.openxmlformats.org/spreadsheetml/2006/main">
  <c r="T119" i="155" l="1"/>
  <c r="T118" i="155"/>
  <c r="S118" i="155"/>
  <c r="S113" i="155"/>
  <c r="S108" i="155"/>
  <c r="AA118" i="155"/>
  <c r="Z118" i="155"/>
  <c r="Y118" i="155"/>
  <c r="X118" i="155"/>
  <c r="W118" i="155"/>
  <c r="V118" i="155"/>
  <c r="U118" i="155"/>
  <c r="AA113" i="155"/>
  <c r="Z113" i="155"/>
  <c r="Y113" i="155"/>
  <c r="X113" i="155"/>
  <c r="W113" i="155"/>
  <c r="V113" i="155"/>
  <c r="U113" i="155"/>
  <c r="T113" i="155"/>
  <c r="AA108" i="155"/>
  <c r="Z108" i="155"/>
  <c r="Y108" i="155"/>
  <c r="X108" i="155"/>
  <c r="W108" i="155"/>
  <c r="V108" i="155"/>
  <c r="U108" i="155"/>
  <c r="T108" i="155"/>
  <c r="T180" i="155" l="1"/>
  <c r="T148" i="155"/>
  <c r="X140" i="155"/>
  <c r="Y140" i="155" s="1"/>
  <c r="Z140" i="155" s="1"/>
  <c r="AA140" i="155" s="1"/>
  <c r="T140" i="155"/>
  <c r="U140" i="155" s="1"/>
  <c r="V140" i="155" s="1"/>
  <c r="W140" i="155" s="1"/>
  <c r="T144" i="155"/>
  <c r="U144" i="155" s="1"/>
  <c r="V144" i="155" s="1"/>
  <c r="W144" i="155" s="1"/>
  <c r="X144" i="155" s="1"/>
  <c r="Y144" i="155" s="1"/>
  <c r="Z144" i="155" s="1"/>
  <c r="AA144" i="155" s="1"/>
  <c r="AB86" i="3"/>
  <c r="AB84" i="3"/>
  <c r="AB319" i="3"/>
  <c r="X184" i="155"/>
  <c r="W184" i="155"/>
  <c r="T184" i="155"/>
  <c r="U184" i="155" s="1"/>
  <c r="V184" i="155" s="1"/>
  <c r="Y184" i="155" s="1"/>
  <c r="Z184" i="155" s="1"/>
  <c r="AA184" i="155" s="1"/>
  <c r="M201" i="155"/>
  <c r="AA201" i="155"/>
  <c r="Z201" i="155"/>
  <c r="Y201" i="155"/>
  <c r="X201" i="155"/>
  <c r="W201" i="155"/>
  <c r="V201" i="155"/>
  <c r="U201" i="155"/>
  <c r="T201" i="155"/>
  <c r="S201" i="155"/>
  <c r="R201" i="155"/>
  <c r="Q201" i="155"/>
  <c r="P201" i="155"/>
  <c r="O201" i="155"/>
  <c r="N201" i="155"/>
  <c r="AA165" i="155"/>
  <c r="Z165" i="155"/>
  <c r="Y165" i="155"/>
  <c r="X165" i="155"/>
  <c r="W165" i="155"/>
  <c r="V165" i="155"/>
  <c r="U165" i="155"/>
  <c r="T165" i="155"/>
  <c r="S165" i="155"/>
  <c r="R165" i="155"/>
  <c r="Q165" i="155"/>
  <c r="P165" i="155"/>
  <c r="O165" i="155"/>
  <c r="N165" i="155"/>
  <c r="M165" i="155"/>
  <c r="L165" i="155"/>
  <c r="K165" i="155"/>
  <c r="U180" i="155"/>
  <c r="V180" i="155" s="1"/>
  <c r="W180" i="155" s="1"/>
  <c r="X180" i="155" s="1"/>
  <c r="Y180" i="155" s="1"/>
  <c r="Z180" i="155" s="1"/>
  <c r="AA180" i="155" s="1"/>
  <c r="M199" i="155" l="1"/>
  <c r="K199" i="155"/>
  <c r="K201" i="155" s="1"/>
  <c r="AA199" i="155"/>
  <c r="Z199" i="155"/>
  <c r="Y199" i="155"/>
  <c r="X199" i="155"/>
  <c r="W199" i="155"/>
  <c r="V199" i="155"/>
  <c r="U199" i="155"/>
  <c r="T199" i="155"/>
  <c r="S199" i="155"/>
  <c r="P199" i="155"/>
  <c r="O199" i="155"/>
  <c r="K163" i="155"/>
  <c r="V156" i="155"/>
  <c r="W156" i="155" s="1"/>
  <c r="X156" i="155" s="1"/>
  <c r="Y156" i="155" s="1"/>
  <c r="Z156" i="155" s="1"/>
  <c r="AA156" i="155" s="1"/>
  <c r="L199" i="155" l="1"/>
  <c r="T192" i="155"/>
  <c r="U192" i="155" s="1"/>
  <c r="E206" i="155"/>
  <c r="T200" i="155"/>
  <c r="U200" i="155" s="1"/>
  <c r="V200" i="155" s="1"/>
  <c r="W200" i="155" s="1"/>
  <c r="T196" i="155"/>
  <c r="T188" i="155"/>
  <c r="U188" i="155" s="1"/>
  <c r="L200" i="155" l="1"/>
  <c r="L201" i="155"/>
  <c r="V192" i="155"/>
  <c r="N199" i="155"/>
  <c r="U196" i="155"/>
  <c r="V196" i="155" s="1"/>
  <c r="V188" i="155"/>
  <c r="X200" i="155"/>
  <c r="J170" i="155"/>
  <c r="J171" i="155" s="1"/>
  <c r="AA163" i="155"/>
  <c r="Z163" i="155"/>
  <c r="Y163" i="155"/>
  <c r="X163" i="155"/>
  <c r="W163" i="155"/>
  <c r="V163" i="155"/>
  <c r="U163" i="155"/>
  <c r="T163" i="155"/>
  <c r="S163" i="155"/>
  <c r="P163" i="155"/>
  <c r="O163" i="155"/>
  <c r="M163" i="155"/>
  <c r="U152" i="155"/>
  <c r="D164" i="155"/>
  <c r="E164" i="155"/>
  <c r="F164" i="155"/>
  <c r="G164" i="155"/>
  <c r="H164" i="155"/>
  <c r="I164" i="155"/>
  <c r="J164" i="155"/>
  <c r="D160" i="155"/>
  <c r="E160" i="155"/>
  <c r="F160" i="155"/>
  <c r="G160" i="155"/>
  <c r="H160" i="155"/>
  <c r="I160" i="155"/>
  <c r="J160" i="155"/>
  <c r="D156" i="155"/>
  <c r="E156" i="155"/>
  <c r="F156" i="155"/>
  <c r="G156" i="155"/>
  <c r="H156" i="155"/>
  <c r="I156" i="155"/>
  <c r="J156" i="155"/>
  <c r="D152" i="155"/>
  <c r="E152" i="155"/>
  <c r="F152" i="155"/>
  <c r="G152" i="155"/>
  <c r="H152" i="155"/>
  <c r="I152" i="155"/>
  <c r="J152" i="155"/>
  <c r="D148" i="155"/>
  <c r="F148" i="155"/>
  <c r="H148" i="155"/>
  <c r="I148" i="155"/>
  <c r="D144" i="155"/>
  <c r="E144" i="155"/>
  <c r="F144" i="155"/>
  <c r="G144" i="155"/>
  <c r="H144" i="155"/>
  <c r="I144" i="155"/>
  <c r="J144" i="155"/>
  <c r="C164" i="155"/>
  <c r="C160" i="155"/>
  <c r="C156" i="155"/>
  <c r="C152" i="155"/>
  <c r="C148" i="155"/>
  <c r="C144" i="155"/>
  <c r="D140" i="155"/>
  <c r="E140" i="155"/>
  <c r="F140" i="155"/>
  <c r="G140" i="155"/>
  <c r="H140" i="155"/>
  <c r="I140" i="155"/>
  <c r="J140" i="155"/>
  <c r="C140" i="155"/>
  <c r="P130" i="155"/>
  <c r="P128" i="155" s="1"/>
  <c r="O130" i="155"/>
  <c r="O128" i="155" s="1"/>
  <c r="M130" i="155"/>
  <c r="M128" i="155" s="1"/>
  <c r="K130" i="155"/>
  <c r="K128" i="155" s="1"/>
  <c r="P83" i="155"/>
  <c r="O83" i="155"/>
  <c r="M83" i="155"/>
  <c r="K83" i="155"/>
  <c r="P78" i="155"/>
  <c r="P76" i="155" s="1"/>
  <c r="P79" i="155" s="1"/>
  <c r="O78" i="155"/>
  <c r="O76" i="155" s="1"/>
  <c r="M78" i="155"/>
  <c r="K78" i="155"/>
  <c r="K76" i="155" s="1"/>
  <c r="K79" i="155" s="1"/>
  <c r="P73" i="155"/>
  <c r="P71" i="155" s="1"/>
  <c r="P74" i="155" s="1"/>
  <c r="O73" i="155"/>
  <c r="M73" i="155"/>
  <c r="K73" i="155"/>
  <c r="K71" i="155" s="1"/>
  <c r="K74" i="155" s="1"/>
  <c r="P68" i="155"/>
  <c r="O68" i="155"/>
  <c r="M68" i="155"/>
  <c r="K68" i="155"/>
  <c r="K66" i="155" s="1"/>
  <c r="K69" i="155" s="1"/>
  <c r="P63" i="155"/>
  <c r="P61" i="155" s="1"/>
  <c r="P64" i="155" s="1"/>
  <c r="O63" i="155"/>
  <c r="O61" i="155" s="1"/>
  <c r="O64" i="155" s="1"/>
  <c r="M63" i="155"/>
  <c r="K63" i="155"/>
  <c r="K61" i="155" s="1"/>
  <c r="K64" i="155" s="1"/>
  <c r="P58" i="155"/>
  <c r="O58" i="155"/>
  <c r="M58" i="155"/>
  <c r="M56" i="155" s="1"/>
  <c r="K58" i="155"/>
  <c r="Q199" i="155" l="1"/>
  <c r="Q200" i="155" s="1"/>
  <c r="N200" i="155"/>
  <c r="W192" i="155"/>
  <c r="W196" i="155"/>
  <c r="W188" i="155"/>
  <c r="R199" i="155"/>
  <c r="R200" i="155" s="1"/>
  <c r="Y200" i="155"/>
  <c r="N163" i="155"/>
  <c r="N164" i="155" s="1"/>
  <c r="V152" i="155"/>
  <c r="W152" i="155" s="1"/>
  <c r="X152" i="155" s="1"/>
  <c r="L163" i="155"/>
  <c r="L164" i="155" s="1"/>
  <c r="P66" i="155"/>
  <c r="K131" i="155"/>
  <c r="M131" i="155"/>
  <c r="L128" i="155"/>
  <c r="L131" i="155" s="1"/>
  <c r="O131" i="155"/>
  <c r="N128" i="155"/>
  <c r="N131" i="155" s="1"/>
  <c r="P131" i="155"/>
  <c r="N130" i="155"/>
  <c r="P81" i="155"/>
  <c r="M81" i="155"/>
  <c r="K81" i="155"/>
  <c r="O81" i="155"/>
  <c r="L130" i="155"/>
  <c r="O66" i="155"/>
  <c r="L73" i="155"/>
  <c r="L83" i="155"/>
  <c r="N83" i="155"/>
  <c r="N58" i="155"/>
  <c r="L58" i="155"/>
  <c r="N68" i="155"/>
  <c r="M88" i="155"/>
  <c r="M87" i="155" s="1"/>
  <c r="M61" i="155"/>
  <c r="K56" i="155"/>
  <c r="K88" i="155"/>
  <c r="K87" i="155" s="1"/>
  <c r="O56" i="155"/>
  <c r="O88" i="155"/>
  <c r="O87" i="155" s="1"/>
  <c r="L63" i="155"/>
  <c r="N78" i="155"/>
  <c r="P56" i="155"/>
  <c r="P88" i="155"/>
  <c r="P87" i="155" s="1"/>
  <c r="O79" i="155"/>
  <c r="N63" i="155"/>
  <c r="M71" i="155"/>
  <c r="M59" i="155"/>
  <c r="L68" i="155"/>
  <c r="M66" i="155"/>
  <c r="N73" i="155"/>
  <c r="O71" i="155"/>
  <c r="M76" i="155"/>
  <c r="L78" i="155"/>
  <c r="P42" i="155"/>
  <c r="P40" i="155" s="1"/>
  <c r="P112" i="155" s="1"/>
  <c r="O42" i="155"/>
  <c r="O40" i="155" s="1"/>
  <c r="O112" i="155" s="1"/>
  <c r="M42" i="155"/>
  <c r="M40" i="155" s="1"/>
  <c r="K42" i="155"/>
  <c r="K40" i="155" s="1"/>
  <c r="K43" i="155" s="1"/>
  <c r="P32" i="155"/>
  <c r="P30" i="155" s="1"/>
  <c r="P33" i="155" s="1"/>
  <c r="O32" i="155"/>
  <c r="O104" i="155" s="1"/>
  <c r="O103" i="155" s="1"/>
  <c r="M32" i="155"/>
  <c r="M30" i="155" s="1"/>
  <c r="M33" i="155" s="1"/>
  <c r="K32" i="155"/>
  <c r="K30" i="155" s="1"/>
  <c r="K33" i="155" s="1"/>
  <c r="P47" i="155"/>
  <c r="P119" i="155" s="1"/>
  <c r="P118" i="155" s="1"/>
  <c r="O47" i="155"/>
  <c r="O119" i="155" s="1"/>
  <c r="O118" i="155" s="1"/>
  <c r="M47" i="155"/>
  <c r="M45" i="155" s="1"/>
  <c r="M48" i="155" s="1"/>
  <c r="K47" i="155"/>
  <c r="K119" i="155" s="1"/>
  <c r="K118" i="155" s="1"/>
  <c r="P37" i="155"/>
  <c r="P109" i="155" s="1"/>
  <c r="P108" i="155" s="1"/>
  <c r="O37" i="155"/>
  <c r="O35" i="155" s="1"/>
  <c r="O38" i="155" s="1"/>
  <c r="M37" i="155"/>
  <c r="M109" i="155" s="1"/>
  <c r="M108" i="155" s="1"/>
  <c r="K37" i="155"/>
  <c r="K35" i="155" s="1"/>
  <c r="K38" i="155" s="1"/>
  <c r="P27" i="155"/>
  <c r="P25" i="155" s="1"/>
  <c r="P97" i="155" s="1"/>
  <c r="O27" i="155"/>
  <c r="O99" i="155" s="1"/>
  <c r="M27" i="155"/>
  <c r="M25" i="155" s="1"/>
  <c r="K27" i="155"/>
  <c r="K25" i="155" s="1"/>
  <c r="K28" i="155" s="1"/>
  <c r="P22" i="155"/>
  <c r="P20" i="155" s="1"/>
  <c r="P23" i="155" s="1"/>
  <c r="O22" i="155"/>
  <c r="O20" i="155" s="1"/>
  <c r="O23" i="155" s="1"/>
  <c r="M22" i="155"/>
  <c r="M20" i="155" s="1"/>
  <c r="M92" i="155" s="1"/>
  <c r="K22" i="155"/>
  <c r="K20" i="155" s="1"/>
  <c r="K23" i="155" s="1"/>
  <c r="J206" i="155"/>
  <c r="I206" i="155"/>
  <c r="G206" i="155"/>
  <c r="H203" i="155"/>
  <c r="H204" i="155" s="1"/>
  <c r="F203" i="155"/>
  <c r="F204" i="155" s="1"/>
  <c r="D203" i="155"/>
  <c r="D204" i="155" s="1"/>
  <c r="C203" i="155"/>
  <c r="C204" i="155" s="1"/>
  <c r="H200" i="155"/>
  <c r="F200" i="155"/>
  <c r="D200" i="155"/>
  <c r="C200" i="155"/>
  <c r="I199" i="155"/>
  <c r="J199" i="155" s="1"/>
  <c r="G199" i="155"/>
  <c r="E199" i="155"/>
  <c r="I195" i="155"/>
  <c r="J195" i="155" s="1"/>
  <c r="G195" i="155"/>
  <c r="E195" i="155"/>
  <c r="I191" i="155"/>
  <c r="J191" i="155" s="1"/>
  <c r="G191" i="155"/>
  <c r="E191" i="155"/>
  <c r="I187" i="155"/>
  <c r="J187" i="155" s="1"/>
  <c r="G187" i="155"/>
  <c r="E187" i="155"/>
  <c r="I183" i="155"/>
  <c r="J183" i="155" s="1"/>
  <c r="G183" i="155"/>
  <c r="E183" i="155"/>
  <c r="I179" i="155"/>
  <c r="J179" i="155" s="1"/>
  <c r="G179" i="155"/>
  <c r="E179" i="155"/>
  <c r="I175" i="155"/>
  <c r="J175" i="155" s="1"/>
  <c r="G175" i="155"/>
  <c r="G203" i="155" s="1"/>
  <c r="E175" i="155"/>
  <c r="E203" i="155" s="1"/>
  <c r="I170" i="155"/>
  <c r="E170" i="155"/>
  <c r="G170" i="155" s="1"/>
  <c r="C167" i="155"/>
  <c r="C168" i="155" s="1"/>
  <c r="H167" i="155"/>
  <c r="H168" i="155" s="1"/>
  <c r="F167" i="155"/>
  <c r="F168" i="155" s="1"/>
  <c r="D167" i="155"/>
  <c r="D168" i="155" s="1"/>
  <c r="I163" i="155"/>
  <c r="I159" i="155"/>
  <c r="I155" i="155"/>
  <c r="I151" i="155"/>
  <c r="I147" i="155"/>
  <c r="I143" i="155"/>
  <c r="E163" i="155"/>
  <c r="G163" i="155" s="1"/>
  <c r="E159" i="155"/>
  <c r="G159" i="155" s="1"/>
  <c r="E155" i="155"/>
  <c r="E151" i="155"/>
  <c r="E147" i="155"/>
  <c r="E143" i="155"/>
  <c r="G143" i="155" s="1"/>
  <c r="I139" i="155"/>
  <c r="E139" i="155"/>
  <c r="G139" i="155" s="1"/>
  <c r="H117" i="155"/>
  <c r="H112" i="155"/>
  <c r="H107" i="155"/>
  <c r="H102" i="155"/>
  <c r="H97" i="155"/>
  <c r="H92" i="155"/>
  <c r="F117" i="155"/>
  <c r="F112" i="155"/>
  <c r="F107" i="155"/>
  <c r="F102" i="155"/>
  <c r="F97" i="155"/>
  <c r="F92" i="155"/>
  <c r="D117" i="155"/>
  <c r="D112" i="155"/>
  <c r="D107" i="155"/>
  <c r="D102" i="155"/>
  <c r="D97" i="155"/>
  <c r="D92" i="155"/>
  <c r="I128" i="155"/>
  <c r="E128" i="155"/>
  <c r="E200" i="155" s="1"/>
  <c r="C117" i="155"/>
  <c r="C112" i="155"/>
  <c r="C107" i="155"/>
  <c r="C102" i="155"/>
  <c r="C97" i="155"/>
  <c r="C92" i="155"/>
  <c r="H86" i="155"/>
  <c r="F86" i="155"/>
  <c r="D86" i="155"/>
  <c r="C86" i="155"/>
  <c r="J81" i="155"/>
  <c r="I81" i="155"/>
  <c r="E81" i="155"/>
  <c r="G81" i="155" s="1"/>
  <c r="J76" i="155"/>
  <c r="I76" i="155"/>
  <c r="E76" i="155"/>
  <c r="G76" i="155" s="1"/>
  <c r="J71" i="155"/>
  <c r="I71" i="155"/>
  <c r="E71" i="155"/>
  <c r="G71" i="155" s="1"/>
  <c r="J66" i="155"/>
  <c r="I66" i="155"/>
  <c r="E66" i="155"/>
  <c r="G66" i="155" s="1"/>
  <c r="J61" i="155"/>
  <c r="I61" i="155"/>
  <c r="E61" i="155"/>
  <c r="G61" i="155" s="1"/>
  <c r="J56" i="155"/>
  <c r="I56" i="155"/>
  <c r="E56" i="155"/>
  <c r="G56" i="155" s="1"/>
  <c r="I45" i="155"/>
  <c r="E45" i="155"/>
  <c r="G45" i="155" s="1"/>
  <c r="I40" i="155"/>
  <c r="I112" i="155" s="1"/>
  <c r="E40" i="155"/>
  <c r="G40" i="155" s="1"/>
  <c r="G112" i="155" s="1"/>
  <c r="I35" i="155"/>
  <c r="E35" i="155"/>
  <c r="G35" i="155" s="1"/>
  <c r="I30" i="155"/>
  <c r="E30" i="155"/>
  <c r="G30" i="155" s="1"/>
  <c r="I25" i="155"/>
  <c r="E25" i="155"/>
  <c r="G25" i="155" s="1"/>
  <c r="I20" i="155"/>
  <c r="I92" i="155" s="1"/>
  <c r="E20" i="155"/>
  <c r="G20" i="155" s="1"/>
  <c r="H50" i="155"/>
  <c r="F50" i="155"/>
  <c r="D50" i="155"/>
  <c r="J45" i="155"/>
  <c r="J40" i="155"/>
  <c r="J35" i="155"/>
  <c r="J30" i="155"/>
  <c r="J25" i="155"/>
  <c r="J174" i="155"/>
  <c r="J138" i="155"/>
  <c r="J127" i="155"/>
  <c r="J20" i="155"/>
  <c r="C50" i="155"/>
  <c r="Q174" i="155"/>
  <c r="P174" i="155"/>
  <c r="O174" i="155"/>
  <c r="N174" i="155"/>
  <c r="M174" i="155"/>
  <c r="L174" i="155"/>
  <c r="K174" i="155"/>
  <c r="I174" i="155"/>
  <c r="H174" i="155"/>
  <c r="G174" i="155"/>
  <c r="F174" i="155"/>
  <c r="E174" i="155"/>
  <c r="D174" i="155"/>
  <c r="C174" i="155"/>
  <c r="Q138" i="155"/>
  <c r="P138" i="155"/>
  <c r="O138" i="155"/>
  <c r="N138" i="155"/>
  <c r="M138" i="155"/>
  <c r="L138" i="155"/>
  <c r="K138" i="155"/>
  <c r="I138" i="155"/>
  <c r="H138" i="155"/>
  <c r="G138" i="155"/>
  <c r="F138" i="155"/>
  <c r="E138" i="155"/>
  <c r="D138" i="155"/>
  <c r="C138" i="155"/>
  <c r="Q127" i="155"/>
  <c r="P127" i="155"/>
  <c r="O127" i="155"/>
  <c r="N127" i="155"/>
  <c r="M127" i="155"/>
  <c r="L127" i="155"/>
  <c r="K127" i="155"/>
  <c r="I127" i="155"/>
  <c r="H127" i="155"/>
  <c r="G127" i="155"/>
  <c r="F127" i="155"/>
  <c r="E127" i="155"/>
  <c r="D127" i="155"/>
  <c r="C127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E91" i="155"/>
  <c r="D91" i="155"/>
  <c r="C91" i="155"/>
  <c r="Q55" i="155"/>
  <c r="P55" i="155"/>
  <c r="O55" i="155"/>
  <c r="N55" i="155"/>
  <c r="M55" i="155"/>
  <c r="L55" i="155"/>
  <c r="K55" i="155"/>
  <c r="J55" i="155"/>
  <c r="I55" i="155"/>
  <c r="H55" i="155"/>
  <c r="G55" i="155"/>
  <c r="F55" i="155"/>
  <c r="E55" i="155"/>
  <c r="D55" i="155"/>
  <c r="C55" i="155"/>
  <c r="Q19" i="155"/>
  <c r="P19" i="155"/>
  <c r="O19" i="155"/>
  <c r="N19" i="155"/>
  <c r="M19" i="155"/>
  <c r="L19" i="155"/>
  <c r="K19" i="155"/>
  <c r="J19" i="155"/>
  <c r="I19" i="155"/>
  <c r="H19" i="155"/>
  <c r="G19" i="155"/>
  <c r="F19" i="155"/>
  <c r="E19" i="155"/>
  <c r="D19" i="155"/>
  <c r="C19" i="155"/>
  <c r="P15" i="155"/>
  <c r="S15" i="155" s="1"/>
  <c r="T15" i="155" s="1"/>
  <c r="U15" i="155" s="1"/>
  <c r="V15" i="155" s="1"/>
  <c r="W15" i="155" s="1"/>
  <c r="X15" i="155" s="1"/>
  <c r="Y15" i="155" s="1"/>
  <c r="Z15" i="155" s="1"/>
  <c r="AA15" i="155" s="1"/>
  <c r="O15" i="155"/>
  <c r="M15" i="155"/>
  <c r="I15" i="155"/>
  <c r="G15" i="155"/>
  <c r="E15" i="155"/>
  <c r="S14" i="155"/>
  <c r="T14" i="155" s="1"/>
  <c r="U14" i="155" s="1"/>
  <c r="V14" i="155" s="1"/>
  <c r="W14" i="155" s="1"/>
  <c r="X14" i="155" s="1"/>
  <c r="Y14" i="155" s="1"/>
  <c r="Z14" i="155" s="1"/>
  <c r="AA14" i="155" s="1"/>
  <c r="N14" i="155"/>
  <c r="Q14" i="155" s="1"/>
  <c r="M14" i="155"/>
  <c r="I14" i="155"/>
  <c r="G14" i="155"/>
  <c r="E14" i="155"/>
  <c r="P13" i="155"/>
  <c r="S13" i="155" s="1"/>
  <c r="T13" i="155" s="1"/>
  <c r="U13" i="155" s="1"/>
  <c r="V13" i="155" s="1"/>
  <c r="W13" i="155" s="1"/>
  <c r="X13" i="155" s="1"/>
  <c r="Y13" i="155" s="1"/>
  <c r="Z13" i="155" s="1"/>
  <c r="AA13" i="155" s="1"/>
  <c r="O13" i="155"/>
  <c r="M13" i="155"/>
  <c r="I13" i="155"/>
  <c r="G13" i="155"/>
  <c r="E13" i="155"/>
  <c r="P12" i="155"/>
  <c r="Q12" i="155" s="1"/>
  <c r="O12" i="155"/>
  <c r="M12" i="155"/>
  <c r="I12" i="155"/>
  <c r="G12" i="155"/>
  <c r="E12" i="155"/>
  <c r="P11" i="155"/>
  <c r="S11" i="155" s="1"/>
  <c r="T11" i="155" s="1"/>
  <c r="U11" i="155" s="1"/>
  <c r="V11" i="155" s="1"/>
  <c r="W11" i="155" s="1"/>
  <c r="X11" i="155" s="1"/>
  <c r="Y11" i="155" s="1"/>
  <c r="Z11" i="155" s="1"/>
  <c r="AA11" i="155" s="1"/>
  <c r="O11" i="155"/>
  <c r="M11" i="155"/>
  <c r="I11" i="155"/>
  <c r="G11" i="155"/>
  <c r="E11" i="155"/>
  <c r="P10" i="155"/>
  <c r="Q10" i="155" s="1"/>
  <c r="O10" i="155"/>
  <c r="M10" i="155"/>
  <c r="I10" i="155"/>
  <c r="G10" i="155"/>
  <c r="E10" i="155"/>
  <c r="P9" i="155"/>
  <c r="S9" i="155" s="1"/>
  <c r="T9" i="155" s="1"/>
  <c r="U9" i="155" s="1"/>
  <c r="V9" i="155" s="1"/>
  <c r="W9" i="155" s="1"/>
  <c r="X9" i="155" s="1"/>
  <c r="Y9" i="155" s="1"/>
  <c r="Z9" i="155" s="1"/>
  <c r="AA9" i="155" s="1"/>
  <c r="O9" i="155"/>
  <c r="M9" i="155"/>
  <c r="I9" i="155"/>
  <c r="G9" i="155"/>
  <c r="E9" i="155"/>
  <c r="P8" i="155"/>
  <c r="Q8" i="155" s="1"/>
  <c r="O8" i="155"/>
  <c r="M8" i="155"/>
  <c r="I8" i="155"/>
  <c r="G8" i="155"/>
  <c r="E8" i="155"/>
  <c r="P7" i="155"/>
  <c r="S7" i="155" s="1"/>
  <c r="T7" i="155" s="1"/>
  <c r="U7" i="155" s="1"/>
  <c r="V7" i="155" s="1"/>
  <c r="W7" i="155" s="1"/>
  <c r="X7" i="155" s="1"/>
  <c r="Y7" i="155" s="1"/>
  <c r="Z7" i="155" s="1"/>
  <c r="AA7" i="155" s="1"/>
  <c r="O7" i="155"/>
  <c r="M7" i="155"/>
  <c r="I7" i="155"/>
  <c r="G7" i="155"/>
  <c r="E7" i="155"/>
  <c r="B3" i="155"/>
  <c r="P102" i="155" l="1"/>
  <c r="P104" i="155"/>
  <c r="P103" i="155" s="1"/>
  <c r="P35" i="155"/>
  <c r="P38" i="155" s="1"/>
  <c r="P45" i="155"/>
  <c r="P117" i="155" s="1"/>
  <c r="P114" i="155"/>
  <c r="P113" i="155" s="1"/>
  <c r="O115" i="155"/>
  <c r="O191" i="155"/>
  <c r="O193" i="155" s="1"/>
  <c r="O155" i="155"/>
  <c r="O157" i="155" s="1"/>
  <c r="P115" i="155"/>
  <c r="P191" i="155"/>
  <c r="P193" i="155" s="1"/>
  <c r="P155" i="155"/>
  <c r="P157" i="155" s="1"/>
  <c r="O114" i="155"/>
  <c r="O113" i="155" s="1"/>
  <c r="P105" i="155"/>
  <c r="P183" i="155"/>
  <c r="P185" i="155" s="1"/>
  <c r="P147" i="155"/>
  <c r="P149" i="155" s="1"/>
  <c r="P92" i="155"/>
  <c r="P139" i="155" s="1"/>
  <c r="P141" i="155" s="1"/>
  <c r="P94" i="155"/>
  <c r="P93" i="155" s="1"/>
  <c r="P99" i="155"/>
  <c r="P98" i="155" s="1"/>
  <c r="P100" i="155"/>
  <c r="P179" i="155"/>
  <c r="P181" i="155" s="1"/>
  <c r="P143" i="155"/>
  <c r="P145" i="155" s="1"/>
  <c r="K114" i="155"/>
  <c r="K113" i="155" s="1"/>
  <c r="M119" i="155"/>
  <c r="M118" i="155" s="1"/>
  <c r="K112" i="155"/>
  <c r="M114" i="155"/>
  <c r="M113" i="155" s="1"/>
  <c r="O107" i="155"/>
  <c r="O187" i="155" s="1"/>
  <c r="O189" i="155" s="1"/>
  <c r="P107" i="155"/>
  <c r="O109" i="155"/>
  <c r="O108" i="155" s="1"/>
  <c r="K107" i="155"/>
  <c r="K109" i="155"/>
  <c r="K108" i="155" s="1"/>
  <c r="M102" i="155"/>
  <c r="K104" i="155"/>
  <c r="K103" i="155" s="1"/>
  <c r="K102" i="155"/>
  <c r="M104" i="155"/>
  <c r="M103" i="155" s="1"/>
  <c r="M97" i="155"/>
  <c r="M100" i="155" s="1"/>
  <c r="K97" i="155"/>
  <c r="K99" i="155"/>
  <c r="K98" i="155" s="1"/>
  <c r="M99" i="155"/>
  <c r="M98" i="155" s="1"/>
  <c r="M139" i="155"/>
  <c r="M141" i="155" s="1"/>
  <c r="M175" i="155"/>
  <c r="M177" i="155" s="1"/>
  <c r="O94" i="155"/>
  <c r="O93" i="155" s="1"/>
  <c r="K92" i="155"/>
  <c r="K139" i="155" s="1"/>
  <c r="K141" i="155" s="1"/>
  <c r="O52" i="155"/>
  <c r="O51" i="155" s="1"/>
  <c r="M94" i="155"/>
  <c r="M95" i="155"/>
  <c r="O92" i="155"/>
  <c r="O139" i="155" s="1"/>
  <c r="O141" i="155" s="1"/>
  <c r="K94" i="155"/>
  <c r="K93" i="155" s="1"/>
  <c r="P175" i="155"/>
  <c r="P177" i="155" s="1"/>
  <c r="X192" i="155"/>
  <c r="X196" i="155"/>
  <c r="X188" i="155"/>
  <c r="Z200" i="155"/>
  <c r="Q163" i="155"/>
  <c r="Q164" i="155" s="1"/>
  <c r="Y152" i="155"/>
  <c r="G147" i="155"/>
  <c r="G148" i="155" s="1"/>
  <c r="E148" i="155"/>
  <c r="L129" i="155"/>
  <c r="N129" i="155"/>
  <c r="P69" i="155"/>
  <c r="Q130" i="155"/>
  <c r="Q129" i="155" s="1"/>
  <c r="Q128" i="155"/>
  <c r="P84" i="155"/>
  <c r="K84" i="155"/>
  <c r="N81" i="155"/>
  <c r="O84" i="155"/>
  <c r="M84" i="155"/>
  <c r="M117" i="155"/>
  <c r="L81" i="155"/>
  <c r="O98" i="155"/>
  <c r="L62" i="155"/>
  <c r="L77" i="155"/>
  <c r="L56" i="155"/>
  <c r="N76" i="155"/>
  <c r="M112" i="155"/>
  <c r="Q83" i="155"/>
  <c r="L72" i="155"/>
  <c r="O69" i="155"/>
  <c r="L67" i="155"/>
  <c r="Q68" i="155"/>
  <c r="Q58" i="155"/>
  <c r="L57" i="155"/>
  <c r="N57" i="155"/>
  <c r="N67" i="155"/>
  <c r="N77" i="155"/>
  <c r="Q78" i="155"/>
  <c r="K86" i="155"/>
  <c r="K89" i="155" s="1"/>
  <c r="K59" i="155"/>
  <c r="L76" i="155"/>
  <c r="M79" i="155"/>
  <c r="L66" i="155"/>
  <c r="M69" i="155"/>
  <c r="L61" i="155"/>
  <c r="M64" i="155"/>
  <c r="M86" i="155"/>
  <c r="M89" i="155" s="1"/>
  <c r="N71" i="155"/>
  <c r="O74" i="155"/>
  <c r="M74" i="155"/>
  <c r="L71" i="155"/>
  <c r="N62" i="155"/>
  <c r="Q63" i="155"/>
  <c r="N66" i="155"/>
  <c r="N56" i="155"/>
  <c r="O86" i="155"/>
  <c r="O89" i="155" s="1"/>
  <c r="O59" i="155"/>
  <c r="N72" i="155"/>
  <c r="Q73" i="155"/>
  <c r="N61" i="155"/>
  <c r="N88" i="155"/>
  <c r="N87" i="155" s="1"/>
  <c r="P86" i="155"/>
  <c r="P89" i="155" s="1"/>
  <c r="P59" i="155"/>
  <c r="L88" i="155"/>
  <c r="L87" i="155" s="1"/>
  <c r="M52" i="155"/>
  <c r="M51" i="155" s="1"/>
  <c r="K52" i="155"/>
  <c r="K51" i="155" s="1"/>
  <c r="P52" i="155"/>
  <c r="P51" i="155" s="1"/>
  <c r="N32" i="155"/>
  <c r="Q32" i="155" s="1"/>
  <c r="L42" i="155"/>
  <c r="L41" i="155" s="1"/>
  <c r="M43" i="155"/>
  <c r="L40" i="155"/>
  <c r="L43" i="155" s="1"/>
  <c r="N40" i="155"/>
  <c r="N43" i="155" s="1"/>
  <c r="O43" i="155"/>
  <c r="P43" i="155"/>
  <c r="L32" i="155"/>
  <c r="L104" i="155" s="1"/>
  <c r="L103" i="155" s="1"/>
  <c r="N42" i="155"/>
  <c r="N114" i="155" s="1"/>
  <c r="N113" i="155" s="1"/>
  <c r="O30" i="155"/>
  <c r="L30" i="155"/>
  <c r="N47" i="155"/>
  <c r="Q47" i="155" s="1"/>
  <c r="Q46" i="155" s="1"/>
  <c r="L47" i="155"/>
  <c r="L46" i="155" s="1"/>
  <c r="L37" i="155"/>
  <c r="L36" i="155" s="1"/>
  <c r="K45" i="155"/>
  <c r="K50" i="155" s="1"/>
  <c r="K53" i="155" s="1"/>
  <c r="O45" i="155"/>
  <c r="N45" i="155" s="1"/>
  <c r="M35" i="155"/>
  <c r="M38" i="155" s="1"/>
  <c r="N37" i="155"/>
  <c r="N109" i="155" s="1"/>
  <c r="N108" i="155" s="1"/>
  <c r="N27" i="155"/>
  <c r="Q27" i="155" s="1"/>
  <c r="Q26" i="155" s="1"/>
  <c r="L27" i="155"/>
  <c r="L26" i="155" s="1"/>
  <c r="L25" i="155"/>
  <c r="L28" i="155" s="1"/>
  <c r="P28" i="155"/>
  <c r="O25" i="155"/>
  <c r="O97" i="155" s="1"/>
  <c r="M28" i="155"/>
  <c r="M23" i="155"/>
  <c r="N20" i="155"/>
  <c r="L20" i="155"/>
  <c r="L23" i="155" s="1"/>
  <c r="N22" i="155"/>
  <c r="N21" i="155" s="1"/>
  <c r="L22" i="155"/>
  <c r="L21" i="155" s="1"/>
  <c r="G92" i="155"/>
  <c r="G176" i="155" s="1"/>
  <c r="D176" i="155"/>
  <c r="G192" i="155"/>
  <c r="H196" i="155"/>
  <c r="H176" i="155"/>
  <c r="D180" i="155"/>
  <c r="H180" i="155"/>
  <c r="D184" i="155"/>
  <c r="D192" i="155"/>
  <c r="H184" i="155"/>
  <c r="H192" i="155"/>
  <c r="D196" i="155"/>
  <c r="G204" i="155"/>
  <c r="G200" i="155"/>
  <c r="J203" i="155"/>
  <c r="J204" i="155" s="1"/>
  <c r="J200" i="155"/>
  <c r="H188" i="155"/>
  <c r="C176" i="155"/>
  <c r="C180" i="155"/>
  <c r="C184" i="155"/>
  <c r="C188" i="155"/>
  <c r="C192" i="155"/>
  <c r="C196" i="155"/>
  <c r="D188" i="155"/>
  <c r="I176" i="155"/>
  <c r="I192" i="155"/>
  <c r="I200" i="155"/>
  <c r="I203" i="155"/>
  <c r="I204" i="155" s="1"/>
  <c r="E204" i="155"/>
  <c r="F176" i="155"/>
  <c r="F180" i="155"/>
  <c r="F184" i="155"/>
  <c r="F188" i="155"/>
  <c r="F192" i="155"/>
  <c r="F196" i="155"/>
  <c r="F122" i="155"/>
  <c r="F133" i="155" s="1"/>
  <c r="J102" i="155"/>
  <c r="D122" i="155"/>
  <c r="D133" i="155" s="1"/>
  <c r="I102" i="155"/>
  <c r="J128" i="155"/>
  <c r="J151" i="155"/>
  <c r="I167" i="155"/>
  <c r="I168" i="155" s="1"/>
  <c r="J147" i="155"/>
  <c r="J148" i="155" s="1"/>
  <c r="J163" i="155"/>
  <c r="J155" i="155"/>
  <c r="G151" i="155"/>
  <c r="E167" i="155"/>
  <c r="E168" i="155" s="1"/>
  <c r="G128" i="155"/>
  <c r="J107" i="155"/>
  <c r="J188" i="155" s="1"/>
  <c r="G97" i="155"/>
  <c r="G117" i="155"/>
  <c r="G155" i="155"/>
  <c r="J143" i="155"/>
  <c r="J159" i="155"/>
  <c r="J139" i="155"/>
  <c r="G107" i="155"/>
  <c r="G188" i="155" s="1"/>
  <c r="J112" i="155"/>
  <c r="H122" i="155"/>
  <c r="H133" i="155" s="1"/>
  <c r="I97" i="155"/>
  <c r="I107" i="155"/>
  <c r="I117" i="155"/>
  <c r="J92" i="155"/>
  <c r="J176" i="155" s="1"/>
  <c r="J97" i="155"/>
  <c r="J180" i="155" s="1"/>
  <c r="J117" i="155"/>
  <c r="J196" i="155" s="1"/>
  <c r="G102" i="155"/>
  <c r="G86" i="155"/>
  <c r="E102" i="155"/>
  <c r="E92" i="155"/>
  <c r="C122" i="155"/>
  <c r="C133" i="155" s="1"/>
  <c r="E107" i="155"/>
  <c r="E112" i="155"/>
  <c r="E97" i="155"/>
  <c r="E117" i="155"/>
  <c r="J86" i="155"/>
  <c r="E86" i="155"/>
  <c r="I86" i="155"/>
  <c r="G50" i="155"/>
  <c r="I50" i="155"/>
  <c r="J50" i="155"/>
  <c r="E50" i="155"/>
  <c r="O14" i="155"/>
  <c r="J8" i="155"/>
  <c r="J10" i="155"/>
  <c r="J12" i="155"/>
  <c r="J14" i="155"/>
  <c r="J15" i="155"/>
  <c r="R8" i="155"/>
  <c r="R10" i="155"/>
  <c r="R12" i="155"/>
  <c r="R14" i="155"/>
  <c r="J7" i="155"/>
  <c r="J9" i="155"/>
  <c r="J11" i="155"/>
  <c r="J13" i="155"/>
  <c r="R3" i="155"/>
  <c r="Q7" i="155"/>
  <c r="R7" i="155" s="1"/>
  <c r="S8" i="155"/>
  <c r="T8" i="155" s="1"/>
  <c r="U8" i="155" s="1"/>
  <c r="V8" i="155" s="1"/>
  <c r="W8" i="155" s="1"/>
  <c r="X8" i="155" s="1"/>
  <c r="Y8" i="155" s="1"/>
  <c r="Z8" i="155" s="1"/>
  <c r="AA8" i="155" s="1"/>
  <c r="Q9" i="155"/>
  <c r="R9" i="155" s="1"/>
  <c r="S10" i="155"/>
  <c r="T10" i="155" s="1"/>
  <c r="U10" i="155" s="1"/>
  <c r="V10" i="155" s="1"/>
  <c r="W10" i="155" s="1"/>
  <c r="X10" i="155" s="1"/>
  <c r="Y10" i="155" s="1"/>
  <c r="Z10" i="155" s="1"/>
  <c r="AA10" i="155" s="1"/>
  <c r="Q11" i="155"/>
  <c r="R11" i="155" s="1"/>
  <c r="S12" i="155"/>
  <c r="T12" i="155" s="1"/>
  <c r="U12" i="155" s="1"/>
  <c r="V12" i="155" s="1"/>
  <c r="W12" i="155" s="1"/>
  <c r="X12" i="155" s="1"/>
  <c r="Y12" i="155" s="1"/>
  <c r="Z12" i="155" s="1"/>
  <c r="AA12" i="155" s="1"/>
  <c r="Q13" i="155"/>
  <c r="R13" i="155" s="1"/>
  <c r="Q15" i="155"/>
  <c r="R15" i="155" s="1"/>
  <c r="P48" i="155" l="1"/>
  <c r="P50" i="155"/>
  <c r="P53" i="155" s="1"/>
  <c r="P120" i="155"/>
  <c r="P195" i="155"/>
  <c r="P197" i="155" s="1"/>
  <c r="P159" i="155"/>
  <c r="P161" i="155" s="1"/>
  <c r="P95" i="155"/>
  <c r="P122" i="155"/>
  <c r="P125" i="155" s="1"/>
  <c r="O151" i="155"/>
  <c r="O153" i="155" s="1"/>
  <c r="P124" i="155"/>
  <c r="P135" i="155" s="1"/>
  <c r="P134" i="155" s="1"/>
  <c r="O110" i="155"/>
  <c r="O100" i="155"/>
  <c r="O179" i="155"/>
  <c r="O181" i="155" s="1"/>
  <c r="O143" i="155"/>
  <c r="O145" i="155" s="1"/>
  <c r="M143" i="155"/>
  <c r="M145" i="155" s="1"/>
  <c r="N119" i="155"/>
  <c r="N118" i="155" s="1"/>
  <c r="N46" i="155"/>
  <c r="L45" i="155"/>
  <c r="L117" i="155" s="1"/>
  <c r="L120" i="155" s="1"/>
  <c r="O50" i="155"/>
  <c r="O53" i="155" s="1"/>
  <c r="O117" i="155"/>
  <c r="O159" i="155" s="1"/>
  <c r="O161" i="155" s="1"/>
  <c r="L119" i="155"/>
  <c r="L118" i="155" s="1"/>
  <c r="N104" i="155"/>
  <c r="N103" i="155" s="1"/>
  <c r="N112" i="155"/>
  <c r="N115" i="155" s="1"/>
  <c r="K117" i="155"/>
  <c r="K122" i="155" s="1"/>
  <c r="K115" i="155"/>
  <c r="K191" i="155"/>
  <c r="K193" i="155" s="1"/>
  <c r="K155" i="155"/>
  <c r="K157" i="155" s="1"/>
  <c r="O120" i="155"/>
  <c r="L114" i="155"/>
  <c r="L113" i="155" s="1"/>
  <c r="M120" i="155"/>
  <c r="M195" i="155"/>
  <c r="M197" i="155" s="1"/>
  <c r="M159" i="155"/>
  <c r="M161" i="155" s="1"/>
  <c r="M115" i="155"/>
  <c r="M191" i="155"/>
  <c r="M193" i="155" s="1"/>
  <c r="M155" i="155"/>
  <c r="M157" i="155" s="1"/>
  <c r="O124" i="155"/>
  <c r="O123" i="155" s="1"/>
  <c r="M50" i="155"/>
  <c r="M53" i="155" s="1"/>
  <c r="P110" i="155"/>
  <c r="P187" i="155"/>
  <c r="P151" i="155"/>
  <c r="P153" i="155" s="1"/>
  <c r="M179" i="155"/>
  <c r="K110" i="155"/>
  <c r="K187" i="155"/>
  <c r="K189" i="155" s="1"/>
  <c r="K151" i="155"/>
  <c r="K153" i="155" s="1"/>
  <c r="L109" i="155"/>
  <c r="L108" i="155" s="1"/>
  <c r="M107" i="155"/>
  <c r="Q104" i="155"/>
  <c r="Q103" i="155" s="1"/>
  <c r="K105" i="155"/>
  <c r="K183" i="155"/>
  <c r="K185" i="155" s="1"/>
  <c r="K147" i="155"/>
  <c r="K149" i="155" s="1"/>
  <c r="O102" i="155"/>
  <c r="O183" i="155" s="1"/>
  <c r="M105" i="155"/>
  <c r="M183" i="155"/>
  <c r="M147" i="155"/>
  <c r="L99" i="155"/>
  <c r="L98" i="155" s="1"/>
  <c r="M124" i="155"/>
  <c r="M123" i="155" s="1"/>
  <c r="Q99" i="155"/>
  <c r="Q98" i="155" s="1"/>
  <c r="K100" i="155"/>
  <c r="K179" i="155"/>
  <c r="K181" i="155" s="1"/>
  <c r="K143" i="155"/>
  <c r="K145" i="155" s="1"/>
  <c r="N99" i="155"/>
  <c r="N98" i="155" s="1"/>
  <c r="K175" i="155"/>
  <c r="K177" i="155" s="1"/>
  <c r="K124" i="155"/>
  <c r="K135" i="155" s="1"/>
  <c r="K134" i="155" s="1"/>
  <c r="N94" i="155"/>
  <c r="N93" i="155" s="1"/>
  <c r="O175" i="155"/>
  <c r="O95" i="155"/>
  <c r="K95" i="155"/>
  <c r="M93" i="155"/>
  <c r="N92" i="155"/>
  <c r="N95" i="155" s="1"/>
  <c r="L94" i="155"/>
  <c r="L93" i="155" s="1"/>
  <c r="L92" i="155"/>
  <c r="L95" i="155" s="1"/>
  <c r="L139" i="155"/>
  <c r="L141" i="155" s="1"/>
  <c r="N139" i="155"/>
  <c r="Y192" i="155"/>
  <c r="Y196" i="155"/>
  <c r="Y188" i="155"/>
  <c r="AA200" i="155"/>
  <c r="R163" i="155"/>
  <c r="R164" i="155" s="1"/>
  <c r="Z152" i="155"/>
  <c r="R130" i="155"/>
  <c r="P123" i="155"/>
  <c r="Q131" i="155"/>
  <c r="R128" i="155"/>
  <c r="L84" i="155"/>
  <c r="N84" i="155"/>
  <c r="N117" i="155"/>
  <c r="N120" i="155" s="1"/>
  <c r="Q81" i="155"/>
  <c r="R58" i="155"/>
  <c r="Q67" i="155"/>
  <c r="L59" i="155"/>
  <c r="Q57" i="155"/>
  <c r="Q76" i="155"/>
  <c r="N79" i="155"/>
  <c r="R83" i="155"/>
  <c r="Q119" i="155"/>
  <c r="Q118" i="155" s="1"/>
  <c r="L64" i="155"/>
  <c r="L97" i="155"/>
  <c r="L100" i="155" s="1"/>
  <c r="L79" i="155"/>
  <c r="L112" i="155"/>
  <c r="L115" i="155" s="1"/>
  <c r="R68" i="155"/>
  <c r="L74" i="155"/>
  <c r="L69" i="155"/>
  <c r="L102" i="155"/>
  <c r="L105" i="155" s="1"/>
  <c r="Q72" i="155"/>
  <c r="R73" i="155"/>
  <c r="N86" i="155"/>
  <c r="N89" i="155" s="1"/>
  <c r="N59" i="155"/>
  <c r="Q88" i="155"/>
  <c r="Q87" i="155" s="1"/>
  <c r="N69" i="155"/>
  <c r="Q66" i="155"/>
  <c r="L86" i="155"/>
  <c r="L89" i="155" s="1"/>
  <c r="Q62" i="155"/>
  <c r="R63" i="155"/>
  <c r="N74" i="155"/>
  <c r="Q71" i="155"/>
  <c r="Q77" i="155"/>
  <c r="R78" i="155"/>
  <c r="Q56" i="155"/>
  <c r="N64" i="155"/>
  <c r="Q61" i="155"/>
  <c r="Q31" i="155"/>
  <c r="R32" i="155"/>
  <c r="N52" i="155"/>
  <c r="N51" i="155" s="1"/>
  <c r="L31" i="155"/>
  <c r="L52" i="155"/>
  <c r="L51" i="155" s="1"/>
  <c r="N31" i="155"/>
  <c r="Q40" i="155"/>
  <c r="Q43" i="155" s="1"/>
  <c r="L33" i="155"/>
  <c r="Q42" i="155"/>
  <c r="Q41" i="155" s="1"/>
  <c r="N41" i="155"/>
  <c r="O33" i="155"/>
  <c r="N30" i="155"/>
  <c r="N102" i="155" s="1"/>
  <c r="N105" i="155" s="1"/>
  <c r="N35" i="155"/>
  <c r="N107" i="155" s="1"/>
  <c r="N110" i="155" s="1"/>
  <c r="O48" i="155"/>
  <c r="K48" i="155"/>
  <c r="L35" i="155"/>
  <c r="L38" i="155" s="1"/>
  <c r="R47" i="155"/>
  <c r="R46" i="155" s="1"/>
  <c r="N26" i="155"/>
  <c r="N36" i="155"/>
  <c r="Q37" i="155"/>
  <c r="Q109" i="155" s="1"/>
  <c r="Q108" i="155" s="1"/>
  <c r="O28" i="155"/>
  <c r="N25" i="155"/>
  <c r="N97" i="155" s="1"/>
  <c r="N100" i="155" s="1"/>
  <c r="R27" i="155"/>
  <c r="R26" i="155" s="1"/>
  <c r="Q20" i="155"/>
  <c r="N23" i="155"/>
  <c r="Q22" i="155"/>
  <c r="Q21" i="155" s="1"/>
  <c r="J192" i="155"/>
  <c r="J184" i="155"/>
  <c r="F171" i="155"/>
  <c r="F207" i="155"/>
  <c r="I188" i="155"/>
  <c r="D171" i="155"/>
  <c r="D207" i="155"/>
  <c r="H171" i="155"/>
  <c r="H207" i="155"/>
  <c r="C171" i="155"/>
  <c r="C207" i="155"/>
  <c r="G184" i="155"/>
  <c r="E188" i="155"/>
  <c r="I184" i="155"/>
  <c r="G196" i="155"/>
  <c r="E184" i="155"/>
  <c r="E196" i="155"/>
  <c r="I196" i="155"/>
  <c r="I180" i="155"/>
  <c r="G180" i="155"/>
  <c r="E192" i="155"/>
  <c r="E180" i="155"/>
  <c r="E176" i="155"/>
  <c r="G167" i="155"/>
  <c r="G168" i="155" s="1"/>
  <c r="J167" i="155"/>
  <c r="J168" i="155" s="1"/>
  <c r="J122" i="155"/>
  <c r="J133" i="155" s="1"/>
  <c r="J207" i="155" s="1"/>
  <c r="G122" i="155"/>
  <c r="G133" i="155" s="1"/>
  <c r="G207" i="155" s="1"/>
  <c r="E122" i="155"/>
  <c r="E133" i="155" s="1"/>
  <c r="E207" i="155" s="1"/>
  <c r="I122" i="155"/>
  <c r="I133" i="155" s="1"/>
  <c r="I207" i="155" s="1"/>
  <c r="R174" i="155"/>
  <c r="R138" i="155"/>
  <c r="R19" i="155"/>
  <c r="R91" i="155"/>
  <c r="R55" i="155"/>
  <c r="R127" i="155"/>
  <c r="S3" i="155"/>
  <c r="M185" i="155" l="1"/>
  <c r="N183" i="155"/>
  <c r="Q183" i="155" s="1"/>
  <c r="P133" i="155"/>
  <c r="L147" i="155"/>
  <c r="L149" i="155" s="1"/>
  <c r="M149" i="155"/>
  <c r="P203" i="155"/>
  <c r="P189" i="155"/>
  <c r="N175" i="155"/>
  <c r="N176" i="155" s="1"/>
  <c r="O177" i="155"/>
  <c r="N179" i="155"/>
  <c r="N181" i="155" s="1"/>
  <c r="M181" i="155"/>
  <c r="P167" i="155"/>
  <c r="P168" i="155" s="1"/>
  <c r="P170" i="155" s="1"/>
  <c r="Q139" i="155"/>
  <c r="N141" i="155"/>
  <c r="O122" i="155"/>
  <c r="O133" i="155" s="1"/>
  <c r="N143" i="155"/>
  <c r="N144" i="155" s="1"/>
  <c r="L143" i="155"/>
  <c r="O195" i="155"/>
  <c r="O135" i="155"/>
  <c r="O134" i="155" s="1"/>
  <c r="L48" i="155"/>
  <c r="N159" i="155"/>
  <c r="R119" i="155"/>
  <c r="R118" i="155" s="1"/>
  <c r="Q114" i="155"/>
  <c r="Q113" i="155" s="1"/>
  <c r="L155" i="155"/>
  <c r="N155" i="155"/>
  <c r="N157" i="155" s="1"/>
  <c r="Q112" i="155"/>
  <c r="Q115" i="155" s="1"/>
  <c r="L191" i="155"/>
  <c r="N191" i="155"/>
  <c r="N193" i="155" s="1"/>
  <c r="K120" i="155"/>
  <c r="K195" i="155"/>
  <c r="K159" i="155"/>
  <c r="L179" i="155"/>
  <c r="N38" i="155"/>
  <c r="M110" i="155"/>
  <c r="M187" i="155"/>
  <c r="M189" i="155" s="1"/>
  <c r="M151" i="155"/>
  <c r="Q35" i="155"/>
  <c r="Q107" i="155" s="1"/>
  <c r="Q110" i="155" s="1"/>
  <c r="L50" i="155"/>
  <c r="L53" i="155" s="1"/>
  <c r="L107" i="155"/>
  <c r="L110" i="155" s="1"/>
  <c r="M122" i="155"/>
  <c r="M133" i="155" s="1"/>
  <c r="M135" i="155"/>
  <c r="M134" i="155" s="1"/>
  <c r="O105" i="155"/>
  <c r="O147" i="155"/>
  <c r="O149" i="155" s="1"/>
  <c r="L183" i="155"/>
  <c r="N50" i="155"/>
  <c r="N53" i="155" s="1"/>
  <c r="K123" i="155"/>
  <c r="L175" i="155"/>
  <c r="L177" i="155" s="1"/>
  <c r="N124" i="155"/>
  <c r="N123" i="155" s="1"/>
  <c r="L124" i="155"/>
  <c r="L123" i="155" s="1"/>
  <c r="Q94" i="155"/>
  <c r="Q93" i="155" s="1"/>
  <c r="Q92" i="155"/>
  <c r="L140" i="155"/>
  <c r="N140" i="155"/>
  <c r="Z196" i="155"/>
  <c r="Z192" i="155"/>
  <c r="Z188" i="155"/>
  <c r="AA196" i="155"/>
  <c r="AA152" i="155"/>
  <c r="R129" i="155"/>
  <c r="K125" i="155"/>
  <c r="K133" i="155"/>
  <c r="S130" i="155"/>
  <c r="S128" i="155" s="1"/>
  <c r="R131" i="155"/>
  <c r="R76" i="155"/>
  <c r="N122" i="155"/>
  <c r="R81" i="155"/>
  <c r="Q84" i="155"/>
  <c r="R57" i="155"/>
  <c r="Q79" i="155"/>
  <c r="R77" i="155"/>
  <c r="R62" i="155"/>
  <c r="R99" i="155"/>
  <c r="R72" i="155"/>
  <c r="R67" i="155"/>
  <c r="R104" i="155"/>
  <c r="R103" i="155" s="1"/>
  <c r="R88" i="155"/>
  <c r="R87" i="155" s="1"/>
  <c r="R56" i="155"/>
  <c r="Q59" i="155"/>
  <c r="Q86" i="155"/>
  <c r="Q89" i="155" s="1"/>
  <c r="R66" i="155"/>
  <c r="Q69" i="155"/>
  <c r="R71" i="155"/>
  <c r="Q74" i="155"/>
  <c r="R61" i="155"/>
  <c r="Q64" i="155"/>
  <c r="R42" i="155"/>
  <c r="R41" i="155" s="1"/>
  <c r="R31" i="155"/>
  <c r="R40" i="155"/>
  <c r="R43" i="155" s="1"/>
  <c r="Q52" i="155"/>
  <c r="Q51" i="155" s="1"/>
  <c r="N33" i="155"/>
  <c r="Q30" i="155"/>
  <c r="Q102" i="155" s="1"/>
  <c r="Q105" i="155" s="1"/>
  <c r="N48" i="155"/>
  <c r="Q45" i="155"/>
  <c r="Q117" i="155" s="1"/>
  <c r="Q120" i="155" s="1"/>
  <c r="Q36" i="155"/>
  <c r="R37" i="155"/>
  <c r="R36" i="155" s="1"/>
  <c r="N28" i="155"/>
  <c r="Q25" i="155"/>
  <c r="Q97" i="155" s="1"/>
  <c r="Q100" i="155" s="1"/>
  <c r="R22" i="155"/>
  <c r="R21" i="155" s="1"/>
  <c r="Q23" i="155"/>
  <c r="R20" i="155"/>
  <c r="I171" i="155"/>
  <c r="E171" i="155"/>
  <c r="G171" i="155"/>
  <c r="S174" i="155"/>
  <c r="S138" i="155"/>
  <c r="S19" i="155"/>
  <c r="S127" i="155"/>
  <c r="S55" i="155"/>
  <c r="S91" i="155"/>
  <c r="T3" i="155"/>
  <c r="P136" i="155" l="1"/>
  <c r="O136" i="155"/>
  <c r="O125" i="155"/>
  <c r="L148" i="155"/>
  <c r="Q140" i="155"/>
  <c r="Q179" i="155"/>
  <c r="Q181" i="155" s="1"/>
  <c r="L184" i="155"/>
  <c r="L185" i="155"/>
  <c r="K167" i="155"/>
  <c r="K168" i="155" s="1"/>
  <c r="K170" i="155" s="1"/>
  <c r="K161" i="155"/>
  <c r="L192" i="155"/>
  <c r="L193" i="155"/>
  <c r="N195" i="155"/>
  <c r="N197" i="155" s="1"/>
  <c r="O197" i="155"/>
  <c r="N180" i="155"/>
  <c r="N185" i="155"/>
  <c r="O185" i="155"/>
  <c r="M167" i="155"/>
  <c r="M168" i="155" s="1"/>
  <c r="M170" i="155" s="1"/>
  <c r="M153" i="155"/>
  <c r="L180" i="155"/>
  <c r="L181" i="155"/>
  <c r="Q159" i="155"/>
  <c r="Q161" i="155" s="1"/>
  <c r="N161" i="155"/>
  <c r="L144" i="155"/>
  <c r="L145" i="155"/>
  <c r="K203" i="155"/>
  <c r="K204" i="155" s="1"/>
  <c r="K197" i="155"/>
  <c r="L156" i="155"/>
  <c r="L157" i="155"/>
  <c r="Q143" i="155"/>
  <c r="Q145" i="155" s="1"/>
  <c r="N145" i="155"/>
  <c r="Q175" i="155"/>
  <c r="Q176" i="155" s="1"/>
  <c r="N177" i="155"/>
  <c r="R139" i="155"/>
  <c r="R141" i="155" s="1"/>
  <c r="Q141" i="155"/>
  <c r="N160" i="155"/>
  <c r="M125" i="155"/>
  <c r="R112" i="155"/>
  <c r="R115" i="155" s="1"/>
  <c r="Q191" i="155"/>
  <c r="Q193" i="155" s="1"/>
  <c r="N192" i="155"/>
  <c r="L195" i="155"/>
  <c r="L159" i="155"/>
  <c r="R114" i="155"/>
  <c r="R113" i="155" s="1"/>
  <c r="N156" i="155"/>
  <c r="Q155" i="155"/>
  <c r="Q157" i="155" s="1"/>
  <c r="Q38" i="155"/>
  <c r="P172" i="155"/>
  <c r="P171" i="155"/>
  <c r="R35" i="155"/>
  <c r="S37" i="155" s="1"/>
  <c r="S35" i="155" s="1"/>
  <c r="O203" i="155"/>
  <c r="O204" i="155" s="1"/>
  <c r="R109" i="155"/>
  <c r="R108" i="155" s="1"/>
  <c r="L187" i="155"/>
  <c r="N187" i="155"/>
  <c r="N189" i="155" s="1"/>
  <c r="M203" i="155"/>
  <c r="M204" i="155" s="1"/>
  <c r="M206" i="155" s="1"/>
  <c r="L122" i="155"/>
  <c r="L125" i="155" s="1"/>
  <c r="L151" i="155"/>
  <c r="L153" i="155" s="1"/>
  <c r="N151" i="155"/>
  <c r="N153" i="155" s="1"/>
  <c r="N147" i="155"/>
  <c r="N149" i="155" s="1"/>
  <c r="O167" i="155"/>
  <c r="O168" i="155" s="1"/>
  <c r="L176" i="155"/>
  <c r="Q50" i="155"/>
  <c r="Q53" i="155" s="1"/>
  <c r="Q124" i="155"/>
  <c r="Q135" i="155" s="1"/>
  <c r="Q134" i="155" s="1"/>
  <c r="N135" i="155"/>
  <c r="N134" i="155" s="1"/>
  <c r="L135" i="155"/>
  <c r="L134" i="155" s="1"/>
  <c r="R92" i="155"/>
  <c r="Q95" i="155"/>
  <c r="R94" i="155"/>
  <c r="R93" i="155" s="1"/>
  <c r="K136" i="155"/>
  <c r="M136" i="155"/>
  <c r="AA192" i="155"/>
  <c r="AA188" i="155"/>
  <c r="T130" i="155"/>
  <c r="T128" i="155" s="1"/>
  <c r="N125" i="155"/>
  <c r="N133" i="155"/>
  <c r="R79" i="155"/>
  <c r="S78" i="155"/>
  <c r="Q122" i="155"/>
  <c r="R84" i="155"/>
  <c r="S83" i="155"/>
  <c r="R98" i="155"/>
  <c r="R64" i="155"/>
  <c r="S63" i="155"/>
  <c r="R69" i="155"/>
  <c r="S68" i="155"/>
  <c r="R74" i="155"/>
  <c r="S73" i="155"/>
  <c r="R59" i="155"/>
  <c r="S58" i="155"/>
  <c r="R86" i="155"/>
  <c r="R89" i="155" s="1"/>
  <c r="R52" i="155"/>
  <c r="R51" i="155" s="1"/>
  <c r="S42" i="155"/>
  <c r="Q33" i="155"/>
  <c r="R30" i="155"/>
  <c r="R102" i="155" s="1"/>
  <c r="R105" i="155" s="1"/>
  <c r="Q48" i="155"/>
  <c r="R45" i="155"/>
  <c r="R117" i="155" s="1"/>
  <c r="R120" i="155" s="1"/>
  <c r="Q28" i="155"/>
  <c r="R25" i="155"/>
  <c r="R97" i="155" s="1"/>
  <c r="R100" i="155" s="1"/>
  <c r="R23" i="155"/>
  <c r="S22" i="155"/>
  <c r="S20" i="155" s="1"/>
  <c r="T138" i="155"/>
  <c r="T174" i="155"/>
  <c r="T19" i="155"/>
  <c r="T91" i="155"/>
  <c r="T127" i="155"/>
  <c r="T55" i="155"/>
  <c r="U3" i="155"/>
  <c r="W562" i="3"/>
  <c r="Z562" i="3"/>
  <c r="Y562" i="3"/>
  <c r="X562" i="3"/>
  <c r="V562" i="3"/>
  <c r="U562" i="3"/>
  <c r="T562" i="3"/>
  <c r="S562" i="3"/>
  <c r="R562" i="3"/>
  <c r="Q562" i="3"/>
  <c r="P562" i="3"/>
  <c r="AB111" i="3"/>
  <c r="N136" i="155" l="1"/>
  <c r="M208" i="155"/>
  <c r="M172" i="155"/>
  <c r="K172" i="155"/>
  <c r="R179" i="155"/>
  <c r="R181" i="155" s="1"/>
  <c r="Q180" i="155"/>
  <c r="R140" i="155"/>
  <c r="Q144" i="155"/>
  <c r="R159" i="155"/>
  <c r="R161" i="155" s="1"/>
  <c r="Q185" i="155"/>
  <c r="Q195" i="155"/>
  <c r="Q197" i="155" s="1"/>
  <c r="K171" i="155"/>
  <c r="N184" i="155"/>
  <c r="L160" i="155"/>
  <c r="L161" i="155"/>
  <c r="R143" i="155"/>
  <c r="R145" i="155" s="1"/>
  <c r="L196" i="155"/>
  <c r="L197" i="155"/>
  <c r="M171" i="155"/>
  <c r="L168" i="155"/>
  <c r="L188" i="155"/>
  <c r="L189" i="155"/>
  <c r="Q177" i="155"/>
  <c r="R175" i="155"/>
  <c r="R177" i="155" s="1"/>
  <c r="K206" i="155"/>
  <c r="N168" i="155"/>
  <c r="Q168" i="155" s="1"/>
  <c r="R168" i="155" s="1"/>
  <c r="Q160" i="155"/>
  <c r="N196" i="155"/>
  <c r="Q192" i="155"/>
  <c r="R191" i="155"/>
  <c r="R195" i="155"/>
  <c r="S40" i="155"/>
  <c r="S43" i="155" s="1"/>
  <c r="S114" i="155"/>
  <c r="R155" i="155"/>
  <c r="Q156" i="155"/>
  <c r="R107" i="155"/>
  <c r="R110" i="155" s="1"/>
  <c r="N204" i="155"/>
  <c r="R38" i="155"/>
  <c r="M207" i="155"/>
  <c r="O206" i="155"/>
  <c r="R95" i="155"/>
  <c r="L204" i="155"/>
  <c r="L203" i="155"/>
  <c r="S109" i="155"/>
  <c r="L133" i="155"/>
  <c r="N152" i="155"/>
  <c r="Q151" i="155"/>
  <c r="Q153" i="155" s="1"/>
  <c r="N188" i="155"/>
  <c r="Q187" i="155"/>
  <c r="Q189" i="155" s="1"/>
  <c r="N203" i="155"/>
  <c r="L152" i="155"/>
  <c r="L167" i="155"/>
  <c r="Q123" i="155"/>
  <c r="R183" i="155"/>
  <c r="R185" i="155" s="1"/>
  <c r="N148" i="155"/>
  <c r="Q147" i="155"/>
  <c r="Q149" i="155" s="1"/>
  <c r="N167" i="155"/>
  <c r="O170" i="155"/>
  <c r="R50" i="155"/>
  <c r="R53" i="155" s="1"/>
  <c r="R124" i="155"/>
  <c r="R123" i="155" s="1"/>
  <c r="S94" i="155"/>
  <c r="S93" i="155" s="1"/>
  <c r="S66" i="155"/>
  <c r="T131" i="155"/>
  <c r="S131" i="155"/>
  <c r="Q125" i="155"/>
  <c r="Q133" i="155"/>
  <c r="S76" i="155"/>
  <c r="S81" i="155"/>
  <c r="S61" i="155"/>
  <c r="S71" i="155"/>
  <c r="S107" i="155" s="1"/>
  <c r="S56" i="155"/>
  <c r="S92" i="155" s="1"/>
  <c r="S88" i="155"/>
  <c r="S87" i="155" s="1"/>
  <c r="R33" i="155"/>
  <c r="S32" i="155"/>
  <c r="S30" i="155" s="1"/>
  <c r="R48" i="155"/>
  <c r="S47" i="155"/>
  <c r="S45" i="155" s="1"/>
  <c r="S38" i="155"/>
  <c r="T37" i="155"/>
  <c r="T35" i="155" s="1"/>
  <c r="R28" i="155"/>
  <c r="S27" i="155"/>
  <c r="S25" i="155" s="1"/>
  <c r="T22" i="155"/>
  <c r="T20" i="155" s="1"/>
  <c r="S23" i="155"/>
  <c r="U174" i="155"/>
  <c r="U138" i="155"/>
  <c r="U19" i="155"/>
  <c r="U55" i="155"/>
  <c r="U127" i="155"/>
  <c r="U91" i="155"/>
  <c r="V3" i="155"/>
  <c r="O207" i="155" l="1"/>
  <c r="O172" i="155"/>
  <c r="L136" i="155"/>
  <c r="K208" i="155"/>
  <c r="R180" i="155"/>
  <c r="Q184" i="155"/>
  <c r="R160" i="155"/>
  <c r="R144" i="155"/>
  <c r="R176" i="155"/>
  <c r="S176" i="155" s="1"/>
  <c r="T176" i="155" s="1"/>
  <c r="N170" i="155"/>
  <c r="K207" i="155"/>
  <c r="Q196" i="155"/>
  <c r="R196" i="155"/>
  <c r="R197" i="155"/>
  <c r="R156" i="155"/>
  <c r="R157" i="155"/>
  <c r="R192" i="155"/>
  <c r="R193" i="155"/>
  <c r="L206" i="155"/>
  <c r="T42" i="155"/>
  <c r="T40" i="155" s="1"/>
  <c r="T43" i="155" s="1"/>
  <c r="S112" i="155"/>
  <c r="S115" i="155" s="1"/>
  <c r="O208" i="155"/>
  <c r="R122" i="155"/>
  <c r="R125" i="155" s="1"/>
  <c r="S119" i="155"/>
  <c r="O171" i="155"/>
  <c r="R187" i="155"/>
  <c r="Q188" i="155"/>
  <c r="Q203" i="155"/>
  <c r="S110" i="155"/>
  <c r="S187" i="155"/>
  <c r="S189" i="155" s="1"/>
  <c r="S151" i="155"/>
  <c r="R135" i="155"/>
  <c r="R134" i="155" s="1"/>
  <c r="Q152" i="155"/>
  <c r="R151" i="155"/>
  <c r="S102" i="155"/>
  <c r="S104" i="155"/>
  <c r="S103" i="155" s="1"/>
  <c r="R184" i="155"/>
  <c r="Q148" i="155"/>
  <c r="R147" i="155"/>
  <c r="R149" i="155" s="1"/>
  <c r="Q167" i="155"/>
  <c r="Q170" i="155" s="1"/>
  <c r="S97" i="155"/>
  <c r="S99" i="155"/>
  <c r="S98" i="155" s="1"/>
  <c r="S175" i="155"/>
  <c r="S177" i="155" s="1"/>
  <c r="S139" i="155"/>
  <c r="S141" i="155" s="1"/>
  <c r="Q136" i="155"/>
  <c r="U130" i="155"/>
  <c r="U128" i="155" s="1"/>
  <c r="U131" i="155"/>
  <c r="S79" i="155"/>
  <c r="T78" i="155"/>
  <c r="S117" i="155"/>
  <c r="S84" i="155"/>
  <c r="T83" i="155"/>
  <c r="S64" i="155"/>
  <c r="S74" i="155"/>
  <c r="S69" i="155"/>
  <c r="S95" i="155"/>
  <c r="T63" i="155"/>
  <c r="T73" i="155"/>
  <c r="T68" i="155"/>
  <c r="T66" i="155" s="1"/>
  <c r="S86" i="155"/>
  <c r="S89" i="155" s="1"/>
  <c r="S59" i="155"/>
  <c r="T58" i="155"/>
  <c r="T94" i="155" s="1"/>
  <c r="T93" i="155" s="1"/>
  <c r="S50" i="155"/>
  <c r="S53" i="155" s="1"/>
  <c r="S52" i="155"/>
  <c r="S51" i="155" s="1"/>
  <c r="S48" i="155"/>
  <c r="T47" i="155"/>
  <c r="T45" i="155" s="1"/>
  <c r="T38" i="155"/>
  <c r="U37" i="155"/>
  <c r="U35" i="155" s="1"/>
  <c r="S28" i="155"/>
  <c r="T27" i="155"/>
  <c r="T25" i="155" s="1"/>
  <c r="T23" i="155"/>
  <c r="U22" i="155"/>
  <c r="U20" i="155" s="1"/>
  <c r="V174" i="155"/>
  <c r="V138" i="155"/>
  <c r="V19" i="155"/>
  <c r="V91" i="155"/>
  <c r="V55" i="155"/>
  <c r="V127" i="155"/>
  <c r="W3" i="155"/>
  <c r="U176" i="155" l="1"/>
  <c r="V176" i="155" s="1"/>
  <c r="W176" i="155" s="1"/>
  <c r="X176" i="155" s="1"/>
  <c r="Y176" i="155" s="1"/>
  <c r="Z176" i="155" s="1"/>
  <c r="AA176" i="155" s="1"/>
  <c r="L208" i="155"/>
  <c r="Q172" i="155"/>
  <c r="AC86" i="3"/>
  <c r="S153" i="155"/>
  <c r="R152" i="155"/>
  <c r="R153" i="155"/>
  <c r="R188" i="155"/>
  <c r="R189" i="155"/>
  <c r="L207" i="155"/>
  <c r="T114" i="155"/>
  <c r="S155" i="155"/>
  <c r="S157" i="155" s="1"/>
  <c r="S191" i="155"/>
  <c r="S193" i="155" s="1"/>
  <c r="R133" i="155"/>
  <c r="S120" i="155"/>
  <c r="S195" i="155"/>
  <c r="S197" i="155" s="1"/>
  <c r="S159" i="155"/>
  <c r="S161" i="155" s="1"/>
  <c r="Q171" i="155"/>
  <c r="R203" i="155"/>
  <c r="R148" i="155"/>
  <c r="R167" i="155"/>
  <c r="R170" i="155" s="1"/>
  <c r="S105" i="155"/>
  <c r="S183" i="155"/>
  <c r="S185" i="155" s="1"/>
  <c r="S147" i="155"/>
  <c r="S149" i="155" s="1"/>
  <c r="S124" i="155"/>
  <c r="S135" i="155" s="1"/>
  <c r="S100" i="155"/>
  <c r="S179" i="155"/>
  <c r="S181" i="155" s="1"/>
  <c r="S143" i="155"/>
  <c r="S145" i="155" s="1"/>
  <c r="U42" i="155"/>
  <c r="V130" i="155"/>
  <c r="V128" i="155" s="1"/>
  <c r="T76" i="155"/>
  <c r="T112" i="155" s="1"/>
  <c r="S122" i="155"/>
  <c r="T81" i="155"/>
  <c r="T71" i="155"/>
  <c r="T109" i="155"/>
  <c r="T61" i="155"/>
  <c r="U63" i="155" s="1"/>
  <c r="T99" i="155"/>
  <c r="T98" i="155" s="1"/>
  <c r="T56" i="155"/>
  <c r="T92" i="155" s="1"/>
  <c r="T88" i="155"/>
  <c r="T87" i="155" s="1"/>
  <c r="S33" i="155"/>
  <c r="T32" i="155"/>
  <c r="T30" i="155" s="1"/>
  <c r="T48" i="155"/>
  <c r="U47" i="155"/>
  <c r="U45" i="155" s="1"/>
  <c r="U38" i="155"/>
  <c r="V37" i="155"/>
  <c r="V35" i="155" s="1"/>
  <c r="T28" i="155"/>
  <c r="U27" i="155"/>
  <c r="U25" i="155" s="1"/>
  <c r="U23" i="155"/>
  <c r="V22" i="155"/>
  <c r="V20" i="155" s="1"/>
  <c r="W174" i="155"/>
  <c r="W138" i="155"/>
  <c r="W19" i="155"/>
  <c r="W127" i="155"/>
  <c r="W55" i="155"/>
  <c r="W91" i="155"/>
  <c r="X3" i="155"/>
  <c r="R136" i="155" l="1"/>
  <c r="AC84" i="3"/>
  <c r="AC85" i="3" s="1"/>
  <c r="R172" i="155"/>
  <c r="AC319" i="3"/>
  <c r="S134" i="155"/>
  <c r="T115" i="155"/>
  <c r="T191" i="155"/>
  <c r="T193" i="155" s="1"/>
  <c r="T155" i="155"/>
  <c r="T157" i="155" s="1"/>
  <c r="S167" i="155"/>
  <c r="S168" i="155" s="1"/>
  <c r="S170" i="155" s="1"/>
  <c r="AD319" i="3" s="1"/>
  <c r="S203" i="155"/>
  <c r="S123" i="155"/>
  <c r="R171" i="155"/>
  <c r="T175" i="155"/>
  <c r="T177" i="155" s="1"/>
  <c r="T139" i="155"/>
  <c r="T141" i="155" s="1"/>
  <c r="T104" i="155"/>
  <c r="T103" i="155" s="1"/>
  <c r="T79" i="155"/>
  <c r="V131" i="155"/>
  <c r="W130" i="155"/>
  <c r="W128" i="155" s="1"/>
  <c r="X130" i="155" s="1"/>
  <c r="X128" i="155" s="1"/>
  <c r="U78" i="155"/>
  <c r="U114" i="155" s="1"/>
  <c r="U40" i="155"/>
  <c r="V42" i="155" s="1"/>
  <c r="S125" i="155"/>
  <c r="S133" i="155"/>
  <c r="U76" i="155"/>
  <c r="U79" i="155" s="1"/>
  <c r="T117" i="155"/>
  <c r="T84" i="155"/>
  <c r="U83" i="155"/>
  <c r="U61" i="155"/>
  <c r="U99" i="155"/>
  <c r="U98" i="155" s="1"/>
  <c r="U73" i="155"/>
  <c r="T107" i="155"/>
  <c r="T74" i="155"/>
  <c r="T95" i="155"/>
  <c r="T64" i="155"/>
  <c r="T97" i="155"/>
  <c r="U68" i="155"/>
  <c r="U66" i="155" s="1"/>
  <c r="T102" i="155"/>
  <c r="T69" i="155"/>
  <c r="T86" i="155"/>
  <c r="T89" i="155" s="1"/>
  <c r="T59" i="155"/>
  <c r="U58" i="155"/>
  <c r="U94" i="155" s="1"/>
  <c r="U93" i="155" s="1"/>
  <c r="T50" i="155"/>
  <c r="T53" i="155" s="1"/>
  <c r="T33" i="155"/>
  <c r="U32" i="155"/>
  <c r="U30" i="155" s="1"/>
  <c r="T52" i="155"/>
  <c r="T51" i="155" s="1"/>
  <c r="U48" i="155"/>
  <c r="V47" i="155"/>
  <c r="V45" i="155" s="1"/>
  <c r="V38" i="155"/>
  <c r="W37" i="155"/>
  <c r="W35" i="155" s="1"/>
  <c r="U28" i="155"/>
  <c r="V27" i="155"/>
  <c r="V25" i="155" s="1"/>
  <c r="V23" i="155"/>
  <c r="W22" i="155"/>
  <c r="W20" i="155" s="1"/>
  <c r="X138" i="155"/>
  <c r="X174" i="155"/>
  <c r="X19" i="155"/>
  <c r="X91" i="155"/>
  <c r="X127" i="155"/>
  <c r="X55" i="155"/>
  <c r="Y3" i="155"/>
  <c r="AD86" i="3" l="1"/>
  <c r="S136" i="155"/>
  <c r="AD84" i="3"/>
  <c r="T120" i="155"/>
  <c r="T195" i="155"/>
  <c r="T197" i="155" s="1"/>
  <c r="T159" i="155"/>
  <c r="T161" i="155" s="1"/>
  <c r="U112" i="155"/>
  <c r="T110" i="155"/>
  <c r="T187" i="155"/>
  <c r="T189" i="155" s="1"/>
  <c r="T151" i="155"/>
  <c r="T153" i="155" s="1"/>
  <c r="T124" i="155"/>
  <c r="T123" i="155" s="1"/>
  <c r="T105" i="155"/>
  <c r="T183" i="155"/>
  <c r="T185" i="155" s="1"/>
  <c r="T147" i="155"/>
  <c r="T149" i="155" s="1"/>
  <c r="T100" i="155"/>
  <c r="T179" i="155"/>
  <c r="T181" i="155" s="1"/>
  <c r="T143" i="155"/>
  <c r="T145" i="155" s="1"/>
  <c r="S171" i="155"/>
  <c r="S172" i="155"/>
  <c r="W131" i="155"/>
  <c r="U43" i="155"/>
  <c r="V40" i="155"/>
  <c r="W42" i="155" s="1"/>
  <c r="W40" i="155" s="1"/>
  <c r="X131" i="155"/>
  <c r="V78" i="155"/>
  <c r="U119" i="155"/>
  <c r="U81" i="155"/>
  <c r="T122" i="155"/>
  <c r="U97" i="155"/>
  <c r="U64" i="155"/>
  <c r="V63" i="155"/>
  <c r="U104" i="155"/>
  <c r="U103" i="155" s="1"/>
  <c r="U71" i="155"/>
  <c r="U109" i="155"/>
  <c r="U88" i="155"/>
  <c r="U87" i="155" s="1"/>
  <c r="U56" i="155"/>
  <c r="U92" i="155" s="1"/>
  <c r="U50" i="155"/>
  <c r="U53" i="155" s="1"/>
  <c r="U33" i="155"/>
  <c r="V32" i="155"/>
  <c r="V30" i="155" s="1"/>
  <c r="U52" i="155"/>
  <c r="U51" i="155" s="1"/>
  <c r="V48" i="155"/>
  <c r="W47" i="155"/>
  <c r="W45" i="155" s="1"/>
  <c r="W38" i="155"/>
  <c r="X37" i="155"/>
  <c r="X35" i="155" s="1"/>
  <c r="V28" i="155"/>
  <c r="W27" i="155"/>
  <c r="W25" i="155" s="1"/>
  <c r="X22" i="155"/>
  <c r="X20" i="155" s="1"/>
  <c r="W23" i="155"/>
  <c r="Y174" i="155"/>
  <c r="Y138" i="155"/>
  <c r="Y19" i="155"/>
  <c r="Y55" i="155"/>
  <c r="Y127" i="155"/>
  <c r="Y91" i="155"/>
  <c r="Z3" i="155"/>
  <c r="AJ373" i="3"/>
  <c r="AB174" i="3"/>
  <c r="AB176" i="3"/>
  <c r="AC170" i="3"/>
  <c r="AE410" i="3"/>
  <c r="AF410" i="3" s="1"/>
  <c r="AG410" i="3" s="1"/>
  <c r="AH410" i="3" s="1"/>
  <c r="AI410" i="3" s="1"/>
  <c r="AJ410" i="3" s="1"/>
  <c r="AK410" i="3" s="1"/>
  <c r="AL410" i="3" s="1"/>
  <c r="AD410" i="3"/>
  <c r="AD409" i="3"/>
  <c r="AE409" i="3" s="1"/>
  <c r="AF409" i="3" s="1"/>
  <c r="AG409" i="3" s="1"/>
  <c r="AH409" i="3" s="1"/>
  <c r="AI409" i="3" s="1"/>
  <c r="AJ409" i="3" s="1"/>
  <c r="AK409" i="3" s="1"/>
  <c r="AL409" i="3" s="1"/>
  <c r="AE373" i="3"/>
  <c r="AF373" i="3" s="1"/>
  <c r="AG373" i="3" s="1"/>
  <c r="AH373" i="3" s="1"/>
  <c r="AD373" i="3"/>
  <c r="AI374" i="3"/>
  <c r="AJ374" i="3" s="1"/>
  <c r="AK374" i="3" s="1"/>
  <c r="AL374" i="3" s="1"/>
  <c r="AH374" i="3"/>
  <c r="AD374" i="3"/>
  <c r="AE374" i="3" s="1"/>
  <c r="AF374" i="3" s="1"/>
  <c r="AG374" i="3" s="1"/>
  <c r="AF422" i="3"/>
  <c r="AG422" i="3" s="1"/>
  <c r="AH422" i="3" s="1"/>
  <c r="AI422" i="3" s="1"/>
  <c r="AJ422" i="3" s="1"/>
  <c r="AK422" i="3" s="1"/>
  <c r="AL422" i="3" s="1"/>
  <c r="AE422" i="3"/>
  <c r="U115" i="155" l="1"/>
  <c r="U155" i="155"/>
  <c r="U157" i="155" s="1"/>
  <c r="U191" i="155"/>
  <c r="U193" i="155" s="1"/>
  <c r="T167" i="155"/>
  <c r="T168" i="155" s="1"/>
  <c r="T170" i="155" s="1"/>
  <c r="T203" i="155"/>
  <c r="T135" i="155"/>
  <c r="T134" i="155" s="1"/>
  <c r="U100" i="155"/>
  <c r="U143" i="155"/>
  <c r="U145" i="155" s="1"/>
  <c r="U179" i="155"/>
  <c r="U181" i="155" s="1"/>
  <c r="U139" i="155"/>
  <c r="U141" i="155" s="1"/>
  <c r="U175" i="155"/>
  <c r="U177" i="155" s="1"/>
  <c r="X42" i="155"/>
  <c r="X40" i="155" s="1"/>
  <c r="W43" i="155"/>
  <c r="V43" i="155"/>
  <c r="Y130" i="155"/>
  <c r="Y128" i="155" s="1"/>
  <c r="T125" i="155"/>
  <c r="T133" i="155"/>
  <c r="V76" i="155"/>
  <c r="V114" i="155"/>
  <c r="U84" i="155"/>
  <c r="V83" i="155"/>
  <c r="U117" i="155"/>
  <c r="V61" i="155"/>
  <c r="V99" i="155"/>
  <c r="V98" i="155" s="1"/>
  <c r="U107" i="155"/>
  <c r="U74" i="155"/>
  <c r="V73" i="155"/>
  <c r="U95" i="155"/>
  <c r="U102" i="155"/>
  <c r="U69" i="155"/>
  <c r="V68" i="155"/>
  <c r="V66" i="155" s="1"/>
  <c r="U124" i="155"/>
  <c r="U86" i="155"/>
  <c r="U89" i="155" s="1"/>
  <c r="U59" i="155"/>
  <c r="V58" i="155"/>
  <c r="V94" i="155" s="1"/>
  <c r="V93" i="155" s="1"/>
  <c r="V50" i="155"/>
  <c r="V53" i="155" s="1"/>
  <c r="V33" i="155"/>
  <c r="W32" i="155"/>
  <c r="W30" i="155" s="1"/>
  <c r="V52" i="155"/>
  <c r="V51" i="155" s="1"/>
  <c r="W48" i="155"/>
  <c r="X47" i="155"/>
  <c r="X45" i="155" s="1"/>
  <c r="X38" i="155"/>
  <c r="Y37" i="155"/>
  <c r="Y35" i="155" s="1"/>
  <c r="W28" i="155"/>
  <c r="X27" i="155"/>
  <c r="X25" i="155" s="1"/>
  <c r="X23" i="155"/>
  <c r="Y22" i="155"/>
  <c r="Y20" i="155" s="1"/>
  <c r="Z174" i="155"/>
  <c r="Z138" i="155"/>
  <c r="Z19" i="155"/>
  <c r="Z91" i="155"/>
  <c r="Z55" i="155"/>
  <c r="Z127" i="155"/>
  <c r="AA3" i="155"/>
  <c r="AK373" i="3"/>
  <c r="AL373" i="3" s="1"/>
  <c r="AB516" i="3"/>
  <c r="AB513" i="3"/>
  <c r="AB507" i="3"/>
  <c r="AB493" i="3"/>
  <c r="AB494" i="3"/>
  <c r="AB495" i="3"/>
  <c r="AB482" i="3"/>
  <c r="AB477" i="3"/>
  <c r="AB479" i="3"/>
  <c r="AB470" i="3"/>
  <c r="AB472" i="3"/>
  <c r="AB420" i="3"/>
  <c r="AB421" i="3"/>
  <c r="AB422" i="3"/>
  <c r="AB412" i="3"/>
  <c r="AB394" i="3"/>
  <c r="AB396" i="3"/>
  <c r="AB386" i="3"/>
  <c r="AB388" i="3"/>
  <c r="AB380" i="3"/>
  <c r="AB382" i="3"/>
  <c r="AB372" i="3"/>
  <c r="AB361" i="3"/>
  <c r="AB348" i="3"/>
  <c r="AB350" i="3"/>
  <c r="AB96" i="3"/>
  <c r="AB334" i="3"/>
  <c r="AB325" i="3"/>
  <c r="AB305" i="3"/>
  <c r="AB275" i="3"/>
  <c r="AB274" i="3"/>
  <c r="AB270" i="3"/>
  <c r="AB264" i="3"/>
  <c r="AB265" i="3"/>
  <c r="AB251" i="3"/>
  <c r="AB244" i="3"/>
  <c r="AB209" i="3"/>
  <c r="AB196" i="3"/>
  <c r="AB215" i="3"/>
  <c r="AB216" i="3"/>
  <c r="AB214" i="3"/>
  <c r="AB211" i="3"/>
  <c r="AB185" i="3"/>
  <c r="AA170" i="3"/>
  <c r="AB170" i="3"/>
  <c r="AB100" i="3"/>
  <c r="AB103" i="3"/>
  <c r="AB102" i="3"/>
  <c r="AB101" i="3"/>
  <c r="AB109" i="3"/>
  <c r="AA110" i="3"/>
  <c r="AB98" i="3"/>
  <c r="AE86" i="3" l="1"/>
  <c r="T136" i="155"/>
  <c r="AE84" i="3"/>
  <c r="AE85" i="3" s="1"/>
  <c r="T172" i="155"/>
  <c r="AE319" i="3"/>
  <c r="U120" i="155"/>
  <c r="U159" i="155"/>
  <c r="U161" i="155" s="1"/>
  <c r="U195" i="155"/>
  <c r="U197" i="155" s="1"/>
  <c r="U110" i="155"/>
  <c r="U187" i="155"/>
  <c r="U189" i="155" s="1"/>
  <c r="U151" i="155"/>
  <c r="U153" i="155" s="1"/>
  <c r="U105" i="155"/>
  <c r="U183" i="155"/>
  <c r="U185" i="155" s="1"/>
  <c r="U147" i="155"/>
  <c r="U149" i="155" s="1"/>
  <c r="T171" i="155"/>
  <c r="Y42" i="155"/>
  <c r="Y40" i="155" s="1"/>
  <c r="X43" i="155"/>
  <c r="U123" i="155"/>
  <c r="U135" i="155"/>
  <c r="U134" i="155" s="1"/>
  <c r="AF86" i="3" s="1"/>
  <c r="V112" i="155"/>
  <c r="V79" i="155"/>
  <c r="W78" i="155"/>
  <c r="V119" i="155"/>
  <c r="V81" i="155"/>
  <c r="V104" i="155"/>
  <c r="V103" i="155" s="1"/>
  <c r="U122" i="155"/>
  <c r="V71" i="155"/>
  <c r="V109" i="155"/>
  <c r="V97" i="155"/>
  <c r="W63" i="155"/>
  <c r="V64" i="155"/>
  <c r="V88" i="155"/>
  <c r="V87" i="155" s="1"/>
  <c r="V56" i="155"/>
  <c r="V92" i="155" s="1"/>
  <c r="W50" i="155"/>
  <c r="W53" i="155" s="1"/>
  <c r="W33" i="155"/>
  <c r="X32" i="155"/>
  <c r="X30" i="155" s="1"/>
  <c r="W52" i="155"/>
  <c r="W51" i="155" s="1"/>
  <c r="X48" i="155"/>
  <c r="Y47" i="155"/>
  <c r="Y45" i="155" s="1"/>
  <c r="Y38" i="155"/>
  <c r="Z37" i="155"/>
  <c r="Z35" i="155" s="1"/>
  <c r="X28" i="155"/>
  <c r="Y27" i="155"/>
  <c r="Y25" i="155" s="1"/>
  <c r="Y23" i="155"/>
  <c r="Z22" i="155"/>
  <c r="Z20" i="155" s="1"/>
  <c r="AA174" i="155"/>
  <c r="AA138" i="155"/>
  <c r="AA19" i="155"/>
  <c r="AA127" i="155"/>
  <c r="AA55" i="155"/>
  <c r="AA91" i="155"/>
  <c r="AB509" i="3"/>
  <c r="AB363" i="3"/>
  <c r="AB327" i="3"/>
  <c r="U203" i="155" l="1"/>
  <c r="V115" i="155"/>
  <c r="V155" i="155"/>
  <c r="V157" i="155" s="1"/>
  <c r="V191" i="155"/>
  <c r="V193" i="155" s="1"/>
  <c r="U167" i="155"/>
  <c r="U168" i="155" s="1"/>
  <c r="V100" i="155"/>
  <c r="V179" i="155"/>
  <c r="V181" i="155" s="1"/>
  <c r="V143" i="155"/>
  <c r="V145" i="155" s="1"/>
  <c r="V139" i="155"/>
  <c r="V141" i="155" s="1"/>
  <c r="V175" i="155"/>
  <c r="V177" i="155" s="1"/>
  <c r="Y43" i="155"/>
  <c r="Z42" i="155"/>
  <c r="Z40" i="155" s="1"/>
  <c r="Z130" i="155"/>
  <c r="Z128" i="155" s="1"/>
  <c r="Y131" i="155"/>
  <c r="U125" i="155"/>
  <c r="U133" i="155"/>
  <c r="W114" i="155"/>
  <c r="W76" i="155"/>
  <c r="V84" i="155"/>
  <c r="W83" i="155"/>
  <c r="V117" i="155"/>
  <c r="V107" i="155"/>
  <c r="V74" i="155"/>
  <c r="W73" i="155"/>
  <c r="V95" i="155"/>
  <c r="W61" i="155"/>
  <c r="W99" i="155"/>
  <c r="W98" i="155" s="1"/>
  <c r="V124" i="155"/>
  <c r="V102" i="155"/>
  <c r="V69" i="155"/>
  <c r="W68" i="155"/>
  <c r="W66" i="155" s="1"/>
  <c r="V86" i="155"/>
  <c r="V89" i="155" s="1"/>
  <c r="V59" i="155"/>
  <c r="W58" i="155"/>
  <c r="W94" i="155" s="1"/>
  <c r="W93" i="155" s="1"/>
  <c r="X50" i="155"/>
  <c r="X53" i="155" s="1"/>
  <c r="X33" i="155"/>
  <c r="Y32" i="155"/>
  <c r="Y30" i="155" s="1"/>
  <c r="X52" i="155"/>
  <c r="X51" i="155" s="1"/>
  <c r="Y48" i="155"/>
  <c r="Z47" i="155"/>
  <c r="Z45" i="155" s="1"/>
  <c r="Z38" i="155"/>
  <c r="AA37" i="155"/>
  <c r="AA35" i="155" s="1"/>
  <c r="AA38" i="155" s="1"/>
  <c r="Y28" i="155"/>
  <c r="Z27" i="155"/>
  <c r="Z25" i="155" s="1"/>
  <c r="Z23" i="155"/>
  <c r="AA22" i="155"/>
  <c r="U136" i="155" l="1"/>
  <c r="AF84" i="3"/>
  <c r="V120" i="155"/>
  <c r="V159" i="155"/>
  <c r="V161" i="155" s="1"/>
  <c r="V195" i="155"/>
  <c r="V197" i="155" s="1"/>
  <c r="U170" i="155"/>
  <c r="V110" i="155"/>
  <c r="V187" i="155"/>
  <c r="V189" i="155" s="1"/>
  <c r="V151" i="155"/>
  <c r="V153" i="155" s="1"/>
  <c r="V105" i="155"/>
  <c r="V147" i="155"/>
  <c r="V149" i="155" s="1"/>
  <c r="V183" i="155"/>
  <c r="V185" i="155" s="1"/>
  <c r="AA20" i="155"/>
  <c r="AA23" i="155" s="1"/>
  <c r="Z43" i="155"/>
  <c r="AA42" i="155"/>
  <c r="V123" i="155"/>
  <c r="V135" i="155"/>
  <c r="V134" i="155" s="1"/>
  <c r="AG86" i="3" s="1"/>
  <c r="W112" i="155"/>
  <c r="W79" i="155"/>
  <c r="X78" i="155"/>
  <c r="W119" i="155"/>
  <c r="W81" i="155"/>
  <c r="V122" i="155"/>
  <c r="W71" i="155"/>
  <c r="W109" i="155"/>
  <c r="W104" i="155"/>
  <c r="W103" i="155" s="1"/>
  <c r="W97" i="155"/>
  <c r="W64" i="155"/>
  <c r="X63" i="155"/>
  <c r="W56" i="155"/>
  <c r="W92" i="155" s="1"/>
  <c r="W88" i="155"/>
  <c r="W87" i="155" s="1"/>
  <c r="Y50" i="155"/>
  <c r="Y53" i="155" s="1"/>
  <c r="Y33" i="155"/>
  <c r="Z32" i="155"/>
  <c r="Z30" i="155" s="1"/>
  <c r="Y52" i="155"/>
  <c r="Y51" i="155" s="1"/>
  <c r="Z48" i="155"/>
  <c r="AA47" i="155"/>
  <c r="AA45" i="155" s="1"/>
  <c r="AA48" i="155" s="1"/>
  <c r="Z28" i="155"/>
  <c r="AA27" i="155"/>
  <c r="AA25" i="155" s="1"/>
  <c r="AA28" i="155" s="1"/>
  <c r="U171" i="155" l="1"/>
  <c r="AF319" i="3"/>
  <c r="U172" i="155"/>
  <c r="V203" i="155"/>
  <c r="W115" i="155"/>
  <c r="W155" i="155"/>
  <c r="W157" i="155" s="1"/>
  <c r="W191" i="155"/>
  <c r="W193" i="155" s="1"/>
  <c r="V167" i="155"/>
  <c r="V168" i="155" s="1"/>
  <c r="W100" i="155"/>
  <c r="W143" i="155"/>
  <c r="W145" i="155" s="1"/>
  <c r="W179" i="155"/>
  <c r="W181" i="155" s="1"/>
  <c r="W139" i="155"/>
  <c r="W141" i="155" s="1"/>
  <c r="W175" i="155"/>
  <c r="W177" i="155" s="1"/>
  <c r="AA40" i="155"/>
  <c r="AA43" i="155" s="1"/>
  <c r="Z131" i="155"/>
  <c r="AA130" i="155"/>
  <c r="AA128" i="155" s="1"/>
  <c r="V125" i="155"/>
  <c r="V133" i="155"/>
  <c r="X114" i="155"/>
  <c r="X76" i="155"/>
  <c r="W117" i="155"/>
  <c r="W84" i="155"/>
  <c r="X83" i="155"/>
  <c r="X61" i="155"/>
  <c r="X99" i="155"/>
  <c r="X98" i="155" s="1"/>
  <c r="W107" i="155"/>
  <c r="W74" i="155"/>
  <c r="X73" i="155"/>
  <c r="W102" i="155"/>
  <c r="W69" i="155"/>
  <c r="X68" i="155"/>
  <c r="X66" i="155" s="1"/>
  <c r="W124" i="155"/>
  <c r="W95" i="155"/>
  <c r="W59" i="155"/>
  <c r="X58" i="155"/>
  <c r="X94" i="155" s="1"/>
  <c r="X93" i="155" s="1"/>
  <c r="W86" i="155"/>
  <c r="W89" i="155" s="1"/>
  <c r="Z50" i="155"/>
  <c r="Z53" i="155" s="1"/>
  <c r="Z33" i="155"/>
  <c r="AA32" i="155"/>
  <c r="AA30" i="155" s="1"/>
  <c r="Z52" i="155"/>
  <c r="Z51" i="155" s="1"/>
  <c r="V136" i="155" l="1"/>
  <c r="AG84" i="3"/>
  <c r="W120" i="155"/>
  <c r="W159" i="155"/>
  <c r="W161" i="155" s="1"/>
  <c r="W195" i="155"/>
  <c r="W197" i="155" s="1"/>
  <c r="V170" i="155"/>
  <c r="V171" i="155" s="1"/>
  <c r="W110" i="155"/>
  <c r="W187" i="155"/>
  <c r="W189" i="155" s="1"/>
  <c r="W151" i="155"/>
  <c r="W153" i="155" s="1"/>
  <c r="W105" i="155"/>
  <c r="W147" i="155"/>
  <c r="W149" i="155" s="1"/>
  <c r="W183" i="155"/>
  <c r="W185" i="155" s="1"/>
  <c r="W123" i="155"/>
  <c r="W135" i="155"/>
  <c r="W134" i="155" s="1"/>
  <c r="AH86" i="3" s="1"/>
  <c r="AA131" i="155"/>
  <c r="X112" i="155"/>
  <c r="X79" i="155"/>
  <c r="Y78" i="155"/>
  <c r="X119" i="155"/>
  <c r="X81" i="155"/>
  <c r="X104" i="155"/>
  <c r="X103" i="155" s="1"/>
  <c r="W122" i="155"/>
  <c r="X71" i="155"/>
  <c r="X109" i="155"/>
  <c r="X97" i="155"/>
  <c r="X64" i="155"/>
  <c r="Y63" i="155"/>
  <c r="X56" i="155"/>
  <c r="X92" i="155" s="1"/>
  <c r="X88" i="155"/>
  <c r="X87" i="155" s="1"/>
  <c r="AA33" i="155"/>
  <c r="AA50" i="155"/>
  <c r="AA53" i="155" s="1"/>
  <c r="AA52" i="155"/>
  <c r="AA51" i="155" s="1"/>
  <c r="V172" i="155" l="1"/>
  <c r="AG319" i="3"/>
  <c r="W167" i="155"/>
  <c r="W168" i="155" s="1"/>
  <c r="W170" i="155" s="1"/>
  <c r="X115" i="155"/>
  <c r="X155" i="155"/>
  <c r="X157" i="155" s="1"/>
  <c r="X191" i="155"/>
  <c r="X193" i="155" s="1"/>
  <c r="W203" i="155"/>
  <c r="X100" i="155"/>
  <c r="X143" i="155"/>
  <c r="X145" i="155" s="1"/>
  <c r="X179" i="155"/>
  <c r="X181" i="155" s="1"/>
  <c r="X139" i="155"/>
  <c r="X141" i="155" s="1"/>
  <c r="X175" i="155"/>
  <c r="X177" i="155" s="1"/>
  <c r="W125" i="155"/>
  <c r="W133" i="155"/>
  <c r="Y76" i="155"/>
  <c r="Y114" i="155"/>
  <c r="X117" i="155"/>
  <c r="X84" i="155"/>
  <c r="Y83" i="155"/>
  <c r="Y61" i="155"/>
  <c r="Y99" i="155"/>
  <c r="Y98" i="155" s="1"/>
  <c r="X107" i="155"/>
  <c r="X74" i="155"/>
  <c r="Y73" i="155"/>
  <c r="X95" i="155"/>
  <c r="X124" i="155"/>
  <c r="X102" i="155"/>
  <c r="Y68" i="155"/>
  <c r="Y66" i="155" s="1"/>
  <c r="X69" i="155"/>
  <c r="X86" i="155"/>
  <c r="X89" i="155" s="1"/>
  <c r="X59" i="155"/>
  <c r="Y58" i="155"/>
  <c r="Y94" i="155" s="1"/>
  <c r="Y93" i="155" s="1"/>
  <c r="W136" i="155" l="1"/>
  <c r="AH84" i="3"/>
  <c r="W172" i="155"/>
  <c r="AH319" i="3"/>
  <c r="X120" i="155"/>
  <c r="X159" i="155"/>
  <c r="X161" i="155" s="1"/>
  <c r="X195" i="155"/>
  <c r="X197" i="155" s="1"/>
  <c r="X110" i="155"/>
  <c r="X151" i="155"/>
  <c r="X153" i="155" s="1"/>
  <c r="X187" i="155"/>
  <c r="X189" i="155" s="1"/>
  <c r="X105" i="155"/>
  <c r="X147" i="155"/>
  <c r="X149" i="155" s="1"/>
  <c r="X183" i="155"/>
  <c r="X185" i="155" s="1"/>
  <c r="W171" i="155"/>
  <c r="X123" i="155"/>
  <c r="X135" i="155"/>
  <c r="X134" i="155" s="1"/>
  <c r="AI86" i="3" s="1"/>
  <c r="Y112" i="155"/>
  <c r="Y79" i="155"/>
  <c r="Z78" i="155"/>
  <c r="Y119" i="155"/>
  <c r="Y81" i="155"/>
  <c r="Y104" i="155"/>
  <c r="Y103" i="155" s="1"/>
  <c r="X122" i="155"/>
  <c r="Y71" i="155"/>
  <c r="Y109" i="155"/>
  <c r="Y97" i="155"/>
  <c r="Y64" i="155"/>
  <c r="Z63" i="155"/>
  <c r="Y88" i="155"/>
  <c r="Y87" i="155" s="1"/>
  <c r="Y56" i="155"/>
  <c r="Y92" i="155" s="1"/>
  <c r="X167" i="155" l="1"/>
  <c r="X168" i="155" s="1"/>
  <c r="Y115" i="155"/>
  <c r="Y155" i="155"/>
  <c r="Y157" i="155" s="1"/>
  <c r="Y191" i="155"/>
  <c r="Y193" i="155" s="1"/>
  <c r="X203" i="155"/>
  <c r="Y100" i="155"/>
  <c r="Y143" i="155"/>
  <c r="Y145" i="155" s="1"/>
  <c r="Y179" i="155"/>
  <c r="Y181" i="155" s="1"/>
  <c r="Y139" i="155"/>
  <c r="Y141" i="155" s="1"/>
  <c r="Y175" i="155"/>
  <c r="Y177" i="155" s="1"/>
  <c r="X125" i="155"/>
  <c r="X133" i="155"/>
  <c r="Z76" i="155"/>
  <c r="Z114" i="155"/>
  <c r="Y84" i="155"/>
  <c r="Z83" i="155"/>
  <c r="Y117" i="155"/>
  <c r="Z61" i="155"/>
  <c r="Z99" i="155"/>
  <c r="Z98" i="155" s="1"/>
  <c r="Y95" i="155"/>
  <c r="Y102" i="155"/>
  <c r="Y69" i="155"/>
  <c r="Z68" i="155"/>
  <c r="Z66" i="155" s="1"/>
  <c r="Y107" i="155"/>
  <c r="Y74" i="155"/>
  <c r="Z73" i="155"/>
  <c r="Y124" i="155"/>
  <c r="Y86" i="155"/>
  <c r="Y89" i="155" s="1"/>
  <c r="Y59" i="155"/>
  <c r="Z58" i="155"/>
  <c r="Z94" i="155" s="1"/>
  <c r="Z93" i="155" s="1"/>
  <c r="X136" i="155" l="1"/>
  <c r="AI84" i="3"/>
  <c r="X170" i="155"/>
  <c r="Y120" i="155"/>
  <c r="Y159" i="155"/>
  <c r="Y161" i="155" s="1"/>
  <c r="Y195" i="155"/>
  <c r="Y197" i="155" s="1"/>
  <c r="Y110" i="155"/>
  <c r="Y151" i="155"/>
  <c r="Y153" i="155" s="1"/>
  <c r="Y187" i="155"/>
  <c r="Y189" i="155" s="1"/>
  <c r="Y105" i="155"/>
  <c r="Y147" i="155"/>
  <c r="Y149" i="155" s="1"/>
  <c r="Y183" i="155"/>
  <c r="Y185" i="155" s="1"/>
  <c r="Y123" i="155"/>
  <c r="Y135" i="155"/>
  <c r="Y134" i="155" s="1"/>
  <c r="AJ86" i="3" s="1"/>
  <c r="Z79" i="155"/>
  <c r="AA78" i="155"/>
  <c r="Z112" i="155"/>
  <c r="Z119" i="155"/>
  <c r="Z81" i="155"/>
  <c r="Z104" i="155"/>
  <c r="Z103" i="155" s="1"/>
  <c r="Z71" i="155"/>
  <c r="Z109" i="155"/>
  <c r="Y122" i="155"/>
  <c r="Z97" i="155"/>
  <c r="Z64" i="155"/>
  <c r="AA63" i="155"/>
  <c r="Z88" i="155"/>
  <c r="Z87" i="155" s="1"/>
  <c r="Z56" i="155"/>
  <c r="Z92" i="155" s="1"/>
  <c r="X172" i="155" l="1"/>
  <c r="AI319" i="3"/>
  <c r="Y167" i="155"/>
  <c r="Y168" i="155" s="1"/>
  <c r="X171" i="155"/>
  <c r="Z115" i="155"/>
  <c r="Z155" i="155"/>
  <c r="Z157" i="155" s="1"/>
  <c r="Z191" i="155"/>
  <c r="Z193" i="155" s="1"/>
  <c r="Y203" i="155"/>
  <c r="Z100" i="155"/>
  <c r="Z143" i="155"/>
  <c r="Z145" i="155" s="1"/>
  <c r="Z179" i="155"/>
  <c r="Z181" i="155" s="1"/>
  <c r="Z139" i="155"/>
  <c r="Z141" i="155" s="1"/>
  <c r="Z175" i="155"/>
  <c r="Z177" i="155" s="1"/>
  <c r="Y125" i="155"/>
  <c r="Y133" i="155"/>
  <c r="AA76" i="155"/>
  <c r="AA114" i="155"/>
  <c r="Z84" i="155"/>
  <c r="AA83" i="155"/>
  <c r="Z117" i="155"/>
  <c r="Z124" i="155"/>
  <c r="Z135" i="155" s="1"/>
  <c r="Z102" i="155"/>
  <c r="Z69" i="155"/>
  <c r="AA68" i="155"/>
  <c r="AA66" i="155" s="1"/>
  <c r="Z107" i="155"/>
  <c r="Z74" i="155"/>
  <c r="AA73" i="155"/>
  <c r="Z95" i="155"/>
  <c r="AA61" i="155"/>
  <c r="AA99" i="155"/>
  <c r="AA98" i="155" s="1"/>
  <c r="Z86" i="155"/>
  <c r="Z89" i="155" s="1"/>
  <c r="Z59" i="155"/>
  <c r="AA58" i="155"/>
  <c r="AA94" i="155" s="1"/>
  <c r="AA93" i="155" s="1"/>
  <c r="AF381" i="3"/>
  <c r="AG381" i="3" s="1"/>
  <c r="AH381" i="3" s="1"/>
  <c r="AI381" i="3" s="1"/>
  <c r="AJ381" i="3" s="1"/>
  <c r="AK381" i="3" s="1"/>
  <c r="AL381" i="3" s="1"/>
  <c r="AD306" i="3"/>
  <c r="AE306" i="3" s="1"/>
  <c r="AF306" i="3" s="1"/>
  <c r="AG306" i="3" s="1"/>
  <c r="AH306" i="3" s="1"/>
  <c r="AI306" i="3" s="1"/>
  <c r="AJ306" i="3" s="1"/>
  <c r="AK306" i="3" s="1"/>
  <c r="AL306" i="3" s="1"/>
  <c r="Y136" i="155" l="1"/>
  <c r="AJ84" i="3"/>
  <c r="Y170" i="155"/>
  <c r="Z120" i="155"/>
  <c r="Z159" i="155"/>
  <c r="Z161" i="155" s="1"/>
  <c r="Z195" i="155"/>
  <c r="Z197" i="155" s="1"/>
  <c r="Z110" i="155"/>
  <c r="Z151" i="155"/>
  <c r="Z153" i="155" s="1"/>
  <c r="Z187" i="155"/>
  <c r="Z189" i="155" s="1"/>
  <c r="Z105" i="155"/>
  <c r="Z147" i="155"/>
  <c r="Z149" i="155" s="1"/>
  <c r="Z183" i="155"/>
  <c r="Z185" i="155" s="1"/>
  <c r="Z134" i="155"/>
  <c r="AK86" i="3" s="1"/>
  <c r="Z123" i="155"/>
  <c r="AA79" i="155"/>
  <c r="AA112" i="155"/>
  <c r="AA119" i="155"/>
  <c r="AA81" i="155"/>
  <c r="Z122" i="155"/>
  <c r="AA104" i="155"/>
  <c r="AA103" i="155" s="1"/>
  <c r="AA64" i="155"/>
  <c r="AA97" i="155"/>
  <c r="AA71" i="155"/>
  <c r="AA109" i="155"/>
  <c r="AA56" i="155"/>
  <c r="AA92" i="155" s="1"/>
  <c r="AA88" i="155"/>
  <c r="AA87" i="155" s="1"/>
  <c r="Y172" i="155" l="1"/>
  <c r="AJ319" i="3"/>
  <c r="Y171" i="155"/>
  <c r="Z167" i="155"/>
  <c r="Z168" i="155" s="1"/>
  <c r="AA115" i="155"/>
  <c r="AA155" i="155"/>
  <c r="AA157" i="155" s="1"/>
  <c r="AA191" i="155"/>
  <c r="AA193" i="155" s="1"/>
  <c r="Z203" i="155"/>
  <c r="AA100" i="155"/>
  <c r="AA143" i="155"/>
  <c r="AA145" i="155" s="1"/>
  <c r="AA179" i="155"/>
  <c r="AA181" i="155" s="1"/>
  <c r="AA139" i="155"/>
  <c r="AA141" i="155" s="1"/>
  <c r="AA175" i="155"/>
  <c r="AA177" i="155" s="1"/>
  <c r="Z125" i="155"/>
  <c r="Z133" i="155"/>
  <c r="AA117" i="155"/>
  <c r="AA84" i="155"/>
  <c r="AA124" i="155"/>
  <c r="AA74" i="155"/>
  <c r="AA107" i="155"/>
  <c r="AA95" i="155"/>
  <c r="AA69" i="155"/>
  <c r="AA102" i="155"/>
  <c r="AA86" i="155"/>
  <c r="AA89" i="155" s="1"/>
  <c r="AA59" i="155"/>
  <c r="Z136" i="155" l="1"/>
  <c r="AK84" i="3"/>
  <c r="Z170" i="155"/>
  <c r="AA120" i="155"/>
  <c r="AA159" i="155"/>
  <c r="AA161" i="155" s="1"/>
  <c r="AA195" i="155"/>
  <c r="AA197" i="155" s="1"/>
  <c r="AA110" i="155"/>
  <c r="AA151" i="155"/>
  <c r="AA153" i="155" s="1"/>
  <c r="AA187" i="155"/>
  <c r="AA189" i="155" s="1"/>
  <c r="AA105" i="155"/>
  <c r="AA147" i="155"/>
  <c r="AA149" i="155" s="1"/>
  <c r="AA183" i="155"/>
  <c r="AA185" i="155" s="1"/>
  <c r="AA123" i="155"/>
  <c r="AA135" i="155"/>
  <c r="AA134" i="155" s="1"/>
  <c r="AL86" i="3" s="1"/>
  <c r="AA122" i="155"/>
  <c r="Z172" i="155" l="1"/>
  <c r="AK319" i="3"/>
  <c r="Z171" i="155"/>
  <c r="AA203" i="155"/>
  <c r="AA167" i="155"/>
  <c r="AA168" i="155" s="1"/>
  <c r="AA170" i="155" s="1"/>
  <c r="AA125" i="155"/>
  <c r="AA133" i="155"/>
  <c r="AL84" i="3" s="1"/>
  <c r="AA172" i="155" l="1"/>
  <c r="AL319" i="3"/>
  <c r="AA136" i="155"/>
  <c r="AA171" i="155"/>
  <c r="AA334" i="3" l="1"/>
  <c r="AA99" i="3"/>
  <c r="AA98" i="3"/>
  <c r="AA100" i="3"/>
  <c r="AA103" i="3"/>
  <c r="AA101" i="3"/>
  <c r="AD144" i="3" l="1"/>
  <c r="AL14" i="10" l="1"/>
  <c r="AK14" i="10"/>
  <c r="AJ14" i="10"/>
  <c r="AI14" i="10"/>
  <c r="AL537" i="3"/>
  <c r="AL216" i="3"/>
  <c r="AL571" i="3" s="1"/>
  <c r="AK537" i="3"/>
  <c r="AK216" i="3"/>
  <c r="AK571" i="3" s="1"/>
  <c r="AJ537" i="3"/>
  <c r="AJ216" i="3"/>
  <c r="AJ571" i="3" s="1"/>
  <c r="AI537" i="3"/>
  <c r="AI216" i="3"/>
  <c r="AI571" i="3" l="1"/>
  <c r="AA42" i="3" l="1"/>
  <c r="AA516" i="3" l="1"/>
  <c r="AD387" i="3"/>
  <c r="AE387" i="3" s="1"/>
  <c r="AF387" i="3" s="1"/>
  <c r="AG387" i="3" s="1"/>
  <c r="AH387" i="3" s="1"/>
  <c r="AI387" i="3" s="1"/>
  <c r="AJ387" i="3" s="1"/>
  <c r="AK387" i="3" s="1"/>
  <c r="AL387" i="3" s="1"/>
  <c r="AA495" i="3"/>
  <c r="AA482" i="3"/>
  <c r="AA477" i="3"/>
  <c r="AA470" i="3"/>
  <c r="Z434" i="3"/>
  <c r="AA434" i="3"/>
  <c r="AA507" i="3"/>
  <c r="AA445" i="3" s="1"/>
  <c r="AA421" i="3"/>
  <c r="AA420" i="3"/>
  <c r="AA386" i="3"/>
  <c r="AA380" i="3"/>
  <c r="AA372" i="3"/>
  <c r="AA361" i="3"/>
  <c r="AA335" i="3"/>
  <c r="AA305" i="3"/>
  <c r="AA303" i="3"/>
  <c r="AA325" i="3"/>
  <c r="AC169" i="3"/>
  <c r="AA175" i="3"/>
  <c r="Z171" i="3"/>
  <c r="Z175" i="3"/>
  <c r="Z174" i="3" s="1"/>
  <c r="AA394" i="3"/>
  <c r="AA275" i="3"/>
  <c r="AA274" i="3"/>
  <c r="AA270" i="3"/>
  <c r="AA265" i="3"/>
  <c r="AA251" i="3"/>
  <c r="AA244" i="3"/>
  <c r="AA217" i="3"/>
  <c r="AA214" i="3"/>
  <c r="AA208" i="3"/>
  <c r="AA446" i="3"/>
  <c r="AA211" i="3" l="1"/>
  <c r="AA503" i="3"/>
  <c r="AA430" i="3" s="1"/>
  <c r="AA348" i="3"/>
  <c r="AD478" i="3" l="1"/>
  <c r="AE478" i="3" s="1"/>
  <c r="AF478" i="3" s="1"/>
  <c r="AG478" i="3" s="1"/>
  <c r="Z214" i="3"/>
  <c r="Z209" i="3"/>
  <c r="Z196" i="3"/>
  <c r="Z14" i="10" s="1"/>
  <c r="Z204" i="3"/>
  <c r="Z195" i="3"/>
  <c r="Z10" i="10" s="1"/>
  <c r="Y195" i="3"/>
  <c r="Z185" i="3"/>
  <c r="Z270" i="3"/>
  <c r="Z516" i="3"/>
  <c r="Z495" i="3"/>
  <c r="Z482" i="3"/>
  <c r="Z477" i="3"/>
  <c r="Z470" i="3"/>
  <c r="Z305" i="3"/>
  <c r="Y305" i="3"/>
  <c r="Z303" i="3"/>
  <c r="Z317" i="3"/>
  <c r="Z325" i="3"/>
  <c r="Z335" i="3"/>
  <c r="Z334" i="3" s="1"/>
  <c r="Z361" i="3"/>
  <c r="Z372" i="3"/>
  <c r="Z380" i="3"/>
  <c r="Z386" i="3"/>
  <c r="Z412" i="3"/>
  <c r="Z425" i="3"/>
  <c r="Z421" i="3"/>
  <c r="AA422" i="3" s="1"/>
  <c r="Z420" i="3"/>
  <c r="Y446" i="3"/>
  <c r="Y110" i="3" s="1"/>
  <c r="Z103" i="3"/>
  <c r="Z275" i="3"/>
  <c r="Z274" i="3"/>
  <c r="Z265" i="3"/>
  <c r="Z251" i="3"/>
  <c r="Z244" i="3"/>
  <c r="Z98" i="3"/>
  <c r="AH14" i="10"/>
  <c r="AG14" i="10"/>
  <c r="AF14" i="10"/>
  <c r="AF216" i="3"/>
  <c r="AG216" i="3"/>
  <c r="AH216" i="3"/>
  <c r="AH571" i="3" s="1"/>
  <c r="AF537" i="3"/>
  <c r="AG537" i="3"/>
  <c r="AH537" i="3"/>
  <c r="AA355" i="3"/>
  <c r="Y138" i="3"/>
  <c r="AB355" i="3"/>
  <c r="AD352" i="3"/>
  <c r="AE352" i="3" s="1"/>
  <c r="AF352" i="3" s="1"/>
  <c r="AG352" i="3" s="1"/>
  <c r="AH352" i="3" s="1"/>
  <c r="AI352" i="3" s="1"/>
  <c r="Y495" i="3"/>
  <c r="Y482" i="3"/>
  <c r="Y477" i="3"/>
  <c r="Y470" i="3"/>
  <c r="Y421" i="3"/>
  <c r="Y420" i="3"/>
  <c r="Y516" i="3"/>
  <c r="Y386" i="3"/>
  <c r="Y380" i="3"/>
  <c r="Y372" i="3"/>
  <c r="Y361" i="3"/>
  <c r="Z363" i="3" s="1"/>
  <c r="Y335" i="3"/>
  <c r="Y334" i="3" s="1"/>
  <c r="X335" i="3"/>
  <c r="X334" i="3" s="1"/>
  <c r="W335" i="3"/>
  <c r="W334" i="3" s="1"/>
  <c r="Y325" i="3"/>
  <c r="Y317" i="3"/>
  <c r="X305" i="3"/>
  <c r="Y303" i="3"/>
  <c r="Y274" i="3"/>
  <c r="Y275" i="3"/>
  <c r="Y270" i="3"/>
  <c r="Y265" i="3"/>
  <c r="Y251" i="3"/>
  <c r="Y244" i="3"/>
  <c r="Y22" i="9" s="1"/>
  <c r="X215" i="3"/>
  <c r="Y215" i="3"/>
  <c r="Y214" i="3"/>
  <c r="Y204" i="3"/>
  <c r="X204" i="3"/>
  <c r="X209" i="3"/>
  <c r="Y209" i="3"/>
  <c r="X185" i="3"/>
  <c r="X196" i="3"/>
  <c r="Y196" i="3"/>
  <c r="Y185" i="3"/>
  <c r="Y129" i="3"/>
  <c r="X129" i="3"/>
  <c r="Y171" i="3"/>
  <c r="Y43" i="3" s="1"/>
  <c r="Y174" i="3"/>
  <c r="Y216" i="3" s="1"/>
  <c r="Y103" i="3"/>
  <c r="Y394" i="3" s="1"/>
  <c r="X103" i="3"/>
  <c r="Y98" i="3"/>
  <c r="X98" i="3"/>
  <c r="V544" i="3"/>
  <c r="U544" i="3"/>
  <c r="T544" i="3"/>
  <c r="V542" i="3"/>
  <c r="S542" i="3"/>
  <c r="R542" i="3"/>
  <c r="Q542" i="3"/>
  <c r="P542" i="3"/>
  <c r="O542" i="3"/>
  <c r="N542" i="3"/>
  <c r="M542" i="3"/>
  <c r="L542" i="3"/>
  <c r="K542" i="3"/>
  <c r="J542" i="3"/>
  <c r="X544" i="3"/>
  <c r="W544" i="3"/>
  <c r="AD354" i="3"/>
  <c r="AE354" i="3" s="1"/>
  <c r="X516" i="3"/>
  <c r="W516" i="3"/>
  <c r="V516" i="3"/>
  <c r="U516" i="3"/>
  <c r="T516" i="3"/>
  <c r="S516" i="3"/>
  <c r="R516" i="3"/>
  <c r="Q516" i="3"/>
  <c r="V571" i="3"/>
  <c r="U571" i="3"/>
  <c r="T571" i="3"/>
  <c r="S571" i="3"/>
  <c r="R571" i="3"/>
  <c r="Q571" i="3"/>
  <c r="S570" i="3"/>
  <c r="P572" i="3"/>
  <c r="M571" i="3"/>
  <c r="L571" i="3"/>
  <c r="K571" i="3"/>
  <c r="Q569" i="3"/>
  <c r="Q567" i="3"/>
  <c r="P560" i="3"/>
  <c r="P559" i="3" s="1"/>
  <c r="O560" i="3"/>
  <c r="O559" i="3" s="1"/>
  <c r="N560" i="3"/>
  <c r="N559" i="3" s="1"/>
  <c r="M560" i="3"/>
  <c r="M559" i="3"/>
  <c r="L560" i="3"/>
  <c r="L559" i="3" s="1"/>
  <c r="R559" i="3"/>
  <c r="R560" i="3" s="1"/>
  <c r="S560" i="3" s="1"/>
  <c r="Q559" i="3"/>
  <c r="Q560" i="3" s="1"/>
  <c r="K559" i="3"/>
  <c r="J559" i="3"/>
  <c r="R555" i="3"/>
  <c r="R556" i="3" s="1"/>
  <c r="S556" i="3" s="1"/>
  <c r="S555" i="3" s="1"/>
  <c r="Q555" i="3"/>
  <c r="Q556" i="3" s="1"/>
  <c r="P555" i="3"/>
  <c r="P556" i="3" s="1"/>
  <c r="O555" i="3"/>
  <c r="O556" i="3" s="1"/>
  <c r="N555" i="3"/>
  <c r="N556" i="3" s="1"/>
  <c r="M555" i="3"/>
  <c r="M556" i="3" s="1"/>
  <c r="L555" i="3"/>
  <c r="L556" i="3" s="1"/>
  <c r="K555" i="3"/>
  <c r="K556" i="3" s="1"/>
  <c r="J555" i="3"/>
  <c r="J556" i="3" s="1"/>
  <c r="R551" i="3"/>
  <c r="R552" i="3" s="1"/>
  <c r="S552" i="3" s="1"/>
  <c r="Q551" i="3"/>
  <c r="Q552" i="3" s="1"/>
  <c r="P551" i="3"/>
  <c r="P552" i="3" s="1"/>
  <c r="O551" i="3"/>
  <c r="O552" i="3" s="1"/>
  <c r="N551" i="3"/>
  <c r="N552" i="3" s="1"/>
  <c r="M551" i="3"/>
  <c r="M552" i="3" s="1"/>
  <c r="L551" i="3"/>
  <c r="L552" i="3" s="1"/>
  <c r="K551" i="3"/>
  <c r="K552" i="3" s="1"/>
  <c r="J551" i="3"/>
  <c r="J552" i="3" s="1"/>
  <c r="R548" i="3"/>
  <c r="S548" i="3" s="1"/>
  <c r="T548" i="3" s="1"/>
  <c r="U548" i="3" s="1"/>
  <c r="Q548" i="3"/>
  <c r="Q547" i="3" s="1"/>
  <c r="P548" i="3"/>
  <c r="P547" i="3" s="1"/>
  <c r="O548" i="3"/>
  <c r="O547" i="3" s="1"/>
  <c r="N548" i="3"/>
  <c r="N547" i="3" s="1"/>
  <c r="M548" i="3"/>
  <c r="M547" i="3" s="1"/>
  <c r="L548" i="3"/>
  <c r="L547" i="3" s="1"/>
  <c r="K548" i="3"/>
  <c r="K547" i="3" s="1"/>
  <c r="J548" i="3"/>
  <c r="J547" i="3" s="1"/>
  <c r="S538" i="3"/>
  <c r="T538" i="3" s="1"/>
  <c r="U538" i="3" s="1"/>
  <c r="V538" i="3" s="1"/>
  <c r="W538" i="3" s="1"/>
  <c r="X538" i="3" s="1"/>
  <c r="Y538" i="3" s="1"/>
  <c r="Z538" i="3" s="1"/>
  <c r="AA538" i="3" s="1"/>
  <c r="AB538" i="3" s="1"/>
  <c r="AC538" i="3" s="1"/>
  <c r="AD538" i="3" s="1"/>
  <c r="AE538" i="3" s="1"/>
  <c r="AF538" i="3" s="1"/>
  <c r="AG538" i="3" s="1"/>
  <c r="AH538" i="3" s="1"/>
  <c r="AI538" i="3" s="1"/>
  <c r="AJ538" i="3" s="1"/>
  <c r="AK538" i="3" s="1"/>
  <c r="AL538" i="3" s="1"/>
  <c r="AE537" i="3"/>
  <c r="AD537" i="3"/>
  <c r="AC537" i="3"/>
  <c r="AB537" i="3"/>
  <c r="AA537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L537" i="3"/>
  <c r="K537" i="3"/>
  <c r="J537" i="3"/>
  <c r="S520" i="3"/>
  <c r="R520" i="3"/>
  <c r="Q520" i="3"/>
  <c r="P520" i="3"/>
  <c r="O520" i="3"/>
  <c r="N520" i="3"/>
  <c r="M520" i="3"/>
  <c r="L520" i="3"/>
  <c r="K520" i="3"/>
  <c r="J520" i="3"/>
  <c r="J521" i="3" s="1"/>
  <c r="T518" i="3"/>
  <c r="J518" i="3"/>
  <c r="O507" i="3"/>
  <c r="O511" i="3" s="1"/>
  <c r="N507" i="3"/>
  <c r="O509" i="3" s="1"/>
  <c r="M507" i="3"/>
  <c r="M511" i="3" s="1"/>
  <c r="L507" i="3"/>
  <c r="K507" i="3"/>
  <c r="J507" i="3"/>
  <c r="J509" i="3" s="1"/>
  <c r="W505" i="3"/>
  <c r="V505" i="3"/>
  <c r="U505" i="3"/>
  <c r="T505" i="3"/>
  <c r="S505" i="3"/>
  <c r="R505" i="3"/>
  <c r="Q505" i="3"/>
  <c r="P505" i="3"/>
  <c r="O505" i="3"/>
  <c r="N505" i="3"/>
  <c r="M505" i="3"/>
  <c r="L505" i="3"/>
  <c r="K505" i="3"/>
  <c r="J505" i="3"/>
  <c r="S501" i="3"/>
  <c r="R501" i="3"/>
  <c r="R504" i="3" s="1"/>
  <c r="Q501" i="3"/>
  <c r="Q504" i="3" s="1"/>
  <c r="P501" i="3"/>
  <c r="P504" i="3" s="1"/>
  <c r="O501" i="3"/>
  <c r="N501" i="3"/>
  <c r="N504" i="3" s="1"/>
  <c r="M501" i="3"/>
  <c r="M504" i="3" s="1"/>
  <c r="L501" i="3"/>
  <c r="L504" i="3" s="1"/>
  <c r="K501" i="3"/>
  <c r="K504" i="3" s="1"/>
  <c r="J501" i="3"/>
  <c r="J504" i="3" s="1"/>
  <c r="T499" i="3"/>
  <c r="J499" i="3"/>
  <c r="X495" i="3"/>
  <c r="W495" i="3"/>
  <c r="V495" i="3"/>
  <c r="U495" i="3"/>
  <c r="T495" i="3"/>
  <c r="P495" i="3"/>
  <c r="O495" i="3"/>
  <c r="N495" i="3"/>
  <c r="M495" i="3"/>
  <c r="L495" i="3"/>
  <c r="K495" i="3"/>
  <c r="J495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L494" i="3"/>
  <c r="K494" i="3"/>
  <c r="J494" i="3"/>
  <c r="R493" i="3"/>
  <c r="Q493" i="3"/>
  <c r="P493" i="3"/>
  <c r="O493" i="3"/>
  <c r="N493" i="3"/>
  <c r="X492" i="3"/>
  <c r="W492" i="3"/>
  <c r="V492" i="3"/>
  <c r="U492" i="3"/>
  <c r="T492" i="3"/>
  <c r="S49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L482" i="3"/>
  <c r="K482" i="3"/>
  <c r="J482" i="3"/>
  <c r="X481" i="3"/>
  <c r="W481" i="3"/>
  <c r="V481" i="3"/>
  <c r="U481" i="3"/>
  <c r="T481" i="3"/>
  <c r="S481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L477" i="3"/>
  <c r="K477" i="3"/>
  <c r="J477" i="3"/>
  <c r="S476" i="3"/>
  <c r="R476" i="3"/>
  <c r="Q476" i="3"/>
  <c r="P476" i="3"/>
  <c r="O476" i="3"/>
  <c r="N476" i="3"/>
  <c r="M476" i="3"/>
  <c r="L476" i="3"/>
  <c r="K476" i="3"/>
  <c r="J476" i="3"/>
  <c r="X470" i="3"/>
  <c r="W470" i="3"/>
  <c r="V470" i="3"/>
  <c r="U470" i="3"/>
  <c r="T470" i="3"/>
  <c r="S470" i="3"/>
  <c r="R470" i="3"/>
  <c r="Q470" i="3"/>
  <c r="P470" i="3"/>
  <c r="O470" i="3"/>
  <c r="N470" i="3"/>
  <c r="M470" i="3"/>
  <c r="L470" i="3"/>
  <c r="K470" i="3"/>
  <c r="J470" i="3"/>
  <c r="X469" i="3"/>
  <c r="W469" i="3"/>
  <c r="V469" i="3"/>
  <c r="U469" i="3"/>
  <c r="T469" i="3"/>
  <c r="S469" i="3"/>
  <c r="T466" i="3"/>
  <c r="J466" i="3"/>
  <c r="N448" i="3"/>
  <c r="O444" i="3" s="1"/>
  <c r="M448" i="3"/>
  <c r="N444" i="3" s="1"/>
  <c r="L448" i="3"/>
  <c r="M444" i="3" s="1"/>
  <c r="J448" i="3"/>
  <c r="K444" i="3" s="1"/>
  <c r="M446" i="3"/>
  <c r="M184" i="3" s="1"/>
  <c r="L446" i="3"/>
  <c r="O445" i="3"/>
  <c r="N445" i="3"/>
  <c r="M445" i="3"/>
  <c r="L445" i="3"/>
  <c r="K445" i="3"/>
  <c r="J445" i="3"/>
  <c r="X446" i="3"/>
  <c r="W446" i="3"/>
  <c r="Y444" i="3"/>
  <c r="X444" i="3"/>
  <c r="W444" i="3"/>
  <c r="V444" i="3"/>
  <c r="U444" i="3"/>
  <c r="T444" i="3"/>
  <c r="S444" i="3"/>
  <c r="R444" i="3"/>
  <c r="Q444" i="3"/>
  <c r="P444" i="3"/>
  <c r="L444" i="3"/>
  <c r="V431" i="3"/>
  <c r="V456" i="3" s="1"/>
  <c r="U431" i="3"/>
  <c r="U456" i="3" s="1"/>
  <c r="T431" i="3"/>
  <c r="S431" i="3"/>
  <c r="R431" i="3"/>
  <c r="Q431" i="3"/>
  <c r="Q456" i="3" s="1"/>
  <c r="W430" i="3"/>
  <c r="V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J432" i="3" s="1"/>
  <c r="Y429" i="3"/>
  <c r="X429" i="3"/>
  <c r="W429" i="3"/>
  <c r="V429" i="3"/>
  <c r="V432" i="3" s="1"/>
  <c r="U429" i="3"/>
  <c r="T429" i="3"/>
  <c r="S429" i="3"/>
  <c r="R429" i="3"/>
  <c r="Q429" i="3"/>
  <c r="Q435" i="3" s="1"/>
  <c r="P429" i="3"/>
  <c r="P435" i="3" s="1"/>
  <c r="O429" i="3"/>
  <c r="N429" i="3"/>
  <c r="M429" i="3"/>
  <c r="L429" i="3"/>
  <c r="L435" i="3" s="1"/>
  <c r="K429" i="3"/>
  <c r="K435" i="3" s="1"/>
  <c r="T428" i="3"/>
  <c r="T442" i="3" s="1"/>
  <c r="J428" i="3"/>
  <c r="J442" i="3" s="1"/>
  <c r="X425" i="3"/>
  <c r="W425" i="3"/>
  <c r="V425" i="3"/>
  <c r="U425" i="3"/>
  <c r="T425" i="3"/>
  <c r="S425" i="3"/>
  <c r="R425" i="3"/>
  <c r="Q425" i="3"/>
  <c r="P425" i="3"/>
  <c r="O425" i="3"/>
  <c r="N425" i="3"/>
  <c r="M425" i="3"/>
  <c r="L425" i="3"/>
  <c r="K425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X420" i="3"/>
  <c r="W420" i="3"/>
  <c r="V420" i="3"/>
  <c r="U420" i="3"/>
  <c r="T420" i="3"/>
  <c r="S420" i="3"/>
  <c r="R420" i="3"/>
  <c r="Q420" i="3"/>
  <c r="P420" i="3"/>
  <c r="O420" i="3"/>
  <c r="N420" i="3"/>
  <c r="M420" i="3"/>
  <c r="L420" i="3"/>
  <c r="K420" i="3"/>
  <c r="J420" i="3"/>
  <c r="AC419" i="3"/>
  <c r="S416" i="3"/>
  <c r="S424" i="3" s="1"/>
  <c r="R416" i="3"/>
  <c r="R385" i="3" s="1"/>
  <c r="Q416" i="3"/>
  <c r="Q424" i="3" s="1"/>
  <c r="P416" i="3"/>
  <c r="P438" i="3" s="1"/>
  <c r="O416" i="3"/>
  <c r="N416" i="3"/>
  <c r="N453" i="3" s="1"/>
  <c r="M416" i="3"/>
  <c r="M385" i="3" s="1"/>
  <c r="L416" i="3"/>
  <c r="L424" i="3" s="1"/>
  <c r="K416" i="3"/>
  <c r="K424" i="3" s="1"/>
  <c r="J416" i="3"/>
  <c r="J385" i="3" s="1"/>
  <c r="X412" i="3"/>
  <c r="W412" i="3"/>
  <c r="V412" i="3"/>
  <c r="U412" i="3"/>
  <c r="T412" i="3"/>
  <c r="S412" i="3"/>
  <c r="R412" i="3"/>
  <c r="Q412" i="3"/>
  <c r="P412" i="3"/>
  <c r="O412" i="3"/>
  <c r="N412" i="3"/>
  <c r="M412" i="3"/>
  <c r="L412" i="3"/>
  <c r="K412" i="3"/>
  <c r="S407" i="3"/>
  <c r="S411" i="3" s="1"/>
  <c r="R407" i="3"/>
  <c r="R411" i="3" s="1"/>
  <c r="Q407" i="3"/>
  <c r="Q411" i="3" s="1"/>
  <c r="P407" i="3"/>
  <c r="P411" i="3" s="1"/>
  <c r="O407" i="3"/>
  <c r="O411" i="3" s="1"/>
  <c r="N407" i="3"/>
  <c r="N411" i="3" s="1"/>
  <c r="M407" i="3"/>
  <c r="M411" i="3" s="1"/>
  <c r="L407" i="3"/>
  <c r="L411" i="3" s="1"/>
  <c r="K407" i="3"/>
  <c r="K411" i="3" s="1"/>
  <c r="J407" i="3"/>
  <c r="J411" i="3" s="1"/>
  <c r="S392" i="3"/>
  <c r="R392" i="3"/>
  <c r="Q392" i="3"/>
  <c r="P392" i="3"/>
  <c r="O392" i="3"/>
  <c r="N392" i="3"/>
  <c r="X386" i="3"/>
  <c r="W386" i="3"/>
  <c r="V386" i="3"/>
  <c r="U386" i="3"/>
  <c r="T386" i="3"/>
  <c r="S386" i="3"/>
  <c r="R386" i="3"/>
  <c r="Q386" i="3"/>
  <c r="P386" i="3"/>
  <c r="O386" i="3"/>
  <c r="N386" i="3"/>
  <c r="M386" i="3"/>
  <c r="L386" i="3"/>
  <c r="K386" i="3"/>
  <c r="X380" i="3"/>
  <c r="W380" i="3"/>
  <c r="V380" i="3"/>
  <c r="U380" i="3"/>
  <c r="V382" i="3" s="1"/>
  <c r="T380" i="3"/>
  <c r="S380" i="3"/>
  <c r="R380" i="3"/>
  <c r="Q380" i="3"/>
  <c r="P380" i="3"/>
  <c r="O380" i="3"/>
  <c r="N380" i="3"/>
  <c r="O382" i="3" s="1"/>
  <c r="S379" i="3"/>
  <c r="R379" i="3"/>
  <c r="Q379" i="3"/>
  <c r="P379" i="3"/>
  <c r="O379" i="3"/>
  <c r="N379" i="3"/>
  <c r="X372" i="3"/>
  <c r="W372" i="3"/>
  <c r="V372" i="3"/>
  <c r="W375" i="3" s="1"/>
  <c r="U372" i="3"/>
  <c r="T372" i="3"/>
  <c r="S372" i="3"/>
  <c r="R372" i="3"/>
  <c r="Q372" i="3"/>
  <c r="P372" i="3"/>
  <c r="P375" i="3" s="1"/>
  <c r="O372" i="3"/>
  <c r="N372" i="3"/>
  <c r="O375" i="3" s="1"/>
  <c r="X361" i="3"/>
  <c r="W361" i="3"/>
  <c r="V361" i="3"/>
  <c r="U361" i="3"/>
  <c r="T361" i="3"/>
  <c r="S361" i="3"/>
  <c r="R361" i="3"/>
  <c r="Q361" i="3"/>
  <c r="R363" i="3" s="1"/>
  <c r="P361" i="3"/>
  <c r="O361" i="3"/>
  <c r="N361" i="3"/>
  <c r="R348" i="3"/>
  <c r="Q348" i="3"/>
  <c r="P348" i="3"/>
  <c r="O348" i="3"/>
  <c r="P350" i="3" s="1"/>
  <c r="N348" i="3"/>
  <c r="O350" i="3" s="1"/>
  <c r="S335" i="3"/>
  <c r="S96" i="3" s="1"/>
  <c r="R335" i="3"/>
  <c r="R96" i="3" s="1"/>
  <c r="Q335" i="3"/>
  <c r="Q96" i="3" s="1"/>
  <c r="P335" i="3"/>
  <c r="V334" i="3"/>
  <c r="U334" i="3"/>
  <c r="T334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S324" i="3"/>
  <c r="S338" i="3" s="1"/>
  <c r="R324" i="3"/>
  <c r="Q324" i="3"/>
  <c r="Q338" i="3" s="1"/>
  <c r="Q349" i="3" s="1"/>
  <c r="P324" i="3"/>
  <c r="P338" i="3" s="1"/>
  <c r="O324" i="3"/>
  <c r="O338" i="3" s="1"/>
  <c r="O371" i="3" s="1"/>
  <c r="O376" i="3" s="1"/>
  <c r="N324" i="3"/>
  <c r="N338" i="3" s="1"/>
  <c r="N371" i="3" s="1"/>
  <c r="N376" i="3" s="1"/>
  <c r="M324" i="3"/>
  <c r="L324" i="3"/>
  <c r="K324" i="3"/>
  <c r="J324" i="3"/>
  <c r="I324" i="3"/>
  <c r="H324" i="3"/>
  <c r="G324" i="3"/>
  <c r="F324" i="3"/>
  <c r="B323" i="3"/>
  <c r="X317" i="3"/>
  <c r="W317" i="3"/>
  <c r="X318" i="3" s="1"/>
  <c r="V317" i="3"/>
  <c r="U317" i="3"/>
  <c r="T317" i="3"/>
  <c r="S317" i="3"/>
  <c r="S315" i="3"/>
  <c r="R315" i="3"/>
  <c r="Q315" i="3"/>
  <c r="P315" i="3"/>
  <c r="O315" i="3"/>
  <c r="N315" i="3"/>
  <c r="M315" i="3"/>
  <c r="L315" i="3"/>
  <c r="K315" i="3"/>
  <c r="J315" i="3"/>
  <c r="W305" i="3"/>
  <c r="W303" i="3"/>
  <c r="W304" i="3" s="1"/>
  <c r="W300" i="3"/>
  <c r="X303" i="3"/>
  <c r="X300" i="3"/>
  <c r="V305" i="3"/>
  <c r="U305" i="3"/>
  <c r="T305" i="3"/>
  <c r="S305" i="3"/>
  <c r="R305" i="3"/>
  <c r="P305" i="3"/>
  <c r="O305" i="3"/>
  <c r="N305" i="3"/>
  <c r="M305" i="3"/>
  <c r="L305" i="3"/>
  <c r="K305" i="3"/>
  <c r="J305" i="3"/>
  <c r="V303" i="3"/>
  <c r="U303" i="3"/>
  <c r="T303" i="3"/>
  <c r="P303" i="3"/>
  <c r="O303" i="3"/>
  <c r="N303" i="3"/>
  <c r="M303" i="3"/>
  <c r="L303" i="3"/>
  <c r="K303" i="3"/>
  <c r="J303" i="3"/>
  <c r="T301" i="3"/>
  <c r="R301" i="3"/>
  <c r="Q301" i="3"/>
  <c r="P301" i="3"/>
  <c r="O301" i="3"/>
  <c r="N301" i="3"/>
  <c r="M301" i="3"/>
  <c r="L301" i="3"/>
  <c r="K301" i="3"/>
  <c r="J301" i="3"/>
  <c r="V300" i="3"/>
  <c r="U300" i="3"/>
  <c r="T300" i="3"/>
  <c r="S300" i="3"/>
  <c r="R300" i="3"/>
  <c r="Q300" i="3"/>
  <c r="P300" i="3"/>
  <c r="O300" i="3"/>
  <c r="N300" i="3"/>
  <c r="M300" i="3"/>
  <c r="L300" i="3"/>
  <c r="K300" i="3"/>
  <c r="J300" i="3"/>
  <c r="T299" i="3"/>
  <c r="J299" i="3"/>
  <c r="J297" i="3"/>
  <c r="J311" i="3" s="1"/>
  <c r="B297" i="3"/>
  <c r="T289" i="3"/>
  <c r="R289" i="3"/>
  <c r="R36" i="9" s="1"/>
  <c r="Q289" i="3"/>
  <c r="Q19" i="3" s="1"/>
  <c r="P289" i="3"/>
  <c r="P45" i="3" s="1"/>
  <c r="O289" i="3"/>
  <c r="O36" i="9" s="1"/>
  <c r="N289" i="3"/>
  <c r="N36" i="9" s="1"/>
  <c r="M289" i="3"/>
  <c r="L289" i="3"/>
  <c r="L45" i="3" s="1"/>
  <c r="K289" i="3"/>
  <c r="K36" i="9" s="1"/>
  <c r="J289" i="3"/>
  <c r="J45" i="3" s="1"/>
  <c r="T288" i="3"/>
  <c r="R288" i="3"/>
  <c r="R18" i="3" s="1"/>
  <c r="Q288" i="3"/>
  <c r="Q18" i="3" s="1"/>
  <c r="P288" i="3"/>
  <c r="P18" i="3" s="1"/>
  <c r="O288" i="3"/>
  <c r="O18" i="3" s="1"/>
  <c r="N288" i="3"/>
  <c r="N18" i="3" s="1"/>
  <c r="M288" i="3"/>
  <c r="M18" i="3" s="1"/>
  <c r="L288" i="3"/>
  <c r="L18" i="3" s="1"/>
  <c r="K288" i="3"/>
  <c r="K18" i="3" s="1"/>
  <c r="J288" i="3"/>
  <c r="J18" i="3" s="1"/>
  <c r="W282" i="3"/>
  <c r="T282" i="3"/>
  <c r="T33" i="9" s="1"/>
  <c r="T44" i="9"/>
  <c r="S282" i="3"/>
  <c r="R282" i="3"/>
  <c r="R33" i="9" s="1"/>
  <c r="Q282" i="3"/>
  <c r="P282" i="3"/>
  <c r="O282" i="3"/>
  <c r="O33" i="9" s="1"/>
  <c r="N280" i="3"/>
  <c r="N282" i="3" s="1"/>
  <c r="M280" i="3"/>
  <c r="M282" i="3" s="1"/>
  <c r="L280" i="3"/>
  <c r="L282" i="3" s="1"/>
  <c r="L284" i="3" s="1"/>
  <c r="K280" i="3"/>
  <c r="K282" i="3" s="1"/>
  <c r="K44" i="9" s="1"/>
  <c r="J280" i="3"/>
  <c r="J282" i="3" s="1"/>
  <c r="X279" i="3"/>
  <c r="X282" i="3" s="1"/>
  <c r="X575" i="3" s="1"/>
  <c r="Y567" i="3" s="1"/>
  <c r="U279" i="3"/>
  <c r="S276" i="3"/>
  <c r="R276" i="3"/>
  <c r="Q276" i="3"/>
  <c r="P276" i="3"/>
  <c r="O276" i="3"/>
  <c r="N276" i="3"/>
  <c r="M276" i="3"/>
  <c r="L276" i="3"/>
  <c r="K276" i="3"/>
  <c r="J276" i="3"/>
  <c r="X275" i="3"/>
  <c r="W275" i="3"/>
  <c r="V275" i="3"/>
  <c r="U275" i="3"/>
  <c r="T275" i="3"/>
  <c r="X274" i="3"/>
  <c r="W274" i="3"/>
  <c r="V274" i="3"/>
  <c r="U274" i="3"/>
  <c r="T274" i="3"/>
  <c r="Y231" i="3"/>
  <c r="X270" i="3"/>
  <c r="W270" i="3"/>
  <c r="T267" i="3"/>
  <c r="T268" i="3" s="1"/>
  <c r="P267" i="3"/>
  <c r="O267" i="3"/>
  <c r="N267" i="3"/>
  <c r="M267" i="3"/>
  <c r="L267" i="3"/>
  <c r="K267" i="3"/>
  <c r="J267" i="3"/>
  <c r="X266" i="3"/>
  <c r="X265" i="3"/>
  <c r="W265" i="3"/>
  <c r="V265" i="3"/>
  <c r="S264" i="3"/>
  <c r="R264" i="3"/>
  <c r="Q264" i="3"/>
  <c r="S263" i="3"/>
  <c r="S495" i="3" s="1"/>
  <c r="R263" i="3"/>
  <c r="R495" i="3" s="1"/>
  <c r="Q263" i="3"/>
  <c r="U260" i="3"/>
  <c r="U301" i="3" s="1"/>
  <c r="S259" i="3"/>
  <c r="S289" i="3" s="1"/>
  <c r="S255" i="3"/>
  <c r="R255" i="3"/>
  <c r="Q255" i="3"/>
  <c r="P255" i="3"/>
  <c r="O255" i="3"/>
  <c r="N255" i="3"/>
  <c r="M255" i="3"/>
  <c r="L255" i="3"/>
  <c r="K255" i="3"/>
  <c r="J255" i="3"/>
  <c r="X251" i="3"/>
  <c r="X255" i="3" s="1"/>
  <c r="W251" i="3"/>
  <c r="V251" i="3"/>
  <c r="V255" i="3" s="1"/>
  <c r="U251" i="3"/>
  <c r="T251" i="3"/>
  <c r="R245" i="3"/>
  <c r="Q245" i="3"/>
  <c r="P245" i="3"/>
  <c r="O245" i="3"/>
  <c r="N245" i="3"/>
  <c r="M245" i="3"/>
  <c r="X244" i="3"/>
  <c r="X22" i="9" s="1"/>
  <c r="W244" i="3"/>
  <c r="V244" i="3"/>
  <c r="U244" i="3"/>
  <c r="T244" i="3"/>
  <c r="S244" i="3"/>
  <c r="S245" i="3" s="1"/>
  <c r="L244" i="3"/>
  <c r="K244" i="3"/>
  <c r="K245" i="3" s="1"/>
  <c r="J244" i="3"/>
  <c r="J22" i="9" s="1"/>
  <c r="T235" i="3"/>
  <c r="B235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L231" i="3"/>
  <c r="K231" i="3"/>
  <c r="T229" i="3"/>
  <c r="R229" i="3"/>
  <c r="Q229" i="3"/>
  <c r="P229" i="3"/>
  <c r="O229" i="3"/>
  <c r="N229" i="3"/>
  <c r="M229" i="3"/>
  <c r="L229" i="3"/>
  <c r="K229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L227" i="3"/>
  <c r="K227" i="3"/>
  <c r="X226" i="3"/>
  <c r="W226" i="3"/>
  <c r="V226" i="3"/>
  <c r="U226" i="3"/>
  <c r="T226" i="3"/>
  <c r="S226" i="3"/>
  <c r="T223" i="3" s="1"/>
  <c r="R226" i="3"/>
  <c r="Q226" i="3"/>
  <c r="P226" i="3"/>
  <c r="Q223" i="3" s="1"/>
  <c r="O226" i="3"/>
  <c r="P223" i="3" s="1"/>
  <c r="N226" i="3"/>
  <c r="M226" i="3"/>
  <c r="N223" i="3" s="1"/>
  <c r="L226" i="3"/>
  <c r="K226" i="3"/>
  <c r="L223" i="3" s="1"/>
  <c r="K223" i="3"/>
  <c r="W217" i="3"/>
  <c r="W216" i="3"/>
  <c r="P217" i="3"/>
  <c r="P571" i="3" s="1"/>
  <c r="O217" i="3"/>
  <c r="N217" i="3"/>
  <c r="AE216" i="3"/>
  <c r="AD216" i="3"/>
  <c r="AC216" i="3"/>
  <c r="X216" i="3"/>
  <c r="R215" i="3"/>
  <c r="Q215" i="3"/>
  <c r="P215" i="3"/>
  <c r="O215" i="3"/>
  <c r="O570" i="3" s="1"/>
  <c r="N215" i="3"/>
  <c r="N570" i="3"/>
  <c r="M215" i="3"/>
  <c r="L215" i="3"/>
  <c r="L570" i="3" s="1"/>
  <c r="K215" i="3"/>
  <c r="J215" i="3"/>
  <c r="X214" i="3"/>
  <c r="W214" i="3"/>
  <c r="V214" i="3"/>
  <c r="U214" i="3"/>
  <c r="T214" i="3"/>
  <c r="S214" i="3"/>
  <c r="P214" i="3"/>
  <c r="O214" i="3"/>
  <c r="M214" i="3"/>
  <c r="L214" i="3"/>
  <c r="K214" i="3"/>
  <c r="J214" i="3"/>
  <c r="K211" i="3"/>
  <c r="J211" i="3"/>
  <c r="W210" i="3"/>
  <c r="W209" i="3"/>
  <c r="T210" i="3"/>
  <c r="S210" i="3"/>
  <c r="V209" i="3"/>
  <c r="U209" i="3"/>
  <c r="T209" i="3"/>
  <c r="S209" i="3"/>
  <c r="R209" i="3"/>
  <c r="Q209" i="3"/>
  <c r="P209" i="3"/>
  <c r="O209" i="3"/>
  <c r="N209" i="3"/>
  <c r="M209" i="3"/>
  <c r="L209" i="3"/>
  <c r="W204" i="3"/>
  <c r="V204" i="3"/>
  <c r="U204" i="3"/>
  <c r="T204" i="3"/>
  <c r="S204" i="3"/>
  <c r="S445" i="3"/>
  <c r="S447" i="3" s="1"/>
  <c r="R204" i="3"/>
  <c r="Q204" i="3"/>
  <c r="P204" i="3"/>
  <c r="X195" i="3"/>
  <c r="W195" i="3"/>
  <c r="V195" i="3"/>
  <c r="U195" i="3"/>
  <c r="U10" i="10"/>
  <c r="T195" i="3"/>
  <c r="S195" i="3"/>
  <c r="R195" i="3"/>
  <c r="Q195" i="3"/>
  <c r="P195" i="3"/>
  <c r="O195" i="3"/>
  <c r="N195" i="3"/>
  <c r="M195" i="3"/>
  <c r="L195" i="3"/>
  <c r="K195" i="3"/>
  <c r="J195" i="3"/>
  <c r="P189" i="3"/>
  <c r="O189" i="3"/>
  <c r="N189" i="3"/>
  <c r="M189" i="3"/>
  <c r="L189" i="3"/>
  <c r="K189" i="3"/>
  <c r="J189" i="3"/>
  <c r="P188" i="3"/>
  <c r="V184" i="3"/>
  <c r="U184" i="3"/>
  <c r="T184" i="3"/>
  <c r="S184" i="3"/>
  <c r="R184" i="3"/>
  <c r="Q184" i="3"/>
  <c r="P184" i="3"/>
  <c r="O184" i="3"/>
  <c r="N184" i="3"/>
  <c r="K184" i="3"/>
  <c r="J184" i="3"/>
  <c r="X183" i="3"/>
  <c r="X109" i="3" s="1"/>
  <c r="W183" i="3"/>
  <c r="W109" i="3" s="1"/>
  <c r="P183" i="3"/>
  <c r="O183" i="3"/>
  <c r="N183" i="3"/>
  <c r="N109" i="3" s="1"/>
  <c r="M183" i="3"/>
  <c r="M109" i="3" s="1"/>
  <c r="L183" i="3"/>
  <c r="L109" i="3" s="1"/>
  <c r="K183" i="3"/>
  <c r="J183" i="3"/>
  <c r="J109" i="3" s="1"/>
  <c r="T180" i="3"/>
  <c r="J180" i="3"/>
  <c r="B180" i="3"/>
  <c r="U175" i="3"/>
  <c r="S172" i="3"/>
  <c r="O171" i="3"/>
  <c r="N171" i="3"/>
  <c r="N22" i="10" s="1"/>
  <c r="M171" i="3"/>
  <c r="M22" i="10" s="1"/>
  <c r="L171" i="3"/>
  <c r="L22" i="10" s="1"/>
  <c r="K171" i="3"/>
  <c r="J171" i="3"/>
  <c r="I171" i="3"/>
  <c r="H171" i="3"/>
  <c r="G171" i="3"/>
  <c r="F171" i="3"/>
  <c r="U170" i="3"/>
  <c r="T169" i="3"/>
  <c r="T172" i="3" s="1"/>
  <c r="T168" i="3"/>
  <c r="O170" i="3"/>
  <c r="N170" i="3"/>
  <c r="M170" i="3"/>
  <c r="L170" i="3"/>
  <c r="K170" i="3"/>
  <c r="J170" i="3"/>
  <c r="O169" i="3"/>
  <c r="N169" i="3"/>
  <c r="M169" i="3"/>
  <c r="L169" i="3"/>
  <c r="K169" i="3"/>
  <c r="J169" i="3"/>
  <c r="P168" i="3"/>
  <c r="P172" i="3" s="1"/>
  <c r="O168" i="3"/>
  <c r="I168" i="3"/>
  <c r="I172" i="3" s="1"/>
  <c r="H168" i="3"/>
  <c r="H172" i="3" s="1"/>
  <c r="G168" i="3"/>
  <c r="G172" i="3" s="1"/>
  <c r="F168" i="3"/>
  <c r="F172" i="3" s="1"/>
  <c r="O167" i="3"/>
  <c r="N167" i="3"/>
  <c r="M167" i="3"/>
  <c r="L167" i="3"/>
  <c r="K167" i="3"/>
  <c r="J167" i="3"/>
  <c r="I167" i="3"/>
  <c r="H167" i="3"/>
  <c r="G167" i="3"/>
  <c r="F167" i="3"/>
  <c r="X164" i="3"/>
  <c r="W164" i="3"/>
  <c r="V164" i="3"/>
  <c r="U164" i="3"/>
  <c r="T164" i="3"/>
  <c r="S164" i="3"/>
  <c r="R164" i="3"/>
  <c r="O164" i="3"/>
  <c r="N164" i="3"/>
  <c r="M164" i="3"/>
  <c r="L164" i="3"/>
  <c r="K164" i="3"/>
  <c r="P162" i="3"/>
  <c r="P15" i="3" s="1"/>
  <c r="I162" i="3"/>
  <c r="H162" i="3"/>
  <c r="G162" i="3"/>
  <c r="F162" i="3"/>
  <c r="F164" i="3" s="1"/>
  <c r="X161" i="3"/>
  <c r="W161" i="3"/>
  <c r="V161" i="3"/>
  <c r="U161" i="3"/>
  <c r="T144" i="3"/>
  <c r="I127" i="3"/>
  <c r="I137" i="3" s="1"/>
  <c r="I141" i="3" s="1"/>
  <c r="H127" i="3"/>
  <c r="H137" i="3" s="1"/>
  <c r="H141" i="3" s="1"/>
  <c r="G127" i="3"/>
  <c r="G137" i="3" s="1"/>
  <c r="G141" i="3" s="1"/>
  <c r="F127" i="3"/>
  <c r="F137" i="3" s="1"/>
  <c r="F141" i="3" s="1"/>
  <c r="I126" i="3"/>
  <c r="H126" i="3"/>
  <c r="G126" i="3"/>
  <c r="F126" i="3"/>
  <c r="X123" i="3"/>
  <c r="W123" i="3"/>
  <c r="V123" i="3"/>
  <c r="U123" i="3"/>
  <c r="T123" i="3"/>
  <c r="R122" i="3"/>
  <c r="R121" i="3"/>
  <c r="P122" i="3"/>
  <c r="P123" i="3"/>
  <c r="Q121" i="3"/>
  <c r="Q120" i="3"/>
  <c r="Q189" i="3" s="1"/>
  <c r="Q119" i="3"/>
  <c r="O121" i="3"/>
  <c r="N121" i="3"/>
  <c r="N123" i="3" s="1"/>
  <c r="M121" i="3"/>
  <c r="L121" i="3"/>
  <c r="K121" i="3"/>
  <c r="K123" i="3" s="1"/>
  <c r="J121" i="3"/>
  <c r="S119" i="3"/>
  <c r="R119" i="3"/>
  <c r="I114" i="3"/>
  <c r="H114" i="3"/>
  <c r="G114" i="3"/>
  <c r="F114" i="3"/>
  <c r="I113" i="3"/>
  <c r="H113" i="3"/>
  <c r="G113" i="3"/>
  <c r="F113" i="3"/>
  <c r="O111" i="3"/>
  <c r="N111" i="3"/>
  <c r="N8" i="10" s="1"/>
  <c r="M111" i="3"/>
  <c r="M8" i="10" s="1"/>
  <c r="L111" i="3"/>
  <c r="L8" i="10" s="1"/>
  <c r="K111" i="3"/>
  <c r="J111" i="3"/>
  <c r="J8" i="10" s="1"/>
  <c r="W103" i="3"/>
  <c r="V103" i="3"/>
  <c r="U103" i="3"/>
  <c r="T103" i="3"/>
  <c r="S103" i="3"/>
  <c r="R103" i="3"/>
  <c r="R104" i="3" s="1"/>
  <c r="Q103" i="3"/>
  <c r="Q104" i="3" s="1"/>
  <c r="P103" i="3"/>
  <c r="P104" i="3" s="1"/>
  <c r="O103" i="3"/>
  <c r="N103" i="3"/>
  <c r="W98" i="3"/>
  <c r="W348" i="3" s="1"/>
  <c r="V98" i="3"/>
  <c r="U98" i="3"/>
  <c r="T98" i="3"/>
  <c r="T348" i="3" s="1"/>
  <c r="S98" i="3"/>
  <c r="M98" i="3"/>
  <c r="M493" i="3" s="1"/>
  <c r="L98" i="3"/>
  <c r="L104" i="3" s="1"/>
  <c r="K98" i="3"/>
  <c r="J98" i="3"/>
  <c r="T96" i="3"/>
  <c r="I93" i="3"/>
  <c r="H93" i="3"/>
  <c r="G93" i="3"/>
  <c r="I92" i="3"/>
  <c r="H92" i="3"/>
  <c r="G92" i="3"/>
  <c r="F92" i="3"/>
  <c r="S91" i="3"/>
  <c r="S92" i="3" s="1"/>
  <c r="X89" i="3"/>
  <c r="W89" i="3"/>
  <c r="V89" i="3"/>
  <c r="U89" i="3"/>
  <c r="T89" i="3"/>
  <c r="R88" i="3"/>
  <c r="Q88" i="3"/>
  <c r="Q91" i="3" s="1"/>
  <c r="Q7" i="9" s="1"/>
  <c r="P88" i="3"/>
  <c r="P481" i="3" s="1"/>
  <c r="O88" i="3"/>
  <c r="O469" i="3" s="1"/>
  <c r="N88" i="3"/>
  <c r="N492" i="3" s="1"/>
  <c r="M88" i="3"/>
  <c r="M317" i="3" s="1"/>
  <c r="L88" i="3"/>
  <c r="L317" i="3" s="1"/>
  <c r="K88" i="3"/>
  <c r="K91" i="3" s="1"/>
  <c r="J88" i="3"/>
  <c r="J469" i="3" s="1"/>
  <c r="I88" i="3"/>
  <c r="H88" i="3"/>
  <c r="G88" i="3"/>
  <c r="F88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X23" i="3"/>
  <c r="T407" i="3"/>
  <c r="T411" i="3" s="1"/>
  <c r="T82" i="3"/>
  <c r="J82" i="3"/>
  <c r="B82" i="3"/>
  <c r="T76" i="3"/>
  <c r="J76" i="3"/>
  <c r="B76" i="3"/>
  <c r="T63" i="3"/>
  <c r="J63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S43" i="3"/>
  <c r="S44" i="3" s="1"/>
  <c r="R43" i="3"/>
  <c r="R44" i="3" s="1"/>
  <c r="Q43" i="3"/>
  <c r="Q44" i="3" s="1"/>
  <c r="P43" i="3"/>
  <c r="P44" i="3" s="1"/>
  <c r="T41" i="3"/>
  <c r="J41" i="3"/>
  <c r="B41" i="3"/>
  <c r="T23" i="3"/>
  <c r="S23" i="3"/>
  <c r="R23" i="3"/>
  <c r="Q23" i="3"/>
  <c r="P23" i="3"/>
  <c r="O23" i="3"/>
  <c r="N23" i="3"/>
  <c r="M23" i="3"/>
  <c r="L23" i="3"/>
  <c r="X15" i="3"/>
  <c r="W15" i="3"/>
  <c r="V15" i="3"/>
  <c r="U15" i="3"/>
  <c r="T15" i="3"/>
  <c r="S15" i="3"/>
  <c r="R15" i="3"/>
  <c r="R59" i="3" s="1"/>
  <c r="Q15" i="3"/>
  <c r="Q59" i="3" s="1"/>
  <c r="O15" i="3"/>
  <c r="O59" i="3" s="1"/>
  <c r="N15" i="3"/>
  <c r="M15" i="3"/>
  <c r="M59" i="3" s="1"/>
  <c r="L15" i="3"/>
  <c r="L59" i="3" s="1"/>
  <c r="K15" i="3"/>
  <c r="J15" i="3"/>
  <c r="J59" i="3" s="1"/>
  <c r="S6" i="3"/>
  <c r="S5" i="10" s="1"/>
  <c r="R6" i="3"/>
  <c r="Q6" i="3"/>
  <c r="Q5" i="10" s="1"/>
  <c r="P6" i="3"/>
  <c r="O6" i="3"/>
  <c r="O5" i="10" s="1"/>
  <c r="N6" i="3"/>
  <c r="M6" i="3"/>
  <c r="M5" i="10" s="1"/>
  <c r="L6" i="3"/>
  <c r="L5" i="10" s="1"/>
  <c r="K6" i="3"/>
  <c r="K5" i="10" s="1"/>
  <c r="J6" i="3"/>
  <c r="U5" i="3"/>
  <c r="K5" i="3"/>
  <c r="I5" i="3"/>
  <c r="I518" i="3" s="1"/>
  <c r="B3" i="10"/>
  <c r="D3" i="10"/>
  <c r="E3" i="10" s="1"/>
  <c r="F3" i="10" s="1"/>
  <c r="G3" i="10" s="1"/>
  <c r="H3" i="10" s="1"/>
  <c r="I3" i="10" s="1"/>
  <c r="J3" i="10" s="1"/>
  <c r="K3" i="10" s="1"/>
  <c r="L3" i="10" s="1"/>
  <c r="M3" i="10" s="1"/>
  <c r="N3" i="10" s="1"/>
  <c r="O3" i="10" s="1"/>
  <c r="P3" i="10" s="1"/>
  <c r="Q3" i="10" s="1"/>
  <c r="R3" i="10" s="1"/>
  <c r="S3" i="10" s="1"/>
  <c r="T3" i="10" s="1"/>
  <c r="U3" i="10" s="1"/>
  <c r="V3" i="10" s="1"/>
  <c r="W3" i="10" s="1"/>
  <c r="X3" i="10" s="1"/>
  <c r="Y3" i="10" s="1"/>
  <c r="Z3" i="10" s="1"/>
  <c r="AA3" i="10" s="1"/>
  <c r="AB3" i="10" s="1"/>
  <c r="AC3" i="10" s="1"/>
  <c r="AD3" i="10" s="1"/>
  <c r="AE3" i="10" s="1"/>
  <c r="AF3" i="10" s="1"/>
  <c r="AG3" i="10" s="1"/>
  <c r="AH3" i="10" s="1"/>
  <c r="AI3" i="10" s="1"/>
  <c r="AJ3" i="10" s="1"/>
  <c r="AK3" i="10" s="1"/>
  <c r="AL3" i="10" s="1"/>
  <c r="P8" i="10"/>
  <c r="Q8" i="10"/>
  <c r="R8" i="10"/>
  <c r="S8" i="10"/>
  <c r="T8" i="10"/>
  <c r="U8" i="10"/>
  <c r="V8" i="10"/>
  <c r="J11" i="10"/>
  <c r="K11" i="10"/>
  <c r="L11" i="10"/>
  <c r="M11" i="10"/>
  <c r="N11" i="10"/>
  <c r="O11" i="10"/>
  <c r="P11" i="10"/>
  <c r="Q11" i="10"/>
  <c r="R11" i="10"/>
  <c r="S11" i="10"/>
  <c r="U11" i="10"/>
  <c r="V11" i="10"/>
  <c r="X11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J13" i="10"/>
  <c r="K13" i="10"/>
  <c r="L13" i="10"/>
  <c r="M13" i="10"/>
  <c r="N13" i="10"/>
  <c r="O13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AA14" i="10"/>
  <c r="AB14" i="10"/>
  <c r="AC14" i="10"/>
  <c r="AD14" i="10"/>
  <c r="AE14" i="10"/>
  <c r="P22" i="10"/>
  <c r="Q22" i="10"/>
  <c r="R22" i="10"/>
  <c r="S22" i="10"/>
  <c r="B3" i="9"/>
  <c r="D3" i="9"/>
  <c r="E3" i="9" s="1"/>
  <c r="F3" i="9" s="1"/>
  <c r="G3" i="9" s="1"/>
  <c r="H3" i="9" s="1"/>
  <c r="I3" i="9" s="1"/>
  <c r="J3" i="9" s="1"/>
  <c r="K3" i="9" s="1"/>
  <c r="L3" i="9" s="1"/>
  <c r="M3" i="9" s="1"/>
  <c r="N3" i="9" s="1"/>
  <c r="O3" i="9" s="1"/>
  <c r="P3" i="9" s="1"/>
  <c r="Q3" i="9" s="1"/>
  <c r="R3" i="9" s="1"/>
  <c r="S3" i="9" s="1"/>
  <c r="T3" i="9" s="1"/>
  <c r="U3" i="9" s="1"/>
  <c r="V3" i="9" s="1"/>
  <c r="W3" i="9" s="1"/>
  <c r="X3" i="9" s="1"/>
  <c r="Y3" i="9" s="1"/>
  <c r="Z3" i="9" s="1"/>
  <c r="AA3" i="9" s="1"/>
  <c r="AB3" i="9" s="1"/>
  <c r="AC3" i="9" s="1"/>
  <c r="AD3" i="9" s="1"/>
  <c r="AE3" i="9" s="1"/>
  <c r="AF3" i="9" s="1"/>
  <c r="AG3" i="9" s="1"/>
  <c r="AH3" i="9" s="1"/>
  <c r="AI3" i="9" s="1"/>
  <c r="AJ3" i="9" s="1"/>
  <c r="AK3" i="9" s="1"/>
  <c r="AL3" i="9" s="1"/>
  <c r="J5" i="9"/>
  <c r="K5" i="9"/>
  <c r="L5" i="9"/>
  <c r="M5" i="9"/>
  <c r="N5" i="9"/>
  <c r="O5" i="9"/>
  <c r="P5" i="9"/>
  <c r="Q5" i="9"/>
  <c r="R5" i="9"/>
  <c r="S5" i="9"/>
  <c r="W13" i="9"/>
  <c r="Z13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M22" i="9"/>
  <c r="N22" i="9"/>
  <c r="O22" i="9"/>
  <c r="P22" i="9"/>
  <c r="Q22" i="9"/>
  <c r="R22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J26" i="9"/>
  <c r="K26" i="9"/>
  <c r="L26" i="9"/>
  <c r="M26" i="9"/>
  <c r="N26" i="9"/>
  <c r="O26" i="9"/>
  <c r="P26" i="9"/>
  <c r="J34" i="9"/>
  <c r="K34" i="9"/>
  <c r="L34" i="9"/>
  <c r="M34" i="9"/>
  <c r="N34" i="9"/>
  <c r="O34" i="9"/>
  <c r="P34" i="9"/>
  <c r="Q34" i="9"/>
  <c r="R34" i="9"/>
  <c r="S34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227" i="3"/>
  <c r="Y35" i="9"/>
  <c r="Y412" i="3"/>
  <c r="Y425" i="3"/>
  <c r="Y494" i="3"/>
  <c r="Z444" i="3"/>
  <c r="Y21" i="9"/>
  <c r="W570" i="3"/>
  <c r="X437" i="3"/>
  <c r="Y46" i="3"/>
  <c r="Z429" i="3"/>
  <c r="Y183" i="3"/>
  <c r="Y109" i="3" s="1"/>
  <c r="Y437" i="3"/>
  <c r="Y513" i="3"/>
  <c r="Y492" i="3"/>
  <c r="Y469" i="3"/>
  <c r="Y89" i="3"/>
  <c r="Y481" i="3"/>
  <c r="Y20" i="9"/>
  <c r="Y25" i="9"/>
  <c r="Y123" i="3"/>
  <c r="Y11" i="10"/>
  <c r="Y544" i="3"/>
  <c r="Y12" i="10"/>
  <c r="Y164" i="3"/>
  <c r="Y161" i="3"/>
  <c r="Y15" i="3"/>
  <c r="Y282" i="3"/>
  <c r="Y44" i="9" s="1"/>
  <c r="Y300" i="3"/>
  <c r="Z15" i="3"/>
  <c r="Z164" i="3"/>
  <c r="T18" i="3"/>
  <c r="X34" i="9"/>
  <c r="V13" i="10"/>
  <c r="S547" i="3"/>
  <c r="V570" i="3"/>
  <c r="AC355" i="3"/>
  <c r="T575" i="3"/>
  <c r="U567" i="3" s="1"/>
  <c r="Y493" i="3"/>
  <c r="V279" i="3"/>
  <c r="Y104" i="3"/>
  <c r="U82" i="3"/>
  <c r="AA13" i="9"/>
  <c r="Q267" i="3"/>
  <c r="Q284" i="3"/>
  <c r="O45" i="3"/>
  <c r="S493" i="3"/>
  <c r="Q183" i="3"/>
  <c r="Q109" i="3" s="1"/>
  <c r="Q44" i="9"/>
  <c r="O19" i="3"/>
  <c r="W435" i="3"/>
  <c r="P453" i="3"/>
  <c r="J10" i="10"/>
  <c r="J487" i="3"/>
  <c r="Q13" i="10"/>
  <c r="Y452" i="3"/>
  <c r="Y184" i="3"/>
  <c r="K22" i="10"/>
  <c r="K43" i="3"/>
  <c r="K44" i="3" s="1"/>
  <c r="K487" i="3"/>
  <c r="K10" i="10"/>
  <c r="M104" i="3"/>
  <c r="R10" i="10"/>
  <c r="N438" i="3"/>
  <c r="O304" i="3"/>
  <c r="X223" i="3"/>
  <c r="N424" i="3"/>
  <c r="U394" i="3"/>
  <c r="W34" i="9"/>
  <c r="L36" i="9"/>
  <c r="V435" i="3"/>
  <c r="R365" i="3"/>
  <c r="K492" i="3"/>
  <c r="O8" i="10"/>
  <c r="W22" i="9"/>
  <c r="W245" i="3"/>
  <c r="S45" i="3"/>
  <c r="Q305" i="3"/>
  <c r="N45" i="3"/>
  <c r="L487" i="3"/>
  <c r="Z46" i="3"/>
  <c r="S223" i="3"/>
  <c r="S288" i="3"/>
  <c r="S18" i="3" s="1"/>
  <c r="S301" i="3"/>
  <c r="S229" i="3"/>
  <c r="M19" i="3"/>
  <c r="S123" i="3"/>
  <c r="O381" i="3"/>
  <c r="V318" i="3"/>
  <c r="AC274" i="3"/>
  <c r="AA266" i="3"/>
  <c r="Z227" i="3"/>
  <c r="M22" i="3"/>
  <c r="J43" i="3"/>
  <c r="J44" i="3" s="1"/>
  <c r="J22" i="10"/>
  <c r="N575" i="3"/>
  <c r="O567" i="3" s="1"/>
  <c r="N44" i="9"/>
  <c r="K76" i="3"/>
  <c r="K82" i="3"/>
  <c r="K299" i="3"/>
  <c r="Q256" i="3"/>
  <c r="O435" i="3"/>
  <c r="AD353" i="3"/>
  <c r="Z35" i="9"/>
  <c r="P349" i="3"/>
  <c r="P371" i="3"/>
  <c r="P376" i="3" s="1"/>
  <c r="AA227" i="3"/>
  <c r="AA412" i="3"/>
  <c r="AA46" i="3"/>
  <c r="AB227" i="3"/>
  <c r="AC13" i="9"/>
  <c r="AD13" i="9"/>
  <c r="T552" i="3"/>
  <c r="AA375" i="3"/>
  <c r="Z494" i="3"/>
  <c r="AA444" i="3"/>
  <c r="AA450" i="3" s="1"/>
  <c r="Z21" i="9"/>
  <c r="AC372" i="3"/>
  <c r="Z42" i="3"/>
  <c r="Z231" i="3"/>
  <c r="Z123" i="3"/>
  <c r="AA22" i="9"/>
  <c r="Z11" i="10"/>
  <c r="AC334" i="3"/>
  <c r="AD334" i="3" s="1"/>
  <c r="AE334" i="3" s="1"/>
  <c r="AE335" i="3" s="1"/>
  <c r="AE96" i="3" s="1"/>
  <c r="AB335" i="3"/>
  <c r="Z89" i="3"/>
  <c r="Z469" i="3"/>
  <c r="Z471" i="3" s="1"/>
  <c r="Z481" i="3"/>
  <c r="Z492" i="3"/>
  <c r="Z472" i="3"/>
  <c r="Z493" i="3"/>
  <c r="Z104" i="3"/>
  <c r="Z12" i="10"/>
  <c r="Z544" i="3"/>
  <c r="Z20" i="9"/>
  <c r="Z25" i="9"/>
  <c r="Z300" i="3"/>
  <c r="Z282" i="3"/>
  <c r="Z33" i="9" s="1"/>
  <c r="Z183" i="3"/>
  <c r="Z109" i="3" s="1"/>
  <c r="AA429" i="3"/>
  <c r="Z446" i="3"/>
  <c r="Z184" i="3" s="1"/>
  <c r="Z437" i="3"/>
  <c r="Z513" i="3"/>
  <c r="P35" i="3" l="1"/>
  <c r="L19" i="3"/>
  <c r="M36" i="3" s="1"/>
  <c r="U307" i="3"/>
  <c r="L450" i="3"/>
  <c r="Z327" i="3"/>
  <c r="L172" i="3"/>
  <c r="S363" i="3"/>
  <c r="W382" i="3"/>
  <c r="X375" i="3"/>
  <c r="T306" i="3"/>
  <c r="P362" i="3"/>
  <c r="V183" i="3"/>
  <c r="V109" i="3" s="1"/>
  <c r="O473" i="3"/>
  <c r="V479" i="3"/>
  <c r="AJ352" i="3"/>
  <c r="S228" i="3"/>
  <c r="S230" i="3" s="1"/>
  <c r="S232" i="3" s="1"/>
  <c r="O487" i="3"/>
  <c r="L286" i="3"/>
  <c r="Z483" i="3"/>
  <c r="P365" i="3"/>
  <c r="S22" i="3"/>
  <c r="M211" i="3"/>
  <c r="P394" i="3"/>
  <c r="Q10" i="10"/>
  <c r="S422" i="3"/>
  <c r="V472" i="3"/>
  <c r="M478" i="3"/>
  <c r="Z22" i="9"/>
  <c r="Z23" i="9" s="1"/>
  <c r="K22" i="9"/>
  <c r="K23" i="9" s="1"/>
  <c r="L28" i="9" s="1"/>
  <c r="X542" i="3"/>
  <c r="R487" i="3"/>
  <c r="W471" i="3"/>
  <c r="M487" i="3"/>
  <c r="Y487" i="3"/>
  <c r="P487" i="3"/>
  <c r="N211" i="3"/>
  <c r="W507" i="3"/>
  <c r="Z245" i="3"/>
  <c r="M91" i="3"/>
  <c r="W487" i="3"/>
  <c r="S348" i="3"/>
  <c r="S365" i="3" s="1"/>
  <c r="AC571" i="3"/>
  <c r="X422" i="3"/>
  <c r="Z307" i="3"/>
  <c r="R350" i="3"/>
  <c r="Y507" i="3"/>
  <c r="X307" i="3"/>
  <c r="Y382" i="3"/>
  <c r="Q438" i="3"/>
  <c r="X348" i="3"/>
  <c r="R394" i="3"/>
  <c r="R401" i="3" s="1"/>
  <c r="M256" i="3"/>
  <c r="R267" i="3"/>
  <c r="M302" i="3"/>
  <c r="K307" i="3"/>
  <c r="M327" i="3"/>
  <c r="S375" i="3"/>
  <c r="S497" i="3"/>
  <c r="S267" i="3"/>
  <c r="K19" i="3"/>
  <c r="L36" i="3" s="1"/>
  <c r="L307" i="3"/>
  <c r="J306" i="3"/>
  <c r="F326" i="3"/>
  <c r="Q381" i="3"/>
  <c r="N388" i="3"/>
  <c r="O432" i="3"/>
  <c r="W432" i="3"/>
  <c r="P473" i="3"/>
  <c r="V543" i="3"/>
  <c r="O256" i="3"/>
  <c r="U34" i="9"/>
  <c r="P306" i="3"/>
  <c r="V375" i="3"/>
  <c r="U382" i="3"/>
  <c r="W388" i="3"/>
  <c r="O447" i="3"/>
  <c r="M521" i="3"/>
  <c r="Y23" i="3"/>
  <c r="Y34" i="9"/>
  <c r="Z507" i="3"/>
  <c r="AA509" i="3" s="1"/>
  <c r="M7" i="9"/>
  <c r="M8" i="9" s="1"/>
  <c r="T556" i="3"/>
  <c r="T555" i="3" s="1"/>
  <c r="S26" i="9"/>
  <c r="L43" i="3"/>
  <c r="L44" i="3" s="1"/>
  <c r="L47" i="3" s="1"/>
  <c r="L50" i="3" s="1"/>
  <c r="K45" i="3"/>
  <c r="K47" i="3" s="1"/>
  <c r="P385" i="3"/>
  <c r="P387" i="3" s="1"/>
  <c r="O91" i="3"/>
  <c r="W422" i="3"/>
  <c r="O450" i="3"/>
  <c r="V471" i="3"/>
  <c r="V327" i="3"/>
  <c r="J218" i="3"/>
  <c r="P483" i="3"/>
  <c r="R45" i="3"/>
  <c r="S7" i="9"/>
  <c r="S6" i="9" s="1"/>
  <c r="S507" i="3"/>
  <c r="X394" i="3"/>
  <c r="M43" i="3"/>
  <c r="M44" i="3" s="1"/>
  <c r="M32" i="3"/>
  <c r="O317" i="3"/>
  <c r="O319" i="3" s="1"/>
  <c r="O320" i="3" s="1"/>
  <c r="N447" i="3"/>
  <c r="M424" i="3"/>
  <c r="N89" i="3"/>
  <c r="O492" i="3"/>
  <c r="O496" i="3" s="1"/>
  <c r="R387" i="3"/>
  <c r="J485" i="3"/>
  <c r="J486" i="3" s="1"/>
  <c r="U483" i="3"/>
  <c r="N327" i="3"/>
  <c r="S13" i="10"/>
  <c r="O481" i="3"/>
  <c r="O483" i="3" s="1"/>
  <c r="K284" i="3"/>
  <c r="K72" i="3" s="1"/>
  <c r="U487" i="3"/>
  <c r="M447" i="3"/>
  <c r="P302" i="3"/>
  <c r="U348" i="3"/>
  <c r="U350" i="3" s="1"/>
  <c r="N32" i="3"/>
  <c r="Z304" i="3"/>
  <c r="R44" i="9"/>
  <c r="R45" i="9" s="1"/>
  <c r="X543" i="3"/>
  <c r="K422" i="3"/>
  <c r="V110" i="3"/>
  <c r="S511" i="3"/>
  <c r="M438" i="3"/>
  <c r="J307" i="3"/>
  <c r="V485" i="3"/>
  <c r="U183" i="3"/>
  <c r="U109" i="3" s="1"/>
  <c r="K302" i="3"/>
  <c r="R19" i="3"/>
  <c r="R36" i="3" s="1"/>
  <c r="X276" i="3"/>
  <c r="Q487" i="3"/>
  <c r="N385" i="3"/>
  <c r="N387" i="3" s="1"/>
  <c r="Y22" i="10"/>
  <c r="Q492" i="3"/>
  <c r="N43" i="3"/>
  <c r="N44" i="3" s="1"/>
  <c r="N47" i="3" s="1"/>
  <c r="I89" i="3"/>
  <c r="Q575" i="3"/>
  <c r="R567" i="3" s="1"/>
  <c r="L326" i="3"/>
  <c r="U327" i="3"/>
  <c r="L385" i="3"/>
  <c r="L387" i="3" s="1"/>
  <c r="S450" i="3"/>
  <c r="M450" i="3"/>
  <c r="L473" i="3"/>
  <c r="T472" i="3"/>
  <c r="V483" i="3"/>
  <c r="O521" i="3"/>
  <c r="Y304" i="3"/>
  <c r="Y483" i="3"/>
  <c r="U432" i="3"/>
  <c r="S302" i="3"/>
  <c r="W472" i="3"/>
  <c r="J89" i="3"/>
  <c r="T422" i="3"/>
  <c r="R521" i="3"/>
  <c r="L110" i="3"/>
  <c r="P91" i="3"/>
  <c r="O471" i="3"/>
  <c r="P317" i="3"/>
  <c r="P319" i="3" s="1"/>
  <c r="P320" i="3" s="1"/>
  <c r="N508" i="3"/>
  <c r="J317" i="3"/>
  <c r="M185" i="3"/>
  <c r="M172" i="3"/>
  <c r="R228" i="3"/>
  <c r="R230" i="3" s="1"/>
  <c r="R232" i="3" s="1"/>
  <c r="O35" i="3"/>
  <c r="K509" i="3"/>
  <c r="S326" i="3"/>
  <c r="M326" i="3"/>
  <c r="J19" i="3"/>
  <c r="U479" i="3"/>
  <c r="P469" i="3"/>
  <c r="P471" i="3" s="1"/>
  <c r="M110" i="3"/>
  <c r="G327" i="3"/>
  <c r="O327" i="3"/>
  <c r="Z13" i="10"/>
  <c r="P492" i="3"/>
  <c r="P496" i="3" s="1"/>
  <c r="J508" i="3"/>
  <c r="Y255" i="3"/>
  <c r="S22" i="9"/>
  <c r="S23" i="9" s="1"/>
  <c r="T394" i="3"/>
  <c r="U396" i="3" s="1"/>
  <c r="N511" i="3"/>
  <c r="N452" i="3" s="1"/>
  <c r="J511" i="3"/>
  <c r="J512" i="3" s="1"/>
  <c r="J447" i="3"/>
  <c r="M123" i="3"/>
  <c r="U435" i="3"/>
  <c r="J91" i="3"/>
  <c r="Q33" i="9"/>
  <c r="K228" i="3"/>
  <c r="K230" i="3" s="1"/>
  <c r="K232" i="3" s="1"/>
  <c r="Q317" i="3"/>
  <c r="Q319" i="3" s="1"/>
  <c r="Q320" i="3" s="1"/>
  <c r="N172" i="3"/>
  <c r="O307" i="3"/>
  <c r="S319" i="3"/>
  <c r="S320" i="3" s="1"/>
  <c r="I326" i="3"/>
  <c r="Q327" i="3"/>
  <c r="O388" i="3"/>
  <c r="N450" i="3"/>
  <c r="Z485" i="3"/>
  <c r="Y318" i="3"/>
  <c r="J36" i="9"/>
  <c r="K304" i="3"/>
  <c r="L304" i="3"/>
  <c r="L422" i="3"/>
  <c r="V260" i="3"/>
  <c r="W260" i="3" s="1"/>
  <c r="I76" i="3"/>
  <c r="J481" i="3"/>
  <c r="J483" i="3" s="1"/>
  <c r="J492" i="3"/>
  <c r="W493" i="3"/>
  <c r="W496" i="3" s="1"/>
  <c r="Q185" i="3"/>
  <c r="O302" i="3"/>
  <c r="S306" i="3"/>
  <c r="N307" i="3"/>
  <c r="U318" i="3"/>
  <c r="J326" i="3"/>
  <c r="Q350" i="3"/>
  <c r="S478" i="3"/>
  <c r="N521" i="3"/>
  <c r="R547" i="3"/>
  <c r="W23" i="3"/>
  <c r="Y23" i="9"/>
  <c r="X23" i="9"/>
  <c r="O394" i="3"/>
  <c r="P396" i="3" s="1"/>
  <c r="O104" i="3"/>
  <c r="Q303" i="3"/>
  <c r="Q307" i="3" s="1"/>
  <c r="Q188" i="3"/>
  <c r="Q210" i="3" s="1"/>
  <c r="Q211" i="3" s="1"/>
  <c r="W363" i="3"/>
  <c r="W13" i="10"/>
  <c r="P109" i="3"/>
  <c r="P185" i="3"/>
  <c r="L10" i="10"/>
  <c r="R445" i="3"/>
  <c r="R447" i="3" s="1"/>
  <c r="R507" i="3"/>
  <c r="R511" i="3" s="1"/>
  <c r="L211" i="3"/>
  <c r="Y245" i="3"/>
  <c r="R26" i="9"/>
  <c r="Y496" i="3"/>
  <c r="K499" i="3"/>
  <c r="K466" i="3"/>
  <c r="K63" i="3"/>
  <c r="K297" i="3"/>
  <c r="K311" i="3" s="1"/>
  <c r="L5" i="3"/>
  <c r="P22" i="3"/>
  <c r="P5" i="10"/>
  <c r="Q22" i="3"/>
  <c r="W44" i="9"/>
  <c r="W33" i="9"/>
  <c r="N349" i="3"/>
  <c r="S388" i="3"/>
  <c r="Z255" i="3"/>
  <c r="S10" i="10"/>
  <c r="S487" i="3"/>
  <c r="R422" i="3"/>
  <c r="Y307" i="3"/>
  <c r="S438" i="3"/>
  <c r="U466" i="3"/>
  <c r="U297" i="3"/>
  <c r="U311" i="3" s="1"/>
  <c r="U76" i="3"/>
  <c r="U63" i="3"/>
  <c r="U41" i="3"/>
  <c r="V5" i="3"/>
  <c r="X245" i="3"/>
  <c r="T255" i="3"/>
  <c r="P307" i="3"/>
  <c r="P304" i="3"/>
  <c r="T560" i="3"/>
  <c r="U560" i="3" s="1"/>
  <c r="V560" i="3" s="1"/>
  <c r="S559" i="3"/>
  <c r="Z26" i="9"/>
  <c r="Y111" i="3"/>
  <c r="J185" i="3"/>
  <c r="L32" i="3"/>
  <c r="S453" i="3"/>
  <c r="N19" i="3"/>
  <c r="N36" i="3" s="1"/>
  <c r="Y570" i="3"/>
  <c r="U26" i="9"/>
  <c r="U255" i="3"/>
  <c r="X304" i="3"/>
  <c r="R188" i="3"/>
  <c r="R210" i="3" s="1"/>
  <c r="R303" i="3"/>
  <c r="R304" i="3" s="1"/>
  <c r="R123" i="3"/>
  <c r="R218" i="3"/>
  <c r="R570" i="3"/>
  <c r="Z318" i="3"/>
  <c r="W23" i="9"/>
  <c r="K7" i="9"/>
  <c r="K6" i="9" s="1"/>
  <c r="K92" i="3"/>
  <c r="U299" i="3"/>
  <c r="K89" i="3"/>
  <c r="K481" i="3"/>
  <c r="K483" i="3" s="1"/>
  <c r="K469" i="3"/>
  <c r="K471" i="3" s="1"/>
  <c r="K317" i="3"/>
  <c r="R89" i="3"/>
  <c r="R317" i="3"/>
  <c r="R319" i="3" s="1"/>
  <c r="R320" i="3" s="1"/>
  <c r="K493" i="3"/>
  <c r="K497" i="3" s="1"/>
  <c r="K104" i="3"/>
  <c r="K105" i="3" s="1"/>
  <c r="K531" i="3" s="1"/>
  <c r="J164" i="3"/>
  <c r="I164" i="3"/>
  <c r="K172" i="3"/>
  <c r="N571" i="3"/>
  <c r="N218" i="3"/>
  <c r="Q432" i="3"/>
  <c r="R183" i="3"/>
  <c r="R456" i="3"/>
  <c r="K93" i="3"/>
  <c r="J93" i="3"/>
  <c r="M92" i="3"/>
  <c r="R306" i="3"/>
  <c r="N306" i="3"/>
  <c r="J245" i="3"/>
  <c r="J256" i="3" s="1"/>
  <c r="U32" i="3"/>
  <c r="L493" i="3"/>
  <c r="N104" i="3"/>
  <c r="N6" i="10" s="1"/>
  <c r="N394" i="3"/>
  <c r="N395" i="3" s="1"/>
  <c r="U104" i="3"/>
  <c r="O123" i="3"/>
  <c r="O218" i="3"/>
  <c r="O571" i="3"/>
  <c r="K575" i="3"/>
  <c r="L567" i="3" s="1"/>
  <c r="K33" i="9"/>
  <c r="K37" i="9" s="1"/>
  <c r="L38" i="9" s="1"/>
  <c r="Q422" i="3"/>
  <c r="S456" i="3"/>
  <c r="S183" i="3"/>
  <c r="S109" i="3" s="1"/>
  <c r="S432" i="3"/>
  <c r="S437" i="3"/>
  <c r="L453" i="3"/>
  <c r="L184" i="3"/>
  <c r="L185" i="3" s="1"/>
  <c r="N256" i="3"/>
  <c r="S435" i="3"/>
  <c r="J110" i="3"/>
  <c r="Q394" i="3"/>
  <c r="Q395" i="3" s="1"/>
  <c r="M387" i="3"/>
  <c r="R22" i="3"/>
  <c r="X228" i="3"/>
  <c r="U211" i="3"/>
  <c r="V34" i="9"/>
  <c r="M105" i="3"/>
  <c r="M112" i="3" s="1"/>
  <c r="P395" i="3"/>
  <c r="X493" i="3"/>
  <c r="X497" i="3" s="1"/>
  <c r="Z32" i="3"/>
  <c r="P6" i="10"/>
  <c r="K218" i="3"/>
  <c r="Y223" i="3"/>
  <c r="U306" i="3"/>
  <c r="T327" i="3"/>
  <c r="T471" i="3"/>
  <c r="N473" i="3"/>
  <c r="T479" i="3"/>
  <c r="W483" i="3"/>
  <c r="O508" i="3"/>
  <c r="J302" i="3"/>
  <c r="AA435" i="3"/>
  <c r="AA432" i="3"/>
  <c r="S218" i="3"/>
  <c r="O211" i="3"/>
  <c r="Y218" i="3"/>
  <c r="P388" i="3"/>
  <c r="R5" i="10"/>
  <c r="P164" i="3"/>
  <c r="R32" i="3"/>
  <c r="M453" i="3"/>
  <c r="T13" i="10"/>
  <c r="X104" i="3"/>
  <c r="V10" i="10"/>
  <c r="R23" i="9"/>
  <c r="J23" i="9"/>
  <c r="K28" i="9" s="1"/>
  <c r="N185" i="3"/>
  <c r="V185" i="3"/>
  <c r="X483" i="3"/>
  <c r="AF571" i="3"/>
  <c r="P23" i="9"/>
  <c r="Q28" i="9" s="1"/>
  <c r="L218" i="3"/>
  <c r="L72" i="3"/>
  <c r="L22" i="3"/>
  <c r="Y571" i="3"/>
  <c r="X507" i="3"/>
  <c r="V487" i="3"/>
  <c r="N469" i="3"/>
  <c r="N471" i="3" s="1"/>
  <c r="Y186" i="3"/>
  <c r="Q164" i="3"/>
  <c r="L438" i="3"/>
  <c r="P89" i="3"/>
  <c r="O172" i="3"/>
  <c r="K256" i="3"/>
  <c r="N381" i="3"/>
  <c r="R302" i="3"/>
  <c r="J327" i="3"/>
  <c r="AC42" i="3"/>
  <c r="Y211" i="3"/>
  <c r="K327" i="3"/>
  <c r="X13" i="10"/>
  <c r="Q306" i="3"/>
  <c r="X388" i="3"/>
  <c r="N317" i="3"/>
  <c r="U570" i="3"/>
  <c r="G164" i="3"/>
  <c r="J172" i="3"/>
  <c r="M228" i="3"/>
  <c r="M230" i="3" s="1"/>
  <c r="M232" i="3" s="1"/>
  <c r="W327" i="3"/>
  <c r="J478" i="3"/>
  <c r="R478" i="3"/>
  <c r="S485" i="3"/>
  <c r="S486" i="3" s="1"/>
  <c r="S551" i="3"/>
  <c r="Q6" i="9"/>
  <c r="Z571" i="3"/>
  <c r="Z218" i="3"/>
  <c r="AC270" i="3"/>
  <c r="AD270" i="3" s="1"/>
  <c r="Z110" i="3"/>
  <c r="V23" i="3"/>
  <c r="U407" i="3"/>
  <c r="U411" i="3" s="1"/>
  <c r="AA425" i="3"/>
  <c r="X570" i="3"/>
  <c r="L245" i="3"/>
  <c r="L256" i="3" s="1"/>
  <c r="L291" i="3" s="1"/>
  <c r="L22" i="9"/>
  <c r="L23" i="9" s="1"/>
  <c r="M28" i="9" s="1"/>
  <c r="Z452" i="3"/>
  <c r="Z284" i="3"/>
  <c r="T416" i="3"/>
  <c r="T453" i="3" s="1"/>
  <c r="T476" i="3"/>
  <c r="AA494" i="3"/>
  <c r="Q8" i="9"/>
  <c r="S35" i="3"/>
  <c r="J7" i="9"/>
  <c r="J92" i="3"/>
  <c r="O32" i="3"/>
  <c r="N59" i="3"/>
  <c r="S59" i="3"/>
  <c r="T32" i="3"/>
  <c r="M10" i="10"/>
  <c r="W10" i="10"/>
  <c r="X363" i="3"/>
  <c r="Y363" i="3"/>
  <c r="V388" i="3"/>
  <c r="Y485" i="3"/>
  <c r="Y471" i="3"/>
  <c r="T324" i="3"/>
  <c r="T547" i="3"/>
  <c r="O109" i="3"/>
  <c r="O185" i="3"/>
  <c r="L327" i="3"/>
  <c r="K326" i="3"/>
  <c r="P432" i="3"/>
  <c r="K447" i="3"/>
  <c r="K450" i="3"/>
  <c r="M473" i="3"/>
  <c r="M485" i="3"/>
  <c r="M486" i="3" s="1"/>
  <c r="U472" i="3"/>
  <c r="U471" i="3"/>
  <c r="L485" i="3"/>
  <c r="L486" i="3" s="1"/>
  <c r="L478" i="3"/>
  <c r="P478" i="3"/>
  <c r="P485" i="3"/>
  <c r="P486" i="3" s="1"/>
  <c r="Y396" i="3"/>
  <c r="Q110" i="3"/>
  <c r="V32" i="3"/>
  <c r="W32" i="3"/>
  <c r="M223" i="3"/>
  <c r="L228" i="3"/>
  <c r="L230" i="3" s="1"/>
  <c r="L232" i="3" s="1"/>
  <c r="T228" i="3"/>
  <c r="S371" i="3"/>
  <c r="S385" i="3"/>
  <c r="S387" i="3" s="1"/>
  <c r="S349" i="3"/>
  <c r="S362" i="3"/>
  <c r="O438" i="3"/>
  <c r="O453" i="3"/>
  <c r="O385" i="3"/>
  <c r="O387" i="3" s="1"/>
  <c r="U85" i="3"/>
  <c r="AD419" i="3"/>
  <c r="AE419" i="3" s="1"/>
  <c r="T392" i="3"/>
  <c r="T35" i="3"/>
  <c r="Y284" i="3"/>
  <c r="H5" i="3"/>
  <c r="I180" i="3"/>
  <c r="I499" i="3"/>
  <c r="I297" i="3"/>
  <c r="I311" i="3" s="1"/>
  <c r="I63" i="3"/>
  <c r="I82" i="3"/>
  <c r="I299" i="3"/>
  <c r="I41" i="3"/>
  <c r="I428" i="3"/>
  <c r="I442" i="3" s="1"/>
  <c r="V170" i="3"/>
  <c r="X26" i="9"/>
  <c r="X208" i="3"/>
  <c r="O44" i="9"/>
  <c r="O45" i="9" s="1"/>
  <c r="R284" i="3"/>
  <c r="R72" i="3" s="1"/>
  <c r="R575" i="3"/>
  <c r="S567" i="3" s="1"/>
  <c r="M36" i="9"/>
  <c r="M45" i="3"/>
  <c r="N302" i="3"/>
  <c r="N304" i="3"/>
  <c r="R326" i="3"/>
  <c r="R338" i="3"/>
  <c r="R453" i="3"/>
  <c r="R424" i="3"/>
  <c r="O437" i="3"/>
  <c r="O452" i="3"/>
  <c r="S256" i="3"/>
  <c r="N23" i="9"/>
  <c r="N22" i="3"/>
  <c r="AD571" i="3"/>
  <c r="P256" i="3"/>
  <c r="N35" i="3"/>
  <c r="W307" i="3"/>
  <c r="T318" i="3"/>
  <c r="P326" i="3"/>
  <c r="X382" i="3"/>
  <c r="P424" i="3"/>
  <c r="S483" i="3"/>
  <c r="T483" i="3"/>
  <c r="P521" i="3"/>
  <c r="T171" i="3"/>
  <c r="O228" i="3"/>
  <c r="O230" i="3" s="1"/>
  <c r="O232" i="3" s="1"/>
  <c r="K306" i="3"/>
  <c r="T307" i="3"/>
  <c r="L447" i="3"/>
  <c r="K485" i="3"/>
  <c r="K486" i="3" s="1"/>
  <c r="N485" i="3"/>
  <c r="N486" i="3" s="1"/>
  <c r="Y375" i="3"/>
  <c r="R37" i="9"/>
  <c r="S38" i="9" s="1"/>
  <c r="P401" i="3"/>
  <c r="Q72" i="3"/>
  <c r="O37" i="9"/>
  <c r="P38" i="9" s="1"/>
  <c r="G89" i="3"/>
  <c r="L35" i="3"/>
  <c r="Q302" i="3"/>
  <c r="U304" i="3"/>
  <c r="N326" i="3"/>
  <c r="Q365" i="3"/>
  <c r="Q366" i="3" s="1"/>
  <c r="T363" i="3"/>
  <c r="U375" i="3"/>
  <c r="T388" i="3"/>
  <c r="K432" i="3"/>
  <c r="X471" i="3"/>
  <c r="Y422" i="3"/>
  <c r="U324" i="3"/>
  <c r="U338" i="3" s="1"/>
  <c r="U362" i="3" s="1"/>
  <c r="U315" i="3"/>
  <c r="U319" i="3" s="1"/>
  <c r="U320" i="3" s="1"/>
  <c r="U501" i="3"/>
  <c r="U504" i="3" s="1"/>
  <c r="U5" i="9"/>
  <c r="U416" i="3"/>
  <c r="U438" i="3" s="1"/>
  <c r="U476" i="3"/>
  <c r="U478" i="3" s="1"/>
  <c r="U392" i="3"/>
  <c r="U395" i="3" s="1"/>
  <c r="U379" i="3"/>
  <c r="U381" i="3" s="1"/>
  <c r="U91" i="3"/>
  <c r="U6" i="3"/>
  <c r="U5" i="10" s="1"/>
  <c r="U520" i="3"/>
  <c r="T365" i="3"/>
  <c r="X10" i="10"/>
  <c r="W211" i="3"/>
  <c r="R223" i="3"/>
  <c r="Q228" i="3"/>
  <c r="Q230" i="3" s="1"/>
  <c r="Q232" i="3" s="1"/>
  <c r="W255" i="3"/>
  <c r="V26" i="9"/>
  <c r="T26" i="9"/>
  <c r="T34" i="9"/>
  <c r="V276" i="3"/>
  <c r="J33" i="9"/>
  <c r="J575" i="3"/>
  <c r="K567" i="3" s="1"/>
  <c r="J44" i="9"/>
  <c r="K45" i="9" s="1"/>
  <c r="P33" i="9"/>
  <c r="P284" i="3"/>
  <c r="P44" i="9"/>
  <c r="Q45" i="9" s="1"/>
  <c r="P575" i="3"/>
  <c r="P577" i="3" s="1"/>
  <c r="L511" i="3"/>
  <c r="M513" i="3" s="1"/>
  <c r="L509" i="3"/>
  <c r="AC408" i="3"/>
  <c r="AD274" i="3"/>
  <c r="T493" i="3"/>
  <c r="T496" i="3" s="1"/>
  <c r="V282" i="3"/>
  <c r="V284" i="3" s="1"/>
  <c r="X327" i="3"/>
  <c r="K109" i="3"/>
  <c r="K185" i="3"/>
  <c r="P13" i="10"/>
  <c r="P445" i="3"/>
  <c r="P211" i="3"/>
  <c r="V211" i="3"/>
  <c r="P570" i="3"/>
  <c r="P218" i="3"/>
  <c r="O504" i="3"/>
  <c r="O512" i="3"/>
  <c r="M512" i="3"/>
  <c r="Z59" i="3"/>
  <c r="AC34" i="9"/>
  <c r="T276" i="3"/>
  <c r="Y445" i="3"/>
  <c r="Y447" i="3" s="1"/>
  <c r="Y503" i="3"/>
  <c r="V507" i="3"/>
  <c r="W509" i="3" s="1"/>
  <c r="AA34" i="9"/>
  <c r="P47" i="3"/>
  <c r="N497" i="3"/>
  <c r="N496" i="3"/>
  <c r="Q123" i="3"/>
  <c r="O22" i="10"/>
  <c r="O43" i="3"/>
  <c r="O44" i="3" s="1"/>
  <c r="O47" i="3" s="1"/>
  <c r="O50" i="3" s="1"/>
  <c r="J424" i="3"/>
  <c r="N422" i="3"/>
  <c r="M422" i="3"/>
  <c r="U422" i="3"/>
  <c r="V422" i="3"/>
  <c r="M432" i="3"/>
  <c r="M435" i="3"/>
  <c r="Z276" i="3"/>
  <c r="T104" i="3"/>
  <c r="Z211" i="3"/>
  <c r="U552" i="3"/>
  <c r="U551" i="3" s="1"/>
  <c r="T551" i="3"/>
  <c r="P366" i="3"/>
  <c r="W218" i="3"/>
  <c r="J284" i="3"/>
  <c r="H327" i="3"/>
  <c r="W497" i="3"/>
  <c r="N10" i="10"/>
  <c r="N487" i="3"/>
  <c r="V223" i="3"/>
  <c r="AC244" i="3"/>
  <c r="U547" i="3"/>
  <c r="V548" i="3"/>
  <c r="J5" i="10"/>
  <c r="K22" i="3"/>
  <c r="L91" i="3"/>
  <c r="L89" i="3"/>
  <c r="L6" i="10"/>
  <c r="L7" i="10" s="1"/>
  <c r="L9" i="10" s="1"/>
  <c r="L481" i="3"/>
  <c r="L483" i="3" s="1"/>
  <c r="L469" i="3"/>
  <c r="L471" i="3" s="1"/>
  <c r="M89" i="3"/>
  <c r="N362" i="3"/>
  <c r="N365" i="3"/>
  <c r="U363" i="3"/>
  <c r="V363" i="3"/>
  <c r="Q375" i="3"/>
  <c r="R375" i="3"/>
  <c r="P382" i="3"/>
  <c r="P381" i="3"/>
  <c r="Q388" i="3"/>
  <c r="S504" i="3"/>
  <c r="S512" i="3"/>
  <c r="K508" i="3"/>
  <c r="K511" i="3"/>
  <c r="X14" i="10"/>
  <c r="S508" i="3"/>
  <c r="P327" i="3"/>
  <c r="T211" i="3"/>
  <c r="L492" i="3"/>
  <c r="O326" i="3"/>
  <c r="U302" i="3"/>
  <c r="AB231" i="3"/>
  <c r="K8" i="10"/>
  <c r="N432" i="3"/>
  <c r="N435" i="3"/>
  <c r="AA231" i="3"/>
  <c r="AE353" i="3"/>
  <c r="AF353" i="3" s="1"/>
  <c r="AG353" i="3" s="1"/>
  <c r="AH353" i="3" s="1"/>
  <c r="AI353" i="3" s="1"/>
  <c r="AJ353" i="3" s="1"/>
  <c r="AK353" i="3" s="1"/>
  <c r="AD355" i="3"/>
  <c r="M509" i="3"/>
  <c r="AB34" i="9"/>
  <c r="R388" i="3"/>
  <c r="G326" i="3"/>
  <c r="Y497" i="3"/>
  <c r="M218" i="3"/>
  <c r="M570" i="3"/>
  <c r="O223" i="3"/>
  <c r="N228" i="3"/>
  <c r="N230" i="3" s="1"/>
  <c r="N232" i="3" s="1"/>
  <c r="V228" i="3"/>
  <c r="T19" i="3"/>
  <c r="T45" i="3"/>
  <c r="T304" i="3"/>
  <c r="T302" i="3"/>
  <c r="M304" i="3"/>
  <c r="M307" i="3"/>
  <c r="Z44" i="9"/>
  <c r="Z45" i="9" s="1"/>
  <c r="AC242" i="3"/>
  <c r="V218" i="3"/>
  <c r="P507" i="3"/>
  <c r="L508" i="3"/>
  <c r="U228" i="3"/>
  <c r="M437" i="3"/>
  <c r="W26" i="9"/>
  <c r="R492" i="3"/>
  <c r="R496" i="3" s="1"/>
  <c r="R91" i="3"/>
  <c r="R105" i="3" s="1"/>
  <c r="R469" i="3"/>
  <c r="R471" i="3" s="1"/>
  <c r="R481" i="3"/>
  <c r="R483" i="3" s="1"/>
  <c r="S89" i="3"/>
  <c r="W104" i="3"/>
  <c r="U218" i="3"/>
  <c r="R438" i="3"/>
  <c r="R435" i="3"/>
  <c r="R432" i="3"/>
  <c r="J473" i="3"/>
  <c r="J471" i="3"/>
  <c r="R473" i="3"/>
  <c r="R485" i="3"/>
  <c r="R486" i="3" s="1"/>
  <c r="Q521" i="3"/>
  <c r="Y14" i="10"/>
  <c r="Y26" i="9"/>
  <c r="Y472" i="3"/>
  <c r="O22" i="3"/>
  <c r="R13" i="10"/>
  <c r="O424" i="3"/>
  <c r="Q363" i="3"/>
  <c r="J104" i="3"/>
  <c r="J493" i="3"/>
  <c r="V493" i="3"/>
  <c r="V497" i="3" s="1"/>
  <c r="V104" i="3"/>
  <c r="V348" i="3"/>
  <c r="W350" i="3" s="1"/>
  <c r="S394" i="3"/>
  <c r="S395" i="3" s="1"/>
  <c r="S104" i="3"/>
  <c r="S427" i="3" s="1"/>
  <c r="T284" i="3"/>
  <c r="K438" i="3"/>
  <c r="K385" i="3"/>
  <c r="K387" i="3" s="1"/>
  <c r="Q453" i="3"/>
  <c r="Q385" i="3"/>
  <c r="Q387" i="3" s="1"/>
  <c r="O422" i="3"/>
  <c r="P422" i="3"/>
  <c r="Y10" i="10"/>
  <c r="AA571" i="3"/>
  <c r="U168" i="3"/>
  <c r="T167" i="3"/>
  <c r="T487" i="3"/>
  <c r="T10" i="10"/>
  <c r="W571" i="3"/>
  <c r="Q473" i="3"/>
  <c r="Q485" i="3"/>
  <c r="Q486" i="3" s="1"/>
  <c r="O478" i="3"/>
  <c r="O485" i="3"/>
  <c r="O486" i="3" s="1"/>
  <c r="X479" i="3"/>
  <c r="W485" i="3"/>
  <c r="W479" i="3"/>
  <c r="M508" i="3"/>
  <c r="K521" i="3"/>
  <c r="L521" i="3"/>
  <c r="Z34" i="9"/>
  <c r="Z487" i="3"/>
  <c r="S521" i="3"/>
  <c r="X485" i="3"/>
  <c r="X472" i="3"/>
  <c r="N509" i="3"/>
  <c r="O10" i="10"/>
  <c r="T22" i="9"/>
  <c r="T23" i="9" s="1"/>
  <c r="U288" i="3"/>
  <c r="U18" i="3" s="1"/>
  <c r="U229" i="3"/>
  <c r="U289" i="3"/>
  <c r="W276" i="3"/>
  <c r="H326" i="3"/>
  <c r="O363" i="3"/>
  <c r="O365" i="3"/>
  <c r="Q382" i="3"/>
  <c r="K478" i="3"/>
  <c r="K473" i="3"/>
  <c r="Q478" i="3"/>
  <c r="Z186" i="3"/>
  <c r="Q286" i="3"/>
  <c r="Q291" i="3" s="1"/>
  <c r="AB266" i="3"/>
  <c r="O362" i="3"/>
  <c r="T375" i="3"/>
  <c r="K453" i="3"/>
  <c r="M306" i="3"/>
  <c r="S473" i="3"/>
  <c r="N478" i="3"/>
  <c r="U267" i="3"/>
  <c r="J496" i="3"/>
  <c r="Y33" i="9"/>
  <c r="Y575" i="3"/>
  <c r="Z567" i="3" s="1"/>
  <c r="K428" i="3"/>
  <c r="K442" i="3" s="1"/>
  <c r="K518" i="3"/>
  <c r="K41" i="3"/>
  <c r="K180" i="3"/>
  <c r="N5" i="10"/>
  <c r="Y32" i="3"/>
  <c r="X32" i="3"/>
  <c r="M481" i="3"/>
  <c r="M483" i="3" s="1"/>
  <c r="M492" i="3"/>
  <c r="M469" i="3"/>
  <c r="M471" i="3" s="1"/>
  <c r="M6" i="10"/>
  <c r="M7" i="10" s="1"/>
  <c r="M9" i="10" s="1"/>
  <c r="U22" i="9"/>
  <c r="U23" i="9" s="1"/>
  <c r="U245" i="3"/>
  <c r="R256" i="3"/>
  <c r="Q495" i="3"/>
  <c r="Q26" i="9"/>
  <c r="P19" i="3"/>
  <c r="Q36" i="3" s="1"/>
  <c r="P36" i="9"/>
  <c r="L306" i="3"/>
  <c r="L302" i="3"/>
  <c r="J304" i="3"/>
  <c r="I327" i="3"/>
  <c r="Q326" i="3"/>
  <c r="P363" i="3"/>
  <c r="W365" i="3"/>
  <c r="R382" i="3"/>
  <c r="R381" i="3"/>
  <c r="T456" i="3"/>
  <c r="T432" i="3"/>
  <c r="T435" i="3"/>
  <c r="T183" i="3"/>
  <c r="X452" i="3"/>
  <c r="X110" i="3"/>
  <c r="X184" i="3"/>
  <c r="X186" i="3" s="1"/>
  <c r="M452" i="3"/>
  <c r="T485" i="3"/>
  <c r="T486" i="3" s="1"/>
  <c r="Y327" i="3"/>
  <c r="Z375" i="3"/>
  <c r="P228" i="3"/>
  <c r="P230" i="3" s="1"/>
  <c r="P232" i="3" s="1"/>
  <c r="K59" i="3"/>
  <c r="K32" i="3"/>
  <c r="S32" i="3"/>
  <c r="N91" i="3"/>
  <c r="O89" i="3"/>
  <c r="N481" i="3"/>
  <c r="N483" i="3" s="1"/>
  <c r="J123" i="3"/>
  <c r="U507" i="3"/>
  <c r="U13" i="10"/>
  <c r="S211" i="3"/>
  <c r="V245" i="3"/>
  <c r="V22" i="9"/>
  <c r="V23" i="9" s="1"/>
  <c r="Q45" i="3"/>
  <c r="Q47" i="3" s="1"/>
  <c r="Q36" i="9"/>
  <c r="V307" i="3"/>
  <c r="V304" i="3"/>
  <c r="R327" i="3"/>
  <c r="S327" i="3"/>
  <c r="O349" i="3"/>
  <c r="S382" i="3"/>
  <c r="S381" i="3"/>
  <c r="T382" i="3"/>
  <c r="L388" i="3"/>
  <c r="U388" i="3"/>
  <c r="L432" i="3"/>
  <c r="Y276" i="3"/>
  <c r="Y388" i="3"/>
  <c r="AG571" i="3"/>
  <c r="L123" i="3"/>
  <c r="P10" i="10"/>
  <c r="K570" i="3"/>
  <c r="Q218" i="3"/>
  <c r="Q570" i="3"/>
  <c r="U276" i="3"/>
  <c r="O284" i="3"/>
  <c r="O286" i="3" s="1"/>
  <c r="O575" i="3"/>
  <c r="P567" i="3" s="1"/>
  <c r="W284" i="3"/>
  <c r="W575" i="3"/>
  <c r="Y479" i="3"/>
  <c r="J47" i="3"/>
  <c r="U180" i="3"/>
  <c r="U499" i="3"/>
  <c r="U518" i="3"/>
  <c r="U428" i="3"/>
  <c r="U442" i="3" s="1"/>
  <c r="U235" i="3"/>
  <c r="H89" i="3"/>
  <c r="W394" i="3"/>
  <c r="S303" i="3"/>
  <c r="S304" i="3" s="1"/>
  <c r="H164" i="3"/>
  <c r="Q445" i="3"/>
  <c r="Q447" i="3" s="1"/>
  <c r="Q507" i="3"/>
  <c r="W228" i="3"/>
  <c r="S284" i="3"/>
  <c r="S33" i="9"/>
  <c r="S575" i="3"/>
  <c r="T567" i="3" s="1"/>
  <c r="S44" i="9"/>
  <c r="T45" i="9" s="1"/>
  <c r="O306" i="3"/>
  <c r="W318" i="3"/>
  <c r="W184" i="3"/>
  <c r="W186" i="3" s="1"/>
  <c r="W110" i="3"/>
  <c r="S471" i="3"/>
  <c r="X218" i="3"/>
  <c r="Z382" i="3"/>
  <c r="AC516" i="3"/>
  <c r="AD516" i="3" s="1"/>
  <c r="AE516" i="3" s="1"/>
  <c r="AF516" i="3" s="1"/>
  <c r="AG516" i="3" s="1"/>
  <c r="AH516" i="3" s="1"/>
  <c r="AI516" i="3" s="1"/>
  <c r="AJ516" i="3" s="1"/>
  <c r="AK516" i="3" s="1"/>
  <c r="AL516" i="3" s="1"/>
  <c r="Q23" i="9"/>
  <c r="Q469" i="3"/>
  <c r="Q471" i="3" s="1"/>
  <c r="M23" i="9"/>
  <c r="N28" i="9" s="1"/>
  <c r="M388" i="3"/>
  <c r="I466" i="3"/>
  <c r="S496" i="3"/>
  <c r="S376" i="3"/>
  <c r="U485" i="3"/>
  <c r="U486" i="3" s="1"/>
  <c r="Z479" i="3"/>
  <c r="Q481" i="3"/>
  <c r="Q483" i="3" s="1"/>
  <c r="Q89" i="3"/>
  <c r="T507" i="3"/>
  <c r="Y542" i="3"/>
  <c r="Y543" i="3" s="1"/>
  <c r="R6" i="10"/>
  <c r="Q105" i="3"/>
  <c r="Q106" i="3" s="1"/>
  <c r="Q6" i="10"/>
  <c r="Q7" i="10" s="1"/>
  <c r="Q9" i="10" s="1"/>
  <c r="O28" i="9"/>
  <c r="O23" i="9"/>
  <c r="P28" i="9" s="1"/>
  <c r="AB375" i="3"/>
  <c r="AC100" i="3"/>
  <c r="AC375" i="3"/>
  <c r="AD372" i="3"/>
  <c r="T5" i="9"/>
  <c r="T91" i="3"/>
  <c r="T6" i="3"/>
  <c r="T315" i="3"/>
  <c r="T319" i="3" s="1"/>
  <c r="T320" i="3" s="1"/>
  <c r="T520" i="3"/>
  <c r="T521" i="3" s="1"/>
  <c r="T379" i="3"/>
  <c r="T381" i="3" s="1"/>
  <c r="T85" i="3"/>
  <c r="T501" i="3"/>
  <c r="AD335" i="3"/>
  <c r="AD96" i="3" s="1"/>
  <c r="AF334" i="3"/>
  <c r="AC335" i="3"/>
  <c r="R47" i="3"/>
  <c r="R67" i="3" s="1"/>
  <c r="Y42" i="3"/>
  <c r="AF354" i="3"/>
  <c r="Z575" i="3"/>
  <c r="Z496" i="3"/>
  <c r="Z497" i="3"/>
  <c r="AE13" i="9"/>
  <c r="AC253" i="3"/>
  <c r="S47" i="3"/>
  <c r="S19" i="3"/>
  <c r="S36" i="9"/>
  <c r="K35" i="3"/>
  <c r="AC139" i="3"/>
  <c r="Q92" i="3"/>
  <c r="AC262" i="3"/>
  <c r="L44" i="9"/>
  <c r="L575" i="3"/>
  <c r="L33" i="9"/>
  <c r="L37" i="9" s="1"/>
  <c r="M38" i="9" s="1"/>
  <c r="N110" i="3"/>
  <c r="W445" i="3"/>
  <c r="M575" i="3"/>
  <c r="M33" i="9"/>
  <c r="M44" i="9"/>
  <c r="N45" i="9" s="1"/>
  <c r="M284" i="3"/>
  <c r="M35" i="3"/>
  <c r="Q35" i="3"/>
  <c r="Q371" i="3"/>
  <c r="Q376" i="3" s="1"/>
  <c r="Q362" i="3"/>
  <c r="AA35" i="9"/>
  <c r="S307" i="3"/>
  <c r="Q32" i="3"/>
  <c r="P59" i="3"/>
  <c r="P32" i="3"/>
  <c r="AC250" i="3"/>
  <c r="AC264" i="3"/>
  <c r="X284" i="3"/>
  <c r="X33" i="9"/>
  <c r="X44" i="9"/>
  <c r="N284" i="3"/>
  <c r="N33" i="9"/>
  <c r="N37" i="9" s="1"/>
  <c r="O38" i="9" s="1"/>
  <c r="R35" i="3"/>
  <c r="T218" i="3"/>
  <c r="X571" i="3"/>
  <c r="W223" i="3"/>
  <c r="T245" i="3"/>
  <c r="U282" i="3"/>
  <c r="Y13" i="10"/>
  <c r="Z422" i="3"/>
  <c r="Z394" i="3"/>
  <c r="Z348" i="3"/>
  <c r="Z365" i="3" s="1"/>
  <c r="X487" i="3"/>
  <c r="W11" i="10"/>
  <c r="AE571" i="3"/>
  <c r="U223" i="3"/>
  <c r="V394" i="3"/>
  <c r="T11" i="10"/>
  <c r="T36" i="9"/>
  <c r="Z388" i="3"/>
  <c r="T230" i="3"/>
  <c r="T232" i="3" s="1"/>
  <c r="U493" i="3"/>
  <c r="Y348" i="3"/>
  <c r="Q15" i="10" l="1"/>
  <c r="Q539" i="3" s="1"/>
  <c r="R321" i="3"/>
  <c r="AC96" i="3"/>
  <c r="S350" i="3"/>
  <c r="Q308" i="3"/>
  <c r="R398" i="3"/>
  <c r="R399" i="3" s="1"/>
  <c r="T350" i="3"/>
  <c r="R286" i="3"/>
  <c r="V301" i="3"/>
  <c r="V302" i="3" s="1"/>
  <c r="V308" i="3" s="1"/>
  <c r="K527" i="3"/>
  <c r="O110" i="3"/>
  <c r="K36" i="3"/>
  <c r="AK352" i="3"/>
  <c r="AL352" i="3" s="1"/>
  <c r="O291" i="3"/>
  <c r="K73" i="3"/>
  <c r="W511" i="3"/>
  <c r="W452" i="3" s="1"/>
  <c r="M15" i="10"/>
  <c r="M21" i="10" s="1"/>
  <c r="M17" i="3" s="1"/>
  <c r="M71" i="3" s="1"/>
  <c r="R395" i="3"/>
  <c r="AL353" i="3"/>
  <c r="K106" i="3"/>
  <c r="Z503" i="3"/>
  <c r="Z505" i="3" s="1"/>
  <c r="T395" i="3"/>
  <c r="AD42" i="3"/>
  <c r="S8" i="9"/>
  <c r="M6" i="9"/>
  <c r="T28" i="9"/>
  <c r="N437" i="3"/>
  <c r="S308" i="3"/>
  <c r="P36" i="3"/>
  <c r="W288" i="3"/>
  <c r="W18" i="3" s="1"/>
  <c r="O36" i="3"/>
  <c r="Z445" i="3"/>
  <c r="Z447" i="3" s="1"/>
  <c r="U365" i="3"/>
  <c r="U366" i="3" s="1"/>
  <c r="W267" i="3"/>
  <c r="V288" i="3"/>
  <c r="X350" i="3"/>
  <c r="Q37" i="9"/>
  <c r="R38" i="9" s="1"/>
  <c r="L308" i="3"/>
  <c r="V289" i="3"/>
  <c r="P67" i="3"/>
  <c r="Z509" i="3"/>
  <c r="X365" i="3"/>
  <c r="X398" i="3" s="1"/>
  <c r="V267" i="3"/>
  <c r="K308" i="3"/>
  <c r="N513" i="3"/>
  <c r="K67" i="3"/>
  <c r="K51" i="3"/>
  <c r="AC259" i="3"/>
  <c r="AD259" i="3" s="1"/>
  <c r="V552" i="3"/>
  <c r="V551" i="3" s="1"/>
  <c r="AE355" i="3"/>
  <c r="M106" i="3"/>
  <c r="S318" i="3"/>
  <c r="W289" i="3"/>
  <c r="W19" i="3" s="1"/>
  <c r="U556" i="3"/>
  <c r="V556" i="3" s="1"/>
  <c r="W556" i="3" s="1"/>
  <c r="W555" i="3" s="1"/>
  <c r="K286" i="3"/>
  <c r="K291" i="3" s="1"/>
  <c r="O7" i="9"/>
  <c r="O92" i="3"/>
  <c r="V496" i="3"/>
  <c r="R396" i="3"/>
  <c r="P308" i="3"/>
  <c r="AB35" i="9"/>
  <c r="Y450" i="3"/>
  <c r="N512" i="3"/>
  <c r="X260" i="3"/>
  <c r="M47" i="3"/>
  <c r="M50" i="3" s="1"/>
  <c r="K496" i="3"/>
  <c r="O497" i="3"/>
  <c r="P93" i="3"/>
  <c r="V28" i="9"/>
  <c r="O513" i="3"/>
  <c r="J37" i="9"/>
  <c r="K38" i="9" s="1"/>
  <c r="W229" i="3"/>
  <c r="W230" i="3" s="1"/>
  <c r="W232" i="3" s="1"/>
  <c r="S185" i="3"/>
  <c r="O67" i="3"/>
  <c r="R367" i="3"/>
  <c r="W301" i="3"/>
  <c r="Q304" i="3"/>
  <c r="U185" i="3"/>
  <c r="K7" i="3"/>
  <c r="K6" i="10"/>
  <c r="K7" i="10" s="1"/>
  <c r="K9" i="10" s="1"/>
  <c r="K15" i="10" s="1"/>
  <c r="K539" i="3" s="1"/>
  <c r="T559" i="3"/>
  <c r="Y256" i="3"/>
  <c r="S396" i="3"/>
  <c r="Z256" i="3"/>
  <c r="U385" i="3"/>
  <c r="U387" i="3" s="1"/>
  <c r="J497" i="3"/>
  <c r="Z28" i="9"/>
  <c r="V229" i="3"/>
  <c r="V230" i="3" s="1"/>
  <c r="V232" i="3" s="1"/>
  <c r="Q396" i="3"/>
  <c r="K68" i="3"/>
  <c r="P497" i="3"/>
  <c r="S452" i="3"/>
  <c r="R403" i="3"/>
  <c r="R508" i="3"/>
  <c r="K50" i="3"/>
  <c r="R7" i="10"/>
  <c r="R9" i="10" s="1"/>
  <c r="R15" i="10" s="1"/>
  <c r="R17" i="10" s="1"/>
  <c r="R509" i="3"/>
  <c r="T396" i="3"/>
  <c r="S321" i="3"/>
  <c r="V256" i="3"/>
  <c r="X496" i="3"/>
  <c r="K112" i="3"/>
  <c r="S509" i="3"/>
  <c r="N308" i="3"/>
  <c r="S28" i="9"/>
  <c r="P105" i="3"/>
  <c r="Q107" i="3" s="1"/>
  <c r="P7" i="9"/>
  <c r="P92" i="3"/>
  <c r="Q93" i="3"/>
  <c r="X28" i="9"/>
  <c r="L15" i="10"/>
  <c r="L539" i="3" s="1"/>
  <c r="AC176" i="3"/>
  <c r="AC175" i="3" s="1"/>
  <c r="P7" i="10"/>
  <c r="P9" i="10" s="1"/>
  <c r="P15" i="10" s="1"/>
  <c r="P18" i="10" s="1"/>
  <c r="K8" i="9"/>
  <c r="Y28" i="9"/>
  <c r="R497" i="3"/>
  <c r="T497" i="3"/>
  <c r="U6" i="10"/>
  <c r="U7" i="10" s="1"/>
  <c r="U9" i="10" s="1"/>
  <c r="U15" i="10" s="1"/>
  <c r="U17" i="10" s="1"/>
  <c r="J308" i="3"/>
  <c r="Y8" i="10"/>
  <c r="V235" i="3"/>
  <c r="V518" i="3"/>
  <c r="W5" i="3"/>
  <c r="V63" i="3"/>
  <c r="V180" i="3"/>
  <c r="V466" i="3"/>
  <c r="V499" i="3"/>
  <c r="V299" i="3"/>
  <c r="V428" i="3"/>
  <c r="V442" i="3" s="1"/>
  <c r="V297" i="3"/>
  <c r="V311" i="3" s="1"/>
  <c r="V41" i="3"/>
  <c r="V76" i="3"/>
  <c r="V82" i="3"/>
  <c r="Y6" i="10"/>
  <c r="R28" i="9"/>
  <c r="R307" i="3"/>
  <c r="R308" i="3" s="1"/>
  <c r="AA28" i="9"/>
  <c r="R450" i="3"/>
  <c r="X509" i="3"/>
  <c r="P110" i="3"/>
  <c r="T43" i="3"/>
  <c r="R109" i="3"/>
  <c r="R185" i="3"/>
  <c r="O72" i="3"/>
  <c r="AB46" i="3"/>
  <c r="N7" i="10"/>
  <c r="N9" i="10" s="1"/>
  <c r="N15" i="10" s="1"/>
  <c r="R211" i="3"/>
  <c r="X503" i="3"/>
  <c r="Y505" i="3" s="1"/>
  <c r="V18" i="3"/>
  <c r="T22" i="10"/>
  <c r="M527" i="3"/>
  <c r="M531" i="3"/>
  <c r="M7" i="3"/>
  <c r="M68" i="3"/>
  <c r="O6" i="10"/>
  <c r="O7" i="10" s="1"/>
  <c r="O9" i="10" s="1"/>
  <c r="O15" i="10" s="1"/>
  <c r="O539" i="3" s="1"/>
  <c r="O105" i="3"/>
  <c r="L180" i="3"/>
  <c r="L82" i="3"/>
  <c r="L76" i="3"/>
  <c r="L299" i="3"/>
  <c r="L499" i="3"/>
  <c r="L297" i="3"/>
  <c r="L311" i="3" s="1"/>
  <c r="L518" i="3"/>
  <c r="L466" i="3"/>
  <c r="L63" i="3"/>
  <c r="L428" i="3"/>
  <c r="L442" i="3" s="1"/>
  <c r="M5" i="3"/>
  <c r="L41" i="3"/>
  <c r="X256" i="3"/>
  <c r="X445" i="3"/>
  <c r="X450" i="3" s="1"/>
  <c r="S110" i="3"/>
  <c r="T37" i="9"/>
  <c r="U38" i="9" s="1"/>
  <c r="Y509" i="3"/>
  <c r="M73" i="3"/>
  <c r="O395" i="3"/>
  <c r="O396" i="3"/>
  <c r="P45" i="9"/>
  <c r="U371" i="3"/>
  <c r="U376" i="3" s="1"/>
  <c r="M37" i="9"/>
  <c r="N38" i="9" s="1"/>
  <c r="AD169" i="3"/>
  <c r="AE169" i="3" s="1"/>
  <c r="AF169" i="3" s="1"/>
  <c r="AG169" i="3" s="1"/>
  <c r="AH169" i="3" s="1"/>
  <c r="AI169" i="3" s="1"/>
  <c r="AJ169" i="3" s="1"/>
  <c r="AK169" i="3" s="1"/>
  <c r="AL169" i="3" s="1"/>
  <c r="Z111" i="3"/>
  <c r="U349" i="3"/>
  <c r="U326" i="3"/>
  <c r="U508" i="3"/>
  <c r="T424" i="3"/>
  <c r="T438" i="3"/>
  <c r="M16" i="3"/>
  <c r="M57" i="3" s="1"/>
  <c r="M58" i="3" s="1"/>
  <c r="R68" i="3"/>
  <c r="R112" i="3"/>
  <c r="R127" i="3" s="1"/>
  <c r="R527" i="3"/>
  <c r="U559" i="3"/>
  <c r="W28" i="9"/>
  <c r="R291" i="3"/>
  <c r="Q401" i="3"/>
  <c r="Q402" i="3" s="1"/>
  <c r="U28" i="9"/>
  <c r="O308" i="3"/>
  <c r="T478" i="3"/>
  <c r="T473" i="3"/>
  <c r="R371" i="3"/>
  <c r="R376" i="3" s="1"/>
  <c r="R349" i="3"/>
  <c r="R362" i="3"/>
  <c r="R366" i="3"/>
  <c r="AC421" i="3"/>
  <c r="AB425" i="3"/>
  <c r="S45" i="9"/>
  <c r="X211" i="3"/>
  <c r="H297" i="3"/>
  <c r="H311" i="3" s="1"/>
  <c r="H466" i="3"/>
  <c r="H82" i="3"/>
  <c r="H299" i="3"/>
  <c r="H518" i="3"/>
  <c r="H41" i="3"/>
  <c r="G5" i="3"/>
  <c r="H499" i="3"/>
  <c r="H76" i="3"/>
  <c r="H63" i="3"/>
  <c r="H180" i="3"/>
  <c r="T326" i="3"/>
  <c r="T338" i="3"/>
  <c r="M308" i="3"/>
  <c r="J8" i="9"/>
  <c r="J6" i="9"/>
  <c r="U92" i="3"/>
  <c r="U7" i="9"/>
  <c r="U473" i="3"/>
  <c r="U424" i="3"/>
  <c r="U453" i="3"/>
  <c r="U105" i="3"/>
  <c r="Q50" i="3"/>
  <c r="Q67" i="3"/>
  <c r="U230" i="3"/>
  <c r="U232" i="3" s="1"/>
  <c r="AC272" i="3"/>
  <c r="R512" i="3"/>
  <c r="R452" i="3"/>
  <c r="R437" i="3"/>
  <c r="S513" i="3"/>
  <c r="K437" i="3"/>
  <c r="K452" i="3"/>
  <c r="K513" i="3"/>
  <c r="K512" i="3"/>
  <c r="S6" i="10"/>
  <c r="S7" i="10" s="1"/>
  <c r="S9" i="10" s="1"/>
  <c r="S15" i="10" s="1"/>
  <c r="S539" i="3" s="1"/>
  <c r="V33" i="9"/>
  <c r="V44" i="9"/>
  <c r="W45" i="9" s="1"/>
  <c r="V575" i="3"/>
  <c r="W567" i="3" s="1"/>
  <c r="S286" i="3"/>
  <c r="S291" i="3" s="1"/>
  <c r="S72" i="3"/>
  <c r="O366" i="3"/>
  <c r="O401" i="3"/>
  <c r="K8" i="3"/>
  <c r="K116" i="3"/>
  <c r="Y430" i="3"/>
  <c r="S37" i="9"/>
  <c r="T38" i="9" s="1"/>
  <c r="X396" i="3"/>
  <c r="W573" i="3"/>
  <c r="W577" i="3" s="1"/>
  <c r="X567" i="3"/>
  <c r="V346" i="3"/>
  <c r="V350" i="3"/>
  <c r="V365" i="3"/>
  <c r="M126" i="3"/>
  <c r="M116" i="3"/>
  <c r="M564" i="3"/>
  <c r="M523" i="3"/>
  <c r="M8" i="3"/>
  <c r="M113" i="3"/>
  <c r="Q450" i="3"/>
  <c r="P508" i="3"/>
  <c r="P511" i="3"/>
  <c r="P509" i="3"/>
  <c r="AE270" i="3"/>
  <c r="K110" i="3"/>
  <c r="AC252" i="3"/>
  <c r="L92" i="3"/>
  <c r="L93" i="3"/>
  <c r="L7" i="9"/>
  <c r="M93" i="3"/>
  <c r="J72" i="3"/>
  <c r="J286" i="3"/>
  <c r="J291" i="3" s="1"/>
  <c r="P37" i="9"/>
  <c r="Q38" i="9" s="1"/>
  <c r="R66" i="3"/>
  <c r="W111" i="3"/>
  <c r="W6" i="10" s="1"/>
  <c r="U308" i="3"/>
  <c r="T308" i="3"/>
  <c r="P50" i="3"/>
  <c r="AE274" i="3"/>
  <c r="AD34" i="9"/>
  <c r="P286" i="3"/>
  <c r="P291" i="3" s="1"/>
  <c r="P72" i="3"/>
  <c r="W256" i="3"/>
  <c r="L67" i="3"/>
  <c r="S105" i="3"/>
  <c r="S531" i="3" s="1"/>
  <c r="R106" i="3"/>
  <c r="T72" i="3"/>
  <c r="T286" i="3"/>
  <c r="V6" i="10"/>
  <c r="U256" i="3"/>
  <c r="V547" i="3"/>
  <c r="W548" i="3"/>
  <c r="L105" i="3"/>
  <c r="L51" i="3" s="1"/>
  <c r="T511" i="3"/>
  <c r="T445" i="3"/>
  <c r="Q509" i="3"/>
  <c r="Q508" i="3"/>
  <c r="Q511" i="3"/>
  <c r="T509" i="3"/>
  <c r="Q18" i="10"/>
  <c r="R7" i="3"/>
  <c r="Q51" i="3"/>
  <c r="J50" i="3"/>
  <c r="J67" i="3"/>
  <c r="N7" i="9"/>
  <c r="N105" i="3"/>
  <c r="O93" i="3"/>
  <c r="N93" i="3"/>
  <c r="N92" i="3"/>
  <c r="W398" i="3"/>
  <c r="X367" i="3"/>
  <c r="W401" i="3"/>
  <c r="M496" i="3"/>
  <c r="M497" i="3"/>
  <c r="T161" i="3"/>
  <c r="R92" i="3"/>
  <c r="S93" i="3"/>
  <c r="R7" i="9"/>
  <c r="R93" i="3"/>
  <c r="AD242" i="3"/>
  <c r="L497" i="3"/>
  <c r="L496" i="3"/>
  <c r="T6" i="10"/>
  <c r="V445" i="3"/>
  <c r="V511" i="3"/>
  <c r="W513" i="3" s="1"/>
  <c r="V509" i="3"/>
  <c r="AC412" i="3"/>
  <c r="AD408" i="3"/>
  <c r="L452" i="3"/>
  <c r="L513" i="3"/>
  <c r="L437" i="3"/>
  <c r="L512" i="3"/>
  <c r="P450" i="3"/>
  <c r="P447" i="3"/>
  <c r="Q21" i="10"/>
  <c r="Q17" i="3" s="1"/>
  <c r="R531" i="3"/>
  <c r="AC266" i="3"/>
  <c r="AC241" i="3"/>
  <c r="U172" i="3"/>
  <c r="U171" i="3" s="1"/>
  <c r="AC271" i="3"/>
  <c r="X430" i="3"/>
  <c r="X505" i="3"/>
  <c r="N401" i="3"/>
  <c r="N366" i="3"/>
  <c r="AD244" i="3"/>
  <c r="X111" i="3"/>
  <c r="Z430" i="3"/>
  <c r="R73" i="3"/>
  <c r="AC240" i="3"/>
  <c r="U511" i="3"/>
  <c r="U445" i="3"/>
  <c r="U509" i="3"/>
  <c r="T185" i="3"/>
  <c r="T109" i="3"/>
  <c r="Q496" i="3"/>
  <c r="Q497" i="3"/>
  <c r="U19" i="3"/>
  <c r="U45" i="3"/>
  <c r="U36" i="9"/>
  <c r="J6" i="10"/>
  <c r="J7" i="10" s="1"/>
  <c r="J9" i="10" s="1"/>
  <c r="J15" i="10" s="1"/>
  <c r="J105" i="3"/>
  <c r="U110" i="3"/>
  <c r="S398" i="3"/>
  <c r="S399" i="3" s="1"/>
  <c r="S366" i="3"/>
  <c r="S401" i="3"/>
  <c r="S367" i="3"/>
  <c r="AA447" i="3"/>
  <c r="AB503" i="3"/>
  <c r="T398" i="3"/>
  <c r="T399" i="3" s="1"/>
  <c r="T367" i="3"/>
  <c r="T401" i="3"/>
  <c r="T403" i="3" s="1"/>
  <c r="R107" i="3"/>
  <c r="Q16" i="3"/>
  <c r="Q527" i="3"/>
  <c r="Q7" i="3"/>
  <c r="Q73" i="3"/>
  <c r="Q68" i="3"/>
  <c r="Q531" i="3"/>
  <c r="Q66" i="3"/>
  <c r="Q112" i="3"/>
  <c r="Q19" i="10"/>
  <c r="Q17" i="10"/>
  <c r="R50" i="3"/>
  <c r="AC494" i="3"/>
  <c r="AD375" i="3"/>
  <c r="AD100" i="3"/>
  <c r="AE372" i="3"/>
  <c r="T504" i="3"/>
  <c r="T508" i="3"/>
  <c r="U521" i="3"/>
  <c r="T22" i="3"/>
  <c r="T5" i="10"/>
  <c r="U22" i="3"/>
  <c r="U93" i="3"/>
  <c r="T105" i="3"/>
  <c r="T92" i="3"/>
  <c r="T93" i="3"/>
  <c r="T7" i="9"/>
  <c r="AF335" i="3"/>
  <c r="AF96" i="3" s="1"/>
  <c r="AG334" i="3"/>
  <c r="R51" i="3"/>
  <c r="Y44" i="3"/>
  <c r="X42" i="3"/>
  <c r="Y59" i="3"/>
  <c r="U321" i="3"/>
  <c r="T321" i="3"/>
  <c r="W560" i="3"/>
  <c r="V559" i="3"/>
  <c r="Z398" i="3"/>
  <c r="Z401" i="3"/>
  <c r="W396" i="3"/>
  <c r="V396" i="3"/>
  <c r="Y357" i="3"/>
  <c r="Y350" i="3"/>
  <c r="W447" i="3"/>
  <c r="W450" i="3"/>
  <c r="U35" i="3"/>
  <c r="S36" i="3"/>
  <c r="T36" i="3"/>
  <c r="AD253" i="3"/>
  <c r="AC227" i="3"/>
  <c r="AA567" i="3"/>
  <c r="U496" i="3"/>
  <c r="U497" i="3"/>
  <c r="AC263" i="3"/>
  <c r="AC280" i="3"/>
  <c r="AC279" i="3"/>
  <c r="U575" i="3"/>
  <c r="U44" i="9"/>
  <c r="U33" i="9"/>
  <c r="U284" i="3"/>
  <c r="AD264" i="3"/>
  <c r="M567" i="3"/>
  <c r="AD262" i="3"/>
  <c r="S50" i="3"/>
  <c r="S67" i="3"/>
  <c r="N50" i="3"/>
  <c r="N67" i="3"/>
  <c r="AF355" i="3"/>
  <c r="AG354" i="3"/>
  <c r="AC243" i="3"/>
  <c r="AB22" i="9"/>
  <c r="Z357" i="3"/>
  <c r="Z350" i="3"/>
  <c r="T256" i="3"/>
  <c r="N286" i="3"/>
  <c r="N291" i="3" s="1"/>
  <c r="N72" i="3"/>
  <c r="N567" i="3"/>
  <c r="L45" i="9"/>
  <c r="M45" i="9"/>
  <c r="AD139" i="3"/>
  <c r="AC283" i="3"/>
  <c r="AF419" i="3"/>
  <c r="Z396" i="3"/>
  <c r="AC265" i="3"/>
  <c r="X45" i="9"/>
  <c r="Y45" i="9"/>
  <c r="AD250" i="3"/>
  <c r="AC251" i="3"/>
  <c r="M72" i="3"/>
  <c r="M286" i="3"/>
  <c r="M291" i="3" s="1"/>
  <c r="W437" i="3"/>
  <c r="X513" i="3"/>
  <c r="Y365" i="3"/>
  <c r="Z367" i="3" s="1"/>
  <c r="AF13" i="9"/>
  <c r="M51" i="3" l="1"/>
  <c r="M67" i="3"/>
  <c r="S73" i="3"/>
  <c r="R126" i="3"/>
  <c r="U398" i="3"/>
  <c r="U399" i="3" s="1"/>
  <c r="W36" i="9"/>
  <c r="W37" i="9" s="1"/>
  <c r="X38" i="9" s="1"/>
  <c r="K564" i="3"/>
  <c r="M17" i="10"/>
  <c r="M18" i="10"/>
  <c r="X556" i="3"/>
  <c r="U367" i="3"/>
  <c r="U401" i="3"/>
  <c r="R8" i="3"/>
  <c r="Z450" i="3"/>
  <c r="V367" i="3"/>
  <c r="K126" i="3"/>
  <c r="K130" i="3" s="1"/>
  <c r="U555" i="3"/>
  <c r="K52" i="3"/>
  <c r="K113" i="3"/>
  <c r="V306" i="3"/>
  <c r="W45" i="3"/>
  <c r="K523" i="3"/>
  <c r="R564" i="3"/>
  <c r="M539" i="3"/>
  <c r="V72" i="3"/>
  <c r="R113" i="3"/>
  <c r="V555" i="3"/>
  <c r="M19" i="10"/>
  <c r="W306" i="3"/>
  <c r="V286" i="3"/>
  <c r="X401" i="3"/>
  <c r="AE42" i="3"/>
  <c r="S18" i="10"/>
  <c r="X288" i="3"/>
  <c r="X72" i="3" s="1"/>
  <c r="V36" i="9"/>
  <c r="V37" i="9" s="1"/>
  <c r="W38" i="9" s="1"/>
  <c r="X229" i="3"/>
  <c r="X230" i="3" s="1"/>
  <c r="X232" i="3" s="1"/>
  <c r="V45" i="3"/>
  <c r="X301" i="3"/>
  <c r="X306" i="3" s="1"/>
  <c r="V19" i="3"/>
  <c r="W36" i="3" s="1"/>
  <c r="L21" i="10"/>
  <c r="L17" i="3" s="1"/>
  <c r="L71" i="3" s="1"/>
  <c r="Y260" i="3"/>
  <c r="W72" i="3"/>
  <c r="W286" i="3"/>
  <c r="X289" i="3"/>
  <c r="X267" i="3"/>
  <c r="V398" i="3"/>
  <c r="V401" i="3"/>
  <c r="W552" i="3"/>
  <c r="X552" i="3" s="1"/>
  <c r="W302" i="3"/>
  <c r="M52" i="3"/>
  <c r="O8" i="9"/>
  <c r="O6" i="9"/>
  <c r="R116" i="3"/>
  <c r="R10" i="9" s="1"/>
  <c r="L17" i="10"/>
  <c r="R402" i="3"/>
  <c r="K64" i="3"/>
  <c r="K65" i="3"/>
  <c r="R523" i="3"/>
  <c r="X447" i="3"/>
  <c r="L16" i="3"/>
  <c r="L69" i="3" s="1"/>
  <c r="P73" i="3"/>
  <c r="P527" i="3"/>
  <c r="P106" i="3"/>
  <c r="P531" i="3"/>
  <c r="Q532" i="3" s="1"/>
  <c r="Q533" i="3" s="1"/>
  <c r="P112" i="3"/>
  <c r="P7" i="3"/>
  <c r="P68" i="3"/>
  <c r="P51" i="3"/>
  <c r="S68" i="3"/>
  <c r="R52" i="3"/>
  <c r="P6" i="9"/>
  <c r="P8" i="9"/>
  <c r="P21" i="10"/>
  <c r="P17" i="3" s="1"/>
  <c r="P71" i="3" s="1"/>
  <c r="P16" i="3"/>
  <c r="P69" i="3" s="1"/>
  <c r="L18" i="10"/>
  <c r="L19" i="10"/>
  <c r="AB571" i="3"/>
  <c r="AD176" i="3"/>
  <c r="P19" i="10"/>
  <c r="P17" i="10"/>
  <c r="P539" i="3"/>
  <c r="N19" i="10"/>
  <c r="N16" i="3"/>
  <c r="N57" i="3" s="1"/>
  <c r="N58" i="3" s="1"/>
  <c r="N17" i="10"/>
  <c r="R21" i="10"/>
  <c r="R17" i="3" s="1"/>
  <c r="R71" i="3" s="1"/>
  <c r="T7" i="10"/>
  <c r="T9" i="10" s="1"/>
  <c r="T15" i="10" s="1"/>
  <c r="T16" i="3" s="1"/>
  <c r="K18" i="10"/>
  <c r="N21" i="10"/>
  <c r="N17" i="3" s="1"/>
  <c r="N71" i="3" s="1"/>
  <c r="M65" i="3"/>
  <c r="M64" i="3"/>
  <c r="R110" i="3"/>
  <c r="K17" i="10"/>
  <c r="M518" i="3"/>
  <c r="M299" i="3"/>
  <c r="N5" i="3"/>
  <c r="M297" i="3"/>
  <c r="M311" i="3" s="1"/>
  <c r="M41" i="3"/>
  <c r="M499" i="3"/>
  <c r="M76" i="3"/>
  <c r="M466" i="3"/>
  <c r="M428" i="3"/>
  <c r="M442" i="3" s="1"/>
  <c r="M82" i="3"/>
  <c r="M180" i="3"/>
  <c r="M63" i="3"/>
  <c r="W76" i="3"/>
  <c r="W299" i="3"/>
  <c r="W41" i="3"/>
  <c r="W428" i="3"/>
  <c r="W442" i="3" s="1"/>
  <c r="W82" i="3"/>
  <c r="W63" i="3"/>
  <c r="X5" i="3"/>
  <c r="W297" i="3"/>
  <c r="W311" i="3" s="1"/>
  <c r="W518" i="3"/>
  <c r="W466" i="3"/>
  <c r="W180" i="3"/>
  <c r="W235" i="3"/>
  <c r="W499" i="3"/>
  <c r="O106" i="3"/>
  <c r="O531" i="3"/>
  <c r="O527" i="3"/>
  <c r="O73" i="3"/>
  <c r="O112" i="3"/>
  <c r="P107" i="3"/>
  <c r="O68" i="3"/>
  <c r="O7" i="3"/>
  <c r="O51" i="3"/>
  <c r="K19" i="10"/>
  <c r="V35" i="3"/>
  <c r="O19" i="10"/>
  <c r="O18" i="10"/>
  <c r="O21" i="10"/>
  <c r="O17" i="3" s="1"/>
  <c r="O71" i="3" s="1"/>
  <c r="N539" i="3"/>
  <c r="N18" i="10"/>
  <c r="K16" i="3"/>
  <c r="K57" i="3" s="1"/>
  <c r="K58" i="3" s="1"/>
  <c r="S17" i="10"/>
  <c r="O16" i="3"/>
  <c r="O17" i="10"/>
  <c r="K21" i="10"/>
  <c r="K17" i="3" s="1"/>
  <c r="S21" i="10"/>
  <c r="S17" i="3" s="1"/>
  <c r="S71" i="3" s="1"/>
  <c r="R19" i="10"/>
  <c r="S16" i="3"/>
  <c r="S57" i="3" s="1"/>
  <c r="S58" i="3" s="1"/>
  <c r="R18" i="10"/>
  <c r="S532" i="3"/>
  <c r="S533" i="3" s="1"/>
  <c r="S19" i="10"/>
  <c r="R16" i="3"/>
  <c r="R69" i="3" s="1"/>
  <c r="Z8" i="10"/>
  <c r="Z6" i="10"/>
  <c r="U539" i="3"/>
  <c r="U16" i="3"/>
  <c r="M69" i="3"/>
  <c r="S51" i="3"/>
  <c r="S112" i="3"/>
  <c r="S52" i="3" s="1"/>
  <c r="U19" i="10"/>
  <c r="AD421" i="3"/>
  <c r="AC418" i="3"/>
  <c r="AC425" i="3" s="1"/>
  <c r="S66" i="3"/>
  <c r="S106" i="3"/>
  <c r="U18" i="10"/>
  <c r="Q71" i="3"/>
  <c r="T371" i="3"/>
  <c r="T376" i="3" s="1"/>
  <c r="T349" i="3"/>
  <c r="T362" i="3"/>
  <c r="T366" i="3"/>
  <c r="T385" i="3"/>
  <c r="T387" i="3" s="1"/>
  <c r="G41" i="3"/>
  <c r="G82" i="3"/>
  <c r="G180" i="3"/>
  <c r="G76" i="3"/>
  <c r="G466" i="3"/>
  <c r="G297" i="3"/>
  <c r="G311" i="3" s="1"/>
  <c r="G518" i="3"/>
  <c r="G63" i="3"/>
  <c r="F5" i="3"/>
  <c r="G499" i="3"/>
  <c r="G299" i="3"/>
  <c r="U6" i="9"/>
  <c r="U8" i="9"/>
  <c r="U112" i="3"/>
  <c r="U68" i="3"/>
  <c r="U527" i="3"/>
  <c r="U7" i="3"/>
  <c r="U64" i="3" s="1"/>
  <c r="U531" i="3"/>
  <c r="U73" i="3"/>
  <c r="U106" i="3"/>
  <c r="N531" i="3"/>
  <c r="N106" i="3"/>
  <c r="N112" i="3"/>
  <c r="N527" i="3"/>
  <c r="N107" i="3"/>
  <c r="N73" i="3"/>
  <c r="N7" i="3"/>
  <c r="N68" i="3"/>
  <c r="O107" i="3"/>
  <c r="N51" i="3"/>
  <c r="R64" i="3"/>
  <c r="R65" i="3"/>
  <c r="X548" i="3"/>
  <c r="W547" i="3"/>
  <c r="T450" i="3"/>
  <c r="T447" i="3"/>
  <c r="X286" i="3"/>
  <c r="L8" i="9"/>
  <c r="L6" i="9"/>
  <c r="U452" i="3"/>
  <c r="U437" i="3"/>
  <c r="U513" i="3"/>
  <c r="U512" i="3"/>
  <c r="U22" i="10"/>
  <c r="U21" i="10" s="1"/>
  <c r="U17" i="3" s="1"/>
  <c r="U71" i="3" s="1"/>
  <c r="U43" i="3"/>
  <c r="AD266" i="3"/>
  <c r="J539" i="3"/>
  <c r="J16" i="3"/>
  <c r="J57" i="3" s="1"/>
  <c r="J58" i="3" s="1"/>
  <c r="J19" i="10"/>
  <c r="J21" i="10"/>
  <c r="J17" i="3" s="1"/>
  <c r="J71" i="3" s="1"/>
  <c r="J18" i="10"/>
  <c r="J17" i="10"/>
  <c r="W35" i="3"/>
  <c r="AD240" i="3"/>
  <c r="AE242" i="3"/>
  <c r="T570" i="3"/>
  <c r="N8" i="9"/>
  <c r="N6" i="9"/>
  <c r="Z435" i="3"/>
  <c r="Z432" i="3"/>
  <c r="AD412" i="3"/>
  <c r="AE408" i="3"/>
  <c r="R6" i="9"/>
  <c r="R8" i="9"/>
  <c r="Y301" i="3"/>
  <c r="Y288" i="3"/>
  <c r="Y267" i="3"/>
  <c r="Y229" i="3"/>
  <c r="U403" i="3"/>
  <c r="T437" i="3"/>
  <c r="T452" i="3"/>
  <c r="T513" i="3"/>
  <c r="L527" i="3"/>
  <c r="L73" i="3"/>
  <c r="L112" i="3"/>
  <c r="L7" i="3"/>
  <c r="L68" i="3"/>
  <c r="M107" i="3"/>
  <c r="L106" i="3"/>
  <c r="L531" i="3"/>
  <c r="L107" i="3"/>
  <c r="S527" i="3"/>
  <c r="S528" i="3" s="1"/>
  <c r="S529" i="3" s="1"/>
  <c r="R539" i="3"/>
  <c r="S403" i="3"/>
  <c r="S402" i="3"/>
  <c r="T110" i="3"/>
  <c r="X435" i="3"/>
  <c r="X432" i="3"/>
  <c r="AF274" i="3"/>
  <c r="AE34" i="9"/>
  <c r="K134" i="3"/>
  <c r="O402" i="3"/>
  <c r="P402" i="3"/>
  <c r="R24" i="3"/>
  <c r="X18" i="3"/>
  <c r="Q513" i="3"/>
  <c r="Q512" i="3"/>
  <c r="Q437" i="3"/>
  <c r="Q452" i="3"/>
  <c r="W8" i="10"/>
  <c r="R513" i="3"/>
  <c r="T512" i="3"/>
  <c r="T402" i="3"/>
  <c r="AE244" i="3"/>
  <c r="AC275" i="3"/>
  <c r="AD252" i="3"/>
  <c r="AF270" i="3"/>
  <c r="X8" i="10"/>
  <c r="X6" i="10"/>
  <c r="AD271" i="3"/>
  <c r="AD241" i="3"/>
  <c r="W308" i="3"/>
  <c r="V36" i="3"/>
  <c r="S7" i="3"/>
  <c r="S65" i="3" s="1"/>
  <c r="AC507" i="3"/>
  <c r="AB445" i="3"/>
  <c r="U37" i="9"/>
  <c r="V38" i="9" s="1"/>
  <c r="S107" i="3"/>
  <c r="J68" i="3"/>
  <c r="J107" i="3"/>
  <c r="J531" i="3"/>
  <c r="J73" i="3"/>
  <c r="J7" i="3"/>
  <c r="J527" i="3"/>
  <c r="J106" i="3"/>
  <c r="J51" i="3"/>
  <c r="J112" i="3"/>
  <c r="K107" i="3"/>
  <c r="V513" i="3"/>
  <c r="V437" i="3"/>
  <c r="V452" i="3"/>
  <c r="W367" i="3"/>
  <c r="X302" i="3"/>
  <c r="X308" i="3" s="1"/>
  <c r="AC208" i="3"/>
  <c r="P437" i="3"/>
  <c r="P513" i="3"/>
  <c r="P452" i="3"/>
  <c r="P512" i="3"/>
  <c r="M127" i="3"/>
  <c r="M9" i="3"/>
  <c r="M10" i="9"/>
  <c r="M117" i="3"/>
  <c r="Y432" i="3"/>
  <c r="Y435" i="3"/>
  <c r="AB444" i="3"/>
  <c r="AA184" i="3"/>
  <c r="U36" i="3"/>
  <c r="U66" i="3"/>
  <c r="U447" i="3"/>
  <c r="U450" i="3"/>
  <c r="V450" i="3"/>
  <c r="V447" i="3"/>
  <c r="X19" i="3"/>
  <c r="X36" i="3" s="1"/>
  <c r="X36" i="9"/>
  <c r="X37" i="9" s="1"/>
  <c r="Y38" i="9" s="1"/>
  <c r="X45" i="3"/>
  <c r="M130" i="3"/>
  <c r="M134" i="3"/>
  <c r="M10" i="3"/>
  <c r="K9" i="3"/>
  <c r="K117" i="3"/>
  <c r="K10" i="9"/>
  <c r="K127" i="3"/>
  <c r="AD272" i="3"/>
  <c r="AC231" i="3"/>
  <c r="Q57" i="3"/>
  <c r="Q58" i="3" s="1"/>
  <c r="Q69" i="3"/>
  <c r="R137" i="3"/>
  <c r="R182" i="3"/>
  <c r="R197" i="3" s="1"/>
  <c r="R201" i="3" s="1"/>
  <c r="R532" i="3"/>
  <c r="R533" i="3" s="1"/>
  <c r="R10" i="3"/>
  <c r="R130" i="3"/>
  <c r="R134" i="3"/>
  <c r="R140" i="3" s="1"/>
  <c r="Q64" i="3"/>
  <c r="Q65" i="3"/>
  <c r="Q528" i="3"/>
  <c r="Q529" i="3" s="1"/>
  <c r="R528" i="3"/>
  <c r="R529" i="3" s="1"/>
  <c r="Q8" i="3"/>
  <c r="Q116" i="3"/>
  <c r="Q564" i="3"/>
  <c r="Q113" i="3"/>
  <c r="Q126" i="3"/>
  <c r="Q127" i="3"/>
  <c r="Q52" i="3"/>
  <c r="Q523" i="3"/>
  <c r="R114" i="3"/>
  <c r="AD494" i="3"/>
  <c r="AE100" i="3"/>
  <c r="AE375" i="3"/>
  <c r="AF372" i="3"/>
  <c r="T8" i="9"/>
  <c r="T6" i="9"/>
  <c r="T106" i="3"/>
  <c r="T112" i="3"/>
  <c r="T66" i="3"/>
  <c r="T73" i="3"/>
  <c r="U107" i="3"/>
  <c r="T7" i="3"/>
  <c r="T107" i="3"/>
  <c r="T68" i="3"/>
  <c r="T527" i="3"/>
  <c r="T531" i="3"/>
  <c r="V399" i="3"/>
  <c r="AH334" i="3"/>
  <c r="AG335" i="3"/>
  <c r="AG96" i="3" s="1"/>
  <c r="W42" i="3"/>
  <c r="X59" i="3"/>
  <c r="X176" i="3"/>
  <c r="X175" i="3" s="1"/>
  <c r="W559" i="3"/>
  <c r="X560" i="3"/>
  <c r="AD251" i="3"/>
  <c r="U45" i="9"/>
  <c r="V45" i="9"/>
  <c r="AE250" i="3"/>
  <c r="AD265" i="3"/>
  <c r="AG13" i="9"/>
  <c r="AE139" i="3"/>
  <c r="V291" i="3"/>
  <c r="AD279" i="3"/>
  <c r="AD263" i="3"/>
  <c r="AD227" i="3"/>
  <c r="AE253" i="3"/>
  <c r="AG419" i="3"/>
  <c r="AD283" i="3"/>
  <c r="AC35" i="9"/>
  <c r="AC46" i="3"/>
  <c r="T291" i="3"/>
  <c r="AE264" i="3"/>
  <c r="U72" i="3"/>
  <c r="U286" i="3"/>
  <c r="AD280" i="3"/>
  <c r="Y398" i="3"/>
  <c r="Y367" i="3"/>
  <c r="Y401" i="3"/>
  <c r="Z402" i="3" s="1"/>
  <c r="AE259" i="3"/>
  <c r="AD243" i="3"/>
  <c r="AC22" i="9"/>
  <c r="AG355" i="3"/>
  <c r="AH354" i="3"/>
  <c r="AE262" i="3"/>
  <c r="V567" i="3"/>
  <c r="W551" i="3"/>
  <c r="W402" i="3"/>
  <c r="V402" i="3" l="1"/>
  <c r="K10" i="3"/>
  <c r="U402" i="3"/>
  <c r="X402" i="3"/>
  <c r="AH355" i="3"/>
  <c r="AI354" i="3"/>
  <c r="AH335" i="3"/>
  <c r="AH96" i="3" s="1"/>
  <c r="AI334" i="3"/>
  <c r="Z260" i="3"/>
  <c r="P532" i="3"/>
  <c r="P533" i="3" s="1"/>
  <c r="X555" i="3"/>
  <c r="Y556" i="3"/>
  <c r="Y289" i="3"/>
  <c r="Y306" i="3"/>
  <c r="AF42" i="3"/>
  <c r="L34" i="3"/>
  <c r="M34" i="3"/>
  <c r="N33" i="3"/>
  <c r="R9" i="3"/>
  <c r="R117" i="3"/>
  <c r="W291" i="3"/>
  <c r="R29" i="10"/>
  <c r="P528" i="3"/>
  <c r="P529" i="3" s="1"/>
  <c r="P64" i="3"/>
  <c r="P65" i="3"/>
  <c r="P523" i="3"/>
  <c r="Q524" i="3" s="1"/>
  <c r="Q525" i="3" s="1"/>
  <c r="P113" i="3"/>
  <c r="P564" i="3"/>
  <c r="P52" i="3"/>
  <c r="P8" i="3"/>
  <c r="Q25" i="3" s="1"/>
  <c r="P127" i="3"/>
  <c r="P116" i="3"/>
  <c r="P126" i="3"/>
  <c r="Q24" i="3"/>
  <c r="Q34" i="3"/>
  <c r="L57" i="3"/>
  <c r="L58" i="3" s="1"/>
  <c r="L33" i="3"/>
  <c r="S564" i="3"/>
  <c r="Q114" i="3"/>
  <c r="M33" i="3"/>
  <c r="Q33" i="3"/>
  <c r="O34" i="3"/>
  <c r="P57" i="3"/>
  <c r="P58" i="3" s="1"/>
  <c r="AE176" i="3"/>
  <c r="AD175" i="3"/>
  <c r="R33" i="3"/>
  <c r="R34" i="3"/>
  <c r="K69" i="3"/>
  <c r="S33" i="3"/>
  <c r="N69" i="3"/>
  <c r="U33" i="3"/>
  <c r="N34" i="3"/>
  <c r="T21" i="10"/>
  <c r="T17" i="3" s="1"/>
  <c r="T71" i="3" s="1"/>
  <c r="T19" i="10"/>
  <c r="T18" i="10"/>
  <c r="T539" i="3"/>
  <c r="P34" i="3"/>
  <c r="T17" i="10"/>
  <c r="S523" i="3"/>
  <c r="S524" i="3" s="1"/>
  <c r="S525" i="3" s="1"/>
  <c r="S69" i="3"/>
  <c r="S114" i="3"/>
  <c r="S113" i="3"/>
  <c r="K34" i="3"/>
  <c r="X235" i="3"/>
  <c r="Y5" i="3"/>
  <c r="X63" i="3"/>
  <c r="X499" i="3"/>
  <c r="X180" i="3"/>
  <c r="X76" i="3"/>
  <c r="X466" i="3"/>
  <c r="X82" i="3"/>
  <c r="X299" i="3"/>
  <c r="X428" i="3"/>
  <c r="X442" i="3" s="1"/>
  <c r="X518" i="3"/>
  <c r="X41" i="3"/>
  <c r="X297" i="3"/>
  <c r="X311" i="3" s="1"/>
  <c r="N41" i="3"/>
  <c r="N297" i="3"/>
  <c r="N311" i="3" s="1"/>
  <c r="N63" i="3"/>
  <c r="N466" i="3"/>
  <c r="N82" i="3"/>
  <c r="N518" i="3"/>
  <c r="N235" i="3"/>
  <c r="N299" i="3"/>
  <c r="N76" i="3"/>
  <c r="N180" i="3"/>
  <c r="O5" i="3"/>
  <c r="N428" i="3"/>
  <c r="N442" i="3" s="1"/>
  <c r="N499" i="3"/>
  <c r="O8" i="3"/>
  <c r="O116" i="3"/>
  <c r="O52" i="3"/>
  <c r="O564" i="3"/>
  <c r="O523" i="3"/>
  <c r="O113" i="3"/>
  <c r="O126" i="3"/>
  <c r="O127" i="3"/>
  <c r="P114" i="3"/>
  <c r="S127" i="3"/>
  <c r="S182" i="3" s="1"/>
  <c r="S197" i="3" s="1"/>
  <c r="S201" i="3" s="1"/>
  <c r="S221" i="3" s="1"/>
  <c r="S224" i="3" s="1"/>
  <c r="S225" i="3" s="1"/>
  <c r="O65" i="3"/>
  <c r="O64" i="3"/>
  <c r="P24" i="3"/>
  <c r="S8" i="3"/>
  <c r="S25" i="3" s="1"/>
  <c r="S116" i="3"/>
  <c r="S126" i="3"/>
  <c r="S130" i="3" s="1"/>
  <c r="K71" i="3"/>
  <c r="S34" i="3"/>
  <c r="R57" i="3"/>
  <c r="R58" i="3" s="1"/>
  <c r="O33" i="3"/>
  <c r="O69" i="3"/>
  <c r="P33" i="3"/>
  <c r="O57" i="3"/>
  <c r="O58" i="3" s="1"/>
  <c r="AD208" i="3"/>
  <c r="U69" i="3"/>
  <c r="J69" i="3"/>
  <c r="S64" i="3"/>
  <c r="AE421" i="3"/>
  <c r="AD418" i="3"/>
  <c r="AD425" i="3" s="1"/>
  <c r="F499" i="3"/>
  <c r="E5" i="3"/>
  <c r="F76" i="3"/>
  <c r="F82" i="3"/>
  <c r="F466" i="3"/>
  <c r="F41" i="3"/>
  <c r="F180" i="3"/>
  <c r="F63" i="3"/>
  <c r="F297" i="3"/>
  <c r="F311" i="3" s="1"/>
  <c r="F518" i="3"/>
  <c r="F299" i="3"/>
  <c r="K33" i="3"/>
  <c r="U177" i="3"/>
  <c r="U65" i="3"/>
  <c r="U8" i="3"/>
  <c r="U523" i="3"/>
  <c r="U116" i="3"/>
  <c r="U126" i="3"/>
  <c r="U564" i="3"/>
  <c r="U113" i="3"/>
  <c r="K528" i="3"/>
  <c r="K529" i="3" s="1"/>
  <c r="J528" i="3"/>
  <c r="J529" i="3" s="1"/>
  <c r="AF244" i="3"/>
  <c r="AF242" i="3"/>
  <c r="J532" i="3"/>
  <c r="J533" i="3" s="1"/>
  <c r="K532" i="3"/>
  <c r="K533" i="3" s="1"/>
  <c r="AE241" i="3"/>
  <c r="K137" i="3"/>
  <c r="K141" i="3" s="1"/>
  <c r="K132" i="3"/>
  <c r="K182" i="3"/>
  <c r="K197" i="3" s="1"/>
  <c r="K201" i="3" s="1"/>
  <c r="M9" i="9"/>
  <c r="M11" i="9"/>
  <c r="X35" i="3"/>
  <c r="AF408" i="3"/>
  <c r="AE412" i="3"/>
  <c r="T69" i="3"/>
  <c r="K11" i="9"/>
  <c r="K9" i="9"/>
  <c r="J65" i="3"/>
  <c r="J64" i="3"/>
  <c r="K24" i="3"/>
  <c r="L64" i="3"/>
  <c r="L65" i="3"/>
  <c r="L24" i="3"/>
  <c r="M24" i="3"/>
  <c r="Y19" i="3"/>
  <c r="Y36" i="3" s="1"/>
  <c r="AE266" i="3"/>
  <c r="X547" i="3"/>
  <c r="Y548" i="3"/>
  <c r="N64" i="3"/>
  <c r="N65" i="3"/>
  <c r="N24" i="3"/>
  <c r="O24" i="3"/>
  <c r="S24" i="3"/>
  <c r="M182" i="3"/>
  <c r="M197" i="3" s="1"/>
  <c r="M201" i="3" s="1"/>
  <c r="M132" i="3"/>
  <c r="M137" i="3"/>
  <c r="M141" i="3" s="1"/>
  <c r="AD507" i="3"/>
  <c r="AC445" i="3"/>
  <c r="AC204" i="3"/>
  <c r="AE271" i="3"/>
  <c r="AG274" i="3"/>
  <c r="AF34" i="9"/>
  <c r="L564" i="3"/>
  <c r="L113" i="3"/>
  <c r="L116" i="3"/>
  <c r="L126" i="3"/>
  <c r="L523" i="3"/>
  <c r="L114" i="3"/>
  <c r="L8" i="3"/>
  <c r="L52" i="3"/>
  <c r="M114" i="3"/>
  <c r="AA260" i="3"/>
  <c r="Z229" i="3"/>
  <c r="Z301" i="3"/>
  <c r="Z306" i="3" s="1"/>
  <c r="Z289" i="3"/>
  <c r="Z267" i="3"/>
  <c r="Z288" i="3"/>
  <c r="X291" i="3"/>
  <c r="AA21" i="9"/>
  <c r="AG270" i="3"/>
  <c r="AD275" i="3"/>
  <c r="L528" i="3"/>
  <c r="L529" i="3" s="1"/>
  <c r="M528" i="3"/>
  <c r="M529" i="3" s="1"/>
  <c r="Y286" i="3"/>
  <c r="O528" i="3"/>
  <c r="O529" i="3" s="1"/>
  <c r="N528" i="3"/>
  <c r="N529" i="3" s="1"/>
  <c r="M140" i="3"/>
  <c r="K140" i="3"/>
  <c r="Y302" i="3"/>
  <c r="Y308" i="3" s="1"/>
  <c r="AE240" i="3"/>
  <c r="AE272" i="3"/>
  <c r="AD231" i="3"/>
  <c r="J116" i="3"/>
  <c r="J523" i="3"/>
  <c r="J126" i="3"/>
  <c r="J8" i="3"/>
  <c r="K25" i="3" s="1"/>
  <c r="J113" i="3"/>
  <c r="J114" i="3"/>
  <c r="J564" i="3"/>
  <c r="J52" i="3"/>
  <c r="K114" i="3"/>
  <c r="L532" i="3"/>
  <c r="L533" i="3" s="1"/>
  <c r="M532" i="3"/>
  <c r="M533" i="3" s="1"/>
  <c r="Y18" i="3"/>
  <c r="Y72" i="3"/>
  <c r="N126" i="3"/>
  <c r="N564" i="3"/>
  <c r="N114" i="3"/>
  <c r="N113" i="3"/>
  <c r="O114" i="3"/>
  <c r="N116" i="3"/>
  <c r="N8" i="3"/>
  <c r="N127" i="3"/>
  <c r="N523" i="3"/>
  <c r="N52" i="3"/>
  <c r="T33" i="3"/>
  <c r="M131" i="3"/>
  <c r="M544" i="3" s="1"/>
  <c r="M543" i="3" s="1"/>
  <c r="M138" i="3" s="1"/>
  <c r="M142" i="3" s="1"/>
  <c r="M13" i="9"/>
  <c r="M14" i="9" s="1"/>
  <c r="M16" i="9" s="1"/>
  <c r="AE252" i="3"/>
  <c r="K13" i="9"/>
  <c r="K14" i="9" s="1"/>
  <c r="K16" i="9" s="1"/>
  <c r="K131" i="3"/>
  <c r="K544" i="3" s="1"/>
  <c r="K543" i="3" s="1"/>
  <c r="K138" i="3" s="1"/>
  <c r="N532" i="3"/>
  <c r="N533" i="3" s="1"/>
  <c r="O532" i="3"/>
  <c r="O533" i="3" s="1"/>
  <c r="Q10" i="3"/>
  <c r="Q134" i="3"/>
  <c r="R135" i="3" s="1"/>
  <c r="Q130" i="3"/>
  <c r="R156" i="3"/>
  <c r="R145" i="3"/>
  <c r="R158" i="3" s="1"/>
  <c r="R131" i="3"/>
  <c r="R13" i="9"/>
  <c r="R14" i="9" s="1"/>
  <c r="R16" i="9" s="1"/>
  <c r="Q117" i="3"/>
  <c r="Q9" i="3"/>
  <c r="Q10" i="9"/>
  <c r="R25" i="3"/>
  <c r="R221" i="3"/>
  <c r="R224" i="3" s="1"/>
  <c r="R225" i="3" s="1"/>
  <c r="R9" i="9"/>
  <c r="R11" i="9"/>
  <c r="R524" i="3"/>
  <c r="R525" i="3" s="1"/>
  <c r="Q132" i="3"/>
  <c r="Q137" i="3"/>
  <c r="Q182" i="3"/>
  <c r="Q197" i="3" s="1"/>
  <c r="Q201" i="3" s="1"/>
  <c r="R141" i="3"/>
  <c r="R142" i="3"/>
  <c r="AE494" i="3"/>
  <c r="AG372" i="3"/>
  <c r="AF375" i="3"/>
  <c r="AF100" i="3"/>
  <c r="T528" i="3"/>
  <c r="T529" i="3" s="1"/>
  <c r="U528" i="3"/>
  <c r="U529" i="3" s="1"/>
  <c r="T64" i="3"/>
  <c r="T65" i="3"/>
  <c r="T24" i="3"/>
  <c r="U24" i="3"/>
  <c r="T8" i="3"/>
  <c r="T116" i="3"/>
  <c r="T114" i="3"/>
  <c r="T113" i="3"/>
  <c r="T126" i="3"/>
  <c r="T523" i="3"/>
  <c r="U114" i="3"/>
  <c r="T564" i="3"/>
  <c r="U532" i="3"/>
  <c r="U533" i="3" s="1"/>
  <c r="T532" i="3"/>
  <c r="T533" i="3" s="1"/>
  <c r="V392" i="3"/>
  <c r="V395" i="3" s="1"/>
  <c r="V5" i="9"/>
  <c r="V379" i="3"/>
  <c r="V381" i="3" s="1"/>
  <c r="V416" i="3"/>
  <c r="V476" i="3"/>
  <c r="V486" i="3"/>
  <c r="V520" i="3"/>
  <c r="V521" i="3" s="1"/>
  <c r="V91" i="3"/>
  <c r="V324" i="3"/>
  <c r="V85" i="3"/>
  <c r="V315" i="3"/>
  <c r="V501" i="3"/>
  <c r="V407" i="3"/>
  <c r="V411" i="3" s="1"/>
  <c r="V6" i="3"/>
  <c r="W176" i="3"/>
  <c r="W175" i="3" s="1"/>
  <c r="W59" i="3"/>
  <c r="V42" i="3"/>
  <c r="Y560" i="3"/>
  <c r="X559" i="3"/>
  <c r="AF139" i="3"/>
  <c r="AF262" i="3"/>
  <c r="AF259" i="3"/>
  <c r="AE280" i="3"/>
  <c r="AH13" i="9"/>
  <c r="Y552" i="3"/>
  <c r="X551" i="3"/>
  <c r="AD46" i="3"/>
  <c r="AE283" i="3"/>
  <c r="AD35" i="9"/>
  <c r="AF253" i="3"/>
  <c r="AE227" i="3"/>
  <c r="U291" i="3"/>
  <c r="AE263" i="3"/>
  <c r="AE279" i="3"/>
  <c r="AF250" i="3"/>
  <c r="AH419" i="3"/>
  <c r="AI419" i="3" s="1"/>
  <c r="AE265" i="3"/>
  <c r="AE243" i="3"/>
  <c r="AD22" i="9"/>
  <c r="Y402" i="3"/>
  <c r="AF264" i="3"/>
  <c r="AE251" i="3"/>
  <c r="Y36" i="9" l="1"/>
  <c r="Y37" i="9" s="1"/>
  <c r="Z38" i="9" s="1"/>
  <c r="Y45" i="3"/>
  <c r="Y47" i="3" s="1"/>
  <c r="Y67" i="3" s="1"/>
  <c r="AI13" i="9"/>
  <c r="Y555" i="3"/>
  <c r="Z556" i="3"/>
  <c r="AJ354" i="3"/>
  <c r="AI355" i="3"/>
  <c r="AJ419" i="3"/>
  <c r="AI335" i="3"/>
  <c r="AI96" i="3" s="1"/>
  <c r="AJ334" i="3"/>
  <c r="AG42" i="3"/>
  <c r="P25" i="3"/>
  <c r="S9" i="3"/>
  <c r="S26" i="3" s="1"/>
  <c r="S10" i="9"/>
  <c r="S11" i="9" s="1"/>
  <c r="AE208" i="3"/>
  <c r="P524" i="3"/>
  <c r="P525" i="3" s="1"/>
  <c r="P9" i="3"/>
  <c r="Q26" i="3" s="1"/>
  <c r="P10" i="9"/>
  <c r="P117" i="3"/>
  <c r="S117" i="3"/>
  <c r="P10" i="3"/>
  <c r="Q27" i="3" s="1"/>
  <c r="P130" i="3"/>
  <c r="P134" i="3"/>
  <c r="P140" i="3" s="1"/>
  <c r="P182" i="3"/>
  <c r="P197" i="3" s="1"/>
  <c r="P201" i="3" s="1"/>
  <c r="P132" i="3"/>
  <c r="P137" i="3"/>
  <c r="K142" i="3"/>
  <c r="K147" i="3" s="1"/>
  <c r="K152" i="3" s="1"/>
  <c r="AE175" i="3"/>
  <c r="AF176" i="3"/>
  <c r="T34" i="3"/>
  <c r="U34" i="3"/>
  <c r="Z5" i="3"/>
  <c r="Y63" i="3"/>
  <c r="Y297" i="3"/>
  <c r="Y311" i="3" s="1"/>
  <c r="Y499" i="3"/>
  <c r="Y428" i="3"/>
  <c r="Y442" i="3" s="1"/>
  <c r="Y82" i="3"/>
  <c r="Y466" i="3"/>
  <c r="Y41" i="3"/>
  <c r="Y518" i="3"/>
  <c r="Y299" i="3"/>
  <c r="Y76" i="3"/>
  <c r="Y235" i="3"/>
  <c r="Y180" i="3"/>
  <c r="S134" i="3"/>
  <c r="S140" i="3" s="1"/>
  <c r="O117" i="3"/>
  <c r="O9" i="3"/>
  <c r="O10" i="9"/>
  <c r="P5" i="3"/>
  <c r="O235" i="3"/>
  <c r="O180" i="3"/>
  <c r="O41" i="3"/>
  <c r="O63" i="3"/>
  <c r="O76" i="3"/>
  <c r="O297" i="3"/>
  <c r="O311" i="3" s="1"/>
  <c r="O428" i="3"/>
  <c r="O442" i="3" s="1"/>
  <c r="O518" i="3"/>
  <c r="O466" i="3"/>
  <c r="O82" i="3"/>
  <c r="O499" i="3"/>
  <c r="O299" i="3"/>
  <c r="S10" i="3"/>
  <c r="S27" i="3" s="1"/>
  <c r="O137" i="3"/>
  <c r="O182" i="3"/>
  <c r="O197" i="3" s="1"/>
  <c r="O201" i="3" s="1"/>
  <c r="O132" i="3"/>
  <c r="O10" i="3"/>
  <c r="O130" i="3"/>
  <c r="O134" i="3"/>
  <c r="E518" i="3"/>
  <c r="E41" i="3"/>
  <c r="E499" i="3"/>
  <c r="E76" i="3"/>
  <c r="E82" i="3"/>
  <c r="E297" i="3"/>
  <c r="E311" i="3" s="1"/>
  <c r="E299" i="3"/>
  <c r="E63" i="3"/>
  <c r="D5" i="3"/>
  <c r="E180" i="3"/>
  <c r="E466" i="3"/>
  <c r="AF421" i="3"/>
  <c r="AE418" i="3"/>
  <c r="AE425" i="3" s="1"/>
  <c r="U10" i="9"/>
  <c r="U117" i="3"/>
  <c r="U9" i="3"/>
  <c r="U127" i="3"/>
  <c r="U10" i="3"/>
  <c r="AH270" i="3"/>
  <c r="M146" i="3"/>
  <c r="M568" i="3"/>
  <c r="M43" i="9"/>
  <c r="M47" i="9" s="1"/>
  <c r="M78" i="3" s="1"/>
  <c r="K43" i="9"/>
  <c r="K47" i="9" s="1"/>
  <c r="K78" i="3" s="1"/>
  <c r="K146" i="3"/>
  <c r="K568" i="3"/>
  <c r="K572" i="3" s="1"/>
  <c r="K573" i="3" s="1"/>
  <c r="K577" i="3" s="1"/>
  <c r="AF252" i="3"/>
  <c r="N524" i="3"/>
  <c r="N525" i="3" s="1"/>
  <c r="O524" i="3"/>
  <c r="O525" i="3" s="1"/>
  <c r="J9" i="3"/>
  <c r="K26" i="3" s="1"/>
  <c r="J127" i="3"/>
  <c r="J117" i="3"/>
  <c r="J10" i="9"/>
  <c r="K156" i="3"/>
  <c r="K145" i="3"/>
  <c r="K158" i="3" s="1"/>
  <c r="M156" i="3"/>
  <c r="M145" i="3"/>
  <c r="M158" i="3" s="1"/>
  <c r="AB260" i="3"/>
  <c r="AA301" i="3"/>
  <c r="AA306" i="3" s="1"/>
  <c r="AA229" i="3"/>
  <c r="L130" i="3"/>
  <c r="L10" i="3"/>
  <c r="L134" i="3"/>
  <c r="L127" i="3"/>
  <c r="L10" i="9"/>
  <c r="L9" i="3"/>
  <c r="L117" i="3"/>
  <c r="N25" i="3"/>
  <c r="O25" i="3"/>
  <c r="Y35" i="3"/>
  <c r="Z18" i="3"/>
  <c r="Z72" i="3"/>
  <c r="J524" i="3"/>
  <c r="J525" i="3" s="1"/>
  <c r="K524" i="3"/>
  <c r="K525" i="3" s="1"/>
  <c r="AF266" i="3"/>
  <c r="M30" i="9"/>
  <c r="M77" i="3" s="1"/>
  <c r="M40" i="9"/>
  <c r="M79" i="3" s="1"/>
  <c r="N10" i="3"/>
  <c r="N130" i="3"/>
  <c r="N134" i="3"/>
  <c r="AE231" i="3"/>
  <c r="AF272" i="3"/>
  <c r="AE275" i="3"/>
  <c r="AE507" i="3"/>
  <c r="AD445" i="3"/>
  <c r="AD204" i="3"/>
  <c r="AF241" i="3"/>
  <c r="M147" i="3"/>
  <c r="M152" i="3" s="1"/>
  <c r="M150" i="3"/>
  <c r="N10" i="9"/>
  <c r="N117" i="3"/>
  <c r="N9" i="3"/>
  <c r="M25" i="3"/>
  <c r="L25" i="3"/>
  <c r="AF271" i="3"/>
  <c r="Y291" i="3"/>
  <c r="Z45" i="3"/>
  <c r="Z36" i="9"/>
  <c r="Z37" i="9" s="1"/>
  <c r="AA38" i="9" s="1"/>
  <c r="Z19" i="3"/>
  <c r="Z36" i="3" s="1"/>
  <c r="M221" i="3"/>
  <c r="M224" i="3" s="1"/>
  <c r="M225" i="3" s="1"/>
  <c r="Y547" i="3"/>
  <c r="Z548" i="3"/>
  <c r="K221" i="3"/>
  <c r="K224" i="3" s="1"/>
  <c r="K225" i="3" s="1"/>
  <c r="N132" i="3"/>
  <c r="N182" i="3"/>
  <c r="N197" i="3" s="1"/>
  <c r="N201" i="3" s="1"/>
  <c r="N137" i="3"/>
  <c r="AF240" i="3"/>
  <c r="Z286" i="3"/>
  <c r="AG242" i="3"/>
  <c r="K40" i="9"/>
  <c r="K79" i="3" s="1"/>
  <c r="K30" i="9"/>
  <c r="K77" i="3" s="1"/>
  <c r="J10" i="3"/>
  <c r="K27" i="3" s="1"/>
  <c r="J130" i="3"/>
  <c r="J134" i="3"/>
  <c r="AC444" i="3"/>
  <c r="Z302" i="3"/>
  <c r="Z308" i="3" s="1"/>
  <c r="M524" i="3"/>
  <c r="M525" i="3" s="1"/>
  <c r="L524" i="3"/>
  <c r="L525" i="3" s="1"/>
  <c r="AH274" i="3"/>
  <c r="AI274" i="3" s="1"/>
  <c r="AG34" i="9"/>
  <c r="AF412" i="3"/>
  <c r="AG408" i="3"/>
  <c r="AG244" i="3"/>
  <c r="Q9" i="9"/>
  <c r="Q11" i="9"/>
  <c r="R14" i="3"/>
  <c r="R54" i="3"/>
  <c r="R150" i="3"/>
  <c r="R147" i="3"/>
  <c r="R152" i="3" s="1"/>
  <c r="R40" i="9"/>
  <c r="R79" i="3" s="1"/>
  <c r="R30" i="9"/>
  <c r="R77" i="3" s="1"/>
  <c r="R53" i="3"/>
  <c r="R13" i="3"/>
  <c r="R544" i="3"/>
  <c r="R543" i="3" s="1"/>
  <c r="R132" i="3"/>
  <c r="Q221" i="3"/>
  <c r="Q224" i="3" s="1"/>
  <c r="Q225" i="3" s="1"/>
  <c r="Q140" i="3"/>
  <c r="Q141" i="3"/>
  <c r="Q142" i="3"/>
  <c r="R27" i="3"/>
  <c r="R43" i="9"/>
  <c r="R47" i="9" s="1"/>
  <c r="R78" i="3" s="1"/>
  <c r="R568" i="3"/>
  <c r="R572" i="3" s="1"/>
  <c r="R573" i="3" s="1"/>
  <c r="R577" i="3" s="1"/>
  <c r="R146" i="3"/>
  <c r="Q13" i="9"/>
  <c r="Q14" i="9" s="1"/>
  <c r="Q16" i="9" s="1"/>
  <c r="Q131" i="3"/>
  <c r="Q544" i="3" s="1"/>
  <c r="Q543" i="3" s="1"/>
  <c r="S13" i="9"/>
  <c r="S131" i="3"/>
  <c r="R26" i="3"/>
  <c r="AG375" i="3"/>
  <c r="AH372" i="3"/>
  <c r="AI372" i="3" s="1"/>
  <c r="AG100" i="3"/>
  <c r="AF494" i="3"/>
  <c r="T524" i="3"/>
  <c r="T525" i="3" s="1"/>
  <c r="U524" i="3"/>
  <c r="U525" i="3" s="1"/>
  <c r="U25" i="3"/>
  <c r="T25" i="3"/>
  <c r="T10" i="3"/>
  <c r="T10" i="9"/>
  <c r="T117" i="3"/>
  <c r="T127" i="3"/>
  <c r="T9" i="3"/>
  <c r="V319" i="3"/>
  <c r="V320" i="3" s="1"/>
  <c r="V403" i="3"/>
  <c r="V478" i="3"/>
  <c r="V473" i="3"/>
  <c r="V92" i="3"/>
  <c r="V93" i="3"/>
  <c r="V7" i="9"/>
  <c r="V105" i="3"/>
  <c r="V22" i="3"/>
  <c r="V5" i="10"/>
  <c r="V7" i="10" s="1"/>
  <c r="V9" i="10" s="1"/>
  <c r="V15" i="10" s="1"/>
  <c r="V438" i="3"/>
  <c r="V424" i="3"/>
  <c r="V453" i="3"/>
  <c r="V504" i="3"/>
  <c r="V508" i="3"/>
  <c r="V512" i="3"/>
  <c r="V326" i="3"/>
  <c r="V338" i="3"/>
  <c r="U42" i="3"/>
  <c r="T42" i="3" s="1"/>
  <c r="V59" i="3"/>
  <c r="V176" i="3"/>
  <c r="V175" i="3" s="1"/>
  <c r="V168" i="3" s="1"/>
  <c r="X324" i="3"/>
  <c r="X379" i="3"/>
  <c r="X381" i="3" s="1"/>
  <c r="X5" i="9"/>
  <c r="X91" i="3"/>
  <c r="X501" i="3"/>
  <c r="X407" i="3"/>
  <c r="X411" i="3" s="1"/>
  <c r="X6" i="3"/>
  <c r="X5" i="10" s="1"/>
  <c r="X7" i="10" s="1"/>
  <c r="X9" i="10" s="1"/>
  <c r="X15" i="10" s="1"/>
  <c r="X539" i="3" s="1"/>
  <c r="X486" i="3"/>
  <c r="X520" i="3"/>
  <c r="X315" i="3"/>
  <c r="X392" i="3"/>
  <c r="X395" i="3" s="1"/>
  <c r="X476" i="3"/>
  <c r="X416" i="3"/>
  <c r="X399" i="3"/>
  <c r="Z560" i="3"/>
  <c r="Y559" i="3"/>
  <c r="AF243" i="3"/>
  <c r="AE22" i="9"/>
  <c r="AF251" i="3"/>
  <c r="AF279" i="3"/>
  <c r="AF280" i="3"/>
  <c r="AF263" i="3"/>
  <c r="Y551" i="3"/>
  <c r="Z552" i="3"/>
  <c r="AF265" i="3"/>
  <c r="AE35" i="9"/>
  <c r="AF283" i="3"/>
  <c r="AE46" i="3"/>
  <c r="AG259" i="3"/>
  <c r="AG264" i="3"/>
  <c r="AG250" i="3"/>
  <c r="AG253" i="3"/>
  <c r="AF227" i="3"/>
  <c r="AG262" i="3"/>
  <c r="AG139" i="3"/>
  <c r="AK354" i="3" l="1"/>
  <c r="AJ355" i="3"/>
  <c r="AI34" i="9"/>
  <c r="AJ274" i="3"/>
  <c r="AI270" i="3"/>
  <c r="AJ270" i="3" s="1"/>
  <c r="AK270" i="3" s="1"/>
  <c r="AJ13" i="9"/>
  <c r="AJ335" i="3"/>
  <c r="AJ96" i="3" s="1"/>
  <c r="AK334" i="3"/>
  <c r="Z555" i="3"/>
  <c r="AA556" i="3"/>
  <c r="AK419" i="3"/>
  <c r="AH42" i="3"/>
  <c r="AI100" i="3"/>
  <c r="AI494" i="3" s="1"/>
  <c r="AJ372" i="3"/>
  <c r="AI375" i="3"/>
  <c r="S9" i="9"/>
  <c r="S14" i="9"/>
  <c r="S16" i="9" s="1"/>
  <c r="S30" i="9" s="1"/>
  <c r="S77" i="3" s="1"/>
  <c r="S135" i="3"/>
  <c r="P27" i="3"/>
  <c r="P141" i="3"/>
  <c r="P142" i="3"/>
  <c r="P26" i="3"/>
  <c r="P131" i="3"/>
  <c r="P544" i="3" s="1"/>
  <c r="P543" i="3" s="1"/>
  <c r="P13" i="9"/>
  <c r="P14" i="9" s="1"/>
  <c r="P16" i="9" s="1"/>
  <c r="Q135" i="3"/>
  <c r="P221" i="3"/>
  <c r="P224" i="3" s="1"/>
  <c r="P225" i="3" s="1"/>
  <c r="K150" i="3"/>
  <c r="K11" i="3" s="1"/>
  <c r="P11" i="9"/>
  <c r="P9" i="9"/>
  <c r="P145" i="3"/>
  <c r="P158" i="3" s="1"/>
  <c r="P156" i="3"/>
  <c r="T59" i="3"/>
  <c r="T44" i="3"/>
  <c r="AG176" i="3"/>
  <c r="AF175" i="3"/>
  <c r="O140" i="3"/>
  <c r="P135" i="3"/>
  <c r="O221" i="3"/>
  <c r="O224" i="3" s="1"/>
  <c r="O225" i="3" s="1"/>
  <c r="O11" i="9"/>
  <c r="O9" i="9"/>
  <c r="O131" i="3"/>
  <c r="O544" i="3" s="1"/>
  <c r="O543" i="3" s="1"/>
  <c r="O13" i="9"/>
  <c r="O14" i="9" s="1"/>
  <c r="O16" i="9" s="1"/>
  <c r="O142" i="3"/>
  <c r="O141" i="3"/>
  <c r="P76" i="3"/>
  <c r="P63" i="3"/>
  <c r="P235" i="3"/>
  <c r="P428" i="3"/>
  <c r="P442" i="3" s="1"/>
  <c r="P297" i="3"/>
  <c r="P311" i="3" s="1"/>
  <c r="Q5" i="3"/>
  <c r="P41" i="3"/>
  <c r="P299" i="3"/>
  <c r="P466" i="3"/>
  <c r="P499" i="3"/>
  <c r="P180" i="3"/>
  <c r="P518" i="3"/>
  <c r="P82" i="3"/>
  <c r="Z180" i="3"/>
  <c r="Z466" i="3"/>
  <c r="Z518" i="3"/>
  <c r="Z299" i="3"/>
  <c r="Z499" i="3"/>
  <c r="AA5" i="3"/>
  <c r="Z63" i="3"/>
  <c r="Z41" i="3"/>
  <c r="Z76" i="3"/>
  <c r="Z297" i="3"/>
  <c r="Z311" i="3" s="1"/>
  <c r="Z235" i="3"/>
  <c r="Z428" i="3"/>
  <c r="Z442" i="3" s="1"/>
  <c r="Z82" i="3"/>
  <c r="U23" i="3"/>
  <c r="AG421" i="3"/>
  <c r="AF418" i="3"/>
  <c r="AF425" i="3" s="1"/>
  <c r="D299" i="3"/>
  <c r="D76" i="3"/>
  <c r="D297" i="3"/>
  <c r="D311" i="3" s="1"/>
  <c r="D41" i="3"/>
  <c r="D499" i="3"/>
  <c r="D63" i="3"/>
  <c r="D180" i="3"/>
  <c r="D82" i="3"/>
  <c r="D466" i="3"/>
  <c r="D518" i="3"/>
  <c r="C5" i="3"/>
  <c r="U132" i="3"/>
  <c r="U130" i="3" s="1"/>
  <c r="U137" i="3"/>
  <c r="U182" i="3"/>
  <c r="U11" i="9"/>
  <c r="U9" i="9"/>
  <c r="AG266" i="3"/>
  <c r="Z35" i="3"/>
  <c r="L26" i="3"/>
  <c r="M26" i="3"/>
  <c r="J11" i="9"/>
  <c r="J9" i="9"/>
  <c r="AF208" i="3"/>
  <c r="J140" i="3"/>
  <c r="K135" i="3"/>
  <c r="AH242" i="3"/>
  <c r="AG240" i="3"/>
  <c r="N140" i="3"/>
  <c r="N135" i="3"/>
  <c r="O135" i="3"/>
  <c r="L11" i="9"/>
  <c r="L9" i="9"/>
  <c r="AC260" i="3"/>
  <c r="AB301" i="3"/>
  <c r="AB306" i="3" s="1"/>
  <c r="AB229" i="3"/>
  <c r="AG252" i="3"/>
  <c r="M572" i="3"/>
  <c r="M573" i="3" s="1"/>
  <c r="M577" i="3" s="1"/>
  <c r="AH34" i="9"/>
  <c r="J131" i="3"/>
  <c r="J544" i="3" s="1"/>
  <c r="J543" i="3" s="1"/>
  <c r="J138" i="3" s="1"/>
  <c r="J13" i="9"/>
  <c r="J14" i="9" s="1"/>
  <c r="J16" i="9" s="1"/>
  <c r="Z547" i="3"/>
  <c r="AA548" i="3"/>
  <c r="M163" i="3"/>
  <c r="M11" i="3"/>
  <c r="M55" i="3"/>
  <c r="AG272" i="3"/>
  <c r="AF231" i="3"/>
  <c r="N131" i="3"/>
  <c r="N544" i="3" s="1"/>
  <c r="N543" i="3" s="1"/>
  <c r="N13" i="9"/>
  <c r="N14" i="9" s="1"/>
  <c r="N16" i="9" s="1"/>
  <c r="L182" i="3"/>
  <c r="L197" i="3" s="1"/>
  <c r="L201" i="3" s="1"/>
  <c r="L137" i="3"/>
  <c r="L132" i="3"/>
  <c r="J132" i="3"/>
  <c r="J137" i="3"/>
  <c r="J141" i="3" s="1"/>
  <c r="J182" i="3"/>
  <c r="J197" i="3" s="1"/>
  <c r="J201" i="3" s="1"/>
  <c r="Z291" i="3"/>
  <c r="N27" i="3"/>
  <c r="O27" i="3"/>
  <c r="L135" i="3"/>
  <c r="L140" i="3"/>
  <c r="M135" i="3"/>
  <c r="M14" i="3"/>
  <c r="M54" i="3"/>
  <c r="AH408" i="3"/>
  <c r="AG412" i="3"/>
  <c r="N221" i="3"/>
  <c r="N224" i="3" s="1"/>
  <c r="N225" i="3" s="1"/>
  <c r="AG271" i="3"/>
  <c r="AG241" i="3"/>
  <c r="L27" i="3"/>
  <c r="M27" i="3"/>
  <c r="M53" i="3"/>
  <c r="M13" i="3"/>
  <c r="AA307" i="3"/>
  <c r="AC446" i="3"/>
  <c r="N141" i="3"/>
  <c r="N142" i="3"/>
  <c r="AE204" i="3"/>
  <c r="AE445" i="3"/>
  <c r="AF507" i="3"/>
  <c r="L13" i="9"/>
  <c r="L14" i="9" s="1"/>
  <c r="L16" i="9" s="1"/>
  <c r="L131" i="3"/>
  <c r="L544" i="3" s="1"/>
  <c r="L543" i="3" s="1"/>
  <c r="L138" i="3" s="1"/>
  <c r="K14" i="3"/>
  <c r="K54" i="3"/>
  <c r="AH244" i="3"/>
  <c r="N9" i="9"/>
  <c r="N11" i="9"/>
  <c r="AF275" i="3"/>
  <c r="M12" i="3"/>
  <c r="M56" i="3"/>
  <c r="N26" i="3"/>
  <c r="O26" i="3"/>
  <c r="K13" i="3"/>
  <c r="K53" i="3"/>
  <c r="K12" i="3"/>
  <c r="K56" i="3"/>
  <c r="R12" i="3"/>
  <c r="R70" i="3" s="1"/>
  <c r="R56" i="3"/>
  <c r="Q145" i="3"/>
  <c r="Q158" i="3" s="1"/>
  <c r="Q156" i="3"/>
  <c r="R11" i="3"/>
  <c r="R55" i="3"/>
  <c r="R163" i="3"/>
  <c r="Q40" i="9"/>
  <c r="Q79" i="3" s="1"/>
  <c r="Q30" i="9"/>
  <c r="Q77" i="3" s="1"/>
  <c r="S156" i="3"/>
  <c r="S145" i="3"/>
  <c r="S158" i="3" s="1"/>
  <c r="Q146" i="3"/>
  <c r="Q43" i="9"/>
  <c r="Q47" i="9" s="1"/>
  <c r="Q78" i="3" s="1"/>
  <c r="Q568" i="3"/>
  <c r="Q572" i="3" s="1"/>
  <c r="Q573" i="3" s="1"/>
  <c r="Q577" i="3" s="1"/>
  <c r="S132" i="3"/>
  <c r="S544" i="3"/>
  <c r="S543" i="3" s="1"/>
  <c r="S137" i="3"/>
  <c r="Q147" i="3"/>
  <c r="Q152" i="3" s="1"/>
  <c r="Q150" i="3"/>
  <c r="AH375" i="3"/>
  <c r="AH100" i="3"/>
  <c r="AG494" i="3"/>
  <c r="T182" i="3"/>
  <c r="T132" i="3"/>
  <c r="T130" i="3" s="1"/>
  <c r="T137" i="3"/>
  <c r="T11" i="9"/>
  <c r="T9" i="9"/>
  <c r="T26" i="3"/>
  <c r="U26" i="3"/>
  <c r="T27" i="3"/>
  <c r="U27" i="3"/>
  <c r="X19" i="10"/>
  <c r="X16" i="3"/>
  <c r="X69" i="3" s="1"/>
  <c r="V385" i="3"/>
  <c r="V387" i="3" s="1"/>
  <c r="V349" i="3"/>
  <c r="V366" i="3"/>
  <c r="V362" i="3"/>
  <c r="V371" i="3"/>
  <c r="V376" i="3" s="1"/>
  <c r="X17" i="10"/>
  <c r="V107" i="3"/>
  <c r="V73" i="3"/>
  <c r="V106" i="3"/>
  <c r="V68" i="3"/>
  <c r="V7" i="3"/>
  <c r="V531" i="3"/>
  <c r="V532" i="3" s="1"/>
  <c r="V533" i="3" s="1"/>
  <c r="V112" i="3"/>
  <c r="V66" i="3"/>
  <c r="V527" i="3"/>
  <c r="V528" i="3" s="1"/>
  <c r="V529" i="3" s="1"/>
  <c r="X18" i="10"/>
  <c r="V539" i="3"/>
  <c r="V19" i="10"/>
  <c r="V16" i="3"/>
  <c r="V17" i="10"/>
  <c r="V18" i="10"/>
  <c r="V8" i="9"/>
  <c r="V6" i="9"/>
  <c r="V321" i="3"/>
  <c r="U59" i="3"/>
  <c r="U44" i="3"/>
  <c r="V172" i="3"/>
  <c r="W168" i="3"/>
  <c r="X504" i="3"/>
  <c r="X512" i="3"/>
  <c r="X508" i="3"/>
  <c r="X478" i="3"/>
  <c r="X473" i="3"/>
  <c r="X105" i="3"/>
  <c r="X92" i="3"/>
  <c r="X7" i="9"/>
  <c r="X424" i="3"/>
  <c r="X453" i="3"/>
  <c r="X438" i="3"/>
  <c r="X338" i="3"/>
  <c r="X326" i="3"/>
  <c r="Y399" i="3"/>
  <c r="Y486" i="3"/>
  <c r="Y324" i="3"/>
  <c r="Y520" i="3"/>
  <c r="Y521" i="3" s="1"/>
  <c r="Y50" i="3"/>
  <c r="Y476" i="3"/>
  <c r="Y392" i="3"/>
  <c r="Y395" i="3" s="1"/>
  <c r="Y407" i="3"/>
  <c r="Y411" i="3" s="1"/>
  <c r="Y416" i="3"/>
  <c r="Y85" i="3"/>
  <c r="Y501" i="3"/>
  <c r="Y91" i="3"/>
  <c r="Y6" i="3"/>
  <c r="Y315" i="3"/>
  <c r="Y379" i="3"/>
  <c r="Y381" i="3" s="1"/>
  <c r="Y5" i="9"/>
  <c r="X319" i="3"/>
  <c r="X320" i="3" s="1"/>
  <c r="X403" i="3"/>
  <c r="AA560" i="3"/>
  <c r="Z559" i="3"/>
  <c r="AH259" i="3"/>
  <c r="AI259" i="3" s="1"/>
  <c r="AG283" i="3"/>
  <c r="AF35" i="9"/>
  <c r="AF46" i="3"/>
  <c r="Z551" i="3"/>
  <c r="AA552" i="3"/>
  <c r="AH250" i="3"/>
  <c r="AI250" i="3" s="1"/>
  <c r="AJ250" i="3" s="1"/>
  <c r="AK250" i="3" s="1"/>
  <c r="AL250" i="3" s="1"/>
  <c r="AH139" i="3"/>
  <c r="AH262" i="3"/>
  <c r="AH253" i="3"/>
  <c r="AI253" i="3" s="1"/>
  <c r="AG227" i="3"/>
  <c r="AH264" i="3"/>
  <c r="AG251" i="3"/>
  <c r="AG265" i="3"/>
  <c r="AG263" i="3"/>
  <c r="AG280" i="3"/>
  <c r="AG279" i="3"/>
  <c r="AG243" i="3"/>
  <c r="AF22" i="9"/>
  <c r="AL419" i="3" l="1"/>
  <c r="AL270" i="3"/>
  <c r="AI139" i="3"/>
  <c r="AI244" i="3"/>
  <c r="AH412" i="3"/>
  <c r="AI408" i="3"/>
  <c r="AI242" i="3"/>
  <c r="AJ242" i="3" s="1"/>
  <c r="AK242" i="3" s="1"/>
  <c r="AL242" i="3" s="1"/>
  <c r="AJ34" i="9"/>
  <c r="AK274" i="3"/>
  <c r="AK13" i="9"/>
  <c r="AI262" i="3"/>
  <c r="AJ262" i="3" s="1"/>
  <c r="AK262" i="3" s="1"/>
  <c r="AL262" i="3" s="1"/>
  <c r="AI264" i="3"/>
  <c r="AJ264" i="3" s="1"/>
  <c r="AK264" i="3" s="1"/>
  <c r="AL264" i="3" s="1"/>
  <c r="AJ259" i="3"/>
  <c r="AB556" i="3"/>
  <c r="AA555" i="3"/>
  <c r="AI227" i="3"/>
  <c r="AJ253" i="3"/>
  <c r="AL354" i="3"/>
  <c r="AL355" i="3" s="1"/>
  <c r="AK355" i="3"/>
  <c r="AK335" i="3"/>
  <c r="AK96" i="3" s="1"/>
  <c r="AL334" i="3"/>
  <c r="AL335" i="3" s="1"/>
  <c r="AL96" i="3" s="1"/>
  <c r="AI42" i="3"/>
  <c r="AK372" i="3"/>
  <c r="AJ100" i="3"/>
  <c r="AJ494" i="3" s="1"/>
  <c r="AJ375" i="3"/>
  <c r="S40" i="9"/>
  <c r="S79" i="3" s="1"/>
  <c r="K55" i="3"/>
  <c r="K163" i="3"/>
  <c r="P14" i="3"/>
  <c r="P54" i="3"/>
  <c r="P40" i="9"/>
  <c r="P79" i="3" s="1"/>
  <c r="P30" i="9"/>
  <c r="P77" i="3" s="1"/>
  <c r="P53" i="3"/>
  <c r="P13" i="3"/>
  <c r="AG208" i="3"/>
  <c r="P150" i="3"/>
  <c r="P568" i="3"/>
  <c r="P147" i="3"/>
  <c r="P152" i="3" s="1"/>
  <c r="P146" i="3"/>
  <c r="P43" i="9"/>
  <c r="P47" i="9" s="1"/>
  <c r="P78" i="3" s="1"/>
  <c r="AG175" i="3"/>
  <c r="AH176" i="3"/>
  <c r="T47" i="3"/>
  <c r="T57" i="3"/>
  <c r="T58" i="3" s="1"/>
  <c r="O43" i="9"/>
  <c r="O47" i="9" s="1"/>
  <c r="O78" i="3" s="1"/>
  <c r="O146" i="3"/>
  <c r="O150" i="3"/>
  <c r="O147" i="3"/>
  <c r="O152" i="3" s="1"/>
  <c r="O568" i="3"/>
  <c r="O572" i="3" s="1"/>
  <c r="O573" i="3" s="1"/>
  <c r="O577" i="3" s="1"/>
  <c r="AA466" i="3"/>
  <c r="AA518" i="3"/>
  <c r="AA180" i="3"/>
  <c r="AA235" i="3"/>
  <c r="AA299" i="3"/>
  <c r="AA499" i="3"/>
  <c r="AA82" i="3"/>
  <c r="AA76" i="3"/>
  <c r="AA63" i="3"/>
  <c r="AA41" i="3"/>
  <c r="AA428" i="3"/>
  <c r="AA442" i="3" s="1"/>
  <c r="AB5" i="3"/>
  <c r="AA297" i="3"/>
  <c r="AA311" i="3" s="1"/>
  <c r="Q82" i="3"/>
  <c r="Q41" i="3"/>
  <c r="Q63" i="3"/>
  <c r="Q518" i="3"/>
  <c r="R5" i="3"/>
  <c r="Q499" i="3"/>
  <c r="Q299" i="3"/>
  <c r="Q180" i="3"/>
  <c r="Q235" i="3"/>
  <c r="Q76" i="3"/>
  <c r="Q297" i="3"/>
  <c r="Q428" i="3"/>
  <c r="Q442" i="3" s="1"/>
  <c r="Q466" i="3"/>
  <c r="O40" i="9"/>
  <c r="O79" i="3" s="1"/>
  <c r="O30" i="9"/>
  <c r="O77" i="3" s="1"/>
  <c r="O145" i="3"/>
  <c r="O158" i="3" s="1"/>
  <c r="O156" i="3"/>
  <c r="C180" i="3"/>
  <c r="C297" i="3"/>
  <c r="C311" i="3" s="1"/>
  <c r="C499" i="3"/>
  <c r="C63" i="3"/>
  <c r="C82" i="3"/>
  <c r="C299" i="3"/>
  <c r="C466" i="3"/>
  <c r="C76" i="3"/>
  <c r="C41" i="3"/>
  <c r="C518" i="3"/>
  <c r="AH421" i="3"/>
  <c r="AG418" i="3"/>
  <c r="AG425" i="3" s="1"/>
  <c r="U197" i="3"/>
  <c r="U141" i="3"/>
  <c r="U142" i="3"/>
  <c r="U13" i="9"/>
  <c r="U14" i="9" s="1"/>
  <c r="U16" i="9" s="1"/>
  <c r="U129" i="3"/>
  <c r="N30" i="9"/>
  <c r="N77" i="3" s="1"/>
  <c r="N40" i="9"/>
  <c r="N79" i="3" s="1"/>
  <c r="L40" i="9"/>
  <c r="L79" i="3" s="1"/>
  <c r="L30" i="9"/>
  <c r="L77" i="3" s="1"/>
  <c r="AG231" i="3"/>
  <c r="AH272" i="3"/>
  <c r="AI272" i="3" s="1"/>
  <c r="AA547" i="3"/>
  <c r="AB548" i="3"/>
  <c r="L141" i="3"/>
  <c r="L142" i="3"/>
  <c r="AH252" i="3"/>
  <c r="AH266" i="3"/>
  <c r="K70" i="3"/>
  <c r="AF445" i="3"/>
  <c r="AF204" i="3"/>
  <c r="AG507" i="3"/>
  <c r="L221" i="3"/>
  <c r="L224" i="3" s="1"/>
  <c r="L225" i="3" s="1"/>
  <c r="AH240" i="3"/>
  <c r="L145" i="3"/>
  <c r="L158" i="3" s="1"/>
  <c r="L156" i="3"/>
  <c r="N150" i="3"/>
  <c r="N147" i="3"/>
  <c r="N152" i="3" s="1"/>
  <c r="AH241" i="3"/>
  <c r="N156" i="3"/>
  <c r="N145" i="3"/>
  <c r="N158" i="3" s="1"/>
  <c r="M70" i="3"/>
  <c r="N146" i="3"/>
  <c r="N43" i="9"/>
  <c r="N47" i="9" s="1"/>
  <c r="N78" i="3" s="1"/>
  <c r="N568" i="3"/>
  <c r="N572" i="3" s="1"/>
  <c r="N573" i="3" s="1"/>
  <c r="N577" i="3" s="1"/>
  <c r="AA123" i="3"/>
  <c r="J221" i="3"/>
  <c r="J142" i="3"/>
  <c r="AG275" i="3"/>
  <c r="AC110" i="3"/>
  <c r="AC184" i="3"/>
  <c r="AH271" i="3"/>
  <c r="J146" i="3"/>
  <c r="J43" i="9"/>
  <c r="AD260" i="3"/>
  <c r="AC301" i="3"/>
  <c r="AC305" i="3" s="1"/>
  <c r="AC120" i="3" s="1"/>
  <c r="AC229" i="3"/>
  <c r="J156" i="3"/>
  <c r="J145" i="3"/>
  <c r="J158" i="3" s="1"/>
  <c r="AC448" i="3"/>
  <c r="AD444" i="3" s="1"/>
  <c r="AD446" i="3" s="1"/>
  <c r="AD449" i="3" s="1"/>
  <c r="Q53" i="3"/>
  <c r="Q13" i="3"/>
  <c r="R157" i="3"/>
  <c r="Q157" i="3"/>
  <c r="S14" i="3"/>
  <c r="S54" i="3"/>
  <c r="S159" i="3"/>
  <c r="Q14" i="3"/>
  <c r="Q159" i="3"/>
  <c r="R159" i="3"/>
  <c r="Q54" i="3"/>
  <c r="S157" i="3"/>
  <c r="S13" i="3"/>
  <c r="S30" i="3" s="1"/>
  <c r="S53" i="3"/>
  <c r="Q163" i="3"/>
  <c r="R151" i="3"/>
  <c r="Q11" i="3"/>
  <c r="Q55" i="3"/>
  <c r="Q153" i="3"/>
  <c r="R153" i="3"/>
  <c r="Q56" i="3"/>
  <c r="Q12" i="3"/>
  <c r="R29" i="3" s="1"/>
  <c r="S141" i="3"/>
  <c r="S142" i="3"/>
  <c r="AH494" i="3"/>
  <c r="T197" i="3"/>
  <c r="T142" i="3"/>
  <c r="T141" i="3"/>
  <c r="T129" i="3"/>
  <c r="T13" i="9"/>
  <c r="T14" i="9" s="1"/>
  <c r="T16" i="9" s="1"/>
  <c r="V64" i="3"/>
  <c r="V65" i="3"/>
  <c r="V24" i="3"/>
  <c r="V69" i="3"/>
  <c r="V33" i="3"/>
  <c r="V114" i="3"/>
  <c r="V8" i="3"/>
  <c r="V25" i="3" s="1"/>
  <c r="V564" i="3"/>
  <c r="V116" i="3"/>
  <c r="V113" i="3"/>
  <c r="V523" i="3"/>
  <c r="V524" i="3" s="1"/>
  <c r="V525" i="3" s="1"/>
  <c r="V126" i="3"/>
  <c r="U57" i="3"/>
  <c r="U58" i="3" s="1"/>
  <c r="U47" i="3"/>
  <c r="X168" i="3"/>
  <c r="W172" i="3"/>
  <c r="W171" i="3" s="1"/>
  <c r="V171" i="3"/>
  <c r="Y512" i="3"/>
  <c r="Y504" i="3"/>
  <c r="Y508" i="3"/>
  <c r="X8" i="9"/>
  <c r="X6" i="9"/>
  <c r="Y319" i="3"/>
  <c r="Y320" i="3" s="1"/>
  <c r="Y403" i="3"/>
  <c r="Y338" i="3"/>
  <c r="Y326" i="3"/>
  <c r="Y7" i="9"/>
  <c r="Y105" i="3"/>
  <c r="Y93" i="3"/>
  <c r="Y92" i="3"/>
  <c r="Y5" i="10"/>
  <c r="Y7" i="10" s="1"/>
  <c r="Y9" i="10" s="1"/>
  <c r="Y15" i="10" s="1"/>
  <c r="Y22" i="3"/>
  <c r="Y424" i="3"/>
  <c r="Y438" i="3"/>
  <c r="Y453" i="3"/>
  <c r="Y478" i="3"/>
  <c r="Y473" i="3"/>
  <c r="X349" i="3"/>
  <c r="X366" i="3"/>
  <c r="X368" i="3"/>
  <c r="X385" i="3"/>
  <c r="X387" i="3" s="1"/>
  <c r="X362" i="3"/>
  <c r="X371" i="3"/>
  <c r="X376" i="3" s="1"/>
  <c r="X531" i="3"/>
  <c r="X7" i="3"/>
  <c r="X66" i="3"/>
  <c r="X527" i="3"/>
  <c r="X112" i="3"/>
  <c r="X73" i="3"/>
  <c r="X68" i="3"/>
  <c r="X106" i="3"/>
  <c r="AA559" i="3"/>
  <c r="AB560" i="3"/>
  <c r="AG35" i="9"/>
  <c r="AG46" i="3"/>
  <c r="AH283" i="3"/>
  <c r="AH280" i="3"/>
  <c r="AH243" i="3"/>
  <c r="AI243" i="3" s="1"/>
  <c r="AG22" i="9"/>
  <c r="AH263" i="3"/>
  <c r="AH265" i="3"/>
  <c r="AI265" i="3" s="1"/>
  <c r="AH251" i="3"/>
  <c r="AI251" i="3" s="1"/>
  <c r="AH279" i="3"/>
  <c r="AI279" i="3" s="1"/>
  <c r="AJ279" i="3" s="1"/>
  <c r="AK279" i="3" s="1"/>
  <c r="AL279" i="3" s="1"/>
  <c r="AH227" i="3"/>
  <c r="AB552" i="3"/>
  <c r="AA551" i="3"/>
  <c r="AI271" i="3" l="1"/>
  <c r="AJ271" i="3" s="1"/>
  <c r="AK271" i="3" s="1"/>
  <c r="AL271" i="3" s="1"/>
  <c r="AJ227" i="3"/>
  <c r="AK253" i="3"/>
  <c r="AI283" i="3"/>
  <c r="AI263" i="3"/>
  <c r="AJ263" i="3" s="1"/>
  <c r="AK263" i="3" s="1"/>
  <c r="AL263" i="3" s="1"/>
  <c r="AI240" i="3"/>
  <c r="AJ240" i="3" s="1"/>
  <c r="AK240" i="3" s="1"/>
  <c r="AL240" i="3" s="1"/>
  <c r="AC556" i="3"/>
  <c r="AB555" i="3"/>
  <c r="AJ244" i="3"/>
  <c r="AI252" i="3"/>
  <c r="AJ252" i="3" s="1"/>
  <c r="AI231" i="3"/>
  <c r="AJ272" i="3"/>
  <c r="AJ265" i="3"/>
  <c r="AK34" i="9"/>
  <c r="AL274" i="3"/>
  <c r="AL34" i="9" s="1"/>
  <c r="AH418" i="3"/>
  <c r="AH425" i="3" s="1"/>
  <c r="AI421" i="3"/>
  <c r="AI241" i="3"/>
  <c r="AJ241" i="3" s="1"/>
  <c r="AK241" i="3" s="1"/>
  <c r="AL241" i="3" s="1"/>
  <c r="AL13" i="9"/>
  <c r="AI266" i="3"/>
  <c r="AK259" i="3"/>
  <c r="AI412" i="3"/>
  <c r="AJ408" i="3"/>
  <c r="AJ251" i="3"/>
  <c r="AI280" i="3"/>
  <c r="AJ280" i="3" s="1"/>
  <c r="AK280" i="3" s="1"/>
  <c r="AL280" i="3" s="1"/>
  <c r="AJ139" i="3"/>
  <c r="AI22" i="9"/>
  <c r="AJ243" i="3"/>
  <c r="AJ42" i="3"/>
  <c r="AK375" i="3"/>
  <c r="AL372" i="3"/>
  <c r="AK100" i="3"/>
  <c r="AK494" i="3" s="1"/>
  <c r="AH175" i="3"/>
  <c r="AI176" i="3"/>
  <c r="P163" i="3"/>
  <c r="P55" i="3"/>
  <c r="P11" i="3"/>
  <c r="Q28" i="3" s="1"/>
  <c r="Q151" i="3"/>
  <c r="P12" i="3"/>
  <c r="P70" i="3" s="1"/>
  <c r="P56" i="3"/>
  <c r="T50" i="3"/>
  <c r="T67" i="3"/>
  <c r="T51" i="3"/>
  <c r="T52" i="3"/>
  <c r="AB299" i="3"/>
  <c r="AB63" i="3"/>
  <c r="AB466" i="3"/>
  <c r="AB76" i="3"/>
  <c r="AB518" i="3"/>
  <c r="AC5" i="3"/>
  <c r="AB82" i="3"/>
  <c r="AB235" i="3"/>
  <c r="AB180" i="3"/>
  <c r="AB499" i="3"/>
  <c r="AB428" i="3"/>
  <c r="AB442" i="3" s="1"/>
  <c r="AB41" i="3"/>
  <c r="AB49" i="3" s="1"/>
  <c r="AB297" i="3"/>
  <c r="AB311" i="3" s="1"/>
  <c r="O55" i="3"/>
  <c r="O11" i="3"/>
  <c r="O163" i="3"/>
  <c r="P151" i="3"/>
  <c r="O14" i="3"/>
  <c r="P31" i="3" s="1"/>
  <c r="O54" i="3"/>
  <c r="P159" i="3"/>
  <c r="O53" i="3"/>
  <c r="O13" i="3"/>
  <c r="P30" i="3" s="1"/>
  <c r="P157" i="3"/>
  <c r="Q311" i="3"/>
  <c r="R297" i="3"/>
  <c r="O12" i="3"/>
  <c r="O56" i="3"/>
  <c r="P153" i="3"/>
  <c r="R41" i="3"/>
  <c r="R76" i="3"/>
  <c r="R235" i="3"/>
  <c r="R466" i="3"/>
  <c r="R82" i="3"/>
  <c r="R518" i="3"/>
  <c r="S5" i="3"/>
  <c r="R299" i="3"/>
  <c r="R428" i="3"/>
  <c r="R442" i="3" s="1"/>
  <c r="R180" i="3"/>
  <c r="R63" i="3"/>
  <c r="R499" i="3"/>
  <c r="AH208" i="3"/>
  <c r="U568" i="3"/>
  <c r="U572" i="3" s="1"/>
  <c r="U573" i="3" s="1"/>
  <c r="U577" i="3" s="1"/>
  <c r="U43" i="9"/>
  <c r="U47" i="9" s="1"/>
  <c r="U78" i="3" s="1"/>
  <c r="U146" i="3"/>
  <c r="U542" i="3"/>
  <c r="U543" i="3" s="1"/>
  <c r="U134" i="3"/>
  <c r="U201" i="3"/>
  <c r="U30" i="9"/>
  <c r="U77" i="3" s="1"/>
  <c r="U40" i="9"/>
  <c r="U79" i="3" s="1"/>
  <c r="U147" i="3"/>
  <c r="U150" i="3"/>
  <c r="AC189" i="3"/>
  <c r="AH231" i="3"/>
  <c r="AH275" i="3"/>
  <c r="J147" i="3"/>
  <c r="J152" i="3" s="1"/>
  <c r="J150" i="3"/>
  <c r="AH507" i="3"/>
  <c r="AI507" i="3" s="1"/>
  <c r="AG204" i="3"/>
  <c r="AG445" i="3"/>
  <c r="AE260" i="3"/>
  <c r="AD229" i="3"/>
  <c r="AD301" i="3"/>
  <c r="AD448" i="3"/>
  <c r="AE444" i="3" s="1"/>
  <c r="AD110" i="3"/>
  <c r="AD184" i="3"/>
  <c r="L150" i="3"/>
  <c r="L147" i="3"/>
  <c r="L152" i="3" s="1"/>
  <c r="L146" i="3"/>
  <c r="L43" i="9"/>
  <c r="L47" i="9" s="1"/>
  <c r="L78" i="3" s="1"/>
  <c r="L568" i="3"/>
  <c r="L572" i="3" s="1"/>
  <c r="L573" i="3" s="1"/>
  <c r="L577" i="3" s="1"/>
  <c r="N54" i="3"/>
  <c r="N14" i="3"/>
  <c r="N159" i="3"/>
  <c r="O159" i="3"/>
  <c r="L157" i="3"/>
  <c r="L13" i="3"/>
  <c r="L53" i="3"/>
  <c r="M157" i="3"/>
  <c r="J14" i="3"/>
  <c r="K31" i="3" s="1"/>
  <c r="J54" i="3"/>
  <c r="K159" i="3"/>
  <c r="N53" i="3"/>
  <c r="N13" i="3"/>
  <c r="N157" i="3"/>
  <c r="O157" i="3"/>
  <c r="N153" i="3"/>
  <c r="N12" i="3"/>
  <c r="O153" i="3"/>
  <c r="N56" i="3"/>
  <c r="L159" i="3"/>
  <c r="L54" i="3"/>
  <c r="L14" i="3"/>
  <c r="M159" i="3"/>
  <c r="AC548" i="3"/>
  <c r="AB547" i="3"/>
  <c r="J13" i="3"/>
  <c r="K30" i="3" s="1"/>
  <c r="J53" i="3"/>
  <c r="K157" i="3"/>
  <c r="O151" i="3"/>
  <c r="N163" i="3"/>
  <c r="N151" i="3"/>
  <c r="N55" i="3"/>
  <c r="N11" i="3"/>
  <c r="R28" i="3"/>
  <c r="R30" i="3"/>
  <c r="Q30" i="3"/>
  <c r="S150" i="3"/>
  <c r="S147" i="3"/>
  <c r="S152" i="3" s="1"/>
  <c r="Q31" i="3"/>
  <c r="R31" i="3"/>
  <c r="Q70" i="3"/>
  <c r="S568" i="3"/>
  <c r="S572" i="3" s="1"/>
  <c r="S573" i="3" s="1"/>
  <c r="S577" i="3" s="1"/>
  <c r="S146" i="3"/>
  <c r="S43" i="9"/>
  <c r="S47" i="9" s="1"/>
  <c r="S78" i="3" s="1"/>
  <c r="S31" i="3"/>
  <c r="T40" i="9"/>
  <c r="T79" i="3" s="1"/>
  <c r="T30" i="9"/>
  <c r="T77" i="3" s="1"/>
  <c r="T201" i="3"/>
  <c r="T150" i="3"/>
  <c r="T147" i="3"/>
  <c r="T134" i="3"/>
  <c r="T542" i="3"/>
  <c r="T543" i="3" s="1"/>
  <c r="T146" i="3"/>
  <c r="T43" i="9"/>
  <c r="T47" i="9" s="1"/>
  <c r="T78" i="3" s="1"/>
  <c r="V9" i="3"/>
  <c r="V26" i="3" s="1"/>
  <c r="V117" i="3"/>
  <c r="V10" i="9"/>
  <c r="V127" i="3"/>
  <c r="V134" i="3"/>
  <c r="V10" i="3"/>
  <c r="V27" i="3" s="1"/>
  <c r="V177" i="3"/>
  <c r="V22" i="10"/>
  <c r="V21" i="10" s="1"/>
  <c r="V17" i="3" s="1"/>
  <c r="V43" i="3"/>
  <c r="V44" i="3" s="1"/>
  <c r="Y168" i="3"/>
  <c r="Z168" i="3" s="1"/>
  <c r="X172" i="3"/>
  <c r="X171" i="3" s="1"/>
  <c r="W43" i="3"/>
  <c r="W44" i="3" s="1"/>
  <c r="W47" i="3" s="1"/>
  <c r="W67" i="3" s="1"/>
  <c r="W22" i="10"/>
  <c r="U51" i="3"/>
  <c r="U50" i="3"/>
  <c r="U52" i="3"/>
  <c r="U67" i="3"/>
  <c r="X523" i="3"/>
  <c r="X113" i="3"/>
  <c r="X126" i="3"/>
  <c r="X8" i="3"/>
  <c r="X564" i="3"/>
  <c r="X116" i="3"/>
  <c r="X64" i="3"/>
  <c r="X65" i="3"/>
  <c r="Y385" i="3"/>
  <c r="Y387" i="3" s="1"/>
  <c r="Y358" i="3"/>
  <c r="Y368" i="3"/>
  <c r="Y349" i="3"/>
  <c r="Y371" i="3"/>
  <c r="Y376" i="3" s="1"/>
  <c r="Y362" i="3"/>
  <c r="Y366" i="3"/>
  <c r="Y321" i="3"/>
  <c r="Y539" i="3"/>
  <c r="Y21" i="10"/>
  <c r="Y17" i="3" s="1"/>
  <c r="Y19" i="10"/>
  <c r="Y18" i="10"/>
  <c r="Y16" i="3"/>
  <c r="Y17" i="10"/>
  <c r="Y66" i="3"/>
  <c r="Y531" i="3"/>
  <c r="Y532" i="3" s="1"/>
  <c r="Y533" i="3" s="1"/>
  <c r="Y51" i="3"/>
  <c r="Y106" i="3"/>
  <c r="Y112" i="3"/>
  <c r="Y527" i="3"/>
  <c r="Y528" i="3" s="1"/>
  <c r="Y529" i="3" s="1"/>
  <c r="Y7" i="3"/>
  <c r="Y68" i="3"/>
  <c r="Y73" i="3"/>
  <c r="Y107" i="3"/>
  <c r="Y8" i="9"/>
  <c r="Y6" i="9"/>
  <c r="AB559" i="3"/>
  <c r="AC560" i="3"/>
  <c r="AB551" i="3"/>
  <c r="AC552" i="3"/>
  <c r="AH22" i="9"/>
  <c r="AH46" i="3"/>
  <c r="AH35" i="9"/>
  <c r="P28" i="3" l="1"/>
  <c r="AI204" i="3"/>
  <c r="AI445" i="3"/>
  <c r="AJ507" i="3"/>
  <c r="AC555" i="3"/>
  <c r="AD556" i="3"/>
  <c r="AK408" i="3"/>
  <c r="AJ412" i="3"/>
  <c r="AJ231" i="3"/>
  <c r="AK272" i="3"/>
  <c r="AK227" i="3"/>
  <c r="AL253" i="3"/>
  <c r="AL227" i="3" s="1"/>
  <c r="AK244" i="3"/>
  <c r="AK251" i="3"/>
  <c r="AK139" i="3"/>
  <c r="AI275" i="3"/>
  <c r="AJ421" i="3"/>
  <c r="AI418" i="3"/>
  <c r="AI425" i="3" s="1"/>
  <c r="AK265" i="3"/>
  <c r="AL259" i="3"/>
  <c r="AK252" i="3"/>
  <c r="AL252" i="3" s="1"/>
  <c r="AI46" i="3"/>
  <c r="AI35" i="9"/>
  <c r="AJ283" i="3"/>
  <c r="AJ22" i="9"/>
  <c r="AK243" i="3"/>
  <c r="AI208" i="3"/>
  <c r="AJ266" i="3"/>
  <c r="AK42" i="3"/>
  <c r="AL100" i="3"/>
  <c r="AL494" i="3" s="1"/>
  <c r="AL375" i="3"/>
  <c r="AI175" i="3"/>
  <c r="AJ176" i="3"/>
  <c r="Q29" i="3"/>
  <c r="AC499" i="3"/>
  <c r="AC428" i="3"/>
  <c r="AC442" i="3" s="1"/>
  <c r="AC41" i="3"/>
  <c r="AC49" i="3" s="1"/>
  <c r="AC299" i="3"/>
  <c r="AC82" i="3"/>
  <c r="AC297" i="3"/>
  <c r="AC311" i="3" s="1"/>
  <c r="AD5" i="3"/>
  <c r="AC235" i="3"/>
  <c r="AC518" i="3"/>
  <c r="AC76" i="3"/>
  <c r="AC63" i="3"/>
  <c r="AC466" i="3"/>
  <c r="AC180" i="3"/>
  <c r="S297" i="3"/>
  <c r="R311" i="3"/>
  <c r="S235" i="3"/>
  <c r="S299" i="3"/>
  <c r="S518" i="3"/>
  <c r="S428" i="3"/>
  <c r="S442" i="3" s="1"/>
  <c r="S499" i="3"/>
  <c r="S180" i="3"/>
  <c r="S41" i="3"/>
  <c r="S466" i="3"/>
  <c r="S63" i="3"/>
  <c r="S76" i="3"/>
  <c r="S82" i="3"/>
  <c r="O70" i="3"/>
  <c r="P29" i="3"/>
  <c r="U11" i="3"/>
  <c r="U55" i="3"/>
  <c r="U152" i="3"/>
  <c r="U221" i="3"/>
  <c r="U140" i="3"/>
  <c r="L12" i="3"/>
  <c r="L153" i="3"/>
  <c r="L56" i="3"/>
  <c r="M153" i="3"/>
  <c r="J163" i="3"/>
  <c r="J11" i="3"/>
  <c r="K28" i="3" s="1"/>
  <c r="J55" i="3"/>
  <c r="K151" i="3"/>
  <c r="O29" i="3"/>
  <c r="N29" i="3"/>
  <c r="N70" i="3"/>
  <c r="AD305" i="3"/>
  <c r="AD120" i="3" s="1"/>
  <c r="J12" i="3"/>
  <c r="J56" i="3"/>
  <c r="K153" i="3"/>
  <c r="AC199" i="3"/>
  <c r="AE446" i="3"/>
  <c r="N30" i="3"/>
  <c r="O30" i="3"/>
  <c r="L151" i="3"/>
  <c r="L55" i="3"/>
  <c r="L11" i="3"/>
  <c r="L163" i="3"/>
  <c r="M151" i="3"/>
  <c r="AH204" i="3"/>
  <c r="AH445" i="3"/>
  <c r="AD548" i="3"/>
  <c r="AC547" i="3"/>
  <c r="N31" i="3"/>
  <c r="O31" i="3"/>
  <c r="AA11" i="10"/>
  <c r="AF260" i="3"/>
  <c r="AE229" i="3"/>
  <c r="AE301" i="3"/>
  <c r="AE305" i="3" s="1"/>
  <c r="AE120" i="3" s="1"/>
  <c r="N28" i="3"/>
  <c r="O28" i="3"/>
  <c r="L31" i="3"/>
  <c r="M31" i="3"/>
  <c r="L30" i="3"/>
  <c r="M30" i="3"/>
  <c r="S12" i="3"/>
  <c r="S153" i="3"/>
  <c r="S56" i="3"/>
  <c r="S55" i="3"/>
  <c r="S163" i="3"/>
  <c r="S11" i="3"/>
  <c r="S28" i="3" s="1"/>
  <c r="S151" i="3"/>
  <c r="T135" i="3"/>
  <c r="U135" i="3"/>
  <c r="T140" i="3"/>
  <c r="T152" i="3"/>
  <c r="T221" i="3"/>
  <c r="U151" i="3"/>
  <c r="T11" i="3"/>
  <c r="T163" i="3"/>
  <c r="T55" i="3"/>
  <c r="T151" i="3"/>
  <c r="V140" i="3"/>
  <c r="V135" i="3"/>
  <c r="V9" i="9"/>
  <c r="V11" i="9"/>
  <c r="V182" i="3"/>
  <c r="V132" i="3"/>
  <c r="V130" i="3" s="1"/>
  <c r="V137" i="3"/>
  <c r="V47" i="3"/>
  <c r="V57" i="3"/>
  <c r="V58" i="3" s="1"/>
  <c r="V34" i="3"/>
  <c r="V71" i="3"/>
  <c r="X43" i="3"/>
  <c r="X44" i="3" s="1"/>
  <c r="X22" i="10"/>
  <c r="X21" i="10" s="1"/>
  <c r="X17" i="3" s="1"/>
  <c r="X71" i="3" s="1"/>
  <c r="Y172" i="3"/>
  <c r="Y65" i="3"/>
  <c r="Y64" i="3"/>
  <c r="Y24" i="3"/>
  <c r="X177" i="3"/>
  <c r="Y116" i="3"/>
  <c r="Y113" i="3"/>
  <c r="Y52" i="3"/>
  <c r="Y523" i="3"/>
  <c r="Y524" i="3" s="1"/>
  <c r="Y525" i="3" s="1"/>
  <c r="Y8" i="3"/>
  <c r="Y25" i="3" s="1"/>
  <c r="Y564" i="3"/>
  <c r="Y126" i="3"/>
  <c r="Y114" i="3"/>
  <c r="Y33" i="3"/>
  <c r="Y57" i="3"/>
  <c r="Y58" i="3" s="1"/>
  <c r="Y69" i="3"/>
  <c r="Y71" i="3"/>
  <c r="X127" i="3"/>
  <c r="X117" i="3"/>
  <c r="X10" i="9"/>
  <c r="X9" i="3"/>
  <c r="X10" i="3"/>
  <c r="X130" i="3"/>
  <c r="X134" i="3"/>
  <c r="AD560" i="3"/>
  <c r="AC559" i="3"/>
  <c r="AC551" i="3"/>
  <c r="AD552" i="3"/>
  <c r="AJ208" i="3" l="1"/>
  <c r="AK266" i="3"/>
  <c r="AL266" i="3" s="1"/>
  <c r="AL208" i="3" s="1"/>
  <c r="AL251" i="3"/>
  <c r="AL408" i="3"/>
  <c r="AL412" i="3" s="1"/>
  <c r="AK412" i="3"/>
  <c r="AE448" i="3"/>
  <c r="AF444" i="3" s="1"/>
  <c r="AE449" i="3"/>
  <c r="AK22" i="9"/>
  <c r="AL243" i="3"/>
  <c r="AL244" i="3"/>
  <c r="AE556" i="3"/>
  <c r="AD555" i="3"/>
  <c r="AK421" i="3"/>
  <c r="AJ418" i="3"/>
  <c r="AJ425" i="3" s="1"/>
  <c r="AJ46" i="3"/>
  <c r="AJ35" i="9"/>
  <c r="AK283" i="3"/>
  <c r="AL265" i="3"/>
  <c r="AJ445" i="3"/>
  <c r="AK507" i="3"/>
  <c r="AJ204" i="3"/>
  <c r="AL139" i="3"/>
  <c r="AJ275" i="3"/>
  <c r="AL272" i="3"/>
  <c r="AL231" i="3" s="1"/>
  <c r="AK231" i="3"/>
  <c r="AL42" i="3"/>
  <c r="AJ175" i="3"/>
  <c r="AK176" i="3"/>
  <c r="AD41" i="3"/>
  <c r="AD49" i="3" s="1"/>
  <c r="AD76" i="3"/>
  <c r="AD63" i="3"/>
  <c r="AD428" i="3"/>
  <c r="AD442" i="3" s="1"/>
  <c r="AD180" i="3"/>
  <c r="AD299" i="3"/>
  <c r="AD235" i="3"/>
  <c r="AD518" i="3"/>
  <c r="AD297" i="3"/>
  <c r="AD311" i="3" s="1"/>
  <c r="AD466" i="3"/>
  <c r="AD499" i="3"/>
  <c r="AE5" i="3"/>
  <c r="AD82" i="3"/>
  <c r="S311" i="3"/>
  <c r="T297" i="3"/>
  <c r="T311" i="3" s="1"/>
  <c r="U224" i="3"/>
  <c r="U12" i="3"/>
  <c r="U70" i="3" s="1"/>
  <c r="U56" i="3"/>
  <c r="U145" i="3"/>
  <c r="U156" i="3"/>
  <c r="AF446" i="3"/>
  <c r="L70" i="3"/>
  <c r="L29" i="3"/>
  <c r="M29" i="3"/>
  <c r="L28" i="3"/>
  <c r="M28" i="3"/>
  <c r="AE189" i="3"/>
  <c r="AD189" i="3"/>
  <c r="AE184" i="3"/>
  <c r="AE110" i="3"/>
  <c r="J70" i="3"/>
  <c r="K29" i="3"/>
  <c r="AE548" i="3"/>
  <c r="AD547" i="3"/>
  <c r="AG260" i="3"/>
  <c r="AF229" i="3"/>
  <c r="AF301" i="3"/>
  <c r="S70" i="3"/>
  <c r="S29" i="3"/>
  <c r="U28" i="3"/>
  <c r="T28" i="3"/>
  <c r="T153" i="3"/>
  <c r="U153" i="3"/>
  <c r="T12" i="3"/>
  <c r="T56" i="3"/>
  <c r="T224" i="3"/>
  <c r="T568" i="3"/>
  <c r="T572" i="3" s="1"/>
  <c r="T573" i="3" s="1"/>
  <c r="T577" i="3" s="1"/>
  <c r="T145" i="3"/>
  <c r="T156" i="3"/>
  <c r="Y34" i="3"/>
  <c r="V13" i="9"/>
  <c r="V14" i="9" s="1"/>
  <c r="V16" i="9" s="1"/>
  <c r="V197" i="3"/>
  <c r="V141" i="3"/>
  <c r="V142" i="3"/>
  <c r="V156" i="3"/>
  <c r="V145" i="3"/>
  <c r="AA168" i="3"/>
  <c r="AB168" i="3" s="1"/>
  <c r="Z172" i="3"/>
  <c r="Z161" i="3"/>
  <c r="X47" i="3"/>
  <c r="X57" i="3"/>
  <c r="X58" i="3" s="1"/>
  <c r="V52" i="3"/>
  <c r="V67" i="3"/>
  <c r="V51" i="3"/>
  <c r="V50" i="3"/>
  <c r="Y177" i="3"/>
  <c r="X182" i="3"/>
  <c r="X132" i="3"/>
  <c r="X137" i="3"/>
  <c r="Y117" i="3"/>
  <c r="Y10" i="9"/>
  <c r="Y9" i="3"/>
  <c r="Y26" i="3" s="1"/>
  <c r="Y127" i="3"/>
  <c r="X140" i="3"/>
  <c r="X11" i="9"/>
  <c r="X9" i="9"/>
  <c r="Y130" i="3"/>
  <c r="Y10" i="3"/>
  <c r="Y27" i="3" s="1"/>
  <c r="Y134" i="3"/>
  <c r="X13" i="9"/>
  <c r="X14" i="9" s="1"/>
  <c r="X16" i="9" s="1"/>
  <c r="AE560" i="3"/>
  <c r="AD559" i="3"/>
  <c r="AE552" i="3"/>
  <c r="AD551" i="3"/>
  <c r="AK208" i="3" l="1"/>
  <c r="AL507" i="3"/>
  <c r="AK445" i="3"/>
  <c r="AK204" i="3"/>
  <c r="AL22" i="9"/>
  <c r="AF556" i="3"/>
  <c r="AE555" i="3"/>
  <c r="AK275" i="3"/>
  <c r="AF448" i="3"/>
  <c r="AG444" i="3" s="1"/>
  <c r="AF449" i="3"/>
  <c r="AL421" i="3"/>
  <c r="AL418" i="3" s="1"/>
  <c r="AK418" i="3"/>
  <c r="AK425" i="3" s="1"/>
  <c r="AK46" i="3"/>
  <c r="AK35" i="9"/>
  <c r="AL283" i="3"/>
  <c r="AK175" i="3"/>
  <c r="AL176" i="3"/>
  <c r="AL175" i="3" s="1"/>
  <c r="AE235" i="3"/>
  <c r="AE499" i="3"/>
  <c r="AE82" i="3"/>
  <c r="AE297" i="3"/>
  <c r="AE311" i="3" s="1"/>
  <c r="AE180" i="3"/>
  <c r="AE41" i="3"/>
  <c r="AE49" i="3" s="1"/>
  <c r="AE299" i="3"/>
  <c r="AE428" i="3"/>
  <c r="AE442" i="3" s="1"/>
  <c r="AE518" i="3"/>
  <c r="AE63" i="3"/>
  <c r="AE76" i="3"/>
  <c r="AE466" i="3"/>
  <c r="AF5" i="3"/>
  <c r="U158" i="3"/>
  <c r="U13" i="3"/>
  <c r="U53" i="3"/>
  <c r="U225" i="3"/>
  <c r="AF548" i="3"/>
  <c r="AE547" i="3"/>
  <c r="AH260" i="3"/>
  <c r="AI260" i="3" s="1"/>
  <c r="AG301" i="3"/>
  <c r="AG305" i="3" s="1"/>
  <c r="AG120" i="3" s="1"/>
  <c r="AG229" i="3"/>
  <c r="AF305" i="3"/>
  <c r="AF120" i="3" s="1"/>
  <c r="AD199" i="3"/>
  <c r="AG446" i="3"/>
  <c r="AG449" i="3" s="1"/>
  <c r="AE199" i="3"/>
  <c r="AF110" i="3"/>
  <c r="AF184" i="3"/>
  <c r="T225" i="3"/>
  <c r="T158" i="3"/>
  <c r="T157" i="3"/>
  <c r="T53" i="3"/>
  <c r="T13" i="3"/>
  <c r="U157" i="3"/>
  <c r="T70" i="3"/>
  <c r="U29" i="3"/>
  <c r="T29" i="3"/>
  <c r="V568" i="3"/>
  <c r="V572" i="3" s="1"/>
  <c r="V573" i="3" s="1"/>
  <c r="V577" i="3" s="1"/>
  <c r="V43" i="9"/>
  <c r="V47" i="9" s="1"/>
  <c r="V78" i="3" s="1"/>
  <c r="V146" i="3"/>
  <c r="V150" i="3"/>
  <c r="V147" i="3"/>
  <c r="V201" i="3"/>
  <c r="V158" i="3"/>
  <c r="V30" i="9"/>
  <c r="V77" i="3" s="1"/>
  <c r="V40" i="9"/>
  <c r="V79" i="3" s="1"/>
  <c r="V13" i="3"/>
  <c r="V157" i="3"/>
  <c r="V53" i="3"/>
  <c r="Z570" i="3"/>
  <c r="Z22" i="10"/>
  <c r="Z43" i="3"/>
  <c r="Z44" i="3" s="1"/>
  <c r="Z47" i="3" s="1"/>
  <c r="Z67" i="3" s="1"/>
  <c r="X50" i="3"/>
  <c r="X51" i="3"/>
  <c r="X67" i="3"/>
  <c r="X52" i="3"/>
  <c r="AA172" i="3"/>
  <c r="X40" i="9"/>
  <c r="X79" i="3" s="1"/>
  <c r="X30" i="9"/>
  <c r="X77" i="3" s="1"/>
  <c r="Y140" i="3"/>
  <c r="Y156" i="3" s="1"/>
  <c r="Y135" i="3"/>
  <c r="X156" i="3"/>
  <c r="X145" i="3"/>
  <c r="Y137" i="3"/>
  <c r="Y182" i="3"/>
  <c r="Y132" i="3"/>
  <c r="Y9" i="9"/>
  <c r="Y11" i="9"/>
  <c r="X197" i="3"/>
  <c r="X142" i="3"/>
  <c r="X141" i="3"/>
  <c r="Y13" i="9"/>
  <c r="Y14" i="9" s="1"/>
  <c r="Y16" i="9" s="1"/>
  <c r="AF560" i="3"/>
  <c r="AE559" i="3"/>
  <c r="AE551" i="3"/>
  <c r="AF552" i="3"/>
  <c r="AG556" i="3" l="1"/>
  <c r="AF555" i="3"/>
  <c r="AL275" i="3"/>
  <c r="AL425" i="3"/>
  <c r="AL445" i="3"/>
  <c r="AL204" i="3"/>
  <c r="AJ260" i="3"/>
  <c r="AI301" i="3"/>
  <c r="AI229" i="3"/>
  <c r="AL46" i="3"/>
  <c r="AL35" i="9"/>
  <c r="AF235" i="3"/>
  <c r="AF63" i="3"/>
  <c r="AG5" i="3"/>
  <c r="AF518" i="3"/>
  <c r="AF180" i="3"/>
  <c r="AF76" i="3"/>
  <c r="AF297" i="3"/>
  <c r="AF311" i="3" s="1"/>
  <c r="AF82" i="3"/>
  <c r="AF466" i="3"/>
  <c r="AF299" i="3"/>
  <c r="AF428" i="3"/>
  <c r="AF442" i="3" s="1"/>
  <c r="AF499" i="3"/>
  <c r="AF41" i="3"/>
  <c r="AF49" i="3" s="1"/>
  <c r="V30" i="3"/>
  <c r="U14" i="3"/>
  <c r="U54" i="3"/>
  <c r="U163" i="3"/>
  <c r="AF189" i="3"/>
  <c r="AG189" i="3"/>
  <c r="AG548" i="3"/>
  <c r="AF547" i="3"/>
  <c r="AG110" i="3"/>
  <c r="AG184" i="3"/>
  <c r="AH301" i="3"/>
  <c r="AH305" i="3" s="1"/>
  <c r="AH120" i="3" s="1"/>
  <c r="AH229" i="3"/>
  <c r="AG448" i="3"/>
  <c r="AH444" i="3" s="1"/>
  <c r="T30" i="3"/>
  <c r="U30" i="3"/>
  <c r="T159" i="3"/>
  <c r="U159" i="3"/>
  <c r="T14" i="3"/>
  <c r="T54" i="3"/>
  <c r="V54" i="3"/>
  <c r="V159" i="3"/>
  <c r="V163" i="3"/>
  <c r="V14" i="3"/>
  <c r="V152" i="3"/>
  <c r="V221" i="3"/>
  <c r="V151" i="3"/>
  <c r="V55" i="3"/>
  <c r="V11" i="3"/>
  <c r="V28" i="3" s="1"/>
  <c r="AA43" i="3"/>
  <c r="AA22" i="10"/>
  <c r="AB172" i="3"/>
  <c r="AC168" i="3"/>
  <c r="Y197" i="3"/>
  <c r="Y30" i="9"/>
  <c r="Y77" i="3" s="1"/>
  <c r="Y40" i="9"/>
  <c r="Y79" i="3" s="1"/>
  <c r="X43" i="9"/>
  <c r="X47" i="9" s="1"/>
  <c r="X78" i="3" s="1"/>
  <c r="X146" i="3"/>
  <c r="X568" i="3"/>
  <c r="Y141" i="3"/>
  <c r="Y142" i="3"/>
  <c r="X158" i="3"/>
  <c r="Y145" i="3"/>
  <c r="X150" i="3"/>
  <c r="X147" i="3"/>
  <c r="X201" i="3"/>
  <c r="X13" i="3"/>
  <c r="X53" i="3"/>
  <c r="AG560" i="3"/>
  <c r="AF559" i="3"/>
  <c r="AG552" i="3"/>
  <c r="AF551" i="3"/>
  <c r="AC167" i="3" l="1"/>
  <c r="AI305" i="3"/>
  <c r="AI120" i="3" s="1"/>
  <c r="AI189" i="3" s="1"/>
  <c r="AI199" i="3" s="1"/>
  <c r="AK260" i="3"/>
  <c r="AJ301" i="3"/>
  <c r="AJ229" i="3"/>
  <c r="AH556" i="3"/>
  <c r="AG555" i="3"/>
  <c r="AG63" i="3"/>
  <c r="AG299" i="3"/>
  <c r="AG518" i="3"/>
  <c r="AG428" i="3"/>
  <c r="AG442" i="3" s="1"/>
  <c r="AG466" i="3"/>
  <c r="AG499" i="3"/>
  <c r="AG235" i="3"/>
  <c r="AG82" i="3"/>
  <c r="AG76" i="3"/>
  <c r="AH5" i="3"/>
  <c r="AI5" i="3" s="1"/>
  <c r="AG41" i="3"/>
  <c r="AG49" i="3" s="1"/>
  <c r="AG180" i="3"/>
  <c r="AG297" i="3"/>
  <c r="AG311" i="3" s="1"/>
  <c r="AH189" i="3"/>
  <c r="AH548" i="3"/>
  <c r="AG547" i="3"/>
  <c r="AH446" i="3"/>
  <c r="AG199" i="3"/>
  <c r="AF199" i="3"/>
  <c r="AA44" i="3"/>
  <c r="U31" i="3"/>
  <c r="T31" i="3"/>
  <c r="V12" i="3"/>
  <c r="V56" i="3"/>
  <c r="V153" i="3"/>
  <c r="V224" i="3"/>
  <c r="V31" i="3"/>
  <c r="AC172" i="3"/>
  <c r="AC171" i="3" s="1"/>
  <c r="AD168" i="3"/>
  <c r="AD172" i="3" s="1"/>
  <c r="X152" i="3"/>
  <c r="Y157" i="3"/>
  <c r="Y13" i="3"/>
  <c r="Y30" i="3" s="1"/>
  <c r="Y53" i="3"/>
  <c r="Y201" i="3"/>
  <c r="X221" i="3"/>
  <c r="Y158" i="3"/>
  <c r="Y568" i="3"/>
  <c r="Y572" i="3" s="1"/>
  <c r="Y573" i="3" s="1"/>
  <c r="Y577" i="3" s="1"/>
  <c r="Y146" i="3"/>
  <c r="Y43" i="9"/>
  <c r="Y47" i="9" s="1"/>
  <c r="Y78" i="3" s="1"/>
  <c r="X572" i="3"/>
  <c r="X573" i="3" s="1"/>
  <c r="X577" i="3" s="1"/>
  <c r="X55" i="3"/>
  <c r="X11" i="3"/>
  <c r="X163" i="3"/>
  <c r="X14" i="3"/>
  <c r="X54" i="3"/>
  <c r="Y150" i="3"/>
  <c r="Y147" i="3"/>
  <c r="AH560" i="3"/>
  <c r="AG559" i="3"/>
  <c r="AH552" i="3"/>
  <c r="AG551" i="3"/>
  <c r="AL260" i="3" l="1"/>
  <c r="AK301" i="3"/>
  <c r="AK305" i="3" s="1"/>
  <c r="AK120" i="3" s="1"/>
  <c r="AK189" i="3" s="1"/>
  <c r="AK199" i="3" s="1"/>
  <c r="AK229" i="3"/>
  <c r="AH551" i="3"/>
  <c r="AI552" i="3"/>
  <c r="AI299" i="3"/>
  <c r="AI428" i="3"/>
  <c r="AI442" i="3" s="1"/>
  <c r="AI180" i="3"/>
  <c r="AI499" i="3"/>
  <c r="AI466" i="3"/>
  <c r="AI41" i="3"/>
  <c r="AI49" i="3" s="1"/>
  <c r="AJ5" i="3"/>
  <c r="AI82" i="3"/>
  <c r="AI76" i="3"/>
  <c r="AI297" i="3"/>
  <c r="AI311" i="3" s="1"/>
  <c r="AI518" i="3"/>
  <c r="AI63" i="3"/>
  <c r="AI235" i="3"/>
  <c r="AJ305" i="3"/>
  <c r="AJ120" i="3" s="1"/>
  <c r="AJ189" i="3" s="1"/>
  <c r="AJ199" i="3" s="1"/>
  <c r="AH559" i="3"/>
  <c r="AI560" i="3"/>
  <c r="AH448" i="3"/>
  <c r="AI444" i="3" s="1"/>
  <c r="AH449" i="3"/>
  <c r="AH555" i="3"/>
  <c r="AI556" i="3"/>
  <c r="AH547" i="3"/>
  <c r="AI548" i="3"/>
  <c r="AH76" i="3"/>
  <c r="AH466" i="3"/>
  <c r="AH41" i="3"/>
  <c r="AH49" i="3" s="1"/>
  <c r="AH518" i="3"/>
  <c r="AH180" i="3"/>
  <c r="AH63" i="3"/>
  <c r="AH499" i="3"/>
  <c r="AH82" i="3"/>
  <c r="AH297" i="3"/>
  <c r="AH311" i="3" s="1"/>
  <c r="AH299" i="3"/>
  <c r="AH235" i="3"/>
  <c r="AH428" i="3"/>
  <c r="AH442" i="3" s="1"/>
  <c r="AH110" i="3"/>
  <c r="AH184" i="3"/>
  <c r="AH199" i="3"/>
  <c r="V70" i="3"/>
  <c r="V29" i="3"/>
  <c r="V225" i="3"/>
  <c r="AC43" i="3"/>
  <c r="AC22" i="10"/>
  <c r="AB43" i="3"/>
  <c r="AB22" i="10"/>
  <c r="AD167" i="3"/>
  <c r="AE168" i="3"/>
  <c r="X224" i="3"/>
  <c r="X56" i="3"/>
  <c r="X12" i="3"/>
  <c r="X70" i="3" s="1"/>
  <c r="Y14" i="3"/>
  <c r="Y54" i="3"/>
  <c r="Y159" i="3"/>
  <c r="Y163" i="3"/>
  <c r="Y152" i="3"/>
  <c r="Y221" i="3"/>
  <c r="Y55" i="3"/>
  <c r="Y151" i="3"/>
  <c r="Y11" i="3"/>
  <c r="Y28" i="3" s="1"/>
  <c r="AJ560" i="3" l="1"/>
  <c r="AI559" i="3"/>
  <c r="AJ548" i="3"/>
  <c r="AI547" i="3"/>
  <c r="AJ552" i="3"/>
  <c r="AI551" i="3"/>
  <c r="AJ299" i="3"/>
  <c r="AK5" i="3"/>
  <c r="AJ41" i="3"/>
  <c r="AJ49" i="3" s="1"/>
  <c r="AJ428" i="3"/>
  <c r="AJ442" i="3" s="1"/>
  <c r="AJ499" i="3"/>
  <c r="AJ518" i="3"/>
  <c r="AJ180" i="3"/>
  <c r="AJ466" i="3"/>
  <c r="AJ76" i="3"/>
  <c r="AJ82" i="3"/>
  <c r="AJ235" i="3"/>
  <c r="AJ297" i="3"/>
  <c r="AJ311" i="3" s="1"/>
  <c r="AJ63" i="3"/>
  <c r="AJ556" i="3"/>
  <c r="AI555" i="3"/>
  <c r="AI446" i="3"/>
  <c r="AL301" i="3"/>
  <c r="AL305" i="3" s="1"/>
  <c r="AL120" i="3" s="1"/>
  <c r="AL189" i="3" s="1"/>
  <c r="AL199" i="3" s="1"/>
  <c r="AL229" i="3"/>
  <c r="AB44" i="3"/>
  <c r="AC44" i="3"/>
  <c r="AE167" i="3"/>
  <c r="AE172" i="3"/>
  <c r="AE171" i="3" s="1"/>
  <c r="AF168" i="3"/>
  <c r="AF167" i="3" s="1"/>
  <c r="AD171" i="3"/>
  <c r="Y12" i="3"/>
  <c r="Y56" i="3"/>
  <c r="Y153" i="3"/>
  <c r="Y31" i="3"/>
  <c r="X225" i="3"/>
  <c r="Y224" i="3"/>
  <c r="AK299" i="3" l="1"/>
  <c r="AK428" i="3"/>
  <c r="AK442" i="3" s="1"/>
  <c r="AK41" i="3"/>
  <c r="AK49" i="3" s="1"/>
  <c r="AL5" i="3"/>
  <c r="AK518" i="3"/>
  <c r="AK76" i="3"/>
  <c r="AK180" i="3"/>
  <c r="AK235" i="3"/>
  <c r="AK466" i="3"/>
  <c r="AK499" i="3"/>
  <c r="AK82" i="3"/>
  <c r="AK63" i="3"/>
  <c r="AK297" i="3"/>
  <c r="AK311" i="3" s="1"/>
  <c r="AI110" i="3"/>
  <c r="AI449" i="3"/>
  <c r="AI184" i="3"/>
  <c r="AI448" i="3"/>
  <c r="AJ444" i="3" s="1"/>
  <c r="AK552" i="3"/>
  <c r="AJ551" i="3"/>
  <c r="AK556" i="3"/>
  <c r="AJ555" i="3"/>
  <c r="AK548" i="3"/>
  <c r="AJ547" i="3"/>
  <c r="AK560" i="3"/>
  <c r="AJ559" i="3"/>
  <c r="AD43" i="3"/>
  <c r="AD22" i="10"/>
  <c r="AG168" i="3"/>
  <c r="AG167" i="3" s="1"/>
  <c r="AF172" i="3"/>
  <c r="AF171" i="3" s="1"/>
  <c r="AE22" i="10"/>
  <c r="AE43" i="3"/>
  <c r="Y70" i="3"/>
  <c r="Y29" i="3"/>
  <c r="Y226" i="3"/>
  <c r="AL548" i="3" l="1"/>
  <c r="AL547" i="3" s="1"/>
  <c r="AK547" i="3"/>
  <c r="AL556" i="3"/>
  <c r="AL555" i="3" s="1"/>
  <c r="AK555" i="3"/>
  <c r="AL299" i="3"/>
  <c r="AL41" i="3"/>
  <c r="AL49" i="3" s="1"/>
  <c r="AL499" i="3"/>
  <c r="AL466" i="3"/>
  <c r="AL428" i="3"/>
  <c r="AL442" i="3" s="1"/>
  <c r="AL180" i="3"/>
  <c r="AL63" i="3"/>
  <c r="AL76" i="3"/>
  <c r="AL235" i="3"/>
  <c r="AL518" i="3"/>
  <c r="AL82" i="3"/>
  <c r="AL297" i="3"/>
  <c r="AL311" i="3" s="1"/>
  <c r="AL552" i="3"/>
  <c r="AL551" i="3" s="1"/>
  <c r="AK551" i="3"/>
  <c r="AL560" i="3"/>
  <c r="AL559" i="3" s="1"/>
  <c r="AK559" i="3"/>
  <c r="AJ446" i="3"/>
  <c r="AJ448" i="3" s="1"/>
  <c r="AK444" i="3" s="1"/>
  <c r="AE44" i="3"/>
  <c r="AD44" i="3"/>
  <c r="AG172" i="3"/>
  <c r="AH168" i="3"/>
  <c r="AF22" i="10"/>
  <c r="AF43" i="3"/>
  <c r="Z223" i="3"/>
  <c r="Y228" i="3"/>
  <c r="AK446" i="3" l="1"/>
  <c r="AK448" i="3" s="1"/>
  <c r="AL444" i="3" s="1"/>
  <c r="AL446" i="3" s="1"/>
  <c r="AJ449" i="3"/>
  <c r="AJ110" i="3"/>
  <c r="AJ184" i="3"/>
  <c r="AF44" i="3"/>
  <c r="AH172" i="3"/>
  <c r="AH171" i="3" s="1"/>
  <c r="AI168" i="3"/>
  <c r="AI167" i="3" s="1"/>
  <c r="AH167" i="3"/>
  <c r="AG171" i="3"/>
  <c r="Y230" i="3"/>
  <c r="Y232" i="3" s="1"/>
  <c r="AL448" i="3" l="1"/>
  <c r="AL110" i="3"/>
  <c r="AL184" i="3"/>
  <c r="AL449" i="3"/>
  <c r="AK110" i="3"/>
  <c r="AK449" i="3"/>
  <c r="AK184" i="3"/>
  <c r="AH43" i="3"/>
  <c r="AI172" i="3"/>
  <c r="AI171" i="3" s="1"/>
  <c r="AJ168" i="3"/>
  <c r="AH22" i="10"/>
  <c r="AG43" i="3"/>
  <c r="AG22" i="10"/>
  <c r="AH44" i="3" l="1"/>
  <c r="AG44" i="3"/>
  <c r="AI43" i="3"/>
  <c r="AI22" i="10"/>
  <c r="AJ172" i="3"/>
  <c r="AJ171" i="3" s="1"/>
  <c r="AK168" i="3"/>
  <c r="AK167" i="3" s="1"/>
  <c r="AJ167" i="3"/>
  <c r="AI44" i="3" l="1"/>
  <c r="AJ43" i="3"/>
  <c r="AJ22" i="10"/>
  <c r="AK172" i="3"/>
  <c r="AK171" i="3" s="1"/>
  <c r="AL168" i="3"/>
  <c r="AL172" i="3" s="1"/>
  <c r="AL171" i="3" l="1"/>
  <c r="AJ44" i="3"/>
  <c r="AK43" i="3"/>
  <c r="AK22" i="10"/>
  <c r="AL167" i="3"/>
  <c r="AL43" i="3" l="1"/>
  <c r="AL44" i="3" s="1"/>
  <c r="AL22" i="10"/>
  <c r="AK44" i="3"/>
  <c r="AA324" i="3" l="1"/>
  <c r="AA326" i="3" s="1"/>
  <c r="AA416" i="3"/>
  <c r="AA315" i="3"/>
  <c r="AA392" i="3"/>
  <c r="AA395" i="3" s="1"/>
  <c r="AA501" i="3"/>
  <c r="AA504" i="3" s="1"/>
  <c r="AA520" i="3"/>
  <c r="AA476" i="3"/>
  <c r="AA478" i="3" s="1"/>
  <c r="AA379" i="3"/>
  <c r="AA381" i="3" s="1"/>
  <c r="AA5" i="9"/>
  <c r="AA6" i="3"/>
  <c r="AA407" i="3"/>
  <c r="AA411" i="3" s="1"/>
  <c r="AA508" i="3" l="1"/>
  <c r="AA396" i="3"/>
  <c r="AA5" i="10"/>
  <c r="AA424" i="3"/>
  <c r="AA453" i="3"/>
  <c r="AA382" i="3"/>
  <c r="AA479" i="3"/>
  <c r="AA338" i="3"/>
  <c r="AA362" i="3" l="1"/>
  <c r="AA349" i="3"/>
  <c r="AA371" i="3"/>
  <c r="AA376" i="3" s="1"/>
  <c r="AA385" i="3"/>
  <c r="AA387" i="3" s="1"/>
  <c r="AA327" i="3"/>
  <c r="AA505" i="3"/>
  <c r="AA452" i="3" l="1"/>
  <c r="AA512" i="3"/>
  <c r="AA513" i="3"/>
  <c r="AB429" i="3"/>
  <c r="AA363" i="3"/>
  <c r="AA365" i="3"/>
  <c r="AA13" i="10"/>
  <c r="AA388" i="3"/>
  <c r="AA350" i="3"/>
  <c r="AA357" i="3"/>
  <c r="AA104" i="3" l="1"/>
  <c r="AA358" i="3"/>
  <c r="AA366" i="3"/>
  <c r="AA367" i="3"/>
  <c r="AA368" i="3"/>
  <c r="AA398" i="3"/>
  <c r="AA399" i="3" s="1"/>
  <c r="AA401" i="3"/>
  <c r="AA183" i="3"/>
  <c r="AA109" i="3" s="1"/>
  <c r="AA438" i="3"/>
  <c r="AA437" i="3"/>
  <c r="AA186" i="3" l="1"/>
  <c r="AA493" i="3"/>
  <c r="AA403" i="3"/>
  <c r="AA402" i="3"/>
  <c r="AA111" i="3" l="1"/>
  <c r="AA245" i="3"/>
  <c r="AA20" i="9"/>
  <c r="AA23" i="9" s="1"/>
  <c r="AA8" i="10" l="1"/>
  <c r="AB430" i="3" l="1"/>
  <c r="AB505" i="3"/>
  <c r="AB435" i="3" l="1"/>
  <c r="AB432" i="3"/>
  <c r="AB13" i="10"/>
  <c r="AB434" i="3"/>
  <c r="AB183" i="3" l="1"/>
  <c r="AB437" i="3"/>
  <c r="AC429" i="3"/>
  <c r="AB20" i="9" l="1"/>
  <c r="AA23" i="3" l="1"/>
  <c r="AA267" i="3" l="1"/>
  <c r="AA473" i="3"/>
  <c r="AA472" i="3"/>
  <c r="AA485" i="3"/>
  <c r="AA486" i="3" s="1"/>
  <c r="AA25" i="9" l="1"/>
  <c r="AA195" i="3" l="1"/>
  <c r="AA544" i="3" l="1"/>
  <c r="AA197" i="3"/>
  <c r="AA10" i="10"/>
  <c r="AA487" i="3"/>
  <c r="AA201" i="3" l="1"/>
  <c r="AA12" i="10"/>
  <c r="AA276" i="3" l="1"/>
  <c r="AA26" i="9"/>
  <c r="AB28" i="9" s="1"/>
  <c r="AA15" i="3" l="1"/>
  <c r="AA161" i="3"/>
  <c r="AA164" i="3"/>
  <c r="AA570" i="3" l="1"/>
  <c r="AA59" i="3"/>
  <c r="AA32" i="3"/>
  <c r="AA282" i="3" l="1"/>
  <c r="AA218" i="3"/>
  <c r="AA221" i="3" l="1"/>
  <c r="AA575" i="3"/>
  <c r="AA33" i="9"/>
  <c r="AA284" i="3"/>
  <c r="AA44" i="9"/>
  <c r="AA45" i="9" l="1"/>
  <c r="AB567" i="3"/>
  <c r="AA224" i="3"/>
  <c r="AA286" i="3"/>
  <c r="AA300" i="3" l="1"/>
  <c r="AA304" i="3" s="1"/>
  <c r="AA288" i="3"/>
  <c r="AA289" i="3"/>
  <c r="AA255" i="3"/>
  <c r="AA19" i="3" l="1"/>
  <c r="AA36" i="9"/>
  <c r="AA37" i="9" s="1"/>
  <c r="AB38" i="9" s="1"/>
  <c r="AA45" i="3"/>
  <c r="AA18" i="3"/>
  <c r="AA72" i="3"/>
  <c r="AA302" i="3"/>
  <c r="AA308" i="3" s="1"/>
  <c r="AA256" i="3"/>
  <c r="AA291" i="3" s="1"/>
  <c r="AA35" i="3" l="1"/>
  <c r="AA47" i="3"/>
  <c r="AA36" i="3"/>
  <c r="AA50" i="3" l="1"/>
  <c r="AA67" i="3"/>
  <c r="AB123" i="3"/>
  <c r="AB11" i="10" l="1"/>
  <c r="AB13" i="9" l="1"/>
  <c r="AB23" i="3" l="1"/>
  <c r="AC6" i="3" l="1"/>
  <c r="AC315" i="3"/>
  <c r="AC324" i="3"/>
  <c r="AC379" i="3"/>
  <c r="AC380" i="3" s="1"/>
  <c r="AC416" i="3"/>
  <c r="AC476" i="3"/>
  <c r="AC477" i="3" s="1"/>
  <c r="AC520" i="3"/>
  <c r="AC501" i="3"/>
  <c r="AC5" i="9"/>
  <c r="AC407" i="3"/>
  <c r="AC411" i="3" s="1"/>
  <c r="AC392" i="3"/>
  <c r="AC394" i="3" s="1"/>
  <c r="AC503" i="3" l="1"/>
  <c r="AC508" i="3"/>
  <c r="AC101" i="3"/>
  <c r="AC382" i="3"/>
  <c r="AC103" i="3"/>
  <c r="AC396" i="3"/>
  <c r="AC5" i="10"/>
  <c r="AD23" i="3"/>
  <c r="AC249" i="3"/>
  <c r="AC479" i="3"/>
  <c r="AC325" i="3"/>
  <c r="AC338" i="3"/>
  <c r="AD6" i="3"/>
  <c r="AD85" i="3"/>
  <c r="AD315" i="3"/>
  <c r="AD501" i="3"/>
  <c r="AD379" i="3"/>
  <c r="AD380" i="3" s="1"/>
  <c r="AD416" i="3"/>
  <c r="AD324" i="3"/>
  <c r="AD392" i="3"/>
  <c r="AD394" i="3" s="1"/>
  <c r="AD407" i="3"/>
  <c r="AD411" i="3" s="1"/>
  <c r="AD520" i="3"/>
  <c r="AD521" i="3" s="1"/>
  <c r="AD476" i="3"/>
  <c r="AD477" i="3" s="1"/>
  <c r="AD5" i="9"/>
  <c r="AC453" i="3"/>
  <c r="AC424" i="3"/>
  <c r="AD101" i="3" l="1"/>
  <c r="AD382" i="3"/>
  <c r="AD453" i="3"/>
  <c r="AD424" i="3"/>
  <c r="AC95" i="3"/>
  <c r="AC327" i="3"/>
  <c r="AC430" i="3"/>
  <c r="AC205" i="3"/>
  <c r="AC511" i="3"/>
  <c r="AC505" i="3"/>
  <c r="AB357" i="3"/>
  <c r="AD103" i="3"/>
  <c r="AD396" i="3"/>
  <c r="AD508" i="3"/>
  <c r="AD503" i="3"/>
  <c r="AD5" i="10"/>
  <c r="AD22" i="3"/>
  <c r="AE6" i="3"/>
  <c r="AE315" i="3"/>
  <c r="AE324" i="3"/>
  <c r="AE392" i="3"/>
  <c r="AE394" i="3" s="1"/>
  <c r="AE407" i="3"/>
  <c r="AE411" i="3" s="1"/>
  <c r="AE501" i="3"/>
  <c r="AE476" i="3"/>
  <c r="AE477" i="3" s="1"/>
  <c r="AE520" i="3"/>
  <c r="AE521" i="3" s="1"/>
  <c r="AE379" i="3"/>
  <c r="AE380" i="3" s="1"/>
  <c r="AE416" i="3"/>
  <c r="AE5" i="9"/>
  <c r="AC192" i="3"/>
  <c r="AE23" i="3"/>
  <c r="AD249" i="3"/>
  <c r="AD479" i="3"/>
  <c r="AD325" i="3"/>
  <c r="AD338" i="3"/>
  <c r="AC361" i="3"/>
  <c r="AC385" i="3"/>
  <c r="AC386" i="3" s="1"/>
  <c r="AC371" i="3"/>
  <c r="AC376" i="3" s="1"/>
  <c r="AC348" i="3"/>
  <c r="AB365" i="3"/>
  <c r="AC350" i="3" l="1"/>
  <c r="AC357" i="3"/>
  <c r="AE103" i="3"/>
  <c r="AE396" i="3"/>
  <c r="AC365" i="3"/>
  <c r="AC363" i="3"/>
  <c r="AC99" i="3"/>
  <c r="AD348" i="3"/>
  <c r="AD371" i="3"/>
  <c r="AD376" i="3" s="1"/>
  <c r="AD385" i="3"/>
  <c r="AD386" i="3" s="1"/>
  <c r="AD361" i="3"/>
  <c r="AE101" i="3"/>
  <c r="AE382" i="3"/>
  <c r="AC513" i="3"/>
  <c r="AC452" i="3"/>
  <c r="AC512" i="3"/>
  <c r="AE249" i="3"/>
  <c r="AE479" i="3"/>
  <c r="AE338" i="3"/>
  <c r="AE325" i="3"/>
  <c r="AE5" i="10"/>
  <c r="AE22" i="3"/>
  <c r="AF23" i="3"/>
  <c r="AC431" i="3"/>
  <c r="AD95" i="3"/>
  <c r="AD327" i="3"/>
  <c r="AF6" i="3"/>
  <c r="AF85" i="3"/>
  <c r="AF315" i="3"/>
  <c r="AF324" i="3"/>
  <c r="AF476" i="3"/>
  <c r="AF477" i="3" s="1"/>
  <c r="AF520" i="3"/>
  <c r="AF521" i="3" s="1"/>
  <c r="AF392" i="3"/>
  <c r="AF394" i="3" s="1"/>
  <c r="AF407" i="3"/>
  <c r="AF411" i="3" s="1"/>
  <c r="AF379" i="3"/>
  <c r="AF380" i="3" s="1"/>
  <c r="AF416" i="3"/>
  <c r="AF501" i="3"/>
  <c r="AF5" i="9"/>
  <c r="AC13" i="10"/>
  <c r="AB367" i="3"/>
  <c r="AB398" i="3"/>
  <c r="AC102" i="3"/>
  <c r="AC388" i="3"/>
  <c r="AD192" i="3"/>
  <c r="AE424" i="3"/>
  <c r="AE453" i="3"/>
  <c r="AE508" i="3"/>
  <c r="AE503" i="3"/>
  <c r="AD205" i="3"/>
  <c r="AD430" i="3"/>
  <c r="AD505" i="3"/>
  <c r="AD511" i="3"/>
  <c r="AE205" i="3" l="1"/>
  <c r="AE505" i="3"/>
  <c r="AE511" i="3"/>
  <c r="AE430" i="3"/>
  <c r="AF101" i="3"/>
  <c r="AF382" i="3"/>
  <c r="AE327" i="3"/>
  <c r="AE95" i="3"/>
  <c r="AC367" i="3"/>
  <c r="AC368" i="3"/>
  <c r="AC398" i="3"/>
  <c r="AC399" i="3" s="1"/>
  <c r="AC401" i="3"/>
  <c r="AC366" i="3"/>
  <c r="AD452" i="3"/>
  <c r="AD513" i="3"/>
  <c r="AD512" i="3"/>
  <c r="AF424" i="3"/>
  <c r="AF453" i="3"/>
  <c r="AE192" i="3"/>
  <c r="AD350" i="3"/>
  <c r="AD357" i="3"/>
  <c r="AC98" i="3"/>
  <c r="AC104" i="3" s="1"/>
  <c r="AC358" i="3"/>
  <c r="AF249" i="3"/>
  <c r="AF479" i="3"/>
  <c r="AC183" i="3"/>
  <c r="AC437" i="3"/>
  <c r="AC438" i="3"/>
  <c r="AC434" i="3"/>
  <c r="AC458" i="3"/>
  <c r="AF325" i="3"/>
  <c r="AF338" i="3"/>
  <c r="AF22" i="3"/>
  <c r="AF5" i="10"/>
  <c r="AC433" i="3"/>
  <c r="AD429" i="3" s="1"/>
  <c r="AE348" i="3"/>
  <c r="AE371" i="3"/>
  <c r="AE376" i="3" s="1"/>
  <c r="AE361" i="3"/>
  <c r="AE385" i="3"/>
  <c r="AE386" i="3" s="1"/>
  <c r="AG23" i="3"/>
  <c r="AD102" i="3"/>
  <c r="AD388" i="3"/>
  <c r="AG85" i="3"/>
  <c r="AG6" i="3"/>
  <c r="AG315" i="3"/>
  <c r="AG324" i="3"/>
  <c r="AG379" i="3"/>
  <c r="AG380" i="3" s="1"/>
  <c r="AG416" i="3"/>
  <c r="AG476" i="3"/>
  <c r="AG477" i="3" s="1"/>
  <c r="AG520" i="3"/>
  <c r="AG521" i="3" s="1"/>
  <c r="AG501" i="3"/>
  <c r="AG5" i="9"/>
  <c r="AG392" i="3"/>
  <c r="AG394" i="3" s="1"/>
  <c r="AG407" i="3"/>
  <c r="AG411" i="3" s="1"/>
  <c r="AD99" i="3"/>
  <c r="AD363" i="3"/>
  <c r="AD365" i="3"/>
  <c r="AD13" i="10"/>
  <c r="AF503" i="3"/>
  <c r="AF508" i="3"/>
  <c r="AF396" i="3"/>
  <c r="AF103" i="3"/>
  <c r="AG503" i="3" l="1"/>
  <c r="AG508" i="3"/>
  <c r="AC493" i="3"/>
  <c r="AD366" i="3"/>
  <c r="AD367" i="3"/>
  <c r="AD398" i="3"/>
  <c r="AD399" i="3" s="1"/>
  <c r="AD368" i="3"/>
  <c r="AG453" i="3"/>
  <c r="AG424" i="3"/>
  <c r="AG22" i="3"/>
  <c r="AG5" i="10"/>
  <c r="AE102" i="3"/>
  <c r="AE388" i="3"/>
  <c r="AD431" i="3"/>
  <c r="AD401" i="3" s="1"/>
  <c r="AF361" i="3"/>
  <c r="AF385" i="3"/>
  <c r="AF386" i="3" s="1"/>
  <c r="AF348" i="3"/>
  <c r="AF371" i="3"/>
  <c r="AF376" i="3" s="1"/>
  <c r="AH6" i="3"/>
  <c r="AH85" i="3"/>
  <c r="AH324" i="3"/>
  <c r="AH501" i="3"/>
  <c r="AH315" i="3"/>
  <c r="AH379" i="3"/>
  <c r="AH380" i="3" s="1"/>
  <c r="AH416" i="3"/>
  <c r="AH392" i="3"/>
  <c r="AH394" i="3" s="1"/>
  <c r="AH407" i="3"/>
  <c r="AH411" i="3" s="1"/>
  <c r="AH520" i="3"/>
  <c r="AH521" i="3" s="1"/>
  <c r="AH476" i="3"/>
  <c r="AH477" i="3" s="1"/>
  <c r="AH5" i="9"/>
  <c r="AC403" i="3"/>
  <c r="AG101" i="3"/>
  <c r="AG382" i="3"/>
  <c r="AF192" i="3"/>
  <c r="AE13" i="10"/>
  <c r="AF205" i="3"/>
  <c r="AF511" i="3"/>
  <c r="AF505" i="3"/>
  <c r="AF430" i="3"/>
  <c r="AI23" i="3"/>
  <c r="AG325" i="3"/>
  <c r="AG338" i="3"/>
  <c r="AE99" i="3"/>
  <c r="AE363" i="3"/>
  <c r="AE365" i="3"/>
  <c r="AF327" i="3"/>
  <c r="AF95" i="3"/>
  <c r="AG103" i="3"/>
  <c r="AG396" i="3"/>
  <c r="AG249" i="3"/>
  <c r="AG479" i="3"/>
  <c r="AB267" i="3"/>
  <c r="AH23" i="3"/>
  <c r="AE357" i="3"/>
  <c r="AE350" i="3"/>
  <c r="AC109" i="3"/>
  <c r="AC186" i="3"/>
  <c r="AC238" i="3"/>
  <c r="AD98" i="3"/>
  <c r="AD104" i="3" s="1"/>
  <c r="AD358" i="3"/>
  <c r="AE512" i="3"/>
  <c r="AE452" i="3"/>
  <c r="AE513" i="3"/>
  <c r="AD433" i="3" l="1"/>
  <c r="AE429" i="3" s="1"/>
  <c r="AE431" i="3" s="1"/>
  <c r="AE401" i="3" s="1"/>
  <c r="AD402" i="3"/>
  <c r="AD403" i="3"/>
  <c r="AG361" i="3"/>
  <c r="AG385" i="3"/>
  <c r="AG386" i="3" s="1"/>
  <c r="AG348" i="3"/>
  <c r="AG371" i="3"/>
  <c r="AG376" i="3" s="1"/>
  <c r="AF512" i="3"/>
  <c r="AF513" i="3"/>
  <c r="AF452" i="3"/>
  <c r="AC111" i="3"/>
  <c r="AE98" i="3"/>
  <c r="AE104" i="3" s="1"/>
  <c r="AE358" i="3"/>
  <c r="AJ23" i="3"/>
  <c r="AI6" i="3"/>
  <c r="AI85" i="3"/>
  <c r="AI315" i="3"/>
  <c r="AI324" i="3"/>
  <c r="AI392" i="3"/>
  <c r="AI394" i="3" s="1"/>
  <c r="AI407" i="3"/>
  <c r="AI411" i="3" s="1"/>
  <c r="AI501" i="3"/>
  <c r="AI476" i="3"/>
  <c r="AI477" i="3" s="1"/>
  <c r="AI520" i="3"/>
  <c r="AI521" i="3" s="1"/>
  <c r="AI379" i="3"/>
  <c r="AI380" i="3" s="1"/>
  <c r="AI5" i="9"/>
  <c r="AI416" i="3"/>
  <c r="AH479" i="3"/>
  <c r="AH249" i="3"/>
  <c r="AH453" i="3"/>
  <c r="AH424" i="3"/>
  <c r="AH325" i="3"/>
  <c r="AH338" i="3"/>
  <c r="AG430" i="3"/>
  <c r="AG511" i="3"/>
  <c r="AG205" i="3"/>
  <c r="AG505" i="3"/>
  <c r="AH382" i="3"/>
  <c r="AH101" i="3"/>
  <c r="AF357" i="3"/>
  <c r="AF350" i="3"/>
  <c r="AD493" i="3"/>
  <c r="AC20" i="9"/>
  <c r="AG192" i="3"/>
  <c r="AE366" i="3"/>
  <c r="AE367" i="3"/>
  <c r="AE368" i="3"/>
  <c r="AE398" i="3"/>
  <c r="AE399" i="3" s="1"/>
  <c r="AG95" i="3"/>
  <c r="AG327" i="3"/>
  <c r="AF13" i="10"/>
  <c r="AF102" i="3"/>
  <c r="AF388" i="3"/>
  <c r="AB25" i="9"/>
  <c r="AH103" i="3"/>
  <c r="AH396" i="3"/>
  <c r="AH508" i="3"/>
  <c r="AH503" i="3"/>
  <c r="AH5" i="10"/>
  <c r="AH22" i="3"/>
  <c r="AF99" i="3"/>
  <c r="AF365" i="3"/>
  <c r="AF363" i="3"/>
  <c r="AD183" i="3"/>
  <c r="AD437" i="3"/>
  <c r="AD434" i="3"/>
  <c r="AD458" i="3"/>
  <c r="AD438" i="3"/>
  <c r="AI508" i="3" l="1"/>
  <c r="AI503" i="3"/>
  <c r="AD186" i="3"/>
  <c r="AD109" i="3"/>
  <c r="AJ6" i="3"/>
  <c r="AJ85" i="3"/>
  <c r="AJ315" i="3"/>
  <c r="AJ324" i="3"/>
  <c r="AJ476" i="3"/>
  <c r="AJ477" i="3" s="1"/>
  <c r="AJ520" i="3"/>
  <c r="AJ521" i="3" s="1"/>
  <c r="AJ392" i="3"/>
  <c r="AJ394" i="3" s="1"/>
  <c r="AJ407" i="3"/>
  <c r="AJ411" i="3" s="1"/>
  <c r="AJ379" i="3"/>
  <c r="AJ380" i="3" s="1"/>
  <c r="AJ416" i="3"/>
  <c r="AJ5" i="9"/>
  <c r="AJ501" i="3"/>
  <c r="AD238" i="3"/>
  <c r="AE183" i="3"/>
  <c r="AE434" i="3"/>
  <c r="AE458" i="3"/>
  <c r="AE438" i="3"/>
  <c r="AE437" i="3"/>
  <c r="AI424" i="3"/>
  <c r="AI453" i="3"/>
  <c r="AI249" i="3"/>
  <c r="AI192" i="3" s="1"/>
  <c r="AI479" i="3"/>
  <c r="AI338" i="3"/>
  <c r="AI325" i="3"/>
  <c r="AI5" i="10"/>
  <c r="AI22" i="3"/>
  <c r="AK23" i="3"/>
  <c r="AG350" i="3"/>
  <c r="AG357" i="3"/>
  <c r="AF98" i="3"/>
  <c r="AF104" i="3" s="1"/>
  <c r="AF358" i="3"/>
  <c r="AG13" i="10"/>
  <c r="AH348" i="3"/>
  <c r="AH371" i="3"/>
  <c r="AH376" i="3" s="1"/>
  <c r="AH361" i="3"/>
  <c r="AH385" i="3"/>
  <c r="AH386" i="3" s="1"/>
  <c r="AH192" i="3"/>
  <c r="AI101" i="3"/>
  <c r="AI382" i="3"/>
  <c r="AE493" i="3"/>
  <c r="AG102" i="3"/>
  <c r="AG388" i="3"/>
  <c r="AF367" i="3"/>
  <c r="AF368" i="3"/>
  <c r="AF398" i="3"/>
  <c r="AF399" i="3" s="1"/>
  <c r="AF366" i="3"/>
  <c r="AH205" i="3"/>
  <c r="AH430" i="3"/>
  <c r="AH505" i="3"/>
  <c r="AH511" i="3"/>
  <c r="AB195" i="3"/>
  <c r="AE403" i="3"/>
  <c r="AE402" i="3"/>
  <c r="AG513" i="3"/>
  <c r="AG452" i="3"/>
  <c r="AG512" i="3"/>
  <c r="AE433" i="3"/>
  <c r="AF429" i="3" s="1"/>
  <c r="AH95" i="3"/>
  <c r="AH327" i="3"/>
  <c r="AI103" i="3"/>
  <c r="AI396" i="3"/>
  <c r="AC8" i="10"/>
  <c r="AG365" i="3"/>
  <c r="AG99" i="3"/>
  <c r="AG363" i="3"/>
  <c r="AH350" i="3" l="1"/>
  <c r="AH357" i="3"/>
  <c r="AI327" i="3"/>
  <c r="AI95" i="3"/>
  <c r="AJ101" i="3"/>
  <c r="AJ382" i="3"/>
  <c r="AJ249" i="3"/>
  <c r="AJ192" i="3" s="1"/>
  <c r="AJ479" i="3"/>
  <c r="AB10" i="10"/>
  <c r="AB487" i="3"/>
  <c r="AI348" i="3"/>
  <c r="AI371" i="3"/>
  <c r="AI376" i="3" s="1"/>
  <c r="AI361" i="3"/>
  <c r="AI385" i="3"/>
  <c r="AI386" i="3" s="1"/>
  <c r="AE238" i="3"/>
  <c r="AD20" i="9"/>
  <c r="AJ503" i="3"/>
  <c r="AJ508" i="3"/>
  <c r="AJ325" i="3"/>
  <c r="AJ338" i="3"/>
  <c r="AJ22" i="3"/>
  <c r="AJ5" i="10"/>
  <c r="AG367" i="3"/>
  <c r="AG368" i="3"/>
  <c r="AG398" i="3"/>
  <c r="AG399" i="3" s="1"/>
  <c r="AG366" i="3"/>
  <c r="AH13" i="10"/>
  <c r="AH99" i="3"/>
  <c r="AH363" i="3"/>
  <c r="AH365" i="3"/>
  <c r="AK6" i="3"/>
  <c r="AK85" i="3"/>
  <c r="AK315" i="3"/>
  <c r="AK324" i="3"/>
  <c r="AK379" i="3"/>
  <c r="AK380" i="3" s="1"/>
  <c r="AK416" i="3"/>
  <c r="AK476" i="3"/>
  <c r="AK477" i="3" s="1"/>
  <c r="AK520" i="3"/>
  <c r="AK521" i="3" s="1"/>
  <c r="AK501" i="3"/>
  <c r="AK392" i="3"/>
  <c r="AK394" i="3" s="1"/>
  <c r="AK407" i="3"/>
  <c r="AK411" i="3" s="1"/>
  <c r="AK5" i="9"/>
  <c r="AE109" i="3"/>
  <c r="AE186" i="3"/>
  <c r="AJ103" i="3"/>
  <c r="AJ396" i="3"/>
  <c r="AD111" i="3"/>
  <c r="AL23" i="3"/>
  <c r="AI205" i="3"/>
  <c r="AI505" i="3"/>
  <c r="AI511" i="3"/>
  <c r="AI430" i="3"/>
  <c r="AF431" i="3"/>
  <c r="AF433" i="3" s="1"/>
  <c r="AG429" i="3" s="1"/>
  <c r="AH102" i="3"/>
  <c r="AH388" i="3"/>
  <c r="AH452" i="3"/>
  <c r="AH513" i="3"/>
  <c r="AH512" i="3"/>
  <c r="AF493" i="3"/>
  <c r="AG98" i="3"/>
  <c r="AG358" i="3"/>
  <c r="AJ424" i="3"/>
  <c r="AJ453" i="3"/>
  <c r="AG431" i="3" l="1"/>
  <c r="AG433" i="3" s="1"/>
  <c r="AH429" i="3" s="1"/>
  <c r="AG493" i="3"/>
  <c r="AI512" i="3"/>
  <c r="AI452" i="3"/>
  <c r="AI513" i="3"/>
  <c r="AK249" i="3"/>
  <c r="AK192" i="3" s="1"/>
  <c r="AK479" i="3"/>
  <c r="AG104" i="3"/>
  <c r="AE20" i="9"/>
  <c r="AK103" i="3"/>
  <c r="AK396" i="3"/>
  <c r="AK453" i="3"/>
  <c r="AK424" i="3"/>
  <c r="AJ205" i="3"/>
  <c r="AJ511" i="3"/>
  <c r="AJ505" i="3"/>
  <c r="AJ430" i="3"/>
  <c r="AI357" i="3"/>
  <c r="AI350" i="3"/>
  <c r="AF438" i="3"/>
  <c r="AF434" i="3"/>
  <c r="AF458" i="3"/>
  <c r="AF437" i="3"/>
  <c r="AF183" i="3"/>
  <c r="AF401" i="3"/>
  <c r="AI13" i="10"/>
  <c r="AD8" i="10"/>
  <c r="AK503" i="3"/>
  <c r="AK508" i="3"/>
  <c r="AK101" i="3"/>
  <c r="AK382" i="3"/>
  <c r="AK22" i="3"/>
  <c r="AK5" i="10"/>
  <c r="AH366" i="3"/>
  <c r="AH367" i="3"/>
  <c r="AH398" i="3"/>
  <c r="AH399" i="3" s="1"/>
  <c r="AH368" i="3"/>
  <c r="AJ361" i="3"/>
  <c r="AJ385" i="3"/>
  <c r="AJ386" i="3" s="1"/>
  <c r="AJ348" i="3"/>
  <c r="AJ371" i="3"/>
  <c r="AJ376" i="3" s="1"/>
  <c r="AI102" i="3"/>
  <c r="AI388" i="3"/>
  <c r="AE111" i="3"/>
  <c r="AK325" i="3"/>
  <c r="AK338" i="3"/>
  <c r="AL6" i="3"/>
  <c r="AL85" i="3"/>
  <c r="AL501" i="3"/>
  <c r="AL324" i="3"/>
  <c r="AL379" i="3"/>
  <c r="AL380" i="3" s="1"/>
  <c r="AL416" i="3"/>
  <c r="AL392" i="3"/>
  <c r="AL394" i="3" s="1"/>
  <c r="AL407" i="3"/>
  <c r="AL411" i="3" s="1"/>
  <c r="AL315" i="3"/>
  <c r="AL476" i="3"/>
  <c r="AL477" i="3" s="1"/>
  <c r="AL5" i="9"/>
  <c r="AL520" i="3"/>
  <c r="AL521" i="3" s="1"/>
  <c r="AJ327" i="3"/>
  <c r="AJ95" i="3"/>
  <c r="AI99" i="3"/>
  <c r="AI363" i="3"/>
  <c r="AI365" i="3"/>
  <c r="AH98" i="3"/>
  <c r="AH358" i="3"/>
  <c r="AH431" i="3" l="1"/>
  <c r="AL508" i="3"/>
  <c r="AL503" i="3"/>
  <c r="AJ102" i="3"/>
  <c r="AJ388" i="3"/>
  <c r="AF109" i="3"/>
  <c r="AF186" i="3"/>
  <c r="AL325" i="3"/>
  <c r="AL338" i="3"/>
  <c r="AL5" i="10"/>
  <c r="AL22" i="3"/>
  <c r="AJ357" i="3"/>
  <c r="AJ350" i="3"/>
  <c r="AK430" i="3"/>
  <c r="AK511" i="3"/>
  <c r="AK205" i="3"/>
  <c r="AK505" i="3"/>
  <c r="AF403" i="3"/>
  <c r="AF402" i="3"/>
  <c r="AI98" i="3"/>
  <c r="AI493" i="3" s="1"/>
  <c r="AI358" i="3"/>
  <c r="AK361" i="3"/>
  <c r="AK385" i="3"/>
  <c r="AK386" i="3" s="1"/>
  <c r="AK348" i="3"/>
  <c r="AK371" i="3"/>
  <c r="AK376" i="3" s="1"/>
  <c r="AI366" i="3"/>
  <c r="AI367" i="3"/>
  <c r="AI368" i="3"/>
  <c r="AI398" i="3"/>
  <c r="AI399" i="3" s="1"/>
  <c r="AL249" i="3"/>
  <c r="AL192" i="3" s="1"/>
  <c r="AL479" i="3"/>
  <c r="AL453" i="3"/>
  <c r="AL424" i="3"/>
  <c r="AK95" i="3"/>
  <c r="AK327" i="3"/>
  <c r="AI104" i="3"/>
  <c r="AJ99" i="3"/>
  <c r="AJ365" i="3"/>
  <c r="AJ363" i="3"/>
  <c r="AJ13" i="10"/>
  <c r="AL103" i="3"/>
  <c r="AL396" i="3"/>
  <c r="AJ512" i="3"/>
  <c r="AJ513" i="3"/>
  <c r="AJ452" i="3"/>
  <c r="AG183" i="3"/>
  <c r="AG437" i="3"/>
  <c r="AG438" i="3"/>
  <c r="AG434" i="3"/>
  <c r="AG458" i="3"/>
  <c r="AG401" i="3"/>
  <c r="AH493" i="3"/>
  <c r="AL382" i="3"/>
  <c r="AL101" i="3"/>
  <c r="AE8" i="10"/>
  <c r="AF238" i="3"/>
  <c r="AH104" i="3"/>
  <c r="AG238" i="3" l="1"/>
  <c r="AF20" i="9"/>
  <c r="AK350" i="3"/>
  <c r="AK357" i="3"/>
  <c r="AH183" i="3"/>
  <c r="AH437" i="3"/>
  <c r="AH434" i="3"/>
  <c r="AH458" i="3"/>
  <c r="AH438" i="3"/>
  <c r="AH401" i="3"/>
  <c r="AL95" i="3"/>
  <c r="AL327" i="3"/>
  <c r="AK13" i="10"/>
  <c r="AG109" i="3"/>
  <c r="AG186" i="3"/>
  <c r="AK102" i="3"/>
  <c r="AK388" i="3"/>
  <c r="AK513" i="3"/>
  <c r="AK452" i="3"/>
  <c r="AK512" i="3"/>
  <c r="AF111" i="3"/>
  <c r="AH433" i="3"/>
  <c r="AI429" i="3" s="1"/>
  <c r="AG402" i="3"/>
  <c r="AG403" i="3"/>
  <c r="AJ367" i="3"/>
  <c r="AJ368" i="3"/>
  <c r="AJ398" i="3"/>
  <c r="AJ399" i="3" s="1"/>
  <c r="AJ366" i="3"/>
  <c r="AK99" i="3"/>
  <c r="AK365" i="3"/>
  <c r="AK363" i="3"/>
  <c r="AJ98" i="3"/>
  <c r="AJ493" i="3" s="1"/>
  <c r="AJ358" i="3"/>
  <c r="AL348" i="3"/>
  <c r="AL371" i="3"/>
  <c r="AL376" i="3" s="1"/>
  <c r="AL361" i="3"/>
  <c r="AL385" i="3"/>
  <c r="AL386" i="3" s="1"/>
  <c r="AL205" i="3"/>
  <c r="AL430" i="3"/>
  <c r="AL505" i="3"/>
  <c r="AL511" i="3"/>
  <c r="AL99" i="3" l="1"/>
  <c r="AL363" i="3"/>
  <c r="AL365" i="3"/>
  <c r="AL452" i="3"/>
  <c r="AL513" i="3"/>
  <c r="AL512" i="3"/>
  <c r="AL102" i="3"/>
  <c r="AL388" i="3"/>
  <c r="AG111" i="3"/>
  <c r="AJ104" i="3"/>
  <c r="AK98" i="3"/>
  <c r="AK493" i="3" s="1"/>
  <c r="AK358" i="3"/>
  <c r="AH186" i="3"/>
  <c r="AH109" i="3"/>
  <c r="AH238" i="3"/>
  <c r="AG20" i="9"/>
  <c r="AK367" i="3"/>
  <c r="AK368" i="3"/>
  <c r="AK398" i="3"/>
  <c r="AK399" i="3" s="1"/>
  <c r="AK366" i="3"/>
  <c r="AF8" i="10"/>
  <c r="AH402" i="3"/>
  <c r="AH403" i="3"/>
  <c r="AL13" i="10"/>
  <c r="AL350" i="3"/>
  <c r="AL357" i="3"/>
  <c r="AI431" i="3"/>
  <c r="AH111" i="3" l="1"/>
  <c r="AI183" i="3"/>
  <c r="AI238" i="3" s="1"/>
  <c r="AI434" i="3"/>
  <c r="AI458" i="3"/>
  <c r="AI438" i="3"/>
  <c r="AI437" i="3"/>
  <c r="AI401" i="3"/>
  <c r="AK104" i="3"/>
  <c r="AG8" i="10"/>
  <c r="AL98" i="3"/>
  <c r="AL493" i="3" s="1"/>
  <c r="AL358" i="3"/>
  <c r="AI433" i="3"/>
  <c r="AJ429" i="3" s="1"/>
  <c r="AH20" i="9"/>
  <c r="AL366" i="3"/>
  <c r="AL368" i="3"/>
  <c r="AL367" i="3"/>
  <c r="AL398" i="3"/>
  <c r="AL399" i="3" s="1"/>
  <c r="AL104" i="3" l="1"/>
  <c r="AI109" i="3"/>
  <c r="AI186" i="3"/>
  <c r="AJ431" i="3"/>
  <c r="AJ433" i="3" s="1"/>
  <c r="AK429" i="3" s="1"/>
  <c r="AI403" i="3"/>
  <c r="AI402" i="3"/>
  <c r="AH8" i="10"/>
  <c r="AI20" i="9"/>
  <c r="AK431" i="3" l="1"/>
  <c r="AK433" i="3" s="1"/>
  <c r="AL429" i="3" s="1"/>
  <c r="AJ438" i="3"/>
  <c r="AJ434" i="3"/>
  <c r="AJ458" i="3"/>
  <c r="AJ183" i="3"/>
  <c r="AJ437" i="3"/>
  <c r="AJ401" i="3"/>
  <c r="AI111" i="3"/>
  <c r="AK183" i="3" l="1"/>
  <c r="AK437" i="3"/>
  <c r="AK438" i="3"/>
  <c r="AK458" i="3"/>
  <c r="AK434" i="3"/>
  <c r="AK401" i="3"/>
  <c r="AI8" i="10"/>
  <c r="AJ109" i="3"/>
  <c r="AJ186" i="3"/>
  <c r="AJ238" i="3"/>
  <c r="AL431" i="3"/>
  <c r="AL433" i="3" s="1"/>
  <c r="AJ403" i="3"/>
  <c r="AJ402" i="3"/>
  <c r="AK238" i="3" l="1"/>
  <c r="AJ20" i="9"/>
  <c r="AL183" i="3"/>
  <c r="AL437" i="3"/>
  <c r="AL434" i="3"/>
  <c r="AL458" i="3"/>
  <c r="AL438" i="3"/>
  <c r="AL401" i="3"/>
  <c r="AJ111" i="3"/>
  <c r="AK109" i="3"/>
  <c r="AK186" i="3"/>
  <c r="AK402" i="3"/>
  <c r="AK403" i="3"/>
  <c r="AL109" i="3" l="1"/>
  <c r="AL186" i="3"/>
  <c r="AK111" i="3"/>
  <c r="AL402" i="3"/>
  <c r="AL403" i="3"/>
  <c r="AJ8" i="10"/>
  <c r="AL238" i="3"/>
  <c r="AK20" i="9"/>
  <c r="AL20" i="9" l="1"/>
  <c r="AL111" i="3"/>
  <c r="AK8" i="10"/>
  <c r="AL8" i="10" l="1"/>
  <c r="AB446" i="3" l="1"/>
  <c r="AB110" i="3" s="1"/>
  <c r="AB452" i="3"/>
  <c r="AC449" i="3" l="1"/>
  <c r="AB447" i="3"/>
  <c r="AB184" i="3"/>
  <c r="AB104" i="3"/>
  <c r="AB401" i="3"/>
  <c r="AB450" i="3"/>
  <c r="AB402" i="3" l="1"/>
  <c r="AC402" i="3"/>
  <c r="AB8" i="10"/>
  <c r="AB186" i="3"/>
  <c r="AC239" i="3" l="1"/>
  <c r="AB245" i="3"/>
  <c r="AB21" i="9"/>
  <c r="AB23" i="9" s="1"/>
  <c r="AC245" i="3" l="1"/>
  <c r="AD239" i="3"/>
  <c r="AC21" i="9"/>
  <c r="AC23" i="9" s="1"/>
  <c r="AD245" i="3" l="1"/>
  <c r="AE239" i="3"/>
  <c r="AD21" i="9"/>
  <c r="AD23" i="9" s="1"/>
  <c r="AF239" i="3" l="1"/>
  <c r="AE245" i="3"/>
  <c r="AE21" i="9"/>
  <c r="AE23" i="9" s="1"/>
  <c r="AG239" i="3" l="1"/>
  <c r="AF245" i="3"/>
  <c r="AF21" i="9"/>
  <c r="AF23" i="9" s="1"/>
  <c r="AB12" i="10"/>
  <c r="AG245" i="3" l="1"/>
  <c r="AH239" i="3"/>
  <c r="AG21" i="9"/>
  <c r="AG23" i="9" s="1"/>
  <c r="AB276" i="3"/>
  <c r="AB26" i="9"/>
  <c r="AC28" i="9" s="1"/>
  <c r="AH245" i="3" l="1"/>
  <c r="AI239" i="3"/>
  <c r="AH21" i="9"/>
  <c r="AH23" i="9" s="1"/>
  <c r="AB15" i="3" l="1"/>
  <c r="AB161" i="3"/>
  <c r="AB164" i="3"/>
  <c r="AJ239" i="3"/>
  <c r="AI245" i="3"/>
  <c r="AI21" i="9"/>
  <c r="AI23" i="9" s="1"/>
  <c r="AB32" i="3" l="1"/>
  <c r="AB59" i="3"/>
  <c r="AK239" i="3"/>
  <c r="AJ245" i="3"/>
  <c r="AJ21" i="9"/>
  <c r="AJ23" i="9" s="1"/>
  <c r="AB570" i="3"/>
  <c r="AK245" i="3" l="1"/>
  <c r="AL239" i="3"/>
  <c r="AK21" i="9"/>
  <c r="AK23" i="9" s="1"/>
  <c r="AB282" i="3"/>
  <c r="AB218" i="3"/>
  <c r="AL245" i="3" l="1"/>
  <c r="AL21" i="9"/>
  <c r="AL23" i="9" s="1"/>
  <c r="AB284" i="3"/>
  <c r="AB575" i="3"/>
  <c r="AB44" i="9"/>
  <c r="AB33" i="9"/>
  <c r="AC567" i="3" l="1"/>
  <c r="AB286" i="3"/>
  <c r="AB45" i="9"/>
  <c r="AE304" i="3" l="1"/>
  <c r="AF304" i="3" s="1"/>
  <c r="AG304" i="3" s="1"/>
  <c r="AH304" i="3" s="1"/>
  <c r="AI304" i="3" s="1"/>
  <c r="AJ304" i="3" s="1"/>
  <c r="AK304" i="3" s="1"/>
  <c r="AL304" i="3" s="1"/>
  <c r="AA317" i="3" l="1"/>
  <c r="AA318" i="3" s="1"/>
  <c r="AA320" i="3"/>
  <c r="AA92" i="3" l="1"/>
  <c r="AA91" i="3" l="1"/>
  <c r="AA88" i="3" l="1"/>
  <c r="AA562" i="3" s="1"/>
  <c r="AA105" i="3"/>
  <c r="AA7" i="9"/>
  <c r="AA7" i="3" l="1"/>
  <c r="AA68" i="3"/>
  <c r="AA73" i="3"/>
  <c r="AA66" i="3"/>
  <c r="AA51" i="3"/>
  <c r="AA106" i="3"/>
  <c r="AA112" i="3"/>
  <c r="AA527" i="3"/>
  <c r="AA531" i="3"/>
  <c r="AA8" i="9"/>
  <c r="AA6" i="9"/>
  <c r="AA89" i="3"/>
  <c r="AA6" i="10"/>
  <c r="AA7" i="10" s="1"/>
  <c r="AA9" i="10" s="1"/>
  <c r="AA15" i="10" s="1"/>
  <c r="AA481" i="3"/>
  <c r="AA483" i="3" s="1"/>
  <c r="AA469" i="3"/>
  <c r="AA471" i="3" s="1"/>
  <c r="AA492" i="3"/>
  <c r="AA126" i="3" l="1"/>
  <c r="AA8" i="3"/>
  <c r="AA52" i="3"/>
  <c r="AA116" i="3"/>
  <c r="AA113" i="3"/>
  <c r="AA523" i="3"/>
  <c r="AA564" i="3"/>
  <c r="AA497" i="3"/>
  <c r="AA496" i="3"/>
  <c r="AA19" i="10"/>
  <c r="AA16" i="3"/>
  <c r="AA18" i="10"/>
  <c r="AA21" i="10"/>
  <c r="AA17" i="3" s="1"/>
  <c r="AA17" i="10"/>
  <c r="AA539" i="3"/>
  <c r="AA64" i="3"/>
  <c r="AA65" i="3"/>
  <c r="AA177" i="3" l="1"/>
  <c r="AA57" i="3"/>
  <c r="AA58" i="3" s="1"/>
  <c r="AA69" i="3"/>
  <c r="AA10" i="3"/>
  <c r="AA129" i="3"/>
  <c r="AA71" i="3"/>
  <c r="AA117" i="3"/>
  <c r="AA127" i="3"/>
  <c r="AA9" i="3"/>
  <c r="AA10" i="9"/>
  <c r="AA542" i="3" l="1"/>
  <c r="AA543" i="3" s="1"/>
  <c r="AA134" i="3"/>
  <c r="AA14" i="9"/>
  <c r="AA16" i="9" s="1"/>
  <c r="AA11" i="9"/>
  <c r="AA9" i="9"/>
  <c r="AA132" i="3"/>
  <c r="AA137" i="3"/>
  <c r="AA140" i="3" l="1"/>
  <c r="AA40" i="9"/>
  <c r="AA79" i="3" s="1"/>
  <c r="AA30" i="9"/>
  <c r="AA77" i="3" s="1"/>
  <c r="AA141" i="3"/>
  <c r="AA142" i="3"/>
  <c r="AA145" i="3" l="1"/>
  <c r="AA156" i="3"/>
  <c r="AA147" i="3"/>
  <c r="AA150" i="3"/>
  <c r="AA146" i="3"/>
  <c r="AA43" i="9"/>
  <c r="AA47" i="9" s="1"/>
  <c r="AA78" i="3" s="1"/>
  <c r="AA568" i="3"/>
  <c r="AA152" i="3" l="1"/>
  <c r="AA53" i="3"/>
  <c r="AA13" i="3"/>
  <c r="AA572" i="3"/>
  <c r="AA573" i="3" s="1"/>
  <c r="AA577" i="3" s="1"/>
  <c r="AA11" i="3"/>
  <c r="AA55" i="3"/>
  <c r="AA158" i="3"/>
  <c r="AA12" i="3" l="1"/>
  <c r="AA56" i="3"/>
  <c r="AA54" i="3"/>
  <c r="AA14" i="3"/>
  <c r="AA163" i="3"/>
  <c r="AA70" i="3" l="1"/>
  <c r="AB485" i="3" l="1"/>
  <c r="AB6" i="3" l="1"/>
  <c r="AB85" i="3"/>
  <c r="AB324" i="3"/>
  <c r="AB379" i="3"/>
  <c r="AB381" i="3" s="1"/>
  <c r="AB392" i="3"/>
  <c r="AB395" i="3" s="1"/>
  <c r="AB407" i="3"/>
  <c r="AB411" i="3" s="1"/>
  <c r="AB486" i="3"/>
  <c r="AB315" i="3"/>
  <c r="AB476" i="3"/>
  <c r="AB501" i="3"/>
  <c r="AB520" i="3"/>
  <c r="AB5" i="9"/>
  <c r="AB416" i="3"/>
  <c r="AB399" i="3"/>
  <c r="AC23" i="3"/>
  <c r="AB317" i="3" l="1"/>
  <c r="AB318" i="3" s="1"/>
  <c r="AB320" i="3"/>
  <c r="AB403" i="3"/>
  <c r="AB438" i="3"/>
  <c r="AB424" i="3"/>
  <c r="AB453" i="3"/>
  <c r="AB473" i="3"/>
  <c r="AB478" i="3"/>
  <c r="AB521" i="3"/>
  <c r="AC521" i="3"/>
  <c r="AB326" i="3"/>
  <c r="AB338" i="3"/>
  <c r="AB5" i="10"/>
  <c r="AP6" i="3"/>
  <c r="AB22" i="3"/>
  <c r="AC22" i="3"/>
  <c r="AO6" i="3"/>
  <c r="AB512" i="3"/>
  <c r="AB508" i="3"/>
  <c r="AB504" i="3"/>
  <c r="AB349" i="3" l="1"/>
  <c r="AB366" i="3"/>
  <c r="AB358" i="3"/>
  <c r="AB368" i="3"/>
  <c r="AB371" i="3"/>
  <c r="AB376" i="3" s="1"/>
  <c r="AB362" i="3"/>
  <c r="AB385" i="3"/>
  <c r="AB387" i="3" s="1"/>
  <c r="AB92" i="3"/>
  <c r="AB321" i="3"/>
  <c r="AC317" i="3" l="1"/>
  <c r="AC318" i="3" s="1"/>
  <c r="AC320" i="3"/>
  <c r="AB91" i="3"/>
  <c r="AB88" i="3" l="1"/>
  <c r="AB562" i="3" s="1"/>
  <c r="AB93" i="3"/>
  <c r="AB105" i="3"/>
  <c r="AB7" i="9"/>
  <c r="AC92" i="3"/>
  <c r="AC321" i="3"/>
  <c r="AD320" i="3"/>
  <c r="AD317" i="3"/>
  <c r="AD318" i="3" s="1"/>
  <c r="AD92" i="3" l="1"/>
  <c r="AD321" i="3"/>
  <c r="AB7" i="3"/>
  <c r="AB24" i="3" s="1"/>
  <c r="AB73" i="3"/>
  <c r="AB68" i="3"/>
  <c r="AB107" i="3"/>
  <c r="AB106" i="3"/>
  <c r="AB112" i="3"/>
  <c r="AB527" i="3"/>
  <c r="AB528" i="3" s="1"/>
  <c r="AB529" i="3" s="1"/>
  <c r="AB531" i="3"/>
  <c r="AB532" i="3" s="1"/>
  <c r="AB533" i="3" s="1"/>
  <c r="AE317" i="3"/>
  <c r="AE318" i="3" s="1"/>
  <c r="AE320" i="3"/>
  <c r="AC91" i="3"/>
  <c r="AC105" i="3" s="1"/>
  <c r="AC112" i="3" s="1"/>
  <c r="R206" i="155" s="1"/>
  <c r="AB6" i="10"/>
  <c r="AB7" i="10" s="1"/>
  <c r="AB9" i="10" s="1"/>
  <c r="AB15" i="10" s="1"/>
  <c r="AB89" i="3"/>
  <c r="AB469" i="3"/>
  <c r="AB471" i="3" s="1"/>
  <c r="AB481" i="3"/>
  <c r="AB483" i="3" s="1"/>
  <c r="AB492" i="3"/>
  <c r="AB8" i="9"/>
  <c r="AB6" i="9"/>
  <c r="R204" i="155" l="1"/>
  <c r="R207" i="155"/>
  <c r="R208" i="155"/>
  <c r="AB496" i="3"/>
  <c r="AC496" i="3" s="1"/>
  <c r="AD496" i="3" s="1"/>
  <c r="AE496" i="3" s="1"/>
  <c r="AF496" i="3" s="1"/>
  <c r="AG496" i="3" s="1"/>
  <c r="AH496" i="3" s="1"/>
  <c r="AI496" i="3" s="1"/>
  <c r="AJ496" i="3" s="1"/>
  <c r="AK496" i="3" s="1"/>
  <c r="AL496" i="3" s="1"/>
  <c r="AB497" i="3"/>
  <c r="AB17" i="10"/>
  <c r="AB18" i="10"/>
  <c r="AB19" i="10"/>
  <c r="AB16" i="10"/>
  <c r="AB21" i="10"/>
  <c r="AB17" i="3" s="1"/>
  <c r="AB16" i="3"/>
  <c r="AB539" i="3"/>
  <c r="AE92" i="3"/>
  <c r="AE321" i="3"/>
  <c r="AD91" i="3"/>
  <c r="AC88" i="3"/>
  <c r="AC562" i="3" s="1"/>
  <c r="AC93" i="3"/>
  <c r="AC7" i="9"/>
  <c r="AF317" i="3"/>
  <c r="AF318" i="3" s="1"/>
  <c r="AF320" i="3"/>
  <c r="AB8" i="3"/>
  <c r="AB25" i="3" s="1"/>
  <c r="AB126" i="3"/>
  <c r="AB114" i="3"/>
  <c r="AB113" i="3"/>
  <c r="AB116" i="3"/>
  <c r="AB523" i="3"/>
  <c r="AB524" i="3" s="1"/>
  <c r="AB525" i="3" s="1"/>
  <c r="AB564" i="3"/>
  <c r="P204" i="155" l="1"/>
  <c r="S204" i="155"/>
  <c r="T204" i="155" s="1"/>
  <c r="U204" i="155" s="1"/>
  <c r="V204" i="155" s="1"/>
  <c r="W204" i="155" s="1"/>
  <c r="X204" i="155" s="1"/>
  <c r="Y204" i="155" s="1"/>
  <c r="Z204" i="155" s="1"/>
  <c r="AA204" i="155" s="1"/>
  <c r="AC6" i="10"/>
  <c r="AC7" i="10" s="1"/>
  <c r="AC9" i="10" s="1"/>
  <c r="AC89" i="3"/>
  <c r="AC481" i="3"/>
  <c r="AC482" i="3" s="1"/>
  <c r="AC261" i="3" s="1"/>
  <c r="AC469" i="3"/>
  <c r="AC470" i="3" s="1"/>
  <c r="AC492" i="3"/>
  <c r="AC495" i="3" s="1"/>
  <c r="AC497" i="3" s="1"/>
  <c r="AB33" i="3"/>
  <c r="AB69" i="3"/>
  <c r="AB57" i="3"/>
  <c r="AD88" i="3"/>
  <c r="AD562" i="3" s="1"/>
  <c r="AD93" i="3"/>
  <c r="AD105" i="3"/>
  <c r="AD7" i="9"/>
  <c r="AB10" i="3"/>
  <c r="AB27" i="3" s="1"/>
  <c r="AB129" i="3"/>
  <c r="AB9" i="3"/>
  <c r="AB26" i="3" s="1"/>
  <c r="AB117" i="3"/>
  <c r="AB127" i="3"/>
  <c r="AB10" i="9"/>
  <c r="AC6" i="9"/>
  <c r="AC8" i="9"/>
  <c r="AG317" i="3"/>
  <c r="AG318" i="3" s="1"/>
  <c r="AG320" i="3"/>
  <c r="AE91" i="3"/>
  <c r="AB71" i="3"/>
  <c r="AB34" i="3"/>
  <c r="AF92" i="3"/>
  <c r="AF321" i="3"/>
  <c r="AC7" i="3"/>
  <c r="AC24" i="3" s="1"/>
  <c r="AC107" i="3"/>
  <c r="AC106" i="3"/>
  <c r="AC527" i="3"/>
  <c r="AC528" i="3" s="1"/>
  <c r="AC529" i="3" s="1"/>
  <c r="AC531" i="3"/>
  <c r="AC532" i="3" s="1"/>
  <c r="AC533" i="3" s="1"/>
  <c r="P206" i="155" l="1"/>
  <c r="Q204" i="155"/>
  <c r="Q206" i="155" s="1"/>
  <c r="AB542" i="3"/>
  <c r="AF91" i="3"/>
  <c r="AD7" i="3"/>
  <c r="AD106" i="3"/>
  <c r="AD112" i="3"/>
  <c r="S206" i="155" s="1"/>
  <c r="AD107" i="3"/>
  <c r="AD531" i="3"/>
  <c r="AD532" i="3" s="1"/>
  <c r="AD533" i="3" s="1"/>
  <c r="AD527" i="3"/>
  <c r="AD528" i="3" s="1"/>
  <c r="AD529" i="3" s="1"/>
  <c r="AB58" i="3"/>
  <c r="AC8" i="3"/>
  <c r="AC25" i="3" s="1"/>
  <c r="AC113" i="3"/>
  <c r="AC116" i="3"/>
  <c r="AC114" i="3"/>
  <c r="AC564" i="3"/>
  <c r="AC523" i="3"/>
  <c r="AC524" i="3" s="1"/>
  <c r="AC525" i="3" s="1"/>
  <c r="AD6" i="9"/>
  <c r="AD8" i="9"/>
  <c r="AG92" i="3"/>
  <c r="AG321" i="3"/>
  <c r="AB131" i="3"/>
  <c r="AB137" i="3" s="1"/>
  <c r="AB182" i="3"/>
  <c r="AC193" i="3"/>
  <c r="AC267" i="3"/>
  <c r="AE105" i="3"/>
  <c r="AE88" i="3"/>
  <c r="AE562" i="3" s="1"/>
  <c r="AE93" i="3"/>
  <c r="AE7" i="9"/>
  <c r="AB11" i="9"/>
  <c r="AB14" i="9"/>
  <c r="AB16" i="9" s="1"/>
  <c r="AB9" i="9"/>
  <c r="AB134" i="3"/>
  <c r="AD6" i="10"/>
  <c r="AD7" i="10" s="1"/>
  <c r="AD9" i="10" s="1"/>
  <c r="AD89" i="3"/>
  <c r="AD492" i="3"/>
  <c r="AD495" i="3" s="1"/>
  <c r="AD497" i="3" s="1"/>
  <c r="AD481" i="3"/>
  <c r="AD482" i="3" s="1"/>
  <c r="AD261" i="3" s="1"/>
  <c r="AD469" i="3"/>
  <c r="AD470" i="3" s="1"/>
  <c r="AC248" i="3"/>
  <c r="AC485" i="3"/>
  <c r="AC486" i="3" s="1"/>
  <c r="AC473" i="3"/>
  <c r="AC472" i="3"/>
  <c r="AH317" i="3"/>
  <c r="AH318" i="3" s="1"/>
  <c r="AH320" i="3"/>
  <c r="Q208" i="155" l="1"/>
  <c r="Q207" i="155"/>
  <c r="P207" i="155"/>
  <c r="P208" i="155"/>
  <c r="S207" i="155"/>
  <c r="S208" i="155"/>
  <c r="AH92" i="3"/>
  <c r="AH321" i="3"/>
  <c r="AB135" i="3"/>
  <c r="AB140" i="3"/>
  <c r="AE6" i="10"/>
  <c r="AE7" i="10" s="1"/>
  <c r="AE9" i="10" s="1"/>
  <c r="AE89" i="3"/>
  <c r="AE492" i="3"/>
  <c r="AE495" i="3" s="1"/>
  <c r="AE497" i="3" s="1"/>
  <c r="AE469" i="3"/>
  <c r="AE470" i="3" s="1"/>
  <c r="AE481" i="3"/>
  <c r="AE482" i="3" s="1"/>
  <c r="AE261" i="3" s="1"/>
  <c r="AD8" i="3"/>
  <c r="AD114" i="3"/>
  <c r="AD113" i="3"/>
  <c r="AD116" i="3"/>
  <c r="AD564" i="3"/>
  <c r="AD523" i="3"/>
  <c r="AD524" i="3" s="1"/>
  <c r="AD525" i="3" s="1"/>
  <c r="AD473" i="3"/>
  <c r="AD472" i="3"/>
  <c r="AD248" i="3"/>
  <c r="AD485" i="3"/>
  <c r="AD486" i="3" s="1"/>
  <c r="AB132" i="3"/>
  <c r="AB544" i="3"/>
  <c r="AB543" i="3" s="1"/>
  <c r="AD193" i="3"/>
  <c r="AD267" i="3"/>
  <c r="AI317" i="3"/>
  <c r="AI318" i="3" s="1"/>
  <c r="AI320" i="3"/>
  <c r="AE8" i="9"/>
  <c r="AE6" i="9"/>
  <c r="AE7" i="3"/>
  <c r="AE107" i="3"/>
  <c r="AE106" i="3"/>
  <c r="AE112" i="3"/>
  <c r="T206" i="155" s="1"/>
  <c r="AE531" i="3"/>
  <c r="AE532" i="3" s="1"/>
  <c r="AE533" i="3" s="1"/>
  <c r="AE527" i="3"/>
  <c r="AE528" i="3" s="1"/>
  <c r="AE529" i="3" s="1"/>
  <c r="AB141" i="3"/>
  <c r="AB142" i="3"/>
  <c r="AB30" i="9"/>
  <c r="AB77" i="3" s="1"/>
  <c r="AB40" i="9"/>
  <c r="AB79" i="3" s="1"/>
  <c r="AC9" i="3"/>
  <c r="AC26" i="3" s="1"/>
  <c r="AC117" i="3"/>
  <c r="AC10" i="9"/>
  <c r="AC191" i="3"/>
  <c r="AC25" i="9"/>
  <c r="AB197" i="3"/>
  <c r="AG91" i="3"/>
  <c r="AO7" i="3"/>
  <c r="AD24" i="3"/>
  <c r="AF88" i="3"/>
  <c r="AF562" i="3" s="1"/>
  <c r="AF93" i="3"/>
  <c r="AF105" i="3"/>
  <c r="AF7" i="9"/>
  <c r="T207" i="155" l="1"/>
  <c r="T208" i="155"/>
  <c r="AD191" i="3"/>
  <c r="AD25" i="9"/>
  <c r="AD9" i="3"/>
  <c r="AD117" i="3"/>
  <c r="AD10" i="9"/>
  <c r="AJ317" i="3"/>
  <c r="AJ318" i="3" s="1"/>
  <c r="AJ320" i="3"/>
  <c r="AB568" i="3"/>
  <c r="AB146" i="3"/>
  <c r="AB43" i="9"/>
  <c r="AB47" i="9" s="1"/>
  <c r="AB78" i="3" s="1"/>
  <c r="AO8" i="3"/>
  <c r="AD25" i="3"/>
  <c r="AF6" i="10"/>
  <c r="AF7" i="10" s="1"/>
  <c r="AF9" i="10" s="1"/>
  <c r="AF89" i="3"/>
  <c r="AF469" i="3"/>
  <c r="AF470" i="3" s="1"/>
  <c r="AF481" i="3"/>
  <c r="AF482" i="3" s="1"/>
  <c r="AF261" i="3" s="1"/>
  <c r="AF492" i="3"/>
  <c r="AF495" i="3" s="1"/>
  <c r="AF497" i="3" s="1"/>
  <c r="AB156" i="3"/>
  <c r="AB145" i="3"/>
  <c r="AF8" i="9"/>
  <c r="AF6" i="9"/>
  <c r="AC11" i="9"/>
  <c r="AC14" i="9"/>
  <c r="AC16" i="9" s="1"/>
  <c r="AC9" i="9"/>
  <c r="AI92" i="3"/>
  <c r="AI321" i="3"/>
  <c r="AE193" i="3"/>
  <c r="AE267" i="3"/>
  <c r="AB201" i="3"/>
  <c r="AF7" i="3"/>
  <c r="AF24" i="3" s="1"/>
  <c r="AF107" i="3"/>
  <c r="AF106" i="3"/>
  <c r="AF112" i="3"/>
  <c r="U206" i="155" s="1"/>
  <c r="AF527" i="3"/>
  <c r="AF528" i="3" s="1"/>
  <c r="AF529" i="3" s="1"/>
  <c r="AF531" i="3"/>
  <c r="AF532" i="3" s="1"/>
  <c r="AF533" i="3" s="1"/>
  <c r="AG88" i="3"/>
  <c r="AG562" i="3" s="1"/>
  <c r="AG93" i="3"/>
  <c r="AG105" i="3"/>
  <c r="AG7" i="9"/>
  <c r="AC195" i="3"/>
  <c r="AB147" i="3"/>
  <c r="AB150" i="3"/>
  <c r="AE8" i="3"/>
  <c r="AE114" i="3"/>
  <c r="AE113" i="3"/>
  <c r="AE116" i="3"/>
  <c r="AE523" i="3"/>
  <c r="AE524" i="3" s="1"/>
  <c r="AE525" i="3" s="1"/>
  <c r="AE564" i="3"/>
  <c r="AE24" i="3"/>
  <c r="AP7" i="3"/>
  <c r="AE472" i="3"/>
  <c r="AE473" i="3"/>
  <c r="AE248" i="3"/>
  <c r="AE485" i="3"/>
  <c r="AE486" i="3" s="1"/>
  <c r="AH91" i="3"/>
  <c r="U207" i="155" l="1"/>
  <c r="U208" i="155"/>
  <c r="AC30" i="9"/>
  <c r="AC77" i="3" s="1"/>
  <c r="AF8" i="3"/>
  <c r="AF25" i="3" s="1"/>
  <c r="AF114" i="3"/>
  <c r="AF113" i="3"/>
  <c r="AF116" i="3"/>
  <c r="AF523" i="3"/>
  <c r="AF524" i="3" s="1"/>
  <c r="AF525" i="3" s="1"/>
  <c r="AF564" i="3"/>
  <c r="AB152" i="3"/>
  <c r="AG6" i="9"/>
  <c r="AG8" i="9"/>
  <c r="AB572" i="3"/>
  <c r="AB573" i="3" s="1"/>
  <c r="AB577" i="3" s="1"/>
  <c r="AB11" i="3"/>
  <c r="AB28" i="3" s="1"/>
  <c r="AB55" i="3"/>
  <c r="AB151" i="3"/>
  <c r="AG6" i="10"/>
  <c r="AG7" i="10" s="1"/>
  <c r="AG9" i="10" s="1"/>
  <c r="AG89" i="3"/>
  <c r="AG481" i="3"/>
  <c r="AG482" i="3" s="1"/>
  <c r="AG261" i="3" s="1"/>
  <c r="AG469" i="3"/>
  <c r="AG470" i="3" s="1"/>
  <c r="AG492" i="3"/>
  <c r="AG495" i="3" s="1"/>
  <c r="AG497" i="3" s="1"/>
  <c r="AG7" i="3"/>
  <c r="AG24" i="3" s="1"/>
  <c r="AG107" i="3"/>
  <c r="AG106" i="3"/>
  <c r="AG112" i="3"/>
  <c r="V206" i="155" s="1"/>
  <c r="AG527" i="3"/>
  <c r="AG528" i="3" s="1"/>
  <c r="AG529" i="3" s="1"/>
  <c r="AG531" i="3"/>
  <c r="AG532" i="3" s="1"/>
  <c r="AG533" i="3" s="1"/>
  <c r="AL317" i="3"/>
  <c r="AL320" i="3"/>
  <c r="AJ92" i="3"/>
  <c r="AJ321" i="3"/>
  <c r="AO9" i="3"/>
  <c r="AD26" i="3"/>
  <c r="AD195" i="3"/>
  <c r="AI91" i="3"/>
  <c r="AB13" i="3"/>
  <c r="AB30" i="3" s="1"/>
  <c r="AB53" i="3"/>
  <c r="AB157" i="3"/>
  <c r="AF248" i="3"/>
  <c r="AF485" i="3"/>
  <c r="AF486" i="3" s="1"/>
  <c r="AF472" i="3"/>
  <c r="AF473" i="3"/>
  <c r="AK317" i="3"/>
  <c r="AK318" i="3" s="1"/>
  <c r="AK320" i="3"/>
  <c r="AH88" i="3"/>
  <c r="AH562" i="3" s="1"/>
  <c r="AH93" i="3"/>
  <c r="AH105" i="3"/>
  <c r="AH7" i="9"/>
  <c r="AE191" i="3"/>
  <c r="AE25" i="9"/>
  <c r="AE9" i="3"/>
  <c r="AE117" i="3"/>
  <c r="AE10" i="9"/>
  <c r="AP8" i="3"/>
  <c r="AE25" i="3"/>
  <c r="AC10" i="10"/>
  <c r="AC487" i="3"/>
  <c r="AB221" i="3"/>
  <c r="AB158" i="3"/>
  <c r="AF193" i="3"/>
  <c r="AF267" i="3"/>
  <c r="AD9" i="9"/>
  <c r="AD11" i="9"/>
  <c r="AD14" i="9"/>
  <c r="AD16" i="9" s="1"/>
  <c r="V208" i="155" l="1"/>
  <c r="V207" i="155"/>
  <c r="AL92" i="3"/>
  <c r="AL321" i="3"/>
  <c r="AB224" i="3"/>
  <c r="AB254" i="3"/>
  <c r="AH6" i="10"/>
  <c r="AH7" i="10" s="1"/>
  <c r="AH9" i="10" s="1"/>
  <c r="AH89" i="3"/>
  <c r="AH492" i="3"/>
  <c r="AH495" i="3" s="1"/>
  <c r="AH497" i="3" s="1"/>
  <c r="AH481" i="3"/>
  <c r="AH482" i="3" s="1"/>
  <c r="AH261" i="3" s="1"/>
  <c r="AH469" i="3"/>
  <c r="AH470" i="3" s="1"/>
  <c r="AL318" i="3"/>
  <c r="AG248" i="3"/>
  <c r="AG485" i="3"/>
  <c r="AG486" i="3" s="1"/>
  <c r="AG473" i="3"/>
  <c r="AG472" i="3"/>
  <c r="AP9" i="3"/>
  <c r="AE26" i="3"/>
  <c r="AE195" i="3"/>
  <c r="AH6" i="9"/>
  <c r="AH8" i="9"/>
  <c r="AK92" i="3"/>
  <c r="AK321" i="3"/>
  <c r="AG8" i="3"/>
  <c r="AG25" i="3" s="1"/>
  <c r="AG113" i="3"/>
  <c r="AG116" i="3"/>
  <c r="AG114" i="3"/>
  <c r="AG564" i="3"/>
  <c r="AG523" i="3"/>
  <c r="AG524" i="3" s="1"/>
  <c r="AG525" i="3" s="1"/>
  <c r="AG193" i="3"/>
  <c r="AG267" i="3"/>
  <c r="AB12" i="3"/>
  <c r="AB56" i="3"/>
  <c r="AB153" i="3"/>
  <c r="AI105" i="3"/>
  <c r="AI88" i="3"/>
  <c r="AI562" i="3" s="1"/>
  <c r="AI93" i="3"/>
  <c r="AI7" i="9"/>
  <c r="AF9" i="3"/>
  <c r="AF26" i="3" s="1"/>
  <c r="AF117" i="3"/>
  <c r="AF10" i="9"/>
  <c r="AB14" i="3"/>
  <c r="AB54" i="3"/>
  <c r="AB159" i="3"/>
  <c r="AB163" i="3"/>
  <c r="AE14" i="9"/>
  <c r="AE16" i="9" s="1"/>
  <c r="AE9" i="9"/>
  <c r="AE11" i="9"/>
  <c r="AH7" i="3"/>
  <c r="AH24" i="3" s="1"/>
  <c r="AH106" i="3"/>
  <c r="AH112" i="3"/>
  <c r="W206" i="155" s="1"/>
  <c r="AH107" i="3"/>
  <c r="AH531" i="3"/>
  <c r="AH532" i="3" s="1"/>
  <c r="AH533" i="3" s="1"/>
  <c r="AH527" i="3"/>
  <c r="AH528" i="3" s="1"/>
  <c r="AH529" i="3" s="1"/>
  <c r="AF191" i="3"/>
  <c r="AF25" i="9"/>
  <c r="AD10" i="10"/>
  <c r="AD487" i="3"/>
  <c r="AJ91" i="3"/>
  <c r="W208" i="155" l="1"/>
  <c r="W207" i="155"/>
  <c r="AF11" i="9"/>
  <c r="AF14" i="9"/>
  <c r="AF16" i="9" s="1"/>
  <c r="AF9" i="9"/>
  <c r="AJ88" i="3"/>
  <c r="AJ562" i="3" s="1"/>
  <c r="AJ93" i="3"/>
  <c r="AJ105" i="3"/>
  <c r="AJ7" i="9"/>
  <c r="AH8" i="3"/>
  <c r="AH25" i="3" s="1"/>
  <c r="AH114" i="3"/>
  <c r="AH113" i="3"/>
  <c r="AH116" i="3"/>
  <c r="AH564" i="3"/>
  <c r="AH523" i="3"/>
  <c r="AH524" i="3" s="1"/>
  <c r="AH525" i="3" s="1"/>
  <c r="AI6" i="10"/>
  <c r="AI7" i="10" s="1"/>
  <c r="AI9" i="10" s="1"/>
  <c r="AI89" i="3"/>
  <c r="AI492" i="3"/>
  <c r="AI495" i="3" s="1"/>
  <c r="AI497" i="3" s="1"/>
  <c r="AI469" i="3"/>
  <c r="AI470" i="3" s="1"/>
  <c r="AI481" i="3"/>
  <c r="AI482" i="3" s="1"/>
  <c r="AI261" i="3" s="1"/>
  <c r="AG9" i="3"/>
  <c r="AG26" i="3" s="1"/>
  <c r="AG117" i="3"/>
  <c r="AG10" i="9"/>
  <c r="AG191" i="3"/>
  <c r="AG25" i="9"/>
  <c r="AH473" i="3"/>
  <c r="AH472" i="3"/>
  <c r="AH248" i="3"/>
  <c r="AH485" i="3"/>
  <c r="AH486" i="3" s="1"/>
  <c r="AB288" i="3"/>
  <c r="AB300" i="3"/>
  <c r="AB289" i="3"/>
  <c r="AB255" i="3"/>
  <c r="AF195" i="3"/>
  <c r="AB31" i="3"/>
  <c r="AI7" i="3"/>
  <c r="AI24" i="3" s="1"/>
  <c r="AI107" i="3"/>
  <c r="AI106" i="3"/>
  <c r="AI112" i="3"/>
  <c r="X206" i="155" s="1"/>
  <c r="AI531" i="3"/>
  <c r="AI532" i="3" s="1"/>
  <c r="AI533" i="3" s="1"/>
  <c r="AI527" i="3"/>
  <c r="AI528" i="3" s="1"/>
  <c r="AI529" i="3" s="1"/>
  <c r="AB29" i="3"/>
  <c r="AB70" i="3"/>
  <c r="AH193" i="3"/>
  <c r="AH267" i="3"/>
  <c r="AI8" i="9"/>
  <c r="AI6" i="9"/>
  <c r="AK91" i="3"/>
  <c r="AE10" i="10"/>
  <c r="AE487" i="3"/>
  <c r="AL91" i="3"/>
  <c r="X208" i="155" l="1"/>
  <c r="X207" i="155"/>
  <c r="AF10" i="10"/>
  <c r="AF487" i="3"/>
  <c r="AK88" i="3"/>
  <c r="AK562" i="3" s="1"/>
  <c r="AK93" i="3"/>
  <c r="AK105" i="3"/>
  <c r="AK7" i="9"/>
  <c r="AB256" i="3"/>
  <c r="AI193" i="3"/>
  <c r="AI267" i="3"/>
  <c r="AJ6" i="10"/>
  <c r="AJ7" i="10" s="1"/>
  <c r="AJ9" i="10" s="1"/>
  <c r="AJ89" i="3"/>
  <c r="AJ469" i="3"/>
  <c r="AJ470" i="3" s="1"/>
  <c r="AJ481" i="3"/>
  <c r="AJ482" i="3" s="1"/>
  <c r="AJ261" i="3" s="1"/>
  <c r="AJ492" i="3"/>
  <c r="AJ495" i="3" s="1"/>
  <c r="AJ497" i="3" s="1"/>
  <c r="AG195" i="3"/>
  <c r="AL88" i="3"/>
  <c r="AL562" i="3" s="1"/>
  <c r="AL93" i="3"/>
  <c r="AL105" i="3"/>
  <c r="AL7" i="9"/>
  <c r="AI8" i="3"/>
  <c r="AI25" i="3" s="1"/>
  <c r="AI114" i="3"/>
  <c r="AI113" i="3"/>
  <c r="AI116" i="3"/>
  <c r="AI523" i="3"/>
  <c r="AI524" i="3" s="1"/>
  <c r="AI525" i="3" s="1"/>
  <c r="AI564" i="3"/>
  <c r="AB302" i="3"/>
  <c r="AC303" i="3"/>
  <c r="AJ8" i="9"/>
  <c r="AJ6" i="9"/>
  <c r="AB19" i="3"/>
  <c r="AB45" i="3"/>
  <c r="AB36" i="9"/>
  <c r="AB37" i="9" s="1"/>
  <c r="AC38" i="9" s="1"/>
  <c r="AC40" i="9" s="1"/>
  <c r="AC79" i="3" s="1"/>
  <c r="AI472" i="3"/>
  <c r="AI473" i="3"/>
  <c r="AI248" i="3"/>
  <c r="AI485" i="3"/>
  <c r="AI486" i="3" s="1"/>
  <c r="AB18" i="3"/>
  <c r="AB72" i="3"/>
  <c r="AH191" i="3"/>
  <c r="AH25" i="9"/>
  <c r="AG11" i="9"/>
  <c r="AG14" i="9"/>
  <c r="AG16" i="9" s="1"/>
  <c r="AG9" i="9"/>
  <c r="AH9" i="3"/>
  <c r="AH26" i="3" s="1"/>
  <c r="AH117" i="3"/>
  <c r="AH10" i="9"/>
  <c r="AJ7" i="3"/>
  <c r="AJ24" i="3" s="1"/>
  <c r="AJ107" i="3"/>
  <c r="AJ106" i="3"/>
  <c r="AJ112" i="3"/>
  <c r="Y206" i="155" s="1"/>
  <c r="AJ527" i="3"/>
  <c r="AJ528" i="3" s="1"/>
  <c r="AJ529" i="3" s="1"/>
  <c r="AJ531" i="3"/>
  <c r="AJ532" i="3" s="1"/>
  <c r="AJ533" i="3" s="1"/>
  <c r="Y208" i="155" l="1"/>
  <c r="Y207" i="155"/>
  <c r="AL6" i="9"/>
  <c r="AL8" i="9"/>
  <c r="AK6" i="9"/>
  <c r="AK8" i="9"/>
  <c r="AH9" i="9"/>
  <c r="AH11" i="9"/>
  <c r="AH14" i="9"/>
  <c r="AH16" i="9" s="1"/>
  <c r="AC119" i="3"/>
  <c r="AC307" i="3"/>
  <c r="AL6" i="10"/>
  <c r="AL7" i="10" s="1"/>
  <c r="AL9" i="10" s="1"/>
  <c r="AL89" i="3"/>
  <c r="AL492" i="3"/>
  <c r="AL495" i="3" s="1"/>
  <c r="AL497" i="3" s="1"/>
  <c r="AL481" i="3"/>
  <c r="AL482" i="3" s="1"/>
  <c r="AL261" i="3" s="1"/>
  <c r="AL469" i="3"/>
  <c r="AL470" i="3" s="1"/>
  <c r="AJ193" i="3"/>
  <c r="AJ267" i="3"/>
  <c r="AB291" i="3"/>
  <c r="AK6" i="10"/>
  <c r="AK7" i="10" s="1"/>
  <c r="AK9" i="10" s="1"/>
  <c r="AK89" i="3"/>
  <c r="AK481" i="3"/>
  <c r="AK482" i="3" s="1"/>
  <c r="AK261" i="3" s="1"/>
  <c r="AK469" i="3"/>
  <c r="AK470" i="3" s="1"/>
  <c r="AK492" i="3"/>
  <c r="AK495" i="3" s="1"/>
  <c r="AK497" i="3" s="1"/>
  <c r="AJ248" i="3"/>
  <c r="AJ485" i="3"/>
  <c r="AJ486" i="3" s="1"/>
  <c r="AJ472" i="3"/>
  <c r="AJ473" i="3"/>
  <c r="AJ8" i="3"/>
  <c r="AJ25" i="3" s="1"/>
  <c r="AJ114" i="3"/>
  <c r="AJ113" i="3"/>
  <c r="AJ116" i="3"/>
  <c r="AJ523" i="3"/>
  <c r="AJ524" i="3" s="1"/>
  <c r="AJ525" i="3" s="1"/>
  <c r="AJ564" i="3"/>
  <c r="AH195" i="3"/>
  <c r="AB35" i="3"/>
  <c r="AB64" i="3"/>
  <c r="AB47" i="3"/>
  <c r="AL7" i="3"/>
  <c r="AL106" i="3"/>
  <c r="AL112" i="3"/>
  <c r="AA206" i="155" s="1"/>
  <c r="AL107" i="3"/>
  <c r="AL531" i="3"/>
  <c r="AL527" i="3"/>
  <c r="AG10" i="10"/>
  <c r="AG487" i="3"/>
  <c r="AK7" i="3"/>
  <c r="AK24" i="3" s="1"/>
  <c r="AK107" i="3"/>
  <c r="AK106" i="3"/>
  <c r="AK112" i="3"/>
  <c r="Z206" i="155" s="1"/>
  <c r="AK527" i="3"/>
  <c r="AK528" i="3" s="1"/>
  <c r="AK529" i="3" s="1"/>
  <c r="AK531" i="3"/>
  <c r="AK532" i="3" s="1"/>
  <c r="AK533" i="3" s="1"/>
  <c r="AI191" i="3"/>
  <c r="AI195" i="3" s="1"/>
  <c r="AI25" i="9"/>
  <c r="AI9" i="3"/>
  <c r="AI26" i="3" s="1"/>
  <c r="AI117" i="3"/>
  <c r="AI10" i="9"/>
  <c r="AB65" i="3"/>
  <c r="AB36" i="3"/>
  <c r="AB66" i="3"/>
  <c r="Z207" i="155" l="1"/>
  <c r="Z208" i="155"/>
  <c r="AA207" i="155"/>
  <c r="AA208" i="155"/>
  <c r="AL532" i="3"/>
  <c r="AL533" i="3" s="1"/>
  <c r="AJ191" i="3"/>
  <c r="AJ195" i="3" s="1"/>
  <c r="AJ25" i="9"/>
  <c r="AC123" i="3"/>
  <c r="AC188" i="3"/>
  <c r="AI10" i="10"/>
  <c r="AI487" i="3"/>
  <c r="AL8" i="3"/>
  <c r="AL114" i="3"/>
  <c r="AL113" i="3"/>
  <c r="AL116" i="3"/>
  <c r="AL564" i="3"/>
  <c r="AL523" i="3"/>
  <c r="AB177" i="3"/>
  <c r="AH10" i="10"/>
  <c r="AH487" i="3"/>
  <c r="AK193" i="3"/>
  <c r="AK267" i="3"/>
  <c r="AL193" i="3"/>
  <c r="AL267" i="3"/>
  <c r="AI14" i="9"/>
  <c r="AI16" i="9" s="1"/>
  <c r="AI9" i="9"/>
  <c r="AI11" i="9"/>
  <c r="AL24" i="3"/>
  <c r="AK8" i="3"/>
  <c r="AK25" i="3" s="1"/>
  <c r="AK113" i="3"/>
  <c r="AK116" i="3"/>
  <c r="AK114" i="3"/>
  <c r="AK564" i="3"/>
  <c r="AK523" i="3"/>
  <c r="AK524" i="3" s="1"/>
  <c r="AK525" i="3" s="1"/>
  <c r="AB50" i="3"/>
  <c r="AB67" i="3"/>
  <c r="AB51" i="3"/>
  <c r="AB52" i="3"/>
  <c r="AL528" i="3"/>
  <c r="AL529" i="3" s="1"/>
  <c r="AJ9" i="3"/>
  <c r="AJ26" i="3" s="1"/>
  <c r="AJ117" i="3"/>
  <c r="AJ10" i="9"/>
  <c r="AK248" i="3"/>
  <c r="AK485" i="3"/>
  <c r="AK486" i="3" s="1"/>
  <c r="AK473" i="3"/>
  <c r="AK472" i="3"/>
  <c r="AL473" i="3"/>
  <c r="AL472" i="3"/>
  <c r="AL485" i="3"/>
  <c r="AL486" i="3" s="1"/>
  <c r="AL248" i="3"/>
  <c r="AL25" i="3" l="1"/>
  <c r="AL191" i="3"/>
  <c r="AL195" i="3" s="1"/>
  <c r="AL25" i="9"/>
  <c r="AJ11" i="9"/>
  <c r="AJ14" i="9"/>
  <c r="AJ16" i="9" s="1"/>
  <c r="AJ9" i="9"/>
  <c r="AK191" i="3"/>
  <c r="AK195" i="3" s="1"/>
  <c r="AK25" i="9"/>
  <c r="AK9" i="3"/>
  <c r="AK26" i="3" s="1"/>
  <c r="AK117" i="3"/>
  <c r="AK10" i="9"/>
  <c r="AC68" i="3"/>
  <c r="AC73" i="3"/>
  <c r="AC126" i="3"/>
  <c r="AC127" i="3"/>
  <c r="AL9" i="3"/>
  <c r="AL117" i="3"/>
  <c r="AL10" i="9"/>
  <c r="AL524" i="3"/>
  <c r="AL525" i="3" s="1"/>
  <c r="AC210" i="3"/>
  <c r="AJ10" i="10"/>
  <c r="AJ487" i="3"/>
  <c r="AL26" i="3" l="1"/>
  <c r="AL9" i="9"/>
  <c r="AL11" i="9"/>
  <c r="AL14" i="9"/>
  <c r="AL16" i="9" s="1"/>
  <c r="AC131" i="3"/>
  <c r="AC137" i="3" s="1"/>
  <c r="AC182" i="3"/>
  <c r="AK11" i="9"/>
  <c r="AK14" i="9"/>
  <c r="AK16" i="9" s="1"/>
  <c r="AK9" i="9"/>
  <c r="AC11" i="10"/>
  <c r="AC211" i="3"/>
  <c r="AC10" i="3"/>
  <c r="AC27" i="3" s="1"/>
  <c r="AC129" i="3"/>
  <c r="AK10" i="10"/>
  <c r="AK487" i="3"/>
  <c r="AL10" i="10"/>
  <c r="AL487" i="3"/>
  <c r="AC141" i="3" l="1"/>
  <c r="AC142" i="3"/>
  <c r="AC542" i="3"/>
  <c r="AC197" i="3"/>
  <c r="AC134" i="3"/>
  <c r="AC132" i="3"/>
  <c r="AC200" i="3"/>
  <c r="AC544" i="3"/>
  <c r="AC543" i="3" l="1"/>
  <c r="AC147" i="3"/>
  <c r="AC150" i="3"/>
  <c r="AC146" i="3"/>
  <c r="AC568" i="3"/>
  <c r="AC43" i="9"/>
  <c r="AC140" i="3"/>
  <c r="AC135" i="3"/>
  <c r="AC12" i="10"/>
  <c r="AC15" i="10" s="1"/>
  <c r="AC273" i="3"/>
  <c r="AC201" i="3"/>
  <c r="AC16" i="10" l="1"/>
  <c r="AC21" i="10"/>
  <c r="AC17" i="3" s="1"/>
  <c r="AC16" i="3"/>
  <c r="AC17" i="10"/>
  <c r="AC18" i="10"/>
  <c r="AC19" i="10"/>
  <c r="AC539" i="3"/>
  <c r="AC11" i="3"/>
  <c r="AC28" i="3" s="1"/>
  <c r="AC55" i="3"/>
  <c r="AC151" i="3"/>
  <c r="AC162" i="3"/>
  <c r="AC276" i="3"/>
  <c r="AC26" i="9"/>
  <c r="AD28" i="9" s="1"/>
  <c r="AD30" i="9" s="1"/>
  <c r="AD77" i="3" s="1"/>
  <c r="AC145" i="3"/>
  <c r="AC156" i="3"/>
  <c r="AC152" i="3"/>
  <c r="AC158" i="3" l="1"/>
  <c r="AC57" i="3"/>
  <c r="AC33" i="3"/>
  <c r="AC69" i="3"/>
  <c r="AC12" i="3"/>
  <c r="AC56" i="3"/>
  <c r="AC153" i="3"/>
  <c r="AC34" i="3"/>
  <c r="AC13" i="3"/>
  <c r="AC30" i="3" s="1"/>
  <c r="AC53" i="3"/>
  <c r="AC157" i="3"/>
  <c r="AC15" i="3"/>
  <c r="AC71" i="3" s="1"/>
  <c r="AC161" i="3"/>
  <c r="AC164" i="3"/>
  <c r="AC32" i="3" l="1"/>
  <c r="AC59" i="3"/>
  <c r="AC70" i="3"/>
  <c r="AC29" i="3"/>
  <c r="AC58" i="3"/>
  <c r="AC14" i="3"/>
  <c r="AC54" i="3"/>
  <c r="AC159" i="3"/>
  <c r="AC570" i="3"/>
  <c r="AC215" i="3"/>
  <c r="AC281" i="3"/>
  <c r="AC282" i="3" l="1"/>
  <c r="AC218" i="3"/>
  <c r="AC31" i="3"/>
  <c r="AC284" i="3" l="1"/>
  <c r="AC572" i="3"/>
  <c r="AC573" i="3" s="1"/>
  <c r="AC575" i="3"/>
  <c r="AC33" i="9"/>
  <c r="AC44" i="9"/>
  <c r="AC221" i="3"/>
  <c r="AC224" i="3" l="1"/>
  <c r="AC254" i="3"/>
  <c r="AC577" i="3"/>
  <c r="AD567" i="3"/>
  <c r="AC45" i="9"/>
  <c r="AC47" i="9" s="1"/>
  <c r="AC78" i="3" s="1"/>
  <c r="AC286" i="3"/>
  <c r="AC289" i="3" l="1"/>
  <c r="AC288" i="3"/>
  <c r="AC300" i="3"/>
  <c r="AC255" i="3"/>
  <c r="AC18" i="3" l="1"/>
  <c r="AC72" i="3"/>
  <c r="AC19" i="3"/>
  <c r="AC45" i="3"/>
  <c r="AC36" i="9"/>
  <c r="AC37" i="9" s="1"/>
  <c r="AD38" i="9" s="1"/>
  <c r="AD40" i="9" s="1"/>
  <c r="AD79" i="3" s="1"/>
  <c r="AC256" i="3"/>
  <c r="AC302" i="3"/>
  <c r="AC308" i="3" s="1"/>
  <c r="AD303" i="3"/>
  <c r="AC65" i="3" l="1"/>
  <c r="AC36" i="3"/>
  <c r="AC66" i="3"/>
  <c r="AD119" i="3"/>
  <c r="AD307" i="3"/>
  <c r="AC291" i="3"/>
  <c r="AC47" i="3"/>
  <c r="AC64" i="3"/>
  <c r="AC35" i="3"/>
  <c r="AD123" i="3" l="1"/>
  <c r="AD188" i="3"/>
  <c r="AC50" i="3"/>
  <c r="AC67" i="3"/>
  <c r="AC51" i="3"/>
  <c r="AC52" i="3"/>
  <c r="AC177" i="3"/>
  <c r="AD210" i="3" l="1"/>
  <c r="AD68" i="3"/>
  <c r="AD73" i="3"/>
  <c r="AD126" i="3"/>
  <c r="AD127" i="3"/>
  <c r="AD11" i="10" l="1"/>
  <c r="AD211" i="3"/>
  <c r="AD131" i="3"/>
  <c r="AD182" i="3"/>
  <c r="AD10" i="3"/>
  <c r="AD129" i="3"/>
  <c r="AD134" i="3" s="1"/>
  <c r="AD542" i="3" l="1"/>
  <c r="AD27" i="3"/>
  <c r="AO10" i="3"/>
  <c r="AD197" i="3"/>
  <c r="AD140" i="3"/>
  <c r="AD135" i="3"/>
  <c r="AD132" i="3"/>
  <c r="AD200" i="3"/>
  <c r="AD544" i="3"/>
  <c r="AD137" i="3"/>
  <c r="AD543" i="3" l="1"/>
  <c r="AD142" i="3"/>
  <c r="AD141" i="3"/>
  <c r="AD12" i="10"/>
  <c r="AD15" i="10" s="1"/>
  <c r="AD273" i="3"/>
  <c r="AD145" i="3"/>
  <c r="AD156" i="3"/>
  <c r="AD201" i="3"/>
  <c r="AD13" i="3" l="1"/>
  <c r="AD53" i="3"/>
  <c r="AD157" i="3"/>
  <c r="AD19" i="10"/>
  <c r="AD16" i="10"/>
  <c r="AD21" i="10"/>
  <c r="AD17" i="3" s="1"/>
  <c r="AD16" i="3"/>
  <c r="AD17" i="10"/>
  <c r="AD18" i="10"/>
  <c r="AD539" i="3"/>
  <c r="AD158" i="3"/>
  <c r="AD276" i="3"/>
  <c r="AD26" i="9"/>
  <c r="AE28" i="9" s="1"/>
  <c r="AE30" i="9" s="1"/>
  <c r="AE77" i="3" s="1"/>
  <c r="AD146" i="3"/>
  <c r="AD568" i="3"/>
  <c r="AD43" i="9"/>
  <c r="AD150" i="3"/>
  <c r="AD147" i="3"/>
  <c r="AO13" i="3" l="1"/>
  <c r="AD30" i="3"/>
  <c r="AO16" i="3"/>
  <c r="AD69" i="3"/>
  <c r="AD57" i="3"/>
  <c r="AD33" i="3"/>
  <c r="AD152" i="3"/>
  <c r="AD11" i="3"/>
  <c r="AD55" i="3"/>
  <c r="AD162" i="3"/>
  <c r="AD151" i="3"/>
  <c r="AO17" i="3"/>
  <c r="AD34" i="3"/>
  <c r="AD14" i="3"/>
  <c r="AD54" i="3"/>
  <c r="AD159" i="3"/>
  <c r="AO11" i="3" l="1"/>
  <c r="AD28" i="3"/>
  <c r="AD58" i="3"/>
  <c r="AO14" i="3"/>
  <c r="AD31" i="3"/>
  <c r="AD15" i="3"/>
  <c r="AD161" i="3"/>
  <c r="AD164" i="3"/>
  <c r="AD12" i="3"/>
  <c r="AD56" i="3"/>
  <c r="AD153" i="3"/>
  <c r="AO12" i="3" l="1"/>
  <c r="AD70" i="3"/>
  <c r="AD29" i="3"/>
  <c r="AD570" i="3"/>
  <c r="AD215" i="3"/>
  <c r="AD281" i="3"/>
  <c r="AO15" i="3"/>
  <c r="AD59" i="3"/>
  <c r="AD32" i="3"/>
  <c r="AD71" i="3"/>
  <c r="AD282" i="3" l="1"/>
  <c r="AD218" i="3"/>
  <c r="AD221" i="3" l="1"/>
  <c r="AD575" i="3"/>
  <c r="AD284" i="3"/>
  <c r="AD33" i="9"/>
  <c r="AD44" i="9"/>
  <c r="AD572" i="3"/>
  <c r="AD573" i="3" s="1"/>
  <c r="AD286" i="3" l="1"/>
  <c r="AD577" i="3"/>
  <c r="AE567" i="3"/>
  <c r="AD45" i="9"/>
  <c r="AD47" i="9" s="1"/>
  <c r="AD78" i="3" s="1"/>
  <c r="AD224" i="3"/>
  <c r="AD254" i="3"/>
  <c r="AD289" i="3" l="1"/>
  <c r="AD300" i="3"/>
  <c r="AD288" i="3"/>
  <c r="AD255" i="3"/>
  <c r="AD256" i="3" l="1"/>
  <c r="AE303" i="3"/>
  <c r="AD302" i="3"/>
  <c r="AD308" i="3" s="1"/>
  <c r="AD19" i="3"/>
  <c r="AD45" i="3"/>
  <c r="AD36" i="9"/>
  <c r="AD37" i="9" s="1"/>
  <c r="AE38" i="9" s="1"/>
  <c r="AE40" i="9" s="1"/>
  <c r="AE79" i="3" s="1"/>
  <c r="AD18" i="3"/>
  <c r="AD72" i="3"/>
  <c r="AO18" i="3" l="1"/>
  <c r="AD35" i="3"/>
  <c r="AD64" i="3"/>
  <c r="AO19" i="3"/>
  <c r="AD65" i="3"/>
  <c r="AD36" i="3"/>
  <c r="AD66" i="3"/>
  <c r="AD291" i="3"/>
  <c r="AE119" i="3"/>
  <c r="AE307" i="3"/>
  <c r="AD47" i="3"/>
  <c r="AD177" i="3" l="1"/>
  <c r="AE123" i="3"/>
  <c r="AE188" i="3"/>
  <c r="AD52" i="3"/>
  <c r="AD50" i="3"/>
  <c r="AD67" i="3"/>
  <c r="AD51" i="3"/>
  <c r="AE210" i="3" l="1"/>
  <c r="AE68" i="3"/>
  <c r="AE73" i="3"/>
  <c r="AE126" i="3"/>
  <c r="AE127" i="3"/>
  <c r="AE11" i="10" l="1"/>
  <c r="AE211" i="3"/>
  <c r="AE131" i="3"/>
  <c r="AE182" i="3"/>
  <c r="AE10" i="3"/>
  <c r="AE129" i="3"/>
  <c r="AE134" i="3" s="1"/>
  <c r="AE135" i="3" l="1"/>
  <c r="AE140" i="3"/>
  <c r="AE132" i="3"/>
  <c r="AE200" i="3"/>
  <c r="AE544" i="3"/>
  <c r="AE542" i="3"/>
  <c r="AP10" i="3"/>
  <c r="AE27" i="3"/>
  <c r="AE197" i="3"/>
  <c r="AE137" i="3"/>
  <c r="AE543" i="3" l="1"/>
  <c r="AE12" i="10"/>
  <c r="AE15" i="10" s="1"/>
  <c r="AE273" i="3"/>
  <c r="AE156" i="3"/>
  <c r="AE145" i="3"/>
  <c r="AE201" i="3"/>
  <c r="AE142" i="3"/>
  <c r="AE141" i="3"/>
  <c r="AE568" i="3" l="1"/>
  <c r="AE146" i="3"/>
  <c r="AE43" i="9"/>
  <c r="AE13" i="3"/>
  <c r="AE53" i="3"/>
  <c r="AE157" i="3"/>
  <c r="AE150" i="3"/>
  <c r="AE147" i="3"/>
  <c r="AE276" i="3"/>
  <c r="AE26" i="9"/>
  <c r="AF28" i="9" s="1"/>
  <c r="AF30" i="9" s="1"/>
  <c r="AF77" i="3" s="1"/>
  <c r="AE18" i="10"/>
  <c r="AE19" i="10"/>
  <c r="AE16" i="10"/>
  <c r="AE21" i="10"/>
  <c r="AE17" i="3" s="1"/>
  <c r="AE16" i="3"/>
  <c r="AE17" i="10"/>
  <c r="AE539" i="3"/>
  <c r="AE158" i="3"/>
  <c r="AP16" i="3" l="1"/>
  <c r="AE69" i="3"/>
  <c r="AE57" i="3"/>
  <c r="AE33" i="3"/>
  <c r="AP17" i="3"/>
  <c r="AE34" i="3"/>
  <c r="AE152" i="3"/>
  <c r="AE14" i="3"/>
  <c r="AE54" i="3"/>
  <c r="AE159" i="3"/>
  <c r="AE11" i="3"/>
  <c r="AE55" i="3"/>
  <c r="AE151" i="3"/>
  <c r="AE162" i="3"/>
  <c r="AP13" i="3"/>
  <c r="AE30" i="3"/>
  <c r="AE28" i="3" l="1"/>
  <c r="AP11" i="3"/>
  <c r="AE58" i="3"/>
  <c r="AE15" i="3"/>
  <c r="AE164" i="3"/>
  <c r="AE161" i="3"/>
  <c r="AP14" i="3"/>
  <c r="AE31" i="3"/>
  <c r="AE12" i="3"/>
  <c r="AE56" i="3"/>
  <c r="AE153" i="3"/>
  <c r="AE215" i="3" l="1"/>
  <c r="AE570" i="3"/>
  <c r="AE281" i="3"/>
  <c r="AP12" i="3"/>
  <c r="AE29" i="3"/>
  <c r="AE70" i="3"/>
  <c r="AP15" i="3"/>
  <c r="AE32" i="3"/>
  <c r="AE59" i="3"/>
  <c r="AE71" i="3"/>
  <c r="AE218" i="3" l="1"/>
  <c r="AE282" i="3"/>
  <c r="AE221" i="3" l="1"/>
  <c r="AE575" i="3"/>
  <c r="AE572" i="3"/>
  <c r="AE573" i="3" s="1"/>
  <c r="AE33" i="9"/>
  <c r="AE44" i="9"/>
  <c r="AE284" i="3"/>
  <c r="AE286" i="3" l="1"/>
  <c r="AF567" i="3"/>
  <c r="AE577" i="3"/>
  <c r="AE45" i="9"/>
  <c r="AE47" i="9" s="1"/>
  <c r="AE78" i="3" s="1"/>
  <c r="AE224" i="3"/>
  <c r="AE254" i="3"/>
  <c r="AE300" i="3" l="1"/>
  <c r="AE288" i="3"/>
  <c r="AE289" i="3"/>
  <c r="AE255" i="3"/>
  <c r="AE18" i="3" l="1"/>
  <c r="AE72" i="3"/>
  <c r="AE19" i="3"/>
  <c r="AE45" i="3"/>
  <c r="AE36" i="9"/>
  <c r="AE37" i="9" s="1"/>
  <c r="AF38" i="9" s="1"/>
  <c r="AF40" i="9" s="1"/>
  <c r="AF79" i="3" s="1"/>
  <c r="AE256" i="3"/>
  <c r="AE302" i="3"/>
  <c r="AE308" i="3" s="1"/>
  <c r="AF303" i="3"/>
  <c r="AE47" i="3" l="1"/>
  <c r="AP18" i="3"/>
  <c r="AE35" i="3"/>
  <c r="AE64" i="3"/>
  <c r="AE291" i="3"/>
  <c r="AP19" i="3"/>
  <c r="AE36" i="3"/>
  <c r="AE66" i="3"/>
  <c r="AE65" i="3"/>
  <c r="AF119" i="3"/>
  <c r="AF307" i="3"/>
  <c r="AF123" i="3" l="1"/>
  <c r="AF188" i="3"/>
  <c r="AE177" i="3"/>
  <c r="AE51" i="3"/>
  <c r="AE52" i="3"/>
  <c r="AE50" i="3"/>
  <c r="AE67" i="3"/>
  <c r="AF210" i="3" l="1"/>
  <c r="AF68" i="3"/>
  <c r="AF73" i="3"/>
  <c r="AF126" i="3"/>
  <c r="AF127" i="3"/>
  <c r="AF11" i="10" l="1"/>
  <c r="AF211" i="3"/>
  <c r="AF131" i="3"/>
  <c r="AF137" i="3" s="1"/>
  <c r="AF182" i="3"/>
  <c r="AF10" i="3"/>
  <c r="AF27" i="3" s="1"/>
  <c r="AF129" i="3"/>
  <c r="AF134" i="3" s="1"/>
  <c r="AF141" i="3" l="1"/>
  <c r="AF142" i="3"/>
  <c r="AF135" i="3"/>
  <c r="AF140" i="3"/>
  <c r="AF542" i="3"/>
  <c r="AF197" i="3"/>
  <c r="AF132" i="3"/>
  <c r="AF544" i="3"/>
  <c r="AF200" i="3"/>
  <c r="AF543" i="3" l="1"/>
  <c r="AF201" i="3"/>
  <c r="AF147" i="3"/>
  <c r="AF150" i="3"/>
  <c r="AF568" i="3"/>
  <c r="AF146" i="3"/>
  <c r="AF43" i="9"/>
  <c r="AF12" i="10"/>
  <c r="AF15" i="10" s="1"/>
  <c r="AF273" i="3"/>
  <c r="AF156" i="3"/>
  <c r="AF145" i="3"/>
  <c r="AF276" i="3" l="1"/>
  <c r="AF26" i="9"/>
  <c r="AG28" i="9" s="1"/>
  <c r="AG30" i="9" s="1"/>
  <c r="AG77" i="3" s="1"/>
  <c r="AF13" i="3"/>
  <c r="AF30" i="3" s="1"/>
  <c r="AF53" i="3"/>
  <c r="AF157" i="3"/>
  <c r="AF158" i="3"/>
  <c r="AF17" i="10"/>
  <c r="AF18" i="10"/>
  <c r="AF19" i="10"/>
  <c r="AF16" i="10"/>
  <c r="AF21" i="10"/>
  <c r="AF17" i="3" s="1"/>
  <c r="AF16" i="3"/>
  <c r="AF539" i="3"/>
  <c r="AF11" i="3"/>
  <c r="AF28" i="3" s="1"/>
  <c r="AF55" i="3"/>
  <c r="AF151" i="3"/>
  <c r="AF162" i="3"/>
  <c r="AF152" i="3"/>
  <c r="AF15" i="3" l="1"/>
  <c r="AF71" i="3" s="1"/>
  <c r="AF164" i="3"/>
  <c r="AF161" i="3"/>
  <c r="AF34" i="3"/>
  <c r="AF14" i="3"/>
  <c r="AF31" i="3" s="1"/>
  <c r="AF54" i="3"/>
  <c r="AF159" i="3"/>
  <c r="AF12" i="3"/>
  <c r="AF56" i="3"/>
  <c r="AF153" i="3"/>
  <c r="AF33" i="3"/>
  <c r="AF69" i="3"/>
  <c r="AF57" i="3"/>
  <c r="AF58" i="3" l="1"/>
  <c r="AF29" i="3"/>
  <c r="AF70" i="3"/>
  <c r="AF215" i="3"/>
  <c r="AF570" i="3"/>
  <c r="AF281" i="3"/>
  <c r="AF32" i="3"/>
  <c r="AF59" i="3"/>
  <c r="AF282" i="3" l="1"/>
  <c r="AF218" i="3"/>
  <c r="AF221" i="3" l="1"/>
  <c r="AF572" i="3"/>
  <c r="AF573" i="3" s="1"/>
  <c r="AF284" i="3"/>
  <c r="AF575" i="3"/>
  <c r="AF33" i="9"/>
  <c r="AF44" i="9"/>
  <c r="AG567" i="3" l="1"/>
  <c r="AF577" i="3"/>
  <c r="AF286" i="3"/>
  <c r="AF45" i="9"/>
  <c r="AF47" i="9" s="1"/>
  <c r="AF78" i="3" s="1"/>
  <c r="AF224" i="3"/>
  <c r="AF254" i="3"/>
  <c r="AF288" i="3" l="1"/>
  <c r="AF300" i="3"/>
  <c r="AF289" i="3"/>
  <c r="AF255" i="3"/>
  <c r="AF19" i="3" l="1"/>
  <c r="AF45" i="3"/>
  <c r="AF36" i="9"/>
  <c r="AF37" i="9" s="1"/>
  <c r="AG38" i="9" s="1"/>
  <c r="AG40" i="9" s="1"/>
  <c r="AG79" i="3" s="1"/>
  <c r="AF302" i="3"/>
  <c r="AF308" i="3" s="1"/>
  <c r="AG303" i="3"/>
  <c r="AF256" i="3"/>
  <c r="AF18" i="3"/>
  <c r="AF72" i="3"/>
  <c r="AF291" i="3" l="1"/>
  <c r="AG119" i="3"/>
  <c r="AG307" i="3"/>
  <c r="AF47" i="3"/>
  <c r="AF35" i="3"/>
  <c r="AF64" i="3"/>
  <c r="AF177" i="3" s="1"/>
  <c r="AF65" i="3"/>
  <c r="AF36" i="3"/>
  <c r="AF66" i="3"/>
  <c r="AF50" i="3" l="1"/>
  <c r="AF67" i="3"/>
  <c r="AF51" i="3"/>
  <c r="AF52" i="3"/>
  <c r="AG123" i="3"/>
  <c r="AG188" i="3"/>
  <c r="AG210" i="3" l="1"/>
  <c r="AG73" i="3"/>
  <c r="AG68" i="3"/>
  <c r="AG126" i="3"/>
  <c r="AG127" i="3"/>
  <c r="AG10" i="3" l="1"/>
  <c r="AG27" i="3" s="1"/>
  <c r="AG129" i="3"/>
  <c r="AG134" i="3" s="1"/>
  <c r="AG11" i="10"/>
  <c r="AG211" i="3"/>
  <c r="AG131" i="3"/>
  <c r="AG182" i="3"/>
  <c r="AG132" i="3" l="1"/>
  <c r="AG200" i="3"/>
  <c r="AG544" i="3"/>
  <c r="AG137" i="3"/>
  <c r="AG140" i="3"/>
  <c r="AG135" i="3"/>
  <c r="AG197" i="3"/>
  <c r="AG542" i="3"/>
  <c r="AG543" i="3" l="1"/>
  <c r="AG201" i="3"/>
  <c r="AG12" i="10"/>
  <c r="AG15" i="10" s="1"/>
  <c r="AG273" i="3"/>
  <c r="AG145" i="3"/>
  <c r="AG156" i="3"/>
  <c r="AG141" i="3"/>
  <c r="AG142" i="3"/>
  <c r="AG16" i="10" l="1"/>
  <c r="AG21" i="10"/>
  <c r="AG17" i="3" s="1"/>
  <c r="AG16" i="3"/>
  <c r="AG17" i="10"/>
  <c r="AG18" i="10"/>
  <c r="AG19" i="10"/>
  <c r="AG539" i="3"/>
  <c r="AG147" i="3"/>
  <c r="AG150" i="3"/>
  <c r="AG146" i="3"/>
  <c r="AG43" i="9"/>
  <c r="AG568" i="3"/>
  <c r="AG13" i="3"/>
  <c r="AG30" i="3" s="1"/>
  <c r="AG53" i="3"/>
  <c r="AG157" i="3"/>
  <c r="AG158" i="3"/>
  <c r="AG276" i="3"/>
  <c r="AG26" i="9"/>
  <c r="AH28" i="9" s="1"/>
  <c r="AH30" i="9" s="1"/>
  <c r="AH77" i="3" s="1"/>
  <c r="AG11" i="3" l="1"/>
  <c r="AG28" i="3" s="1"/>
  <c r="AG55" i="3"/>
  <c r="AG151" i="3"/>
  <c r="AG162" i="3"/>
  <c r="AG34" i="3"/>
  <c r="AG14" i="3"/>
  <c r="AG31" i="3" s="1"/>
  <c r="AG54" i="3"/>
  <c r="AG159" i="3"/>
  <c r="AG152" i="3"/>
  <c r="AG57" i="3"/>
  <c r="AG33" i="3"/>
  <c r="AG69" i="3"/>
  <c r="AG12" i="3" l="1"/>
  <c r="AG56" i="3"/>
  <c r="AG153" i="3"/>
  <c r="AG58" i="3"/>
  <c r="AG15" i="3"/>
  <c r="AG161" i="3"/>
  <c r="AG164" i="3"/>
  <c r="AG32" i="3" l="1"/>
  <c r="AG59" i="3"/>
  <c r="AG71" i="3"/>
  <c r="AG570" i="3"/>
  <c r="AG215" i="3"/>
  <c r="AG281" i="3"/>
  <c r="AG70" i="3"/>
  <c r="AG29" i="3"/>
  <c r="AG282" i="3" l="1"/>
  <c r="AG218" i="3"/>
  <c r="AG221" i="3" l="1"/>
  <c r="AG284" i="3"/>
  <c r="AG572" i="3"/>
  <c r="AG573" i="3" s="1"/>
  <c r="AG575" i="3"/>
  <c r="AG33" i="9"/>
  <c r="AG44" i="9"/>
  <c r="AG45" i="9" l="1"/>
  <c r="AG47" i="9" s="1"/>
  <c r="AG78" i="3" s="1"/>
  <c r="AG286" i="3"/>
  <c r="AG224" i="3"/>
  <c r="AG254" i="3"/>
  <c r="AG577" i="3"/>
  <c r="AH567" i="3"/>
  <c r="AG289" i="3" l="1"/>
  <c r="AG288" i="3"/>
  <c r="AG300" i="3"/>
  <c r="AG255" i="3"/>
  <c r="AG19" i="3" l="1"/>
  <c r="AG45" i="3"/>
  <c r="AG36" i="9"/>
  <c r="AG37" i="9" s="1"/>
  <c r="AH38" i="9" s="1"/>
  <c r="AH40" i="9" s="1"/>
  <c r="AH79" i="3" s="1"/>
  <c r="AG18" i="3"/>
  <c r="AG72" i="3"/>
  <c r="AG302" i="3"/>
  <c r="AG308" i="3" s="1"/>
  <c r="AH303" i="3"/>
  <c r="AG256" i="3"/>
  <c r="AH119" i="3" l="1"/>
  <c r="AH307" i="3"/>
  <c r="AG64" i="3"/>
  <c r="AG177" i="3" s="1"/>
  <c r="AG35" i="3"/>
  <c r="AG65" i="3"/>
  <c r="AG36" i="3"/>
  <c r="AG66" i="3"/>
  <c r="AG291" i="3"/>
  <c r="AG47" i="3"/>
  <c r="AH123" i="3" l="1"/>
  <c r="AH188" i="3"/>
  <c r="AG50" i="3"/>
  <c r="AG67" i="3"/>
  <c r="AG51" i="3"/>
  <c r="AG52" i="3"/>
  <c r="AH68" i="3" l="1"/>
  <c r="AH73" i="3"/>
  <c r="AH126" i="3"/>
  <c r="AH127" i="3"/>
  <c r="AH210" i="3"/>
  <c r="AH11" i="10" l="1"/>
  <c r="AH211" i="3"/>
  <c r="AH10" i="3"/>
  <c r="AH27" i="3" s="1"/>
  <c r="AH129" i="3"/>
  <c r="AH131" i="3"/>
  <c r="AH182" i="3"/>
  <c r="AH132" i="3" l="1"/>
  <c r="AH200" i="3"/>
  <c r="AH544" i="3"/>
  <c r="AH542" i="3"/>
  <c r="AH197" i="3"/>
  <c r="AH137" i="3"/>
  <c r="AH134" i="3"/>
  <c r="AH201" i="3" l="1"/>
  <c r="AH12" i="10"/>
  <c r="AH15" i="10" s="1"/>
  <c r="AH273" i="3"/>
  <c r="AH140" i="3"/>
  <c r="AH135" i="3"/>
  <c r="AH142" i="3"/>
  <c r="AH141" i="3"/>
  <c r="AH543" i="3"/>
  <c r="AH150" i="3" l="1"/>
  <c r="AH147" i="3"/>
  <c r="AH276" i="3"/>
  <c r="AH26" i="9"/>
  <c r="AI28" i="9" s="1"/>
  <c r="AI30" i="9" s="1"/>
  <c r="AI77" i="3" s="1"/>
  <c r="AH19" i="10"/>
  <c r="AH16" i="10"/>
  <c r="AH21" i="10"/>
  <c r="AH17" i="3" s="1"/>
  <c r="AH16" i="3"/>
  <c r="AH17" i="10"/>
  <c r="AH18" i="10"/>
  <c r="AH539" i="3"/>
  <c r="AH146" i="3"/>
  <c r="AH568" i="3"/>
  <c r="AH43" i="9"/>
  <c r="AH145" i="3"/>
  <c r="AH156" i="3"/>
  <c r="AH158" i="3" l="1"/>
  <c r="AH69" i="3"/>
  <c r="AH57" i="3"/>
  <c r="AH33" i="3"/>
  <c r="AH34" i="3"/>
  <c r="AH152" i="3"/>
  <c r="AH13" i="3"/>
  <c r="AH30" i="3" s="1"/>
  <c r="AH53" i="3"/>
  <c r="AH157" i="3"/>
  <c r="AH11" i="3"/>
  <c r="AH28" i="3" s="1"/>
  <c r="AH55" i="3"/>
  <c r="AH151" i="3"/>
  <c r="AH162" i="3"/>
  <c r="AH15" i="3" l="1"/>
  <c r="AH161" i="3"/>
  <c r="AH164" i="3"/>
  <c r="AH12" i="3"/>
  <c r="AH56" i="3"/>
  <c r="AH153" i="3"/>
  <c r="AH58" i="3"/>
  <c r="AH14" i="3"/>
  <c r="AH31" i="3" s="1"/>
  <c r="AH54" i="3"/>
  <c r="AH159" i="3"/>
  <c r="AH70" i="3" l="1"/>
  <c r="AH29" i="3"/>
  <c r="AH570" i="3"/>
  <c r="AH215" i="3"/>
  <c r="AH281" i="3"/>
  <c r="AH59" i="3"/>
  <c r="AH32" i="3"/>
  <c r="AH71" i="3"/>
  <c r="AH218" i="3" l="1"/>
  <c r="AH282" i="3"/>
  <c r="AH221" i="3" l="1"/>
  <c r="AH575" i="3"/>
  <c r="AH284" i="3"/>
  <c r="AH572" i="3"/>
  <c r="AH573" i="3" s="1"/>
  <c r="AH33" i="9"/>
  <c r="AH44" i="9"/>
  <c r="AH286" i="3" l="1"/>
  <c r="AH577" i="3"/>
  <c r="AI567" i="3"/>
  <c r="AH45" i="9"/>
  <c r="AH47" i="9" s="1"/>
  <c r="AH78" i="3" s="1"/>
  <c r="AH224" i="3"/>
  <c r="AH254" i="3"/>
  <c r="AH289" i="3" l="1"/>
  <c r="AH300" i="3"/>
  <c r="AH288" i="3"/>
  <c r="AH255" i="3"/>
  <c r="AH18" i="3" l="1"/>
  <c r="AH72" i="3"/>
  <c r="AH256" i="3"/>
  <c r="AH302" i="3"/>
  <c r="AH308" i="3" s="1"/>
  <c r="AI303" i="3"/>
  <c r="AH19" i="3"/>
  <c r="AH45" i="3"/>
  <c r="AH36" i="9"/>
  <c r="AH37" i="9" s="1"/>
  <c r="AI38" i="9" s="1"/>
  <c r="AI40" i="9" s="1"/>
  <c r="AI79" i="3" s="1"/>
  <c r="AH65" i="3" l="1"/>
  <c r="AH36" i="3"/>
  <c r="AH66" i="3"/>
  <c r="AH291" i="3"/>
  <c r="AI119" i="3"/>
  <c r="AI307" i="3"/>
  <c r="AH47" i="3"/>
  <c r="AH35" i="3"/>
  <c r="AH64" i="3"/>
  <c r="AH177" i="3" s="1"/>
  <c r="AI123" i="3" l="1"/>
  <c r="AI188" i="3"/>
  <c r="AI210" i="3" s="1"/>
  <c r="AH52" i="3"/>
  <c r="AH50" i="3"/>
  <c r="AH67" i="3"/>
  <c r="AH51" i="3"/>
  <c r="AI68" i="3" l="1"/>
  <c r="AI73" i="3"/>
  <c r="AI126" i="3"/>
  <c r="AI127" i="3"/>
  <c r="AI11" i="10"/>
  <c r="AI211" i="3"/>
  <c r="AI10" i="3" l="1"/>
  <c r="AI27" i="3" s="1"/>
  <c r="AI129" i="3"/>
  <c r="AI542" i="3" s="1"/>
  <c r="AI131" i="3"/>
  <c r="AI137" i="3" s="1"/>
  <c r="AI182" i="3"/>
  <c r="AI197" i="3" s="1"/>
  <c r="AI134" i="3" l="1"/>
  <c r="AI142" i="3"/>
  <c r="AI141" i="3"/>
  <c r="AI132" i="3"/>
  <c r="AI200" i="3"/>
  <c r="AI544" i="3"/>
  <c r="AI543" i="3" s="1"/>
  <c r="AI140" i="3" l="1"/>
  <c r="AI156" i="3" s="1"/>
  <c r="AI135" i="3"/>
  <c r="AI12" i="10"/>
  <c r="AI15" i="10" s="1"/>
  <c r="AI273" i="3"/>
  <c r="AI201" i="3"/>
  <c r="AI568" i="3"/>
  <c r="AI146" i="3"/>
  <c r="AI43" i="9"/>
  <c r="AI150" i="3"/>
  <c r="AI147" i="3"/>
  <c r="AI152" i="3" s="1"/>
  <c r="AI145" i="3" l="1"/>
  <c r="AI158" i="3" s="1"/>
  <c r="AI18" i="10"/>
  <c r="AI19" i="10"/>
  <c r="AI16" i="10"/>
  <c r="AI21" i="10"/>
  <c r="AI17" i="3" s="1"/>
  <c r="AI16" i="3"/>
  <c r="AI17" i="10"/>
  <c r="AI539" i="3"/>
  <c r="AI11" i="3"/>
  <c r="AI28" i="3" s="1"/>
  <c r="AI55" i="3"/>
  <c r="AI151" i="3"/>
  <c r="AI162" i="3"/>
  <c r="AI12" i="3"/>
  <c r="AI56" i="3"/>
  <c r="AI153" i="3"/>
  <c r="AI13" i="3"/>
  <c r="AI30" i="3" s="1"/>
  <c r="AI53" i="3"/>
  <c r="AI157" i="3"/>
  <c r="AI276" i="3"/>
  <c r="AI26" i="9"/>
  <c r="AJ28" i="9" s="1"/>
  <c r="AJ30" i="9" s="1"/>
  <c r="AJ77" i="3" s="1"/>
  <c r="AI159" i="3" l="1"/>
  <c r="AI54" i="3"/>
  <c r="AI14" i="3"/>
  <c r="AI31" i="3" s="1"/>
  <c r="AI69" i="3"/>
  <c r="AI57" i="3"/>
  <c r="AI33" i="3"/>
  <c r="AI34" i="3"/>
  <c r="AI29" i="3"/>
  <c r="AI15" i="3"/>
  <c r="AI164" i="3"/>
  <c r="AI161" i="3"/>
  <c r="AI32" i="3" l="1"/>
  <c r="AI59" i="3"/>
  <c r="AI58" i="3"/>
  <c r="AI71" i="3"/>
  <c r="AI215" i="3"/>
  <c r="AI218" i="3" s="1"/>
  <c r="AI221" i="3" s="1"/>
  <c r="AI570" i="3"/>
  <c r="AI281" i="3"/>
  <c r="AI70" i="3"/>
  <c r="AI224" i="3" l="1"/>
  <c r="AI254" i="3"/>
  <c r="AI282" i="3"/>
  <c r="AI575" i="3" l="1"/>
  <c r="AI572" i="3"/>
  <c r="AI573" i="3" s="1"/>
  <c r="AI284" i="3"/>
  <c r="AI286" i="3" s="1"/>
  <c r="AI33" i="9"/>
  <c r="AI44" i="9"/>
  <c r="AI300" i="3"/>
  <c r="AI288" i="3"/>
  <c r="AI289" i="3"/>
  <c r="AI255" i="3"/>
  <c r="AI256" i="3" s="1"/>
  <c r="AI18" i="3" l="1"/>
  <c r="AI72" i="3"/>
  <c r="AI291" i="3"/>
  <c r="AI302" i="3"/>
  <c r="AI308" i="3" s="1"/>
  <c r="AJ303" i="3"/>
  <c r="AI19" i="3"/>
  <c r="AI45" i="3"/>
  <c r="AI36" i="9"/>
  <c r="AI37" i="9" s="1"/>
  <c r="AJ38" i="9" s="1"/>
  <c r="AJ40" i="9" s="1"/>
  <c r="AJ79" i="3" s="1"/>
  <c r="AI45" i="9"/>
  <c r="AI47" i="9" s="1"/>
  <c r="AI78" i="3" s="1"/>
  <c r="AJ567" i="3"/>
  <c r="AI577" i="3"/>
  <c r="AI47" i="3" l="1"/>
  <c r="AI36" i="3"/>
  <c r="AI66" i="3"/>
  <c r="AI65" i="3"/>
  <c r="AJ119" i="3"/>
  <c r="AJ307" i="3"/>
  <c r="AI35" i="3"/>
  <c r="AI64" i="3"/>
  <c r="AI177" i="3" s="1"/>
  <c r="AJ123" i="3" l="1"/>
  <c r="AJ188" i="3"/>
  <c r="AJ210" i="3" s="1"/>
  <c r="AI51" i="3"/>
  <c r="AI52" i="3"/>
  <c r="AI50" i="3"/>
  <c r="AI67" i="3"/>
  <c r="AJ11" i="10" l="1"/>
  <c r="AJ211" i="3"/>
  <c r="AJ73" i="3"/>
  <c r="AJ68" i="3"/>
  <c r="AJ126" i="3"/>
  <c r="AJ127" i="3"/>
  <c r="AJ131" i="3" l="1"/>
  <c r="AJ182" i="3"/>
  <c r="AJ197" i="3" s="1"/>
  <c r="AJ10" i="3"/>
  <c r="AJ27" i="3" s="1"/>
  <c r="AJ129" i="3"/>
  <c r="AJ542" i="3" s="1"/>
  <c r="AJ134" i="3" l="1"/>
  <c r="AJ135" i="3" s="1"/>
  <c r="AJ132" i="3"/>
  <c r="AJ200" i="3"/>
  <c r="AJ201" i="3" s="1"/>
  <c r="AJ544" i="3"/>
  <c r="AJ543" i="3" s="1"/>
  <c r="AJ137" i="3"/>
  <c r="AJ140" i="3" l="1"/>
  <c r="AJ145" i="3" s="1"/>
  <c r="AJ158" i="3" s="1"/>
  <c r="AJ141" i="3"/>
  <c r="AJ142" i="3"/>
  <c r="AJ12" i="10"/>
  <c r="AJ15" i="10" s="1"/>
  <c r="AJ273" i="3"/>
  <c r="AJ156" i="3" l="1"/>
  <c r="AJ13" i="3" s="1"/>
  <c r="AJ30" i="3" s="1"/>
  <c r="AJ276" i="3"/>
  <c r="AJ26" i="9"/>
  <c r="AK28" i="9" s="1"/>
  <c r="AK30" i="9" s="1"/>
  <c r="AK77" i="3" s="1"/>
  <c r="AJ17" i="10"/>
  <c r="AJ18" i="10"/>
  <c r="AJ19" i="10"/>
  <c r="AJ16" i="10"/>
  <c r="AJ21" i="10"/>
  <c r="AJ17" i="3" s="1"/>
  <c r="AJ16" i="3"/>
  <c r="AJ539" i="3"/>
  <c r="AJ147" i="3"/>
  <c r="AJ152" i="3" s="1"/>
  <c r="AJ150" i="3"/>
  <c r="AJ14" i="3"/>
  <c r="AJ31" i="3" s="1"/>
  <c r="AJ54" i="3"/>
  <c r="AJ159" i="3"/>
  <c r="AJ568" i="3"/>
  <c r="AJ146" i="3"/>
  <c r="AJ43" i="9"/>
  <c r="AJ157" i="3" l="1"/>
  <c r="AJ53" i="3"/>
  <c r="AJ12" i="3"/>
  <c r="AJ56" i="3"/>
  <c r="AJ153" i="3"/>
  <c r="AJ33" i="3"/>
  <c r="AJ69" i="3"/>
  <c r="AJ57" i="3"/>
  <c r="AJ11" i="3"/>
  <c r="AJ28" i="3" s="1"/>
  <c r="AJ55" i="3"/>
  <c r="AJ151" i="3"/>
  <c r="AJ162" i="3"/>
  <c r="AJ34" i="3"/>
  <c r="AJ58" i="3" l="1"/>
  <c r="AJ15" i="3"/>
  <c r="AJ70" i="3" s="1"/>
  <c r="AJ164" i="3"/>
  <c r="AJ161" i="3"/>
  <c r="AJ29" i="3"/>
  <c r="AJ32" i="3" l="1"/>
  <c r="AJ59" i="3"/>
  <c r="AJ71" i="3"/>
  <c r="AJ215" i="3"/>
  <c r="AJ218" i="3" s="1"/>
  <c r="AJ221" i="3" s="1"/>
  <c r="AJ570" i="3"/>
  <c r="AJ281" i="3"/>
  <c r="AJ282" i="3" l="1"/>
  <c r="AJ224" i="3"/>
  <c r="AJ254" i="3"/>
  <c r="AJ572" i="3" l="1"/>
  <c r="AJ573" i="3" s="1"/>
  <c r="AJ284" i="3"/>
  <c r="AJ286" i="3" s="1"/>
  <c r="AJ575" i="3"/>
  <c r="AJ33" i="9"/>
  <c r="AJ44" i="9"/>
  <c r="AJ288" i="3"/>
  <c r="AJ300" i="3"/>
  <c r="AJ289" i="3"/>
  <c r="AJ255" i="3"/>
  <c r="AJ256" i="3" s="1"/>
  <c r="AJ291" i="3" l="1"/>
  <c r="AJ19" i="3"/>
  <c r="AJ45" i="3"/>
  <c r="AJ36" i="9"/>
  <c r="AJ37" i="9" s="1"/>
  <c r="AK38" i="9" s="1"/>
  <c r="AK40" i="9" s="1"/>
  <c r="AK79" i="3" s="1"/>
  <c r="AJ45" i="9"/>
  <c r="AJ47" i="9" s="1"/>
  <c r="AJ78" i="3" s="1"/>
  <c r="AJ302" i="3"/>
  <c r="AJ308" i="3" s="1"/>
  <c r="AK303" i="3"/>
  <c r="AJ18" i="3"/>
  <c r="AJ72" i="3"/>
  <c r="AK567" i="3"/>
  <c r="AJ577" i="3"/>
  <c r="AK119" i="3" l="1"/>
  <c r="AK307" i="3"/>
  <c r="AJ47" i="3"/>
  <c r="AJ35" i="3"/>
  <c r="AJ64" i="3"/>
  <c r="AJ177" i="3" s="1"/>
  <c r="AJ65" i="3"/>
  <c r="AJ36" i="3"/>
  <c r="AJ66" i="3"/>
  <c r="AK123" i="3" l="1"/>
  <c r="AK188" i="3"/>
  <c r="AK210" i="3" s="1"/>
  <c r="AJ50" i="3"/>
  <c r="AJ67" i="3"/>
  <c r="AJ51" i="3"/>
  <c r="AJ52" i="3"/>
  <c r="AK11" i="10" l="1"/>
  <c r="AK211" i="3"/>
  <c r="AK68" i="3"/>
  <c r="AK73" i="3"/>
  <c r="AK126" i="3"/>
  <c r="AK127" i="3"/>
  <c r="AK131" i="3" l="1"/>
  <c r="AK182" i="3"/>
  <c r="AK197" i="3" s="1"/>
  <c r="AK10" i="3"/>
  <c r="AK27" i="3" s="1"/>
  <c r="AK129" i="3"/>
  <c r="AK542" i="3" s="1"/>
  <c r="AK200" i="3" l="1"/>
  <c r="AK201" i="3" s="1"/>
  <c r="AK544" i="3"/>
  <c r="AK543" i="3" s="1"/>
  <c r="AK132" i="3"/>
  <c r="AK134" i="3"/>
  <c r="AK137" i="3"/>
  <c r="AK141" i="3" l="1"/>
  <c r="AK142" i="3"/>
  <c r="AK12" i="10"/>
  <c r="AK15" i="10" s="1"/>
  <c r="AK273" i="3"/>
  <c r="AK140" i="3"/>
  <c r="AK135" i="3"/>
  <c r="AK16" i="10" l="1"/>
  <c r="AK21" i="10"/>
  <c r="AK17" i="3" s="1"/>
  <c r="AK16" i="3"/>
  <c r="AK17" i="10"/>
  <c r="AK18" i="10"/>
  <c r="AK19" i="10"/>
  <c r="AK539" i="3"/>
  <c r="AK147" i="3"/>
  <c r="AK152" i="3" s="1"/>
  <c r="AK150" i="3"/>
  <c r="AK145" i="3"/>
  <c r="AK158" i="3" s="1"/>
  <c r="AK156" i="3"/>
  <c r="AK146" i="3"/>
  <c r="AK43" i="9"/>
  <c r="AK568" i="3"/>
  <c r="AK276" i="3"/>
  <c r="AK26" i="9"/>
  <c r="AL28" i="9" s="1"/>
  <c r="AL30" i="9" s="1"/>
  <c r="AL77" i="3" s="1"/>
  <c r="AK11" i="3" l="1"/>
  <c r="AK28" i="3" s="1"/>
  <c r="AK55" i="3"/>
  <c r="AK151" i="3"/>
  <c r="AK162" i="3"/>
  <c r="AK14" i="3"/>
  <c r="AK31" i="3" s="1"/>
  <c r="AK54" i="3"/>
  <c r="AK159" i="3"/>
  <c r="AK34" i="3"/>
  <c r="AK12" i="3"/>
  <c r="AK56" i="3"/>
  <c r="AK153" i="3"/>
  <c r="AK13" i="3"/>
  <c r="AK30" i="3" s="1"/>
  <c r="AK53" i="3"/>
  <c r="AK157" i="3"/>
  <c r="AK57" i="3"/>
  <c r="AK33" i="3"/>
  <c r="AK69" i="3"/>
  <c r="AK29" i="3" l="1"/>
  <c r="AK58" i="3"/>
  <c r="AK15" i="3"/>
  <c r="AK70" i="3" s="1"/>
  <c r="AK161" i="3"/>
  <c r="AK164" i="3"/>
  <c r="AK570" i="3" l="1"/>
  <c r="AK215" i="3"/>
  <c r="AK218" i="3" s="1"/>
  <c r="AK221" i="3" s="1"/>
  <c r="AK281" i="3"/>
  <c r="AK32" i="3"/>
  <c r="AK59" i="3"/>
  <c r="AK71" i="3"/>
  <c r="AK224" i="3" l="1"/>
  <c r="AK254" i="3"/>
  <c r="AK282" i="3"/>
  <c r="AK289" i="3" l="1"/>
  <c r="AK288" i="3"/>
  <c r="AK300" i="3"/>
  <c r="AK255" i="3"/>
  <c r="AK256" i="3" s="1"/>
  <c r="AK284" i="3"/>
  <c r="AK286" i="3" s="1"/>
  <c r="AK572" i="3"/>
  <c r="AK573" i="3" s="1"/>
  <c r="AK575" i="3"/>
  <c r="AK33" i="9"/>
  <c r="AK44" i="9"/>
  <c r="AK291" i="3" l="1"/>
  <c r="AK577" i="3"/>
  <c r="AL567" i="3"/>
  <c r="AK302" i="3"/>
  <c r="AK308" i="3" s="1"/>
  <c r="AL303" i="3"/>
  <c r="AK18" i="3"/>
  <c r="AK72" i="3"/>
  <c r="AK45" i="9"/>
  <c r="AK47" i="9" s="1"/>
  <c r="AK78" i="3" s="1"/>
  <c r="AK19" i="3"/>
  <c r="AK45" i="3"/>
  <c r="AK36" i="9"/>
  <c r="AK37" i="9" s="1"/>
  <c r="AL38" i="9" s="1"/>
  <c r="AL40" i="9" s="1"/>
  <c r="AL79" i="3" s="1"/>
  <c r="AK47" i="3" l="1"/>
  <c r="AK65" i="3"/>
  <c r="AK36" i="3"/>
  <c r="AK66" i="3"/>
  <c r="AK64" i="3"/>
  <c r="AK177" i="3" s="1"/>
  <c r="AK35" i="3"/>
  <c r="AL119" i="3"/>
  <c r="AL307" i="3"/>
  <c r="AK50" i="3" l="1"/>
  <c r="AK67" i="3"/>
  <c r="AK51" i="3"/>
  <c r="AK52" i="3"/>
  <c r="AL123" i="3"/>
  <c r="AL188" i="3"/>
  <c r="AL210" i="3" s="1"/>
  <c r="AL11" i="10" l="1"/>
  <c r="AL211" i="3"/>
  <c r="AL73" i="3"/>
  <c r="AL68" i="3"/>
  <c r="AL126" i="3"/>
  <c r="AL127" i="3"/>
  <c r="AL131" i="3" l="1"/>
  <c r="AL137" i="3" s="1"/>
  <c r="AL182" i="3"/>
  <c r="AL197" i="3" s="1"/>
  <c r="AL10" i="3"/>
  <c r="AL27" i="3" s="1"/>
  <c r="AL129" i="3"/>
  <c r="AL542" i="3" s="1"/>
  <c r="AL142" i="3" l="1"/>
  <c r="AL141" i="3"/>
  <c r="AL200" i="3"/>
  <c r="AL544" i="3"/>
  <c r="AL543" i="3" s="1"/>
  <c r="AL132" i="3"/>
  <c r="AL134" i="3"/>
  <c r="AL146" i="3" l="1"/>
  <c r="AL568" i="3"/>
  <c r="AL43" i="9"/>
  <c r="AL12" i="10"/>
  <c r="AL15" i="10" s="1"/>
  <c r="AL273" i="3"/>
  <c r="AL140" i="3"/>
  <c r="AL135" i="3"/>
  <c r="AL201" i="3"/>
  <c r="AL150" i="3"/>
  <c r="AL147" i="3"/>
  <c r="AL152" i="3" s="1"/>
  <c r="AL11" i="3" l="1"/>
  <c r="AL28" i="3" s="1"/>
  <c r="AL55" i="3"/>
  <c r="AL151" i="3"/>
  <c r="AL162" i="3"/>
  <c r="AL276" i="3"/>
  <c r="AL26" i="9"/>
  <c r="AL12" i="3"/>
  <c r="AL56" i="3"/>
  <c r="AL153" i="3"/>
  <c r="AL145" i="3"/>
  <c r="AL158" i="3" s="1"/>
  <c r="AL156" i="3"/>
  <c r="AL19" i="10"/>
  <c r="AL16" i="10"/>
  <c r="AL21" i="10"/>
  <c r="AL17" i="3" s="1"/>
  <c r="AL16" i="3"/>
  <c r="AL17" i="10"/>
  <c r="AL18" i="10"/>
  <c r="AL539" i="3"/>
  <c r="AL13" i="3" l="1"/>
  <c r="AL30" i="3" s="1"/>
  <c r="AL53" i="3"/>
  <c r="AL157" i="3"/>
  <c r="AL69" i="3"/>
  <c r="AL57" i="3"/>
  <c r="AL33" i="3"/>
  <c r="AL29" i="3"/>
  <c r="AL34" i="3"/>
  <c r="AL14" i="3"/>
  <c r="AL31" i="3" s="1"/>
  <c r="AL54" i="3"/>
  <c r="AL159" i="3"/>
  <c r="AL15" i="3"/>
  <c r="AL70" i="3" s="1"/>
  <c r="AL161" i="3"/>
  <c r="AL164" i="3"/>
  <c r="AL71" i="3" l="1"/>
  <c r="AL570" i="3"/>
  <c r="AL215" i="3"/>
  <c r="AL218" i="3" s="1"/>
  <c r="AL221" i="3" s="1"/>
  <c r="AL281" i="3"/>
  <c r="AL282" i="3" s="1"/>
  <c r="AL59" i="3"/>
  <c r="AL32" i="3"/>
  <c r="AL58" i="3"/>
  <c r="AL224" i="3" l="1"/>
  <c r="AL254" i="3"/>
  <c r="AL575" i="3"/>
  <c r="AL284" i="3"/>
  <c r="AL286" i="3" s="1"/>
  <c r="AL33" i="9"/>
  <c r="AL44" i="9"/>
  <c r="AL45" i="9" s="1"/>
  <c r="AL47" i="9" s="1"/>
  <c r="AL78" i="3" s="1"/>
  <c r="AL572" i="3"/>
  <c r="AL573" i="3" s="1"/>
  <c r="AL577" i="3" l="1"/>
  <c r="AL289" i="3"/>
  <c r="AL300" i="3"/>
  <c r="AL302" i="3" s="1"/>
  <c r="AL308" i="3" s="1"/>
  <c r="AL288" i="3"/>
  <c r="AL255" i="3"/>
  <c r="AL256" i="3" s="1"/>
  <c r="AL291" i="3" s="1"/>
  <c r="AL19" i="3" l="1"/>
  <c r="AL45" i="3"/>
  <c r="AL36" i="9"/>
  <c r="AL37" i="9" s="1"/>
  <c r="AL18" i="3"/>
  <c r="AL72" i="3"/>
  <c r="AL35" i="3" l="1"/>
  <c r="AL64" i="3"/>
  <c r="AL177" i="3" s="1"/>
  <c r="AL47" i="3"/>
  <c r="AL65" i="3"/>
  <c r="AL36" i="3"/>
  <c r="AL66" i="3"/>
  <c r="AL52" i="3" l="1"/>
  <c r="AL50" i="3"/>
  <c r="AL67" i="3"/>
  <c r="AL51" i="3"/>
  <c r="L170" i="155" l="1"/>
  <c r="L171" i="155" l="1"/>
  <c r="L172" i="155"/>
  <c r="N171" i="155"/>
  <c r="N172" i="155"/>
  <c r="N206" i="155" l="1"/>
  <c r="N207" i="155" l="1"/>
  <c r="N208" i="155"/>
  <c r="W50" i="3" l="1"/>
  <c r="Z50" i="3"/>
  <c r="Z23" i="3"/>
  <c r="W315" i="3"/>
  <c r="Z315" i="3"/>
  <c r="Z319" i="3" s="1"/>
  <c r="Z320" i="3" s="1"/>
  <c r="W324" i="3"/>
  <c r="W326" i="3" s="1"/>
  <c r="W379" i="3"/>
  <c r="Z379" i="3"/>
  <c r="Z381" i="3" s="1"/>
  <c r="W381" i="3"/>
  <c r="W392" i="3"/>
  <c r="W395" i="3" s="1"/>
  <c r="Z392" i="3"/>
  <c r="Z395" i="3" s="1"/>
  <c r="W399" i="3"/>
  <c r="Z399" i="3"/>
  <c r="W407" i="3"/>
  <c r="Z407" i="3"/>
  <c r="Z411" i="3" s="1"/>
  <c r="W411" i="3"/>
  <c r="W416" i="3"/>
  <c r="Z416" i="3"/>
  <c r="Z424" i="3" s="1"/>
  <c r="W424" i="3"/>
  <c r="W438" i="3"/>
  <c r="W453" i="3"/>
  <c r="W476" i="3"/>
  <c r="W473" i="3" s="1"/>
  <c r="Z476" i="3"/>
  <c r="Z473" i="3" s="1"/>
  <c r="W486" i="3"/>
  <c r="Z486" i="3"/>
  <c r="W501" i="3"/>
  <c r="W504" i="3" s="1"/>
  <c r="Z501" i="3"/>
  <c r="Z504" i="3" s="1"/>
  <c r="W508" i="3"/>
  <c r="W520" i="3"/>
  <c r="X521" i="3" s="1"/>
  <c r="Z520" i="3"/>
  <c r="Z521" i="3" s="1"/>
  <c r="W5" i="9"/>
  <c r="Z5" i="9"/>
  <c r="W319" i="3" l="1"/>
  <c r="W320" i="3" s="1"/>
  <c r="W403" i="3"/>
  <c r="Z478" i="3"/>
  <c r="W478" i="3"/>
  <c r="Z438" i="3"/>
  <c r="Z403" i="3"/>
  <c r="W338" i="3"/>
  <c r="W371" i="3" s="1"/>
  <c r="W376" i="3" s="1"/>
  <c r="AA521" i="3"/>
  <c r="W91" i="3"/>
  <c r="W85" i="3"/>
  <c r="Z85" i="3"/>
  <c r="Z508" i="3"/>
  <c r="Z324" i="3"/>
  <c r="Z91" i="3"/>
  <c r="X85" i="3"/>
  <c r="X321" i="3"/>
  <c r="W321" i="3"/>
  <c r="Z321" i="3"/>
  <c r="AA321" i="3"/>
  <c r="W521" i="3"/>
  <c r="W512" i="3"/>
  <c r="Z6" i="3"/>
  <c r="Z5" i="10" s="1"/>
  <c r="Z7" i="10" s="1"/>
  <c r="Z9" i="10" s="1"/>
  <c r="Z15" i="10" s="1"/>
  <c r="W6" i="3"/>
  <c r="W5" i="10" s="1"/>
  <c r="W7" i="10" s="1"/>
  <c r="W9" i="10" s="1"/>
  <c r="W15" i="10" s="1"/>
  <c r="Z512" i="3"/>
  <c r="Z453" i="3"/>
  <c r="AA16" i="10" l="1"/>
  <c r="Z18" i="10"/>
  <c r="Z21" i="10"/>
  <c r="Z17" i="3" s="1"/>
  <c r="Z539" i="3"/>
  <c r="Z17" i="10"/>
  <c r="Z19" i="10"/>
  <c r="Z16" i="3"/>
  <c r="Z16" i="10"/>
  <c r="X93" i="3"/>
  <c r="W7" i="9"/>
  <c r="W366" i="3"/>
  <c r="W362" i="3"/>
  <c r="AA93" i="3"/>
  <c r="Z7" i="9"/>
  <c r="W17" i="10"/>
  <c r="W19" i="10"/>
  <c r="W16" i="3"/>
  <c r="W21" i="10"/>
  <c r="W17" i="3" s="1"/>
  <c r="W539" i="3"/>
  <c r="W18" i="10"/>
  <c r="Z92" i="3"/>
  <c r="W349" i="3"/>
  <c r="W385" i="3"/>
  <c r="W387" i="3" s="1"/>
  <c r="Z93" i="3"/>
  <c r="Z105" i="3"/>
  <c r="W92" i="3"/>
  <c r="W93" i="3"/>
  <c r="W105" i="3"/>
  <c r="Z326" i="3"/>
  <c r="Z338" i="3"/>
  <c r="Z22" i="3"/>
  <c r="AA22" i="3"/>
  <c r="X22" i="3"/>
  <c r="W22" i="3"/>
  <c r="X34" i="3" l="1"/>
  <c r="W71" i="3"/>
  <c r="W34" i="3"/>
  <c r="W6" i="9"/>
  <c r="W8" i="9"/>
  <c r="AA33" i="3"/>
  <c r="Z33" i="3"/>
  <c r="Z69" i="3"/>
  <c r="Z57" i="3"/>
  <c r="Z58" i="3" s="1"/>
  <c r="Z34" i="3"/>
  <c r="AA34" i="3"/>
  <c r="Z71" i="3"/>
  <c r="W33" i="3"/>
  <c r="X33" i="3"/>
  <c r="W57" i="3"/>
  <c r="W58" i="3" s="1"/>
  <c r="W69" i="3"/>
  <c r="Z6" i="9"/>
  <c r="Z8" i="9"/>
  <c r="Z362" i="3"/>
  <c r="Z349" i="3"/>
  <c r="Z371" i="3"/>
  <c r="Z376" i="3" s="1"/>
  <c r="Z358" i="3"/>
  <c r="Z366" i="3"/>
  <c r="Z368" i="3"/>
  <c r="Z385" i="3"/>
  <c r="Z387" i="3" s="1"/>
  <c r="Z7" i="3"/>
  <c r="Z112" i="3"/>
  <c r="Z527" i="3"/>
  <c r="Z531" i="3"/>
  <c r="Z51" i="3"/>
  <c r="Z106" i="3"/>
  <c r="Z68" i="3"/>
  <c r="Z107" i="3"/>
  <c r="Z66" i="3"/>
  <c r="AA107" i="3"/>
  <c r="Z73" i="3"/>
  <c r="W68" i="3"/>
  <c r="W107" i="3"/>
  <c r="W112" i="3"/>
  <c r="W527" i="3"/>
  <c r="W531" i="3"/>
  <c r="X107" i="3"/>
  <c r="W66" i="3"/>
  <c r="W106" i="3"/>
  <c r="W51" i="3"/>
  <c r="W7" i="3"/>
  <c r="W73" i="3"/>
  <c r="Z64" i="3" l="1"/>
  <c r="Z65" i="3"/>
  <c r="Z24" i="3"/>
  <c r="AA24" i="3"/>
  <c r="X24" i="3"/>
  <c r="W64" i="3"/>
  <c r="W24" i="3"/>
  <c r="W65" i="3"/>
  <c r="Z532" i="3"/>
  <c r="Z533" i="3" s="1"/>
  <c r="AA532" i="3"/>
  <c r="AA533" i="3" s="1"/>
  <c r="Z528" i="3"/>
  <c r="Z529" i="3" s="1"/>
  <c r="AA528" i="3"/>
  <c r="AA529" i="3" s="1"/>
  <c r="W532" i="3"/>
  <c r="W533" i="3" s="1"/>
  <c r="X532" i="3"/>
  <c r="X533" i="3" s="1"/>
  <c r="X528" i="3"/>
  <c r="X529" i="3" s="1"/>
  <c r="W528" i="3"/>
  <c r="W529" i="3" s="1"/>
  <c r="W52" i="3"/>
  <c r="W116" i="3"/>
  <c r="W523" i="3"/>
  <c r="W126" i="3"/>
  <c r="W564" i="3"/>
  <c r="W114" i="3"/>
  <c r="W113" i="3"/>
  <c r="W8" i="3"/>
  <c r="X114" i="3"/>
  <c r="Z114" i="3"/>
  <c r="Z116" i="3"/>
  <c r="Z523" i="3"/>
  <c r="Z126" i="3"/>
  <c r="Z564" i="3"/>
  <c r="AA114" i="3"/>
  <c r="Z52" i="3"/>
  <c r="Z113" i="3"/>
  <c r="Z8" i="3"/>
  <c r="Z10" i="9" l="1"/>
  <c r="W10" i="9"/>
  <c r="W177" i="3"/>
  <c r="Z177" i="3"/>
  <c r="W10" i="3"/>
  <c r="W129" i="3"/>
  <c r="W134" i="3"/>
  <c r="W524" i="3"/>
  <c r="W525" i="3" s="1"/>
  <c r="X524" i="3"/>
  <c r="X525" i="3" s="1"/>
  <c r="Z524" i="3"/>
  <c r="Z525" i="3" s="1"/>
  <c r="AA524" i="3"/>
  <c r="AA525" i="3" s="1"/>
  <c r="W25" i="3"/>
  <c r="X25" i="3"/>
  <c r="Z9" i="3"/>
  <c r="Z117" i="3"/>
  <c r="Z127" i="3"/>
  <c r="Z25" i="3"/>
  <c r="AA25" i="3"/>
  <c r="W117" i="3"/>
  <c r="W9" i="3"/>
  <c r="W127" i="3"/>
  <c r="Z10" i="3"/>
  <c r="Z129" i="3"/>
  <c r="W9" i="9" l="1"/>
  <c r="W11" i="9"/>
  <c r="W14" i="9"/>
  <c r="W16" i="9" s="1"/>
  <c r="W542" i="3"/>
  <c r="W543" i="3" s="1"/>
  <c r="Z9" i="9"/>
  <c r="Z11" i="9"/>
  <c r="Z14" i="9"/>
  <c r="Z16" i="9" s="1"/>
  <c r="Z542" i="3"/>
  <c r="Z543" i="3" s="1"/>
  <c r="Z134" i="3"/>
  <c r="W26" i="3"/>
  <c r="X26" i="3"/>
  <c r="Z132" i="3"/>
  <c r="Z137" i="3"/>
  <c r="Z182" i="3"/>
  <c r="W135" i="3"/>
  <c r="W140" i="3"/>
  <c r="X135" i="3"/>
  <c r="AA27" i="3"/>
  <c r="Z27" i="3"/>
  <c r="Z26" i="3"/>
  <c r="AA26" i="3"/>
  <c r="W182" i="3"/>
  <c r="W132" i="3"/>
  <c r="W137" i="3"/>
  <c r="W27" i="3"/>
  <c r="X27" i="3"/>
  <c r="Z40" i="9" l="1"/>
  <c r="Z79" i="3" s="1"/>
  <c r="Z30" i="9"/>
  <c r="Z77" i="3" s="1"/>
  <c r="W40" i="9"/>
  <c r="W79" i="3" s="1"/>
  <c r="W30" i="9"/>
  <c r="W77" i="3" s="1"/>
  <c r="W197" i="3"/>
  <c r="Z197" i="3"/>
  <c r="W142" i="3"/>
  <c r="W141" i="3"/>
  <c r="W43" i="9" s="1"/>
  <c r="W47" i="9" s="1"/>
  <c r="W78" i="3" s="1"/>
  <c r="W145" i="3"/>
  <c r="W156" i="3"/>
  <c r="Z142" i="3"/>
  <c r="Z141" i="3"/>
  <c r="Z43" i="9" s="1"/>
  <c r="Z47" i="9" s="1"/>
  <c r="Z78" i="3" s="1"/>
  <c r="Z135" i="3"/>
  <c r="AA135" i="3"/>
  <c r="Z140" i="3"/>
  <c r="W201" i="3" l="1"/>
  <c r="W158" i="3"/>
  <c r="Z201" i="3"/>
  <c r="Z568" i="3"/>
  <c r="Z146" i="3"/>
  <c r="Z145" i="3"/>
  <c r="Z156" i="3"/>
  <c r="Z150" i="3"/>
  <c r="Z147" i="3"/>
  <c r="W157" i="3"/>
  <c r="W13" i="3"/>
  <c r="W53" i="3"/>
  <c r="X157" i="3"/>
  <c r="W163" i="3"/>
  <c r="W568" i="3"/>
  <c r="W572" i="3" s="1"/>
  <c r="W146" i="3"/>
  <c r="W147" i="3"/>
  <c r="W150" i="3"/>
  <c r="W159" i="3" l="1"/>
  <c r="W14" i="3"/>
  <c r="Z152" i="3"/>
  <c r="W221" i="3"/>
  <c r="X159" i="3"/>
  <c r="Z158" i="3"/>
  <c r="W152" i="3"/>
  <c r="W54" i="3"/>
  <c r="Z221" i="3"/>
  <c r="W55" i="3"/>
  <c r="W151" i="3"/>
  <c r="X151" i="3"/>
  <c r="W11" i="3"/>
  <c r="Z572" i="3"/>
  <c r="Z573" i="3" s="1"/>
  <c r="Z577" i="3" s="1"/>
  <c r="W56" i="3"/>
  <c r="X153" i="3"/>
  <c r="W30" i="3"/>
  <c r="X30" i="3"/>
  <c r="Z13" i="3"/>
  <c r="Z157" i="3"/>
  <c r="AA157" i="3"/>
  <c r="Z53" i="3"/>
  <c r="AA159" i="3"/>
  <c r="Z14" i="3"/>
  <c r="Z159" i="3"/>
  <c r="Z163" i="3"/>
  <c r="Z54" i="3"/>
  <c r="W31" i="3"/>
  <c r="X31" i="3"/>
  <c r="Z153" i="3"/>
  <c r="Z56" i="3"/>
  <c r="AA153" i="3"/>
  <c r="Z12" i="3"/>
  <c r="Z55" i="3"/>
  <c r="Z11" i="3"/>
  <c r="AA151" i="3"/>
  <c r="Z151" i="3"/>
  <c r="Z224" i="3" l="1"/>
  <c r="W224" i="3"/>
  <c r="W153" i="3"/>
  <c r="W12" i="3"/>
  <c r="W29" i="3"/>
  <c r="W70" i="3"/>
  <c r="X29" i="3"/>
  <c r="W28" i="3"/>
  <c r="X28" i="3"/>
  <c r="Z31" i="3"/>
  <c r="AA31" i="3"/>
  <c r="AA28" i="3"/>
  <c r="Z28" i="3"/>
  <c r="Z30" i="3"/>
  <c r="AA30" i="3"/>
  <c r="AA29" i="3"/>
  <c r="Z70" i="3"/>
  <c r="Z29" i="3"/>
  <c r="Z226" i="3" l="1"/>
  <c r="W225" i="3"/>
  <c r="Z228" i="3" l="1"/>
  <c r="AA223" i="3"/>
  <c r="AA226" i="3" l="1"/>
  <c r="Z230" i="3"/>
  <c r="Z232" i="3" s="1"/>
  <c r="AB223" i="3" l="1"/>
  <c r="AA228" i="3"/>
  <c r="AA230" i="3" l="1"/>
  <c r="AA232" i="3" s="1"/>
  <c r="AB226" i="3"/>
  <c r="AB228" i="3" l="1"/>
  <c r="AC223" i="3"/>
  <c r="AC226" i="3" l="1"/>
  <c r="AB230" i="3"/>
  <c r="AB232" i="3" s="1"/>
  <c r="AD223" i="3" l="1"/>
  <c r="AC228" i="3"/>
  <c r="AC230" i="3" l="1"/>
  <c r="AC232" i="3" s="1"/>
  <c r="AD226" i="3"/>
  <c r="AD228" i="3" l="1"/>
  <c r="AE223" i="3"/>
  <c r="AE226" i="3" l="1"/>
  <c r="AD230" i="3"/>
  <c r="AD232" i="3" s="1"/>
  <c r="AE228" i="3" l="1"/>
  <c r="AF223" i="3"/>
  <c r="AE230" i="3" l="1"/>
  <c r="AE232" i="3" s="1"/>
  <c r="AF226" i="3"/>
  <c r="AG223" i="3" l="1"/>
  <c r="AF228" i="3"/>
  <c r="AF230" i="3" l="1"/>
  <c r="AF232" i="3" s="1"/>
  <c r="AG226" i="3"/>
  <c r="AG228" i="3" l="1"/>
  <c r="AH223" i="3"/>
  <c r="AH226" i="3" l="1"/>
  <c r="AG230" i="3"/>
  <c r="AG232" i="3" s="1"/>
  <c r="AI223" i="3" l="1"/>
  <c r="AI226" i="3" s="1"/>
  <c r="AH228" i="3"/>
  <c r="AJ223" i="3" l="1"/>
  <c r="AJ226" i="3" s="1"/>
  <c r="AI228" i="3"/>
  <c r="AI230" i="3" s="1"/>
  <c r="AI232" i="3" s="1"/>
  <c r="AH230" i="3"/>
  <c r="AH232" i="3" s="1"/>
  <c r="AK223" i="3" l="1"/>
  <c r="AK226" i="3" s="1"/>
  <c r="AJ228" i="3"/>
  <c r="AJ230" i="3" s="1"/>
  <c r="AJ232" i="3" s="1"/>
  <c r="AK228" i="3" l="1"/>
  <c r="AK230" i="3" s="1"/>
  <c r="AK232" i="3" s="1"/>
  <c r="AL223" i="3"/>
  <c r="AL226" i="3" s="1"/>
  <c r="AL228" i="3" s="1"/>
  <c r="AL230" i="3" s="1"/>
  <c r="AL232" i="3" s="1"/>
  <c r="AB303" i="3" l="1"/>
  <c r="AB304" i="3"/>
  <c r="AB307" i="3"/>
  <c r="AB308" i="3"/>
</calcChain>
</file>

<file path=xl/sharedStrings.xml><?xml version="1.0" encoding="utf-8"?>
<sst xmlns="http://schemas.openxmlformats.org/spreadsheetml/2006/main" count="1504" uniqueCount="851">
  <si>
    <t>HKD / €</t>
  </si>
  <si>
    <t>UAE / €</t>
  </si>
  <si>
    <t>% Change - constant currency</t>
  </si>
  <si>
    <t>% Change reported</t>
  </si>
  <si>
    <t>Constant currency revenues</t>
  </si>
  <si>
    <t>COGS</t>
  </si>
  <si>
    <t>% Change - reported</t>
  </si>
  <si>
    <t>Depreciation as % Capex</t>
  </si>
  <si>
    <t xml:space="preserve">Free Cash Flow </t>
  </si>
  <si>
    <t>— Change in working capital</t>
  </si>
  <si>
    <t>— Interest paid</t>
  </si>
  <si>
    <t>— Tax paid</t>
  </si>
  <si>
    <t>— Capex</t>
  </si>
  <si>
    <t>— Other (provisions)</t>
  </si>
  <si>
    <t>Free cash flow</t>
  </si>
  <si>
    <t>FCF conversion to revenues</t>
  </si>
  <si>
    <t xml:space="preserve">FCF conversion to EBITDA </t>
  </si>
  <si>
    <t>FCF per share (average no of shares)</t>
  </si>
  <si>
    <t>No Shares (fully diluted)</t>
  </si>
  <si>
    <t>No Shares, average and fully diluted</t>
  </si>
  <si>
    <t>Inventory days on Revenues</t>
  </si>
  <si>
    <t>Returns %</t>
  </si>
  <si>
    <t>ROCE (NOPAT / Net Operating Assets (BOP))</t>
  </si>
  <si>
    <t>ROE (Adj Net Income / Ave Shareholders Equity)</t>
  </si>
  <si>
    <t>Net Income (Adjusted)</t>
  </si>
  <si>
    <t>Shareholders Equity EOP</t>
  </si>
  <si>
    <t>Shareholders Equity - Average</t>
  </si>
  <si>
    <t>ROIC (NOPAT / Invested Capital (BOP))</t>
  </si>
  <si>
    <t>Depreciation as % Sales</t>
  </si>
  <si>
    <t>Stock Options</t>
  </si>
  <si>
    <t>Net Debt (company definition + pension liability)</t>
  </si>
  <si>
    <t>Net Intangible Assets BOP</t>
  </si>
  <si>
    <t>Net Intangible Assets EOP</t>
  </si>
  <si>
    <t>Capex related to intangibles</t>
  </si>
  <si>
    <t>Capex - Intangibles</t>
  </si>
  <si>
    <t>Free Cash Flow per share (average number of share)</t>
  </si>
  <si>
    <t>Total Capex</t>
  </si>
  <si>
    <t>Average Wage ('000)</t>
  </si>
  <si>
    <t>No employees</t>
  </si>
  <si>
    <t>Wage Growth</t>
  </si>
  <si>
    <t>% Growth</t>
  </si>
  <si>
    <t xml:space="preserve">Total Working Capital </t>
  </si>
  <si>
    <t>As % Sales</t>
  </si>
  <si>
    <t>Operational Gearing</t>
  </si>
  <si>
    <t>— change</t>
  </si>
  <si>
    <t>Conversion</t>
  </si>
  <si>
    <t xml:space="preserve">EBITDA </t>
  </si>
  <si>
    <t>EBITDAR</t>
  </si>
  <si>
    <t>Check</t>
  </si>
  <si>
    <t>Stores</t>
  </si>
  <si>
    <t xml:space="preserve"> </t>
  </si>
  <si>
    <t>CHF / €</t>
  </si>
  <si>
    <t>Net Debt / (cash) (company definition)</t>
  </si>
  <si>
    <t>Pension Liability</t>
  </si>
  <si>
    <t>Net Debt / (cash)</t>
  </si>
  <si>
    <t>Net Debt / (cash) - Company Definition</t>
  </si>
  <si>
    <t>Total D&amp;A</t>
  </si>
  <si>
    <t>Customer Payment Days - based on net revenues</t>
  </si>
  <si>
    <t>Impairments / Other</t>
  </si>
  <si>
    <t>Revenue</t>
  </si>
  <si>
    <t>Gross Profit</t>
  </si>
  <si>
    <t>Operating Costs</t>
  </si>
  <si>
    <t>Rental Growth % - Volume</t>
  </si>
  <si>
    <t>Rental Growth % - Inflation</t>
  </si>
  <si>
    <t>Fixed charge cover</t>
  </si>
  <si>
    <t>Net Financial (Expense) /income</t>
  </si>
  <si>
    <t>North America</t>
  </si>
  <si>
    <t>Loss / (Profit) on disposal of PP&amp;E</t>
  </si>
  <si>
    <t>(Increase) / decrease in stocks</t>
  </si>
  <si>
    <t>Interest received</t>
  </si>
  <si>
    <t>Interest paid</t>
  </si>
  <si>
    <t>Taxation paid</t>
  </si>
  <si>
    <t>Sale of PP&amp;E, net</t>
  </si>
  <si>
    <t>Income tax recoverable</t>
  </si>
  <si>
    <t>Deferred tax assets</t>
  </si>
  <si>
    <t>Income tax liabilities</t>
  </si>
  <si>
    <t>Trade payables and accruals</t>
  </si>
  <si>
    <t>Trade Receivable</t>
  </si>
  <si>
    <t>Closing Trade Receivable</t>
  </si>
  <si>
    <t>Trade Payable</t>
  </si>
  <si>
    <t>Recurring income tax</t>
  </si>
  <si>
    <t>One-time</t>
  </si>
  <si>
    <t>Reported</t>
  </si>
  <si>
    <t>€ Millions, Yr end December</t>
  </si>
  <si>
    <t>Yr end December</t>
  </si>
  <si>
    <t xml:space="preserve">EPS, Basic </t>
  </si>
  <si>
    <t>Royalty and commission income</t>
  </si>
  <si>
    <t>Marketing working budget</t>
  </si>
  <si>
    <t>Marketing overhead</t>
  </si>
  <si>
    <t>Salesforce</t>
  </si>
  <si>
    <t>Logistics</t>
  </si>
  <si>
    <t>Research and development</t>
  </si>
  <si>
    <t>Extraordinary Items</t>
  </si>
  <si>
    <t xml:space="preserve">DPS </t>
  </si>
  <si>
    <t>Convertible bond</t>
  </si>
  <si>
    <t>Income before tax</t>
  </si>
  <si>
    <t>Unrealized FX (gains) / (losses), net</t>
  </si>
  <si>
    <t>Interest income</t>
  </si>
  <si>
    <t>Interest expense</t>
  </si>
  <si>
    <t>Sale of companies</t>
  </si>
  <si>
    <t>Short-term financial investments</t>
  </si>
  <si>
    <t>Other current assets</t>
  </si>
  <si>
    <t>Assets held for sale</t>
  </si>
  <si>
    <t>Long-term financial assets</t>
  </si>
  <si>
    <t>Operating</t>
  </si>
  <si>
    <t>Financial</t>
  </si>
  <si>
    <t>Other long term assets</t>
  </si>
  <si>
    <t>Liabilities held for sale</t>
  </si>
  <si>
    <t>Other current liabilities</t>
  </si>
  <si>
    <t>Other long term liabilities</t>
  </si>
  <si>
    <t>Europe</t>
  </si>
  <si>
    <t>Latin America</t>
  </si>
  <si>
    <t>Marketing</t>
  </si>
  <si>
    <t>Sales force</t>
  </si>
  <si>
    <t>R&amp;D</t>
  </si>
  <si>
    <t>R&amp;D cost</t>
  </si>
  <si>
    <t>(Increase) / decrease in creditors and other current liabilities</t>
  </si>
  <si>
    <t>Adidas Group</t>
  </si>
  <si>
    <t>(Increase) / decrease in debtors and other current assets</t>
  </si>
  <si>
    <t>Long-term liabilities and provisions</t>
  </si>
  <si>
    <t>Statutory tax rate</t>
  </si>
  <si>
    <t>PTOP</t>
  </si>
  <si>
    <t>Adidas</t>
  </si>
  <si>
    <t>Reebok</t>
  </si>
  <si>
    <t>Cost of goods sold</t>
  </si>
  <si>
    <t>Minority interests</t>
  </si>
  <si>
    <t>Profit / (Loss) from discontinued business</t>
  </si>
  <si>
    <t>Capex - PP&amp;E</t>
  </si>
  <si>
    <t>Accrued liabilities</t>
  </si>
  <si>
    <t>Accrued Liabilities</t>
  </si>
  <si>
    <t>Accrued liabilities days</t>
  </si>
  <si>
    <t>Marketing Costs and Marketing overheads</t>
  </si>
  <si>
    <t>Closing Accrued Liabilities</t>
  </si>
  <si>
    <t>Accrued Liabilities as a % of(50% of COGS, 25% of Mktg and 25% of Sales force)</t>
  </si>
  <si>
    <t>Trade and other receivables</t>
  </si>
  <si>
    <t>Central finance and admin expenses, net</t>
  </si>
  <si>
    <t>Total Operating Expenses</t>
  </si>
  <si>
    <t>Restructuring Costs/Impairment</t>
  </si>
  <si>
    <t>other change in cash</t>
  </si>
  <si>
    <t>Peso</t>
  </si>
  <si>
    <t>RBL / €</t>
  </si>
  <si>
    <t>GBP / €</t>
  </si>
  <si>
    <t>Marketing Budget</t>
  </si>
  <si>
    <t>Marketing Overhead</t>
  </si>
  <si>
    <t xml:space="preserve"> Costs</t>
  </si>
  <si>
    <t>Other operating Income</t>
  </si>
  <si>
    <t>Allocation of Goodwill:</t>
  </si>
  <si>
    <t>TaylorMade</t>
  </si>
  <si>
    <t>Currency</t>
  </si>
  <si>
    <t>Current Stock Price</t>
  </si>
  <si>
    <t>Count</t>
  </si>
  <si>
    <t>Operating Profit - Reported</t>
  </si>
  <si>
    <t xml:space="preserve">Income from accounts receivable previously written off </t>
  </si>
  <si>
    <t>Income from release of accruals and provisions</t>
  </si>
  <si>
    <t>Total Marketing</t>
  </si>
  <si>
    <t>Additional US Spend</t>
  </si>
  <si>
    <t xml:space="preserve"> - As % Revenues ex US additional </t>
  </si>
  <si>
    <t xml:space="preserve">Income from the recognition of negative goodwill </t>
  </si>
  <si>
    <t xml:space="preserve">Other revenues </t>
  </si>
  <si>
    <t>COGS - reported</t>
  </si>
  <si>
    <t>Impairment/other</t>
  </si>
  <si>
    <t>Issuance of shares/buybacks</t>
  </si>
  <si>
    <t>Trademarks</t>
  </si>
  <si>
    <t>Cash generated from operations</t>
  </si>
  <si>
    <t>Other/non cash items</t>
  </si>
  <si>
    <t>Purchase of intangibles, net</t>
  </si>
  <si>
    <t>Purchase of PP&amp;E, net</t>
  </si>
  <si>
    <t>Other investments, net</t>
  </si>
  <si>
    <t>Proceeds/Repayments of LT Debt</t>
  </si>
  <si>
    <t>Exercised share options/Other</t>
  </si>
  <si>
    <t>Impact of FX/ Other</t>
  </si>
  <si>
    <t>Other/FX</t>
  </si>
  <si>
    <t>Cash Equivalents</t>
  </si>
  <si>
    <t>Adjustment for Convertible Bond</t>
  </si>
  <si>
    <t>ADIDAS</t>
  </si>
  <si>
    <t>Gains from disposal of fixed assets</t>
  </si>
  <si>
    <t>Tax - Adjusted</t>
  </si>
  <si>
    <t>Tax - Reported</t>
  </si>
  <si>
    <t>Net Income Reported - pre Minorities</t>
  </si>
  <si>
    <t>Net Income Adjusted - pre Minorities</t>
  </si>
  <si>
    <t>Net Income attributable Reported</t>
  </si>
  <si>
    <t>Net Income for Diluted EPS (cont ops, reported)</t>
  </si>
  <si>
    <t>Net Income for Diluted EPS (post disc ops, reported)</t>
  </si>
  <si>
    <t xml:space="preserve"> % Growth </t>
  </si>
  <si>
    <t>Earnings per Share, Reported:</t>
  </si>
  <si>
    <t xml:space="preserve">EPS, Diluted </t>
  </si>
  <si>
    <t>Earnings per Share, Adjusted:</t>
  </si>
  <si>
    <t>Net Income attributable Adjusted (pre excepts)</t>
  </si>
  <si>
    <t>Net Income for Diluted EPS pre excepts</t>
  </si>
  <si>
    <t>EBIT Reported</t>
  </si>
  <si>
    <t>EBIT Adjusted (pre Exceptionals)</t>
  </si>
  <si>
    <t>EPS - Basic, reported</t>
  </si>
  <si>
    <t>EPS - Fully Diluted, reported</t>
  </si>
  <si>
    <t>EPS - Basic, Adjusted</t>
  </si>
  <si>
    <t>EPS - Fully Diluted, Adjusted</t>
  </si>
  <si>
    <t>EV/EBITDA (adj)</t>
  </si>
  <si>
    <t>EV/ EBIT Adjusted</t>
  </si>
  <si>
    <t>P/E adjusted, basic</t>
  </si>
  <si>
    <t>P/E adjusted, FD</t>
  </si>
  <si>
    <t>P/E reported, basic</t>
  </si>
  <si>
    <t>EBITDA Adj</t>
  </si>
  <si>
    <t>Net Debt + op lease commitments / EBITDAR (incl pension liability)</t>
  </si>
  <si>
    <t>EBIT (reported)</t>
  </si>
  <si>
    <t xml:space="preserve"> - Inflation %</t>
  </si>
  <si>
    <t xml:space="preserve"> - Total %</t>
  </si>
  <si>
    <t>Rental Costs (not separate in Opex)</t>
  </si>
  <si>
    <t>Personnel Costs  (not separate in Opex)</t>
  </si>
  <si>
    <t>Net Income attributable post discontinued items</t>
  </si>
  <si>
    <t>SGA</t>
  </si>
  <si>
    <t>— Revenues</t>
  </si>
  <si>
    <t>— Operating Costs</t>
  </si>
  <si>
    <t>— Depreciation and Amortisation</t>
  </si>
  <si>
    <t>— EBITDA</t>
  </si>
  <si>
    <t>FCF conversion to EBIT</t>
  </si>
  <si>
    <t>— EBIT</t>
  </si>
  <si>
    <t>ST Borrowings</t>
  </si>
  <si>
    <t>Long Term Borrowings</t>
  </si>
  <si>
    <t>Pension Oligations</t>
  </si>
  <si>
    <t>Convertible Bond</t>
  </si>
  <si>
    <t>P/E reported, FD</t>
  </si>
  <si>
    <t>HOME</t>
  </si>
  <si>
    <t>Opex</t>
  </si>
  <si>
    <t>Western Europe</t>
  </si>
  <si>
    <t>Other businesses</t>
  </si>
  <si>
    <t>Other, non-recurring</t>
  </si>
  <si>
    <t>Change %</t>
  </si>
  <si>
    <t>Shares repurchased</t>
  </si>
  <si>
    <t>Total repurchases (€ mn)</t>
  </si>
  <si>
    <t>Average price per share (€)</t>
  </si>
  <si>
    <t>Total Operating Profit</t>
  </si>
  <si>
    <t>nm</t>
  </si>
  <si>
    <t>ADSGn.DE</t>
  </si>
  <si>
    <t>Adjusted Tax Rate %</t>
  </si>
  <si>
    <t>Reported Tax Rate %</t>
  </si>
  <si>
    <t>Emerging Markets</t>
  </si>
  <si>
    <t xml:space="preserve"> - Adidas brand</t>
  </si>
  <si>
    <t>as % Sales</t>
  </si>
  <si>
    <t xml:space="preserve"> - Reebok Brand</t>
  </si>
  <si>
    <t xml:space="preserve"> - Other</t>
  </si>
  <si>
    <t>as % sales</t>
  </si>
  <si>
    <t>Total Gross Profit</t>
  </si>
  <si>
    <t>EPS, Diluted , (MW)</t>
  </si>
  <si>
    <t>Amortisation as % Capex</t>
  </si>
  <si>
    <t>Amortisation as % sales</t>
  </si>
  <si>
    <t>Amortisation/Impairment</t>
  </si>
  <si>
    <t>Capex relating to PPE</t>
  </si>
  <si>
    <t xml:space="preserve">Gross Profit Margin% </t>
  </si>
  <si>
    <t xml:space="preserve"> - Growth %</t>
  </si>
  <si>
    <t xml:space="preserve"> - As % Revenues</t>
  </si>
  <si>
    <t>Sales force Expense</t>
  </si>
  <si>
    <t>Logistics Expense</t>
  </si>
  <si>
    <t>Capitalised Lease Commitments</t>
  </si>
  <si>
    <t>Depreciation and amortisation</t>
  </si>
  <si>
    <t>Tax Rate %</t>
  </si>
  <si>
    <t>NOPAT</t>
  </si>
  <si>
    <t>Minorities</t>
  </si>
  <si>
    <t>Other financial income / (expense)</t>
  </si>
  <si>
    <t>Pre Tax Profit - Adjusted</t>
  </si>
  <si>
    <t>Pre Tax Profit - Reported</t>
  </si>
  <si>
    <t>Net Debt / (cash) incl pension liability</t>
  </si>
  <si>
    <t>Net Debt / (cash) (incl pension liability)</t>
  </si>
  <si>
    <t>Net Debt / EBITDA (incl pension liability)</t>
  </si>
  <si>
    <t xml:space="preserve">Net Debt / EBITDA </t>
  </si>
  <si>
    <t>Minority Interests (for MW)</t>
  </si>
  <si>
    <t xml:space="preserve"> Margin %</t>
  </si>
  <si>
    <t>Tax Expense</t>
  </si>
  <si>
    <t>Capital Employed:</t>
  </si>
  <si>
    <t>Tangible Fixed Assets</t>
  </si>
  <si>
    <t>ROE %</t>
  </si>
  <si>
    <t>Intangible Assets</t>
  </si>
  <si>
    <t>Other Fixed Assets</t>
  </si>
  <si>
    <t>Net Working Capital</t>
  </si>
  <si>
    <t>Other net assets</t>
  </si>
  <si>
    <t>Total Capital Employed BOP</t>
  </si>
  <si>
    <t>-</t>
  </si>
  <si>
    <t>ROCE %</t>
  </si>
  <si>
    <t>Invested Capital:</t>
  </si>
  <si>
    <t>ROIC %</t>
  </si>
  <si>
    <t>Invested Capital  BOP</t>
  </si>
  <si>
    <t>Provisions</t>
  </si>
  <si>
    <t>Invested Capital</t>
  </si>
  <si>
    <t>Net Debt (incl pension liability)</t>
  </si>
  <si>
    <t>EUR</t>
  </si>
  <si>
    <t>Stock</t>
  </si>
  <si>
    <t>EV / Net Debt (incl pension liability)</t>
  </si>
  <si>
    <t>Shareholders Equity Reconciliation</t>
  </si>
  <si>
    <t>BOP SE</t>
  </si>
  <si>
    <t>Net income (reported)</t>
  </si>
  <si>
    <t>Adjustments to NI</t>
  </si>
  <si>
    <t>Dividends</t>
  </si>
  <si>
    <t>Repurchase/issuance of stock</t>
  </si>
  <si>
    <t>AOCI</t>
  </si>
  <si>
    <t>EOP SE</t>
  </si>
  <si>
    <t>BS check</t>
  </si>
  <si>
    <t>Modelware Requirements</t>
  </si>
  <si>
    <t>Unrecorded Goodwill</t>
  </si>
  <si>
    <t>CAGR</t>
  </si>
  <si>
    <t>IFRS</t>
  </si>
  <si>
    <t>% Change</t>
  </si>
  <si>
    <t xml:space="preserve">Other </t>
  </si>
  <si>
    <t>Summary Data</t>
  </si>
  <si>
    <t>Revenues</t>
  </si>
  <si>
    <t>EBITDA</t>
  </si>
  <si>
    <t>Adjusted Pre tax Profits</t>
  </si>
  <si>
    <t>Dividend per Share</t>
  </si>
  <si>
    <t>Free Cash Flow</t>
  </si>
  <si>
    <t>Growth %</t>
  </si>
  <si>
    <t>Revenues - Reported</t>
  </si>
  <si>
    <t>Revenues - Constant Currency</t>
  </si>
  <si>
    <t>Valuation Summary</t>
  </si>
  <si>
    <t>Price</t>
  </si>
  <si>
    <t>Market Capitalisation</t>
  </si>
  <si>
    <t>Enterprise Value</t>
  </si>
  <si>
    <t>EV/Sales</t>
  </si>
  <si>
    <t>P/FCF</t>
  </si>
  <si>
    <t>Free cash flow yield (%)</t>
  </si>
  <si>
    <t>Dividend Yield (%)</t>
  </si>
  <si>
    <t>Liquidity/Coverage ratios</t>
  </si>
  <si>
    <t>Interest Cover (EBITDA / net interest)</t>
  </si>
  <si>
    <t>Interest Cover (FCF / net interest)</t>
  </si>
  <si>
    <t>Dividend Cover (EPS / Net Dividend)</t>
  </si>
  <si>
    <t>Dividend Cover (FCF / Net Dividend)</t>
  </si>
  <si>
    <t xml:space="preserve">Profit &amp; Loss </t>
  </si>
  <si>
    <t>Total</t>
  </si>
  <si>
    <t>Other</t>
  </si>
  <si>
    <t xml:space="preserve">Gross Profit </t>
  </si>
  <si>
    <t>Margin %</t>
  </si>
  <si>
    <t>Personnel Costs</t>
  </si>
  <si>
    <t>Depreciation</t>
  </si>
  <si>
    <t>Amortisation</t>
  </si>
  <si>
    <t>Operating Profit</t>
  </si>
  <si>
    <t xml:space="preserve">Total </t>
  </si>
  <si>
    <t>Interest Income</t>
  </si>
  <si>
    <t>Interest Expense</t>
  </si>
  <si>
    <t>Foreign exchange gains / (losses)</t>
  </si>
  <si>
    <t>Minority Interests</t>
  </si>
  <si>
    <t xml:space="preserve">% Growth </t>
  </si>
  <si>
    <t>Dividends Paid</t>
  </si>
  <si>
    <t>Payout Ratio %</t>
  </si>
  <si>
    <t>No of shares outstanding:</t>
  </si>
  <si>
    <t>Average number of shares, basic</t>
  </si>
  <si>
    <t>Year end number of shares, basic</t>
  </si>
  <si>
    <t>Average number of shares, fully diluted</t>
  </si>
  <si>
    <t>Year end number of shares, fully diluted</t>
  </si>
  <si>
    <t>Cash Flow Statement</t>
  </si>
  <si>
    <t xml:space="preserve">Depreciation </t>
  </si>
  <si>
    <t>Change in Working Capital</t>
  </si>
  <si>
    <t>Other changes in working capital</t>
  </si>
  <si>
    <t>Cash flows from operating activities</t>
  </si>
  <si>
    <t>Cash flows from investing</t>
  </si>
  <si>
    <t>Purchase of companies</t>
  </si>
  <si>
    <t>Cash flows from investing activities</t>
  </si>
  <si>
    <t>Cash flows from financing</t>
  </si>
  <si>
    <t>Dividends paid</t>
  </si>
  <si>
    <t>Cash flows from financing activities</t>
  </si>
  <si>
    <t>Net Change in Cash</t>
  </si>
  <si>
    <t>Cash beginning of Year</t>
  </si>
  <si>
    <t>Change in cash</t>
  </si>
  <si>
    <t>Cash End of Year</t>
  </si>
  <si>
    <t>Total Cash and Cash Equivalents</t>
  </si>
  <si>
    <t>Debt</t>
  </si>
  <si>
    <t>Net Equity / Net Debt (company definition)</t>
  </si>
  <si>
    <t>Total Depreciation, amortisation and impairment</t>
  </si>
  <si>
    <t>Balance Sheet</t>
  </si>
  <si>
    <t>Fixed Assets</t>
  </si>
  <si>
    <t>Property, Plant and Equipment</t>
  </si>
  <si>
    <t>Goodwill</t>
  </si>
  <si>
    <t>Other Intangibles</t>
  </si>
  <si>
    <t xml:space="preserve">Other  </t>
  </si>
  <si>
    <t>Total Fixed Assets</t>
  </si>
  <si>
    <t>Current Assets</t>
  </si>
  <si>
    <t>Inventories</t>
  </si>
  <si>
    <t xml:space="preserve">Cash </t>
  </si>
  <si>
    <t>Total Current Assets</t>
  </si>
  <si>
    <t>Total Assets</t>
  </si>
  <si>
    <t>Current Liabilities</t>
  </si>
  <si>
    <t>Total current liabilities</t>
  </si>
  <si>
    <t>Non-current liabilities</t>
  </si>
  <si>
    <t>Deferred tax liabilities</t>
  </si>
  <si>
    <t>Total long-term liabilities</t>
  </si>
  <si>
    <t>Shareholders Equity</t>
  </si>
  <si>
    <t>Share Capital</t>
  </si>
  <si>
    <t>Reserves</t>
  </si>
  <si>
    <t>Retained Earnings</t>
  </si>
  <si>
    <t>Total Shareholders Equity</t>
  </si>
  <si>
    <t>Total Liabilities and Equity</t>
  </si>
  <si>
    <t>Net Debt (company definition)</t>
  </si>
  <si>
    <t>check</t>
  </si>
  <si>
    <t>Other non-current liabilities</t>
  </si>
  <si>
    <t>Interest Calculation</t>
  </si>
  <si>
    <t>Cash &amp; Equivalents</t>
  </si>
  <si>
    <t>Net (Cash) / Debt</t>
  </si>
  <si>
    <t>Interest Rate on Average Cash Balance, %</t>
  </si>
  <si>
    <t>Interest Rate on Average Debt Balance, %</t>
  </si>
  <si>
    <t>Net Interest</t>
  </si>
  <si>
    <t>Net Interest rate on average net debt balance, %</t>
  </si>
  <si>
    <t>Key Items</t>
  </si>
  <si>
    <t>Rental Expense</t>
  </si>
  <si>
    <t>Gross Margin</t>
  </si>
  <si>
    <t xml:space="preserve">Revenues </t>
  </si>
  <si>
    <t>Cost Detail</t>
  </si>
  <si>
    <t>EBIT</t>
  </si>
  <si>
    <t>Net Fixed Assets BOP</t>
  </si>
  <si>
    <t>Capex</t>
  </si>
  <si>
    <t>Net Fixed Assets EOP</t>
  </si>
  <si>
    <t>Life (Years)</t>
  </si>
  <si>
    <t>Sales</t>
  </si>
  <si>
    <t>Capex as % Sales</t>
  </si>
  <si>
    <t>Working Capital</t>
  </si>
  <si>
    <t>Cost of Goods Sold</t>
  </si>
  <si>
    <t>Closing Inventory</t>
  </si>
  <si>
    <t>Inventory Holding Period (days)</t>
  </si>
  <si>
    <t>Closing Accounts Payable</t>
  </si>
  <si>
    <t>Supplier Payment Days</t>
  </si>
  <si>
    <t>FX Assumptions</t>
  </si>
  <si>
    <t>USD / €</t>
  </si>
  <si>
    <t>JPY / €</t>
  </si>
  <si>
    <t>Additional Spend</t>
  </si>
  <si>
    <t>Additional Euro Spend</t>
  </si>
  <si>
    <t>Additional RoW Spend</t>
  </si>
  <si>
    <t>Net Debt/EBITDA</t>
  </si>
  <si>
    <t>% Shares outstanding</t>
  </si>
  <si>
    <t>Russia/CIS</t>
  </si>
  <si>
    <t>REEBOK</t>
  </si>
  <si>
    <t>Total Reebok</t>
  </si>
  <si>
    <t>Total Adidas + Reebok</t>
  </si>
  <si>
    <t>Total Group</t>
  </si>
  <si>
    <t>Sub Total</t>
  </si>
  <si>
    <t>restated from 2014</t>
  </si>
  <si>
    <t>Other Businesses</t>
  </si>
  <si>
    <t>Luxury &amp; Brands Team</t>
  </si>
  <si>
    <t>Elena Mariani</t>
  </si>
  <si>
    <t>Phone: +44 20 7425-0527</t>
  </si>
  <si>
    <t>Elena.Mariani@morganstanley.com</t>
  </si>
  <si>
    <t>Key:</t>
  </si>
  <si>
    <t>Blue = Hard coded</t>
  </si>
  <si>
    <t>Black = Formula</t>
  </si>
  <si>
    <t>Green = Link from other sheets</t>
  </si>
  <si>
    <t>Q117</t>
  </si>
  <si>
    <t>Q217</t>
  </si>
  <si>
    <t>Q317</t>
  </si>
  <si>
    <t>Q417</t>
  </si>
  <si>
    <t>RMB / €</t>
  </si>
  <si>
    <t>As % Revenues</t>
  </si>
  <si>
    <t>YES</t>
  </si>
  <si>
    <t>Free cash Flow</t>
  </si>
  <si>
    <t>ADSGn.DE,mscalc:targetPrice,,,,EUR</t>
  </si>
  <si>
    <t>ADSGn.DE,mscalc:closePriceCurrencyCalc</t>
  </si>
  <si>
    <t>ADSGn.DE,mscalc:sedolCodeCalc</t>
  </si>
  <si>
    <t>4031976</t>
  </si>
  <si>
    <t>Total adidas</t>
  </si>
  <si>
    <t>2017-19e</t>
  </si>
  <si>
    <t>2017-20e</t>
  </si>
  <si>
    <t>Yr End December</t>
  </si>
  <si>
    <t>185</t>
  </si>
  <si>
    <t>H117</t>
  </si>
  <si>
    <t>9M17</t>
  </si>
  <si>
    <t>Henry Yu</t>
  </si>
  <si>
    <t>ADSGn.DE,mscalc:targetPrice,,,,USD</t>
  </si>
  <si>
    <t>$H$2</t>
  </si>
  <si>
    <t>225.4225</t>
  </si>
  <si>
    <t>Edouard Aubin</t>
  </si>
  <si>
    <t>Phone: +44 20 7425-3160</t>
  </si>
  <si>
    <t>Phone: +44 20 7425-7526</t>
  </si>
  <si>
    <t>Edouard.Aubin@morganstanley.com</t>
  </si>
  <si>
    <t>Henry.Yu@morganstanley.com</t>
  </si>
  <si>
    <t>Q418e</t>
  </si>
  <si>
    <t>2H18e</t>
  </si>
  <si>
    <t>Q118e</t>
  </si>
  <si>
    <t>Q218e</t>
  </si>
  <si>
    <t>H118e</t>
  </si>
  <si>
    <t>Q318e</t>
  </si>
  <si>
    <t>9M18e</t>
  </si>
  <si>
    <t>2H17</t>
  </si>
  <si>
    <t>Cost of sales without depreciation</t>
  </si>
  <si>
    <t>Regional Segment Reporting</t>
  </si>
  <si>
    <t>Asia/ Pacific</t>
  </si>
  <si>
    <t>Reconcilliation/ Other</t>
  </si>
  <si>
    <t>Reconcilliation/ eliminations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</si>
  <si>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</si>
  <si>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</si>
  <si>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</si>
  <si>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</si>
  <si>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20 Bank Street, Canary Wharf</t>
  </si>
  <si>
    <t>London E14 4AD</t>
  </si>
  <si>
    <t>United Kingdom</t>
  </si>
  <si>
    <t>Tel: +44 (0)20 7425 8000</t>
  </si>
  <si>
    <t>Authors: Elena Mariani, Edouard Aubin, Henry Yu</t>
  </si>
  <si>
    <t>Date: 26 Apr 2018</t>
  </si>
  <si>
    <t>Ticker: ADSGn.DE</t>
  </si>
  <si>
    <t>Stock Rating: Equal-Weight</t>
  </si>
  <si>
    <t>Industry: Brands</t>
  </si>
  <si>
    <t>Industry View: In-Line</t>
  </si>
  <si>
    <t>Price as of 26 Apr 2018: 201.90</t>
  </si>
  <si>
    <t>Target Price: 200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</si>
  <si>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</si>
  <si>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</si>
  <si>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</si>
  <si>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</si>
  <si>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</si>
  <si>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</si>
  <si>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</si>
  <si>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</si>
  <si>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</si>
  <si>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</si>
  <si>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</si>
  <si>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</si>
  <si>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</si>
  <si>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</si>
  <si>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</si>
  <si>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</si>
  <si>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</si>
  <si>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</si>
  <si>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</si>
  <si>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</si>
  <si>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</si>
  <si>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</si>
  <si>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</si>
  <si>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</si>
  <si>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</si>
  <si>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</si>
  <si>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</si>
  <si>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</si>
  <si>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</si>
  <si>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</si>
  <si>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</si>
  <si>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</si>
  <si>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</si>
  <si>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</si>
  <si>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</si>
  <si>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</si>
  <si>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</si>
  <si>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</si>
  <si>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</si>
  <si>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</si>
  <si>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</si>
  <si>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</si>
  <si>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</si>
  <si>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</si>
  <si>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</si>
  <si>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</si>
  <si>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</si>
  <si>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</si>
  <si>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</si>
  <si>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</si>
  <si>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</si>
  <si>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</si>
  <si>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</si>
  <si>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</si>
  <si>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</si>
  <si>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</si>
  <si>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</si>
  <si>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</si>
  <si>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</si>
  <si>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</si>
  <si>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</si>
  <si>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</si>
  <si>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</si>
  <si>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</si>
  <si>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</si>
  <si>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</si>
  <si>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</si>
  <si>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</si>
  <si>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</si>
  <si>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</si>
  <si>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</si>
  <si>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</si>
  <si>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</si>
  <si>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</si>
  <si>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</si>
  <si>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</si>
  <si>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</si>
  <si>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</si>
  <si>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</si>
  <si>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</si>
  <si>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</si>
  <si>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</si>
  <si>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</si>
  <si>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</si>
  <si>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</si>
  <si>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</si>
  <si>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</si>
  <si>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</si>
  <si>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</si>
  <si>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</si>
  <si>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</si>
  <si>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</si>
  <si>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</si>
  <si>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</si>
  <si>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</si>
  <si>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</si>
  <si>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</si>
  <si>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</si>
  <si>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</si>
  <si>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</si>
  <si>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</si>
  <si>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</si>
  <si>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</si>
  <si>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</si>
  <si>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</si>
  <si>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</si>
  <si>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</si>
  <si>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</si>
  <si>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</si>
  <si>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</si>
  <si>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</si>
  <si>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</si>
  <si>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</si>
  <si>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</si>
  <si>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</si>
  <si>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</si>
  <si>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</si>
  <si>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</si>
  <si>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</si>
  <si>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</si>
  <si>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</si>
  <si>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</si>
  <si>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</si>
  <si>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</si>
  <si>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</si>
  <si>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</si>
  <si>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</si>
  <si>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</si>
  <si>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</si>
  <si>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</si>
  <si>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</si>
  <si>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</si>
  <si>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</si>
  <si>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</si>
  <si>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</si>
  <si>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</si>
  <si>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</si>
  <si>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</si>
  <si>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</si>
  <si>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</si>
  <si>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</si>
  <si>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</si>
  <si>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</si>
  <si>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</si>
  <si>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</si>
  <si>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</si>
  <si>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</si>
  <si>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</si>
  <si>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</si>
  <si>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</si>
  <si>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</si>
  <si>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</si>
  <si>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</si>
  <si>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</si>
  <si>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</si>
  <si>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</si>
  <si>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</si>
  <si>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</si>
  <si>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</si>
  <si>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</si>
  <si>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</si>
  <si>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</si>
  <si>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</si>
  <si>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</si>
  <si>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</si>
  <si>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</si>
  <si>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</si>
  <si>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</si>
  <si>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</si>
  <si>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</si>
  <si>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</si>
  <si>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</si>
  <si>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</si>
  <si>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</si>
  <si>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</si>
  <si>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</si>
  <si>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</si>
  <si>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</si>
  <si>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</si>
  <si>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</si>
  <si>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</si>
  <si>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</si>
  <si>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</si>
  <si>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</si>
  <si>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</si>
  <si>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</si>
  <si>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</si>
  <si>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</si>
  <si>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</si>
  <si>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</si>
  <si>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</si>
  <si>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</si>
  <si>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</si>
  <si>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</si>
  <si>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</si>
  <si>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</si>
  <si>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</si>
  <si>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</si>
  <si>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</si>
  <si>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</si>
  <si>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</si>
  <si>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</si>
  <si>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</si>
  <si>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</si>
  <si>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</si>
  <si>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</si>
  <si>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</si>
  <si>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</si>
  <si>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</si>
  <si>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</si>
  <si>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</si>
  <si>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</si>
  <si>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</si>
  <si>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</si>
  <si>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</si>
  <si>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</si>
  <si>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</si>
  <si>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</si>
  <si>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</si>
  <si>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</si>
  <si>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</si>
  <si>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</si>
  <si>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</si>
  <si>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</si>
  <si>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</si>
  <si>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</si>
  <si>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</si>
  <si>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</si>
  <si>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</si>
  <si>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</si>
  <si>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</si>
  <si>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</si>
  <si>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</si>
  <si>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</si>
  <si>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</si>
  <si>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</si>
  <si>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</si>
  <si>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</si>
  <si>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</si>
  <si>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</si>
  <si>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</si>
  <si>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</si>
  <si>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</si>
  <si>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</si>
  <si>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</si>
  <si>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</si>
  <si>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</si>
  <si>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Adidas.</t>
  </si>
  <si>
    <t>Within the last 12 months, Morgan Stanley has provided or is providing investment banking services to,</t>
  </si>
  <si>
    <t>or has an investment banking client relationship with, the following company: Adidas.</t>
  </si>
  <si>
    <t>Within the last 12 months, Morgan Stanley has received compensation for products and services other than</t>
  </si>
  <si>
    <t>investment banking services from Adidas.</t>
  </si>
  <si>
    <t>In the next 3 months, Morgan Stanley expects to receive or intends to seek compensation for investment</t>
  </si>
  <si>
    <t>banking services from Adidas.</t>
  </si>
  <si>
    <t>As of March 29, 2018, Morgan Stanley beneficially owned 1% or more of a class of common equity</t>
  </si>
  <si>
    <t>securities of the following companies covered in Morgan Stanley Research: Adidas.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</si>
  <si>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</si>
  <si>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</si>
  <si>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</si>
  <si>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</si>
  <si>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</si>
  <si>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Elena Mariani.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</si>
  <si>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</si>
  <si>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</si>
  <si>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</si>
  <si>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</si>
  <si>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</si>
  <si>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</si>
  <si>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</si>
  <si>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</si>
  <si>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</si>
  <si>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</si>
  <si>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Morgan Stanley &amp; Co. International plc, authorized by the Prudential Regulatory Authority and regulated</t>
  </si>
  <si>
    <t>by the Financial Conduct Authority and the Prudential Regulatory Authority, disseminates in the UK</t>
  </si>
  <si>
    <t>research that it has prepared, and approves solely for the purposes of section 21 of the Financial</t>
  </si>
  <si>
    <t>Services and Markets Act 2000, research which has been prepared by any of its affiliates. As used in</t>
  </si>
  <si>
    <t>this disclosure section, Morgan Stanley includes RMB Morgan Stanley Proprietary Limited, Morgan Stanley</t>
  </si>
  <si>
    <t>&amp; Co International plc and its affiliates.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</si>
  <si>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</si>
  <si>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</si>
  <si>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</si>
  <si>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</si>
  <si>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</si>
  <si>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</si>
  <si>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</si>
  <si>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</si>
  <si>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</si>
  <si>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</si>
  <si>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</si>
  <si>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</si>
  <si>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</si>
  <si>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</si>
  <si>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</si>
  <si>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</si>
  <si>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</si>
  <si>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</si>
  <si>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</si>
  <si>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</si>
  <si>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</si>
  <si>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</si>
  <si>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</si>
  <si>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</si>
  <si>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</si>
  <si>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</si>
  <si>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</si>
  <si>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</si>
  <si>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</si>
  <si>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</si>
  <si>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</si>
  <si>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</si>
  <si>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</si>
  <si>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</si>
  <si>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</si>
  <si>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</si>
  <si>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</si>
  <si>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</si>
  <si>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</si>
  <si>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</si>
  <si>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</si>
  <si>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</si>
  <si>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</si>
  <si>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</si>
  <si>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</si>
  <si>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</si>
  <si>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</si>
  <si>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</si>
  <si>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</si>
  <si>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</si>
  <si>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</si>
  <si>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</si>
  <si>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</si>
  <si>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</si>
  <si>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rajanroh</t>
  </si>
  <si>
    <t>MSA692RV, MSA12846, MSA00PJK</t>
  </si>
  <si>
    <t>L:\Brands\2. Companies\Adidas\WIP\ADIDAS_WIP.xlsm</t>
  </si>
  <si>
    <t>[BRO MSA]</t>
  </si>
  <si>
    <t>[PRODUCT MODEL]</t>
  </si>
  <si>
    <t>[EMAIL_ALERT YES]</t>
  </si>
  <si>
    <t>[DISCIPLINE Company]</t>
  </si>
  <si>
    <t>[SUPPRESSED NO]</t>
  </si>
  <si>
    <t>[DOCDAT 2018-04-26]</t>
  </si>
  <si>
    <t>[DOCTIME 04:42]</t>
  </si>
  <si>
    <t>[PSYM ADSGn.DE(S&amp;P) (None)]</t>
  </si>
  <si>
    <t>[COU 20]</t>
  </si>
  <si>
    <t>[ANA MSA12846 MSA00PJK]</t>
  </si>
  <si>
    <t>[HL ADSGn.DE Model]</t>
  </si>
  <si>
    <t>[IND RETSPC]</t>
  </si>
  <si>
    <t>[PANA MSA692RV]</t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</si>
  <si>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</si>
  <si>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</si>
  <si>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</si>
  <si>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</si>
  <si>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</si>
  <si>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</si>
  <si>
    <t>3) Set Maximum Change = 0.001</t>
  </si>
  <si>
    <t>EPS - Fully Diluted, Adjusted ModelWare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</si>
</sst>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64" formatCode="_(&quot;£&quot;* #,##0.00_);_(&quot;£&quot;* \(#,##0.00\);_(&quot;£&quot;* &quot;-&quot;??_);_(@_)"/>
    <numFmt numFmtId="165" formatCode="_(* #,##0.00_);_(* \(#,##0.00\);_(* &quot;-&quot;??_);_(@_)"/>
    <numFmt numFmtId="166" formatCode="0.0"/>
    <numFmt numFmtId="167" formatCode="0.000"/>
    <numFmt numFmtId="168" formatCode="0.0%"/>
    <numFmt numFmtId="169" formatCode="#,##0\ &quot;DM&quot;;[Red]\-#,##0\ &quot;DM&quot;"/>
    <numFmt numFmtId="170" formatCode="#,##0.00\ &quot;DM&quot;;[Red]\-#,##0.00\ &quot;DM&quot;"/>
    <numFmt numFmtId="171" formatCode="#&quot;e&quot;"/>
    <numFmt numFmtId="172" formatCode="0.0000"/>
    <numFmt numFmtId="173" formatCode="0.000000"/>
    <numFmt numFmtId="174" formatCode="_-* #,##0.0_-;\-* #,##0.0_-;_-* &quot;-&quot;??_-;_-@_-"/>
    <numFmt numFmtId="175" formatCode="0.00000"/>
    <numFmt numFmtId="176" formatCode="_-* #,##0.00000_-;\-* #,##0.00000_-;_-* &quot;-&quot;??_-;_-@_-"/>
    <numFmt numFmtId="177" formatCode="_([$€-2]* #,##0.00_);_([$€-2]* \(#,##0.00\);_([$€-2]* &quot;-&quot;??_)"/>
    <numFmt numFmtId="178" formatCode="0.0000000"/>
    <numFmt numFmtId="179" formatCode="#"/>
    <numFmt numFmtId="180" formatCode="0.000%"/>
    <numFmt numFmtId="181" formatCode="0.00000000000000"/>
    <numFmt numFmtId="182" formatCode="0.0&quot;%&quot;"/>
    <numFmt numFmtId="183" formatCode="\+0.0&quot;%&quot;;\-0.0&quot;%&quot;"/>
    <numFmt numFmtId="184" formatCode="mm/dd/yy\ hh:mm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indexed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8"/>
      <color indexed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8"/>
      <color indexed="10"/>
      <name val="Arial"/>
      <family val="2"/>
    </font>
    <font>
      <b/>
      <u/>
      <sz val="8"/>
      <name val="Arial"/>
      <family val="2"/>
    </font>
    <font>
      <i/>
      <sz val="8"/>
      <color indexed="12"/>
      <name val="Arial"/>
      <family val="2"/>
    </font>
    <font>
      <sz val="11"/>
      <name val="Arial"/>
      <family val="2"/>
    </font>
    <font>
      <b/>
      <sz val="10"/>
      <color indexed="6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8"/>
      <color indexed="18"/>
      <name val="Arial"/>
      <family val="2"/>
    </font>
    <font>
      <b/>
      <u/>
      <sz val="12"/>
      <color indexed="9"/>
      <name val="Arial"/>
      <family val="2"/>
    </font>
    <font>
      <i/>
      <sz val="8"/>
      <color indexed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sz val="8"/>
      <color indexed="12"/>
      <name val="Arial"/>
      <family val="2"/>
    </font>
    <font>
      <sz val="10"/>
      <color indexed="17"/>
      <name val="Arial"/>
      <family val="2"/>
    </font>
    <font>
      <sz val="8"/>
      <color theme="3" tint="0.39994506668294322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i/>
      <sz val="8"/>
      <color rgb="FFFF0000"/>
      <name val="Arial"/>
      <family val="2"/>
    </font>
    <font>
      <sz val="10"/>
      <color rgb="FFFF0000"/>
      <name val="Arial"/>
      <family val="2"/>
    </font>
    <font>
      <b/>
      <i/>
      <sz val="8"/>
      <color rgb="FFFF0000"/>
      <name val="Arial"/>
      <family val="2"/>
    </font>
    <font>
      <sz val="8"/>
      <color rgb="FF0000FF"/>
      <name val="Arial"/>
      <family val="2"/>
    </font>
    <font>
      <b/>
      <sz val="8"/>
      <color rgb="FF0000FF"/>
      <name val="Arial"/>
      <family val="2"/>
    </font>
    <font>
      <sz val="8"/>
      <color theme="0"/>
      <name val="Arial"/>
      <family val="2"/>
    </font>
    <font>
      <b/>
      <i/>
      <sz val="8"/>
      <color rgb="FF0000FF"/>
      <name val="Arial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5">
    <xf numFmtId="0" fontId="0" fillId="0" borderId="0"/>
    <xf numFmtId="0" fontId="2" fillId="0" borderId="0"/>
    <xf numFmtId="0" fontId="54" fillId="0" borderId="0"/>
    <xf numFmtId="0" fontId="54" fillId="0" borderId="0"/>
    <xf numFmtId="0" fontId="16" fillId="0" borderId="0"/>
    <xf numFmtId="0" fontId="2" fillId="0" borderId="0"/>
    <xf numFmtId="0" fontId="16" fillId="0" borderId="0"/>
    <xf numFmtId="0" fontId="17" fillId="0" borderId="0"/>
    <xf numFmtId="0" fontId="17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9" fillId="12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9" borderId="0" applyNumberFormat="0" applyBorder="0" applyAlignment="0" applyProtection="0"/>
    <xf numFmtId="0" fontId="40" fillId="3" borderId="0" applyNumberFormat="0" applyBorder="0" applyAlignment="0" applyProtection="0"/>
    <xf numFmtId="0" fontId="29" fillId="0" borderId="0"/>
    <xf numFmtId="0" fontId="41" fillId="20" borderId="1" applyNumberFormat="0" applyAlignment="0" applyProtection="0"/>
    <xf numFmtId="0" fontId="42" fillId="21" borderId="2" applyNumberFormat="0" applyAlignment="0" applyProtection="0"/>
    <xf numFmtId="165" fontId="2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38" fontId="17" fillId="0" borderId="0" applyFont="0" applyFill="0" applyBorder="0" applyAlignment="0" applyProtection="0"/>
    <xf numFmtId="40" fontId="17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4" borderId="0" applyNumberFormat="0" applyBorder="0" applyAlignment="0" applyProtection="0"/>
    <xf numFmtId="0" fontId="58" fillId="0" borderId="0" applyNumberFormat="0" applyFill="0" applyBorder="0" applyAlignment="0" applyProtection="0"/>
    <xf numFmtId="0" fontId="45" fillId="0" borderId="3" applyNumberFormat="0" applyFill="0" applyAlignment="0" applyProtection="0"/>
    <xf numFmtId="0" fontId="46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47" fillId="7" borderId="1" applyNumberFormat="0" applyAlignment="0" applyProtection="0"/>
    <xf numFmtId="10" fontId="28" fillId="0" borderId="0" applyNumberFormat="0" applyFill="0" applyBorder="0" applyAlignment="0"/>
    <xf numFmtId="0" fontId="48" fillId="0" borderId="6" applyNumberFormat="0" applyFill="0" applyAlignment="0" applyProtection="0"/>
    <xf numFmtId="0" fontId="49" fillId="22" borderId="0" applyNumberFormat="0" applyBorder="0" applyAlignment="0" applyProtection="0"/>
    <xf numFmtId="0" fontId="16" fillId="0" borderId="0"/>
    <xf numFmtId="0" fontId="59" fillId="0" borderId="0"/>
    <xf numFmtId="0" fontId="16" fillId="0" borderId="0"/>
    <xf numFmtId="0" fontId="16" fillId="0" borderId="0"/>
    <xf numFmtId="0" fontId="59" fillId="0" borderId="0"/>
    <xf numFmtId="0" fontId="16" fillId="0" borderId="0"/>
    <xf numFmtId="0" fontId="59" fillId="0" borderId="0"/>
    <xf numFmtId="0" fontId="16" fillId="0" borderId="0"/>
    <xf numFmtId="0" fontId="36" fillId="23" borderId="7" applyNumberFormat="0" applyFont="0" applyAlignment="0" applyProtection="0"/>
    <xf numFmtId="0" fontId="50" fillId="20" borderId="8" applyNumberFormat="0" applyAlignment="0" applyProtection="0"/>
    <xf numFmtId="0" fontId="30" fillId="0" borderId="0">
      <alignment vertical="center"/>
    </xf>
    <xf numFmtId="9" fontId="2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54" fillId="0" borderId="0" applyFont="0" applyFill="0" applyBorder="0" applyAlignment="0" applyProtection="0"/>
    <xf numFmtId="0" fontId="16" fillId="24" borderId="0" applyNumberFormat="0" applyFont="0" applyBorder="0" applyAlignment="0" applyProtection="0"/>
    <xf numFmtId="0" fontId="31" fillId="0" borderId="0"/>
    <xf numFmtId="0" fontId="31" fillId="0" borderId="9">
      <alignment horizontal="centerContinuous"/>
    </xf>
    <xf numFmtId="0" fontId="32" fillId="0" borderId="9"/>
    <xf numFmtId="0" fontId="51" fillId="0" borderId="0" applyNumberFormat="0" applyFill="0" applyBorder="0" applyAlignment="0" applyProtection="0"/>
    <xf numFmtId="0" fontId="37" fillId="0" borderId="10" applyNumberFormat="0" applyFill="0" applyAlignment="0" applyProtection="0"/>
    <xf numFmtId="169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2" fillId="0" borderId="0"/>
    <xf numFmtId="0" fontId="6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2" fillId="24" borderId="0" applyNumberFormat="0" applyFont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0" fillId="0" borderId="0"/>
  </cellStyleXfs>
  <cellXfs count="298">
    <xf numFmtId="0" fontId="0" fillId="0" borderId="0" xfId="0"/>
    <xf numFmtId="0" fontId="3" fillId="0" borderId="0" xfId="0" applyFont="1"/>
    <xf numFmtId="0" fontId="4" fillId="0" borderId="0" xfId="0" applyFont="1"/>
    <xf numFmtId="0" fontId="5" fillId="26" borderId="0" xfId="0" applyFont="1" applyFill="1"/>
    <xf numFmtId="0" fontId="6" fillId="0" borderId="0" xfId="0" applyFont="1"/>
    <xf numFmtId="0" fontId="7" fillId="26" borderId="0" xfId="0" applyFont="1" applyFill="1"/>
    <xf numFmtId="166" fontId="4" fillId="0" borderId="0" xfId="0" applyNumberFormat="1" applyFont="1"/>
    <xf numFmtId="0" fontId="4" fillId="0" borderId="0" xfId="0" applyFont="1" applyAlignment="1">
      <alignment horizontal="right"/>
    </xf>
    <xf numFmtId="0" fontId="8" fillId="0" borderId="0" xfId="0" applyFont="1"/>
    <xf numFmtId="166" fontId="8" fillId="0" borderId="0" xfId="0" applyNumberFormat="1" applyFont="1"/>
    <xf numFmtId="2" fontId="4" fillId="0" borderId="0" xfId="0" applyNumberFormat="1" applyFont="1"/>
    <xf numFmtId="0" fontId="4" fillId="0" borderId="0" xfId="0" applyFont="1" applyFill="1"/>
    <xf numFmtId="2" fontId="8" fillId="0" borderId="0" xfId="0" applyNumberFormat="1" applyFont="1"/>
    <xf numFmtId="0" fontId="8" fillId="0" borderId="0" xfId="0" applyFont="1" applyFill="1"/>
    <xf numFmtId="166" fontId="4" fillId="0" borderId="0" xfId="0" applyNumberFormat="1" applyFont="1" applyFill="1"/>
    <xf numFmtId="166" fontId="6" fillId="0" borderId="0" xfId="0" applyNumberFormat="1" applyFont="1"/>
    <xf numFmtId="0" fontId="4" fillId="0" borderId="12" xfId="0" applyFont="1" applyBorder="1"/>
    <xf numFmtId="0" fontId="4" fillId="0" borderId="0" xfId="0" applyFont="1" applyBorder="1"/>
    <xf numFmtId="0" fontId="8" fillId="0" borderId="13" xfId="0" applyFont="1" applyBorder="1"/>
    <xf numFmtId="0" fontId="8" fillId="0" borderId="0" xfId="0" applyFont="1" applyBorder="1"/>
    <xf numFmtId="166" fontId="6" fillId="0" borderId="0" xfId="0" applyNumberFormat="1" applyFont="1" applyFill="1"/>
    <xf numFmtId="0" fontId="8" fillId="0" borderId="14" xfId="0" applyFont="1" applyBorder="1"/>
    <xf numFmtId="0" fontId="4" fillId="0" borderId="14" xfId="0" applyFont="1" applyBorder="1"/>
    <xf numFmtId="166" fontId="4" fillId="0" borderId="14" xfId="0" applyNumberFormat="1" applyFont="1" applyBorder="1"/>
    <xf numFmtId="166" fontId="10" fillId="25" borderId="15" xfId="0" applyNumberFormat="1" applyFont="1" applyFill="1" applyBorder="1"/>
    <xf numFmtId="0" fontId="8" fillId="27" borderId="0" xfId="0" applyFont="1" applyFill="1"/>
    <xf numFmtId="0" fontId="4" fillId="27" borderId="0" xfId="0" applyFont="1" applyFill="1"/>
    <xf numFmtId="166" fontId="11" fillId="25" borderId="15" xfId="0" applyNumberFormat="1" applyFont="1" applyFill="1" applyBorder="1"/>
    <xf numFmtId="1" fontId="4" fillId="0" borderId="0" xfId="0" applyNumberFormat="1" applyFont="1"/>
    <xf numFmtId="0" fontId="8" fillId="0" borderId="12" xfId="0" applyFont="1" applyBorder="1"/>
    <xf numFmtId="166" fontId="8" fillId="0" borderId="12" xfId="0" applyNumberFormat="1" applyFont="1" applyBorder="1"/>
    <xf numFmtId="0" fontId="12" fillId="0" borderId="0" xfId="0" applyFont="1"/>
    <xf numFmtId="0" fontId="6" fillId="0" borderId="12" xfId="0" applyFont="1" applyBorder="1"/>
    <xf numFmtId="166" fontId="6" fillId="0" borderId="12" xfId="0" applyNumberFormat="1" applyFont="1" applyBorder="1"/>
    <xf numFmtId="0" fontId="6" fillId="0" borderId="0" xfId="0" applyFont="1" applyBorder="1"/>
    <xf numFmtId="0" fontId="14" fillId="0" borderId="0" xfId="0" applyFont="1"/>
    <xf numFmtId="166" fontId="14" fillId="0" borderId="0" xfId="0" applyNumberFormat="1" applyFont="1"/>
    <xf numFmtId="166" fontId="12" fillId="0" borderId="0" xfId="0" applyNumberFormat="1" applyFont="1"/>
    <xf numFmtId="0" fontId="6" fillId="27" borderId="0" xfId="0" applyFont="1" applyFill="1"/>
    <xf numFmtId="166" fontId="4" fillId="0" borderId="0" xfId="0" applyNumberFormat="1" applyFont="1" applyFill="1" applyBorder="1"/>
    <xf numFmtId="166" fontId="8" fillId="0" borderId="14" xfId="0" applyNumberFormat="1" applyFont="1" applyBorder="1"/>
    <xf numFmtId="0" fontId="13" fillId="0" borderId="0" xfId="0" applyFont="1" applyFill="1"/>
    <xf numFmtId="0" fontId="8" fillId="0" borderId="14" xfId="0" applyFont="1" applyFill="1" applyBorder="1"/>
    <xf numFmtId="0" fontId="4" fillId="0" borderId="0" xfId="0" quotePrefix="1" applyFont="1"/>
    <xf numFmtId="168" fontId="4" fillId="0" borderId="0" xfId="0" applyNumberFormat="1" applyFont="1"/>
    <xf numFmtId="166" fontId="10" fillId="0" borderId="0" xfId="0" applyNumberFormat="1" applyFont="1" applyFill="1" applyBorder="1"/>
    <xf numFmtId="166" fontId="14" fillId="0" borderId="0" xfId="0" applyNumberFormat="1" applyFont="1" applyFill="1"/>
    <xf numFmtId="0" fontId="4" fillId="0" borderId="0" xfId="0" applyFont="1" applyFill="1" applyBorder="1"/>
    <xf numFmtId="0" fontId="9" fillId="0" borderId="0" xfId="0" applyFont="1" applyFill="1"/>
    <xf numFmtId="171" fontId="5" fillId="26" borderId="0" xfId="0" applyNumberFormat="1" applyFont="1" applyFill="1"/>
    <xf numFmtId="171" fontId="6" fillId="27" borderId="0" xfId="0" applyNumberFormat="1" applyFont="1" applyFill="1"/>
    <xf numFmtId="172" fontId="4" fillId="0" borderId="0" xfId="0" applyNumberFormat="1" applyFont="1"/>
    <xf numFmtId="166" fontId="8" fillId="0" borderId="0" xfId="0" applyNumberFormat="1" applyFont="1" applyFill="1" applyBorder="1"/>
    <xf numFmtId="0" fontId="19" fillId="0" borderId="0" xfId="0" applyFont="1"/>
    <xf numFmtId="166" fontId="8" fillId="0" borderId="0" xfId="0" applyNumberFormat="1" applyFont="1" applyBorder="1"/>
    <xf numFmtId="166" fontId="8" fillId="0" borderId="0" xfId="0" applyNumberFormat="1" applyFont="1" applyFill="1"/>
    <xf numFmtId="0" fontId="8" fillId="0" borderId="11" xfId="0" applyFont="1" applyBorder="1"/>
    <xf numFmtId="0" fontId="23" fillId="0" borderId="12" xfId="0" applyFont="1" applyBorder="1"/>
    <xf numFmtId="0" fontId="6" fillId="0" borderId="0" xfId="0" applyFont="1" applyFill="1"/>
    <xf numFmtId="0" fontId="5" fillId="26" borderId="0" xfId="0" applyFont="1" applyFill="1" applyAlignment="1">
      <alignment horizontal="right"/>
    </xf>
    <xf numFmtId="0" fontId="4" fillId="25" borderId="0" xfId="0" applyFont="1" applyFill="1"/>
    <xf numFmtId="0" fontId="8" fillId="0" borderId="11" xfId="0" applyFont="1" applyFill="1" applyBorder="1"/>
    <xf numFmtId="166" fontId="8" fillId="0" borderId="11" xfId="0" applyNumberFormat="1" applyFont="1" applyFill="1" applyBorder="1"/>
    <xf numFmtId="0" fontId="14" fillId="0" borderId="0" xfId="0" applyFont="1" applyFill="1"/>
    <xf numFmtId="166" fontId="4" fillId="0" borderId="12" xfId="0" applyNumberFormat="1" applyFont="1" applyFill="1" applyBorder="1"/>
    <xf numFmtId="171" fontId="7" fillId="26" borderId="0" xfId="0" applyNumberFormat="1" applyFont="1" applyFill="1"/>
    <xf numFmtId="0" fontId="14" fillId="0" borderId="0" xfId="0" quotePrefix="1" applyFont="1"/>
    <xf numFmtId="9" fontId="4" fillId="0" borderId="0" xfId="0" applyNumberFormat="1" applyFont="1"/>
    <xf numFmtId="0" fontId="8" fillId="0" borderId="0" xfId="0" applyFont="1" applyFill="1" applyAlignment="1">
      <alignment horizontal="right"/>
    </xf>
    <xf numFmtId="166" fontId="6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1" fontId="14" fillId="0" borderId="0" xfId="0" applyNumberFormat="1" applyFont="1" applyAlignment="1">
      <alignment horizontal="right"/>
    </xf>
    <xf numFmtId="1" fontId="4" fillId="0" borderId="0" xfId="0" applyNumberFormat="1" applyFont="1" applyFill="1"/>
    <xf numFmtId="166" fontId="4" fillId="0" borderId="0" xfId="65" applyNumberFormat="1" applyFont="1"/>
    <xf numFmtId="2" fontId="4" fillId="0" borderId="0" xfId="0" applyNumberFormat="1" applyFont="1" applyFill="1"/>
    <xf numFmtId="166" fontId="9" fillId="0" borderId="0" xfId="0" applyNumberFormat="1" applyFont="1"/>
    <xf numFmtId="0" fontId="8" fillId="0" borderId="12" xfId="0" applyFont="1" applyFill="1" applyBorder="1"/>
    <xf numFmtId="0" fontId="4" fillId="0" borderId="12" xfId="0" applyFont="1" applyFill="1" applyBorder="1"/>
    <xf numFmtId="166" fontId="8" fillId="0" borderId="12" xfId="0" applyNumberFormat="1" applyFont="1" applyFill="1" applyBorder="1"/>
    <xf numFmtId="0" fontId="8" fillId="0" borderId="12" xfId="0" quotePrefix="1" applyFont="1" applyBorder="1" applyAlignment="1">
      <alignment horizontal="right"/>
    </xf>
    <xf numFmtId="0" fontId="8" fillId="25" borderId="16" xfId="0" applyFont="1" applyFill="1" applyBorder="1"/>
    <xf numFmtId="166" fontId="8" fillId="25" borderId="16" xfId="0" applyNumberFormat="1" applyFont="1" applyFill="1" applyBorder="1"/>
    <xf numFmtId="166" fontId="4" fillId="0" borderId="0" xfId="0" applyNumberFormat="1" applyFont="1" applyBorder="1"/>
    <xf numFmtId="1" fontId="5" fillId="26" borderId="0" xfId="0" applyNumberFormat="1" applyFont="1" applyFill="1"/>
    <xf numFmtId="0" fontId="4" fillId="25" borderId="16" xfId="0" applyFont="1" applyFill="1" applyBorder="1"/>
    <xf numFmtId="166" fontId="9" fillId="0" borderId="0" xfId="0" applyNumberFormat="1" applyFont="1" applyFill="1"/>
    <xf numFmtId="2" fontId="15" fillId="25" borderId="15" xfId="0" applyNumberFormat="1" applyFont="1" applyFill="1" applyBorder="1"/>
    <xf numFmtId="1" fontId="6" fillId="0" borderId="0" xfId="0" applyNumberFormat="1" applyFont="1" applyFill="1"/>
    <xf numFmtId="1" fontId="8" fillId="0" borderId="0" xfId="0" applyNumberFormat="1" applyFont="1" applyFill="1"/>
    <xf numFmtId="174" fontId="4" fillId="0" borderId="0" xfId="37" applyNumberFormat="1" applyFont="1" applyFill="1"/>
    <xf numFmtId="0" fontId="6" fillId="0" borderId="0" xfId="0" applyFont="1" applyFill="1" applyBorder="1"/>
    <xf numFmtId="172" fontId="4" fillId="0" borderId="0" xfId="0" applyNumberFormat="1" applyFont="1" applyFill="1"/>
    <xf numFmtId="166" fontId="14" fillId="0" borderId="0" xfId="0" applyNumberFormat="1" applyFont="1" applyAlignment="1">
      <alignment horizontal="right"/>
    </xf>
    <xf numFmtId="166" fontId="14" fillId="0" borderId="0" xfId="0" applyNumberFormat="1" applyFont="1" applyFill="1" applyAlignment="1">
      <alignment horizontal="right"/>
    </xf>
    <xf numFmtId="175" fontId="4" fillId="0" borderId="0" xfId="0" applyNumberFormat="1" applyFont="1"/>
    <xf numFmtId="176" fontId="4" fillId="0" borderId="0" xfId="37" applyNumberFormat="1" applyFont="1" applyBorder="1"/>
    <xf numFmtId="166" fontId="4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right"/>
    </xf>
    <xf numFmtId="0" fontId="6" fillId="27" borderId="0" xfId="0" applyNumberFormat="1" applyFont="1" applyFill="1"/>
    <xf numFmtId="166" fontId="8" fillId="0" borderId="0" xfId="0" applyNumberFormat="1" applyFont="1" applyAlignment="1">
      <alignment horizontal="right"/>
    </xf>
    <xf numFmtId="0" fontId="26" fillId="0" borderId="0" xfId="0" applyFont="1"/>
    <xf numFmtId="2" fontId="8" fillId="0" borderId="0" xfId="0" applyNumberFormat="1" applyFont="1" applyAlignment="1">
      <alignment horizontal="right"/>
    </xf>
    <xf numFmtId="174" fontId="4" fillId="0" borderId="0" xfId="37" applyNumberFormat="1" applyFont="1"/>
    <xf numFmtId="166" fontId="8" fillId="0" borderId="14" xfId="0" applyNumberFormat="1" applyFont="1" applyFill="1" applyBorder="1"/>
    <xf numFmtId="0" fontId="14" fillId="0" borderId="0" xfId="0" applyFont="1" applyFill="1" applyBorder="1"/>
    <xf numFmtId="0" fontId="14" fillId="0" borderId="12" xfId="0" applyFont="1" applyFill="1" applyBorder="1"/>
    <xf numFmtId="9" fontId="10" fillId="0" borderId="0" xfId="65" applyFont="1" applyFill="1" applyBorder="1"/>
    <xf numFmtId="1" fontId="8" fillId="0" borderId="0" xfId="0" applyNumberFormat="1" applyFont="1"/>
    <xf numFmtId="1" fontId="6" fillId="0" borderId="0" xfId="0" applyNumberFormat="1" applyFont="1" applyFill="1" applyBorder="1"/>
    <xf numFmtId="1" fontId="6" fillId="0" borderId="0" xfId="0" applyNumberFormat="1" applyFont="1"/>
    <xf numFmtId="0" fontId="8" fillId="25" borderId="0" xfId="0" applyFont="1" applyFill="1"/>
    <xf numFmtId="0" fontId="6" fillId="25" borderId="0" xfId="0" applyNumberFormat="1" applyFont="1" applyFill="1"/>
    <xf numFmtId="171" fontId="6" fillId="25" borderId="0" xfId="0" applyNumberFormat="1" applyFont="1" applyFill="1"/>
    <xf numFmtId="166" fontId="24" fillId="25" borderId="15" xfId="0" applyNumberFormat="1" applyFont="1" applyFill="1" applyBorder="1"/>
    <xf numFmtId="0" fontId="5" fillId="26" borderId="0" xfId="0" applyFont="1" applyFill="1" applyBorder="1"/>
    <xf numFmtId="0" fontId="14" fillId="0" borderId="0" xfId="0" applyFont="1" applyBorder="1"/>
    <xf numFmtId="1" fontId="4" fillId="0" borderId="0" xfId="0" applyNumberFormat="1" applyFont="1" applyBorder="1"/>
    <xf numFmtId="1" fontId="8" fillId="0" borderId="0" xfId="0" applyNumberFormat="1" applyFont="1" applyFill="1" applyBorder="1"/>
    <xf numFmtId="1" fontId="4" fillId="0" borderId="0" xfId="0" applyNumberFormat="1" applyFont="1" applyFill="1" applyBorder="1"/>
    <xf numFmtId="0" fontId="12" fillId="0" borderId="0" xfId="0" applyFont="1" applyFill="1" applyBorder="1"/>
    <xf numFmtId="1" fontId="6" fillId="0" borderId="0" xfId="0" applyNumberFormat="1" applyFont="1" applyBorder="1"/>
    <xf numFmtId="168" fontId="4" fillId="0" borderId="0" xfId="65" applyNumberFormat="1" applyFont="1" applyFill="1"/>
    <xf numFmtId="177" fontId="4" fillId="0" borderId="0" xfId="0" applyNumberFormat="1" applyFont="1" applyFill="1"/>
    <xf numFmtId="1" fontId="8" fillId="0" borderId="17" xfId="0" applyNumberFormat="1" applyFont="1" applyFill="1" applyBorder="1"/>
    <xf numFmtId="1" fontId="8" fillId="0" borderId="12" xfId="0" applyNumberFormat="1" applyFont="1" applyFill="1" applyBorder="1"/>
    <xf numFmtId="1" fontId="8" fillId="0" borderId="12" xfId="0" applyNumberFormat="1" applyFont="1" applyBorder="1"/>
    <xf numFmtId="1" fontId="8" fillId="0" borderId="13" xfId="0" applyNumberFormat="1" applyFont="1" applyFill="1" applyBorder="1"/>
    <xf numFmtId="0" fontId="6" fillId="0" borderId="0" xfId="0" applyNumberFormat="1" applyFont="1" applyFill="1"/>
    <xf numFmtId="171" fontId="6" fillId="0" borderId="0" xfId="0" applyNumberFormat="1" applyFont="1" applyFill="1"/>
    <xf numFmtId="0" fontId="33" fillId="0" borderId="0" xfId="0" applyFont="1"/>
    <xf numFmtId="0" fontId="22" fillId="0" borderId="0" xfId="0" applyFont="1" applyFill="1"/>
    <xf numFmtId="0" fontId="33" fillId="0" borderId="0" xfId="0" applyFont="1" applyFill="1"/>
    <xf numFmtId="166" fontId="10" fillId="25" borderId="15" xfId="0" applyNumberFormat="1" applyFont="1" applyFill="1" applyBorder="1" applyAlignment="1">
      <alignment horizontal="right"/>
    </xf>
    <xf numFmtId="166" fontId="4" fillId="0" borderId="14" xfId="0" applyNumberFormat="1" applyFont="1" applyBorder="1" applyAlignment="1">
      <alignment horizontal="right"/>
    </xf>
    <xf numFmtId="0" fontId="22" fillId="0" borderId="0" xfId="0" applyFont="1"/>
    <xf numFmtId="166" fontId="8" fillId="0" borderId="14" xfId="0" applyNumberFormat="1" applyFont="1" applyBorder="1" applyAlignment="1">
      <alignment horizontal="right"/>
    </xf>
    <xf numFmtId="2" fontId="4" fillId="0" borderId="0" xfId="37" applyNumberFormat="1" applyFont="1" applyFill="1"/>
    <xf numFmtId="166" fontId="4" fillId="0" borderId="0" xfId="0" applyNumberFormat="1" applyFont="1" applyFill="1" applyAlignment="1">
      <alignment horizontal="right"/>
    </xf>
    <xf numFmtId="167" fontId="8" fillId="0" borderId="14" xfId="0" applyNumberFormat="1" applyFont="1" applyFill="1" applyBorder="1"/>
    <xf numFmtId="166" fontId="12" fillId="0" borderId="0" xfId="0" applyNumberFormat="1" applyFont="1" applyAlignment="1">
      <alignment horizontal="right"/>
    </xf>
    <xf numFmtId="0" fontId="14" fillId="0" borderId="0" xfId="0" quotePrefix="1" applyFont="1" applyFill="1"/>
    <xf numFmtId="0" fontId="8" fillId="27" borderId="0" xfId="0" applyFont="1" applyFill="1" applyBorder="1" applyAlignment="1">
      <alignment horizontal="left"/>
    </xf>
    <xf numFmtId="171" fontId="5" fillId="26" borderId="0" xfId="0" applyNumberFormat="1" applyFont="1" applyFill="1" applyBorder="1" applyAlignment="1">
      <alignment horizontal="right"/>
    </xf>
    <xf numFmtId="171" fontId="5" fillId="26" borderId="0" xfId="0" applyNumberFormat="1" applyFont="1" applyFill="1" applyBorder="1"/>
    <xf numFmtId="2" fontId="6" fillId="0" borderId="0" xfId="0" applyNumberFormat="1" applyFont="1" applyFill="1" applyBorder="1" applyAlignment="1">
      <alignment horizontal="right"/>
    </xf>
    <xf numFmtId="2" fontId="11" fillId="25" borderId="15" xfId="0" applyNumberFormat="1" applyFont="1" applyFill="1" applyBorder="1" applyAlignment="1">
      <alignment horizontal="right"/>
    </xf>
    <xf numFmtId="0" fontId="4" fillId="0" borderId="0" xfId="0" applyFont="1" applyFill="1" applyAlignment="1">
      <alignment horizontal="right"/>
    </xf>
    <xf numFmtId="0" fontId="8" fillId="0" borderId="13" xfId="0" applyFont="1" applyFill="1" applyBorder="1"/>
    <xf numFmtId="2" fontId="8" fillId="0" borderId="0" xfId="0" applyNumberFormat="1" applyFont="1" applyFill="1"/>
    <xf numFmtId="0" fontId="34" fillId="28" borderId="0" xfId="49" applyFont="1" applyFill="1" applyAlignment="1" applyProtection="1">
      <alignment horizontal="center"/>
    </xf>
    <xf numFmtId="9" fontId="4" fillId="0" borderId="0" xfId="65" applyFont="1"/>
    <xf numFmtId="168" fontId="4" fillId="0" borderId="0" xfId="65" applyNumberFormat="1" applyFont="1"/>
    <xf numFmtId="1" fontId="14" fillId="0" borderId="0" xfId="0" applyNumberFormat="1" applyFont="1" applyFill="1" applyAlignment="1">
      <alignment horizontal="right"/>
    </xf>
    <xf numFmtId="1" fontId="4" fillId="0" borderId="0" xfId="0" applyNumberFormat="1" applyFont="1" applyBorder="1" applyAlignment="1">
      <alignment horizontal="right"/>
    </xf>
    <xf numFmtId="178" fontId="6" fillId="0" borderId="0" xfId="0" applyNumberFormat="1" applyFont="1"/>
    <xf numFmtId="166" fontId="6" fillId="0" borderId="0" xfId="0" applyNumberFormat="1" applyFont="1" applyFill="1" applyAlignment="1">
      <alignment horizontal="right"/>
    </xf>
    <xf numFmtId="166" fontId="6" fillId="0" borderId="14" xfId="0" applyNumberFormat="1" applyFont="1" applyFill="1" applyBorder="1" applyAlignment="1">
      <alignment horizontal="right"/>
    </xf>
    <xf numFmtId="1" fontId="6" fillId="0" borderId="0" xfId="0" applyNumberFormat="1" applyFont="1" applyFill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quotePrefix="1" applyFont="1" applyAlignment="1">
      <alignment horizontal="right"/>
    </xf>
    <xf numFmtId="166" fontId="35" fillId="0" borderId="0" xfId="0" applyNumberFormat="1" applyFont="1" applyFill="1"/>
    <xf numFmtId="2" fontId="8" fillId="0" borderId="0" xfId="0" applyNumberFormat="1" applyFont="1" applyFill="1" applyAlignment="1">
      <alignment horizontal="right"/>
    </xf>
    <xf numFmtId="1" fontId="5" fillId="26" borderId="0" xfId="0" applyNumberFormat="1" applyFont="1" applyFill="1" applyBorder="1" applyAlignment="1">
      <alignment horizontal="right"/>
    </xf>
    <xf numFmtId="2" fontId="6" fillId="0" borderId="0" xfId="0" applyNumberFormat="1" applyFont="1" applyFill="1" applyAlignment="1">
      <alignment horizontal="right"/>
    </xf>
    <xf numFmtId="166" fontId="0" fillId="0" borderId="0" xfId="0" applyNumberFormat="1"/>
    <xf numFmtId="0" fontId="8" fillId="24" borderId="0" xfId="0" applyFont="1" applyFill="1"/>
    <xf numFmtId="2" fontId="14" fillId="0" borderId="0" xfId="0" applyNumberFormat="1" applyFont="1" applyFill="1" applyAlignment="1">
      <alignment horizontal="right"/>
    </xf>
    <xf numFmtId="180" fontId="4" fillId="0" borderId="0" xfId="65" applyNumberFormat="1" applyFont="1" applyFill="1"/>
    <xf numFmtId="0" fontId="7" fillId="26" borderId="0" xfId="0" applyNumberFormat="1" applyFont="1" applyFill="1"/>
    <xf numFmtId="0" fontId="6" fillId="0" borderId="0" xfId="0" applyFont="1" applyFill="1" applyAlignment="1">
      <alignment horizontal="right"/>
    </xf>
    <xf numFmtId="9" fontId="6" fillId="0" borderId="0" xfId="65" applyFont="1" applyFill="1" applyAlignment="1">
      <alignment horizontal="right"/>
    </xf>
    <xf numFmtId="9" fontId="8" fillId="0" borderId="0" xfId="65" applyFont="1" applyFill="1" applyAlignment="1">
      <alignment horizontal="right"/>
    </xf>
    <xf numFmtId="171" fontId="8" fillId="27" borderId="0" xfId="0" applyNumberFormat="1" applyFont="1" applyFill="1" applyBorder="1" applyAlignment="1">
      <alignment horizontal="right"/>
    </xf>
    <xf numFmtId="2" fontId="8" fillId="24" borderId="0" xfId="0" applyNumberFormat="1" applyFont="1" applyFill="1"/>
    <xf numFmtId="0" fontId="5" fillId="26" borderId="0" xfId="0" applyNumberFormat="1" applyFont="1" applyFill="1"/>
    <xf numFmtId="0" fontId="4" fillId="0" borderId="0" xfId="0" applyFont="1" applyAlignment="1">
      <alignment horizontal="left"/>
    </xf>
    <xf numFmtId="171" fontId="4" fillId="0" borderId="0" xfId="0" applyNumberFormat="1" applyFont="1" applyFill="1"/>
    <xf numFmtId="166" fontId="12" fillId="0" borderId="0" xfId="0" applyNumberFormat="1" applyFont="1" applyFill="1"/>
    <xf numFmtId="167" fontId="12" fillId="0" borderId="0" xfId="0" applyNumberFormat="1" applyFont="1"/>
    <xf numFmtId="166" fontId="6" fillId="0" borderId="14" xfId="0" applyNumberFormat="1" applyFont="1" applyBorder="1" applyAlignment="1">
      <alignment horizontal="right"/>
    </xf>
    <xf numFmtId="0" fontId="0" fillId="0" borderId="0" xfId="0" applyFill="1"/>
    <xf numFmtId="1" fontId="4" fillId="0" borderId="0" xfId="65" applyNumberFormat="1" applyFont="1"/>
    <xf numFmtId="9" fontId="4" fillId="0" borderId="0" xfId="65" applyFont="1" applyFill="1" applyBorder="1"/>
    <xf numFmtId="2" fontId="12" fillId="0" borderId="0" xfId="0" applyNumberFormat="1" applyFont="1" applyFill="1"/>
    <xf numFmtId="0" fontId="53" fillId="0" borderId="0" xfId="0" applyFont="1"/>
    <xf numFmtId="9" fontId="4" fillId="0" borderId="0" xfId="65" applyFont="1" applyFill="1"/>
    <xf numFmtId="168" fontId="6" fillId="0" borderId="0" xfId="65" applyNumberFormat="1" applyFont="1" applyFill="1"/>
    <xf numFmtId="181" fontId="4" fillId="0" borderId="0" xfId="0" applyNumberFormat="1" applyFont="1" applyFill="1"/>
    <xf numFmtId="176" fontId="4" fillId="0" borderId="0" xfId="37" applyNumberFormat="1" applyFont="1" applyFill="1"/>
    <xf numFmtId="166" fontId="61" fillId="0" borderId="0" xfId="0" applyNumberFormat="1" applyFont="1"/>
    <xf numFmtId="0" fontId="55" fillId="0" borderId="0" xfId="0" applyFont="1"/>
    <xf numFmtId="0" fontId="16" fillId="29" borderId="0" xfId="54" applyFill="1"/>
    <xf numFmtId="0" fontId="18" fillId="29" borderId="0" xfId="0" applyFont="1" applyFill="1" applyAlignment="1">
      <alignment vertical="top"/>
    </xf>
    <xf numFmtId="0" fontId="16" fillId="29" borderId="0" xfId="54" applyFill="1" applyAlignment="1">
      <alignment vertical="top"/>
    </xf>
    <xf numFmtId="0" fontId="18" fillId="29" borderId="0" xfId="0" applyFont="1" applyFill="1" applyAlignment="1">
      <alignment horizontal="left" vertical="top"/>
    </xf>
    <xf numFmtId="0" fontId="27" fillId="26" borderId="0" xfId="54" applyFont="1" applyFill="1" applyBorder="1" applyAlignment="1">
      <alignment vertical="center"/>
    </xf>
    <xf numFmtId="0" fontId="18" fillId="29" borderId="0" xfId="54" applyFont="1" applyFill="1" applyAlignment="1">
      <alignment vertical="top"/>
    </xf>
    <xf numFmtId="0" fontId="20" fillId="29" borderId="0" xfId="54" applyFont="1" applyFill="1" applyAlignment="1">
      <alignment vertical="top"/>
    </xf>
    <xf numFmtId="0" fontId="19" fillId="29" borderId="19" xfId="54" applyFont="1" applyFill="1" applyBorder="1" applyAlignment="1">
      <alignment vertical="center"/>
    </xf>
    <xf numFmtId="0" fontId="16" fillId="29" borderId="0" xfId="61" applyFont="1" applyFill="1"/>
    <xf numFmtId="0" fontId="28" fillId="29" borderId="0" xfId="61" applyFont="1" applyFill="1"/>
    <xf numFmtId="0" fontId="57" fillId="29" borderId="0" xfId="61" applyFont="1" applyFill="1"/>
    <xf numFmtId="0" fontId="16" fillId="29" borderId="0" xfId="54" applyFill="1" applyBorder="1"/>
    <xf numFmtId="0" fontId="8" fillId="30" borderId="0" xfId="0" applyFont="1" applyFill="1"/>
    <xf numFmtId="0" fontId="4" fillId="30" borderId="0" xfId="0" applyFont="1" applyFill="1"/>
    <xf numFmtId="168" fontId="4" fillId="30" borderId="0" xfId="0" applyNumberFormat="1" applyFont="1" applyFill="1"/>
    <xf numFmtId="166" fontId="4" fillId="30" borderId="0" xfId="0" applyNumberFormat="1" applyFont="1" applyFill="1"/>
    <xf numFmtId="1" fontId="4" fillId="30" borderId="0" xfId="0" applyNumberFormat="1" applyFont="1" applyFill="1"/>
    <xf numFmtId="172" fontId="4" fillId="30" borderId="0" xfId="0" applyNumberFormat="1" applyFont="1" applyFill="1"/>
    <xf numFmtId="166" fontId="8" fillId="30" borderId="0" xfId="0" applyNumberFormat="1" applyFont="1" applyFill="1"/>
    <xf numFmtId="166" fontId="4" fillId="30" borderId="0" xfId="37" applyNumberFormat="1" applyFont="1" applyFill="1"/>
    <xf numFmtId="174" fontId="4" fillId="30" borderId="0" xfId="37" applyNumberFormat="1" applyFont="1" applyFill="1"/>
    <xf numFmtId="0" fontId="8" fillId="30" borderId="11" xfId="0" applyFont="1" applyFill="1" applyBorder="1"/>
    <xf numFmtId="0" fontId="12" fillId="0" borderId="0" xfId="0" quotePrefix="1" applyFont="1" applyFill="1"/>
    <xf numFmtId="0" fontId="19" fillId="0" borderId="0" xfId="0" applyFont="1" applyFill="1"/>
    <xf numFmtId="1" fontId="62" fillId="0" borderId="0" xfId="0" applyNumberFormat="1" applyFont="1"/>
    <xf numFmtId="1" fontId="10" fillId="0" borderId="0" xfId="0" applyNumberFormat="1" applyFont="1" applyFill="1" applyBorder="1"/>
    <xf numFmtId="0" fontId="63" fillId="0" borderId="0" xfId="0" applyFont="1"/>
    <xf numFmtId="166" fontId="64" fillId="0" borderId="0" xfId="0" applyNumberFormat="1" applyFont="1" applyFill="1"/>
    <xf numFmtId="166" fontId="60" fillId="0" borderId="0" xfId="0" applyNumberFormat="1" applyFont="1" applyAlignment="1"/>
    <xf numFmtId="166" fontId="4" fillId="31" borderId="0" xfId="0" applyNumberFormat="1" applyFont="1" applyFill="1"/>
    <xf numFmtId="3" fontId="4" fillId="0" borderId="0" xfId="0" applyNumberFormat="1" applyFont="1"/>
    <xf numFmtId="49" fontId="0" fillId="0" borderId="0" xfId="0" applyNumberFormat="1"/>
    <xf numFmtId="0" fontId="2" fillId="0" borderId="0" xfId="0" applyFont="1"/>
    <xf numFmtId="0" fontId="67" fillId="0" borderId="0" xfId="0" applyFont="1" applyFill="1"/>
    <xf numFmtId="166" fontId="65" fillId="0" borderId="0" xfId="0" applyNumberFormat="1" applyFont="1" applyAlignment="1">
      <alignment horizontal="right"/>
    </xf>
    <xf numFmtId="173" fontId="4" fillId="0" borderId="0" xfId="0" applyNumberFormat="1" applyFont="1" applyFill="1" applyBorder="1"/>
    <xf numFmtId="166" fontId="60" fillId="0" borderId="0" xfId="0" applyNumberFormat="1" applyFont="1"/>
    <xf numFmtId="166" fontId="62" fillId="0" borderId="0" xfId="0" applyNumberFormat="1" applyFont="1"/>
    <xf numFmtId="166" fontId="67" fillId="0" borderId="0" xfId="0" applyNumberFormat="1" applyFont="1"/>
    <xf numFmtId="166" fontId="14" fillId="0" borderId="12" xfId="0" applyNumberFormat="1" applyFont="1" applyFill="1" applyBorder="1" applyAlignment="1">
      <alignment horizontal="right"/>
    </xf>
    <xf numFmtId="1" fontId="60" fillId="0" borderId="0" xfId="0" applyNumberFormat="1" applyFont="1"/>
    <xf numFmtId="2" fontId="10" fillId="25" borderId="15" xfId="0" applyNumberFormat="1" applyFont="1" applyFill="1" applyBorder="1" applyAlignment="1">
      <alignment horizontal="right"/>
    </xf>
    <xf numFmtId="0" fontId="19" fillId="29" borderId="0" xfId="54" applyFont="1" applyFill="1"/>
    <xf numFmtId="0" fontId="21" fillId="29" borderId="0" xfId="49" applyFill="1" applyAlignment="1" applyProtection="1"/>
    <xf numFmtId="0" fontId="2" fillId="0" borderId="0" xfId="77"/>
    <xf numFmtId="166" fontId="65" fillId="0" borderId="0" xfId="0" applyNumberFormat="1" applyFont="1" applyFill="1" applyAlignment="1">
      <alignment horizontal="right"/>
    </xf>
    <xf numFmtId="166" fontId="66" fillId="0" borderId="14" xfId="0" applyNumberFormat="1" applyFont="1" applyBorder="1" applyAlignment="1">
      <alignment horizontal="right"/>
    </xf>
    <xf numFmtId="166" fontId="65" fillId="0" borderId="0" xfId="0" applyNumberFormat="1" applyFont="1"/>
    <xf numFmtId="2" fontId="65" fillId="0" borderId="0" xfId="0" applyNumberFormat="1" applyFont="1" applyFill="1"/>
    <xf numFmtId="166" fontId="65" fillId="0" borderId="0" xfId="0" applyNumberFormat="1" applyFont="1" applyFill="1"/>
    <xf numFmtId="0" fontId="65" fillId="0" borderId="0" xfId="0" applyFont="1"/>
    <xf numFmtId="1" fontId="65" fillId="0" borderId="0" xfId="0" applyNumberFormat="1" applyFont="1" applyFill="1"/>
    <xf numFmtId="1" fontId="65" fillId="0" borderId="0" xfId="0" applyNumberFormat="1" applyFont="1"/>
    <xf numFmtId="0" fontId="27" fillId="26" borderId="0" xfId="0" applyFont="1" applyFill="1" applyBorder="1"/>
    <xf numFmtId="3" fontId="10" fillId="0" borderId="0" xfId="0" applyNumberFormat="1" applyFont="1" applyFill="1" applyBorder="1"/>
    <xf numFmtId="3" fontId="8" fillId="0" borderId="11" xfId="0" applyNumberFormat="1" applyFont="1" applyFill="1" applyBorder="1" applyAlignment="1">
      <alignment horizontal="right"/>
    </xf>
    <xf numFmtId="3" fontId="4" fillId="0" borderId="0" xfId="0" applyNumberFormat="1" applyFont="1" applyFill="1" applyBorder="1"/>
    <xf numFmtId="179" fontId="8" fillId="27" borderId="0" xfId="0" applyNumberFormat="1" applyFont="1" applyFill="1" applyBorder="1" applyAlignment="1">
      <alignment horizontal="right"/>
    </xf>
    <xf numFmtId="3" fontId="8" fillId="30" borderId="11" xfId="0" applyNumberFormat="1" applyFont="1" applyFill="1" applyBorder="1" applyAlignment="1">
      <alignment horizontal="right"/>
    </xf>
    <xf numFmtId="3" fontId="10" fillId="0" borderId="11" xfId="0" applyNumberFormat="1" applyFont="1" applyFill="1" applyBorder="1"/>
    <xf numFmtId="3" fontId="4" fillId="0" borderId="11" xfId="0" applyNumberFormat="1" applyFont="1" applyFill="1" applyBorder="1"/>
    <xf numFmtId="3" fontId="66" fillId="0" borderId="11" xfId="0" applyNumberFormat="1" applyFont="1" applyFill="1" applyBorder="1" applyAlignment="1">
      <alignment horizontal="right"/>
    </xf>
    <xf numFmtId="3" fontId="8" fillId="0" borderId="0" xfId="0" applyNumberFormat="1" applyFont="1" applyFill="1" applyBorder="1"/>
    <xf numFmtId="0" fontId="0" fillId="0" borderId="12" xfId="0" applyBorder="1" applyAlignment="1">
      <alignment horizontal="right"/>
    </xf>
    <xf numFmtId="182" fontId="4" fillId="0" borderId="0" xfId="65" applyNumberFormat="1" applyFont="1"/>
    <xf numFmtId="182" fontId="10" fillId="25" borderId="15" xfId="0" applyNumberFormat="1" applyFont="1" applyFill="1" applyBorder="1"/>
    <xf numFmtId="183" fontId="68" fillId="0" borderId="0" xfId="0" applyNumberFormat="1" applyFont="1" applyBorder="1"/>
    <xf numFmtId="183" fontId="12" fillId="0" borderId="0" xfId="0" applyNumberFormat="1" applyFont="1" applyBorder="1"/>
    <xf numFmtId="183" fontId="56" fillId="0" borderId="0" xfId="0" applyNumberFormat="1" applyFont="1" applyFill="1" applyBorder="1"/>
    <xf numFmtId="183" fontId="14" fillId="0" borderId="0" xfId="0" applyNumberFormat="1" applyFont="1" applyFill="1" applyBorder="1"/>
    <xf numFmtId="183" fontId="14" fillId="0" borderId="12" xfId="0" applyNumberFormat="1" applyFont="1" applyFill="1" applyBorder="1"/>
    <xf numFmtId="183" fontId="24" fillId="0" borderId="0" xfId="0" applyNumberFormat="1" applyFont="1" applyFill="1" applyBorder="1"/>
    <xf numFmtId="183" fontId="14" fillId="0" borderId="0" xfId="0" applyNumberFormat="1" applyFont="1" applyBorder="1"/>
    <xf numFmtId="183" fontId="24" fillId="25" borderId="15" xfId="0" applyNumberFormat="1" applyFont="1" applyFill="1" applyBorder="1"/>
    <xf numFmtId="183" fontId="24" fillId="25" borderId="18" xfId="0" applyNumberFormat="1" applyFont="1" applyFill="1" applyBorder="1"/>
    <xf numFmtId="182" fontId="10" fillId="25" borderId="20" xfId="0" applyNumberFormat="1" applyFont="1" applyFill="1" applyBorder="1"/>
    <xf numFmtId="0" fontId="2" fillId="32" borderId="0" xfId="84" applyFont="1" applyFill="1" applyAlignment="1">
      <alignment vertical="top"/>
    </xf>
    <xf numFmtId="0" fontId="2" fillId="32" borderId="0" xfId="77" applyFill="1" applyAlignment="1">
      <alignment vertical="top"/>
    </xf>
    <xf numFmtId="0" fontId="2" fillId="32" borderId="0" xfId="77" applyFill="1"/>
    <xf numFmtId="0" fontId="25" fillId="32" borderId="0" xfId="84" applyFont="1" applyFill="1" applyAlignment="1">
      <alignment horizontal="left" vertical="top"/>
    </xf>
    <xf numFmtId="0" fontId="2" fillId="32" borderId="0" xfId="77" applyFont="1" applyFill="1" applyAlignment="1">
      <alignment vertical="top"/>
    </xf>
    <xf numFmtId="0" fontId="55" fillId="32" borderId="0" xfId="84" applyFont="1" applyFill="1" applyAlignment="1">
      <alignment vertical="top"/>
    </xf>
    <xf numFmtId="0" fontId="0" fillId="32" borderId="0" xfId="0" applyFill="1" applyAlignment="1">
      <alignment vertical="top"/>
    </xf>
    <xf numFmtId="0" fontId="71" fillId="32" borderId="0" xfId="0" applyFont="1" applyFill="1" applyAlignment="1">
      <alignment vertical="top"/>
    </xf>
    <xf numFmtId="0" fontId="72" fillId="32" borderId="0" xfId="0" applyFont="1" applyFill="1" applyAlignment="1">
      <alignment vertical="top"/>
    </xf>
    <xf numFmtId="0" fontId="71" fillId="32" borderId="21" xfId="0" applyFont="1" applyFill="1" applyBorder="1" applyAlignment="1">
      <alignment vertical="top"/>
    </xf>
    <xf numFmtId="9" fontId="71" fillId="32" borderId="21" xfId="0" applyNumberFormat="1" applyFont="1" applyFill="1" applyBorder="1" applyAlignment="1">
      <alignment vertical="top"/>
    </xf>
    <xf numFmtId="3" fontId="71" fillId="32" borderId="21" xfId="0" applyNumberFormat="1" applyFont="1" applyFill="1" applyBorder="1" applyAlignment="1">
      <alignment vertical="top"/>
    </xf>
    <xf numFmtId="2" fontId="2" fillId="0" borderId="0" xfId="77" applyNumberFormat="1" applyAlignment="1">
      <alignment horizontal="left"/>
    </xf>
    <xf numFmtId="0" fontId="2" fillId="0" borderId="0" xfId="77" applyNumberFormat="1" applyAlignment="1">
      <alignment horizontal="left"/>
    </xf>
    <xf numFmtId="1" fontId="2" fillId="0" borderId="0" xfId="77" applyNumberFormat="1" applyAlignment="1">
      <alignment horizontal="left"/>
    </xf>
    <xf numFmtId="0" fontId="2" fillId="0" borderId="0" xfId="77" applyFont="1"/>
    <xf numFmtId="184" fontId="2" fillId="0" borderId="0" xfId="77" applyNumberFormat="1" applyAlignment="1">
      <alignment horizontal="left"/>
    </xf>
    <xf numFmtId="49" fontId="2" fillId="0" borderId="0" xfId="77" applyNumberFormat="1"/>
    <xf numFmtId="0" fontId="73" fillId="0" borderId="0" xfId="77" applyFont="1" applyAlignment="1">
      <alignment wrapText="1"/>
    </xf>
    <xf numFmtId="0" fontId="73" fillId="0" borderId="0" xfId="77" applyFont="1" applyAlignment="1">
      <alignment horizontal="left" wrapText="1" indent="3"/>
    </xf>
    <xf numFmtId="0" fontId="73" fillId="0" borderId="0" xfId="77" applyFont="1" applyAlignment="1">
      <alignment horizontal="left" wrapText="1" indent="1"/>
    </xf>
    <xf numFmtId="0" fontId="75" fillId="0" borderId="0" xfId="77" applyFont="1" applyAlignment="1">
      <alignment wrapText="1"/>
    </xf>
    <xf numFmtId="0" fontId="0" fillId="32" borderId="26" xfId="0" applyFill="1" applyBorder="1" applyAlignment="1">
      <alignment vertical="top"/>
    </xf>
    <xf numFmtId="0" fontId="71" fillId="32" borderId="0" xfId="0" applyFont="1" applyFill="1" applyAlignment="1">
      <alignment vertical="top"/>
    </xf>
    <xf numFmtId="0" fontId="71" fillId="32" borderId="22" xfId="0" applyFont="1" applyFill="1" applyBorder="1" applyAlignment="1">
      <alignment vertical="top"/>
    </xf>
    <xf numFmtId="0" fontId="71" fillId="32" borderId="23" xfId="0" applyFont="1" applyFill="1" applyBorder="1" applyAlignment="1">
      <alignment vertical="top"/>
    </xf>
    <xf numFmtId="0" fontId="71" fillId="32" borderId="24" xfId="0" applyFont="1" applyFill="1" applyBorder="1" applyAlignment="1">
      <alignment vertical="top"/>
    </xf>
    <xf numFmtId="0" fontId="72" fillId="32" borderId="0" xfId="0" applyFont="1" applyFill="1" applyAlignment="1">
      <alignment vertical="top"/>
    </xf>
    <xf numFmtId="0" fontId="0" fillId="32" borderId="0" xfId="0" applyFill="1" applyAlignment="1">
      <alignment vertical="top"/>
    </xf>
    <xf numFmtId="0" fontId="0" fillId="32" borderId="25" xfId="0" applyFill="1" applyBorder="1" applyAlignment="1">
      <alignment vertical="top"/>
    </xf>
  </cellXfs>
  <cellStyles count="85">
    <cellStyle name=" 1" xfId="1"/>
    <cellStyle name=" 1 2" xfId="2"/>
    <cellStyle name=" 1 3" xfId="3"/>
    <cellStyle name=" 1 4" xfId="4"/>
    <cellStyle name="_SUMMARY " xfId="5"/>
    <cellStyle name="_Розница без ндс " xfId="6"/>
    <cellStyle name="0_Capex &amp; Depreciation " xfId="7"/>
    <cellStyle name="0_Valuing BP " xfId="8"/>
    <cellStyle name="20% - Accent1" xfId="9" builtinId="30" customBuiltin="1"/>
    <cellStyle name="20% - Accent2" xfId="10" builtinId="34" customBuiltin="1"/>
    <cellStyle name="20% - Accent3" xfId="11" builtinId="38" customBuiltin="1"/>
    <cellStyle name="20% - Accent4" xfId="12" builtinId="42" customBuiltin="1"/>
    <cellStyle name="20% - Accent5" xfId="13" builtinId="46" customBuiltin="1"/>
    <cellStyle name="20% - Accent6" xfId="14" builtinId="50" customBuiltin="1"/>
    <cellStyle name="40% - Accent1" xfId="15" builtinId="31" customBuiltin="1"/>
    <cellStyle name="40% - Accent2" xfId="16" builtinId="35" customBuiltin="1"/>
    <cellStyle name="40% - Accent3" xfId="17" builtinId="39" customBuiltin="1"/>
    <cellStyle name="40% - Accent4" xfId="18" builtinId="43" customBuiltin="1"/>
    <cellStyle name="40% - Accent5" xfId="19" builtinId="47" customBuiltin="1"/>
    <cellStyle name="40% - Accent6" xfId="20" builtinId="51" customBuiltin="1"/>
    <cellStyle name="60% - Accent1" xfId="21" builtinId="32" customBuiltin="1"/>
    <cellStyle name="60% - Accent2" xfId="22" builtinId="36" customBuiltin="1"/>
    <cellStyle name="60% - Accent3" xfId="23" builtinId="40" customBuiltin="1"/>
    <cellStyle name="60% - Accent4" xfId="24" builtinId="44" customBuiltin="1"/>
    <cellStyle name="60% - Accent5" xfId="25" builtinId="48" customBuiltin="1"/>
    <cellStyle name="60% - Accent6" xfId="26" builtinId="52" customBuiltin="1"/>
    <cellStyle name="Accent1" xfId="27" builtinId="29" customBuiltin="1"/>
    <cellStyle name="Accent2" xfId="28" builtinId="33" customBuiltin="1"/>
    <cellStyle name="Accent3" xfId="29" builtinId="37" customBuiltin="1"/>
    <cellStyle name="Accent4" xfId="30" builtinId="41" customBuiltin="1"/>
    <cellStyle name="Accent5" xfId="31" builtinId="45" customBuiltin="1"/>
    <cellStyle name="Accent6" xfId="32" builtinId="49" customBuiltin="1"/>
    <cellStyle name="Bad" xfId="33" builtinId="27" customBuiltin="1"/>
    <cellStyle name="c_HardInc " xfId="34"/>
    <cellStyle name="Calculation" xfId="35" builtinId="22" customBuiltin="1"/>
    <cellStyle name="Check Cell" xfId="36" builtinId="23" customBuiltin="1"/>
    <cellStyle name="Comma" xfId="37" builtinId="3"/>
    <cellStyle name="Comma 2" xfId="38"/>
    <cellStyle name="Currency 2" xfId="39"/>
    <cellStyle name="Currency 3" xfId="82"/>
    <cellStyle name="Dezimal [0]_Bayer Kennz. 2_Tabelle1 " xfId="40"/>
    <cellStyle name="Dezimal_Bayer Kennz. 2_Tabelle1 " xfId="41"/>
    <cellStyle name="Explanatory Text" xfId="42" builtinId="53" customBuiltin="1"/>
    <cellStyle name="Good" xfId="43" builtinId="26" customBuiltin="1"/>
    <cellStyle name="Hardcoded" xfId="44"/>
    <cellStyle name="Heading 1" xfId="45" builtinId="16" customBuiltin="1"/>
    <cellStyle name="Heading 2" xfId="46" builtinId="17" customBuiltin="1"/>
    <cellStyle name="Heading 3" xfId="47" builtinId="18" customBuiltin="1"/>
    <cellStyle name="Heading 4" xfId="48" builtinId="19" customBuiltin="1"/>
    <cellStyle name="Hyperlink" xfId="49" builtinId="8"/>
    <cellStyle name="Hyperlink 2" xfId="78"/>
    <cellStyle name="Input" xfId="50" builtinId="20" customBuiltin="1"/>
    <cellStyle name="Inputs_P&amp;L " xfId="51"/>
    <cellStyle name="Linked Cell" xfId="52" builtinId="24" customBuiltin="1"/>
    <cellStyle name="Neutral" xfId="53" builtinId="28" customBuiltin="1"/>
    <cellStyle name="Normal" xfId="0" builtinId="0"/>
    <cellStyle name="Normal - Style1" xfId="54"/>
    <cellStyle name="Normal 2" xfId="55"/>
    <cellStyle name="Normal 2 2" xfId="56"/>
    <cellStyle name="Normal 2 3" xfId="77"/>
    <cellStyle name="Normal 3" xfId="80"/>
    <cellStyle name="Normal 3 2" xfId="79"/>
    <cellStyle name="Normal 4" xfId="57"/>
    <cellStyle name="Normal 4 2" xfId="58"/>
    <cellStyle name="Normal 6" xfId="59"/>
    <cellStyle name="Normal 7" xfId="60"/>
    <cellStyle name="Normal_DisclaimerSheet Samples" xfId="84"/>
    <cellStyle name="Normal_MS_CCI_Model_JUN14" xfId="61"/>
    <cellStyle name="Note" xfId="62" builtinId="10" customBuiltin="1"/>
    <cellStyle name="Output" xfId="63" builtinId="21" customBuiltin="1"/>
    <cellStyle name="p " xfId="64"/>
    <cellStyle name="Percent" xfId="65" builtinId="5"/>
    <cellStyle name="Percent 16" xfId="83"/>
    <cellStyle name="Percent 2" xfId="66"/>
    <cellStyle name="Percent 4" xfId="67"/>
    <cellStyle name="RRSInstruction" xfId="68"/>
    <cellStyle name="RRSInstruction 2" xfId="81"/>
    <cellStyle name="s_HardInc " xfId="69"/>
    <cellStyle name="s_Valuation " xfId="70"/>
    <cellStyle name="ssp " xfId="71"/>
    <cellStyle name="Title" xfId="72" builtinId="15" customBuiltin="1"/>
    <cellStyle name="Total" xfId="73" builtinId="25" customBuiltin="1"/>
    <cellStyle name="Währung [0]_Bayer Kennz. 2_Tabelle1 " xfId="74"/>
    <cellStyle name="Währung_Bayer Kennz. 2_Tabelle1 " xfId="75"/>
    <cellStyle name="Warning Text" xfId="76" builtinId="11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externalLinks/externalLink1.xml" Type="http://schemas.openxmlformats.org/officeDocument/2006/relationships/externalLink"/>
<Relationship Id="rId13" Target="externalLinks/externalLink2.xml" Type="http://schemas.openxmlformats.org/officeDocument/2006/relationships/externalLink"/>
<Relationship Id="rId14" Target="theme/theme1.xml" Type="http://schemas.openxmlformats.org/officeDocument/2006/relationships/theme"/>
<Relationship Id="rId15" Target="styles.xml" Type="http://schemas.openxmlformats.org/officeDocument/2006/relationships/styles"/>
<Relationship Id="rId16" Target="sharedStrings.xml" Type="http://schemas.openxmlformats.org/officeDocument/2006/relationships/sharedStrings"/>
<Relationship Id="rId17" Target="calcChain.xml" Type="http://schemas.openxmlformats.org/officeDocument/2006/relationships/calcChain"/>
<Relationship Id="rId18" Target="../customXml/item1.xml" Type="http://schemas.openxmlformats.org/officeDocument/2006/relationships/customXml"/>
<Relationship Id="rId19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20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176</xdr:row>
      <xdr:rowOff>0</xdr:rowOff>
    </xdr:from>
    <xdr:to>
      <xdr:col>7</xdr:col>
      <xdr:colOff>390525</xdr:colOff>
      <xdr:row>199</xdr:row>
      <xdr:rowOff>104775</xdr:rowOff>
    </xdr:to>
    <xdr:pic>
      <xdr:nvPicPr>
        <xdr:cNvPr id="17443841" name="Picture 1" descr="C:\Users\rajanroh\AppData\Local\Temp\MercuryPriceRatingHistoryChart\ADSGn.DE_2018_04_25_13_39_3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96527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3</xdr:col>
      <xdr:colOff>487680</xdr:colOff>
      <xdr:row>7</xdr:row>
      <xdr:rowOff>0</xdr:rowOff>
    </xdr:to>
    <xdr:pic>
      <xdr:nvPicPr>
        <xdr:cNvPr id="1659302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" y="1143000"/>
          <a:ext cx="1981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Book1" TargetMode="External" Type="http://schemas.microsoft.com/office/2006/relationships/xlExternalLinkPath/xlPathMissing"/>
</Relationships>

</file>

<file path=xl/externalLinks/_rels/externalLink2.xml.rels><?xml version="1.0" encoding="UTF-8" standalone="yes"?>
<Relationships xmlns="http://schemas.openxmlformats.org/package/2006/relationships">
<Relationship Id="rId1" Target="TEMPLATE/Excel/LINKTA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ook1"/>
    </sheetNames>
    <definedNames>
      <definedName name="NCASHFLOW90"/>
      <definedName name="XRange"/>
      <definedName name="XRange2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ing"/>
      <sheetName val="Insurance"/>
      <sheetName val="Banks"/>
      <sheetName val="Oils"/>
      <sheetName val="General Europe"/>
      <sheetName val="General UK"/>
      <sheetName val="Latest_Chart"/>
      <sheetName val="Add4Sheet"/>
      <sheetName val="Module2"/>
      <sheetName val="Module1"/>
      <sheetName val="LINKTAB"/>
      <sheetName val="Model"/>
      <sheetName val="P"/>
      <sheetName val="Market_Share"/>
      <sheetName val="Assumptions"/>
      <sheetName val="Summary"/>
      <sheetName val="Balance Sheet"/>
      <sheetName val="Consol_Income"/>
      <sheetName val="Rate Case"/>
      <sheetName val="Sheet9"/>
      <sheetName val="Leases"/>
      <sheetName val="Graph"/>
      <sheetName val="Income"/>
      <sheetName val="Financial Summary"/>
      <sheetName val="Cash flow"/>
      <sheetName val="Profit &amp; Loss"/>
      <sheetName val="Inputs, sensitivity &amp; val"/>
      <sheetName val="Exclusion List"/>
      <sheetName val="CFOld"/>
      <sheetName val="PLOld"/>
      <sheetName val="Headline"/>
      <sheetName val="MTT old"/>
      <sheetName val="BizJet Deliveries"/>
      <sheetName val="c1"/>
      <sheetName val="Consolidated"/>
      <sheetName val="DOMNETREV1002B"/>
      <sheetName val="Monthly figures"/>
      <sheetName val="Ratios_NEW"/>
    </sheetNames>
    <definedNames>
      <definedName name="Download_series"/>
      <definedName name="Update_Thi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mailto:Elena.Mariani@morganstanley.com" TargetMode="External" Type="http://schemas.openxmlformats.org/officeDocument/2006/relationships/hyperlink"/>
<Relationship Id="rId2" Target="../printerSettings/printerSettings3.bin" Type="http://schemas.openxmlformats.org/officeDocument/2006/relationships/printerSettings"/>
<Relationship Id="rId3" Target="../drawings/drawing2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printerSettings/printerSettings5.bin" Type="http://schemas.openxmlformats.org/officeDocument/2006/relationships/printerSettings"/>
<Relationship Id="rId3" Target="../printerSettings/printerSettings6.bin" Type="http://schemas.openxmlformats.org/officeDocument/2006/relationships/printerSettings"/>
<Relationship Id="rId4" Target="../printerSettings/printerSettings7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printerSettings/printerSettings10.bin" Type="http://schemas.openxmlformats.org/officeDocument/2006/relationships/printerSettings"/>
<Relationship Id="rId3" Target="../printerSettings/printerSettings11.bin" Type="http://schemas.openxmlformats.org/officeDocument/2006/relationships/printerSettings"/>
<Relationship Id="rId4" Target="../printerSettings/printerSettings12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printerSettings/printerSettings14.bin" Type="http://schemas.openxmlformats.org/officeDocument/2006/relationships/printerSettings"/>
<Relationship Id="rId3" Target="../printerSettings/printerSettings15.bin" Type="http://schemas.openxmlformats.org/officeDocument/2006/relationships/printerSettings"/>
<Relationship Id="rId4" Target="../printerSettings/printerSettings16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17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8.bin" Type="http://schemas.openxmlformats.org/officeDocument/2006/relationships/printerSetting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0"/>
  <sheetViews>
    <sheetView showGridLines="0" tabSelected="1" workbookViewId="0"/>
  </sheetViews>
  <sheetFormatPr defaultRowHeight="12.75" x14ac:dyDescent="0.2"/>
  <cols>
    <col min="1" max="1" width="25.7109375" style="270" customWidth="1"/>
    <col min="2" max="5" width="9.140625" style="270"/>
    <col min="6" max="6" width="18.7109375" style="270" customWidth="1"/>
    <col min="7" max="256" width="9.140625" style="270"/>
    <col min="257" max="257" width="100.7109375" style="270" customWidth="1"/>
    <col min="258" max="512" width="9.140625" style="270"/>
    <col min="513" max="513" width="100.7109375" style="270" customWidth="1"/>
    <col min="514" max="768" width="9.140625" style="270"/>
    <col min="769" max="769" width="100.7109375" style="270" customWidth="1"/>
    <col min="770" max="1024" width="9.140625" style="270"/>
    <col min="1025" max="1025" width="100.7109375" style="270" customWidth="1"/>
    <col min="1026" max="1280" width="9.140625" style="270"/>
    <col min="1281" max="1281" width="100.7109375" style="270" customWidth="1"/>
    <col min="1282" max="1536" width="9.140625" style="270"/>
    <col min="1537" max="1537" width="100.7109375" style="270" customWidth="1"/>
    <col min="1538" max="1792" width="9.140625" style="270"/>
    <col min="1793" max="1793" width="100.7109375" style="270" customWidth="1"/>
    <col min="1794" max="2048" width="9.140625" style="270"/>
    <col min="2049" max="2049" width="100.7109375" style="270" customWidth="1"/>
    <col min="2050" max="2304" width="9.140625" style="270"/>
    <col min="2305" max="2305" width="100.7109375" style="270" customWidth="1"/>
    <col min="2306" max="2560" width="9.140625" style="270"/>
    <col min="2561" max="2561" width="100.7109375" style="270" customWidth="1"/>
    <col min="2562" max="2816" width="9.140625" style="270"/>
    <col min="2817" max="2817" width="100.7109375" style="270" customWidth="1"/>
    <col min="2818" max="3072" width="9.140625" style="270"/>
    <col min="3073" max="3073" width="100.7109375" style="270" customWidth="1"/>
    <col min="3074" max="3328" width="9.140625" style="270"/>
    <col min="3329" max="3329" width="100.7109375" style="270" customWidth="1"/>
    <col min="3330" max="3584" width="9.140625" style="270"/>
    <col min="3585" max="3585" width="100.7109375" style="270" customWidth="1"/>
    <col min="3586" max="3840" width="9.140625" style="270"/>
    <col min="3841" max="3841" width="100.7109375" style="270" customWidth="1"/>
    <col min="3842" max="4096" width="9.140625" style="270"/>
    <col min="4097" max="4097" width="100.7109375" style="270" customWidth="1"/>
    <col min="4098" max="4352" width="9.140625" style="270"/>
    <col min="4353" max="4353" width="100.7109375" style="270" customWidth="1"/>
    <col min="4354" max="4608" width="9.140625" style="270"/>
    <col min="4609" max="4609" width="100.7109375" style="270" customWidth="1"/>
    <col min="4610" max="4864" width="9.140625" style="270"/>
    <col min="4865" max="4865" width="100.7109375" style="270" customWidth="1"/>
    <col min="4866" max="5120" width="9.140625" style="270"/>
    <col min="5121" max="5121" width="100.7109375" style="270" customWidth="1"/>
    <col min="5122" max="5376" width="9.140625" style="270"/>
    <col min="5377" max="5377" width="100.7109375" style="270" customWidth="1"/>
    <col min="5378" max="5632" width="9.140625" style="270"/>
    <col min="5633" max="5633" width="100.7109375" style="270" customWidth="1"/>
    <col min="5634" max="5888" width="9.140625" style="270"/>
    <col min="5889" max="5889" width="100.7109375" style="270" customWidth="1"/>
    <col min="5890" max="6144" width="9.140625" style="270"/>
    <col min="6145" max="6145" width="100.7109375" style="270" customWidth="1"/>
    <col min="6146" max="6400" width="9.140625" style="270"/>
    <col min="6401" max="6401" width="100.7109375" style="270" customWidth="1"/>
    <col min="6402" max="6656" width="9.140625" style="270"/>
    <col min="6657" max="6657" width="100.7109375" style="270" customWidth="1"/>
    <col min="6658" max="6912" width="9.140625" style="270"/>
    <col min="6913" max="6913" width="100.7109375" style="270" customWidth="1"/>
    <col min="6914" max="7168" width="9.140625" style="270"/>
    <col min="7169" max="7169" width="100.7109375" style="270" customWidth="1"/>
    <col min="7170" max="7424" width="9.140625" style="270"/>
    <col min="7425" max="7425" width="100.7109375" style="270" customWidth="1"/>
    <col min="7426" max="7680" width="9.140625" style="270"/>
    <col min="7681" max="7681" width="100.7109375" style="270" customWidth="1"/>
    <col min="7682" max="7936" width="9.140625" style="270"/>
    <col min="7937" max="7937" width="100.7109375" style="270" customWidth="1"/>
    <col min="7938" max="8192" width="9.140625" style="270"/>
    <col min="8193" max="8193" width="100.7109375" style="270" customWidth="1"/>
    <col min="8194" max="8448" width="9.140625" style="270"/>
    <col min="8449" max="8449" width="100.7109375" style="270" customWidth="1"/>
    <col min="8450" max="8704" width="9.140625" style="270"/>
    <col min="8705" max="8705" width="100.7109375" style="270" customWidth="1"/>
    <col min="8706" max="8960" width="9.140625" style="270"/>
    <col min="8961" max="8961" width="100.7109375" style="270" customWidth="1"/>
    <col min="8962" max="9216" width="9.140625" style="270"/>
    <col min="9217" max="9217" width="100.7109375" style="270" customWidth="1"/>
    <col min="9218" max="9472" width="9.140625" style="270"/>
    <col min="9473" max="9473" width="100.7109375" style="270" customWidth="1"/>
    <col min="9474" max="9728" width="9.140625" style="270"/>
    <col min="9729" max="9729" width="100.7109375" style="270" customWidth="1"/>
    <col min="9730" max="9984" width="9.140625" style="270"/>
    <col min="9985" max="9985" width="100.7109375" style="270" customWidth="1"/>
    <col min="9986" max="10240" width="9.140625" style="270"/>
    <col min="10241" max="10241" width="100.7109375" style="270" customWidth="1"/>
    <col min="10242" max="10496" width="9.140625" style="270"/>
    <col min="10497" max="10497" width="100.7109375" style="270" customWidth="1"/>
    <col min="10498" max="10752" width="9.140625" style="270"/>
    <col min="10753" max="10753" width="100.7109375" style="270" customWidth="1"/>
    <col min="10754" max="11008" width="9.140625" style="270"/>
    <col min="11009" max="11009" width="100.7109375" style="270" customWidth="1"/>
    <col min="11010" max="11264" width="9.140625" style="270"/>
    <col min="11265" max="11265" width="100.7109375" style="270" customWidth="1"/>
    <col min="11266" max="11520" width="9.140625" style="270"/>
    <col min="11521" max="11521" width="100.7109375" style="270" customWidth="1"/>
    <col min="11522" max="11776" width="9.140625" style="270"/>
    <col min="11777" max="11777" width="100.7109375" style="270" customWidth="1"/>
    <col min="11778" max="12032" width="9.140625" style="270"/>
    <col min="12033" max="12033" width="100.7109375" style="270" customWidth="1"/>
    <col min="12034" max="12288" width="9.140625" style="270"/>
    <col min="12289" max="12289" width="100.7109375" style="270" customWidth="1"/>
    <col min="12290" max="12544" width="9.140625" style="270"/>
    <col min="12545" max="12545" width="100.7109375" style="270" customWidth="1"/>
    <col min="12546" max="12800" width="9.140625" style="270"/>
    <col min="12801" max="12801" width="100.7109375" style="270" customWidth="1"/>
    <col min="12802" max="13056" width="9.140625" style="270"/>
    <col min="13057" max="13057" width="100.7109375" style="270" customWidth="1"/>
    <col min="13058" max="13312" width="9.140625" style="270"/>
    <col min="13313" max="13313" width="100.7109375" style="270" customWidth="1"/>
    <col min="13314" max="13568" width="9.140625" style="270"/>
    <col min="13569" max="13569" width="100.7109375" style="270" customWidth="1"/>
    <col min="13570" max="13824" width="9.140625" style="270"/>
    <col min="13825" max="13825" width="100.7109375" style="270" customWidth="1"/>
    <col min="13826" max="14080" width="9.140625" style="270"/>
    <col min="14081" max="14081" width="100.7109375" style="270" customWidth="1"/>
    <col min="14082" max="14336" width="9.140625" style="270"/>
    <col min="14337" max="14337" width="100.7109375" style="270" customWidth="1"/>
    <col min="14338" max="14592" width="9.140625" style="270"/>
    <col min="14593" max="14593" width="100.7109375" style="270" customWidth="1"/>
    <col min="14594" max="14848" width="9.140625" style="270"/>
    <col min="14849" max="14849" width="100.7109375" style="270" customWidth="1"/>
    <col min="14850" max="15104" width="9.140625" style="270"/>
    <col min="15105" max="15105" width="100.7109375" style="270" customWidth="1"/>
    <col min="15106" max="15360" width="9.140625" style="270"/>
    <col min="15361" max="15361" width="100.7109375" style="270" customWidth="1"/>
    <col min="15362" max="15616" width="9.140625" style="270"/>
    <col min="15617" max="15617" width="100.7109375" style="270" customWidth="1"/>
    <col min="15618" max="15872" width="9.140625" style="270"/>
    <col min="15873" max="15873" width="100.7109375" style="270" customWidth="1"/>
    <col min="15874" max="16128" width="9.140625" style="270"/>
    <col min="16129" max="16129" width="100.7109375" style="270" customWidth="1"/>
    <col min="16130" max="16384" width="9.140625" style="270"/>
  </cols>
  <sheetData>
    <row r="1" spans="1:8" ht="30" customHeight="1" x14ac:dyDescent="0.2">
      <c r="A1" s="268"/>
      <c r="B1" s="269"/>
      <c r="C1" s="269"/>
      <c r="D1" s="269"/>
      <c r="E1" s="269"/>
      <c r="F1" s="269"/>
      <c r="G1" s="269"/>
      <c r="H1" s="269"/>
    </row>
    <row r="2" spans="1:8" ht="14.25" x14ac:dyDescent="0.2">
      <c r="A2" s="271" t="s">
        <v>483</v>
      </c>
      <c r="B2" s="269"/>
      <c r="C2" s="269"/>
      <c r="D2" s="269"/>
      <c r="E2" s="269"/>
      <c r="F2" s="269"/>
      <c r="G2" s="269"/>
      <c r="H2" s="269"/>
    </row>
    <row r="3" spans="1:8" ht="14.25" x14ac:dyDescent="0.2">
      <c r="A3" s="271" t="s">
        <v>484</v>
      </c>
      <c r="B3" s="269"/>
      <c r="C3" s="269"/>
      <c r="D3" s="269"/>
      <c r="E3" s="269"/>
      <c r="F3" s="269"/>
      <c r="G3" s="269"/>
      <c r="H3" s="269"/>
    </row>
    <row r="4" spans="1:8" ht="14.25" x14ac:dyDescent="0.2">
      <c r="A4" s="271" t="s">
        <v>485</v>
      </c>
      <c r="B4" s="269"/>
      <c r="C4" s="269"/>
      <c r="D4" s="269"/>
      <c r="E4" s="269"/>
      <c r="F4" s="269"/>
      <c r="G4" s="269"/>
      <c r="H4" s="269"/>
    </row>
    <row r="5" spans="1:8" ht="14.25" x14ac:dyDescent="0.2">
      <c r="A5" s="271" t="s">
        <v>486</v>
      </c>
      <c r="B5" s="269"/>
      <c r="C5" s="269"/>
      <c r="D5" s="269"/>
      <c r="E5" s="269"/>
      <c r="F5" s="269"/>
      <c r="G5" s="269"/>
      <c r="H5" s="269"/>
    </row>
    <row r="6" spans="1:8" ht="14.25" x14ac:dyDescent="0.2">
      <c r="A6" s="271"/>
      <c r="B6" s="269"/>
      <c r="C6" s="269"/>
      <c r="D6" s="269"/>
      <c r="E6" s="269"/>
      <c r="F6" s="269"/>
      <c r="G6" s="269"/>
      <c r="H6" s="269"/>
    </row>
    <row r="7" spans="1:8" x14ac:dyDescent="0.2">
      <c r="A7" s="268" t="s">
        <v>487</v>
      </c>
      <c r="B7" s="269"/>
      <c r="C7" s="269"/>
      <c r="D7" s="269"/>
      <c r="E7" s="269"/>
      <c r="F7" s="269"/>
      <c r="G7" s="269"/>
      <c r="H7" s="269"/>
    </row>
    <row r="8" spans="1:8" x14ac:dyDescent="0.2">
      <c r="A8" s="268" t="s">
        <v>488</v>
      </c>
      <c r="B8" s="269"/>
      <c r="C8" s="269"/>
      <c r="D8" s="269"/>
      <c r="E8" s="269"/>
      <c r="F8" s="269"/>
      <c r="G8" s="269"/>
      <c r="H8" s="269"/>
    </row>
    <row r="9" spans="1:8" x14ac:dyDescent="0.2">
      <c r="A9" s="268"/>
      <c r="B9" s="269"/>
      <c r="C9" s="269"/>
      <c r="D9" s="269"/>
      <c r="E9" s="269"/>
      <c r="F9" s="269"/>
      <c r="G9" s="269"/>
      <c r="H9" s="269"/>
    </row>
    <row r="10" spans="1:8" x14ac:dyDescent="0.2">
      <c r="A10" s="272" t="s">
        <v>489</v>
      </c>
      <c r="B10" s="269"/>
      <c r="C10" s="269"/>
      <c r="D10" s="269"/>
      <c r="E10" s="269"/>
      <c r="F10" s="269"/>
      <c r="G10" s="269"/>
      <c r="H10" s="269"/>
    </row>
    <row r="11" spans="1:8" x14ac:dyDescent="0.2">
      <c r="A11" s="272" t="s">
        <v>490</v>
      </c>
      <c r="B11" s="269"/>
      <c r="C11" s="269"/>
      <c r="D11" s="269"/>
      <c r="E11" s="269"/>
      <c r="F11" s="269"/>
      <c r="G11" s="269"/>
      <c r="H11" s="269"/>
    </row>
    <row r="12" spans="1:8" x14ac:dyDescent="0.2">
      <c r="A12" s="272" t="s">
        <v>491</v>
      </c>
      <c r="B12" s="269"/>
      <c r="C12" s="269"/>
      <c r="D12" s="269"/>
      <c r="E12" s="269"/>
      <c r="F12" s="269"/>
      <c r="G12" s="269"/>
      <c r="H12" s="269"/>
    </row>
    <row r="13" spans="1:8" x14ac:dyDescent="0.2">
      <c r="A13" s="272" t="s">
        <v>492</v>
      </c>
      <c r="B13" s="269"/>
      <c r="C13" s="269"/>
      <c r="D13" s="269"/>
      <c r="E13" s="269"/>
      <c r="F13" s="269"/>
      <c r="G13" s="269"/>
      <c r="H13" s="269"/>
    </row>
    <row r="14" spans="1:8" x14ac:dyDescent="0.2">
      <c r="A14" s="272" t="s">
        <v>493</v>
      </c>
      <c r="B14" s="269"/>
      <c r="C14" s="269"/>
      <c r="D14" s="269"/>
      <c r="E14" s="269"/>
      <c r="F14" s="269"/>
      <c r="G14" s="269"/>
      <c r="H14" s="269"/>
    </row>
    <row r="15" spans="1:8" x14ac:dyDescent="0.2">
      <c r="A15" s="272" t="s">
        <v>494</v>
      </c>
      <c r="B15" s="269"/>
      <c r="C15" s="269"/>
      <c r="D15" s="269"/>
      <c r="E15" s="269"/>
      <c r="F15" s="269"/>
      <c r="G15" s="269"/>
      <c r="H15" s="269"/>
    </row>
    <row r="16" spans="1:8" x14ac:dyDescent="0.2">
      <c r="A16" s="272"/>
      <c r="B16" s="269"/>
      <c r="C16" s="269"/>
      <c r="D16" s="269"/>
      <c r="E16" s="269"/>
      <c r="F16" s="269"/>
      <c r="G16" s="269"/>
      <c r="H16" s="269"/>
    </row>
    <row r="17" spans="1:8" x14ac:dyDescent="0.2">
      <c r="A17" s="272" t="s">
        <v>480</v>
      </c>
      <c r="B17" s="269"/>
      <c r="C17" s="269"/>
      <c r="D17" s="269"/>
      <c r="E17" s="269"/>
      <c r="F17" s="269"/>
      <c r="G17" s="269"/>
      <c r="H17" s="269"/>
    </row>
    <row r="18" spans="1:8" x14ac:dyDescent="0.2">
      <c r="A18" s="272"/>
      <c r="B18" s="269"/>
      <c r="C18" s="269"/>
      <c r="D18" s="269"/>
      <c r="E18" s="269"/>
      <c r="F18" s="269"/>
      <c r="G18" s="269"/>
      <c r="H18" s="269"/>
    </row>
    <row r="19" spans="1:8" x14ac:dyDescent="0.2">
      <c r="A19" s="272" t="s">
        <v>481</v>
      </c>
      <c r="B19" s="269"/>
      <c r="C19" s="269"/>
      <c r="D19" s="269"/>
      <c r="E19" s="269"/>
      <c r="F19" s="269"/>
      <c r="G19" s="269"/>
      <c r="H19" s="269"/>
    </row>
    <row r="20" spans="1:8" x14ac:dyDescent="0.2">
      <c r="A20" s="268"/>
      <c r="B20" s="269"/>
      <c r="C20" s="269"/>
      <c r="D20" s="269"/>
      <c r="E20" s="269"/>
      <c r="F20" s="269"/>
      <c r="G20" s="269"/>
      <c r="H20" s="269"/>
    </row>
    <row r="21" spans="1:8" x14ac:dyDescent="0.2">
      <c r="A21" s="273" t="s">
        <v>482</v>
      </c>
      <c r="B21" s="269"/>
      <c r="C21" s="269"/>
      <c r="D21" s="269"/>
      <c r="E21" s="269"/>
      <c r="F21" s="269"/>
      <c r="G21" s="269"/>
      <c r="H21" s="269"/>
    </row>
    <row r="22" spans="1:8" x14ac:dyDescent="0.2">
      <c r="A22" s="274"/>
      <c r="B22" s="274"/>
      <c r="C22" s="274"/>
      <c r="D22" s="274"/>
      <c r="E22" s="274"/>
      <c r="F22" s="274"/>
      <c r="G22" s="274"/>
      <c r="H22" s="274"/>
    </row>
    <row r="23" spans="1:8" x14ac:dyDescent="0.2">
      <c r="A23" s="275" t="s">
        <v>773</v>
      </c>
      <c r="B23" s="274"/>
      <c r="C23" s="274"/>
      <c r="D23" s="274"/>
      <c r="E23" s="274"/>
      <c r="F23" s="274"/>
      <c r="G23" s="274"/>
      <c r="H23" s="274"/>
    </row>
    <row r="24" spans="1:8" x14ac:dyDescent="0.2">
      <c r="A24" s="275" t="s">
        <v>774</v>
      </c>
      <c r="B24" s="274"/>
      <c r="C24" s="274"/>
      <c r="D24" s="274"/>
      <c r="E24" s="274"/>
      <c r="F24" s="274"/>
      <c r="G24" s="274"/>
      <c r="H24" s="274"/>
    </row>
    <row r="25" spans="1:8" x14ac:dyDescent="0.2">
      <c r="A25" s="275" t="s">
        <v>775</v>
      </c>
      <c r="B25" s="274"/>
      <c r="C25" s="274"/>
      <c r="D25" s="274"/>
      <c r="E25" s="274"/>
      <c r="F25" s="274"/>
      <c r="G25" s="274"/>
      <c r="H25" s="274"/>
    </row>
    <row r="26" spans="1:8" x14ac:dyDescent="0.2">
      <c r="A26" s="275" t="s">
        <v>776</v>
      </c>
      <c r="B26" s="274"/>
      <c r="C26" s="274"/>
      <c r="D26" s="274"/>
      <c r="E26" s="274"/>
      <c r="F26" s="274"/>
      <c r="G26" s="274"/>
      <c r="H26" s="274"/>
    </row>
    <row r="27" spans="1:8" x14ac:dyDescent="0.2">
      <c r="A27" s="274"/>
      <c r="B27" s="274"/>
      <c r="C27" s="274"/>
      <c r="D27" s="274"/>
      <c r="E27" s="274"/>
      <c r="F27" s="274"/>
      <c r="G27" s="274"/>
      <c r="H27" s="274"/>
    </row>
    <row r="28" spans="1:8" x14ac:dyDescent="0.2">
      <c r="A28" s="274"/>
      <c r="B28" s="274"/>
      <c r="C28" s="274"/>
      <c r="D28" s="274"/>
      <c r="E28" s="274"/>
      <c r="F28" s="274"/>
      <c r="G28" s="274"/>
      <c r="H28" s="274"/>
    </row>
    <row r="29" spans="1:8" x14ac:dyDescent="0.2">
      <c r="A29" s="275" t="s">
        <v>767</v>
      </c>
      <c r="B29" s="274"/>
      <c r="C29" s="274"/>
      <c r="D29" s="274"/>
      <c r="E29" s="274"/>
      <c r="F29" s="274"/>
      <c r="G29" s="274"/>
      <c r="H29" s="274"/>
    </row>
    <row r="30" spans="1:8" x14ac:dyDescent="0.2">
      <c r="A30" s="275" t="s">
        <v>768</v>
      </c>
      <c r="B30" s="274"/>
      <c r="C30" s="274"/>
      <c r="D30" s="274"/>
      <c r="E30" s="274"/>
      <c r="F30" s="274"/>
      <c r="G30" s="274"/>
      <c r="H30" s="274"/>
    </row>
    <row r="31" spans="1:8" x14ac:dyDescent="0.2">
      <c r="A31" s="275" t="s">
        <v>769</v>
      </c>
      <c r="B31" s="274"/>
      <c r="C31" s="274"/>
      <c r="D31" s="274"/>
      <c r="E31" s="274"/>
      <c r="F31" s="274"/>
      <c r="G31" s="274"/>
      <c r="H31" s="274"/>
    </row>
    <row r="32" spans="1:8" x14ac:dyDescent="0.2">
      <c r="A32" s="275" t="s">
        <v>770</v>
      </c>
      <c r="B32" s="274"/>
      <c r="C32" s="274"/>
      <c r="D32" s="274"/>
      <c r="E32" s="274"/>
      <c r="F32" s="274"/>
      <c r="G32" s="274"/>
      <c r="H32" s="274"/>
    </row>
    <row r="33" spans="1:8" x14ac:dyDescent="0.2">
      <c r="A33" s="275" t="s">
        <v>771</v>
      </c>
      <c r="B33" s="274"/>
      <c r="C33" s="274"/>
      <c r="D33" s="274"/>
      <c r="E33" s="274"/>
      <c r="F33" s="274"/>
      <c r="G33" s="274"/>
      <c r="H33" s="274"/>
    </row>
    <row r="34" spans="1:8" x14ac:dyDescent="0.2">
      <c r="A34" s="275" t="s">
        <v>772</v>
      </c>
      <c r="B34" s="274"/>
      <c r="C34" s="274"/>
      <c r="D34" s="274"/>
      <c r="E34" s="274"/>
      <c r="F34" s="274"/>
      <c r="G34" s="274"/>
      <c r="H34" s="274"/>
    </row>
    <row r="35" spans="1:8" x14ac:dyDescent="0.2">
      <c r="A35" s="274"/>
      <c r="B35" s="274"/>
      <c r="C35" s="274"/>
      <c r="D35" s="274"/>
      <c r="E35" s="274"/>
      <c r="F35" s="274"/>
      <c r="G35" s="274"/>
      <c r="H35" s="274"/>
    </row>
    <row r="36" spans="1:8" x14ac:dyDescent="0.2">
      <c r="A36" s="275" t="s">
        <v>763</v>
      </c>
      <c r="B36" s="274"/>
      <c r="C36" s="274"/>
      <c r="D36" s="274"/>
      <c r="E36" s="274"/>
      <c r="F36" s="274"/>
      <c r="G36" s="274"/>
      <c r="H36" s="274"/>
    </row>
    <row r="37" spans="1:8" x14ac:dyDescent="0.2">
      <c r="A37" s="275" t="s">
        <v>764</v>
      </c>
      <c r="B37" s="274"/>
      <c r="C37" s="274"/>
      <c r="D37" s="274"/>
      <c r="E37" s="274"/>
      <c r="F37" s="274"/>
      <c r="G37" s="274"/>
      <c r="H37" s="274"/>
    </row>
    <row r="38" spans="1:8" x14ac:dyDescent="0.2">
      <c r="A38" s="275" t="s">
        <v>765</v>
      </c>
      <c r="B38" s="274"/>
      <c r="C38" s="274"/>
      <c r="D38" s="274"/>
      <c r="E38" s="274"/>
      <c r="F38" s="274"/>
      <c r="G38" s="274"/>
      <c r="H38" s="274"/>
    </row>
    <row r="39" spans="1:8" x14ac:dyDescent="0.2">
      <c r="A39" s="275" t="s">
        <v>766</v>
      </c>
      <c r="B39" s="274"/>
      <c r="C39" s="274"/>
      <c r="D39" s="274"/>
      <c r="E39" s="274"/>
      <c r="F39" s="274"/>
      <c r="G39" s="274"/>
      <c r="H39" s="274"/>
    </row>
    <row r="40" spans="1:8" x14ac:dyDescent="0.2">
      <c r="A40" s="274"/>
      <c r="B40" s="274"/>
      <c r="C40" s="274"/>
      <c r="D40" s="274"/>
      <c r="E40" s="274"/>
      <c r="F40" s="274"/>
      <c r="G40" s="274"/>
      <c r="H40" s="274"/>
    </row>
    <row r="41" spans="1:8" x14ac:dyDescent="0.2">
      <c r="A41" s="275" t="s">
        <v>757</v>
      </c>
      <c r="B41" s="274"/>
      <c r="C41" s="274"/>
      <c r="D41" s="274"/>
      <c r="E41" s="274"/>
      <c r="F41" s="274"/>
      <c r="G41" s="274"/>
      <c r="H41" s="274"/>
    </row>
    <row r="42" spans="1:8" x14ac:dyDescent="0.2">
      <c r="A42" s="275" t="s">
        <v>758</v>
      </c>
      <c r="B42" s="274"/>
      <c r="C42" s="274"/>
      <c r="D42" s="274"/>
      <c r="E42" s="274"/>
      <c r="F42" s="274"/>
      <c r="G42" s="274"/>
      <c r="H42" s="274"/>
    </row>
    <row r="43" spans="1:8" x14ac:dyDescent="0.2">
      <c r="A43" s="275" t="s">
        <v>759</v>
      </c>
      <c r="B43" s="274"/>
      <c r="C43" s="274"/>
      <c r="D43" s="274"/>
      <c r="E43" s="274"/>
      <c r="F43" s="274"/>
      <c r="G43" s="274"/>
      <c r="H43" s="274"/>
    </row>
    <row r="44" spans="1:8" x14ac:dyDescent="0.2">
      <c r="A44" s="275" t="s">
        <v>760</v>
      </c>
      <c r="B44" s="274"/>
      <c r="C44" s="274"/>
      <c r="D44" s="274"/>
      <c r="E44" s="274"/>
      <c r="F44" s="274"/>
      <c r="G44" s="274"/>
      <c r="H44" s="274"/>
    </row>
    <row r="45" spans="1:8" x14ac:dyDescent="0.2">
      <c r="A45" s="275" t="s">
        <v>761</v>
      </c>
      <c r="B45" s="274"/>
      <c r="C45" s="274"/>
      <c r="D45" s="274"/>
      <c r="E45" s="274"/>
      <c r="F45" s="274"/>
      <c r="G45" s="274"/>
      <c r="H45" s="274"/>
    </row>
    <row r="46" spans="1:8" x14ac:dyDescent="0.2">
      <c r="A46" s="275" t="s">
        <v>762</v>
      </c>
      <c r="B46" s="274"/>
      <c r="C46" s="274"/>
      <c r="D46" s="274"/>
      <c r="E46" s="274"/>
      <c r="F46" s="274"/>
      <c r="G46" s="274"/>
      <c r="H46" s="274"/>
    </row>
    <row r="47" spans="1:8" x14ac:dyDescent="0.2">
      <c r="A47" s="274"/>
      <c r="B47" s="274"/>
      <c r="C47" s="274"/>
      <c r="D47" s="274"/>
      <c r="E47" s="274"/>
      <c r="F47" s="274"/>
      <c r="G47" s="274"/>
      <c r="H47" s="274"/>
    </row>
    <row r="48" spans="1:8" ht="15.75" x14ac:dyDescent="0.2">
      <c r="A48" s="276" t="s">
        <v>495</v>
      </c>
      <c r="B48" s="274"/>
      <c r="C48" s="274"/>
      <c r="D48" s="274"/>
      <c r="E48" s="274"/>
      <c r="F48" s="274"/>
      <c r="G48" s="274"/>
      <c r="H48" s="274"/>
    </row>
    <row r="49" spans="1:8" x14ac:dyDescent="0.2">
      <c r="A49" s="274"/>
      <c r="B49" s="274"/>
      <c r="C49" s="274"/>
      <c r="D49" s="274"/>
      <c r="E49" s="274"/>
      <c r="F49" s="274"/>
      <c r="G49" s="274"/>
      <c r="H49" s="274"/>
    </row>
    <row r="50" spans="1:8" x14ac:dyDescent="0.2">
      <c r="A50" s="275" t="s">
        <v>753</v>
      </c>
      <c r="B50" s="274"/>
      <c r="C50" s="274"/>
      <c r="D50" s="274"/>
      <c r="E50" s="274"/>
      <c r="F50" s="274"/>
      <c r="G50" s="274"/>
      <c r="H50" s="274"/>
    </row>
    <row r="51" spans="1:8" x14ac:dyDescent="0.2">
      <c r="A51" s="275" t="s">
        <v>754</v>
      </c>
      <c r="B51" s="274"/>
      <c r="C51" s="274"/>
      <c r="D51" s="274"/>
      <c r="E51" s="274"/>
      <c r="F51" s="274"/>
      <c r="G51" s="274"/>
      <c r="H51" s="274"/>
    </row>
    <row r="52" spans="1:8" x14ac:dyDescent="0.2">
      <c r="A52" s="275" t="s">
        <v>755</v>
      </c>
      <c r="B52" s="274"/>
      <c r="C52" s="274"/>
      <c r="D52" s="274"/>
      <c r="E52" s="274"/>
      <c r="F52" s="274"/>
      <c r="G52" s="274"/>
      <c r="H52" s="274"/>
    </row>
    <row r="53" spans="1:8" x14ac:dyDescent="0.2">
      <c r="A53" s="275" t="s">
        <v>756</v>
      </c>
      <c r="B53" s="274"/>
      <c r="C53" s="274"/>
      <c r="D53" s="274"/>
      <c r="E53" s="274"/>
      <c r="F53" s="274"/>
      <c r="G53" s="274"/>
      <c r="H53" s="274"/>
    </row>
    <row r="54" spans="1:8" x14ac:dyDescent="0.2">
      <c r="A54" s="274"/>
      <c r="B54" s="274"/>
      <c r="C54" s="274"/>
      <c r="D54" s="274"/>
      <c r="E54" s="274"/>
      <c r="F54" s="274"/>
      <c r="G54" s="274"/>
      <c r="H54" s="274"/>
    </row>
    <row r="55" spans="1:8" x14ac:dyDescent="0.2">
      <c r="A55" s="275" t="s">
        <v>496</v>
      </c>
      <c r="B55" s="274"/>
      <c r="C55" s="274"/>
      <c r="D55" s="274"/>
      <c r="E55" s="274"/>
      <c r="F55" s="274"/>
      <c r="G55" s="274"/>
      <c r="H55" s="274"/>
    </row>
    <row r="56" spans="1:8" x14ac:dyDescent="0.2">
      <c r="A56" s="274"/>
      <c r="B56" s="274"/>
      <c r="C56" s="274"/>
      <c r="D56" s="274"/>
      <c r="E56" s="274"/>
      <c r="F56" s="274"/>
      <c r="G56" s="274"/>
      <c r="H56" s="274"/>
    </row>
    <row r="57" spans="1:8" ht="15.75" x14ac:dyDescent="0.2">
      <c r="A57" s="276" t="s">
        <v>497</v>
      </c>
      <c r="B57" s="274"/>
      <c r="C57" s="274"/>
      <c r="D57" s="274"/>
      <c r="E57" s="274"/>
      <c r="F57" s="274"/>
      <c r="G57" s="274"/>
      <c r="H57" s="274"/>
    </row>
    <row r="58" spans="1:8" x14ac:dyDescent="0.2">
      <c r="A58" s="274"/>
      <c r="B58" s="274"/>
      <c r="C58" s="274"/>
      <c r="D58" s="274"/>
      <c r="E58" s="274"/>
      <c r="F58" s="274"/>
      <c r="G58" s="274"/>
      <c r="H58" s="274"/>
    </row>
    <row r="59" spans="1:8" x14ac:dyDescent="0.2">
      <c r="A59" s="275" t="s">
        <v>751</v>
      </c>
      <c r="B59" s="274"/>
      <c r="C59" s="274"/>
      <c r="D59" s="274"/>
      <c r="E59" s="274"/>
      <c r="F59" s="274"/>
      <c r="G59" s="274"/>
      <c r="H59" s="274"/>
    </row>
    <row r="60" spans="1:8" x14ac:dyDescent="0.2">
      <c r="A60" s="275" t="s">
        <v>752</v>
      </c>
      <c r="B60" s="274"/>
      <c r="C60" s="274"/>
      <c r="D60" s="274"/>
      <c r="E60" s="274"/>
      <c r="F60" s="274"/>
      <c r="G60" s="274"/>
      <c r="H60" s="274"/>
    </row>
    <row r="61" spans="1:8" x14ac:dyDescent="0.2">
      <c r="A61" s="274"/>
      <c r="B61" s="274"/>
      <c r="C61" s="274"/>
      <c r="D61" s="274"/>
      <c r="E61" s="274"/>
      <c r="F61" s="274"/>
      <c r="G61" s="274"/>
      <c r="H61" s="274"/>
    </row>
    <row r="62" spans="1:8" ht="15.75" x14ac:dyDescent="0.2">
      <c r="A62" s="276" t="s">
        <v>498</v>
      </c>
      <c r="B62" s="274"/>
      <c r="C62" s="274"/>
      <c r="D62" s="274"/>
      <c r="E62" s="274"/>
      <c r="F62" s="274"/>
      <c r="G62" s="274"/>
      <c r="H62" s="274"/>
    </row>
    <row r="63" spans="1:8" x14ac:dyDescent="0.2">
      <c r="A63" s="274"/>
      <c r="B63" s="274"/>
      <c r="C63" s="274"/>
      <c r="D63" s="274"/>
      <c r="E63" s="274"/>
      <c r="F63" s="274"/>
      <c r="G63" s="274"/>
      <c r="H63" s="274"/>
    </row>
    <row r="64" spans="1:8" x14ac:dyDescent="0.2">
      <c r="A64" s="275" t="s">
        <v>749</v>
      </c>
      <c r="B64" s="274"/>
      <c r="C64" s="274"/>
      <c r="D64" s="274"/>
      <c r="E64" s="274"/>
      <c r="F64" s="274"/>
      <c r="G64" s="274"/>
      <c r="H64" s="274"/>
    </row>
    <row r="65" spans="1:8" x14ac:dyDescent="0.2">
      <c r="A65" s="275" t="s">
        <v>750</v>
      </c>
      <c r="B65" s="274"/>
      <c r="C65" s="274"/>
      <c r="D65" s="274"/>
      <c r="E65" s="274"/>
      <c r="F65" s="274"/>
      <c r="G65" s="274"/>
      <c r="H65" s="274"/>
    </row>
    <row r="66" spans="1:8" x14ac:dyDescent="0.2">
      <c r="A66" s="274"/>
      <c r="B66" s="274"/>
      <c r="C66" s="274"/>
      <c r="D66" s="274"/>
      <c r="E66" s="274"/>
      <c r="F66" s="274"/>
      <c r="G66" s="274"/>
      <c r="H66" s="274"/>
    </row>
    <row r="67" spans="1:8" x14ac:dyDescent="0.2">
      <c r="A67" s="275" t="s">
        <v>747</v>
      </c>
      <c r="B67" s="274"/>
      <c r="C67" s="274"/>
      <c r="D67" s="274"/>
      <c r="E67" s="274"/>
      <c r="F67" s="274"/>
      <c r="G67" s="274"/>
      <c r="H67" s="274"/>
    </row>
    <row r="68" spans="1:8" x14ac:dyDescent="0.2">
      <c r="A68" s="275" t="s">
        <v>748</v>
      </c>
      <c r="B68" s="274"/>
      <c r="C68" s="274"/>
      <c r="D68" s="274"/>
      <c r="E68" s="274"/>
      <c r="F68" s="274"/>
      <c r="G68" s="274"/>
      <c r="H68" s="274"/>
    </row>
    <row r="69" spans="1:8" x14ac:dyDescent="0.2">
      <c r="A69" s="274"/>
      <c r="B69" s="274"/>
      <c r="C69" s="274"/>
      <c r="D69" s="274"/>
      <c r="E69" s="274"/>
      <c r="F69" s="274"/>
      <c r="G69" s="274"/>
      <c r="H69" s="274"/>
    </row>
    <row r="70" spans="1:8" x14ac:dyDescent="0.2">
      <c r="A70" s="275" t="s">
        <v>745</v>
      </c>
      <c r="B70" s="274"/>
      <c r="C70" s="274"/>
      <c r="D70" s="274"/>
      <c r="E70" s="274"/>
      <c r="F70" s="274"/>
      <c r="G70" s="274"/>
      <c r="H70" s="274"/>
    </row>
    <row r="71" spans="1:8" x14ac:dyDescent="0.2">
      <c r="A71" s="275" t="s">
        <v>746</v>
      </c>
      <c r="B71" s="274"/>
      <c r="C71" s="274"/>
      <c r="D71" s="274"/>
      <c r="E71" s="274"/>
      <c r="F71" s="274"/>
      <c r="G71" s="274"/>
      <c r="H71" s="274"/>
    </row>
    <row r="72" spans="1:8" x14ac:dyDescent="0.2">
      <c r="A72" s="274"/>
      <c r="B72" s="274"/>
      <c r="C72" s="274"/>
      <c r="D72" s="274"/>
      <c r="E72" s="274"/>
      <c r="F72" s="274"/>
      <c r="G72" s="274"/>
      <c r="H72" s="274"/>
    </row>
    <row r="73" spans="1:8" x14ac:dyDescent="0.2">
      <c r="A73" s="275" t="s">
        <v>743</v>
      </c>
      <c r="B73" s="274"/>
      <c r="C73" s="274"/>
      <c r="D73" s="274"/>
      <c r="E73" s="274"/>
      <c r="F73" s="274"/>
      <c r="G73" s="274"/>
      <c r="H73" s="274"/>
    </row>
    <row r="74" spans="1:8" x14ac:dyDescent="0.2">
      <c r="A74" s="275" t="s">
        <v>744</v>
      </c>
      <c r="B74" s="274"/>
      <c r="C74" s="274"/>
      <c r="D74" s="274"/>
      <c r="E74" s="274"/>
      <c r="F74" s="274"/>
      <c r="G74" s="274"/>
      <c r="H74" s="274"/>
    </row>
    <row r="75" spans="1:8" x14ac:dyDescent="0.2">
      <c r="A75" s="274"/>
      <c r="B75" s="274"/>
      <c r="C75" s="274"/>
      <c r="D75" s="274"/>
      <c r="E75" s="274"/>
      <c r="F75" s="274"/>
      <c r="G75" s="274"/>
      <c r="H75" s="274"/>
    </row>
    <row r="76" spans="1:8" x14ac:dyDescent="0.2">
      <c r="A76" s="275" t="s">
        <v>740</v>
      </c>
      <c r="B76" s="274"/>
      <c r="C76" s="274"/>
      <c r="D76" s="274"/>
      <c r="E76" s="274"/>
      <c r="F76" s="274"/>
      <c r="G76" s="274"/>
      <c r="H76" s="274"/>
    </row>
    <row r="77" spans="1:8" x14ac:dyDescent="0.2">
      <c r="A77" s="275" t="s">
        <v>741</v>
      </c>
      <c r="B77" s="274"/>
      <c r="C77" s="274"/>
      <c r="D77" s="274"/>
      <c r="E77" s="274"/>
      <c r="F77" s="274"/>
      <c r="G77" s="274"/>
      <c r="H77" s="274"/>
    </row>
    <row r="78" spans="1:8" x14ac:dyDescent="0.2">
      <c r="A78" s="275" t="s">
        <v>742</v>
      </c>
      <c r="B78" s="274"/>
      <c r="C78" s="274"/>
      <c r="D78" s="274"/>
      <c r="E78" s="274"/>
      <c r="F78" s="274"/>
      <c r="G78" s="274"/>
      <c r="H78" s="274"/>
    </row>
    <row r="79" spans="1:8" x14ac:dyDescent="0.2">
      <c r="A79" s="274"/>
      <c r="B79" s="274"/>
      <c r="C79" s="274"/>
      <c r="D79" s="274"/>
      <c r="E79" s="274"/>
      <c r="F79" s="274"/>
      <c r="G79" s="274"/>
      <c r="H79" s="274"/>
    </row>
    <row r="80" spans="1:8" x14ac:dyDescent="0.2">
      <c r="A80" s="275" t="s">
        <v>735</v>
      </c>
      <c r="B80" s="274"/>
      <c r="C80" s="274"/>
      <c r="D80" s="274"/>
      <c r="E80" s="274"/>
      <c r="F80" s="274"/>
      <c r="G80" s="274"/>
      <c r="H80" s="274"/>
    </row>
    <row r="81" spans="1:8" x14ac:dyDescent="0.2">
      <c r="A81" s="275" t="s">
        <v>736</v>
      </c>
      <c r="B81" s="274"/>
      <c r="C81" s="274"/>
      <c r="D81" s="274"/>
      <c r="E81" s="274"/>
      <c r="F81" s="274"/>
      <c r="G81" s="274"/>
      <c r="H81" s="274"/>
    </row>
    <row r="82" spans="1:8" x14ac:dyDescent="0.2">
      <c r="A82" s="275" t="s">
        <v>737</v>
      </c>
      <c r="B82" s="274"/>
      <c r="C82" s="274"/>
      <c r="D82" s="274"/>
      <c r="E82" s="274"/>
      <c r="F82" s="274"/>
      <c r="G82" s="274"/>
      <c r="H82" s="274"/>
    </row>
    <row r="83" spans="1:8" x14ac:dyDescent="0.2">
      <c r="A83" s="275" t="s">
        <v>738</v>
      </c>
      <c r="B83" s="274"/>
      <c r="C83" s="274"/>
      <c r="D83" s="274"/>
      <c r="E83" s="274"/>
      <c r="F83" s="274"/>
      <c r="G83" s="274"/>
      <c r="H83" s="274"/>
    </row>
    <row r="84" spans="1:8" x14ac:dyDescent="0.2">
      <c r="A84" s="275" t="s">
        <v>739</v>
      </c>
      <c r="B84" s="274"/>
      <c r="C84" s="274"/>
      <c r="D84" s="274"/>
      <c r="E84" s="274"/>
      <c r="F84" s="274"/>
      <c r="G84" s="274"/>
      <c r="H84" s="274"/>
    </row>
    <row r="85" spans="1:8" x14ac:dyDescent="0.2">
      <c r="A85" s="275" t="s">
        <v>624</v>
      </c>
      <c r="B85" s="274"/>
      <c r="C85" s="274"/>
      <c r="D85" s="274"/>
      <c r="E85" s="274"/>
      <c r="F85" s="274"/>
      <c r="G85" s="274"/>
      <c r="H85" s="274"/>
    </row>
    <row r="86" spans="1:8" x14ac:dyDescent="0.2">
      <c r="A86" s="274"/>
      <c r="B86" s="274"/>
      <c r="C86" s="274"/>
      <c r="D86" s="274"/>
      <c r="E86" s="274"/>
      <c r="F86" s="274"/>
      <c r="G86" s="274"/>
      <c r="H86" s="274"/>
    </row>
    <row r="87" spans="1:8" x14ac:dyDescent="0.2">
      <c r="A87" s="275" t="s">
        <v>728</v>
      </c>
      <c r="B87" s="274"/>
      <c r="C87" s="274"/>
      <c r="D87" s="274"/>
      <c r="E87" s="274"/>
      <c r="F87" s="274"/>
      <c r="G87" s="274"/>
      <c r="H87" s="274"/>
    </row>
    <row r="88" spans="1:8" x14ac:dyDescent="0.2">
      <c r="A88" s="275" t="s">
        <v>729</v>
      </c>
      <c r="B88" s="274"/>
      <c r="C88" s="274"/>
      <c r="D88" s="274"/>
      <c r="E88" s="274"/>
      <c r="F88" s="274"/>
      <c r="G88" s="274"/>
      <c r="H88" s="274"/>
    </row>
    <row r="89" spans="1:8" x14ac:dyDescent="0.2">
      <c r="A89" s="275" t="s">
        <v>730</v>
      </c>
      <c r="B89" s="274"/>
      <c r="C89" s="274"/>
      <c r="D89" s="274"/>
      <c r="E89" s="274"/>
      <c r="F89" s="274"/>
      <c r="G89" s="274"/>
      <c r="H89" s="274"/>
    </row>
    <row r="90" spans="1:8" x14ac:dyDescent="0.2">
      <c r="A90" s="275" t="s">
        <v>731</v>
      </c>
      <c r="B90" s="274"/>
      <c r="C90" s="274"/>
      <c r="D90" s="274"/>
      <c r="E90" s="274"/>
      <c r="F90" s="274"/>
      <c r="G90" s="274"/>
      <c r="H90" s="274"/>
    </row>
    <row r="91" spans="1:8" x14ac:dyDescent="0.2">
      <c r="A91" s="275" t="s">
        <v>732</v>
      </c>
      <c r="B91" s="274"/>
      <c r="C91" s="274"/>
      <c r="D91" s="274"/>
      <c r="E91" s="274"/>
      <c r="F91" s="274"/>
      <c r="G91" s="274"/>
      <c r="H91" s="274"/>
    </row>
    <row r="92" spans="1:8" x14ac:dyDescent="0.2">
      <c r="A92" s="275" t="s">
        <v>733</v>
      </c>
      <c r="B92" s="274"/>
      <c r="C92" s="274"/>
      <c r="D92" s="274"/>
      <c r="E92" s="274"/>
      <c r="F92" s="274"/>
      <c r="G92" s="274"/>
      <c r="H92" s="274"/>
    </row>
    <row r="93" spans="1:8" x14ac:dyDescent="0.2">
      <c r="A93" s="275" t="s">
        <v>734</v>
      </c>
      <c r="B93" s="274"/>
      <c r="C93" s="274"/>
      <c r="D93" s="274"/>
      <c r="E93" s="274"/>
      <c r="F93" s="274"/>
      <c r="G93" s="274"/>
      <c r="H93" s="274"/>
    </row>
    <row r="94" spans="1:8" x14ac:dyDescent="0.2">
      <c r="A94" s="274"/>
      <c r="B94" s="274"/>
      <c r="C94" s="274"/>
      <c r="D94" s="274"/>
      <c r="E94" s="274"/>
      <c r="F94" s="274"/>
      <c r="G94" s="274"/>
      <c r="H94" s="274"/>
    </row>
    <row r="95" spans="1:8" x14ac:dyDescent="0.2">
      <c r="A95" s="275" t="s">
        <v>726</v>
      </c>
      <c r="B95" s="274"/>
      <c r="C95" s="274"/>
      <c r="D95" s="274"/>
      <c r="E95" s="274"/>
      <c r="F95" s="274"/>
      <c r="G95" s="274"/>
      <c r="H95" s="274"/>
    </row>
    <row r="96" spans="1:8" x14ac:dyDescent="0.2">
      <c r="A96" s="275" t="s">
        <v>727</v>
      </c>
      <c r="B96" s="274"/>
      <c r="C96" s="274"/>
      <c r="D96" s="274"/>
      <c r="E96" s="274"/>
      <c r="F96" s="274"/>
      <c r="G96" s="274"/>
      <c r="H96" s="274"/>
    </row>
    <row r="97" spans="1:8" x14ac:dyDescent="0.2">
      <c r="A97" s="274"/>
      <c r="B97" s="274"/>
      <c r="C97" s="274"/>
      <c r="D97" s="274"/>
      <c r="E97" s="274"/>
      <c r="F97" s="274"/>
      <c r="G97" s="274"/>
      <c r="H97" s="274"/>
    </row>
    <row r="98" spans="1:8" ht="15.75" x14ac:dyDescent="0.2">
      <c r="A98" s="276" t="s">
        <v>499</v>
      </c>
      <c r="B98" s="274"/>
      <c r="C98" s="274"/>
      <c r="D98" s="274"/>
      <c r="E98" s="274"/>
      <c r="F98" s="274"/>
      <c r="G98" s="274"/>
      <c r="H98" s="274"/>
    </row>
    <row r="99" spans="1:8" x14ac:dyDescent="0.2">
      <c r="A99" s="274"/>
      <c r="B99" s="274"/>
      <c r="C99" s="274"/>
      <c r="D99" s="274"/>
      <c r="E99" s="274"/>
      <c r="F99" s="274"/>
      <c r="G99" s="274"/>
      <c r="H99" s="274"/>
    </row>
    <row r="100" spans="1:8" x14ac:dyDescent="0.2">
      <c r="A100" s="275" t="s">
        <v>717</v>
      </c>
      <c r="B100" s="274"/>
      <c r="C100" s="274"/>
      <c r="D100" s="274"/>
      <c r="E100" s="274"/>
      <c r="F100" s="274"/>
      <c r="G100" s="274"/>
      <c r="H100" s="274"/>
    </row>
    <row r="101" spans="1:8" x14ac:dyDescent="0.2">
      <c r="A101" s="275" t="s">
        <v>718</v>
      </c>
      <c r="B101" s="274"/>
      <c r="C101" s="274"/>
      <c r="D101" s="274"/>
      <c r="E101" s="274"/>
      <c r="F101" s="274"/>
      <c r="G101" s="274"/>
      <c r="H101" s="274"/>
    </row>
    <row r="102" spans="1:8" x14ac:dyDescent="0.2">
      <c r="A102" s="275" t="s">
        <v>719</v>
      </c>
      <c r="B102" s="274"/>
      <c r="C102" s="274"/>
      <c r="D102" s="274"/>
      <c r="E102" s="274"/>
      <c r="F102" s="274"/>
      <c r="G102" s="274"/>
      <c r="H102" s="274"/>
    </row>
    <row r="103" spans="1:8" x14ac:dyDescent="0.2">
      <c r="A103" s="275" t="s">
        <v>720</v>
      </c>
      <c r="B103" s="274"/>
      <c r="C103" s="274"/>
      <c r="D103" s="274"/>
      <c r="E103" s="274"/>
      <c r="F103" s="274"/>
      <c r="G103" s="274"/>
      <c r="H103" s="274"/>
    </row>
    <row r="104" spans="1:8" x14ac:dyDescent="0.2">
      <c r="A104" s="275" t="s">
        <v>721</v>
      </c>
      <c r="B104" s="274"/>
      <c r="C104" s="274"/>
      <c r="D104" s="274"/>
      <c r="E104" s="274"/>
      <c r="F104" s="274"/>
      <c r="G104" s="274"/>
      <c r="H104" s="274"/>
    </row>
    <row r="105" spans="1:8" x14ac:dyDescent="0.2">
      <c r="A105" s="275" t="s">
        <v>722</v>
      </c>
      <c r="B105" s="274"/>
      <c r="C105" s="274"/>
      <c r="D105" s="274"/>
      <c r="E105" s="274"/>
      <c r="F105" s="274"/>
      <c r="G105" s="274"/>
      <c r="H105" s="274"/>
    </row>
    <row r="106" spans="1:8" x14ac:dyDescent="0.2">
      <c r="A106" s="275" t="s">
        <v>723</v>
      </c>
      <c r="B106" s="274"/>
      <c r="C106" s="274"/>
      <c r="D106" s="274"/>
      <c r="E106" s="274"/>
      <c r="F106" s="274"/>
      <c r="G106" s="274"/>
      <c r="H106" s="274"/>
    </row>
    <row r="107" spans="1:8" x14ac:dyDescent="0.2">
      <c r="A107" s="275" t="s">
        <v>724</v>
      </c>
      <c r="B107" s="274"/>
      <c r="C107" s="274"/>
      <c r="D107" s="274"/>
      <c r="E107" s="274"/>
      <c r="F107" s="274"/>
      <c r="G107" s="274"/>
      <c r="H107" s="274"/>
    </row>
    <row r="108" spans="1:8" x14ac:dyDescent="0.2">
      <c r="A108" s="275" t="s">
        <v>725</v>
      </c>
      <c r="B108" s="274"/>
      <c r="C108" s="274"/>
      <c r="D108" s="274"/>
      <c r="E108" s="274"/>
      <c r="F108" s="274"/>
      <c r="G108" s="274"/>
      <c r="H108" s="274"/>
    </row>
    <row r="109" spans="1:8" x14ac:dyDescent="0.2">
      <c r="A109" s="274"/>
      <c r="B109" s="274"/>
      <c r="C109" s="274"/>
      <c r="D109" s="274"/>
      <c r="E109" s="274"/>
      <c r="F109" s="274"/>
      <c r="G109" s="274"/>
      <c r="H109" s="274"/>
    </row>
    <row r="110" spans="1:8" ht="15.75" x14ac:dyDescent="0.2">
      <c r="A110" s="295" t="s">
        <v>500</v>
      </c>
      <c r="B110" s="295"/>
      <c r="C110" s="295"/>
      <c r="D110" s="295"/>
      <c r="E110" s="295"/>
      <c r="F110" s="295"/>
      <c r="G110" s="295"/>
      <c r="H110" s="295"/>
    </row>
    <row r="111" spans="1:8" x14ac:dyDescent="0.2">
      <c r="A111" s="291" t="s">
        <v>501</v>
      </c>
      <c r="B111" s="291"/>
      <c r="C111" s="291"/>
      <c r="D111" s="291"/>
      <c r="E111" s="291"/>
      <c r="F111" s="291"/>
      <c r="G111" s="291"/>
      <c r="H111" s="291"/>
    </row>
    <row r="112" spans="1:8" x14ac:dyDescent="0.2">
      <c r="A112" s="296"/>
      <c r="B112" s="296"/>
      <c r="C112" s="296"/>
      <c r="D112" s="296"/>
      <c r="E112" s="296"/>
      <c r="F112" s="296"/>
      <c r="G112" s="296"/>
      <c r="H112" s="296"/>
    </row>
    <row r="113" spans="1:8" x14ac:dyDescent="0.2">
      <c r="A113" s="291" t="s">
        <v>715</v>
      </c>
      <c r="B113" s="291"/>
      <c r="C113" s="291"/>
      <c r="D113" s="291"/>
      <c r="E113" s="291"/>
      <c r="F113" s="291"/>
      <c r="G113" s="291"/>
      <c r="H113" s="291"/>
    </row>
    <row r="114" spans="1:8" x14ac:dyDescent="0.2">
      <c r="A114" s="275" t="s">
        <v>716</v>
      </c>
      <c r="B114" s="275"/>
      <c r="C114" s="275"/>
      <c r="D114" s="275"/>
      <c r="E114" s="275"/>
      <c r="F114" s="275"/>
      <c r="G114" s="275"/>
      <c r="H114" s="275"/>
    </row>
    <row r="115" spans="1:8" x14ac:dyDescent="0.2">
      <c r="A115" s="296"/>
      <c r="B115" s="296"/>
      <c r="C115" s="296"/>
      <c r="D115" s="296"/>
      <c r="E115" s="296"/>
      <c r="F115" s="296"/>
      <c r="G115" s="296"/>
      <c r="H115" s="296"/>
    </row>
    <row r="116" spans="1:8" x14ac:dyDescent="0.2">
      <c r="A116" s="291" t="s">
        <v>708</v>
      </c>
      <c r="B116" s="291"/>
      <c r="C116" s="291"/>
      <c r="D116" s="291"/>
      <c r="E116" s="291"/>
      <c r="F116" s="291"/>
      <c r="G116" s="291"/>
      <c r="H116" s="291"/>
    </row>
    <row r="117" spans="1:8" x14ac:dyDescent="0.2">
      <c r="A117" s="275" t="s">
        <v>709</v>
      </c>
      <c r="B117" s="275"/>
      <c r="C117" s="275"/>
      <c r="D117" s="275"/>
      <c r="E117" s="275"/>
      <c r="F117" s="275"/>
      <c r="G117" s="275"/>
      <c r="H117" s="275"/>
    </row>
    <row r="118" spans="1:8" x14ac:dyDescent="0.2">
      <c r="A118" s="275" t="s">
        <v>710</v>
      </c>
      <c r="B118" s="275"/>
      <c r="C118" s="275"/>
      <c r="D118" s="275"/>
      <c r="E118" s="275"/>
      <c r="F118" s="275"/>
      <c r="G118" s="275"/>
      <c r="H118" s="275"/>
    </row>
    <row r="119" spans="1:8" x14ac:dyDescent="0.2">
      <c r="A119" s="275" t="s">
        <v>711</v>
      </c>
      <c r="B119" s="275"/>
      <c r="C119" s="275"/>
      <c r="D119" s="275"/>
      <c r="E119" s="275"/>
      <c r="F119" s="275"/>
      <c r="G119" s="275"/>
      <c r="H119" s="275"/>
    </row>
    <row r="120" spans="1:8" x14ac:dyDescent="0.2">
      <c r="A120" s="275" t="s">
        <v>712</v>
      </c>
      <c r="B120" s="275"/>
      <c r="C120" s="275"/>
      <c r="D120" s="275"/>
      <c r="E120" s="275"/>
      <c r="F120" s="275"/>
      <c r="G120" s="275"/>
      <c r="H120" s="275"/>
    </row>
    <row r="121" spans="1:8" x14ac:dyDescent="0.2">
      <c r="A121" s="275" t="s">
        <v>713</v>
      </c>
      <c r="B121" s="275"/>
      <c r="C121" s="275"/>
      <c r="D121" s="275"/>
      <c r="E121" s="275"/>
      <c r="F121" s="275"/>
      <c r="G121" s="275"/>
      <c r="H121" s="275"/>
    </row>
    <row r="122" spans="1:8" x14ac:dyDescent="0.2">
      <c r="A122" s="275" t="s">
        <v>714</v>
      </c>
      <c r="B122" s="275"/>
      <c r="C122" s="275"/>
      <c r="D122" s="275"/>
      <c r="E122" s="275"/>
      <c r="F122" s="275"/>
      <c r="G122" s="275"/>
      <c r="H122" s="275"/>
    </row>
    <row r="123" spans="1:8" x14ac:dyDescent="0.2">
      <c r="A123" s="297"/>
      <c r="B123" s="297"/>
      <c r="C123" s="297"/>
      <c r="D123" s="297"/>
      <c r="E123" s="297"/>
      <c r="F123" s="297"/>
      <c r="G123" s="297"/>
      <c r="H123" s="297"/>
    </row>
    <row r="124" spans="1:8" x14ac:dyDescent="0.2">
      <c r="A124" s="277"/>
      <c r="B124" s="292" t="s">
        <v>502</v>
      </c>
      <c r="C124" s="293"/>
      <c r="D124" s="292" t="s">
        <v>503</v>
      </c>
      <c r="E124" s="294"/>
      <c r="F124" s="293"/>
      <c r="G124" s="292" t="s">
        <v>504</v>
      </c>
      <c r="H124" s="293"/>
    </row>
    <row r="125" spans="1:8" x14ac:dyDescent="0.2">
      <c r="A125" s="277" t="s">
        <v>505</v>
      </c>
      <c r="B125" s="277" t="s">
        <v>150</v>
      </c>
      <c r="C125" s="277" t="s">
        <v>506</v>
      </c>
      <c r="D125" s="277" t="s">
        <v>150</v>
      </c>
      <c r="E125" s="277" t="s">
        <v>507</v>
      </c>
      <c r="F125" s="277" t="s">
        <v>508</v>
      </c>
      <c r="G125" s="277" t="s">
        <v>150</v>
      </c>
      <c r="H125" s="277" t="s">
        <v>509</v>
      </c>
    </row>
    <row r="126" spans="1:8" x14ac:dyDescent="0.2">
      <c r="A126" s="277" t="s">
        <v>510</v>
      </c>
      <c r="B126" s="277">
        <v>1189</v>
      </c>
      <c r="C126" s="278">
        <v>0.38</v>
      </c>
      <c r="D126" s="277">
        <v>315</v>
      </c>
      <c r="E126" s="278">
        <v>0.41</v>
      </c>
      <c r="F126" s="278">
        <v>0.26</v>
      </c>
      <c r="G126" s="277">
        <v>555</v>
      </c>
      <c r="H126" s="278">
        <v>0.39</v>
      </c>
    </row>
    <row r="127" spans="1:8" x14ac:dyDescent="0.2">
      <c r="A127" s="277" t="s">
        <v>511</v>
      </c>
      <c r="B127" s="277">
        <v>1355</v>
      </c>
      <c r="C127" s="278">
        <v>0.43</v>
      </c>
      <c r="D127" s="277">
        <v>364</v>
      </c>
      <c r="E127" s="278">
        <v>0.47</v>
      </c>
      <c r="F127" s="278">
        <v>0.27</v>
      </c>
      <c r="G127" s="277">
        <v>644</v>
      </c>
      <c r="H127" s="278">
        <v>0.45</v>
      </c>
    </row>
    <row r="128" spans="1:8" x14ac:dyDescent="0.2">
      <c r="A128" s="277" t="s">
        <v>512</v>
      </c>
      <c r="B128" s="277">
        <v>53</v>
      </c>
      <c r="C128" s="278">
        <v>0.02</v>
      </c>
      <c r="D128" s="277">
        <v>4</v>
      </c>
      <c r="E128" s="278">
        <v>0.01</v>
      </c>
      <c r="F128" s="278">
        <v>0.08</v>
      </c>
      <c r="G128" s="277">
        <v>7</v>
      </c>
      <c r="H128" s="278">
        <v>0</v>
      </c>
    </row>
    <row r="129" spans="1:8" x14ac:dyDescent="0.2">
      <c r="A129" s="277" t="s">
        <v>513</v>
      </c>
      <c r="B129" s="277">
        <v>545</v>
      </c>
      <c r="C129" s="278">
        <v>0.17</v>
      </c>
      <c r="D129" s="277">
        <v>84</v>
      </c>
      <c r="E129" s="278">
        <v>0.11</v>
      </c>
      <c r="F129" s="278">
        <v>0.15</v>
      </c>
      <c r="G129" s="277">
        <v>214</v>
      </c>
      <c r="H129" s="278">
        <v>0.15</v>
      </c>
    </row>
    <row r="130" spans="1:8" x14ac:dyDescent="0.2">
      <c r="A130" s="277" t="s">
        <v>323</v>
      </c>
      <c r="B130" s="279">
        <v>3142</v>
      </c>
      <c r="C130" s="277"/>
      <c r="D130" s="277">
        <v>767</v>
      </c>
      <c r="E130" s="277"/>
      <c r="F130" s="277"/>
      <c r="G130" s="277">
        <v>1420</v>
      </c>
      <c r="H130" s="277"/>
    </row>
    <row r="131" spans="1:8" x14ac:dyDescent="0.2">
      <c r="A131" s="290"/>
      <c r="B131" s="290"/>
      <c r="C131" s="290"/>
      <c r="D131" s="290"/>
      <c r="E131" s="290"/>
      <c r="F131" s="290"/>
      <c r="G131" s="290"/>
      <c r="H131" s="290"/>
    </row>
    <row r="132" spans="1:8" x14ac:dyDescent="0.2">
      <c r="A132" s="291" t="s">
        <v>704</v>
      </c>
      <c r="B132" s="291"/>
      <c r="C132" s="291"/>
      <c r="D132" s="291"/>
      <c r="E132" s="291"/>
      <c r="F132" s="291"/>
      <c r="G132" s="291"/>
      <c r="H132" s="291"/>
    </row>
    <row r="133" spans="1:8" x14ac:dyDescent="0.2">
      <c r="A133" s="275" t="s">
        <v>705</v>
      </c>
      <c r="B133" s="275"/>
      <c r="C133" s="275"/>
      <c r="D133" s="275"/>
      <c r="E133" s="275"/>
      <c r="F133" s="275"/>
      <c r="G133" s="275"/>
      <c r="H133" s="275"/>
    </row>
    <row r="134" spans="1:8" x14ac:dyDescent="0.2">
      <c r="A134" s="275" t="s">
        <v>706</v>
      </c>
      <c r="B134" s="275"/>
      <c r="C134" s="275"/>
      <c r="D134" s="275"/>
      <c r="E134" s="275"/>
      <c r="F134" s="275"/>
      <c r="G134" s="275"/>
      <c r="H134" s="275"/>
    </row>
    <row r="135" spans="1:8" x14ac:dyDescent="0.2">
      <c r="A135" s="275" t="s">
        <v>707</v>
      </c>
      <c r="B135" s="275"/>
      <c r="C135" s="275"/>
      <c r="D135" s="275"/>
      <c r="E135" s="275"/>
      <c r="F135" s="275"/>
      <c r="G135" s="275"/>
      <c r="H135" s="275"/>
    </row>
    <row r="136" spans="1:8" x14ac:dyDescent="0.2">
      <c r="A136" s="274"/>
      <c r="B136" s="274"/>
      <c r="C136" s="274"/>
      <c r="D136" s="274"/>
      <c r="E136" s="274"/>
      <c r="F136" s="274"/>
      <c r="G136" s="274"/>
      <c r="H136" s="274"/>
    </row>
    <row r="137" spans="1:8" ht="15.75" x14ac:dyDescent="0.2">
      <c r="A137" s="276" t="s">
        <v>514</v>
      </c>
      <c r="B137" s="274"/>
      <c r="C137" s="274"/>
      <c r="D137" s="274"/>
      <c r="E137" s="274"/>
      <c r="F137" s="274"/>
      <c r="G137" s="274"/>
      <c r="H137" s="274"/>
    </row>
    <row r="138" spans="1:8" x14ac:dyDescent="0.2">
      <c r="A138" s="274"/>
      <c r="B138" s="274"/>
      <c r="C138" s="274"/>
      <c r="D138" s="274"/>
      <c r="E138" s="274"/>
      <c r="F138" s="274"/>
      <c r="G138" s="274"/>
      <c r="H138" s="274"/>
    </row>
    <row r="139" spans="1:8" x14ac:dyDescent="0.2">
      <c r="A139" s="275" t="s">
        <v>702</v>
      </c>
      <c r="B139" s="274"/>
      <c r="C139" s="274"/>
      <c r="D139" s="274"/>
      <c r="E139" s="274"/>
      <c r="F139" s="274"/>
      <c r="G139" s="274"/>
      <c r="H139" s="274"/>
    </row>
    <row r="140" spans="1:8" x14ac:dyDescent="0.2">
      <c r="A140" s="275" t="s">
        <v>703</v>
      </c>
      <c r="B140" s="274"/>
      <c r="C140" s="274"/>
      <c r="D140" s="274"/>
      <c r="E140" s="274"/>
      <c r="F140" s="274"/>
      <c r="G140" s="274"/>
      <c r="H140" s="274"/>
    </row>
    <row r="141" spans="1:8" x14ac:dyDescent="0.2">
      <c r="A141" s="274"/>
      <c r="B141" s="274"/>
      <c r="C141" s="274"/>
      <c r="D141" s="274"/>
      <c r="E141" s="274"/>
      <c r="F141" s="274"/>
      <c r="G141" s="274"/>
      <c r="H141" s="274"/>
    </row>
    <row r="142" spans="1:8" x14ac:dyDescent="0.2">
      <c r="A142" s="275" t="s">
        <v>699</v>
      </c>
      <c r="B142" s="274"/>
      <c r="C142" s="274"/>
      <c r="D142" s="274"/>
      <c r="E142" s="274"/>
      <c r="F142" s="274"/>
      <c r="G142" s="274"/>
      <c r="H142" s="274"/>
    </row>
    <row r="143" spans="1:8" x14ac:dyDescent="0.2">
      <c r="A143" s="275" t="s">
        <v>700</v>
      </c>
      <c r="B143" s="274"/>
      <c r="C143" s="274"/>
      <c r="D143" s="274"/>
      <c r="E143" s="274"/>
      <c r="F143" s="274"/>
      <c r="G143" s="274"/>
      <c r="H143" s="274"/>
    </row>
    <row r="144" spans="1:8" x14ac:dyDescent="0.2">
      <c r="A144" s="275" t="s">
        <v>701</v>
      </c>
      <c r="B144" s="274"/>
      <c r="C144" s="274"/>
      <c r="D144" s="274"/>
      <c r="E144" s="274"/>
      <c r="F144" s="274"/>
      <c r="G144" s="274"/>
      <c r="H144" s="274"/>
    </row>
    <row r="145" spans="1:8" x14ac:dyDescent="0.2">
      <c r="A145" s="274"/>
      <c r="B145" s="274"/>
      <c r="C145" s="274"/>
      <c r="D145" s="274"/>
      <c r="E145" s="274"/>
      <c r="F145" s="274"/>
      <c r="G145" s="274"/>
      <c r="H145" s="274"/>
    </row>
    <row r="146" spans="1:8" x14ac:dyDescent="0.2">
      <c r="A146" s="275" t="s">
        <v>696</v>
      </c>
      <c r="B146" s="274"/>
      <c r="C146" s="274"/>
      <c r="D146" s="274"/>
      <c r="E146" s="274"/>
      <c r="F146" s="274"/>
      <c r="G146" s="274"/>
      <c r="H146" s="274"/>
    </row>
    <row r="147" spans="1:8" x14ac:dyDescent="0.2">
      <c r="A147" s="275" t="s">
        <v>697</v>
      </c>
      <c r="B147" s="274"/>
      <c r="C147" s="274"/>
      <c r="D147" s="274"/>
      <c r="E147" s="274"/>
      <c r="F147" s="274"/>
      <c r="G147" s="274"/>
      <c r="H147" s="274"/>
    </row>
    <row r="148" spans="1:8" x14ac:dyDescent="0.2">
      <c r="A148" s="275" t="s">
        <v>698</v>
      </c>
      <c r="B148" s="274"/>
      <c r="C148" s="274"/>
      <c r="D148" s="274"/>
      <c r="E148" s="274"/>
      <c r="F148" s="274"/>
      <c r="G148" s="274"/>
      <c r="H148" s="274"/>
    </row>
    <row r="149" spans="1:8" x14ac:dyDescent="0.2">
      <c r="A149" s="274"/>
      <c r="B149" s="274"/>
      <c r="C149" s="274"/>
      <c r="D149" s="274"/>
      <c r="E149" s="274"/>
      <c r="F149" s="274"/>
      <c r="G149" s="274"/>
      <c r="H149" s="274"/>
    </row>
    <row r="150" spans="1:8" x14ac:dyDescent="0.2">
      <c r="A150" s="275" t="s">
        <v>693</v>
      </c>
      <c r="B150" s="274"/>
      <c r="C150" s="274"/>
      <c r="D150" s="274"/>
      <c r="E150" s="274"/>
      <c r="F150" s="274"/>
      <c r="G150" s="274"/>
      <c r="H150" s="274"/>
    </row>
    <row r="151" spans="1:8" x14ac:dyDescent="0.2">
      <c r="A151" s="275" t="s">
        <v>694</v>
      </c>
      <c r="B151" s="274"/>
      <c r="C151" s="274"/>
      <c r="D151" s="274"/>
      <c r="E151" s="274"/>
      <c r="F151" s="274"/>
      <c r="G151" s="274"/>
      <c r="H151" s="274"/>
    </row>
    <row r="152" spans="1:8" x14ac:dyDescent="0.2">
      <c r="A152" s="275" t="s">
        <v>695</v>
      </c>
      <c r="B152" s="274"/>
      <c r="C152" s="274"/>
      <c r="D152" s="274"/>
      <c r="E152" s="274"/>
      <c r="F152" s="274"/>
      <c r="G152" s="274"/>
      <c r="H152" s="274"/>
    </row>
    <row r="153" spans="1:8" x14ac:dyDescent="0.2">
      <c r="A153" s="274"/>
      <c r="B153" s="274"/>
      <c r="C153" s="274"/>
      <c r="D153" s="274"/>
      <c r="E153" s="274"/>
      <c r="F153" s="274"/>
      <c r="G153" s="274"/>
      <c r="H153" s="274"/>
    </row>
    <row r="154" spans="1:8" x14ac:dyDescent="0.2">
      <c r="A154" s="275" t="s">
        <v>691</v>
      </c>
      <c r="B154" s="274"/>
      <c r="C154" s="274"/>
      <c r="D154" s="274"/>
      <c r="E154" s="274"/>
      <c r="F154" s="274"/>
      <c r="G154" s="274"/>
      <c r="H154" s="274"/>
    </row>
    <row r="155" spans="1:8" x14ac:dyDescent="0.2">
      <c r="A155" s="275" t="s">
        <v>692</v>
      </c>
      <c r="B155" s="274"/>
      <c r="C155" s="274"/>
      <c r="D155" s="274"/>
      <c r="E155" s="274"/>
      <c r="F155" s="274"/>
      <c r="G155" s="274"/>
      <c r="H155" s="274"/>
    </row>
    <row r="156" spans="1:8" x14ac:dyDescent="0.2">
      <c r="A156" s="274"/>
      <c r="B156" s="274"/>
      <c r="C156" s="274"/>
      <c r="D156" s="274"/>
      <c r="E156" s="274"/>
      <c r="F156" s="274"/>
      <c r="G156" s="274"/>
      <c r="H156" s="274"/>
    </row>
    <row r="157" spans="1:8" ht="15.75" x14ac:dyDescent="0.2">
      <c r="A157" s="276" t="s">
        <v>515</v>
      </c>
      <c r="B157" s="274"/>
      <c r="C157" s="274"/>
      <c r="D157" s="274"/>
      <c r="E157" s="274"/>
      <c r="F157" s="274"/>
      <c r="G157" s="274"/>
      <c r="H157" s="274"/>
    </row>
    <row r="158" spans="1:8" x14ac:dyDescent="0.2">
      <c r="A158" s="274"/>
      <c r="B158" s="274"/>
      <c r="C158" s="274"/>
      <c r="D158" s="274"/>
      <c r="E158" s="274"/>
      <c r="F158" s="274"/>
      <c r="G158" s="274"/>
      <c r="H158" s="274"/>
    </row>
    <row r="159" spans="1:8" x14ac:dyDescent="0.2">
      <c r="A159" s="275" t="s">
        <v>689</v>
      </c>
      <c r="B159" s="274"/>
      <c r="C159" s="274"/>
      <c r="D159" s="274"/>
      <c r="E159" s="274"/>
      <c r="F159" s="274"/>
      <c r="G159" s="274"/>
      <c r="H159" s="274"/>
    </row>
    <row r="160" spans="1:8" x14ac:dyDescent="0.2">
      <c r="A160" s="275" t="s">
        <v>690</v>
      </c>
      <c r="B160" s="274"/>
      <c r="C160" s="274"/>
      <c r="D160" s="274"/>
      <c r="E160" s="274"/>
      <c r="F160" s="274"/>
      <c r="G160" s="274"/>
      <c r="H160" s="274"/>
    </row>
    <row r="161" spans="1:8" x14ac:dyDescent="0.2">
      <c r="A161" s="274"/>
      <c r="B161" s="274"/>
      <c r="C161" s="274"/>
      <c r="D161" s="274"/>
      <c r="E161" s="274"/>
      <c r="F161" s="274"/>
      <c r="G161" s="274"/>
      <c r="H161" s="274"/>
    </row>
    <row r="162" spans="1:8" x14ac:dyDescent="0.2">
      <c r="A162" s="275" t="s">
        <v>687</v>
      </c>
      <c r="B162" s="274"/>
      <c r="C162" s="274"/>
      <c r="D162" s="274"/>
      <c r="E162" s="274"/>
      <c r="F162" s="274"/>
      <c r="G162" s="274"/>
      <c r="H162" s="274"/>
    </row>
    <row r="163" spans="1:8" x14ac:dyDescent="0.2">
      <c r="A163" s="275" t="s">
        <v>688</v>
      </c>
      <c r="B163" s="274"/>
      <c r="C163" s="274"/>
      <c r="D163" s="274"/>
      <c r="E163" s="274"/>
      <c r="F163" s="274"/>
      <c r="G163" s="274"/>
      <c r="H163" s="274"/>
    </row>
    <row r="164" spans="1:8" x14ac:dyDescent="0.2">
      <c r="A164" s="274"/>
      <c r="B164" s="274"/>
      <c r="C164" s="274"/>
      <c r="D164" s="274"/>
      <c r="E164" s="274"/>
      <c r="F164" s="274"/>
      <c r="G164" s="274"/>
      <c r="H164" s="274"/>
    </row>
    <row r="165" spans="1:8" x14ac:dyDescent="0.2">
      <c r="A165" s="275" t="s">
        <v>685</v>
      </c>
      <c r="B165" s="274"/>
      <c r="C165" s="274"/>
      <c r="D165" s="274"/>
      <c r="E165" s="274"/>
      <c r="F165" s="274"/>
      <c r="G165" s="274"/>
      <c r="H165" s="274"/>
    </row>
    <row r="166" spans="1:8" x14ac:dyDescent="0.2">
      <c r="A166" s="275" t="s">
        <v>686</v>
      </c>
      <c r="B166" s="274"/>
      <c r="C166" s="274"/>
      <c r="D166" s="274"/>
      <c r="E166" s="274"/>
      <c r="F166" s="274"/>
      <c r="G166" s="274"/>
      <c r="H166" s="274"/>
    </row>
    <row r="167" spans="1:8" x14ac:dyDescent="0.2">
      <c r="A167" s="274"/>
      <c r="B167" s="274"/>
      <c r="C167" s="274"/>
      <c r="D167" s="274"/>
      <c r="E167" s="274"/>
      <c r="F167" s="274"/>
      <c r="G167" s="274"/>
      <c r="H167" s="274"/>
    </row>
    <row r="168" spans="1:8" x14ac:dyDescent="0.2">
      <c r="A168" s="275" t="s">
        <v>682</v>
      </c>
      <c r="B168" s="274"/>
      <c r="C168" s="274"/>
      <c r="D168" s="274"/>
      <c r="E168" s="274"/>
      <c r="F168" s="274"/>
      <c r="G168" s="274"/>
      <c r="H168" s="274"/>
    </row>
    <row r="169" spans="1:8" x14ac:dyDescent="0.2">
      <c r="A169" s="275" t="s">
        <v>683</v>
      </c>
      <c r="B169" s="274"/>
      <c r="C169" s="274"/>
      <c r="D169" s="274"/>
      <c r="E169" s="274"/>
      <c r="F169" s="274"/>
      <c r="G169" s="274"/>
      <c r="H169" s="274"/>
    </row>
    <row r="170" spans="1:8" x14ac:dyDescent="0.2">
      <c r="A170" s="275" t="s">
        <v>684</v>
      </c>
      <c r="B170" s="274"/>
      <c r="C170" s="274"/>
      <c r="D170" s="274"/>
      <c r="E170" s="274"/>
      <c r="F170" s="274"/>
      <c r="G170" s="274"/>
      <c r="H170" s="274"/>
    </row>
    <row r="171" spans="1:8" x14ac:dyDescent="0.2">
      <c r="A171" s="274"/>
      <c r="B171" s="274"/>
      <c r="C171" s="274"/>
      <c r="D171" s="274"/>
      <c r="E171" s="274"/>
      <c r="F171" s="274"/>
      <c r="G171" s="274"/>
      <c r="H171" s="274"/>
    </row>
    <row r="172" spans="1:8" x14ac:dyDescent="0.2">
      <c r="A172" s="274"/>
      <c r="B172" s="274"/>
      <c r="C172" s="274"/>
      <c r="D172" s="274"/>
      <c r="E172" s="274"/>
      <c r="F172" s="274"/>
      <c r="G172" s="274"/>
      <c r="H172" s="274"/>
    </row>
    <row r="173" spans="1:8" x14ac:dyDescent="0.2">
      <c r="A173" s="275" t="s">
        <v>516</v>
      </c>
      <c r="B173" s="274"/>
      <c r="C173" s="274"/>
      <c r="D173" s="274"/>
      <c r="E173" s="274"/>
      <c r="F173" s="274"/>
      <c r="G173" s="274"/>
      <c r="H173" s="274"/>
    </row>
    <row r="174" spans="1:8" x14ac:dyDescent="0.2">
      <c r="A174" s="274"/>
      <c r="B174" s="274"/>
      <c r="C174" s="274"/>
      <c r="D174" s="274"/>
      <c r="E174" s="274"/>
      <c r="F174" s="274"/>
      <c r="G174" s="274"/>
      <c r="H174" s="274"/>
    </row>
    <row r="175" spans="1:8" ht="15.75" x14ac:dyDescent="0.2">
      <c r="A175" s="276" t="s">
        <v>517</v>
      </c>
      <c r="B175" s="274"/>
      <c r="C175" s="274"/>
      <c r="D175" s="274"/>
      <c r="E175" s="274"/>
      <c r="F175" s="274"/>
      <c r="G175" s="274"/>
      <c r="H175" s="274"/>
    </row>
    <row r="176" spans="1:8" x14ac:dyDescent="0.2">
      <c r="A176" s="274"/>
      <c r="B176" s="274"/>
      <c r="C176" s="274"/>
      <c r="D176" s="274"/>
      <c r="E176" s="274"/>
      <c r="F176" s="274"/>
      <c r="G176" s="274"/>
      <c r="H176" s="274"/>
    </row>
    <row r="177" spans="1:8" x14ac:dyDescent="0.2">
      <c r="A177" s="274"/>
      <c r="B177" s="274"/>
      <c r="C177" s="274"/>
      <c r="D177" s="274"/>
      <c r="E177" s="274"/>
      <c r="F177" s="274"/>
      <c r="G177" s="274"/>
      <c r="H177" s="274"/>
    </row>
    <row r="178" spans="1:8" x14ac:dyDescent="0.2">
      <c r="A178" s="274"/>
      <c r="B178" s="274"/>
      <c r="C178" s="274"/>
      <c r="D178" s="274"/>
      <c r="E178" s="274"/>
      <c r="F178" s="274"/>
      <c r="G178" s="274"/>
      <c r="H178" s="274"/>
    </row>
    <row r="179" spans="1:8" x14ac:dyDescent="0.2">
      <c r="A179" s="274"/>
      <c r="B179" s="274"/>
      <c r="C179" s="274"/>
      <c r="D179" s="274"/>
      <c r="E179" s="274"/>
      <c r="F179" s="274"/>
      <c r="G179" s="274"/>
      <c r="H179" s="274"/>
    </row>
    <row r="180" spans="1:8" x14ac:dyDescent="0.2">
      <c r="A180" s="274"/>
      <c r="B180" s="274"/>
      <c r="C180" s="274"/>
      <c r="D180" s="274"/>
      <c r="E180" s="274"/>
      <c r="F180" s="274"/>
      <c r="G180" s="274"/>
      <c r="H180" s="274"/>
    </row>
    <row r="181" spans="1:8" x14ac:dyDescent="0.2">
      <c r="A181" s="274"/>
      <c r="B181" s="274"/>
      <c r="C181" s="274"/>
      <c r="D181" s="274"/>
      <c r="E181" s="274"/>
      <c r="F181" s="274"/>
      <c r="G181" s="274"/>
      <c r="H181" s="274"/>
    </row>
    <row r="182" spans="1:8" x14ac:dyDescent="0.2">
      <c r="A182" s="274"/>
      <c r="B182" s="274"/>
      <c r="C182" s="274"/>
      <c r="D182" s="274"/>
      <c r="E182" s="274"/>
      <c r="F182" s="274"/>
      <c r="G182" s="274"/>
      <c r="H182" s="274"/>
    </row>
    <row r="183" spans="1:8" x14ac:dyDescent="0.2">
      <c r="A183" s="274"/>
      <c r="B183" s="274"/>
      <c r="C183" s="274"/>
      <c r="D183" s="274"/>
      <c r="E183" s="274"/>
      <c r="F183" s="274"/>
      <c r="G183" s="274"/>
      <c r="H183" s="274"/>
    </row>
    <row r="184" spans="1:8" x14ac:dyDescent="0.2">
      <c r="A184" s="274"/>
      <c r="B184" s="274"/>
      <c r="C184" s="274"/>
      <c r="D184" s="274"/>
      <c r="E184" s="274"/>
      <c r="F184" s="274"/>
      <c r="G184" s="274"/>
      <c r="H184" s="274"/>
    </row>
    <row r="185" spans="1:8" x14ac:dyDescent="0.2">
      <c r="A185" s="274"/>
      <c r="B185" s="274"/>
      <c r="C185" s="274"/>
      <c r="D185" s="274"/>
      <c r="E185" s="274"/>
      <c r="F185" s="274"/>
      <c r="G185" s="274"/>
      <c r="H185" s="274"/>
    </row>
    <row r="186" spans="1:8" x14ac:dyDescent="0.2">
      <c r="A186" s="274"/>
      <c r="B186" s="274"/>
      <c r="C186" s="274"/>
      <c r="D186" s="274"/>
      <c r="E186" s="274"/>
      <c r="F186" s="274"/>
      <c r="G186" s="274"/>
      <c r="H186" s="274"/>
    </row>
    <row r="187" spans="1:8" x14ac:dyDescent="0.2">
      <c r="A187" s="274"/>
      <c r="B187" s="274"/>
      <c r="C187" s="274"/>
      <c r="D187" s="274"/>
      <c r="E187" s="274"/>
      <c r="F187" s="274"/>
      <c r="G187" s="274"/>
      <c r="H187" s="274"/>
    </row>
    <row r="188" spans="1:8" x14ac:dyDescent="0.2">
      <c r="A188" s="274"/>
      <c r="B188" s="274"/>
      <c r="C188" s="274"/>
      <c r="D188" s="274"/>
      <c r="E188" s="274"/>
      <c r="F188" s="274"/>
      <c r="G188" s="274"/>
      <c r="H188" s="274"/>
    </row>
    <row r="189" spans="1:8" x14ac:dyDescent="0.2">
      <c r="A189" s="274"/>
      <c r="B189" s="274"/>
      <c r="C189" s="274"/>
      <c r="D189" s="274"/>
      <c r="E189" s="274"/>
      <c r="F189" s="274"/>
      <c r="G189" s="274"/>
      <c r="H189" s="274"/>
    </row>
    <row r="190" spans="1:8" x14ac:dyDescent="0.2">
      <c r="A190" s="274"/>
      <c r="B190" s="274"/>
      <c r="C190" s="274"/>
      <c r="D190" s="274"/>
      <c r="E190" s="274"/>
      <c r="F190" s="274"/>
      <c r="G190" s="274"/>
      <c r="H190" s="274"/>
    </row>
    <row r="191" spans="1:8" x14ac:dyDescent="0.2">
      <c r="A191" s="274"/>
      <c r="B191" s="274"/>
      <c r="C191" s="274"/>
      <c r="D191" s="274"/>
      <c r="E191" s="274"/>
      <c r="F191" s="274"/>
      <c r="G191" s="274"/>
      <c r="H191" s="274"/>
    </row>
    <row r="192" spans="1:8" x14ac:dyDescent="0.2">
      <c r="A192" s="274"/>
      <c r="B192" s="274"/>
      <c r="C192" s="274"/>
      <c r="D192" s="274"/>
      <c r="E192" s="274"/>
      <c r="F192" s="274"/>
      <c r="G192" s="274"/>
      <c r="H192" s="274"/>
    </row>
    <row r="193" spans="1:8" x14ac:dyDescent="0.2">
      <c r="A193" s="274"/>
      <c r="B193" s="274"/>
      <c r="C193" s="274"/>
      <c r="D193" s="274"/>
      <c r="E193" s="274"/>
      <c r="F193" s="274"/>
      <c r="G193" s="274"/>
      <c r="H193" s="274"/>
    </row>
    <row r="194" spans="1:8" x14ac:dyDescent="0.2">
      <c r="A194" s="274"/>
      <c r="B194" s="274"/>
      <c r="C194" s="274"/>
      <c r="D194" s="274"/>
      <c r="E194" s="274"/>
      <c r="F194" s="274"/>
      <c r="G194" s="274"/>
      <c r="H194" s="274"/>
    </row>
    <row r="195" spans="1:8" x14ac:dyDescent="0.2">
      <c r="A195" s="274"/>
      <c r="B195" s="274"/>
      <c r="C195" s="274"/>
      <c r="D195" s="274"/>
      <c r="E195" s="274"/>
      <c r="F195" s="274"/>
      <c r="G195" s="274"/>
      <c r="H195" s="274"/>
    </row>
    <row r="196" spans="1:8" x14ac:dyDescent="0.2">
      <c r="A196" s="274"/>
      <c r="B196" s="274"/>
      <c r="C196" s="274"/>
      <c r="D196" s="274"/>
      <c r="E196" s="274"/>
      <c r="F196" s="274"/>
      <c r="G196" s="274"/>
      <c r="H196" s="274"/>
    </row>
    <row r="197" spans="1:8" x14ac:dyDescent="0.2">
      <c r="A197" s="274"/>
      <c r="B197" s="274"/>
      <c r="C197" s="274"/>
      <c r="D197" s="274"/>
      <c r="E197" s="274"/>
      <c r="F197" s="274"/>
      <c r="G197" s="274"/>
      <c r="H197" s="274"/>
    </row>
    <row r="198" spans="1:8" x14ac:dyDescent="0.2">
      <c r="A198" s="274"/>
      <c r="B198" s="274"/>
      <c r="C198" s="274"/>
      <c r="D198" s="274"/>
      <c r="E198" s="274"/>
      <c r="F198" s="274"/>
      <c r="G198" s="274"/>
      <c r="H198" s="274"/>
    </row>
    <row r="199" spans="1:8" x14ac:dyDescent="0.2">
      <c r="A199" s="274"/>
      <c r="B199" s="274"/>
      <c r="C199" s="274"/>
      <c r="D199" s="274"/>
      <c r="E199" s="274"/>
      <c r="F199" s="274"/>
      <c r="G199" s="274"/>
      <c r="H199" s="274"/>
    </row>
    <row r="200" spans="1:8" x14ac:dyDescent="0.2">
      <c r="A200" s="274"/>
      <c r="B200" s="274"/>
      <c r="C200" s="274"/>
      <c r="D200" s="274"/>
      <c r="E200" s="274"/>
      <c r="F200" s="274"/>
      <c r="G200" s="274"/>
      <c r="H200" s="274"/>
    </row>
    <row r="201" spans="1:8" x14ac:dyDescent="0.2">
      <c r="A201" s="274"/>
      <c r="B201" s="274"/>
      <c r="C201" s="274"/>
      <c r="D201" s="274"/>
      <c r="E201" s="274"/>
      <c r="F201" s="274"/>
      <c r="G201" s="274"/>
      <c r="H201" s="274"/>
    </row>
    <row r="202" spans="1:8" ht="15.75" x14ac:dyDescent="0.2">
      <c r="A202" s="276" t="s">
        <v>518</v>
      </c>
      <c r="B202" s="274"/>
      <c r="C202" s="274"/>
      <c r="D202" s="274"/>
      <c r="E202" s="274"/>
      <c r="F202" s="274"/>
      <c r="G202" s="274"/>
      <c r="H202" s="274"/>
    </row>
    <row r="203" spans="1:8" x14ac:dyDescent="0.2">
      <c r="A203" s="274"/>
      <c r="B203" s="274"/>
      <c r="C203" s="274"/>
      <c r="D203" s="274"/>
      <c r="E203" s="274"/>
      <c r="F203" s="274"/>
      <c r="G203" s="274"/>
      <c r="H203" s="274"/>
    </row>
    <row r="204" spans="1:8" x14ac:dyDescent="0.2">
      <c r="A204" s="275" t="s">
        <v>677</v>
      </c>
      <c r="B204" s="274"/>
      <c r="C204" s="274"/>
      <c r="D204" s="274"/>
      <c r="E204" s="274"/>
      <c r="F204" s="274"/>
      <c r="G204" s="274"/>
      <c r="H204" s="274"/>
    </row>
    <row r="205" spans="1:8" x14ac:dyDescent="0.2">
      <c r="A205" s="275" t="s">
        <v>678</v>
      </c>
      <c r="B205" s="274"/>
      <c r="C205" s="274"/>
      <c r="D205" s="274"/>
      <c r="E205" s="274"/>
      <c r="F205" s="274"/>
      <c r="G205" s="274"/>
      <c r="H205" s="274"/>
    </row>
    <row r="206" spans="1:8" x14ac:dyDescent="0.2">
      <c r="A206" s="275" t="s">
        <v>679</v>
      </c>
      <c r="B206" s="274"/>
      <c r="C206" s="274"/>
      <c r="D206" s="274"/>
      <c r="E206" s="274"/>
      <c r="F206" s="274"/>
      <c r="G206" s="274"/>
      <c r="H206" s="274"/>
    </row>
    <row r="207" spans="1:8" x14ac:dyDescent="0.2">
      <c r="A207" s="275" t="s">
        <v>680</v>
      </c>
      <c r="B207" s="274"/>
      <c r="C207" s="274"/>
      <c r="D207" s="274"/>
      <c r="E207" s="274"/>
      <c r="F207" s="274"/>
      <c r="G207" s="274"/>
      <c r="H207" s="274"/>
    </row>
    <row r="208" spans="1:8" x14ac:dyDescent="0.2">
      <c r="A208" s="275" t="s">
        <v>681</v>
      </c>
      <c r="B208" s="274"/>
      <c r="C208" s="274"/>
      <c r="D208" s="274"/>
      <c r="E208" s="274"/>
      <c r="F208" s="274"/>
      <c r="G208" s="274"/>
      <c r="H208" s="274"/>
    </row>
    <row r="209" spans="1:8" x14ac:dyDescent="0.2">
      <c r="A209" s="274"/>
      <c r="B209" s="274"/>
      <c r="C209" s="274"/>
      <c r="D209" s="274"/>
      <c r="E209" s="274"/>
      <c r="F209" s="274"/>
      <c r="G209" s="274"/>
      <c r="H209" s="274"/>
    </row>
    <row r="210" spans="1:8" x14ac:dyDescent="0.2">
      <c r="A210" s="275" t="s">
        <v>674</v>
      </c>
      <c r="B210" s="274"/>
      <c r="C210" s="274"/>
      <c r="D210" s="274"/>
      <c r="E210" s="274"/>
      <c r="F210" s="274"/>
      <c r="G210" s="274"/>
      <c r="H210" s="274"/>
    </row>
    <row r="211" spans="1:8" x14ac:dyDescent="0.2">
      <c r="A211" s="275" t="s">
        <v>675</v>
      </c>
      <c r="B211" s="274"/>
      <c r="C211" s="274"/>
      <c r="D211" s="274"/>
      <c r="E211" s="274"/>
      <c r="F211" s="274"/>
      <c r="G211" s="274"/>
      <c r="H211" s="274"/>
    </row>
    <row r="212" spans="1:8" x14ac:dyDescent="0.2">
      <c r="A212" s="275" t="s">
        <v>676</v>
      </c>
      <c r="B212" s="274"/>
      <c r="C212" s="274"/>
      <c r="D212" s="274"/>
      <c r="E212" s="274"/>
      <c r="F212" s="274"/>
      <c r="G212" s="274"/>
      <c r="H212" s="274"/>
    </row>
    <row r="213" spans="1:8" ht="15.75" x14ac:dyDescent="0.2">
      <c r="A213" s="276" t="s">
        <v>519</v>
      </c>
      <c r="B213" s="274"/>
      <c r="C213" s="274"/>
      <c r="D213" s="274"/>
      <c r="E213" s="274"/>
      <c r="F213" s="274"/>
      <c r="G213" s="274"/>
      <c r="H213" s="274"/>
    </row>
    <row r="214" spans="1:8" x14ac:dyDescent="0.2">
      <c r="A214" s="274"/>
      <c r="B214" s="274"/>
      <c r="C214" s="274"/>
      <c r="D214" s="274"/>
      <c r="E214" s="274"/>
      <c r="F214" s="274"/>
      <c r="G214" s="274"/>
      <c r="H214" s="274"/>
    </row>
    <row r="215" spans="1:8" x14ac:dyDescent="0.2">
      <c r="A215" s="275" t="s">
        <v>667</v>
      </c>
      <c r="B215" s="274"/>
      <c r="C215" s="274"/>
      <c r="D215" s="274"/>
      <c r="E215" s="274"/>
      <c r="F215" s="274"/>
      <c r="G215" s="274"/>
      <c r="H215" s="274"/>
    </row>
    <row r="216" spans="1:8" x14ac:dyDescent="0.2">
      <c r="A216" s="275" t="s">
        <v>668</v>
      </c>
      <c r="B216" s="274"/>
      <c r="C216" s="274"/>
      <c r="D216" s="274"/>
      <c r="E216" s="274"/>
      <c r="F216" s="274"/>
      <c r="G216" s="274"/>
      <c r="H216" s="274"/>
    </row>
    <row r="217" spans="1:8" x14ac:dyDescent="0.2">
      <c r="A217" s="275" t="s">
        <v>669</v>
      </c>
      <c r="B217" s="274"/>
      <c r="C217" s="274"/>
      <c r="D217" s="274"/>
      <c r="E217" s="274"/>
      <c r="F217" s="274"/>
      <c r="G217" s="274"/>
      <c r="H217" s="274"/>
    </row>
    <row r="218" spans="1:8" x14ac:dyDescent="0.2">
      <c r="A218" s="275" t="s">
        <v>670</v>
      </c>
      <c r="B218" s="274"/>
      <c r="C218" s="274"/>
      <c r="D218" s="274"/>
      <c r="E218" s="274"/>
      <c r="F218" s="274"/>
      <c r="G218" s="274"/>
      <c r="H218" s="274"/>
    </row>
    <row r="219" spans="1:8" x14ac:dyDescent="0.2">
      <c r="A219" s="275" t="s">
        <v>671</v>
      </c>
      <c r="B219" s="274"/>
      <c r="C219" s="274"/>
      <c r="D219" s="274"/>
      <c r="E219" s="274"/>
      <c r="F219" s="274"/>
      <c r="G219" s="274"/>
      <c r="H219" s="274"/>
    </row>
    <row r="220" spans="1:8" x14ac:dyDescent="0.2">
      <c r="A220" s="275" t="s">
        <v>672</v>
      </c>
      <c r="B220" s="274"/>
      <c r="C220" s="274"/>
      <c r="D220" s="274"/>
      <c r="E220" s="274"/>
      <c r="F220" s="274"/>
      <c r="G220" s="274"/>
      <c r="H220" s="274"/>
    </row>
    <row r="221" spans="1:8" x14ac:dyDescent="0.2">
      <c r="A221" s="275" t="s">
        <v>673</v>
      </c>
      <c r="B221" s="274"/>
      <c r="C221" s="274"/>
      <c r="D221" s="274"/>
      <c r="E221" s="274"/>
      <c r="F221" s="274"/>
      <c r="G221" s="274"/>
      <c r="H221" s="274"/>
    </row>
    <row r="222" spans="1:8" x14ac:dyDescent="0.2">
      <c r="A222" s="274"/>
      <c r="B222" s="274"/>
      <c r="C222" s="274"/>
      <c r="D222" s="274"/>
      <c r="E222" s="274"/>
      <c r="F222" s="274"/>
      <c r="G222" s="274"/>
      <c r="H222" s="274"/>
    </row>
    <row r="223" spans="1:8" x14ac:dyDescent="0.2">
      <c r="A223" s="275" t="s">
        <v>664</v>
      </c>
      <c r="B223" s="274"/>
      <c r="C223" s="274"/>
      <c r="D223" s="274"/>
      <c r="E223" s="274"/>
      <c r="F223" s="274"/>
      <c r="G223" s="274"/>
      <c r="H223" s="274"/>
    </row>
    <row r="224" spans="1:8" x14ac:dyDescent="0.2">
      <c r="A224" s="275" t="s">
        <v>665</v>
      </c>
      <c r="B224" s="274"/>
      <c r="C224" s="274"/>
      <c r="D224" s="274"/>
      <c r="E224" s="274"/>
      <c r="F224" s="274"/>
      <c r="G224" s="274"/>
      <c r="H224" s="274"/>
    </row>
    <row r="225" spans="1:8" x14ac:dyDescent="0.2">
      <c r="A225" s="275" t="s">
        <v>666</v>
      </c>
      <c r="B225" s="274"/>
      <c r="C225" s="274"/>
      <c r="D225" s="274"/>
      <c r="E225" s="274"/>
      <c r="F225" s="274"/>
      <c r="G225" s="274"/>
      <c r="H225" s="274"/>
    </row>
    <row r="226" spans="1:8" x14ac:dyDescent="0.2">
      <c r="A226" s="274"/>
      <c r="B226" s="274"/>
      <c r="C226" s="274"/>
      <c r="D226" s="274"/>
      <c r="E226" s="274"/>
      <c r="F226" s="274"/>
      <c r="G226" s="274"/>
      <c r="H226" s="274"/>
    </row>
    <row r="227" spans="1:8" x14ac:dyDescent="0.2">
      <c r="A227" s="275" t="s">
        <v>659</v>
      </c>
      <c r="B227" s="274"/>
      <c r="C227" s="274"/>
      <c r="D227" s="274"/>
      <c r="E227" s="274"/>
      <c r="F227" s="274"/>
      <c r="G227" s="274"/>
      <c r="H227" s="274"/>
    </row>
    <row r="228" spans="1:8" x14ac:dyDescent="0.2">
      <c r="A228" s="275" t="s">
        <v>660</v>
      </c>
      <c r="B228" s="274"/>
      <c r="C228" s="274"/>
      <c r="D228" s="274"/>
      <c r="E228" s="274"/>
      <c r="F228" s="274"/>
      <c r="G228" s="274"/>
      <c r="H228" s="274"/>
    </row>
    <row r="229" spans="1:8" x14ac:dyDescent="0.2">
      <c r="A229" s="275" t="s">
        <v>661</v>
      </c>
      <c r="B229" s="274"/>
      <c r="C229" s="274"/>
      <c r="D229" s="274"/>
      <c r="E229" s="274"/>
      <c r="F229" s="274"/>
      <c r="G229" s="274"/>
      <c r="H229" s="274"/>
    </row>
    <row r="230" spans="1:8" x14ac:dyDescent="0.2">
      <c r="A230" s="275" t="s">
        <v>662</v>
      </c>
      <c r="B230" s="274"/>
      <c r="C230" s="274"/>
      <c r="D230" s="274"/>
      <c r="E230" s="274"/>
      <c r="F230" s="274"/>
      <c r="G230" s="274"/>
      <c r="H230" s="274"/>
    </row>
    <row r="231" spans="1:8" x14ac:dyDescent="0.2">
      <c r="A231" s="275" t="s">
        <v>663</v>
      </c>
      <c r="B231" s="274"/>
      <c r="C231" s="274"/>
      <c r="D231" s="274"/>
      <c r="E231" s="274"/>
      <c r="F231" s="274"/>
      <c r="G231" s="274"/>
      <c r="H231" s="274"/>
    </row>
    <row r="232" spans="1:8" x14ac:dyDescent="0.2">
      <c r="A232" s="274"/>
      <c r="B232" s="274"/>
      <c r="C232" s="274"/>
      <c r="D232" s="274"/>
      <c r="E232" s="274"/>
      <c r="F232" s="274"/>
      <c r="G232" s="274"/>
      <c r="H232" s="274"/>
    </row>
    <row r="233" spans="1:8" x14ac:dyDescent="0.2">
      <c r="A233" s="275" t="s">
        <v>653</v>
      </c>
      <c r="B233" s="274"/>
      <c r="C233" s="274"/>
      <c r="D233" s="274"/>
      <c r="E233" s="274"/>
      <c r="F233" s="274"/>
      <c r="G233" s="274"/>
      <c r="H233" s="274"/>
    </row>
    <row r="234" spans="1:8" x14ac:dyDescent="0.2">
      <c r="A234" s="275" t="s">
        <v>654</v>
      </c>
      <c r="B234" s="274"/>
      <c r="C234" s="274"/>
      <c r="D234" s="274"/>
      <c r="E234" s="274"/>
      <c r="F234" s="274"/>
      <c r="G234" s="274"/>
      <c r="H234" s="274"/>
    </row>
    <row r="235" spans="1:8" x14ac:dyDescent="0.2">
      <c r="A235" s="275" t="s">
        <v>655</v>
      </c>
      <c r="B235" s="274"/>
      <c r="C235" s="274"/>
      <c r="D235" s="274"/>
      <c r="E235" s="274"/>
      <c r="F235" s="274"/>
      <c r="G235" s="274"/>
      <c r="H235" s="274"/>
    </row>
    <row r="236" spans="1:8" x14ac:dyDescent="0.2">
      <c r="A236" s="275" t="s">
        <v>656</v>
      </c>
      <c r="B236" s="274"/>
      <c r="C236" s="274"/>
      <c r="D236" s="274"/>
      <c r="E236" s="274"/>
      <c r="F236" s="274"/>
      <c r="G236" s="274"/>
      <c r="H236" s="274"/>
    </row>
    <row r="237" spans="1:8" x14ac:dyDescent="0.2">
      <c r="A237" s="275" t="s">
        <v>657</v>
      </c>
      <c r="B237" s="274"/>
      <c r="C237" s="274"/>
      <c r="D237" s="274"/>
      <c r="E237" s="274"/>
      <c r="F237" s="274"/>
      <c r="G237" s="274"/>
      <c r="H237" s="274"/>
    </row>
    <row r="238" spans="1:8" x14ac:dyDescent="0.2">
      <c r="A238" s="275" t="s">
        <v>658</v>
      </c>
      <c r="B238" s="274"/>
      <c r="C238" s="274"/>
      <c r="D238" s="274"/>
      <c r="E238" s="274"/>
      <c r="F238" s="274"/>
      <c r="G238" s="274"/>
      <c r="H238" s="274"/>
    </row>
    <row r="239" spans="1:8" x14ac:dyDescent="0.2">
      <c r="A239" s="274"/>
      <c r="B239" s="274"/>
      <c r="C239" s="274"/>
      <c r="D239" s="274"/>
      <c r="E239" s="274"/>
      <c r="F239" s="274"/>
      <c r="G239" s="274"/>
      <c r="H239" s="274"/>
    </row>
    <row r="240" spans="1:8" x14ac:dyDescent="0.2">
      <c r="A240" s="275" t="s">
        <v>643</v>
      </c>
      <c r="B240" s="274"/>
      <c r="C240" s="274"/>
      <c r="D240" s="274"/>
      <c r="E240" s="274"/>
      <c r="F240" s="274"/>
      <c r="G240" s="274"/>
      <c r="H240" s="274"/>
    </row>
    <row r="241" spans="1:8" x14ac:dyDescent="0.2">
      <c r="A241" s="275" t="s">
        <v>644</v>
      </c>
      <c r="B241" s="274"/>
      <c r="C241" s="274"/>
      <c r="D241" s="274"/>
      <c r="E241" s="274"/>
      <c r="F241" s="274"/>
      <c r="G241" s="274"/>
      <c r="H241" s="274"/>
    </row>
    <row r="242" spans="1:8" x14ac:dyDescent="0.2">
      <c r="A242" s="275" t="s">
        <v>645</v>
      </c>
      <c r="B242" s="274"/>
      <c r="C242" s="274"/>
      <c r="D242" s="274"/>
      <c r="E242" s="274"/>
      <c r="F242" s="274"/>
      <c r="G242" s="274"/>
      <c r="H242" s="274"/>
    </row>
    <row r="243" spans="1:8" x14ac:dyDescent="0.2">
      <c r="A243" s="275" t="s">
        <v>646</v>
      </c>
      <c r="B243" s="274"/>
      <c r="C243" s="274"/>
      <c r="D243" s="274"/>
      <c r="E243" s="274"/>
      <c r="F243" s="274"/>
      <c r="G243" s="274"/>
      <c r="H243" s="274"/>
    </row>
    <row r="244" spans="1:8" x14ac:dyDescent="0.2">
      <c r="A244" s="275" t="s">
        <v>647</v>
      </c>
      <c r="B244" s="274"/>
      <c r="C244" s="274"/>
      <c r="D244" s="274"/>
      <c r="E244" s="274"/>
      <c r="F244" s="274"/>
      <c r="G244" s="274"/>
      <c r="H244" s="274"/>
    </row>
    <row r="245" spans="1:8" x14ac:dyDescent="0.2">
      <c r="A245" s="275" t="s">
        <v>648</v>
      </c>
      <c r="B245" s="274"/>
      <c r="C245" s="274"/>
      <c r="D245" s="274"/>
      <c r="E245" s="274"/>
      <c r="F245" s="274"/>
      <c r="G245" s="274"/>
      <c r="H245" s="274"/>
    </row>
    <row r="246" spans="1:8" x14ac:dyDescent="0.2">
      <c r="A246" s="275" t="s">
        <v>649</v>
      </c>
      <c r="B246" s="274"/>
      <c r="C246" s="274"/>
      <c r="D246" s="274"/>
      <c r="E246" s="274"/>
      <c r="F246" s="274"/>
      <c r="G246" s="274"/>
      <c r="H246" s="274"/>
    </row>
    <row r="247" spans="1:8" x14ac:dyDescent="0.2">
      <c r="A247" s="275" t="s">
        <v>650</v>
      </c>
      <c r="B247" s="274"/>
      <c r="C247" s="274"/>
      <c r="D247" s="274"/>
      <c r="E247" s="274"/>
      <c r="F247" s="274"/>
      <c r="G247" s="274"/>
      <c r="H247" s="274"/>
    </row>
    <row r="248" spans="1:8" x14ac:dyDescent="0.2">
      <c r="A248" s="275" t="s">
        <v>651</v>
      </c>
      <c r="B248" s="274"/>
      <c r="C248" s="274"/>
      <c r="D248" s="274"/>
      <c r="E248" s="274"/>
      <c r="F248" s="274"/>
      <c r="G248" s="274"/>
      <c r="H248" s="274"/>
    </row>
    <row r="249" spans="1:8" x14ac:dyDescent="0.2">
      <c r="A249" s="275" t="s">
        <v>652</v>
      </c>
      <c r="B249" s="274"/>
      <c r="C249" s="274"/>
      <c r="D249" s="274"/>
      <c r="E249" s="274"/>
      <c r="F249" s="274"/>
      <c r="G249" s="274"/>
      <c r="H249" s="274"/>
    </row>
    <row r="250" spans="1:8" x14ac:dyDescent="0.2">
      <c r="A250" s="274"/>
      <c r="B250" s="274"/>
      <c r="C250" s="274"/>
      <c r="D250" s="274"/>
      <c r="E250" s="274"/>
      <c r="F250" s="274"/>
      <c r="G250" s="274"/>
      <c r="H250" s="274"/>
    </row>
    <row r="251" spans="1:8" x14ac:dyDescent="0.2">
      <c r="A251" s="275" t="s">
        <v>641</v>
      </c>
      <c r="B251" s="274"/>
      <c r="C251" s="274"/>
      <c r="D251" s="274"/>
      <c r="E251" s="274"/>
      <c r="F251" s="274"/>
      <c r="G251" s="274"/>
      <c r="H251" s="274"/>
    </row>
    <row r="252" spans="1:8" x14ac:dyDescent="0.2">
      <c r="A252" s="275" t="s">
        <v>642</v>
      </c>
      <c r="B252" s="274"/>
      <c r="C252" s="274"/>
      <c r="D252" s="274"/>
      <c r="E252" s="274"/>
      <c r="F252" s="274"/>
      <c r="G252" s="274"/>
      <c r="H252" s="274"/>
    </row>
    <row r="253" spans="1:8" x14ac:dyDescent="0.2">
      <c r="A253" s="274"/>
      <c r="B253" s="274"/>
      <c r="C253" s="274"/>
      <c r="D253" s="274"/>
      <c r="E253" s="274"/>
      <c r="F253" s="274"/>
      <c r="G253" s="274"/>
      <c r="H253" s="274"/>
    </row>
    <row r="254" spans="1:8" x14ac:dyDescent="0.2">
      <c r="A254" s="275" t="s">
        <v>625</v>
      </c>
      <c r="B254" s="274"/>
      <c r="C254" s="274"/>
      <c r="D254" s="274"/>
      <c r="E254" s="274"/>
      <c r="F254" s="274"/>
      <c r="G254" s="274"/>
      <c r="H254" s="274"/>
    </row>
    <row r="255" spans="1:8" x14ac:dyDescent="0.2">
      <c r="A255" s="275" t="s">
        <v>626</v>
      </c>
      <c r="B255" s="274"/>
      <c r="C255" s="274"/>
      <c r="D255" s="274"/>
      <c r="E255" s="274"/>
      <c r="F255" s="274"/>
      <c r="G255" s="274"/>
      <c r="H255" s="274"/>
    </row>
    <row r="256" spans="1:8" x14ac:dyDescent="0.2">
      <c r="A256" s="275" t="s">
        <v>627</v>
      </c>
      <c r="B256" s="274"/>
      <c r="C256" s="274"/>
      <c r="D256" s="274"/>
      <c r="E256" s="274"/>
      <c r="F256" s="274"/>
      <c r="G256" s="274"/>
      <c r="H256" s="274"/>
    </row>
    <row r="257" spans="1:8" x14ac:dyDescent="0.2">
      <c r="A257" s="275" t="s">
        <v>628</v>
      </c>
      <c r="B257" s="274"/>
      <c r="C257" s="274"/>
      <c r="D257" s="274"/>
      <c r="E257" s="274"/>
      <c r="F257" s="274"/>
      <c r="G257" s="274"/>
      <c r="H257" s="274"/>
    </row>
    <row r="258" spans="1:8" x14ac:dyDescent="0.2">
      <c r="A258" s="275" t="s">
        <v>629</v>
      </c>
      <c r="B258" s="274"/>
      <c r="C258" s="274"/>
      <c r="D258" s="274"/>
      <c r="E258" s="274"/>
      <c r="F258" s="274"/>
      <c r="G258" s="274"/>
      <c r="H258" s="274"/>
    </row>
    <row r="259" spans="1:8" x14ac:dyDescent="0.2">
      <c r="A259" s="275" t="s">
        <v>630</v>
      </c>
      <c r="B259" s="274"/>
      <c r="C259" s="274"/>
      <c r="D259" s="274"/>
      <c r="E259" s="274"/>
      <c r="F259" s="274"/>
      <c r="G259" s="274"/>
      <c r="H259" s="274"/>
    </row>
    <row r="260" spans="1:8" x14ac:dyDescent="0.2">
      <c r="A260" s="275" t="s">
        <v>631</v>
      </c>
      <c r="B260" s="274"/>
      <c r="C260" s="274"/>
      <c r="D260" s="274"/>
      <c r="E260" s="274"/>
      <c r="F260" s="274"/>
      <c r="G260" s="274"/>
      <c r="H260" s="274"/>
    </row>
    <row r="261" spans="1:8" x14ac:dyDescent="0.2">
      <c r="A261" s="275" t="s">
        <v>632</v>
      </c>
      <c r="B261" s="274"/>
      <c r="C261" s="274"/>
      <c r="D261" s="274"/>
      <c r="E261" s="274"/>
      <c r="F261" s="274"/>
      <c r="G261" s="274"/>
      <c r="H261" s="274"/>
    </row>
    <row r="262" spans="1:8" x14ac:dyDescent="0.2">
      <c r="A262" s="275" t="s">
        <v>633</v>
      </c>
      <c r="B262" s="274"/>
      <c r="C262" s="274"/>
      <c r="D262" s="274"/>
      <c r="E262" s="274"/>
      <c r="F262" s="274"/>
      <c r="G262" s="274"/>
      <c r="H262" s="274"/>
    </row>
    <row r="263" spans="1:8" x14ac:dyDescent="0.2">
      <c r="A263" s="275" t="s">
        <v>634</v>
      </c>
      <c r="B263" s="274"/>
      <c r="C263" s="274"/>
      <c r="D263" s="274"/>
      <c r="E263" s="274"/>
      <c r="F263" s="274"/>
      <c r="G263" s="274"/>
      <c r="H263" s="274"/>
    </row>
    <row r="264" spans="1:8" x14ac:dyDescent="0.2">
      <c r="A264" s="275" t="s">
        <v>635</v>
      </c>
      <c r="B264" s="274"/>
      <c r="C264" s="274"/>
      <c r="D264" s="274"/>
      <c r="E264" s="274"/>
      <c r="F264" s="274"/>
      <c r="G264" s="274"/>
      <c r="H264" s="274"/>
    </row>
    <row r="265" spans="1:8" x14ac:dyDescent="0.2">
      <c r="A265" s="275" t="s">
        <v>636</v>
      </c>
      <c r="B265" s="274"/>
      <c r="C265" s="274"/>
      <c r="D265" s="274"/>
      <c r="E265" s="274"/>
      <c r="F265" s="274"/>
      <c r="G265" s="274"/>
      <c r="H265" s="274"/>
    </row>
    <row r="266" spans="1:8" x14ac:dyDescent="0.2">
      <c r="A266" s="275" t="s">
        <v>637</v>
      </c>
      <c r="B266" s="274"/>
      <c r="C266" s="274"/>
      <c r="D266" s="274"/>
      <c r="E266" s="274"/>
      <c r="F266" s="274"/>
      <c r="G266" s="274"/>
      <c r="H266" s="274"/>
    </row>
    <row r="267" spans="1:8" x14ac:dyDescent="0.2">
      <c r="A267" s="275" t="s">
        <v>638</v>
      </c>
      <c r="B267" s="274"/>
      <c r="C267" s="274"/>
      <c r="D267" s="274"/>
      <c r="E267" s="274"/>
      <c r="F267" s="274"/>
      <c r="G267" s="274"/>
      <c r="H267" s="274"/>
    </row>
    <row r="268" spans="1:8" x14ac:dyDescent="0.2">
      <c r="A268" s="275" t="s">
        <v>639</v>
      </c>
      <c r="B268" s="274"/>
      <c r="C268" s="274"/>
      <c r="D268" s="274"/>
      <c r="E268" s="274"/>
      <c r="F268" s="274"/>
      <c r="G268" s="274"/>
      <c r="H268" s="274"/>
    </row>
    <row r="269" spans="1:8" x14ac:dyDescent="0.2">
      <c r="A269" s="275" t="s">
        <v>640</v>
      </c>
      <c r="B269" s="274"/>
      <c r="C269" s="274"/>
      <c r="D269" s="274"/>
      <c r="E269" s="274"/>
      <c r="F269" s="274"/>
      <c r="G269" s="274"/>
      <c r="H269" s="274"/>
    </row>
    <row r="270" spans="1:8" x14ac:dyDescent="0.2">
      <c r="A270" s="274"/>
      <c r="B270" s="274"/>
      <c r="C270" s="274"/>
      <c r="D270" s="274"/>
      <c r="E270" s="274"/>
      <c r="F270" s="274"/>
      <c r="G270" s="274"/>
      <c r="H270" s="274"/>
    </row>
    <row r="271" spans="1:8" x14ac:dyDescent="0.2">
      <c r="A271" s="275" t="s">
        <v>618</v>
      </c>
      <c r="B271" s="274"/>
      <c r="C271" s="274"/>
      <c r="D271" s="274"/>
      <c r="E271" s="274"/>
      <c r="F271" s="274"/>
      <c r="G271" s="274"/>
      <c r="H271" s="274"/>
    </row>
    <row r="272" spans="1:8" x14ac:dyDescent="0.2">
      <c r="A272" s="275" t="s">
        <v>619</v>
      </c>
      <c r="B272" s="274"/>
      <c r="C272" s="274"/>
      <c r="D272" s="274"/>
      <c r="E272" s="274"/>
      <c r="F272" s="274"/>
      <c r="G272" s="274"/>
      <c r="H272" s="274"/>
    </row>
    <row r="273" spans="1:8" x14ac:dyDescent="0.2">
      <c r="A273" s="275" t="s">
        <v>620</v>
      </c>
      <c r="B273" s="274"/>
      <c r="C273" s="274"/>
      <c r="D273" s="274"/>
      <c r="E273" s="274"/>
      <c r="F273" s="274"/>
      <c r="G273" s="274"/>
      <c r="H273" s="274"/>
    </row>
    <row r="274" spans="1:8" x14ac:dyDescent="0.2">
      <c r="A274" s="275" t="s">
        <v>621</v>
      </c>
      <c r="B274" s="274"/>
      <c r="C274" s="274"/>
      <c r="D274" s="274"/>
      <c r="E274" s="274"/>
      <c r="F274" s="274"/>
      <c r="G274" s="274"/>
      <c r="H274" s="274"/>
    </row>
    <row r="275" spans="1:8" x14ac:dyDescent="0.2">
      <c r="A275" s="275" t="s">
        <v>622</v>
      </c>
      <c r="B275" s="274"/>
      <c r="C275" s="274"/>
      <c r="D275" s="274"/>
      <c r="E275" s="274"/>
      <c r="F275" s="274"/>
      <c r="G275" s="274"/>
      <c r="H275" s="274"/>
    </row>
    <row r="276" spans="1:8" x14ac:dyDescent="0.2">
      <c r="A276" s="275" t="s">
        <v>623</v>
      </c>
      <c r="B276" s="274"/>
      <c r="C276" s="274"/>
      <c r="D276" s="274"/>
      <c r="E276" s="274"/>
      <c r="F276" s="274"/>
      <c r="G276" s="274"/>
      <c r="H276" s="274"/>
    </row>
    <row r="277" spans="1:8" x14ac:dyDescent="0.2">
      <c r="A277" s="275" t="s">
        <v>624</v>
      </c>
      <c r="B277" s="274"/>
      <c r="C277" s="274"/>
      <c r="D277" s="274"/>
      <c r="E277" s="274"/>
      <c r="F277" s="274"/>
      <c r="G277" s="274"/>
      <c r="H277" s="274"/>
    </row>
    <row r="278" spans="1:8" x14ac:dyDescent="0.2">
      <c r="A278" s="274"/>
      <c r="B278" s="274"/>
      <c r="C278" s="274"/>
      <c r="D278" s="274"/>
      <c r="E278" s="274"/>
      <c r="F278" s="274"/>
      <c r="G278" s="274"/>
      <c r="H278" s="274"/>
    </row>
    <row r="279" spans="1:8" x14ac:dyDescent="0.2">
      <c r="A279" s="275" t="s">
        <v>609</v>
      </c>
      <c r="B279" s="274"/>
      <c r="C279" s="274"/>
      <c r="D279" s="274"/>
      <c r="E279" s="274"/>
      <c r="F279" s="274"/>
      <c r="G279" s="274"/>
      <c r="H279" s="274"/>
    </row>
    <row r="280" spans="1:8" x14ac:dyDescent="0.2">
      <c r="A280" s="275" t="s">
        <v>610</v>
      </c>
      <c r="B280" s="274"/>
      <c r="C280" s="274"/>
      <c r="D280" s="274"/>
      <c r="E280" s="274"/>
      <c r="F280" s="274"/>
      <c r="G280" s="274"/>
      <c r="H280" s="274"/>
    </row>
    <row r="281" spans="1:8" x14ac:dyDescent="0.2">
      <c r="A281" s="275" t="s">
        <v>611</v>
      </c>
      <c r="B281" s="274"/>
      <c r="C281" s="274"/>
      <c r="D281" s="274"/>
      <c r="E281" s="274"/>
      <c r="F281" s="274"/>
      <c r="G281" s="274"/>
      <c r="H281" s="274"/>
    </row>
    <row r="282" spans="1:8" x14ac:dyDescent="0.2">
      <c r="A282" s="275" t="s">
        <v>612</v>
      </c>
      <c r="B282" s="274"/>
      <c r="C282" s="274"/>
      <c r="D282" s="274"/>
      <c r="E282" s="274"/>
      <c r="F282" s="274"/>
      <c r="G282" s="274"/>
      <c r="H282" s="274"/>
    </row>
    <row r="283" spans="1:8" x14ac:dyDescent="0.2">
      <c r="A283" s="275" t="s">
        <v>613</v>
      </c>
      <c r="B283" s="274"/>
      <c r="C283" s="274"/>
      <c r="D283" s="274"/>
      <c r="E283" s="274"/>
      <c r="F283" s="274"/>
      <c r="G283" s="274"/>
      <c r="H283" s="274"/>
    </row>
    <row r="284" spans="1:8" x14ac:dyDescent="0.2">
      <c r="A284" s="275" t="s">
        <v>614</v>
      </c>
      <c r="B284" s="274"/>
      <c r="C284" s="274"/>
      <c r="D284" s="274"/>
      <c r="E284" s="274"/>
      <c r="F284" s="274"/>
      <c r="G284" s="274"/>
      <c r="H284" s="274"/>
    </row>
    <row r="285" spans="1:8" x14ac:dyDescent="0.2">
      <c r="A285" s="275" t="s">
        <v>615</v>
      </c>
      <c r="B285" s="274"/>
      <c r="C285" s="274"/>
      <c r="D285" s="274"/>
      <c r="E285" s="274"/>
      <c r="F285" s="274"/>
      <c r="G285" s="274"/>
      <c r="H285" s="274"/>
    </row>
    <row r="286" spans="1:8" x14ac:dyDescent="0.2">
      <c r="A286" s="275" t="s">
        <v>616</v>
      </c>
      <c r="B286" s="274"/>
      <c r="C286" s="274"/>
      <c r="D286" s="274"/>
      <c r="E286" s="274"/>
      <c r="F286" s="274"/>
      <c r="G286" s="274"/>
      <c r="H286" s="274"/>
    </row>
    <row r="287" spans="1:8" x14ac:dyDescent="0.2">
      <c r="A287" s="275" t="s">
        <v>617</v>
      </c>
      <c r="B287" s="274"/>
      <c r="C287" s="274"/>
      <c r="D287" s="274"/>
      <c r="E287" s="274"/>
      <c r="F287" s="274"/>
      <c r="G287" s="274"/>
      <c r="H287" s="274"/>
    </row>
    <row r="288" spans="1:8" x14ac:dyDescent="0.2">
      <c r="A288" s="274"/>
      <c r="B288" s="274"/>
      <c r="C288" s="274"/>
      <c r="D288" s="274"/>
      <c r="E288" s="274"/>
      <c r="F288" s="274"/>
      <c r="G288" s="274"/>
      <c r="H288" s="274"/>
    </row>
    <row r="289" spans="1:8" x14ac:dyDescent="0.2">
      <c r="A289" s="275" t="s">
        <v>602</v>
      </c>
      <c r="B289" s="274"/>
      <c r="C289" s="274"/>
      <c r="D289" s="274"/>
      <c r="E289" s="274"/>
      <c r="F289" s="274"/>
      <c r="G289" s="274"/>
      <c r="H289" s="274"/>
    </row>
    <row r="290" spans="1:8" x14ac:dyDescent="0.2">
      <c r="A290" s="275" t="s">
        <v>603</v>
      </c>
      <c r="B290" s="274"/>
      <c r="C290" s="274"/>
      <c r="D290" s="274"/>
      <c r="E290" s="274"/>
      <c r="F290" s="274"/>
      <c r="G290" s="274"/>
      <c r="H290" s="274"/>
    </row>
    <row r="291" spans="1:8" x14ac:dyDescent="0.2">
      <c r="A291" s="275" t="s">
        <v>604</v>
      </c>
      <c r="B291" s="274"/>
      <c r="C291" s="274"/>
      <c r="D291" s="274"/>
      <c r="E291" s="274"/>
      <c r="F291" s="274"/>
      <c r="G291" s="274"/>
      <c r="H291" s="274"/>
    </row>
    <row r="292" spans="1:8" x14ac:dyDescent="0.2">
      <c r="A292" s="275" t="s">
        <v>605</v>
      </c>
      <c r="B292" s="274"/>
      <c r="C292" s="274"/>
      <c r="D292" s="274"/>
      <c r="E292" s="274"/>
      <c r="F292" s="274"/>
      <c r="G292" s="274"/>
      <c r="H292" s="274"/>
    </row>
    <row r="293" spans="1:8" x14ac:dyDescent="0.2">
      <c r="A293" s="275" t="s">
        <v>606</v>
      </c>
      <c r="B293" s="274"/>
      <c r="C293" s="274"/>
      <c r="D293" s="274"/>
      <c r="E293" s="274"/>
      <c r="F293" s="274"/>
      <c r="G293" s="274"/>
      <c r="H293" s="274"/>
    </row>
    <row r="294" spans="1:8" x14ac:dyDescent="0.2">
      <c r="A294" s="275" t="s">
        <v>607</v>
      </c>
      <c r="B294" s="274"/>
      <c r="C294" s="274"/>
      <c r="D294" s="274"/>
      <c r="E294" s="274"/>
      <c r="F294" s="274"/>
      <c r="G294" s="274"/>
      <c r="H294" s="274"/>
    </row>
    <row r="295" spans="1:8" x14ac:dyDescent="0.2">
      <c r="A295" s="275" t="s">
        <v>608</v>
      </c>
      <c r="B295" s="274"/>
      <c r="C295" s="274"/>
      <c r="D295" s="274"/>
      <c r="E295" s="274"/>
      <c r="F295" s="274"/>
      <c r="G295" s="274"/>
      <c r="H295" s="274"/>
    </row>
    <row r="296" spans="1:8" x14ac:dyDescent="0.2">
      <c r="A296" s="274"/>
      <c r="B296" s="274"/>
      <c r="C296" s="274"/>
      <c r="D296" s="274"/>
      <c r="E296" s="274"/>
      <c r="F296" s="274"/>
      <c r="G296" s="274"/>
      <c r="H296" s="274"/>
    </row>
    <row r="297" spans="1:8" x14ac:dyDescent="0.2">
      <c r="A297" s="275" t="s">
        <v>599</v>
      </c>
      <c r="B297" s="274"/>
      <c r="C297" s="274"/>
      <c r="D297" s="274"/>
      <c r="E297" s="274"/>
      <c r="F297" s="274"/>
      <c r="G297" s="274"/>
      <c r="H297" s="274"/>
    </row>
    <row r="298" spans="1:8" x14ac:dyDescent="0.2">
      <c r="A298" s="275" t="s">
        <v>600</v>
      </c>
      <c r="B298" s="274"/>
      <c r="C298" s="274"/>
      <c r="D298" s="274"/>
      <c r="E298" s="274"/>
      <c r="F298" s="274"/>
      <c r="G298" s="274"/>
      <c r="H298" s="274"/>
    </row>
    <row r="299" spans="1:8" x14ac:dyDescent="0.2">
      <c r="A299" s="275" t="s">
        <v>601</v>
      </c>
      <c r="B299" s="274"/>
      <c r="C299" s="274"/>
      <c r="D299" s="274"/>
      <c r="E299" s="274"/>
      <c r="F299" s="274"/>
      <c r="G299" s="274"/>
      <c r="H299" s="274"/>
    </row>
    <row r="300" spans="1:8" x14ac:dyDescent="0.2">
      <c r="A300" s="274"/>
      <c r="B300" s="274"/>
      <c r="C300" s="274"/>
      <c r="D300" s="274"/>
      <c r="E300" s="274"/>
      <c r="F300" s="274"/>
      <c r="G300" s="274"/>
      <c r="H300" s="274"/>
    </row>
    <row r="301" spans="1:8" x14ac:dyDescent="0.2">
      <c r="A301" s="275" t="s">
        <v>597</v>
      </c>
      <c r="B301" s="274"/>
      <c r="C301" s="274"/>
      <c r="D301" s="274"/>
      <c r="E301" s="274"/>
      <c r="F301" s="274"/>
      <c r="G301" s="274"/>
      <c r="H301" s="274"/>
    </row>
    <row r="302" spans="1:8" x14ac:dyDescent="0.2">
      <c r="A302" s="275" t="s">
        <v>598</v>
      </c>
      <c r="B302" s="274"/>
      <c r="C302" s="274"/>
      <c r="D302" s="274"/>
      <c r="E302" s="274"/>
      <c r="F302" s="274"/>
      <c r="G302" s="274"/>
      <c r="H302" s="274"/>
    </row>
    <row r="303" spans="1:8" x14ac:dyDescent="0.2">
      <c r="A303" s="274"/>
      <c r="B303" s="274"/>
      <c r="C303" s="274"/>
      <c r="D303" s="274"/>
      <c r="E303" s="274"/>
      <c r="F303" s="274"/>
      <c r="G303" s="274"/>
      <c r="H303" s="274"/>
    </row>
    <row r="304" spans="1:8" x14ac:dyDescent="0.2">
      <c r="A304" s="275" t="s">
        <v>584</v>
      </c>
      <c r="B304" s="274"/>
      <c r="C304" s="274"/>
      <c r="D304" s="274"/>
      <c r="E304" s="274"/>
      <c r="F304" s="274"/>
      <c r="G304" s="274"/>
      <c r="H304" s="274"/>
    </row>
    <row r="305" spans="1:8" x14ac:dyDescent="0.2">
      <c r="A305" s="275" t="s">
        <v>585</v>
      </c>
      <c r="B305" s="274"/>
      <c r="C305" s="274"/>
      <c r="D305" s="274"/>
      <c r="E305" s="274"/>
      <c r="F305" s="274"/>
      <c r="G305" s="274"/>
      <c r="H305" s="274"/>
    </row>
    <row r="306" spans="1:8" x14ac:dyDescent="0.2">
      <c r="A306" s="275" t="s">
        <v>586</v>
      </c>
      <c r="B306" s="274"/>
      <c r="C306" s="274"/>
      <c r="D306" s="274"/>
      <c r="E306" s="274"/>
      <c r="F306" s="274"/>
      <c r="G306" s="274"/>
      <c r="H306" s="274"/>
    </row>
    <row r="307" spans="1:8" x14ac:dyDescent="0.2">
      <c r="A307" s="275" t="s">
        <v>587</v>
      </c>
      <c r="B307" s="274"/>
      <c r="C307" s="274"/>
      <c r="D307" s="274"/>
      <c r="E307" s="274"/>
      <c r="F307" s="274"/>
      <c r="G307" s="274"/>
      <c r="H307" s="274"/>
    </row>
    <row r="308" spans="1:8" x14ac:dyDescent="0.2">
      <c r="A308" s="275" t="s">
        <v>588</v>
      </c>
      <c r="B308" s="274"/>
      <c r="C308" s="274"/>
      <c r="D308" s="274"/>
      <c r="E308" s="274"/>
      <c r="F308" s="274"/>
      <c r="G308" s="274"/>
      <c r="H308" s="274"/>
    </row>
    <row r="309" spans="1:8" x14ac:dyDescent="0.2">
      <c r="A309" s="275" t="s">
        <v>589</v>
      </c>
      <c r="B309" s="274"/>
      <c r="C309" s="274"/>
      <c r="D309" s="274"/>
      <c r="E309" s="274"/>
      <c r="F309" s="274"/>
      <c r="G309" s="274"/>
      <c r="H309" s="274"/>
    </row>
    <row r="310" spans="1:8" x14ac:dyDescent="0.2">
      <c r="A310" s="275" t="s">
        <v>590</v>
      </c>
      <c r="B310" s="274"/>
      <c r="C310" s="274"/>
      <c r="D310" s="274"/>
      <c r="E310" s="274"/>
      <c r="F310" s="274"/>
      <c r="G310" s="274"/>
      <c r="H310" s="274"/>
    </row>
    <row r="311" spans="1:8" x14ac:dyDescent="0.2">
      <c r="A311" s="275" t="s">
        <v>591</v>
      </c>
      <c r="B311" s="274"/>
      <c r="C311" s="274"/>
      <c r="D311" s="274"/>
      <c r="E311" s="274"/>
      <c r="F311" s="274"/>
      <c r="G311" s="274"/>
      <c r="H311" s="274"/>
    </row>
    <row r="312" spans="1:8" x14ac:dyDescent="0.2">
      <c r="A312" s="275" t="s">
        <v>592</v>
      </c>
      <c r="B312" s="274"/>
      <c r="C312" s="274"/>
      <c r="D312" s="274"/>
      <c r="E312" s="274"/>
      <c r="F312" s="274"/>
      <c r="G312" s="274"/>
      <c r="H312" s="274"/>
    </row>
    <row r="313" spans="1:8" x14ac:dyDescent="0.2">
      <c r="A313" s="275" t="s">
        <v>593</v>
      </c>
      <c r="B313" s="274"/>
      <c r="C313" s="274"/>
      <c r="D313" s="274"/>
      <c r="E313" s="274"/>
      <c r="F313" s="274"/>
      <c r="G313" s="274"/>
      <c r="H313" s="274"/>
    </row>
    <row r="314" spans="1:8" x14ac:dyDescent="0.2">
      <c r="A314" s="275" t="s">
        <v>594</v>
      </c>
      <c r="B314" s="274"/>
      <c r="C314" s="274"/>
      <c r="D314" s="274"/>
      <c r="E314" s="274"/>
      <c r="F314" s="274"/>
      <c r="G314" s="274"/>
      <c r="H314" s="274"/>
    </row>
    <row r="315" spans="1:8" x14ac:dyDescent="0.2">
      <c r="A315" s="275" t="s">
        <v>595</v>
      </c>
      <c r="B315" s="274"/>
      <c r="C315" s="274"/>
      <c r="D315" s="274"/>
      <c r="E315" s="274"/>
      <c r="F315" s="274"/>
      <c r="G315" s="274"/>
      <c r="H315" s="274"/>
    </row>
    <row r="316" spans="1:8" x14ac:dyDescent="0.2">
      <c r="A316" s="275" t="s">
        <v>596</v>
      </c>
      <c r="B316" s="274"/>
      <c r="C316" s="274"/>
      <c r="D316" s="274"/>
      <c r="E316" s="274"/>
      <c r="F316" s="274"/>
      <c r="G316" s="274"/>
      <c r="H316" s="274"/>
    </row>
    <row r="317" spans="1:8" x14ac:dyDescent="0.2">
      <c r="A317" s="274"/>
      <c r="B317" s="274"/>
      <c r="C317" s="274"/>
      <c r="D317" s="274"/>
      <c r="E317" s="274"/>
      <c r="F317" s="274"/>
      <c r="G317" s="274"/>
      <c r="H317" s="274"/>
    </row>
    <row r="318" spans="1:8" x14ac:dyDescent="0.2">
      <c r="A318" s="275" t="s">
        <v>576</v>
      </c>
      <c r="B318" s="274"/>
      <c r="C318" s="274"/>
      <c r="D318" s="274"/>
      <c r="E318" s="274"/>
      <c r="F318" s="274"/>
      <c r="G318" s="274"/>
      <c r="H318" s="274"/>
    </row>
    <row r="319" spans="1:8" x14ac:dyDescent="0.2">
      <c r="A319" s="275" t="s">
        <v>577</v>
      </c>
      <c r="B319" s="274"/>
      <c r="C319" s="274"/>
      <c r="D319" s="274"/>
      <c r="E319" s="274"/>
      <c r="F319" s="274"/>
      <c r="G319" s="274"/>
      <c r="H319" s="274"/>
    </row>
    <row r="320" spans="1:8" x14ac:dyDescent="0.2">
      <c r="A320" s="275" t="s">
        <v>578</v>
      </c>
      <c r="B320" s="274"/>
      <c r="C320" s="274"/>
      <c r="D320" s="274"/>
      <c r="E320" s="274"/>
      <c r="F320" s="274"/>
      <c r="G320" s="274"/>
      <c r="H320" s="274"/>
    </row>
    <row r="321" spans="1:8" x14ac:dyDescent="0.2">
      <c r="A321" s="275" t="s">
        <v>579</v>
      </c>
      <c r="B321" s="274"/>
      <c r="C321" s="274"/>
      <c r="D321" s="274"/>
      <c r="E321" s="274"/>
      <c r="F321" s="274"/>
      <c r="G321" s="274"/>
      <c r="H321" s="274"/>
    </row>
    <row r="322" spans="1:8" x14ac:dyDescent="0.2">
      <c r="A322" s="275" t="s">
        <v>580</v>
      </c>
      <c r="B322" s="274"/>
      <c r="C322" s="274"/>
      <c r="D322" s="274"/>
      <c r="E322" s="274"/>
      <c r="F322" s="274"/>
      <c r="G322" s="274"/>
      <c r="H322" s="274"/>
    </row>
    <row r="323" spans="1:8" x14ac:dyDescent="0.2">
      <c r="A323" s="275" t="s">
        <v>581</v>
      </c>
      <c r="B323" s="274"/>
      <c r="C323" s="274"/>
      <c r="D323" s="274"/>
      <c r="E323" s="274"/>
      <c r="F323" s="274"/>
      <c r="G323" s="274"/>
      <c r="H323" s="274"/>
    </row>
    <row r="324" spans="1:8" x14ac:dyDescent="0.2">
      <c r="A324" s="275" t="s">
        <v>582</v>
      </c>
      <c r="B324" s="274"/>
      <c r="C324" s="274"/>
      <c r="D324" s="274"/>
      <c r="E324" s="274"/>
      <c r="F324" s="274"/>
      <c r="G324" s="274"/>
      <c r="H324" s="274"/>
    </row>
    <row r="325" spans="1:8" x14ac:dyDescent="0.2">
      <c r="A325" s="275" t="s">
        <v>583</v>
      </c>
      <c r="B325" s="274"/>
      <c r="C325" s="274"/>
      <c r="D325" s="274"/>
      <c r="E325" s="274"/>
      <c r="F325" s="274"/>
      <c r="G325" s="274"/>
      <c r="H325" s="274"/>
    </row>
    <row r="326" spans="1:8" x14ac:dyDescent="0.2">
      <c r="A326" s="274"/>
      <c r="B326" s="274"/>
      <c r="C326" s="274"/>
      <c r="D326" s="274"/>
      <c r="E326" s="274"/>
      <c r="F326" s="274"/>
      <c r="G326" s="274"/>
      <c r="H326" s="274"/>
    </row>
    <row r="327" spans="1:8" x14ac:dyDescent="0.2">
      <c r="A327" s="275" t="s">
        <v>541</v>
      </c>
      <c r="B327" s="274"/>
      <c r="C327" s="274"/>
      <c r="D327" s="274"/>
      <c r="E327" s="274"/>
      <c r="F327" s="274"/>
      <c r="G327" s="274"/>
      <c r="H327" s="274"/>
    </row>
    <row r="328" spans="1:8" x14ac:dyDescent="0.2">
      <c r="A328" s="275" t="s">
        <v>542</v>
      </c>
      <c r="B328" s="274"/>
      <c r="C328" s="274"/>
      <c r="D328" s="274"/>
      <c r="E328" s="274"/>
      <c r="F328" s="274"/>
      <c r="G328" s="274"/>
      <c r="H328" s="274"/>
    </row>
    <row r="329" spans="1:8" x14ac:dyDescent="0.2">
      <c r="A329" s="275" t="s">
        <v>543</v>
      </c>
      <c r="B329" s="274"/>
      <c r="C329" s="274"/>
      <c r="D329" s="274"/>
      <c r="E329" s="274"/>
      <c r="F329" s="274"/>
      <c r="G329" s="274"/>
      <c r="H329" s="274"/>
    </row>
    <row r="330" spans="1:8" x14ac:dyDescent="0.2">
      <c r="A330" s="275" t="s">
        <v>544</v>
      </c>
      <c r="B330" s="274"/>
      <c r="C330" s="274"/>
      <c r="D330" s="274"/>
      <c r="E330" s="274"/>
      <c r="F330" s="274"/>
      <c r="G330" s="274"/>
      <c r="H330" s="274"/>
    </row>
    <row r="331" spans="1:8" x14ac:dyDescent="0.2">
      <c r="A331" s="275" t="s">
        <v>545</v>
      </c>
      <c r="B331" s="274"/>
      <c r="C331" s="274"/>
      <c r="D331" s="274"/>
      <c r="E331" s="274"/>
      <c r="F331" s="274"/>
      <c r="G331" s="274"/>
      <c r="H331" s="274"/>
    </row>
    <row r="332" spans="1:8" x14ac:dyDescent="0.2">
      <c r="A332" s="275" t="s">
        <v>546</v>
      </c>
      <c r="B332" s="274"/>
      <c r="C332" s="274"/>
      <c r="D332" s="274"/>
      <c r="E332" s="274"/>
      <c r="F332" s="274"/>
      <c r="G332" s="274"/>
      <c r="H332" s="274"/>
    </row>
    <row r="333" spans="1:8" x14ac:dyDescent="0.2">
      <c r="A333" s="275" t="s">
        <v>547</v>
      </c>
      <c r="B333" s="274"/>
      <c r="C333" s="274"/>
      <c r="D333" s="274"/>
      <c r="E333" s="274"/>
      <c r="F333" s="274"/>
      <c r="G333" s="274"/>
      <c r="H333" s="274"/>
    </row>
    <row r="334" spans="1:8" x14ac:dyDescent="0.2">
      <c r="A334" s="275" t="s">
        <v>548</v>
      </c>
      <c r="B334" s="274"/>
      <c r="C334" s="274"/>
      <c r="D334" s="274"/>
      <c r="E334" s="274"/>
      <c r="F334" s="274"/>
      <c r="G334" s="274"/>
      <c r="H334" s="274"/>
    </row>
    <row r="335" spans="1:8" x14ac:dyDescent="0.2">
      <c r="A335" s="275" t="s">
        <v>549</v>
      </c>
      <c r="B335" s="274"/>
      <c r="C335" s="274"/>
      <c r="D335" s="274"/>
      <c r="E335" s="274"/>
      <c r="F335" s="274"/>
      <c r="G335" s="274"/>
      <c r="H335" s="274"/>
    </row>
    <row r="336" spans="1:8" x14ac:dyDescent="0.2">
      <c r="A336" s="275" t="s">
        <v>550</v>
      </c>
      <c r="B336" s="274"/>
      <c r="C336" s="274"/>
      <c r="D336" s="274"/>
      <c r="E336" s="274"/>
      <c r="F336" s="274"/>
      <c r="G336" s="274"/>
      <c r="H336" s="274"/>
    </row>
    <row r="337" spans="1:8" x14ac:dyDescent="0.2">
      <c r="A337" s="275" t="s">
        <v>551</v>
      </c>
      <c r="B337" s="274"/>
      <c r="C337" s="274"/>
      <c r="D337" s="274"/>
      <c r="E337" s="274"/>
      <c r="F337" s="274"/>
      <c r="G337" s="274"/>
      <c r="H337" s="274"/>
    </row>
    <row r="338" spans="1:8" x14ac:dyDescent="0.2">
      <c r="A338" s="275" t="s">
        <v>552</v>
      </c>
      <c r="B338" s="274"/>
      <c r="C338" s="274"/>
      <c r="D338" s="274"/>
      <c r="E338" s="274"/>
      <c r="F338" s="274"/>
      <c r="G338" s="274"/>
      <c r="H338" s="274"/>
    </row>
    <row r="339" spans="1:8" x14ac:dyDescent="0.2">
      <c r="A339" s="275" t="s">
        <v>553</v>
      </c>
      <c r="B339" s="274"/>
      <c r="C339" s="274"/>
      <c r="D339" s="274"/>
      <c r="E339" s="274"/>
      <c r="F339" s="274"/>
      <c r="G339" s="274"/>
      <c r="H339" s="274"/>
    </row>
    <row r="340" spans="1:8" x14ac:dyDescent="0.2">
      <c r="A340" s="275" t="s">
        <v>554</v>
      </c>
      <c r="B340" s="274"/>
      <c r="C340" s="274"/>
      <c r="D340" s="274"/>
      <c r="E340" s="274"/>
      <c r="F340" s="274"/>
      <c r="G340" s="274"/>
      <c r="H340" s="274"/>
    </row>
    <row r="341" spans="1:8" x14ac:dyDescent="0.2">
      <c r="A341" s="275" t="s">
        <v>555</v>
      </c>
      <c r="B341" s="274"/>
      <c r="C341" s="274"/>
      <c r="D341" s="274"/>
      <c r="E341" s="274"/>
      <c r="F341" s="274"/>
      <c r="G341" s="274"/>
      <c r="H341" s="274"/>
    </row>
    <row r="342" spans="1:8" x14ac:dyDescent="0.2">
      <c r="A342" s="275" t="s">
        <v>556</v>
      </c>
      <c r="B342" s="274"/>
      <c r="C342" s="274"/>
      <c r="D342" s="274"/>
      <c r="E342" s="274"/>
      <c r="F342" s="274"/>
      <c r="G342" s="274"/>
      <c r="H342" s="274"/>
    </row>
    <row r="343" spans="1:8" x14ac:dyDescent="0.2">
      <c r="A343" s="275" t="s">
        <v>557</v>
      </c>
      <c r="B343" s="274"/>
      <c r="C343" s="274"/>
      <c r="D343" s="274"/>
      <c r="E343" s="274"/>
      <c r="F343" s="274"/>
      <c r="G343" s="274"/>
      <c r="H343" s="274"/>
    </row>
    <row r="344" spans="1:8" x14ac:dyDescent="0.2">
      <c r="A344" s="275" t="s">
        <v>558</v>
      </c>
      <c r="B344" s="274"/>
      <c r="C344" s="274"/>
      <c r="D344" s="274"/>
      <c r="E344" s="274"/>
      <c r="F344" s="274"/>
      <c r="G344" s="274"/>
      <c r="H344" s="274"/>
    </row>
    <row r="345" spans="1:8" x14ac:dyDescent="0.2">
      <c r="A345" s="275" t="s">
        <v>559</v>
      </c>
      <c r="B345" s="274"/>
      <c r="C345" s="274"/>
      <c r="D345" s="274"/>
      <c r="E345" s="274"/>
      <c r="F345" s="274"/>
      <c r="G345" s="274"/>
      <c r="H345" s="274"/>
    </row>
    <row r="346" spans="1:8" x14ac:dyDescent="0.2">
      <c r="A346" s="275" t="s">
        <v>560</v>
      </c>
      <c r="B346" s="274"/>
      <c r="C346" s="274"/>
      <c r="D346" s="274"/>
      <c r="E346" s="274"/>
      <c r="F346" s="274"/>
      <c r="G346" s="274"/>
      <c r="H346" s="274"/>
    </row>
    <row r="347" spans="1:8" x14ac:dyDescent="0.2">
      <c r="A347" s="275" t="s">
        <v>561</v>
      </c>
      <c r="B347" s="274"/>
      <c r="C347" s="274"/>
      <c r="D347" s="274"/>
      <c r="E347" s="274"/>
      <c r="F347" s="274"/>
      <c r="G347" s="274"/>
      <c r="H347" s="274"/>
    </row>
    <row r="348" spans="1:8" x14ac:dyDescent="0.2">
      <c r="A348" s="275" t="s">
        <v>562</v>
      </c>
      <c r="B348" s="274"/>
      <c r="C348" s="274"/>
      <c r="D348" s="274"/>
      <c r="E348" s="274"/>
      <c r="F348" s="274"/>
      <c r="G348" s="274"/>
      <c r="H348" s="274"/>
    </row>
    <row r="349" spans="1:8" x14ac:dyDescent="0.2">
      <c r="A349" s="275" t="s">
        <v>563</v>
      </c>
      <c r="B349" s="274"/>
      <c r="C349" s="274"/>
      <c r="D349" s="274"/>
      <c r="E349" s="274"/>
      <c r="F349" s="274"/>
      <c r="G349" s="274"/>
      <c r="H349" s="274"/>
    </row>
    <row r="350" spans="1:8" x14ac:dyDescent="0.2">
      <c r="A350" s="275" t="s">
        <v>564</v>
      </c>
      <c r="B350" s="274"/>
      <c r="C350" s="274"/>
      <c r="D350" s="274"/>
      <c r="E350" s="274"/>
      <c r="F350" s="274"/>
      <c r="G350" s="274"/>
      <c r="H350" s="274"/>
    </row>
    <row r="351" spans="1:8" x14ac:dyDescent="0.2">
      <c r="A351" s="275" t="s">
        <v>565</v>
      </c>
      <c r="B351" s="274"/>
      <c r="C351" s="274"/>
      <c r="D351" s="274"/>
      <c r="E351" s="274"/>
      <c r="F351" s="274"/>
      <c r="G351" s="274"/>
      <c r="H351" s="274"/>
    </row>
    <row r="352" spans="1:8" x14ac:dyDescent="0.2">
      <c r="A352" s="275" t="s">
        <v>566</v>
      </c>
      <c r="B352" s="274"/>
      <c r="C352" s="274"/>
      <c r="D352" s="274"/>
      <c r="E352" s="274"/>
      <c r="F352" s="274"/>
      <c r="G352" s="274"/>
      <c r="H352" s="274"/>
    </row>
    <row r="353" spans="1:8" x14ac:dyDescent="0.2">
      <c r="A353" s="275" t="s">
        <v>567</v>
      </c>
      <c r="B353" s="274"/>
      <c r="C353" s="274"/>
      <c r="D353" s="274"/>
      <c r="E353" s="274"/>
      <c r="F353" s="274"/>
      <c r="G353" s="274"/>
      <c r="H353" s="274"/>
    </row>
    <row r="354" spans="1:8" x14ac:dyDescent="0.2">
      <c r="A354" s="275" t="s">
        <v>568</v>
      </c>
      <c r="B354" s="274"/>
      <c r="C354" s="274"/>
      <c r="D354" s="274"/>
      <c r="E354" s="274"/>
      <c r="F354" s="274"/>
      <c r="G354" s="274"/>
      <c r="H354" s="274"/>
    </row>
    <row r="355" spans="1:8" x14ac:dyDescent="0.2">
      <c r="A355" s="275" t="s">
        <v>569</v>
      </c>
      <c r="B355" s="274"/>
      <c r="C355" s="274"/>
      <c r="D355" s="274"/>
      <c r="E355" s="274"/>
      <c r="F355" s="274"/>
      <c r="G355" s="274"/>
      <c r="H355" s="274"/>
    </row>
    <row r="356" spans="1:8" x14ac:dyDescent="0.2">
      <c r="A356" s="275" t="s">
        <v>570</v>
      </c>
      <c r="B356" s="274"/>
      <c r="C356" s="274"/>
      <c r="D356" s="274"/>
      <c r="E356" s="274"/>
      <c r="F356" s="274"/>
      <c r="G356" s="274"/>
      <c r="H356" s="274"/>
    </row>
    <row r="357" spans="1:8" x14ac:dyDescent="0.2">
      <c r="A357" s="275" t="s">
        <v>571</v>
      </c>
      <c r="B357" s="274"/>
      <c r="C357" s="274"/>
      <c r="D357" s="274"/>
      <c r="E357" s="274"/>
      <c r="F357" s="274"/>
      <c r="G357" s="274"/>
      <c r="H357" s="274"/>
    </row>
    <row r="358" spans="1:8" x14ac:dyDescent="0.2">
      <c r="A358" s="275" t="s">
        <v>572</v>
      </c>
      <c r="B358" s="274"/>
      <c r="C358" s="274"/>
      <c r="D358" s="274"/>
      <c r="E358" s="274"/>
      <c r="F358" s="274"/>
      <c r="G358" s="274"/>
      <c r="H358" s="274"/>
    </row>
    <row r="359" spans="1:8" x14ac:dyDescent="0.2">
      <c r="A359" s="275" t="s">
        <v>573</v>
      </c>
      <c r="B359" s="274"/>
      <c r="C359" s="274"/>
      <c r="D359" s="274"/>
      <c r="E359" s="274"/>
      <c r="F359" s="274"/>
      <c r="G359" s="274"/>
      <c r="H359" s="274"/>
    </row>
    <row r="360" spans="1:8" x14ac:dyDescent="0.2">
      <c r="A360" s="275" t="s">
        <v>574</v>
      </c>
      <c r="B360" s="274"/>
      <c r="C360" s="274"/>
      <c r="D360" s="274"/>
      <c r="E360" s="274"/>
      <c r="F360" s="274"/>
      <c r="G360" s="274"/>
      <c r="H360" s="274"/>
    </row>
    <row r="361" spans="1:8" x14ac:dyDescent="0.2">
      <c r="A361" s="275" t="s">
        <v>575</v>
      </c>
      <c r="B361" s="274"/>
      <c r="C361" s="274"/>
      <c r="D361" s="274"/>
      <c r="E361" s="274"/>
      <c r="F361" s="274"/>
      <c r="G361" s="274"/>
      <c r="H361" s="274"/>
    </row>
    <row r="362" spans="1:8" x14ac:dyDescent="0.2">
      <c r="A362" s="274"/>
      <c r="B362" s="274"/>
      <c r="C362" s="274"/>
      <c r="D362" s="274"/>
      <c r="E362" s="274"/>
      <c r="F362" s="274"/>
      <c r="G362" s="274"/>
      <c r="H362" s="274"/>
    </row>
    <row r="363" spans="1:8" x14ac:dyDescent="0.2">
      <c r="A363" s="275" t="s">
        <v>533</v>
      </c>
      <c r="B363" s="274"/>
      <c r="C363" s="274"/>
      <c r="D363" s="274"/>
      <c r="E363" s="274"/>
      <c r="F363" s="274"/>
      <c r="G363" s="274"/>
      <c r="H363" s="274"/>
    </row>
    <row r="364" spans="1:8" x14ac:dyDescent="0.2">
      <c r="A364" s="275" t="s">
        <v>537</v>
      </c>
      <c r="B364" s="274"/>
      <c r="C364" s="274"/>
      <c r="D364" s="274"/>
      <c r="E364" s="274"/>
      <c r="F364" s="274"/>
      <c r="G364" s="274"/>
      <c r="H364" s="274"/>
    </row>
    <row r="365" spans="1:8" x14ac:dyDescent="0.2">
      <c r="A365" s="275" t="s">
        <v>538</v>
      </c>
      <c r="B365" s="274"/>
      <c r="C365" s="274"/>
      <c r="D365" s="274"/>
      <c r="E365" s="274"/>
      <c r="F365" s="274"/>
      <c r="G365" s="274"/>
      <c r="H365" s="274"/>
    </row>
    <row r="366" spans="1:8" x14ac:dyDescent="0.2">
      <c r="A366" s="275" t="s">
        <v>539</v>
      </c>
      <c r="B366" s="274"/>
      <c r="C366" s="274"/>
      <c r="D366" s="274"/>
      <c r="E366" s="274"/>
      <c r="F366" s="274"/>
      <c r="G366" s="274"/>
      <c r="H366" s="274"/>
    </row>
    <row r="367" spans="1:8" x14ac:dyDescent="0.2">
      <c r="A367" s="275" t="s">
        <v>540</v>
      </c>
      <c r="B367" s="274"/>
      <c r="C367" s="274"/>
      <c r="D367" s="274"/>
      <c r="E367" s="274"/>
      <c r="F367" s="274"/>
      <c r="G367" s="274"/>
      <c r="H367" s="274"/>
    </row>
    <row r="368" spans="1:8" x14ac:dyDescent="0.2">
      <c r="A368" s="274"/>
      <c r="B368" s="274"/>
      <c r="C368" s="274"/>
      <c r="D368" s="274"/>
      <c r="E368" s="274"/>
      <c r="F368" s="274"/>
      <c r="G368" s="274"/>
      <c r="H368" s="274"/>
    </row>
    <row r="369" spans="1:8" x14ac:dyDescent="0.2">
      <c r="A369" s="275" t="s">
        <v>533</v>
      </c>
      <c r="B369" s="274"/>
      <c r="C369" s="274"/>
      <c r="D369" s="274"/>
      <c r="E369" s="274"/>
      <c r="F369" s="274"/>
      <c r="G369" s="274"/>
      <c r="H369" s="274"/>
    </row>
    <row r="370" spans="1:8" x14ac:dyDescent="0.2">
      <c r="A370" s="275" t="s">
        <v>534</v>
      </c>
      <c r="B370" s="274"/>
      <c r="C370" s="274"/>
      <c r="D370" s="274"/>
      <c r="E370" s="274"/>
      <c r="F370" s="274"/>
      <c r="G370" s="274"/>
      <c r="H370" s="274"/>
    </row>
    <row r="371" spans="1:8" x14ac:dyDescent="0.2">
      <c r="A371" s="275" t="s">
        <v>535</v>
      </c>
      <c r="B371" s="274"/>
      <c r="C371" s="274"/>
      <c r="D371" s="274"/>
      <c r="E371" s="274"/>
      <c r="F371" s="274"/>
      <c r="G371" s="274"/>
      <c r="H371" s="274"/>
    </row>
    <row r="372" spans="1:8" x14ac:dyDescent="0.2">
      <c r="A372" s="275" t="s">
        <v>536</v>
      </c>
      <c r="B372" s="274"/>
      <c r="C372" s="274"/>
      <c r="D372" s="274"/>
      <c r="E372" s="274"/>
      <c r="F372" s="274"/>
      <c r="G372" s="274"/>
      <c r="H372" s="274"/>
    </row>
    <row r="373" spans="1:8" x14ac:dyDescent="0.2">
      <c r="A373" s="274"/>
      <c r="B373" s="274"/>
      <c r="C373" s="274"/>
      <c r="D373" s="274"/>
      <c r="E373" s="274"/>
      <c r="F373" s="274"/>
      <c r="G373" s="274"/>
      <c r="H373" s="274"/>
    </row>
    <row r="374" spans="1:8" x14ac:dyDescent="0.2">
      <c r="A374" s="275" t="s">
        <v>527</v>
      </c>
      <c r="B374" s="274"/>
      <c r="C374" s="274"/>
      <c r="D374" s="274"/>
      <c r="E374" s="274"/>
      <c r="F374" s="274"/>
      <c r="G374" s="274"/>
      <c r="H374" s="274"/>
    </row>
    <row r="375" spans="1:8" x14ac:dyDescent="0.2">
      <c r="A375" s="275" t="s">
        <v>528</v>
      </c>
      <c r="B375" s="274"/>
      <c r="C375" s="274"/>
      <c r="D375" s="274"/>
      <c r="E375" s="274"/>
      <c r="F375" s="274"/>
      <c r="G375" s="274"/>
      <c r="H375" s="274"/>
    </row>
    <row r="376" spans="1:8" x14ac:dyDescent="0.2">
      <c r="A376" s="275" t="s">
        <v>529</v>
      </c>
      <c r="B376" s="274"/>
      <c r="C376" s="274"/>
      <c r="D376" s="274"/>
      <c r="E376" s="274"/>
      <c r="F376" s="274"/>
      <c r="G376" s="274"/>
      <c r="H376" s="274"/>
    </row>
    <row r="377" spans="1:8" x14ac:dyDescent="0.2">
      <c r="A377" s="275" t="s">
        <v>530</v>
      </c>
      <c r="B377" s="274"/>
      <c r="C377" s="274"/>
      <c r="D377" s="274"/>
      <c r="E377" s="274"/>
      <c r="F377" s="274"/>
      <c r="G377" s="274"/>
      <c r="H377" s="274"/>
    </row>
    <row r="378" spans="1:8" x14ac:dyDescent="0.2">
      <c r="A378" s="275" t="s">
        <v>531</v>
      </c>
      <c r="B378" s="274"/>
      <c r="C378" s="274"/>
      <c r="D378" s="274"/>
      <c r="E378" s="274"/>
      <c r="F378" s="274"/>
      <c r="G378" s="274"/>
      <c r="H378" s="274"/>
    </row>
    <row r="379" spans="1:8" x14ac:dyDescent="0.2">
      <c r="A379" s="275" t="s">
        <v>532</v>
      </c>
      <c r="B379" s="274"/>
      <c r="C379" s="274"/>
      <c r="D379" s="274"/>
      <c r="E379" s="274"/>
      <c r="F379" s="274"/>
      <c r="G379" s="274"/>
      <c r="H379" s="274"/>
    </row>
    <row r="380" spans="1:8" x14ac:dyDescent="0.2">
      <c r="A380" s="274"/>
      <c r="B380" s="274"/>
      <c r="C380" s="274"/>
      <c r="D380" s="274"/>
      <c r="E380" s="274"/>
      <c r="F380" s="274"/>
      <c r="G380" s="274"/>
      <c r="H380" s="274"/>
    </row>
    <row r="381" spans="1:8" x14ac:dyDescent="0.2">
      <c r="A381" s="275" t="s">
        <v>522</v>
      </c>
      <c r="B381" s="274"/>
      <c r="C381" s="274"/>
      <c r="D381" s="274"/>
      <c r="E381" s="274"/>
      <c r="F381" s="274"/>
      <c r="G381" s="274"/>
      <c r="H381" s="274"/>
    </row>
    <row r="382" spans="1:8" x14ac:dyDescent="0.2">
      <c r="A382" s="275" t="s">
        <v>523</v>
      </c>
      <c r="B382" s="274"/>
      <c r="C382" s="274"/>
      <c r="D382" s="274"/>
      <c r="E382" s="274"/>
      <c r="F382" s="274"/>
      <c r="G382" s="274"/>
      <c r="H382" s="274"/>
    </row>
    <row r="383" spans="1:8" x14ac:dyDescent="0.2">
      <c r="A383" s="275" t="s">
        <v>524</v>
      </c>
      <c r="B383" s="274"/>
      <c r="C383" s="274"/>
      <c r="D383" s="274"/>
      <c r="E383" s="274"/>
      <c r="F383" s="274"/>
      <c r="G383" s="274"/>
      <c r="H383" s="274"/>
    </row>
    <row r="384" spans="1:8" x14ac:dyDescent="0.2">
      <c r="A384" s="275" t="s">
        <v>525</v>
      </c>
      <c r="B384" s="274"/>
      <c r="C384" s="274"/>
      <c r="D384" s="274"/>
      <c r="E384" s="274"/>
      <c r="F384" s="274"/>
      <c r="G384" s="274"/>
      <c r="H384" s="274"/>
    </row>
    <row r="385" spans="1:8" x14ac:dyDescent="0.2">
      <c r="A385" s="275" t="s">
        <v>526</v>
      </c>
      <c r="B385" s="274"/>
      <c r="C385" s="274"/>
      <c r="D385" s="274"/>
      <c r="E385" s="274"/>
      <c r="F385" s="274"/>
      <c r="G385" s="274"/>
      <c r="H385" s="274"/>
    </row>
    <row r="386" spans="1:8" x14ac:dyDescent="0.2">
      <c r="A386" s="274"/>
      <c r="B386" s="274"/>
      <c r="C386" s="274"/>
      <c r="D386" s="274"/>
      <c r="E386" s="274"/>
      <c r="F386" s="274"/>
      <c r="G386" s="274"/>
      <c r="H386" s="274"/>
    </row>
    <row r="387" spans="1:8" x14ac:dyDescent="0.2">
      <c r="A387" s="275" t="s">
        <v>520</v>
      </c>
      <c r="B387" s="274"/>
      <c r="C387" s="274"/>
      <c r="D387" s="274"/>
      <c r="E387" s="274"/>
      <c r="F387" s="274"/>
      <c r="G387" s="274"/>
      <c r="H387" s="274"/>
    </row>
    <row r="388" spans="1:8" x14ac:dyDescent="0.2">
      <c r="A388" s="275" t="s">
        <v>521</v>
      </c>
      <c r="B388" s="274"/>
      <c r="C388" s="274"/>
      <c r="D388" s="274"/>
      <c r="E388" s="274"/>
      <c r="F388" s="274"/>
      <c r="G388" s="274"/>
      <c r="H388" s="274"/>
    </row>
    <row r="390" spans="1:8" x14ac:dyDescent="0.2">
      <c r="A390" s="270" t="s">
        <v>777</v>
      </c>
    </row>
  </sheetData>
  <mergeCells count="12">
    <mergeCell ref="A116:H116"/>
    <mergeCell ref="A123:H123"/>
    <mergeCell ref="A110:H110"/>
    <mergeCell ref="A111:H111"/>
    <mergeCell ref="A112:H112"/>
    <mergeCell ref="A113:H113"/>
    <mergeCell ref="A115:H115"/>
    <mergeCell ref="A131:H131"/>
    <mergeCell ref="A132:H132"/>
    <mergeCell ref="B124:C124"/>
    <mergeCell ref="D124:F124"/>
    <mergeCell ref="G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B11"/>
  <sheetViews>
    <sheetView showGridLines="0" showRowColHeaders="0" workbookViewId="0"/>
  </sheetViews>
  <sheetFormatPr defaultRowHeight="12.75" x14ac:dyDescent="0.2"/>
  <cols>
    <col min="1" max="1" width="9.140625" style="236"/>
    <col min="2" max="2" width="88.28515625" style="236" customWidth="1"/>
    <col min="3" max="257" width="9.140625" style="236"/>
    <col min="258" max="258" width="88.28515625" style="236" customWidth="1"/>
    <col min="259" max="513" width="9.140625" style="236"/>
    <col min="514" max="514" width="88.28515625" style="236" customWidth="1"/>
    <col min="515" max="769" width="9.140625" style="236"/>
    <col min="770" max="770" width="88.28515625" style="236" customWidth="1"/>
    <col min="771" max="1025" width="9.140625" style="236"/>
    <col min="1026" max="1026" width="88.28515625" style="236" customWidth="1"/>
    <col min="1027" max="1281" width="9.140625" style="236"/>
    <col min="1282" max="1282" width="88.28515625" style="236" customWidth="1"/>
    <col min="1283" max="1537" width="9.140625" style="236"/>
    <col min="1538" max="1538" width="88.28515625" style="236" customWidth="1"/>
    <col min="1539" max="1793" width="9.140625" style="236"/>
    <col min="1794" max="1794" width="88.28515625" style="236" customWidth="1"/>
    <col min="1795" max="2049" width="9.140625" style="236"/>
    <col min="2050" max="2050" width="88.28515625" style="236" customWidth="1"/>
    <col min="2051" max="2305" width="9.140625" style="236"/>
    <col min="2306" max="2306" width="88.28515625" style="236" customWidth="1"/>
    <col min="2307" max="2561" width="9.140625" style="236"/>
    <col min="2562" max="2562" width="88.28515625" style="236" customWidth="1"/>
    <col min="2563" max="2817" width="9.140625" style="236"/>
    <col min="2818" max="2818" width="88.28515625" style="236" customWidth="1"/>
    <col min="2819" max="3073" width="9.140625" style="236"/>
    <col min="3074" max="3074" width="88.28515625" style="236" customWidth="1"/>
    <col min="3075" max="3329" width="9.140625" style="236"/>
    <col min="3330" max="3330" width="88.28515625" style="236" customWidth="1"/>
    <col min="3331" max="3585" width="9.140625" style="236"/>
    <col min="3586" max="3586" width="88.28515625" style="236" customWidth="1"/>
    <col min="3587" max="3841" width="9.140625" style="236"/>
    <col min="3842" max="3842" width="88.28515625" style="236" customWidth="1"/>
    <col min="3843" max="4097" width="9.140625" style="236"/>
    <col min="4098" max="4098" width="88.28515625" style="236" customWidth="1"/>
    <col min="4099" max="4353" width="9.140625" style="236"/>
    <col min="4354" max="4354" width="88.28515625" style="236" customWidth="1"/>
    <col min="4355" max="4609" width="9.140625" style="236"/>
    <col min="4610" max="4610" width="88.28515625" style="236" customWidth="1"/>
    <col min="4611" max="4865" width="9.140625" style="236"/>
    <col min="4866" max="4866" width="88.28515625" style="236" customWidth="1"/>
    <col min="4867" max="5121" width="9.140625" style="236"/>
    <col min="5122" max="5122" width="88.28515625" style="236" customWidth="1"/>
    <col min="5123" max="5377" width="9.140625" style="236"/>
    <col min="5378" max="5378" width="88.28515625" style="236" customWidth="1"/>
    <col min="5379" max="5633" width="9.140625" style="236"/>
    <col min="5634" max="5634" width="88.28515625" style="236" customWidth="1"/>
    <col min="5635" max="5889" width="9.140625" style="236"/>
    <col min="5890" max="5890" width="88.28515625" style="236" customWidth="1"/>
    <col min="5891" max="6145" width="9.140625" style="236"/>
    <col min="6146" max="6146" width="88.28515625" style="236" customWidth="1"/>
    <col min="6147" max="6401" width="9.140625" style="236"/>
    <col min="6402" max="6402" width="88.28515625" style="236" customWidth="1"/>
    <col min="6403" max="6657" width="9.140625" style="236"/>
    <col min="6658" max="6658" width="88.28515625" style="236" customWidth="1"/>
    <col min="6659" max="6913" width="9.140625" style="236"/>
    <col min="6914" max="6914" width="88.28515625" style="236" customWidth="1"/>
    <col min="6915" max="7169" width="9.140625" style="236"/>
    <col min="7170" max="7170" width="88.28515625" style="236" customWidth="1"/>
    <col min="7171" max="7425" width="9.140625" style="236"/>
    <col min="7426" max="7426" width="88.28515625" style="236" customWidth="1"/>
    <col min="7427" max="7681" width="9.140625" style="236"/>
    <col min="7682" max="7682" width="88.28515625" style="236" customWidth="1"/>
    <col min="7683" max="7937" width="9.140625" style="236"/>
    <col min="7938" max="7938" width="88.28515625" style="236" customWidth="1"/>
    <col min="7939" max="8193" width="9.140625" style="236"/>
    <col min="8194" max="8194" width="88.28515625" style="236" customWidth="1"/>
    <col min="8195" max="8449" width="9.140625" style="236"/>
    <col min="8450" max="8450" width="88.28515625" style="236" customWidth="1"/>
    <col min="8451" max="8705" width="9.140625" style="236"/>
    <col min="8706" max="8706" width="88.28515625" style="236" customWidth="1"/>
    <col min="8707" max="8961" width="9.140625" style="236"/>
    <col min="8962" max="8962" width="88.28515625" style="236" customWidth="1"/>
    <col min="8963" max="9217" width="9.140625" style="236"/>
    <col min="9218" max="9218" width="88.28515625" style="236" customWidth="1"/>
    <col min="9219" max="9473" width="9.140625" style="236"/>
    <col min="9474" max="9474" width="88.28515625" style="236" customWidth="1"/>
    <col min="9475" max="9729" width="9.140625" style="236"/>
    <col min="9730" max="9730" width="88.28515625" style="236" customWidth="1"/>
    <col min="9731" max="9985" width="9.140625" style="236"/>
    <col min="9986" max="9986" width="88.28515625" style="236" customWidth="1"/>
    <col min="9987" max="10241" width="9.140625" style="236"/>
    <col min="10242" max="10242" width="88.28515625" style="236" customWidth="1"/>
    <col min="10243" max="10497" width="9.140625" style="236"/>
    <col min="10498" max="10498" width="88.28515625" style="236" customWidth="1"/>
    <col min="10499" max="10753" width="9.140625" style="236"/>
    <col min="10754" max="10754" width="88.28515625" style="236" customWidth="1"/>
    <col min="10755" max="11009" width="9.140625" style="236"/>
    <col min="11010" max="11010" width="88.28515625" style="236" customWidth="1"/>
    <col min="11011" max="11265" width="9.140625" style="236"/>
    <col min="11266" max="11266" width="88.28515625" style="236" customWidth="1"/>
    <col min="11267" max="11521" width="9.140625" style="236"/>
    <col min="11522" max="11522" width="88.28515625" style="236" customWidth="1"/>
    <col min="11523" max="11777" width="9.140625" style="236"/>
    <col min="11778" max="11778" width="88.28515625" style="236" customWidth="1"/>
    <col min="11779" max="12033" width="9.140625" style="236"/>
    <col min="12034" max="12034" width="88.28515625" style="236" customWidth="1"/>
    <col min="12035" max="12289" width="9.140625" style="236"/>
    <col min="12290" max="12290" width="88.28515625" style="236" customWidth="1"/>
    <col min="12291" max="12545" width="9.140625" style="236"/>
    <col min="12546" max="12546" width="88.28515625" style="236" customWidth="1"/>
    <col min="12547" max="12801" width="9.140625" style="236"/>
    <col min="12802" max="12802" width="88.28515625" style="236" customWidth="1"/>
    <col min="12803" max="13057" width="9.140625" style="236"/>
    <col min="13058" max="13058" width="88.28515625" style="236" customWidth="1"/>
    <col min="13059" max="13313" width="9.140625" style="236"/>
    <col min="13314" max="13314" width="88.28515625" style="236" customWidth="1"/>
    <col min="13315" max="13569" width="9.140625" style="236"/>
    <col min="13570" max="13570" width="88.28515625" style="236" customWidth="1"/>
    <col min="13571" max="13825" width="9.140625" style="236"/>
    <col min="13826" max="13826" width="88.28515625" style="236" customWidth="1"/>
    <col min="13827" max="14081" width="9.140625" style="236"/>
    <col min="14082" max="14082" width="88.28515625" style="236" customWidth="1"/>
    <col min="14083" max="14337" width="9.140625" style="236"/>
    <col min="14338" max="14338" width="88.28515625" style="236" customWidth="1"/>
    <col min="14339" max="14593" width="9.140625" style="236"/>
    <col min="14594" max="14594" width="88.28515625" style="236" customWidth="1"/>
    <col min="14595" max="14849" width="9.140625" style="236"/>
    <col min="14850" max="14850" width="88.28515625" style="236" customWidth="1"/>
    <col min="14851" max="15105" width="9.140625" style="236"/>
    <col min="15106" max="15106" width="88.28515625" style="236" customWidth="1"/>
    <col min="15107" max="15361" width="9.140625" style="236"/>
    <col min="15362" max="15362" width="88.28515625" style="236" customWidth="1"/>
    <col min="15363" max="15617" width="9.140625" style="236"/>
    <col min="15618" max="15618" width="88.28515625" style="236" customWidth="1"/>
    <col min="15619" max="15873" width="9.140625" style="236"/>
    <col min="15874" max="15874" width="88.28515625" style="236" customWidth="1"/>
    <col min="15875" max="16129" width="9.140625" style="236"/>
    <col min="16130" max="16130" width="88.28515625" style="236" customWidth="1"/>
    <col min="16131" max="16384" width="9.140625" style="236"/>
  </cols>
  <sheetData>
    <row r="1" spans="2:2" ht="32.25" customHeight="1" x14ac:dyDescent="0.2"/>
    <row r="2" spans="2:2" ht="72" hidden="1" x14ac:dyDescent="0.25">
      <c r="B2" s="286" t="s">
        <v>843</v>
      </c>
    </row>
    <row r="3" spans="2:2" ht="72" x14ac:dyDescent="0.25">
      <c r="B3" s="286" t="s">
        <v>844</v>
      </c>
    </row>
    <row r="4" spans="2:2" ht="18" hidden="1" x14ac:dyDescent="0.25">
      <c r="B4" s="286"/>
    </row>
    <row r="5" spans="2:2" ht="54" hidden="1" x14ac:dyDescent="0.25">
      <c r="B5" s="286" t="s">
        <v>845</v>
      </c>
    </row>
    <row r="6" spans="2:2" ht="7.5" customHeight="1" x14ac:dyDescent="0.25">
      <c r="B6" s="286"/>
    </row>
    <row r="7" spans="2:2" ht="18" x14ac:dyDescent="0.25">
      <c r="B7" s="287" t="s">
        <v>846</v>
      </c>
    </row>
    <row r="8" spans="2:2" ht="18" x14ac:dyDescent="0.25">
      <c r="B8" s="287" t="s">
        <v>848</v>
      </c>
    </row>
    <row r="9" spans="2:2" ht="18" x14ac:dyDescent="0.25">
      <c r="B9" s="287" t="s">
        <v>849</v>
      </c>
    </row>
    <row r="10" spans="2:2" ht="18" x14ac:dyDescent="0.25">
      <c r="B10" s="288"/>
    </row>
    <row r="11" spans="2:2" ht="54" x14ac:dyDescent="0.25">
      <c r="B11" s="289" t="s">
        <v>847</v>
      </c>
    </row>
  </sheetData>
  <dataConsolidate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92D050"/>
  </sheetPr>
  <dimension ref="A1:P29"/>
  <sheetViews>
    <sheetView showGridLines="0" workbookViewId="0"/>
  </sheetViews>
  <sheetFormatPr defaultColWidth="9.140625" defaultRowHeight="12.75" x14ac:dyDescent="0.2"/>
  <cols>
    <col min="2" max="2" width="12.7109375" customWidth="1"/>
    <col min="4" max="4" width="8.85546875" customWidth="1"/>
    <col min="5" max="19" width="8.140625" customWidth="1"/>
  </cols>
  <sheetData>
    <row r="1" spans="1:16" ht="30" customHeight="1" x14ac:dyDescent="0.2">
      <c r="A1" s="192"/>
      <c r="B1" s="192"/>
      <c r="C1" s="192"/>
      <c r="D1" s="193"/>
      <c r="E1" s="194"/>
      <c r="F1" s="194"/>
      <c r="G1" s="194"/>
      <c r="H1" s="194"/>
      <c r="I1" s="194"/>
      <c r="J1" s="192"/>
      <c r="K1" s="192"/>
      <c r="L1" s="192"/>
      <c r="M1" s="192"/>
      <c r="N1" s="192"/>
      <c r="O1" s="192"/>
      <c r="P1" s="192"/>
    </row>
    <row r="2" spans="1:16" ht="15" x14ac:dyDescent="0.2">
      <c r="A2" s="192"/>
      <c r="B2" s="192"/>
      <c r="C2" s="192"/>
      <c r="D2" s="195"/>
      <c r="E2" s="194"/>
      <c r="F2" s="194"/>
      <c r="G2" s="194"/>
      <c r="H2" s="194"/>
      <c r="I2" s="194"/>
      <c r="J2" s="192"/>
      <c r="K2" s="192"/>
      <c r="L2" s="192"/>
      <c r="M2" s="192"/>
      <c r="N2" s="192"/>
      <c r="O2" s="192"/>
      <c r="P2" s="192"/>
    </row>
    <row r="3" spans="1:16" ht="15" x14ac:dyDescent="0.2">
      <c r="A3" s="192"/>
      <c r="B3" s="192"/>
      <c r="C3" s="192"/>
      <c r="D3" s="195"/>
      <c r="E3" s="194"/>
      <c r="F3" s="194"/>
      <c r="G3" s="194"/>
      <c r="H3" s="194"/>
      <c r="I3" s="194"/>
      <c r="J3" s="192"/>
      <c r="K3" s="192"/>
      <c r="L3" s="192"/>
      <c r="M3" s="192"/>
      <c r="N3" s="192"/>
      <c r="O3" s="192"/>
      <c r="P3" s="192"/>
    </row>
    <row r="4" spans="1:16" ht="15" x14ac:dyDescent="0.2">
      <c r="A4" s="192"/>
      <c r="B4" s="192"/>
      <c r="C4" s="192"/>
      <c r="D4" s="195"/>
      <c r="E4" s="194"/>
      <c r="F4" s="194"/>
      <c r="G4" s="194"/>
      <c r="H4" s="194"/>
      <c r="I4" s="194"/>
      <c r="J4" s="192"/>
      <c r="K4" s="192"/>
      <c r="L4" s="192"/>
      <c r="M4" s="192"/>
      <c r="N4" s="192"/>
      <c r="O4" s="192"/>
      <c r="P4" s="192"/>
    </row>
    <row r="5" spans="1:16" ht="15" x14ac:dyDescent="0.2">
      <c r="A5" s="192"/>
      <c r="B5" s="192"/>
      <c r="C5" s="192"/>
      <c r="D5" s="195"/>
      <c r="E5" s="194"/>
      <c r="F5" s="194"/>
      <c r="G5" s="194"/>
      <c r="H5" s="194"/>
      <c r="I5" s="194"/>
      <c r="J5" s="192"/>
      <c r="K5" s="192"/>
      <c r="L5" s="192"/>
      <c r="M5" s="192"/>
      <c r="N5" s="192"/>
      <c r="O5" s="192"/>
      <c r="P5" s="192"/>
    </row>
    <row r="6" spans="1:16" ht="15" x14ac:dyDescent="0.2">
      <c r="A6" s="192"/>
      <c r="B6" s="192"/>
      <c r="C6" s="192"/>
      <c r="D6" s="195"/>
      <c r="E6" s="194"/>
      <c r="F6" s="194"/>
      <c r="G6" s="194"/>
      <c r="H6" s="194"/>
      <c r="I6" s="194"/>
      <c r="J6" s="192"/>
      <c r="K6" s="192"/>
      <c r="L6" s="192"/>
      <c r="M6" s="192"/>
      <c r="N6" s="192"/>
      <c r="O6" s="192"/>
      <c r="P6" s="192"/>
    </row>
    <row r="7" spans="1:16" ht="15" x14ac:dyDescent="0.2">
      <c r="A7" s="192"/>
      <c r="B7" s="192"/>
      <c r="C7" s="192"/>
      <c r="D7" s="193"/>
      <c r="E7" s="194"/>
      <c r="F7" s="194"/>
      <c r="G7" s="194"/>
      <c r="H7" s="194"/>
      <c r="I7" s="194"/>
      <c r="J7" s="192"/>
      <c r="K7" s="192"/>
      <c r="L7" s="192"/>
      <c r="M7" s="192"/>
      <c r="N7" s="192"/>
      <c r="O7" s="192"/>
      <c r="P7" s="192"/>
    </row>
    <row r="8" spans="1:16" ht="15" x14ac:dyDescent="0.2">
      <c r="A8" s="192"/>
      <c r="B8" s="192"/>
      <c r="C8" s="192"/>
      <c r="D8" s="193"/>
      <c r="E8" s="194"/>
      <c r="F8" s="194"/>
      <c r="G8" s="194"/>
      <c r="H8" s="194"/>
      <c r="I8" s="194"/>
      <c r="J8" s="192"/>
      <c r="K8" s="192"/>
      <c r="L8" s="192"/>
      <c r="M8" s="192"/>
      <c r="N8" s="192"/>
      <c r="O8" s="192"/>
      <c r="P8" s="192"/>
    </row>
    <row r="9" spans="1:16" ht="15" x14ac:dyDescent="0.2">
      <c r="A9" s="192"/>
      <c r="B9" s="192"/>
      <c r="C9" s="192"/>
      <c r="D9" s="193"/>
      <c r="E9" s="194"/>
      <c r="F9" s="194"/>
      <c r="G9" s="194"/>
      <c r="H9" s="194"/>
      <c r="I9" s="194"/>
      <c r="J9" s="192"/>
      <c r="K9" s="192"/>
      <c r="L9" s="192"/>
      <c r="M9" s="192"/>
      <c r="N9" s="192"/>
      <c r="O9" s="192"/>
      <c r="P9" s="192"/>
    </row>
    <row r="10" spans="1:16" ht="15" x14ac:dyDescent="0.2">
      <c r="A10" s="192"/>
      <c r="B10" s="196" t="s">
        <v>174</v>
      </c>
      <c r="C10" s="192"/>
      <c r="D10" s="197"/>
      <c r="E10" s="194"/>
      <c r="F10" s="194"/>
      <c r="G10" s="194"/>
      <c r="H10" s="194"/>
      <c r="I10" s="194"/>
      <c r="J10" s="192"/>
      <c r="K10" s="192"/>
      <c r="L10" s="192"/>
      <c r="M10" s="192"/>
      <c r="N10" s="192"/>
      <c r="O10" s="192"/>
      <c r="P10" s="192"/>
    </row>
    <row r="11" spans="1:16" ht="15.75" x14ac:dyDescent="0.2">
      <c r="A11" s="192"/>
      <c r="B11" s="192"/>
      <c r="C11" s="192"/>
      <c r="D11" s="198"/>
      <c r="E11" s="194"/>
      <c r="F11" s="194"/>
      <c r="G11" s="194"/>
      <c r="H11" s="194"/>
      <c r="I11" s="194"/>
      <c r="J11" s="192"/>
      <c r="K11" s="192"/>
      <c r="L11" s="192"/>
      <c r="M11" s="192"/>
      <c r="N11" s="192"/>
      <c r="O11" s="192"/>
      <c r="P11" s="192"/>
    </row>
    <row r="12" spans="1:16" ht="15" x14ac:dyDescent="0.2">
      <c r="A12" s="192"/>
      <c r="B12" s="192"/>
      <c r="C12" s="192"/>
      <c r="D12" s="197"/>
      <c r="E12" s="194"/>
      <c r="F12" s="194"/>
      <c r="G12" s="194"/>
      <c r="H12" s="194"/>
      <c r="I12" s="194"/>
      <c r="J12" s="192"/>
      <c r="K12" s="192"/>
      <c r="L12" s="192"/>
      <c r="M12" s="192"/>
      <c r="N12" s="192"/>
      <c r="O12" s="192"/>
      <c r="P12" s="192"/>
    </row>
    <row r="13" spans="1:16" ht="15" x14ac:dyDescent="0.2">
      <c r="A13" s="192"/>
      <c r="B13" s="192"/>
      <c r="C13" s="192"/>
      <c r="D13" s="197"/>
      <c r="E13" s="194"/>
      <c r="F13" s="194"/>
      <c r="G13" s="194"/>
      <c r="H13" s="194"/>
      <c r="I13" s="194"/>
      <c r="J13" s="192"/>
      <c r="K13" s="192"/>
      <c r="L13" s="192"/>
      <c r="M13" s="192"/>
      <c r="N13" s="192"/>
      <c r="O13" s="192"/>
      <c r="P13" s="192"/>
    </row>
    <row r="14" spans="1:16" ht="15" x14ac:dyDescent="0.2">
      <c r="A14" s="192"/>
      <c r="B14" s="192"/>
      <c r="C14" s="192"/>
      <c r="D14" s="197"/>
      <c r="E14" s="194"/>
      <c r="F14" s="194"/>
      <c r="G14" s="194"/>
      <c r="H14" s="194"/>
      <c r="I14" s="194"/>
      <c r="J14" s="192"/>
      <c r="K14" s="192"/>
      <c r="L14" s="192"/>
      <c r="M14" s="192"/>
      <c r="N14" s="192"/>
      <c r="O14" s="192"/>
      <c r="P14" s="192"/>
    </row>
    <row r="15" spans="1:16" ht="15" x14ac:dyDescent="0.2">
      <c r="A15" s="192"/>
      <c r="B15" s="192"/>
      <c r="C15" s="192"/>
      <c r="D15" s="197"/>
      <c r="E15" s="194"/>
      <c r="F15" s="194"/>
      <c r="G15" s="194"/>
      <c r="H15" s="194"/>
      <c r="I15" s="194"/>
      <c r="J15" s="192"/>
      <c r="K15" s="192"/>
      <c r="L15" s="192"/>
      <c r="M15" s="192"/>
      <c r="N15" s="192"/>
      <c r="O15" s="192"/>
      <c r="P15" s="192"/>
    </row>
    <row r="16" spans="1:16" ht="15" x14ac:dyDescent="0.2">
      <c r="A16" s="192"/>
      <c r="B16" s="192"/>
      <c r="C16" s="192"/>
      <c r="D16" s="197"/>
      <c r="E16" s="194"/>
      <c r="F16" s="194"/>
      <c r="G16" s="194"/>
      <c r="H16" s="194"/>
      <c r="I16" s="194"/>
      <c r="J16" s="192"/>
      <c r="K16" s="192"/>
      <c r="L16" s="192"/>
      <c r="M16" s="192"/>
      <c r="N16" s="192"/>
      <c r="O16" s="192"/>
      <c r="P16" s="192"/>
    </row>
    <row r="17" spans="1:16" x14ac:dyDescent="0.2">
      <c r="A17" s="192"/>
      <c r="B17" s="199" t="s">
        <v>430</v>
      </c>
      <c r="C17" s="199"/>
      <c r="D17" s="199"/>
      <c r="E17" s="199"/>
      <c r="F17" s="199"/>
      <c r="G17" s="199"/>
      <c r="H17" s="199"/>
      <c r="I17" s="199"/>
      <c r="J17" s="199"/>
      <c r="K17" s="199"/>
      <c r="L17" s="192"/>
      <c r="M17" s="192"/>
      <c r="N17" s="192"/>
      <c r="O17" s="192"/>
      <c r="P17" s="192"/>
    </row>
    <row r="18" spans="1:16" x14ac:dyDescent="0.2">
      <c r="A18" s="192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</row>
    <row r="19" spans="1:16" x14ac:dyDescent="0.2">
      <c r="A19" s="192"/>
      <c r="B19" s="234" t="s">
        <v>431</v>
      </c>
      <c r="C19" s="192"/>
      <c r="D19" s="192"/>
      <c r="E19" s="234" t="s">
        <v>461</v>
      </c>
      <c r="F19" s="234"/>
      <c r="G19" s="234"/>
      <c r="H19" s="234"/>
      <c r="I19" s="234" t="s">
        <v>457</v>
      </c>
      <c r="K19" s="192"/>
      <c r="L19" s="192"/>
      <c r="M19" s="192"/>
      <c r="N19" s="192"/>
      <c r="O19" s="192"/>
      <c r="P19" s="192"/>
    </row>
    <row r="20" spans="1:16" x14ac:dyDescent="0.2">
      <c r="A20" s="192"/>
      <c r="B20" s="192" t="s">
        <v>432</v>
      </c>
      <c r="C20" s="192"/>
      <c r="D20" s="192"/>
      <c r="E20" s="192" t="s">
        <v>462</v>
      </c>
      <c r="F20" s="192"/>
      <c r="G20" s="192"/>
      <c r="H20" s="192"/>
      <c r="I20" s="192" t="s">
        <v>463</v>
      </c>
      <c r="K20" s="192"/>
      <c r="L20" s="192"/>
      <c r="M20" s="192"/>
      <c r="N20" s="192"/>
      <c r="O20" s="192"/>
      <c r="P20" s="192"/>
    </row>
    <row r="21" spans="1:16" x14ac:dyDescent="0.2">
      <c r="A21" s="192"/>
      <c r="B21" s="235" t="s">
        <v>433</v>
      </c>
      <c r="C21" s="192"/>
      <c r="D21" s="192"/>
      <c r="E21" s="235" t="s">
        <v>464</v>
      </c>
      <c r="F21" s="235"/>
      <c r="G21" s="235"/>
      <c r="H21" s="235"/>
      <c r="I21" s="235" t="s">
        <v>465</v>
      </c>
      <c r="K21" s="192"/>
      <c r="L21" s="192"/>
      <c r="M21" s="192"/>
      <c r="N21" s="192"/>
      <c r="O21" s="192"/>
      <c r="P21" s="192"/>
    </row>
    <row r="22" spans="1:16" ht="15" x14ac:dyDescent="0.2">
      <c r="A22" s="192"/>
      <c r="B22" s="192"/>
      <c r="C22" s="192"/>
      <c r="D22" s="197"/>
      <c r="E22" s="194"/>
      <c r="F22" s="194"/>
      <c r="G22" s="194"/>
      <c r="H22" s="194"/>
      <c r="I22" s="194"/>
      <c r="J22" s="192"/>
      <c r="K22" s="192"/>
      <c r="L22" s="192"/>
      <c r="M22" s="192"/>
      <c r="N22" s="192"/>
      <c r="O22" s="192"/>
      <c r="P22" s="192"/>
    </row>
    <row r="23" spans="1:16" x14ac:dyDescent="0.2">
      <c r="A23" s="192"/>
      <c r="B23" s="192"/>
      <c r="C23" s="192"/>
      <c r="D23" s="192"/>
      <c r="E23" s="194"/>
      <c r="F23" s="194"/>
      <c r="G23" s="194"/>
      <c r="H23" s="194"/>
      <c r="I23" s="192"/>
      <c r="J23" s="192"/>
      <c r="K23" s="192"/>
      <c r="L23" s="192"/>
      <c r="M23" s="192"/>
      <c r="N23" s="192"/>
      <c r="O23" s="192"/>
      <c r="P23" s="192"/>
    </row>
    <row r="24" spans="1:16" x14ac:dyDescent="0.2">
      <c r="A24" s="192"/>
      <c r="B24" s="192"/>
      <c r="C24" s="192"/>
      <c r="D24" s="192"/>
      <c r="E24" s="194"/>
      <c r="F24" s="194"/>
      <c r="G24" s="194"/>
      <c r="H24" s="194"/>
      <c r="I24" s="192"/>
      <c r="J24" s="192"/>
      <c r="K24" s="192"/>
      <c r="L24" s="192"/>
      <c r="M24" s="192"/>
      <c r="N24" s="192"/>
      <c r="O24" s="192"/>
      <c r="P24" s="192"/>
    </row>
    <row r="25" spans="1:16" x14ac:dyDescent="0.2">
      <c r="A25" s="192"/>
      <c r="B25" s="199" t="s">
        <v>434</v>
      </c>
      <c r="C25" s="199"/>
      <c r="D25" s="200"/>
      <c r="E25" s="194"/>
      <c r="F25" s="194"/>
      <c r="G25" s="194"/>
      <c r="H25" s="194"/>
      <c r="I25" s="192"/>
      <c r="J25" s="192"/>
      <c r="K25" s="192"/>
      <c r="L25" s="192"/>
      <c r="M25" s="192"/>
      <c r="N25" s="192"/>
      <c r="O25" s="192"/>
      <c r="P25" s="192"/>
    </row>
    <row r="26" spans="1:16" x14ac:dyDescent="0.2">
      <c r="A26" s="192"/>
      <c r="B26" s="200"/>
      <c r="C26" s="200"/>
      <c r="D26" s="200"/>
      <c r="E26" s="194"/>
      <c r="F26" s="194"/>
      <c r="G26" s="194"/>
      <c r="H26" s="194"/>
      <c r="I26" s="194"/>
      <c r="J26" s="192"/>
      <c r="K26" s="192"/>
      <c r="L26" s="192"/>
      <c r="M26" s="192"/>
      <c r="N26" s="192"/>
      <c r="O26" s="192"/>
      <c r="P26" s="192"/>
    </row>
    <row r="27" spans="1:16" x14ac:dyDescent="0.2">
      <c r="A27" s="192"/>
      <c r="B27" s="201" t="s">
        <v>435</v>
      </c>
      <c r="C27" s="200"/>
      <c r="D27" s="200"/>
      <c r="E27" s="194"/>
      <c r="F27" s="194"/>
      <c r="G27" s="194"/>
      <c r="H27" s="194"/>
      <c r="I27" s="194"/>
      <c r="J27" s="192"/>
      <c r="K27" s="192"/>
      <c r="L27" s="192"/>
      <c r="M27" s="192"/>
      <c r="N27" s="192"/>
      <c r="O27" s="192"/>
      <c r="P27" s="192"/>
    </row>
    <row r="28" spans="1:16" x14ac:dyDescent="0.2">
      <c r="A28" s="192"/>
      <c r="B28" s="192" t="s">
        <v>436</v>
      </c>
      <c r="C28" s="192"/>
      <c r="D28" s="192"/>
      <c r="E28" s="194"/>
      <c r="F28" s="194"/>
      <c r="G28" s="194"/>
      <c r="H28" s="194"/>
      <c r="I28" s="194"/>
      <c r="J28" s="192"/>
      <c r="K28" s="192"/>
      <c r="L28" s="192"/>
      <c r="M28" s="192"/>
      <c r="N28" s="192"/>
      <c r="O28" s="192"/>
      <c r="P28" s="192"/>
    </row>
    <row r="29" spans="1:16" x14ac:dyDescent="0.2">
      <c r="A29" s="203"/>
      <c r="B29" s="202" t="s">
        <v>437</v>
      </c>
      <c r="C29" s="192"/>
      <c r="D29" s="192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</row>
  </sheetData>
  <hyperlinks>
    <hyperlink ref="B21" r:id="rId1"/>
  </hyperlinks>
  <pageMargins left="0.75" right="0.75" top="1" bottom="1" header="0.5" footer="0.5"/>
  <pageSetup paperSize="9"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BB582"/>
  <sheetViews>
    <sheetView showRuler="0" zoomScaleNormal="100" workbookViewId="0">
      <pane xSplit="19" ySplit="5" topLeftCell="T6" activePane="bottomRight" state="frozenSplit"/>
      <selection activeCell="A4" sqref="A4"/>
      <selection pane="topRight" activeCell="A4" sqref="A4"/>
      <selection pane="bottomLeft" activeCell="A4" sqref="A4"/>
      <selection pane="bottomRight" activeCell="T6" sqref="T6"/>
    </sheetView>
  </sheetViews>
  <sheetFormatPr defaultRowHeight="12.75" outlineLevelRow="1" outlineLevelCol="1" x14ac:dyDescent="0.2"/>
  <cols>
    <col min="1" max="1" width="6.7109375" customWidth="1"/>
    <col min="2" max="2" width="59.5703125" bestFit="1" customWidth="1"/>
    <col min="3" max="7" width="8.5703125" hidden="1" customWidth="1" outlineLevel="1"/>
    <col min="8" max="8" width="8.28515625" hidden="1" customWidth="1" outlineLevel="1"/>
    <col min="9" max="9" width="8.42578125" hidden="1" customWidth="1" outlineLevel="1"/>
    <col min="10" max="10" width="8.85546875" hidden="1" customWidth="1" outlineLevel="1" collapsed="1"/>
    <col min="11" max="17" width="7.7109375" hidden="1" customWidth="1" outlineLevel="1"/>
    <col min="18" max="18" width="8" hidden="1" customWidth="1" outlineLevel="1"/>
    <col min="19" max="19" width="7" hidden="1" customWidth="1" outlineLevel="1"/>
    <col min="20" max="20" width="7" customWidth="1" collapsed="1"/>
    <col min="21" max="21" width="7" customWidth="1"/>
    <col min="22" max="25" width="8" customWidth="1"/>
    <col min="26" max="38" width="7.7109375" customWidth="1"/>
    <col min="39" max="40" width="14.42578125" bestFit="1" customWidth="1"/>
    <col min="41" max="41" width="9.140625" customWidth="1"/>
    <col min="42" max="42" width="9.28515625" customWidth="1"/>
    <col min="43" max="43" width="23.7109375" customWidth="1"/>
    <col min="44" max="44" width="12.42578125" customWidth="1"/>
    <col min="45" max="45" width="9.140625" customWidth="1"/>
    <col min="46" max="46" width="10.85546875" customWidth="1"/>
    <col min="47" max="47" width="9.140625" customWidth="1"/>
    <col min="49" max="49" width="38.5703125" customWidth="1"/>
  </cols>
  <sheetData>
    <row r="1" spans="1:48" ht="15.75" x14ac:dyDescent="0.25">
      <c r="A1" s="150" t="s">
        <v>220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6"/>
      <c r="V1" s="6"/>
      <c r="W1" s="6"/>
      <c r="X1" s="6"/>
      <c r="Y1" s="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8"/>
      <c r="AO1" s="2"/>
      <c r="AP1" s="2"/>
      <c r="AQ1" s="2"/>
      <c r="AR1" s="2"/>
      <c r="AS1" s="2"/>
      <c r="AT1" s="2"/>
      <c r="AU1" s="2"/>
      <c r="AV1" s="2"/>
    </row>
    <row r="2" spans="1:48" ht="15.75" x14ac:dyDescent="0.25">
      <c r="A2" s="2"/>
      <c r="B2" s="1" t="s">
        <v>117</v>
      </c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6"/>
      <c r="W2" s="6"/>
      <c r="X2" s="6"/>
      <c r="Y2" s="6"/>
      <c r="Z2" s="232"/>
      <c r="AA2" s="228"/>
      <c r="AB2" s="230">
        <v>0</v>
      </c>
      <c r="AC2" s="230">
        <v>-138.47344223753635</v>
      </c>
      <c r="AD2" s="230">
        <v>-16.298980908149133</v>
      </c>
      <c r="AE2" s="230">
        <v>-27.758479120779612</v>
      </c>
      <c r="AF2" s="230">
        <v>-13.573048012664003</v>
      </c>
      <c r="AG2" s="230">
        <v>-54.573777596610853</v>
      </c>
      <c r="AH2" s="230">
        <v>-92.566156783847873</v>
      </c>
      <c r="AI2" s="230">
        <v>-193.64066435088625</v>
      </c>
      <c r="AJ2" s="230">
        <v>-159.25432845216983</v>
      </c>
      <c r="AK2" s="230">
        <v>-229.05371694426503</v>
      </c>
      <c r="AL2" s="230">
        <v>-313.92765626460914</v>
      </c>
      <c r="AM2" s="218"/>
      <c r="AN2" s="218"/>
      <c r="AO2" s="2"/>
      <c r="AP2" s="2"/>
      <c r="AQ2" s="2"/>
      <c r="AR2" s="2"/>
      <c r="AS2" s="2"/>
      <c r="AT2" s="2"/>
      <c r="AU2" s="2"/>
      <c r="AV2" s="2"/>
    </row>
    <row r="3" spans="1:48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152"/>
      <c r="T3" s="152"/>
      <c r="U3" s="152"/>
      <c r="V3" s="152"/>
      <c r="W3" s="152"/>
      <c r="X3" s="152"/>
      <c r="Y3" s="152"/>
      <c r="Z3" s="216"/>
      <c r="AA3" s="216"/>
      <c r="AB3" s="229"/>
      <c r="AC3" s="216"/>
      <c r="AD3" s="216"/>
      <c r="AE3" s="216"/>
      <c r="AF3" s="216"/>
      <c r="AG3" s="216"/>
      <c r="AH3" s="216"/>
      <c r="AI3" s="216"/>
      <c r="AJ3" s="216"/>
      <c r="AK3" s="216"/>
      <c r="AL3" s="229"/>
      <c r="AM3" s="218"/>
      <c r="AN3" s="218"/>
      <c r="AO3" s="2"/>
      <c r="AP3" s="2"/>
      <c r="AQ3" s="2"/>
      <c r="AR3" s="2"/>
      <c r="AS3" s="2"/>
      <c r="AT3" s="2"/>
      <c r="AU3" s="2"/>
      <c r="AV3" s="2"/>
    </row>
    <row r="4" spans="1:48" x14ac:dyDescent="0.2">
      <c r="A4" s="2"/>
      <c r="B4" s="5" t="s">
        <v>300</v>
      </c>
      <c r="C4" s="5"/>
      <c r="D4" s="5"/>
      <c r="E4" s="5"/>
      <c r="F4" s="5"/>
      <c r="G4" s="5"/>
      <c r="H4" s="5"/>
      <c r="I4" s="5"/>
      <c r="J4" s="3"/>
      <c r="K4" s="3"/>
      <c r="L4" s="3"/>
      <c r="M4" s="3"/>
      <c r="N4" s="3"/>
      <c r="O4" s="59"/>
      <c r="P4" s="59" t="s">
        <v>297</v>
      </c>
      <c r="Q4" s="59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O4" s="3" t="s">
        <v>451</v>
      </c>
      <c r="AP4" s="3" t="s">
        <v>452</v>
      </c>
      <c r="AQ4" s="2"/>
      <c r="AR4" s="2"/>
      <c r="AS4" s="2"/>
      <c r="AT4" s="2"/>
      <c r="AU4" s="2"/>
      <c r="AV4" s="2"/>
    </row>
    <row r="5" spans="1:48" x14ac:dyDescent="0.2">
      <c r="A5" s="2"/>
      <c r="B5" s="5" t="s">
        <v>83</v>
      </c>
      <c r="C5" s="5">
        <f t="shared" ref="C5:I5" si="0">D5-1</f>
        <v>1992</v>
      </c>
      <c r="D5" s="5">
        <f t="shared" si="0"/>
        <v>1993</v>
      </c>
      <c r="E5" s="5">
        <f t="shared" si="0"/>
        <v>1994</v>
      </c>
      <c r="F5" s="5">
        <f t="shared" si="0"/>
        <v>1995</v>
      </c>
      <c r="G5" s="5">
        <f t="shared" si="0"/>
        <v>1996</v>
      </c>
      <c r="H5" s="5">
        <f t="shared" si="0"/>
        <v>1997</v>
      </c>
      <c r="I5" s="5">
        <f t="shared" si="0"/>
        <v>1998</v>
      </c>
      <c r="J5" s="3">
        <v>1999</v>
      </c>
      <c r="K5" s="3">
        <f t="shared" ref="K5:AA5" si="1">J5+1</f>
        <v>2000</v>
      </c>
      <c r="L5" s="3">
        <f t="shared" si="1"/>
        <v>2001</v>
      </c>
      <c r="M5" s="3">
        <f t="shared" si="1"/>
        <v>2002</v>
      </c>
      <c r="N5" s="3">
        <f t="shared" si="1"/>
        <v>2003</v>
      </c>
      <c r="O5" s="3">
        <f t="shared" si="1"/>
        <v>2004</v>
      </c>
      <c r="P5" s="3">
        <f t="shared" si="1"/>
        <v>2005</v>
      </c>
      <c r="Q5" s="3">
        <f t="shared" si="1"/>
        <v>2006</v>
      </c>
      <c r="R5" s="84">
        <f t="shared" si="1"/>
        <v>2007</v>
      </c>
      <c r="S5" s="84">
        <f t="shared" si="1"/>
        <v>2008</v>
      </c>
      <c r="T5" s="84">
        <v>2009</v>
      </c>
      <c r="U5" s="84">
        <f t="shared" si="1"/>
        <v>2010</v>
      </c>
      <c r="V5" s="84">
        <f t="shared" si="1"/>
        <v>2011</v>
      </c>
      <c r="W5" s="84">
        <f t="shared" si="1"/>
        <v>2012</v>
      </c>
      <c r="X5" s="84">
        <f t="shared" si="1"/>
        <v>2013</v>
      </c>
      <c r="Y5" s="84">
        <f t="shared" si="1"/>
        <v>2014</v>
      </c>
      <c r="Z5" s="84">
        <f t="shared" si="1"/>
        <v>2015</v>
      </c>
      <c r="AA5" s="84">
        <f t="shared" si="1"/>
        <v>2016</v>
      </c>
      <c r="AB5" s="84">
        <f t="shared" ref="AB5:AL5" si="2">AA5+1</f>
        <v>2017</v>
      </c>
      <c r="AC5" s="49">
        <f t="shared" si="2"/>
        <v>2018</v>
      </c>
      <c r="AD5" s="49">
        <f t="shared" si="2"/>
        <v>2019</v>
      </c>
      <c r="AE5" s="49">
        <f t="shared" si="2"/>
        <v>2020</v>
      </c>
      <c r="AF5" s="49">
        <f t="shared" si="2"/>
        <v>2021</v>
      </c>
      <c r="AG5" s="49">
        <f t="shared" si="2"/>
        <v>2022</v>
      </c>
      <c r="AH5" s="49">
        <f t="shared" si="2"/>
        <v>2023</v>
      </c>
      <c r="AI5" s="49">
        <f t="shared" si="2"/>
        <v>2024</v>
      </c>
      <c r="AJ5" s="49">
        <f t="shared" si="2"/>
        <v>2025</v>
      </c>
      <c r="AK5" s="49">
        <f t="shared" si="2"/>
        <v>2026</v>
      </c>
      <c r="AL5" s="49">
        <f t="shared" si="2"/>
        <v>2027</v>
      </c>
      <c r="AO5" s="49" t="s">
        <v>296</v>
      </c>
      <c r="AP5" s="49" t="s">
        <v>296</v>
      </c>
      <c r="AQ5" s="2"/>
      <c r="AR5" s="2"/>
      <c r="AS5" s="2"/>
      <c r="AT5" s="2"/>
      <c r="AU5" s="2"/>
      <c r="AV5" s="2"/>
    </row>
    <row r="6" spans="1:48" x14ac:dyDescent="0.2">
      <c r="A6" s="2"/>
      <c r="B6" s="4" t="s">
        <v>301</v>
      </c>
      <c r="C6" s="6"/>
      <c r="D6" s="6"/>
      <c r="E6" s="6"/>
      <c r="F6" s="6"/>
      <c r="G6" s="6"/>
      <c r="H6" s="6"/>
      <c r="I6" s="6"/>
      <c r="J6" s="6">
        <f t="shared" ref="J6:Y6" si="3">J84</f>
        <v>5353.9489999999996</v>
      </c>
      <c r="K6" s="6">
        <f t="shared" si="3"/>
        <v>5834.8050000000003</v>
      </c>
      <c r="L6" s="6">
        <f t="shared" si="3"/>
        <v>6112.3469999999998</v>
      </c>
      <c r="M6" s="6">
        <f t="shared" si="3"/>
        <v>6523.4189999999999</v>
      </c>
      <c r="N6" s="6">
        <f t="shared" si="3"/>
        <v>6266.8</v>
      </c>
      <c r="O6" s="6">
        <f t="shared" si="3"/>
        <v>5860.0079999999998</v>
      </c>
      <c r="P6" s="28">
        <f t="shared" si="3"/>
        <v>6636</v>
      </c>
      <c r="Q6" s="28">
        <f t="shared" si="3"/>
        <v>10084</v>
      </c>
      <c r="R6" s="28">
        <f t="shared" si="3"/>
        <v>10299</v>
      </c>
      <c r="S6" s="28">
        <f t="shared" si="3"/>
        <v>10799</v>
      </c>
      <c r="T6" s="28">
        <f t="shared" si="3"/>
        <v>10381</v>
      </c>
      <c r="U6" s="28">
        <f t="shared" si="3"/>
        <v>11990</v>
      </c>
      <c r="V6" s="28">
        <f t="shared" si="3"/>
        <v>13322</v>
      </c>
      <c r="W6" s="28">
        <f>W84</f>
        <v>14883</v>
      </c>
      <c r="X6" s="28">
        <f t="shared" si="3"/>
        <v>14203</v>
      </c>
      <c r="Y6" s="28">
        <f t="shared" si="3"/>
        <v>14533.9</v>
      </c>
      <c r="Z6" s="28">
        <f t="shared" ref="Z6:AH6" si="4">Z84</f>
        <v>16915.049641526937</v>
      </c>
      <c r="AA6" s="28">
        <f t="shared" si="4"/>
        <v>18483</v>
      </c>
      <c r="AB6" s="28">
        <f t="shared" si="4"/>
        <v>21217</v>
      </c>
      <c r="AC6" s="28">
        <f t="shared" si="4"/>
        <v>22404.229955568389</v>
      </c>
      <c r="AD6" s="28">
        <f t="shared" si="4"/>
        <v>24520.882672427644</v>
      </c>
      <c r="AE6" s="28">
        <f t="shared" si="4"/>
        <v>26517.6356799444</v>
      </c>
      <c r="AF6" s="28">
        <f t="shared" si="4"/>
        <v>28386.247294431065</v>
      </c>
      <c r="AG6" s="28">
        <f t="shared" si="4"/>
        <v>30268.657278039078</v>
      </c>
      <c r="AH6" s="28">
        <f t="shared" si="4"/>
        <v>32218.84696009658</v>
      </c>
      <c r="AI6" s="28">
        <f t="shared" ref="AI6:AL6" si="5">AI84</f>
        <v>34083.310618779593</v>
      </c>
      <c r="AJ6" s="28">
        <f t="shared" si="5"/>
        <v>36060.855586066784</v>
      </c>
      <c r="AK6" s="28">
        <f t="shared" si="5"/>
        <v>38158.56304096018</v>
      </c>
      <c r="AL6" s="28">
        <f t="shared" si="5"/>
        <v>40341.939151286075</v>
      </c>
      <c r="AO6" s="15">
        <f>(((AD6/AB6)^(1/2))-1)*100</f>
        <v>7.5043558909452024</v>
      </c>
      <c r="AP6" s="6">
        <f>(((AE6/AB6)^(1/3))-1)*100</f>
        <v>7.716840834399652</v>
      </c>
      <c r="AQ6" s="6"/>
      <c r="AR6" s="2"/>
      <c r="AS6" s="2"/>
      <c r="AT6" s="2"/>
      <c r="AU6" s="2"/>
      <c r="AV6" s="2"/>
    </row>
    <row r="7" spans="1:48" x14ac:dyDescent="0.2">
      <c r="A7" s="2"/>
      <c r="B7" s="2" t="s">
        <v>200</v>
      </c>
      <c r="C7" s="6"/>
      <c r="D7" s="6"/>
      <c r="E7" s="6"/>
      <c r="F7" s="6"/>
      <c r="G7" s="6"/>
      <c r="H7" s="6"/>
      <c r="I7" s="6"/>
      <c r="J7" s="6">
        <f>J105</f>
        <v>579.49999999999977</v>
      </c>
      <c r="K7" s="6">
        <f t="shared" ref="K7:Y7" si="6">K105</f>
        <v>558.6710000000005</v>
      </c>
      <c r="L7" s="6">
        <f t="shared" si="6"/>
        <v>606.79799999999955</v>
      </c>
      <c r="M7" s="6">
        <f t="shared" si="6"/>
        <v>619.77300000000014</v>
      </c>
      <c r="N7" s="6">
        <f t="shared" si="6"/>
        <v>627.82099999999991</v>
      </c>
      <c r="O7" s="28">
        <f t="shared" si="6"/>
        <v>714.85999999999967</v>
      </c>
      <c r="P7" s="28">
        <f t="shared" si="6"/>
        <v>819.20699999999988</v>
      </c>
      <c r="Q7" s="28">
        <f t="shared" si="6"/>
        <v>1074</v>
      </c>
      <c r="R7" s="28">
        <f t="shared" si="6"/>
        <v>1153</v>
      </c>
      <c r="S7" s="28">
        <f t="shared" si="6"/>
        <v>1298</v>
      </c>
      <c r="T7" s="28">
        <f t="shared" si="6"/>
        <v>862</v>
      </c>
      <c r="U7" s="28">
        <f t="shared" si="6"/>
        <v>1154</v>
      </c>
      <c r="V7" s="28">
        <f t="shared" si="6"/>
        <v>1202</v>
      </c>
      <c r="W7" s="28">
        <f>W105</f>
        <v>1448</v>
      </c>
      <c r="X7" s="28">
        <f t="shared" si="6"/>
        <v>1515</v>
      </c>
      <c r="Y7" s="28">
        <f t="shared" si="6"/>
        <v>1282.8999999999996</v>
      </c>
      <c r="Z7" s="28">
        <f t="shared" ref="Z7:AH7" si="7">Z105</f>
        <v>1446.0496415269372</v>
      </c>
      <c r="AA7" s="28">
        <f t="shared" si="7"/>
        <v>1959</v>
      </c>
      <c r="AB7" s="28">
        <f t="shared" si="7"/>
        <v>2522.6000000000004</v>
      </c>
      <c r="AC7" s="28">
        <f t="shared" si="7"/>
        <v>2731.1924168361306</v>
      </c>
      <c r="AD7" s="28">
        <f t="shared" si="7"/>
        <v>3151.6463325599052</v>
      </c>
      <c r="AE7" s="28">
        <f t="shared" si="7"/>
        <v>3560.5205247965096</v>
      </c>
      <c r="AF7" s="28">
        <f t="shared" si="7"/>
        <v>4123.342441430591</v>
      </c>
      <c r="AG7" s="28">
        <f t="shared" si="7"/>
        <v>4648.8238610109865</v>
      </c>
      <c r="AH7" s="28">
        <f t="shared" si="7"/>
        <v>5210.6572967494212</v>
      </c>
      <c r="AI7" s="28">
        <f t="shared" ref="AI7:AL7" si="8">AI105</f>
        <v>5671.7994687278833</v>
      </c>
      <c r="AJ7" s="28">
        <f t="shared" si="8"/>
        <v>6062.7161148913274</v>
      </c>
      <c r="AK7" s="28">
        <f t="shared" si="8"/>
        <v>6548.3919012811439</v>
      </c>
      <c r="AL7" s="28">
        <f t="shared" si="8"/>
        <v>7102.2751069693677</v>
      </c>
      <c r="AO7" s="15">
        <f t="shared" ref="AO7:AO17" si="9">(((AD7/AB7)^(1/2))-1)*100</f>
        <v>11.774964993658754</v>
      </c>
      <c r="AP7" s="6">
        <f t="shared" ref="AP7:AP19" si="10">(((AE7/AB7)^(1/3))-1)*100</f>
        <v>12.173008377225059</v>
      </c>
      <c r="AQ7" s="2"/>
      <c r="AR7" s="2"/>
      <c r="AS7" s="2"/>
      <c r="AT7" s="2"/>
      <c r="AU7" s="2"/>
      <c r="AV7" s="2"/>
    </row>
    <row r="8" spans="1:48" x14ac:dyDescent="0.2">
      <c r="A8" s="2"/>
      <c r="B8" s="4" t="s">
        <v>190</v>
      </c>
      <c r="C8" s="6"/>
      <c r="D8" s="6"/>
      <c r="E8" s="6"/>
      <c r="F8" s="6"/>
      <c r="G8" s="6"/>
      <c r="H8" s="6"/>
      <c r="I8" s="6"/>
      <c r="J8" s="6">
        <f t="shared" ref="J8:P8" si="11">J112</f>
        <v>477.13399999999979</v>
      </c>
      <c r="K8" s="6">
        <f t="shared" si="11"/>
        <v>440.31400000000053</v>
      </c>
      <c r="L8" s="6">
        <f t="shared" si="11"/>
        <v>476.44599999999957</v>
      </c>
      <c r="M8" s="6">
        <f t="shared" si="11"/>
        <v>477.23000000000013</v>
      </c>
      <c r="N8" s="6">
        <f t="shared" si="11"/>
        <v>487.49299999999994</v>
      </c>
      <c r="O8" s="28">
        <f t="shared" si="11"/>
        <v>584.2099999999997</v>
      </c>
      <c r="P8" s="28">
        <f t="shared" si="11"/>
        <v>707.20699999999988</v>
      </c>
      <c r="Q8" s="28">
        <f t="shared" ref="Q8:Y8" si="12">Q112</f>
        <v>881</v>
      </c>
      <c r="R8" s="28">
        <f t="shared" si="12"/>
        <v>949</v>
      </c>
      <c r="S8" s="28">
        <f t="shared" si="12"/>
        <v>1070</v>
      </c>
      <c r="T8" s="28">
        <f t="shared" si="12"/>
        <v>568</v>
      </c>
      <c r="U8" s="28">
        <f t="shared" si="12"/>
        <v>894</v>
      </c>
      <c r="V8" s="28">
        <f t="shared" si="12"/>
        <v>953</v>
      </c>
      <c r="W8" s="28">
        <f>W112</f>
        <v>1185</v>
      </c>
      <c r="X8" s="28">
        <f t="shared" si="12"/>
        <v>1233</v>
      </c>
      <c r="Y8" s="28">
        <f t="shared" si="12"/>
        <v>960.89999999999964</v>
      </c>
      <c r="Z8" s="28">
        <f t="shared" ref="Z8:AH8" si="13">Z112</f>
        <v>1094.0496415269372</v>
      </c>
      <c r="AA8" s="28">
        <f t="shared" si="13"/>
        <v>1582</v>
      </c>
      <c r="AB8" s="28">
        <f t="shared" si="13"/>
        <v>2070.6000000000004</v>
      </c>
      <c r="AC8" s="28">
        <f t="shared" si="13"/>
        <v>2344.0268419472095</v>
      </c>
      <c r="AD8" s="28">
        <f t="shared" si="13"/>
        <v>2728.8995568254672</v>
      </c>
      <c r="AE8" s="28">
        <f t="shared" si="13"/>
        <v>3109.2905367598278</v>
      </c>
      <c r="AF8" s="28">
        <f t="shared" si="13"/>
        <v>3649.2935194102361</v>
      </c>
      <c r="AG8" s="28">
        <f t="shared" si="13"/>
        <v>4156.55475034352</v>
      </c>
      <c r="AH8" s="28">
        <f t="shared" si="13"/>
        <v>4701.3552616565694</v>
      </c>
      <c r="AI8" s="28">
        <f t="shared" ref="AI8:AL8" si="14">AI112</f>
        <v>5144.3054760754794</v>
      </c>
      <c r="AJ8" s="28">
        <f t="shared" si="14"/>
        <v>5516.1510280767352</v>
      </c>
      <c r="AK8" s="28">
        <f t="shared" si="14"/>
        <v>5983.055579151207</v>
      </c>
      <c r="AL8" s="28">
        <f t="shared" si="14"/>
        <v>6519.4538744859192</v>
      </c>
      <c r="AO8" s="15">
        <f t="shared" si="9"/>
        <v>14.800999857858743</v>
      </c>
      <c r="AP8" s="6">
        <f t="shared" si="10"/>
        <v>14.513063117715896</v>
      </c>
      <c r="AQ8" s="2"/>
      <c r="AR8" s="2"/>
      <c r="AS8" s="2"/>
      <c r="AT8" s="2"/>
      <c r="AU8" s="2"/>
      <c r="AV8" s="2"/>
    </row>
    <row r="9" spans="1:48" x14ac:dyDescent="0.2">
      <c r="A9" s="2"/>
      <c r="B9" s="4" t="s">
        <v>189</v>
      </c>
      <c r="C9" s="6"/>
      <c r="D9" s="6"/>
      <c r="E9" s="6"/>
      <c r="F9" s="6"/>
      <c r="G9" s="6"/>
      <c r="H9" s="6"/>
      <c r="I9" s="6"/>
      <c r="J9" s="6">
        <f>J116</f>
        <v>477.13399999999979</v>
      </c>
      <c r="K9" s="6">
        <f t="shared" ref="K9:Y9" si="15">K116</f>
        <v>440.31400000000053</v>
      </c>
      <c r="L9" s="6">
        <f t="shared" si="15"/>
        <v>476.44599999999957</v>
      </c>
      <c r="M9" s="6">
        <f t="shared" si="15"/>
        <v>477.23000000000013</v>
      </c>
      <c r="N9" s="6">
        <f t="shared" si="15"/>
        <v>487.49299999999994</v>
      </c>
      <c r="O9" s="28">
        <f t="shared" si="15"/>
        <v>584.2099999999997</v>
      </c>
      <c r="P9" s="28">
        <f t="shared" si="15"/>
        <v>707.20699999999988</v>
      </c>
      <c r="Q9" s="28">
        <f t="shared" si="15"/>
        <v>881</v>
      </c>
      <c r="R9" s="28">
        <f t="shared" si="15"/>
        <v>949</v>
      </c>
      <c r="S9" s="28">
        <f t="shared" si="15"/>
        <v>1070</v>
      </c>
      <c r="T9" s="28">
        <f t="shared" si="15"/>
        <v>508</v>
      </c>
      <c r="U9" s="28">
        <f t="shared" si="15"/>
        <v>894</v>
      </c>
      <c r="V9" s="28">
        <f t="shared" si="15"/>
        <v>953</v>
      </c>
      <c r="W9" s="28">
        <f>W116</f>
        <v>920</v>
      </c>
      <c r="X9" s="28">
        <f t="shared" si="15"/>
        <v>1181</v>
      </c>
      <c r="Y9" s="28">
        <f t="shared" si="15"/>
        <v>882.89999999999964</v>
      </c>
      <c r="Z9" s="28">
        <f t="shared" ref="Z9:AH9" si="16">Z116</f>
        <v>1060.0496415269372</v>
      </c>
      <c r="AA9" s="28">
        <f t="shared" si="16"/>
        <v>1582</v>
      </c>
      <c r="AB9" s="28">
        <f t="shared" si="16"/>
        <v>2070.6000000000004</v>
      </c>
      <c r="AC9" s="28">
        <f t="shared" si="16"/>
        <v>2344.0268419472095</v>
      </c>
      <c r="AD9" s="28">
        <f t="shared" si="16"/>
        <v>2728.8995568254672</v>
      </c>
      <c r="AE9" s="28">
        <f t="shared" si="16"/>
        <v>3109.2905367598278</v>
      </c>
      <c r="AF9" s="28">
        <f t="shared" si="16"/>
        <v>3649.2935194102361</v>
      </c>
      <c r="AG9" s="28">
        <f t="shared" si="16"/>
        <v>4156.55475034352</v>
      </c>
      <c r="AH9" s="28">
        <f t="shared" si="16"/>
        <v>4701.3552616565694</v>
      </c>
      <c r="AI9" s="28">
        <f t="shared" ref="AI9:AL9" si="17">AI116</f>
        <v>5144.3054760754794</v>
      </c>
      <c r="AJ9" s="28">
        <f t="shared" si="17"/>
        <v>5516.1510280767352</v>
      </c>
      <c r="AK9" s="28">
        <f t="shared" si="17"/>
        <v>5983.055579151207</v>
      </c>
      <c r="AL9" s="28">
        <f t="shared" si="17"/>
        <v>6519.4538744859192</v>
      </c>
      <c r="AO9" s="15">
        <f t="shared" si="9"/>
        <v>14.800999857858743</v>
      </c>
      <c r="AP9" s="6">
        <f t="shared" si="10"/>
        <v>14.513063117715896</v>
      </c>
      <c r="AQ9" s="2"/>
      <c r="AR9" s="2"/>
      <c r="AS9" s="2"/>
      <c r="AT9" s="2"/>
      <c r="AU9" s="2"/>
      <c r="AV9" s="2"/>
    </row>
    <row r="10" spans="1:48" x14ac:dyDescent="0.2">
      <c r="A10" s="2"/>
      <c r="B10" s="2" t="s">
        <v>303</v>
      </c>
      <c r="C10" s="6"/>
      <c r="D10" s="6"/>
      <c r="E10" s="6"/>
      <c r="F10" s="6"/>
      <c r="G10" s="6"/>
      <c r="H10" s="6"/>
      <c r="I10" s="6"/>
      <c r="J10" s="6">
        <f t="shared" ref="J10:P10" si="18">J126</f>
        <v>393.26299999999981</v>
      </c>
      <c r="K10" s="6">
        <f t="shared" si="18"/>
        <v>346.36000000000053</v>
      </c>
      <c r="L10" s="6">
        <f t="shared" si="18"/>
        <v>374.56799999999959</v>
      </c>
      <c r="M10" s="6">
        <f t="shared" si="18"/>
        <v>390.11400000000015</v>
      </c>
      <c r="N10" s="6">
        <f t="shared" si="18"/>
        <v>438.32299999999992</v>
      </c>
      <c r="O10" s="28">
        <f t="shared" si="18"/>
        <v>525.69499999999971</v>
      </c>
      <c r="P10" s="28">
        <f t="shared" si="18"/>
        <v>655.20699999999988</v>
      </c>
      <c r="Q10" s="28">
        <f t="shared" ref="Q10:Y10" si="19">Q126</f>
        <v>723</v>
      </c>
      <c r="R10" s="28">
        <f t="shared" si="19"/>
        <v>815</v>
      </c>
      <c r="S10" s="28">
        <f t="shared" si="19"/>
        <v>904</v>
      </c>
      <c r="T10" s="28">
        <f t="shared" si="19"/>
        <v>418</v>
      </c>
      <c r="U10" s="28">
        <f t="shared" si="19"/>
        <v>806</v>
      </c>
      <c r="V10" s="28">
        <f t="shared" si="19"/>
        <v>869</v>
      </c>
      <c r="W10" s="28">
        <f>W126</f>
        <v>1116</v>
      </c>
      <c r="X10" s="28">
        <f>X126</f>
        <v>1165</v>
      </c>
      <c r="Y10" s="28">
        <f t="shared" si="19"/>
        <v>912.89999999999964</v>
      </c>
      <c r="Z10" s="28">
        <f t="shared" ref="Z10:AH10" si="20">Z126</f>
        <v>1073.0496415269372</v>
      </c>
      <c r="AA10" s="28">
        <f t="shared" si="20"/>
        <v>1536</v>
      </c>
      <c r="AB10" s="28">
        <f t="shared" si="20"/>
        <v>2023.6000000000004</v>
      </c>
      <c r="AC10" s="28">
        <f t="shared" si="20"/>
        <v>2339.3418419472096</v>
      </c>
      <c r="AD10" s="28">
        <f t="shared" si="20"/>
        <v>2701.7587394930379</v>
      </c>
      <c r="AE10" s="28">
        <f t="shared" si="20"/>
        <v>3069.3292470642082</v>
      </c>
      <c r="AF10" s="28">
        <f t="shared" si="20"/>
        <v>3610.7296916961332</v>
      </c>
      <c r="AG10" s="28">
        <f t="shared" si="20"/>
        <v>4124.3555053651262</v>
      </c>
      <c r="AH10" s="28">
        <f t="shared" si="20"/>
        <v>4688.1131313176384</v>
      </c>
      <c r="AI10" s="28">
        <f t="shared" ref="AI10:AL10" si="21">AI126</f>
        <v>5156.3650807776812</v>
      </c>
      <c r="AJ10" s="28">
        <f t="shared" si="21"/>
        <v>5553.6499919451744</v>
      </c>
      <c r="AK10" s="28">
        <f t="shared" si="21"/>
        <v>6048.0516439996709</v>
      </c>
      <c r="AL10" s="28">
        <f t="shared" si="21"/>
        <v>6618.7580002132536</v>
      </c>
      <c r="AO10" s="15">
        <f t="shared" si="9"/>
        <v>15.547604733894204</v>
      </c>
      <c r="AP10" s="6">
        <f t="shared" si="10"/>
        <v>14.896359696046414</v>
      </c>
      <c r="AQ10" s="2"/>
      <c r="AR10" s="2"/>
      <c r="AS10" s="2"/>
      <c r="AT10" s="2"/>
      <c r="AU10" s="2"/>
      <c r="AV10" s="2"/>
    </row>
    <row r="11" spans="1:48" x14ac:dyDescent="0.2">
      <c r="A11" s="2"/>
      <c r="B11" s="2" t="s">
        <v>191</v>
      </c>
      <c r="C11" s="10"/>
      <c r="D11" s="10"/>
      <c r="E11" s="10"/>
      <c r="F11" s="10"/>
      <c r="G11" s="10"/>
      <c r="H11" s="10"/>
      <c r="I11" s="10"/>
      <c r="J11" s="10">
        <f>J150</f>
        <v>1.2920745236447904</v>
      </c>
      <c r="K11" s="10">
        <f t="shared" ref="K11:Y11" si="22">K150</f>
        <v>1.0035888185892843</v>
      </c>
      <c r="L11" s="10">
        <f t="shared" si="22"/>
        <v>1.1630069227116979</v>
      </c>
      <c r="M11" s="10">
        <f t="shared" si="22"/>
        <v>1.2595914129713603</v>
      </c>
      <c r="N11" s="10">
        <f t="shared" si="22"/>
        <v>1.4312787843958199</v>
      </c>
      <c r="O11" s="10">
        <f t="shared" si="22"/>
        <v>1.720575181885651</v>
      </c>
      <c r="P11" s="10">
        <f t="shared" si="22"/>
        <v>2.0500585425350097</v>
      </c>
      <c r="Q11" s="10">
        <f t="shared" si="22"/>
        <v>2.374793510966708</v>
      </c>
      <c r="R11" s="10">
        <f t="shared" si="22"/>
        <v>2.7063536317632595</v>
      </c>
      <c r="S11" s="10">
        <f t="shared" si="22"/>
        <v>3.2496070885896446</v>
      </c>
      <c r="T11" s="10">
        <f t="shared" si="22"/>
        <v>1.2533378945965543</v>
      </c>
      <c r="U11" s="10">
        <f t="shared" si="22"/>
        <v>2.7101153636363491</v>
      </c>
      <c r="V11" s="10">
        <f t="shared" si="22"/>
        <v>2.9299836294692803</v>
      </c>
      <c r="W11" s="10">
        <f>W150</f>
        <v>2.5162967075597109</v>
      </c>
      <c r="X11" s="10">
        <f>X150</f>
        <v>3.7616592437068901</v>
      </c>
      <c r="Y11" s="10">
        <f t="shared" si="22"/>
        <v>2.3465289479455036</v>
      </c>
      <c r="Z11" s="10">
        <f t="shared" ref="Z11:AH11" si="23">Z150</f>
        <v>3.1460797399254026</v>
      </c>
      <c r="AA11" s="10">
        <f t="shared" si="23"/>
        <v>5.0832147632861382</v>
      </c>
      <c r="AB11" s="10">
        <f t="shared" si="23"/>
        <v>5.4260839673972168</v>
      </c>
      <c r="AC11" s="10">
        <f t="shared" si="23"/>
        <v>8.391131463434558</v>
      </c>
      <c r="AD11" s="10">
        <f t="shared" si="23"/>
        <v>9.7786239835316557</v>
      </c>
      <c r="AE11" s="10">
        <f t="shared" si="23"/>
        <v>11.141507239240219</v>
      </c>
      <c r="AF11" s="10">
        <f t="shared" si="23"/>
        <v>13.270588773293747</v>
      </c>
      <c r="AG11" s="10">
        <f t="shared" si="23"/>
        <v>15.254173774594145</v>
      </c>
      <c r="AH11" s="10">
        <f t="shared" si="23"/>
        <v>17.341181233608019</v>
      </c>
      <c r="AI11" s="10">
        <f t="shared" ref="AI11:AL11" si="24">AI150</f>
        <v>19.074523165202901</v>
      </c>
      <c r="AJ11" s="10">
        <f t="shared" si="24"/>
        <v>20.545063565396156</v>
      </c>
      <c r="AK11" s="10">
        <f t="shared" si="24"/>
        <v>22.375201810120771</v>
      </c>
      <c r="AL11" s="10">
        <f t="shared" si="24"/>
        <v>24.487872190757713</v>
      </c>
      <c r="AO11" s="15">
        <f t="shared" si="9"/>
        <v>34.244226920373791</v>
      </c>
      <c r="AP11" s="6">
        <f t="shared" si="10"/>
        <v>27.10202765736809</v>
      </c>
      <c r="AQ11" s="2"/>
      <c r="AR11" s="2"/>
      <c r="AS11" s="2"/>
      <c r="AT11" s="2"/>
      <c r="AU11" s="2"/>
      <c r="AV11" s="2"/>
    </row>
    <row r="12" spans="1:48" x14ac:dyDescent="0.2">
      <c r="A12" s="8"/>
      <c r="B12" s="8" t="s">
        <v>192</v>
      </c>
      <c r="C12" s="12"/>
      <c r="D12" s="12"/>
      <c r="E12" s="12"/>
      <c r="F12" s="102"/>
      <c r="G12" s="102"/>
      <c r="H12" s="102"/>
      <c r="I12" s="102"/>
      <c r="J12" s="12">
        <f>J152</f>
        <v>1.2920745236447904</v>
      </c>
      <c r="K12" s="12">
        <f t="shared" ref="K12:Y12" si="25">K152</f>
        <v>1.0035888185892843</v>
      </c>
      <c r="L12" s="12">
        <f t="shared" si="25"/>
        <v>1.1630069227116979</v>
      </c>
      <c r="M12" s="12">
        <f t="shared" si="25"/>
        <v>1.259297616370558</v>
      </c>
      <c r="N12" s="12">
        <f t="shared" si="25"/>
        <v>1.4307435032192879</v>
      </c>
      <c r="O12" s="12">
        <f t="shared" si="25"/>
        <v>1.6339957445785565</v>
      </c>
      <c r="P12" s="12">
        <f t="shared" si="25"/>
        <v>1.9370860297534767</v>
      </c>
      <c r="Q12" s="12">
        <f t="shared" si="25"/>
        <v>2.2561580603625928</v>
      </c>
      <c r="R12" s="12">
        <f t="shared" si="25"/>
        <v>2.5653038768526195</v>
      </c>
      <c r="S12" s="12">
        <f t="shared" si="25"/>
        <v>3.070314375770189</v>
      </c>
      <c r="T12" s="12">
        <f t="shared" si="25"/>
        <v>1.2248498551457088</v>
      </c>
      <c r="U12" s="12">
        <f t="shared" si="25"/>
        <v>2.7093415451643854</v>
      </c>
      <c r="V12" s="12">
        <f t="shared" si="25"/>
        <v>2.9299930685827924</v>
      </c>
      <c r="W12" s="12">
        <f>W152</f>
        <v>2.5163048139566251</v>
      </c>
      <c r="X12" s="12">
        <f>X152</f>
        <v>3.7616713621120028</v>
      </c>
      <c r="Y12" s="12">
        <f t="shared" si="25"/>
        <v>2.3465289479455036</v>
      </c>
      <c r="Z12" s="12">
        <f t="shared" ref="Z12:AH12" si="26">Z152</f>
        <v>3.1460797399254026</v>
      </c>
      <c r="AA12" s="12">
        <f t="shared" si="26"/>
        <v>4.9944964491051218</v>
      </c>
      <c r="AB12" s="12">
        <f t="shared" si="26"/>
        <v>5.3820545764182892</v>
      </c>
      <c r="AC12" s="12">
        <f t="shared" si="26"/>
        <v>8.3420313942222286</v>
      </c>
      <c r="AD12" s="12">
        <f t="shared" si="26"/>
        <v>9.7439165752978525</v>
      </c>
      <c r="AE12" s="12">
        <f t="shared" si="26"/>
        <v>11.134205781912486</v>
      </c>
      <c r="AF12" s="12">
        <f t="shared" si="26"/>
        <v>13.258326902370175</v>
      </c>
      <c r="AG12" s="12">
        <f t="shared" si="26"/>
        <v>15.235994348018822</v>
      </c>
      <c r="AH12" s="12">
        <f t="shared" si="26"/>
        <v>17.315972512167843</v>
      </c>
      <c r="AI12" s="12">
        <f t="shared" ref="AI12:AL12" si="27">AI152</f>
        <v>19.041801248660608</v>
      </c>
      <c r="AJ12" s="12">
        <f t="shared" si="27"/>
        <v>20.504443370323219</v>
      </c>
      <c r="AK12" s="12">
        <f t="shared" si="27"/>
        <v>22.325111814150478</v>
      </c>
      <c r="AL12" s="12">
        <f t="shared" si="27"/>
        <v>24.42665216952361</v>
      </c>
      <c r="AM12" s="8"/>
      <c r="AN12" s="8"/>
      <c r="AO12" s="15">
        <f t="shared" si="9"/>
        <v>34.552796927561104</v>
      </c>
      <c r="AP12" s="6">
        <f t="shared" si="10"/>
        <v>27.419838048820399</v>
      </c>
      <c r="AQ12" s="8"/>
      <c r="AR12" s="8"/>
      <c r="AS12" s="8"/>
      <c r="AT12" s="8"/>
      <c r="AU12" s="8"/>
      <c r="AV12" s="8"/>
    </row>
    <row r="13" spans="1:48" x14ac:dyDescent="0.2">
      <c r="A13" s="2"/>
      <c r="B13" s="2" t="s">
        <v>193</v>
      </c>
      <c r="C13" s="10"/>
      <c r="D13" s="10"/>
      <c r="E13" s="10"/>
      <c r="F13" s="98"/>
      <c r="G13" s="98"/>
      <c r="H13" s="98"/>
      <c r="I13" s="98"/>
      <c r="J13" s="98">
        <f>J156</f>
        <v>1.2281087648734696</v>
      </c>
      <c r="K13" s="98">
        <f t="shared" ref="K13:Y13" si="28">K156</f>
        <v>1.0001444347419608</v>
      </c>
      <c r="L13" s="98">
        <f t="shared" si="28"/>
        <v>1.1395846012719053</v>
      </c>
      <c r="M13" s="98">
        <f t="shared" si="28"/>
        <v>1.2595914129713603</v>
      </c>
      <c r="N13" s="98">
        <f t="shared" si="28"/>
        <v>1.4312787843958199</v>
      </c>
      <c r="O13" s="98">
        <f t="shared" si="28"/>
        <v>1.782766361822544</v>
      </c>
      <c r="P13" s="98">
        <f t="shared" si="28"/>
        <v>2.2851669122324987</v>
      </c>
      <c r="Q13" s="98">
        <f t="shared" si="28"/>
        <v>2.374793510966708</v>
      </c>
      <c r="R13" s="98">
        <f t="shared" si="28"/>
        <v>2.7063536317632595</v>
      </c>
      <c r="S13" s="98">
        <f t="shared" si="28"/>
        <v>3.2496070885896446</v>
      </c>
      <c r="T13" s="98">
        <f t="shared" si="28"/>
        <v>1.4633945249758653</v>
      </c>
      <c r="U13" s="98">
        <f t="shared" si="28"/>
        <v>2.7101153636363491</v>
      </c>
      <c r="V13" s="98">
        <f t="shared" si="28"/>
        <v>2.9299836294692803</v>
      </c>
      <c r="W13" s="98">
        <f>W156</f>
        <v>3.7829864654926841</v>
      </c>
      <c r="X13" s="98">
        <f>X156</f>
        <v>3.9289503155362944</v>
      </c>
      <c r="Y13" s="98">
        <f t="shared" si="28"/>
        <v>3.0458415145918472</v>
      </c>
      <c r="Z13" s="98">
        <f t="shared" ref="Z13:AH13" si="29">Z156</f>
        <v>3.545527113046826</v>
      </c>
      <c r="AA13" s="98">
        <f t="shared" si="29"/>
        <v>5.3950172386718585</v>
      </c>
      <c r="AB13" s="98">
        <f t="shared" si="29"/>
        <v>6.6810763108816245</v>
      </c>
      <c r="AC13" s="98">
        <f t="shared" si="29"/>
        <v>8.391131463434558</v>
      </c>
      <c r="AD13" s="98">
        <f t="shared" si="29"/>
        <v>9.7786239835316557</v>
      </c>
      <c r="AE13" s="98">
        <f t="shared" si="29"/>
        <v>11.141507239240219</v>
      </c>
      <c r="AF13" s="98">
        <f t="shared" si="29"/>
        <v>13.270588773293747</v>
      </c>
      <c r="AG13" s="98">
        <f t="shared" si="29"/>
        <v>15.254173774594145</v>
      </c>
      <c r="AH13" s="98">
        <f t="shared" si="29"/>
        <v>17.341181233608019</v>
      </c>
      <c r="AI13" s="98">
        <f t="shared" ref="AI13:AL13" si="30">AI156</f>
        <v>19.074523165202901</v>
      </c>
      <c r="AJ13" s="98">
        <f t="shared" si="30"/>
        <v>20.545063565396156</v>
      </c>
      <c r="AK13" s="98">
        <f t="shared" si="30"/>
        <v>22.375201810120771</v>
      </c>
      <c r="AL13" s="98">
        <f t="shared" si="30"/>
        <v>24.487872190757713</v>
      </c>
      <c r="AO13" s="15">
        <f t="shared" si="9"/>
        <v>20.980578578151544</v>
      </c>
      <c r="AP13" s="6">
        <f t="shared" si="10"/>
        <v>18.585750054869731</v>
      </c>
      <c r="AQ13" s="2"/>
      <c r="AR13" s="2"/>
      <c r="AS13" s="2"/>
      <c r="AT13" s="2"/>
      <c r="AU13" s="2"/>
      <c r="AV13" s="2"/>
    </row>
    <row r="14" spans="1:48" x14ac:dyDescent="0.2">
      <c r="A14" s="8"/>
      <c r="B14" s="8" t="s">
        <v>850</v>
      </c>
      <c r="C14" s="12"/>
      <c r="D14" s="12"/>
      <c r="E14" s="12"/>
      <c r="F14" s="102"/>
      <c r="G14" s="102"/>
      <c r="H14" s="102"/>
      <c r="I14" s="102"/>
      <c r="J14" s="102">
        <f>J158</f>
        <v>1.2281087648734696</v>
      </c>
      <c r="K14" s="102">
        <f t="shared" ref="K14:Y14" si="31">K158</f>
        <v>1.0001444347419608</v>
      </c>
      <c r="L14" s="102">
        <f t="shared" si="31"/>
        <v>1.1395846012719053</v>
      </c>
      <c r="M14" s="102">
        <f t="shared" si="31"/>
        <v>1.259297616370558</v>
      </c>
      <c r="N14" s="102">
        <f t="shared" si="31"/>
        <v>1.4307435032192879</v>
      </c>
      <c r="O14" s="102">
        <f t="shared" si="31"/>
        <v>1.6911537349414656</v>
      </c>
      <c r="P14" s="102">
        <f t="shared" si="31"/>
        <v>2.1530400651361346</v>
      </c>
      <c r="Q14" s="102">
        <f t="shared" si="31"/>
        <v>2.2561580603625928</v>
      </c>
      <c r="R14" s="102">
        <f t="shared" si="31"/>
        <v>2.5653038768526195</v>
      </c>
      <c r="S14" s="102">
        <f t="shared" si="31"/>
        <v>3.070314375770189</v>
      </c>
      <c r="T14" s="102">
        <f t="shared" si="31"/>
        <v>1.4210238743121808</v>
      </c>
      <c r="U14" s="162">
        <f t="shared" si="31"/>
        <v>2.7093415451643854</v>
      </c>
      <c r="V14" s="102">
        <f t="shared" si="31"/>
        <v>2.9299930685827924</v>
      </c>
      <c r="W14" s="102">
        <f>W158</f>
        <v>3.7829986526046886</v>
      </c>
      <c r="X14" s="102">
        <f>X158</f>
        <v>3.9289629728793725</v>
      </c>
      <c r="Y14" s="102">
        <f t="shared" si="31"/>
        <v>3.0458415145918472</v>
      </c>
      <c r="Z14" s="102">
        <f t="shared" ref="Z14:AH14" si="32">Z158</f>
        <v>3.545527113046826</v>
      </c>
      <c r="AA14" s="102">
        <f t="shared" si="32"/>
        <v>5.2972863410592606</v>
      </c>
      <c r="AB14" s="102">
        <f t="shared" si="32"/>
        <v>6.6256856856820585</v>
      </c>
      <c r="AC14" s="102">
        <f t="shared" si="32"/>
        <v>8.3420313942222286</v>
      </c>
      <c r="AD14" s="102">
        <f t="shared" si="32"/>
        <v>9.7439165752978525</v>
      </c>
      <c r="AE14" s="102">
        <f t="shared" si="32"/>
        <v>11.134205781912486</v>
      </c>
      <c r="AF14" s="102">
        <f t="shared" si="32"/>
        <v>13.258326902370175</v>
      </c>
      <c r="AG14" s="102">
        <f t="shared" si="32"/>
        <v>15.235994348018822</v>
      </c>
      <c r="AH14" s="102">
        <f t="shared" si="32"/>
        <v>17.315972512167843</v>
      </c>
      <c r="AI14" s="102">
        <f t="shared" ref="AI14:AL14" si="33">AI158</f>
        <v>19.041801248660608</v>
      </c>
      <c r="AJ14" s="102">
        <f t="shared" si="33"/>
        <v>20.504443370323219</v>
      </c>
      <c r="AK14" s="102">
        <f t="shared" si="33"/>
        <v>22.325111814150478</v>
      </c>
      <c r="AL14" s="102">
        <f t="shared" si="33"/>
        <v>24.42665216952361</v>
      </c>
      <c r="AM14" s="8"/>
      <c r="AN14" s="8"/>
      <c r="AO14" s="15">
        <f t="shared" si="9"/>
        <v>21.269437652856382</v>
      </c>
      <c r="AP14" s="6">
        <f t="shared" si="10"/>
        <v>18.889309488880123</v>
      </c>
      <c r="AQ14" s="6"/>
      <c r="AR14" s="8"/>
      <c r="AS14" s="8"/>
      <c r="AT14" s="8"/>
      <c r="AU14" s="8"/>
      <c r="AV14" s="8"/>
    </row>
    <row r="15" spans="1:48" x14ac:dyDescent="0.2">
      <c r="A15" s="2"/>
      <c r="B15" s="11" t="s">
        <v>304</v>
      </c>
      <c r="C15" s="10"/>
      <c r="D15" s="10"/>
      <c r="E15" s="10"/>
      <c r="F15" s="10"/>
      <c r="G15" s="10"/>
      <c r="H15" s="10"/>
      <c r="I15" s="10"/>
      <c r="J15" s="10">
        <f t="shared" ref="J15:P15" si="34">J162</f>
        <v>0.23</v>
      </c>
      <c r="K15" s="10">
        <f t="shared" si="34"/>
        <v>0.23</v>
      </c>
      <c r="L15" s="10">
        <f t="shared" si="34"/>
        <v>0.23</v>
      </c>
      <c r="M15" s="10">
        <f t="shared" si="34"/>
        <v>0.25</v>
      </c>
      <c r="N15" s="10">
        <f t="shared" si="34"/>
        <v>0.25</v>
      </c>
      <c r="O15" s="10">
        <f t="shared" si="34"/>
        <v>0.25</v>
      </c>
      <c r="P15" s="10">
        <f t="shared" si="34"/>
        <v>0.32500000000000001</v>
      </c>
      <c r="Q15" s="10">
        <f t="shared" ref="Q15:Z15" si="35">Q162</f>
        <v>0.32500000000000001</v>
      </c>
      <c r="R15" s="10">
        <f t="shared" si="35"/>
        <v>0.5</v>
      </c>
      <c r="S15" s="10">
        <f t="shared" si="35"/>
        <v>0.5</v>
      </c>
      <c r="T15" s="10">
        <f t="shared" si="35"/>
        <v>0.35</v>
      </c>
      <c r="U15" s="10">
        <f t="shared" si="35"/>
        <v>0.8</v>
      </c>
      <c r="V15" s="10">
        <f t="shared" si="35"/>
        <v>1</v>
      </c>
      <c r="W15" s="10">
        <f t="shared" si="35"/>
        <v>1.35</v>
      </c>
      <c r="X15" s="10">
        <f>X162</f>
        <v>1.5</v>
      </c>
      <c r="Y15" s="10">
        <f t="shared" si="35"/>
        <v>1.5</v>
      </c>
      <c r="Z15" s="10">
        <f t="shared" si="35"/>
        <v>1.6</v>
      </c>
      <c r="AA15" s="10">
        <f t="shared" ref="AA15:AH15" si="36">AA162</f>
        <v>2</v>
      </c>
      <c r="AB15" s="10">
        <f t="shared" si="36"/>
        <v>2.6</v>
      </c>
      <c r="AC15" s="10">
        <f t="shared" si="36"/>
        <v>3.3564525853738232</v>
      </c>
      <c r="AD15" s="10">
        <f t="shared" si="36"/>
        <v>3.9114495934126623</v>
      </c>
      <c r="AE15" s="10">
        <f t="shared" si="36"/>
        <v>4.4566028956960881</v>
      </c>
      <c r="AF15" s="10">
        <f t="shared" si="36"/>
        <v>5.3082355093174991</v>
      </c>
      <c r="AG15" s="10">
        <f t="shared" si="36"/>
        <v>6.1016695098376585</v>
      </c>
      <c r="AH15" s="10">
        <f t="shared" si="36"/>
        <v>6.9364724934432083</v>
      </c>
      <c r="AI15" s="10">
        <f t="shared" ref="AI15:AL15" si="37">AI162</f>
        <v>7.6298092660811605</v>
      </c>
      <c r="AJ15" s="10">
        <f t="shared" si="37"/>
        <v>8.2180254261584622</v>
      </c>
      <c r="AK15" s="10">
        <f t="shared" si="37"/>
        <v>8.9500807240483091</v>
      </c>
      <c r="AL15" s="10">
        <f t="shared" si="37"/>
        <v>9.7951488763030863</v>
      </c>
      <c r="AO15" s="15">
        <f t="shared" si="9"/>
        <v>22.654135265554775</v>
      </c>
      <c r="AP15" s="6">
        <f t="shared" si="10"/>
        <v>19.67686296834539</v>
      </c>
      <c r="AQ15" s="2"/>
      <c r="AR15" s="2"/>
      <c r="AS15" s="2"/>
      <c r="AT15" s="2"/>
      <c r="AU15" s="2"/>
      <c r="AV15" s="2"/>
    </row>
    <row r="16" spans="1:48" x14ac:dyDescent="0.2">
      <c r="A16" s="2"/>
      <c r="B16" s="11" t="s">
        <v>305</v>
      </c>
      <c r="C16" s="6"/>
      <c r="D16" s="6"/>
      <c r="E16" s="6"/>
      <c r="F16" s="6"/>
      <c r="G16" s="6"/>
      <c r="H16" s="6"/>
      <c r="I16" s="6"/>
      <c r="J16" s="6">
        <f>FCF!J15</f>
        <v>200.40199999999908</v>
      </c>
      <c r="K16" s="6">
        <f>FCF!K15</f>
        <v>-179.15899999999971</v>
      </c>
      <c r="L16" s="6">
        <f>FCF!L15</f>
        <v>157.48099999999991</v>
      </c>
      <c r="M16" s="6">
        <f>FCF!M15</f>
        <v>207.76400000000058</v>
      </c>
      <c r="N16" s="6">
        <f>FCF!N15</f>
        <v>461.31499999999943</v>
      </c>
      <c r="O16" s="28">
        <f>FCF!O15</f>
        <v>378.03000000000003</v>
      </c>
      <c r="P16" s="28">
        <f>FCF!P15</f>
        <v>199.20700000000033</v>
      </c>
      <c r="Q16" s="28">
        <f>FCF!Q15</f>
        <v>413</v>
      </c>
      <c r="R16" s="28">
        <f>FCF!R15</f>
        <v>519</v>
      </c>
      <c r="S16" s="28">
        <f>FCF!S15</f>
        <v>201</v>
      </c>
      <c r="T16" s="28">
        <f>FCF!T15</f>
        <v>968</v>
      </c>
      <c r="U16" s="28">
        <f>FCF!U15</f>
        <v>646</v>
      </c>
      <c r="V16" s="28">
        <f>FCF!V15</f>
        <v>482</v>
      </c>
      <c r="W16" s="28">
        <f>FCF!W15</f>
        <v>292</v>
      </c>
      <c r="X16" s="28">
        <f>FCF!X15</f>
        <v>133.89999999999998</v>
      </c>
      <c r="Y16" s="28">
        <f>FCF!Y15</f>
        <v>43.899999999999636</v>
      </c>
      <c r="Z16" s="28">
        <f>FCF!Z15</f>
        <v>481.04964152693719</v>
      </c>
      <c r="AA16" s="28">
        <f>FCF!AA15</f>
        <v>817</v>
      </c>
      <c r="AB16" s="28">
        <f>FCF!AB15</f>
        <v>958.09999999999866</v>
      </c>
      <c r="AC16" s="28">
        <f>FCF!AC15</f>
        <v>1278.9381328076422</v>
      </c>
      <c r="AD16" s="28">
        <f>FCF!AD15</f>
        <v>1063.6204843775208</v>
      </c>
      <c r="AE16" s="28">
        <f>FCF!AE15</f>
        <v>1434.1345288879613</v>
      </c>
      <c r="AF16" s="28">
        <f>FCF!AF15</f>
        <v>1834.1268094479299</v>
      </c>
      <c r="AG16" s="28">
        <f>FCF!AG15</f>
        <v>2107.5560410784619</v>
      </c>
      <c r="AH16" s="28">
        <f>FCF!AH15</f>
        <v>2582.7256733783233</v>
      </c>
      <c r="AI16" s="28">
        <f>FCF!AI15</f>
        <v>2721.6116599299594</v>
      </c>
      <c r="AJ16" s="28">
        <f>FCF!AJ15</f>
        <v>2936.4895580337225</v>
      </c>
      <c r="AK16" s="28">
        <f>FCF!AK15</f>
        <v>3416.4139751945145</v>
      </c>
      <c r="AL16" s="28">
        <f>FCF!AL15</f>
        <v>3703.7405561156665</v>
      </c>
      <c r="AO16" s="15">
        <f t="shared" si="9"/>
        <v>5.3629511279193798</v>
      </c>
      <c r="AP16" s="6">
        <f t="shared" si="10"/>
        <v>14.391305738166714</v>
      </c>
      <c r="AQ16" s="2"/>
      <c r="AR16" s="2"/>
      <c r="AS16" s="2"/>
      <c r="AT16" s="2"/>
      <c r="AU16" s="2"/>
      <c r="AV16" s="2"/>
    </row>
    <row r="17" spans="1:48" x14ac:dyDescent="0.2">
      <c r="A17" s="2"/>
      <c r="B17" s="11" t="s">
        <v>35</v>
      </c>
      <c r="C17" s="10"/>
      <c r="D17" s="10"/>
      <c r="E17" s="10"/>
      <c r="F17" s="98"/>
      <c r="G17" s="98"/>
      <c r="H17" s="98"/>
      <c r="I17" s="98"/>
      <c r="J17" s="98">
        <f>FCF!J21</f>
        <v>1.1047714182389052</v>
      </c>
      <c r="K17" s="98">
        <f>FCF!K21</f>
        <v>-0.98766350894833699</v>
      </c>
      <c r="L17" s="98">
        <f>FCF!L21</f>
        <v>0.86815754191915129</v>
      </c>
      <c r="M17" s="10">
        <f>FCF!M21</f>
        <v>1.1446627523509683</v>
      </c>
      <c r="N17" s="10">
        <f>FCF!N21</f>
        <v>2.5364054999139389</v>
      </c>
      <c r="O17" s="10">
        <f>FCF!O21</f>
        <v>1.9027329250520031</v>
      </c>
      <c r="P17" s="10">
        <f>FCF!P21</f>
        <v>0.97876266754199459</v>
      </c>
      <c r="Q17" s="10">
        <f>FCF!Q21</f>
        <v>1.8824106645045471</v>
      </c>
      <c r="R17" s="10">
        <f>FCF!R21</f>
        <v>2.3648183163170682</v>
      </c>
      <c r="S17" s="10">
        <f>FCF!S21</f>
        <v>0.94218807561802742</v>
      </c>
      <c r="T17" s="10">
        <f>FCF!T21</f>
        <v>4.6246890678929145</v>
      </c>
      <c r="U17" s="10">
        <f>FCF!U21</f>
        <v>3.086833577030323</v>
      </c>
      <c r="V17" s="10">
        <f>FCF!V21</f>
        <v>2.3038444682820653</v>
      </c>
      <c r="W17" s="10">
        <f>FCF!W21</f>
        <v>1.3956900098306286</v>
      </c>
      <c r="X17" s="10">
        <f>FCF!X21</f>
        <v>0.6400099051928807</v>
      </c>
      <c r="Y17" s="10">
        <f>FCF!Y21</f>
        <v>0.2102727512039331</v>
      </c>
      <c r="Z17" s="10">
        <f>FCF!Z21</f>
        <v>2.3869117368501467</v>
      </c>
      <c r="AA17" s="10">
        <f>FCF!AA21</f>
        <v>3.9631930836430493</v>
      </c>
      <c r="AB17" s="10">
        <f>FCF!AB21</f>
        <v>4.6910352983685657</v>
      </c>
      <c r="AC17" s="10">
        <f>FCF!AC21</f>
        <v>6.4574253770299608</v>
      </c>
      <c r="AD17" s="10">
        <f>FCF!AD21</f>
        <v>5.4414435882824854</v>
      </c>
      <c r="AE17" s="10">
        <f>FCF!AE21</f>
        <v>7.3903327918063688</v>
      </c>
      <c r="AF17" s="10">
        <f>FCF!AF21</f>
        <v>9.5653489918576682</v>
      </c>
      <c r="AG17" s="10">
        <f>FCF!AG21</f>
        <v>11.056452917615257</v>
      </c>
      <c r="AH17" s="10">
        <f>FCF!AH21</f>
        <v>13.545687937754224</v>
      </c>
      <c r="AI17" s="10">
        <f>FCF!AI21</f>
        <v>14.270364645286717</v>
      </c>
      <c r="AJ17" s="10">
        <f>FCF!AJ21</f>
        <v>15.393009294542452</v>
      </c>
      <c r="AK17" s="10">
        <f>FCF!AK21</f>
        <v>17.904069181915254</v>
      </c>
      <c r="AL17" s="10">
        <f>FCF!AL21</f>
        <v>19.404749082342772</v>
      </c>
      <c r="AO17" s="15">
        <f t="shared" si="9"/>
        <v>7.7017388731360548</v>
      </c>
      <c r="AP17" s="6">
        <f t="shared" si="10"/>
        <v>16.358585060607989</v>
      </c>
      <c r="AQ17" s="2"/>
      <c r="AR17" s="2"/>
      <c r="AS17" s="2"/>
      <c r="AT17" s="2"/>
      <c r="AU17" s="2"/>
      <c r="AV17" s="2"/>
    </row>
    <row r="18" spans="1:48" x14ac:dyDescent="0.2">
      <c r="A18" s="2"/>
      <c r="B18" s="11" t="s">
        <v>52</v>
      </c>
      <c r="C18" s="6"/>
      <c r="D18" s="6"/>
      <c r="E18" s="6"/>
      <c r="F18" s="6"/>
      <c r="G18" s="6"/>
      <c r="H18" s="6"/>
      <c r="I18" s="6"/>
      <c r="J18" s="6">
        <f t="shared" ref="J18:P19" si="38">J288</f>
        <v>1592.38</v>
      </c>
      <c r="K18" s="6">
        <f t="shared" si="38"/>
        <v>1792.086</v>
      </c>
      <c r="L18" s="6">
        <f t="shared" si="38"/>
        <v>1680.8159999999998</v>
      </c>
      <c r="M18" s="6">
        <f t="shared" si="38"/>
        <v>1498.0900000000001</v>
      </c>
      <c r="N18" s="6">
        <f t="shared" si="38"/>
        <v>946.471</v>
      </c>
      <c r="O18" s="28">
        <f t="shared" si="38"/>
        <v>664.83899999999994</v>
      </c>
      <c r="P18" s="28">
        <f t="shared" si="38"/>
        <v>-551</v>
      </c>
      <c r="Q18" s="28">
        <f t="shared" ref="Q18:Z18" si="39">Q288</f>
        <v>2230.9969999999998</v>
      </c>
      <c r="R18" s="28">
        <f t="shared" si="39"/>
        <v>1765.9969999999998</v>
      </c>
      <c r="S18" s="28">
        <f t="shared" si="39"/>
        <v>2188</v>
      </c>
      <c r="T18" s="28">
        <f t="shared" si="39"/>
        <v>917</v>
      </c>
      <c r="U18" s="28">
        <f t="shared" si="39"/>
        <v>221</v>
      </c>
      <c r="V18" s="28">
        <f t="shared" si="39"/>
        <v>-91</v>
      </c>
      <c r="W18" s="28">
        <f t="shared" si="39"/>
        <v>-448</v>
      </c>
      <c r="X18" s="28">
        <f>X288</f>
        <v>-294</v>
      </c>
      <c r="Y18" s="28">
        <f t="shared" si="39"/>
        <v>184</v>
      </c>
      <c r="Z18" s="28">
        <f t="shared" si="39"/>
        <v>459</v>
      </c>
      <c r="AA18" s="28">
        <f t="shared" ref="AA18:AH19" si="40">AA288</f>
        <v>103</v>
      </c>
      <c r="AB18" s="28">
        <f t="shared" si="40"/>
        <v>-483.50000000000045</v>
      </c>
      <c r="AC18" s="28">
        <f t="shared" si="40"/>
        <v>-103.95913337852699</v>
      </c>
      <c r="AD18" s="28">
        <f t="shared" si="40"/>
        <v>593.06448478098673</v>
      </c>
      <c r="AE18" s="28">
        <f t="shared" si="40"/>
        <v>523.19138570513314</v>
      </c>
      <c r="AF18" s="28">
        <f t="shared" si="40"/>
        <v>204.96224891971269</v>
      </c>
      <c r="AG18" s="28">
        <f t="shared" si="40"/>
        <v>-742.89348305345834</v>
      </c>
      <c r="AH18" s="28">
        <f t="shared" si="40"/>
        <v>-2007.9802351101116</v>
      </c>
      <c r="AI18" s="28">
        <f t="shared" ref="AI18:AL18" si="41">AI288</f>
        <v>-3279.9481934219675</v>
      </c>
      <c r="AJ18" s="28">
        <f t="shared" si="41"/>
        <v>-4654.8032424231906</v>
      </c>
      <c r="AK18" s="28">
        <f t="shared" si="41"/>
        <v>-6370.2062863667143</v>
      </c>
      <c r="AL18" s="28">
        <f t="shared" si="41"/>
        <v>-8212.0429077498648</v>
      </c>
      <c r="AO18" s="69" t="str">
        <f>IFERROR(((AD18/AB18)^(1/2))-1*100,"NM")</f>
        <v>NM</v>
      </c>
      <c r="AP18" s="6">
        <f>(((AE18/AB18)^(1/3))-1)*100</f>
        <v>-202.66475350933496</v>
      </c>
      <c r="AQ18" s="2"/>
      <c r="AR18" s="2"/>
      <c r="AS18" s="2"/>
      <c r="AT18" s="2"/>
      <c r="AU18" s="2"/>
      <c r="AV18" s="2"/>
    </row>
    <row r="19" spans="1:48" x14ac:dyDescent="0.2">
      <c r="A19" s="2"/>
      <c r="B19" s="11" t="s">
        <v>259</v>
      </c>
      <c r="C19" s="6"/>
      <c r="D19" s="6"/>
      <c r="E19" s="6"/>
      <c r="F19" s="6"/>
      <c r="G19" s="6"/>
      <c r="H19" s="6"/>
      <c r="I19" s="6"/>
      <c r="J19" s="6">
        <f t="shared" si="38"/>
        <v>1672.6470000000002</v>
      </c>
      <c r="K19" s="6">
        <f t="shared" si="38"/>
        <v>1877.107</v>
      </c>
      <c r="L19" s="6">
        <f t="shared" si="38"/>
        <v>1772.904</v>
      </c>
      <c r="M19" s="6">
        <f t="shared" si="38"/>
        <v>1597.0490000000002</v>
      </c>
      <c r="N19" s="6">
        <f t="shared" si="38"/>
        <v>1051.7349999999999</v>
      </c>
      <c r="O19" s="28">
        <f t="shared" si="38"/>
        <v>793.51499999999987</v>
      </c>
      <c r="P19" s="28">
        <f t="shared" si="38"/>
        <v>-403</v>
      </c>
      <c r="Q19" s="28">
        <f t="shared" ref="Q19:Z19" si="42">Q289</f>
        <v>2364.9969999999998</v>
      </c>
      <c r="R19" s="28">
        <f t="shared" si="42"/>
        <v>1889.9969999999998</v>
      </c>
      <c r="S19" s="28">
        <f t="shared" si="42"/>
        <v>2320</v>
      </c>
      <c r="T19" s="28">
        <f t="shared" si="42"/>
        <v>1074</v>
      </c>
      <c r="U19" s="28">
        <f t="shared" si="42"/>
        <v>401</v>
      </c>
      <c r="V19" s="28">
        <f t="shared" si="42"/>
        <v>114</v>
      </c>
      <c r="W19" s="28">
        <f t="shared" si="42"/>
        <v>-197</v>
      </c>
      <c r="X19" s="28">
        <f>X289</f>
        <v>-39</v>
      </c>
      <c r="Y19" s="28">
        <f t="shared" si="42"/>
        <v>468</v>
      </c>
      <c r="Z19" s="28">
        <f t="shared" si="42"/>
        <v>732</v>
      </c>
      <c r="AA19" s="28">
        <f t="shared" si="40"/>
        <v>458</v>
      </c>
      <c r="AB19" s="28">
        <f t="shared" si="40"/>
        <v>-185.50000000000045</v>
      </c>
      <c r="AC19" s="28">
        <f t="shared" si="40"/>
        <v>194.04086662147301</v>
      </c>
      <c r="AD19" s="28">
        <f t="shared" si="40"/>
        <v>891.06448478098673</v>
      </c>
      <c r="AE19" s="28">
        <f t="shared" si="40"/>
        <v>821.19138570513314</v>
      </c>
      <c r="AF19" s="28">
        <f t="shared" si="40"/>
        <v>502.96224891971269</v>
      </c>
      <c r="AG19" s="28">
        <f t="shared" si="40"/>
        <v>-444.89348305345834</v>
      </c>
      <c r="AH19" s="28">
        <f t="shared" si="40"/>
        <v>-1709.9802351101116</v>
      </c>
      <c r="AI19" s="28">
        <f t="shared" ref="AI19:AL19" si="43">AI289</f>
        <v>-2981.9481934219675</v>
      </c>
      <c r="AJ19" s="28">
        <f t="shared" si="43"/>
        <v>-4356.8032424231906</v>
      </c>
      <c r="AK19" s="28">
        <f t="shared" si="43"/>
        <v>-6072.2062863667143</v>
      </c>
      <c r="AL19" s="28">
        <f t="shared" si="43"/>
        <v>-7914.0429077498648</v>
      </c>
      <c r="AO19" s="69" t="str">
        <f>IFERROR(((AD19/AB19)^(1/2))-1*100,"NM")</f>
        <v>NM</v>
      </c>
      <c r="AP19" s="6">
        <f t="shared" si="10"/>
        <v>-264.19760707965906</v>
      </c>
      <c r="AQ19" s="2"/>
      <c r="AR19" s="2"/>
      <c r="AS19" s="2"/>
      <c r="AT19" s="2"/>
      <c r="AU19" s="2"/>
      <c r="AV19" s="2"/>
    </row>
    <row r="20" spans="1:48" x14ac:dyDescent="0.2">
      <c r="A20" s="2"/>
      <c r="B20" s="1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">
      <c r="A21" s="35"/>
      <c r="B21" s="35" t="s">
        <v>306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</row>
    <row r="22" spans="1:48" x14ac:dyDescent="0.2">
      <c r="A22" s="35"/>
      <c r="B22" s="35" t="s">
        <v>307</v>
      </c>
      <c r="C22" s="36"/>
      <c r="D22" s="36"/>
      <c r="E22" s="36"/>
      <c r="F22" s="93"/>
      <c r="G22" s="93"/>
      <c r="H22" s="93"/>
      <c r="I22" s="93"/>
      <c r="J22" s="93"/>
      <c r="K22" s="93">
        <f>(K6-J6)/J6%</f>
        <v>8.981333217780012</v>
      </c>
      <c r="L22" s="93">
        <f t="shared" ref="L22:Y22" si="44">(L6-K6)/K6%</f>
        <v>4.7566628190659239</v>
      </c>
      <c r="M22" s="93">
        <f t="shared" si="44"/>
        <v>6.725272632591051</v>
      </c>
      <c r="N22" s="93">
        <f t="shared" si="44"/>
        <v>-3.9338113955274019</v>
      </c>
      <c r="O22" s="93">
        <f t="shared" si="44"/>
        <v>-6.4912235909874321</v>
      </c>
      <c r="P22" s="93">
        <f t="shared" si="44"/>
        <v>13.242166222298676</v>
      </c>
      <c r="Q22" s="93">
        <f t="shared" si="44"/>
        <v>51.95901145268234</v>
      </c>
      <c r="R22" s="93">
        <f t="shared" si="44"/>
        <v>2.1320904403014675</v>
      </c>
      <c r="S22" s="93">
        <f t="shared" si="44"/>
        <v>4.8548402757549276</v>
      </c>
      <c r="T22" s="93">
        <f t="shared" si="44"/>
        <v>-3.8707287711825171</v>
      </c>
      <c r="U22" s="93">
        <f t="shared" si="44"/>
        <v>15.499470185916579</v>
      </c>
      <c r="V22" s="93">
        <f t="shared" si="44"/>
        <v>11.109257714762302</v>
      </c>
      <c r="W22" s="93">
        <f>(W6-V6)/V6%</f>
        <v>11.717459840864736</v>
      </c>
      <c r="X22" s="93">
        <f>(X6-W6)/W6%</f>
        <v>-4.5689713095478055</v>
      </c>
      <c r="Y22" s="93">
        <f t="shared" si="44"/>
        <v>2.3297894810955406</v>
      </c>
      <c r="Z22" s="93">
        <f t="shared" ref="Z22:AL22" si="45">(Z6-Y6)/Y6%</f>
        <v>16.383418363460169</v>
      </c>
      <c r="AA22" s="93">
        <f t="shared" si="45"/>
        <v>9.2695581254677446</v>
      </c>
      <c r="AB22" s="93">
        <f t="shared" si="45"/>
        <v>14.791971000378725</v>
      </c>
      <c r="AC22" s="93">
        <f t="shared" si="45"/>
        <v>5.5956542186378355</v>
      </c>
      <c r="AD22" s="93">
        <f t="shared" si="45"/>
        <v>9.4475584345320378</v>
      </c>
      <c r="AE22" s="93">
        <f t="shared" si="45"/>
        <v>8.143071496206753</v>
      </c>
      <c r="AF22" s="93">
        <f t="shared" si="45"/>
        <v>7.0466750393584956</v>
      </c>
      <c r="AG22" s="93">
        <f t="shared" si="45"/>
        <v>6.631415431857075</v>
      </c>
      <c r="AH22" s="93">
        <f t="shared" si="45"/>
        <v>6.4429342343917897</v>
      </c>
      <c r="AI22" s="93">
        <f t="shared" si="45"/>
        <v>5.7868726990514991</v>
      </c>
      <c r="AJ22" s="93">
        <f t="shared" si="45"/>
        <v>5.8020917903367693</v>
      </c>
      <c r="AK22" s="93">
        <f t="shared" si="45"/>
        <v>5.8171316814343967</v>
      </c>
      <c r="AL22" s="93">
        <f t="shared" si="45"/>
        <v>5.7218509721716053</v>
      </c>
      <c r="AM22" s="35"/>
      <c r="AN22" s="35"/>
      <c r="AO22" s="35"/>
      <c r="AP22" s="35"/>
      <c r="AQ22" s="35"/>
      <c r="AR22" s="35"/>
      <c r="AS22" s="35"/>
      <c r="AT22" s="35"/>
      <c r="AU22" s="35"/>
      <c r="AV22" s="35"/>
    </row>
    <row r="23" spans="1:48" x14ac:dyDescent="0.2">
      <c r="A23" s="35"/>
      <c r="B23" s="35" t="s">
        <v>308</v>
      </c>
      <c r="C23" s="36"/>
      <c r="D23" s="36"/>
      <c r="E23" s="36"/>
      <c r="F23" s="36"/>
      <c r="G23" s="36"/>
      <c r="H23" s="36"/>
      <c r="I23" s="36"/>
      <c r="J23" s="36"/>
      <c r="K23" s="36"/>
      <c r="L23" s="36">
        <f>L86</f>
        <v>6</v>
      </c>
      <c r="M23" s="36">
        <f t="shared" ref="M23:Y23" si="46">M86</f>
        <v>11</v>
      </c>
      <c r="N23" s="36">
        <f t="shared" si="46"/>
        <v>5</v>
      </c>
      <c r="O23" s="36">
        <f t="shared" si="46"/>
        <v>7</v>
      </c>
      <c r="P23" s="36">
        <f t="shared" si="46"/>
        <v>0</v>
      </c>
      <c r="Q23" s="36">
        <f t="shared" si="46"/>
        <v>53</v>
      </c>
      <c r="R23" s="36">
        <f t="shared" si="46"/>
        <v>7</v>
      </c>
      <c r="S23" s="36">
        <f t="shared" si="46"/>
        <v>9.0965142246819948</v>
      </c>
      <c r="T23" s="36">
        <f t="shared" si="46"/>
        <v>-6</v>
      </c>
      <c r="U23" s="36">
        <f t="shared" si="46"/>
        <v>8.554525389094831</v>
      </c>
      <c r="V23" s="36">
        <f t="shared" si="46"/>
        <v>13</v>
      </c>
      <c r="W23" s="36">
        <f t="shared" si="46"/>
        <v>6</v>
      </c>
      <c r="X23" s="36">
        <f>X86</f>
        <v>3</v>
      </c>
      <c r="Y23" s="36">
        <f t="shared" si="46"/>
        <v>6</v>
      </c>
      <c r="Z23" s="36">
        <f t="shared" ref="Z23:AH23" si="47">Z86</f>
        <v>9.685268234954151</v>
      </c>
      <c r="AA23" s="36">
        <f t="shared" si="47"/>
        <v>20</v>
      </c>
      <c r="AB23" s="36">
        <f t="shared" si="47"/>
        <v>14.8</v>
      </c>
      <c r="AC23" s="36">
        <f t="shared" si="47"/>
        <v>10.541622284017542</v>
      </c>
      <c r="AD23" s="36">
        <f t="shared" si="47"/>
        <v>9.5264757762437373</v>
      </c>
      <c r="AE23" s="36">
        <f t="shared" si="47"/>
        <v>8.143071496206753</v>
      </c>
      <c r="AF23" s="36">
        <f t="shared" si="47"/>
        <v>7.0466750393584956</v>
      </c>
      <c r="AG23" s="36">
        <f t="shared" si="47"/>
        <v>6.6314154318570884</v>
      </c>
      <c r="AH23" s="36">
        <f t="shared" si="47"/>
        <v>6.4429342343917897</v>
      </c>
      <c r="AI23" s="36">
        <f t="shared" ref="AI23:AL23" si="48">AI86</f>
        <v>5.7868726990514991</v>
      </c>
      <c r="AJ23" s="36">
        <f t="shared" si="48"/>
        <v>5.8020917903367693</v>
      </c>
      <c r="AK23" s="36">
        <f t="shared" si="48"/>
        <v>5.8171316814343967</v>
      </c>
      <c r="AL23" s="36">
        <f t="shared" si="48"/>
        <v>5.7218509721716053</v>
      </c>
      <c r="AM23" s="35"/>
      <c r="AN23" s="35"/>
      <c r="AO23" s="35"/>
      <c r="AP23" s="35"/>
      <c r="AQ23" s="35"/>
      <c r="AR23" s="35"/>
      <c r="AS23" s="35"/>
      <c r="AT23" s="35"/>
      <c r="AU23" s="35"/>
      <c r="AV23" s="35"/>
    </row>
    <row r="24" spans="1:48" x14ac:dyDescent="0.2">
      <c r="A24" s="35"/>
      <c r="B24" s="35" t="s">
        <v>302</v>
      </c>
      <c r="C24" s="35"/>
      <c r="D24" s="36"/>
      <c r="E24" s="36"/>
      <c r="F24" s="93"/>
      <c r="G24" s="93"/>
      <c r="H24" s="93"/>
      <c r="I24" s="93"/>
      <c r="J24" s="93"/>
      <c r="K24" s="93">
        <f t="shared" ref="K24:K36" si="49">(K7-J7)/J7%</f>
        <v>-3.5943054357203237</v>
      </c>
      <c r="L24" s="93">
        <f t="shared" ref="L24:Z36" si="50">(L7-K7)/K7%</f>
        <v>8.6145513191125005</v>
      </c>
      <c r="M24" s="93">
        <f t="shared" si="50"/>
        <v>2.1382733627995809</v>
      </c>
      <c r="N24" s="93">
        <f t="shared" si="50"/>
        <v>1.2985399493039826</v>
      </c>
      <c r="O24" s="93">
        <f t="shared" si="50"/>
        <v>13.863664961828256</v>
      </c>
      <c r="P24" s="93">
        <f t="shared" si="50"/>
        <v>14.596844137313637</v>
      </c>
      <c r="Q24" s="93">
        <f t="shared" si="50"/>
        <v>31.102395365273996</v>
      </c>
      <c r="R24" s="93">
        <f t="shared" si="50"/>
        <v>7.355679702048417</v>
      </c>
      <c r="S24" s="93">
        <f t="shared" si="50"/>
        <v>12.575888985255855</v>
      </c>
      <c r="T24" s="93">
        <f t="shared" si="50"/>
        <v>-33.590138674884436</v>
      </c>
      <c r="U24" s="93">
        <f t="shared" si="50"/>
        <v>33.874709976798144</v>
      </c>
      <c r="V24" s="93">
        <f t="shared" si="50"/>
        <v>4.1594454072790299</v>
      </c>
      <c r="W24" s="93">
        <f t="shared" ref="W24:X31" si="51">(W7-V7)/V7%</f>
        <v>20.465890183028286</v>
      </c>
      <c r="X24" s="93">
        <f t="shared" si="51"/>
        <v>4.6270718232044201</v>
      </c>
      <c r="Y24" s="93">
        <f t="shared" si="50"/>
        <v>-15.320132013201343</v>
      </c>
      <c r="Z24" s="93">
        <f t="shared" ref="Z24:AL24" si="52">(Z7-Y7)/Y7%</f>
        <v>12.717253217471166</v>
      </c>
      <c r="AA24" s="93">
        <f t="shared" si="52"/>
        <v>35.472527618859587</v>
      </c>
      <c r="AB24" s="93">
        <f t="shared" si="52"/>
        <v>28.769780500255251</v>
      </c>
      <c r="AC24" s="93">
        <f t="shared" si="52"/>
        <v>8.2689454069662354</v>
      </c>
      <c r="AD24" s="93">
        <f t="shared" si="52"/>
        <v>15.394518274579754</v>
      </c>
      <c r="AE24" s="93">
        <f t="shared" si="52"/>
        <v>12.973352625657677</v>
      </c>
      <c r="AF24" s="93">
        <f t="shared" si="52"/>
        <v>15.807293139147056</v>
      </c>
      <c r="AG24" s="93">
        <f t="shared" si="52"/>
        <v>12.744064482747161</v>
      </c>
      <c r="AH24" s="93">
        <f t="shared" si="52"/>
        <v>12.085496300482589</v>
      </c>
      <c r="AI24" s="93">
        <f t="shared" si="52"/>
        <v>8.8499808319026805</v>
      </c>
      <c r="AJ24" s="93">
        <f t="shared" si="52"/>
        <v>6.8922860957762664</v>
      </c>
      <c r="AK24" s="93">
        <f t="shared" si="52"/>
        <v>8.0108614222739689</v>
      </c>
      <c r="AL24" s="93">
        <f t="shared" si="52"/>
        <v>8.4583087579083447</v>
      </c>
      <c r="AM24" s="35"/>
      <c r="AN24" s="35"/>
      <c r="AO24" s="35"/>
      <c r="AP24" s="35"/>
      <c r="AQ24" s="35"/>
      <c r="AR24" s="35"/>
      <c r="AS24" s="35"/>
      <c r="AT24" s="35"/>
      <c r="AU24" s="35"/>
      <c r="AV24" s="35"/>
    </row>
    <row r="25" spans="1:48" x14ac:dyDescent="0.2">
      <c r="A25" s="35"/>
      <c r="B25" s="4" t="s">
        <v>190</v>
      </c>
      <c r="C25" s="35"/>
      <c r="D25" s="36"/>
      <c r="E25" s="36"/>
      <c r="F25" s="93"/>
      <c r="G25" s="93"/>
      <c r="H25" s="93"/>
      <c r="I25" s="93"/>
      <c r="J25" s="93"/>
      <c r="K25" s="93">
        <f t="shared" si="49"/>
        <v>-7.7169097150903667</v>
      </c>
      <c r="L25" s="93">
        <f t="shared" ref="L25:Y25" si="53">(L8-K8)/K8%</f>
        <v>8.2059621088584507</v>
      </c>
      <c r="M25" s="93">
        <f t="shared" si="53"/>
        <v>0.16455170155706225</v>
      </c>
      <c r="N25" s="93">
        <f t="shared" si="53"/>
        <v>2.1505353812626624</v>
      </c>
      <c r="O25" s="93">
        <f t="shared" si="53"/>
        <v>19.839669492690106</v>
      </c>
      <c r="P25" s="93">
        <f t="shared" si="53"/>
        <v>21.053559507711313</v>
      </c>
      <c r="Q25" s="93">
        <f t="shared" si="53"/>
        <v>24.574558792545908</v>
      </c>
      <c r="R25" s="93">
        <f t="shared" si="53"/>
        <v>7.718501702610669</v>
      </c>
      <c r="S25" s="93">
        <f t="shared" si="53"/>
        <v>12.750263435194942</v>
      </c>
      <c r="T25" s="93">
        <f t="shared" si="53"/>
        <v>-46.915887850467293</v>
      </c>
      <c r="U25" s="93">
        <f t="shared" si="53"/>
        <v>57.394366197183103</v>
      </c>
      <c r="V25" s="93">
        <f t="shared" si="53"/>
        <v>6.5995525727069353</v>
      </c>
      <c r="W25" s="93">
        <f t="shared" si="51"/>
        <v>24.344176285414481</v>
      </c>
      <c r="X25" s="93">
        <f t="shared" si="51"/>
        <v>4.0506329113924053</v>
      </c>
      <c r="Y25" s="93">
        <f t="shared" si="53"/>
        <v>-22.068126520681293</v>
      </c>
      <c r="Z25" s="93">
        <f t="shared" ref="Z25:AL25" si="54">(Z8-Y8)/Y8%</f>
        <v>13.856763609838444</v>
      </c>
      <c r="AA25" s="93">
        <f t="shared" si="54"/>
        <v>44.600385572271009</v>
      </c>
      <c r="AB25" s="93">
        <f t="shared" si="54"/>
        <v>30.884955752212413</v>
      </c>
      <c r="AC25" s="93">
        <f t="shared" si="54"/>
        <v>13.205198587231195</v>
      </c>
      <c r="AD25" s="93">
        <f t="shared" si="54"/>
        <v>16.419296400144447</v>
      </c>
      <c r="AE25" s="93">
        <f t="shared" si="54"/>
        <v>13.939354381253588</v>
      </c>
      <c r="AF25" s="93">
        <f t="shared" si="54"/>
        <v>17.367401864386146</v>
      </c>
      <c r="AG25" s="93">
        <f t="shared" si="54"/>
        <v>13.900258453731141</v>
      </c>
      <c r="AH25" s="93">
        <f t="shared" si="54"/>
        <v>13.107021175843387</v>
      </c>
      <c r="AI25" s="93">
        <f t="shared" si="54"/>
        <v>9.4217558505211123</v>
      </c>
      <c r="AJ25" s="93">
        <f t="shared" si="54"/>
        <v>7.2282945429774852</v>
      </c>
      <c r="AK25" s="93">
        <f t="shared" si="54"/>
        <v>8.4643177588497434</v>
      </c>
      <c r="AL25" s="93">
        <f t="shared" si="54"/>
        <v>8.9652901972675476</v>
      </c>
      <c r="AM25" s="35"/>
      <c r="AN25" s="35"/>
      <c r="AO25" s="35"/>
      <c r="AP25" s="35"/>
      <c r="AQ25" s="35"/>
      <c r="AR25" s="35"/>
      <c r="AS25" s="35"/>
      <c r="AT25" s="35"/>
      <c r="AU25" s="35"/>
      <c r="AV25" s="35"/>
    </row>
    <row r="26" spans="1:48" x14ac:dyDescent="0.2">
      <c r="A26" s="35"/>
      <c r="B26" s="4" t="s">
        <v>189</v>
      </c>
      <c r="C26" s="35"/>
      <c r="D26" s="36"/>
      <c r="E26" s="36"/>
      <c r="F26" s="93"/>
      <c r="G26" s="93"/>
      <c r="H26" s="93"/>
      <c r="I26" s="93"/>
      <c r="J26" s="93"/>
      <c r="K26" s="93">
        <f t="shared" si="49"/>
        <v>-7.7169097150903667</v>
      </c>
      <c r="L26" s="93">
        <f t="shared" si="50"/>
        <v>8.2059621088584507</v>
      </c>
      <c r="M26" s="93">
        <f t="shared" si="50"/>
        <v>0.16455170155706225</v>
      </c>
      <c r="N26" s="93">
        <f t="shared" si="50"/>
        <v>2.1505353812626624</v>
      </c>
      <c r="O26" s="93">
        <f t="shared" si="50"/>
        <v>19.839669492690106</v>
      </c>
      <c r="P26" s="93">
        <f t="shared" si="50"/>
        <v>21.053559507711313</v>
      </c>
      <c r="Q26" s="93">
        <f t="shared" si="50"/>
        <v>24.574558792545908</v>
      </c>
      <c r="R26" s="93">
        <f t="shared" si="50"/>
        <v>7.718501702610669</v>
      </c>
      <c r="S26" s="93">
        <f t="shared" si="50"/>
        <v>12.750263435194942</v>
      </c>
      <c r="T26" s="93">
        <f t="shared" si="50"/>
        <v>-52.523364485981311</v>
      </c>
      <c r="U26" s="93">
        <f t="shared" si="50"/>
        <v>75.984251968503941</v>
      </c>
      <c r="V26" s="93">
        <f t="shared" si="50"/>
        <v>6.5995525727069353</v>
      </c>
      <c r="W26" s="93">
        <f t="shared" si="51"/>
        <v>-3.4627492130115427</v>
      </c>
      <c r="X26" s="93">
        <f t="shared" si="51"/>
        <v>28.369565217391308</v>
      </c>
      <c r="Y26" s="93">
        <f t="shared" si="50"/>
        <v>-25.241320914479285</v>
      </c>
      <c r="Z26" s="93">
        <f t="shared" si="50"/>
        <v>20.064519371042884</v>
      </c>
      <c r="AA26" s="93">
        <f t="shared" ref="AA26:AL26" si="55">(AA9-Z9)/Z9%</f>
        <v>49.238293946425465</v>
      </c>
      <c r="AB26" s="93">
        <f t="shared" si="55"/>
        <v>30.884955752212413</v>
      </c>
      <c r="AC26" s="93">
        <f t="shared" si="55"/>
        <v>13.205198587231195</v>
      </c>
      <c r="AD26" s="93">
        <f t="shared" si="55"/>
        <v>16.419296400144447</v>
      </c>
      <c r="AE26" s="93">
        <f t="shared" si="55"/>
        <v>13.939354381253588</v>
      </c>
      <c r="AF26" s="93">
        <f t="shared" si="55"/>
        <v>17.367401864386146</v>
      </c>
      <c r="AG26" s="93">
        <f t="shared" si="55"/>
        <v>13.900258453731141</v>
      </c>
      <c r="AH26" s="93">
        <f t="shared" si="55"/>
        <v>13.107021175843387</v>
      </c>
      <c r="AI26" s="93">
        <f t="shared" si="55"/>
        <v>9.4217558505211123</v>
      </c>
      <c r="AJ26" s="93">
        <f t="shared" si="55"/>
        <v>7.2282945429774852</v>
      </c>
      <c r="AK26" s="93">
        <f t="shared" si="55"/>
        <v>8.4643177588497434</v>
      </c>
      <c r="AL26" s="93">
        <f t="shared" si="55"/>
        <v>8.9652901972675476</v>
      </c>
      <c r="AM26" s="35"/>
      <c r="AN26" s="35"/>
      <c r="AO26" s="35"/>
      <c r="AP26" s="35"/>
      <c r="AQ26" s="35"/>
      <c r="AR26" s="35"/>
      <c r="AS26" s="35"/>
      <c r="AT26" s="35"/>
      <c r="AU26" s="35"/>
      <c r="AV26" s="35"/>
    </row>
    <row r="27" spans="1:48" x14ac:dyDescent="0.2">
      <c r="A27" s="35"/>
      <c r="B27" s="2" t="s">
        <v>303</v>
      </c>
      <c r="C27" s="35"/>
      <c r="D27" s="36"/>
      <c r="E27" s="36"/>
      <c r="F27" s="93"/>
      <c r="G27" s="93"/>
      <c r="H27" s="93"/>
      <c r="I27" s="93"/>
      <c r="J27" s="93"/>
      <c r="K27" s="93">
        <f t="shared" si="49"/>
        <v>-11.926624167541647</v>
      </c>
      <c r="L27" s="93">
        <f t="shared" si="50"/>
        <v>8.1441274974012643</v>
      </c>
      <c r="M27" s="93">
        <f t="shared" si="50"/>
        <v>4.1503812391876984</v>
      </c>
      <c r="N27" s="93">
        <f t="shared" si="50"/>
        <v>12.35766980933772</v>
      </c>
      <c r="O27" s="93">
        <f t="shared" si="50"/>
        <v>19.93324557461046</v>
      </c>
      <c r="P27" s="93">
        <f t="shared" si="50"/>
        <v>24.636338561333137</v>
      </c>
      <c r="Q27" s="93">
        <f t="shared" si="50"/>
        <v>10.346806429113263</v>
      </c>
      <c r="R27" s="93">
        <f t="shared" si="50"/>
        <v>12.72475795297372</v>
      </c>
      <c r="S27" s="93">
        <f t="shared" si="50"/>
        <v>10.920245398773005</v>
      </c>
      <c r="T27" s="93">
        <f t="shared" si="50"/>
        <v>-53.761061946902657</v>
      </c>
      <c r="U27" s="93">
        <f t="shared" si="50"/>
        <v>92.822966507177043</v>
      </c>
      <c r="V27" s="93">
        <f t="shared" si="50"/>
        <v>7.8163771712158807</v>
      </c>
      <c r="W27" s="93">
        <f t="shared" si="51"/>
        <v>28.423475258918298</v>
      </c>
      <c r="X27" s="93">
        <f t="shared" si="51"/>
        <v>4.3906810035842296</v>
      </c>
      <c r="Y27" s="93">
        <f t="shared" si="50"/>
        <v>-21.639484978540803</v>
      </c>
      <c r="Z27" s="93">
        <f t="shared" si="50"/>
        <v>17.542955584065904</v>
      </c>
      <c r="AA27" s="93">
        <f t="shared" ref="AA27:AL27" si="56">(AA10-Z10)/Z10%</f>
        <v>43.143424176936477</v>
      </c>
      <c r="AB27" s="93">
        <f t="shared" si="56"/>
        <v>31.744791666666693</v>
      </c>
      <c r="AC27" s="93">
        <f t="shared" si="56"/>
        <v>15.602976969124784</v>
      </c>
      <c r="AD27" s="93">
        <f t="shared" si="56"/>
        <v>15.492259021202372</v>
      </c>
      <c r="AE27" s="93">
        <f t="shared" si="56"/>
        <v>13.604860500613826</v>
      </c>
      <c r="AF27" s="93">
        <f t="shared" si="56"/>
        <v>17.639047526418704</v>
      </c>
      <c r="AG27" s="93">
        <f t="shared" si="56"/>
        <v>14.224986568510431</v>
      </c>
      <c r="AH27" s="93">
        <f t="shared" si="56"/>
        <v>13.668987196160799</v>
      </c>
      <c r="AI27" s="93">
        <f t="shared" si="56"/>
        <v>9.9880684689969552</v>
      </c>
      <c r="AJ27" s="93">
        <f t="shared" si="56"/>
        <v>7.7047475293889551</v>
      </c>
      <c r="AK27" s="93">
        <f t="shared" si="56"/>
        <v>8.902283233037009</v>
      </c>
      <c r="AL27" s="93">
        <f t="shared" si="56"/>
        <v>9.4362017688752022</v>
      </c>
      <c r="AM27" s="35"/>
      <c r="AN27" s="35"/>
      <c r="AO27" s="35"/>
      <c r="AP27" s="35"/>
      <c r="AQ27" s="35"/>
      <c r="AR27" s="35"/>
      <c r="AS27" s="35"/>
      <c r="AT27" s="35"/>
      <c r="AU27" s="35"/>
      <c r="AV27" s="35"/>
    </row>
    <row r="28" spans="1:48" x14ac:dyDescent="0.2">
      <c r="A28" s="35"/>
      <c r="B28" s="2" t="s">
        <v>191</v>
      </c>
      <c r="C28" s="35"/>
      <c r="D28" s="36"/>
      <c r="E28" s="36"/>
      <c r="F28" s="93"/>
      <c r="G28" s="93"/>
      <c r="H28" s="93"/>
      <c r="I28" s="93"/>
      <c r="J28" s="93"/>
      <c r="K28" s="93">
        <f t="shared" si="49"/>
        <v>-22.327327083403969</v>
      </c>
      <c r="L28" s="93">
        <f t="shared" si="50"/>
        <v>15.884802736892093</v>
      </c>
      <c r="M28" s="93">
        <f t="shared" si="50"/>
        <v>8.3047218699664711</v>
      </c>
      <c r="N28" s="93">
        <f t="shared" si="50"/>
        <v>13.630401863367041</v>
      </c>
      <c r="O28" s="93">
        <f t="shared" si="50"/>
        <v>20.212442233044808</v>
      </c>
      <c r="P28" s="93">
        <f t="shared" si="50"/>
        <v>19.149605557384831</v>
      </c>
      <c r="Q28" s="93">
        <f t="shared" si="50"/>
        <v>15.840277811293412</v>
      </c>
      <c r="R28" s="93">
        <f t="shared" si="50"/>
        <v>13.961640002190475</v>
      </c>
      <c r="S28" s="93">
        <f t="shared" si="50"/>
        <v>20.073262061929483</v>
      </c>
      <c r="T28" s="93">
        <f t="shared" si="50"/>
        <v>-61.431094269907163</v>
      </c>
      <c r="U28" s="93">
        <f t="shared" si="50"/>
        <v>116.23182186705741</v>
      </c>
      <c r="V28" s="93">
        <f t="shared" si="50"/>
        <v>8.1128747795414409</v>
      </c>
      <c r="W28" s="93">
        <f t="shared" si="51"/>
        <v>-14.119086460032614</v>
      </c>
      <c r="X28" s="93">
        <f t="shared" si="51"/>
        <v>49.49187957070945</v>
      </c>
      <c r="Y28" s="93">
        <f t="shared" si="50"/>
        <v>-37.619842842725447</v>
      </c>
      <c r="Z28" s="93">
        <f t="shared" si="50"/>
        <v>34.073766389285048</v>
      </c>
      <c r="AA28" s="93">
        <f t="shared" ref="AA28:AL28" si="57">(AA11-Z11)/Z11%</f>
        <v>61.572979183504977</v>
      </c>
      <c r="AB28" s="93">
        <f t="shared" si="57"/>
        <v>6.7451252814945875</v>
      </c>
      <c r="AC28" s="93">
        <f t="shared" si="57"/>
        <v>54.64433491727948</v>
      </c>
      <c r="AD28" s="93">
        <f t="shared" si="57"/>
        <v>16.535225626523385</v>
      </c>
      <c r="AE28" s="93">
        <f t="shared" si="57"/>
        <v>13.937372558795779</v>
      </c>
      <c r="AF28" s="93">
        <f t="shared" si="57"/>
        <v>19.109456991195366</v>
      </c>
      <c r="AG28" s="93">
        <f t="shared" si="57"/>
        <v>14.947226797444298</v>
      </c>
      <c r="AH28" s="93">
        <f t="shared" si="57"/>
        <v>13.681550307823217</v>
      </c>
      <c r="AI28" s="93">
        <f t="shared" si="57"/>
        <v>9.9955239971518477</v>
      </c>
      <c r="AJ28" s="93">
        <f t="shared" si="57"/>
        <v>7.7094477668302526</v>
      </c>
      <c r="AK28" s="93">
        <f t="shared" si="57"/>
        <v>8.9079220363528062</v>
      </c>
      <c r="AL28" s="93">
        <f t="shared" si="57"/>
        <v>9.4420170980595906</v>
      </c>
      <c r="AM28" s="35"/>
      <c r="AN28" s="35"/>
      <c r="AO28" s="35"/>
      <c r="AP28" s="35"/>
      <c r="AQ28" s="35"/>
      <c r="AR28" s="35"/>
      <c r="AS28" s="35"/>
      <c r="AT28" s="35"/>
      <c r="AU28" s="35"/>
      <c r="AV28" s="35"/>
    </row>
    <row r="29" spans="1:48" x14ac:dyDescent="0.2">
      <c r="A29" s="35"/>
      <c r="B29" s="2" t="s">
        <v>192</v>
      </c>
      <c r="C29" s="35"/>
      <c r="D29" s="36"/>
      <c r="E29" s="36"/>
      <c r="F29" s="93"/>
      <c r="G29" s="93"/>
      <c r="H29" s="93"/>
      <c r="I29" s="93"/>
      <c r="J29" s="93"/>
      <c r="K29" s="93">
        <f t="shared" si="49"/>
        <v>-22.327327083403969</v>
      </c>
      <c r="L29" s="93">
        <f t="shared" si="50"/>
        <v>15.884802736892093</v>
      </c>
      <c r="M29" s="93">
        <f t="shared" si="50"/>
        <v>8.2794600598202948</v>
      </c>
      <c r="N29" s="93">
        <f t="shared" si="50"/>
        <v>13.614405730621234</v>
      </c>
      <c r="O29" s="93">
        <f t="shared" si="50"/>
        <v>14.206057263369338</v>
      </c>
      <c r="P29" s="93">
        <f t="shared" si="50"/>
        <v>18.5490253680614</v>
      </c>
      <c r="Q29" s="93">
        <f t="shared" si="50"/>
        <v>16.471753226660915</v>
      </c>
      <c r="R29" s="93">
        <f t="shared" si="50"/>
        <v>13.702311993174055</v>
      </c>
      <c r="S29" s="93">
        <f t="shared" si="50"/>
        <v>19.68618624383668</v>
      </c>
      <c r="T29" s="93">
        <f t="shared" si="50"/>
        <v>-60.1066957568977</v>
      </c>
      <c r="U29" s="93">
        <f t="shared" si="50"/>
        <v>121.19784998807717</v>
      </c>
      <c r="V29" s="93">
        <f t="shared" si="50"/>
        <v>8.1441014261278486</v>
      </c>
      <c r="W29" s="93">
        <f t="shared" si="51"/>
        <v>-14.119086460032619</v>
      </c>
      <c r="X29" s="93">
        <f t="shared" si="51"/>
        <v>49.491879570709465</v>
      </c>
      <c r="Y29" s="93">
        <f t="shared" si="50"/>
        <v>-37.620043803400279</v>
      </c>
      <c r="Z29" s="93">
        <f t="shared" si="50"/>
        <v>34.073766389285048</v>
      </c>
      <c r="AA29" s="93">
        <f t="shared" ref="AA29:AL29" si="58">(AA12-Z12)/Z12%</f>
        <v>58.753015243775977</v>
      </c>
      <c r="AB29" s="93">
        <f t="shared" si="58"/>
        <v>7.7597037311460566</v>
      </c>
      <c r="AC29" s="93">
        <f t="shared" si="58"/>
        <v>54.997153517788711</v>
      </c>
      <c r="AD29" s="93">
        <f t="shared" si="58"/>
        <v>16.805081578170313</v>
      </c>
      <c r="AE29" s="93">
        <f t="shared" si="58"/>
        <v>14.268279042322728</v>
      </c>
      <c r="AF29" s="93">
        <f t="shared" si="58"/>
        <v>19.077437242163452</v>
      </c>
      <c r="AG29" s="93">
        <f t="shared" si="58"/>
        <v>14.916417887502092</v>
      </c>
      <c r="AH29" s="93">
        <f t="shared" si="58"/>
        <v>13.651738879907667</v>
      </c>
      <c r="AI29" s="93">
        <f t="shared" si="58"/>
        <v>9.9666867412733211</v>
      </c>
      <c r="AJ29" s="93">
        <f t="shared" si="58"/>
        <v>7.6812172470579316</v>
      </c>
      <c r="AK29" s="93">
        <f t="shared" si="58"/>
        <v>8.87938487743771</v>
      </c>
      <c r="AL29" s="93">
        <f t="shared" si="58"/>
        <v>9.4133475024348954</v>
      </c>
      <c r="AM29" s="35"/>
      <c r="AN29" s="35"/>
      <c r="AO29" s="35"/>
      <c r="AP29" s="35"/>
      <c r="AQ29" s="35"/>
      <c r="AR29" s="35"/>
      <c r="AS29" s="35"/>
      <c r="AT29" s="35"/>
      <c r="AU29" s="35"/>
      <c r="AV29" s="35"/>
    </row>
    <row r="30" spans="1:48" x14ac:dyDescent="0.2">
      <c r="A30" s="35"/>
      <c r="B30" s="2" t="s">
        <v>193</v>
      </c>
      <c r="C30" s="35"/>
      <c r="D30" s="36"/>
      <c r="E30" s="36"/>
      <c r="F30" s="93"/>
      <c r="G30" s="93"/>
      <c r="H30" s="93"/>
      <c r="I30" s="93"/>
      <c r="J30" s="93"/>
      <c r="K30" s="93">
        <f t="shared" si="49"/>
        <v>-18.562226461676275</v>
      </c>
      <c r="L30" s="93">
        <f t="shared" si="50"/>
        <v>13.942002943396904</v>
      </c>
      <c r="M30" s="93">
        <f t="shared" si="50"/>
        <v>10.530750552921992</v>
      </c>
      <c r="N30" s="93">
        <f t="shared" si="50"/>
        <v>13.630401863367041</v>
      </c>
      <c r="O30" s="93">
        <f t="shared" si="50"/>
        <v>24.557590125608979</v>
      </c>
      <c r="P30" s="93">
        <f t="shared" si="50"/>
        <v>28.180952993545628</v>
      </c>
      <c r="Q30" s="93">
        <f t="shared" si="50"/>
        <v>3.9221029437472645</v>
      </c>
      <c r="R30" s="93">
        <f t="shared" si="50"/>
        <v>13.961640002190475</v>
      </c>
      <c r="S30" s="93">
        <f t="shared" si="50"/>
        <v>20.073262061929483</v>
      </c>
      <c r="T30" s="93">
        <f t="shared" si="50"/>
        <v>-54.967031857042436</v>
      </c>
      <c r="U30" s="93">
        <f t="shared" si="50"/>
        <v>85.193761311977369</v>
      </c>
      <c r="V30" s="93">
        <f t="shared" si="50"/>
        <v>8.1128747795414409</v>
      </c>
      <c r="W30" s="93">
        <f t="shared" si="51"/>
        <v>29.112887438825439</v>
      </c>
      <c r="X30" s="93">
        <f t="shared" si="51"/>
        <v>3.8584290844033027</v>
      </c>
      <c r="Y30" s="93">
        <f t="shared" si="50"/>
        <v>-22.476965347521951</v>
      </c>
      <c r="Z30" s="93">
        <f t="shared" si="50"/>
        <v>16.405502258115305</v>
      </c>
      <c r="AA30" s="93">
        <f t="shared" ref="AA30:AL30" si="59">(AA13-Z13)/Z13%</f>
        <v>52.164038425183136</v>
      </c>
      <c r="AB30" s="93">
        <f t="shared" si="59"/>
        <v>23.83790477982545</v>
      </c>
      <c r="AC30" s="93">
        <f t="shared" si="59"/>
        <v>25.595503972432208</v>
      </c>
      <c r="AD30" s="93">
        <f t="shared" si="59"/>
        <v>16.535225626523385</v>
      </c>
      <c r="AE30" s="93">
        <f t="shared" si="59"/>
        <v>13.937372558795779</v>
      </c>
      <c r="AF30" s="93">
        <f t="shared" si="59"/>
        <v>19.109456991195366</v>
      </c>
      <c r="AG30" s="93">
        <f t="shared" si="59"/>
        <v>14.947226797444298</v>
      </c>
      <c r="AH30" s="93">
        <f t="shared" si="59"/>
        <v>13.681550307823217</v>
      </c>
      <c r="AI30" s="93">
        <f t="shared" si="59"/>
        <v>9.9955239971518477</v>
      </c>
      <c r="AJ30" s="93">
        <f t="shared" si="59"/>
        <v>7.7094477668302526</v>
      </c>
      <c r="AK30" s="93">
        <f t="shared" si="59"/>
        <v>8.9079220363528062</v>
      </c>
      <c r="AL30" s="93">
        <f t="shared" si="59"/>
        <v>9.4420170980595906</v>
      </c>
      <c r="AM30" s="35"/>
      <c r="AN30" s="35"/>
      <c r="AO30" s="35"/>
      <c r="AP30" s="35"/>
      <c r="AQ30" s="35"/>
      <c r="AR30" s="35"/>
      <c r="AS30" s="35"/>
      <c r="AT30" s="35"/>
      <c r="AU30" s="35"/>
      <c r="AV30" s="35"/>
    </row>
    <row r="31" spans="1:48" x14ac:dyDescent="0.2">
      <c r="A31" s="35"/>
      <c r="B31" s="2" t="s">
        <v>194</v>
      </c>
      <c r="C31" s="35"/>
      <c r="D31" s="36"/>
      <c r="E31" s="36"/>
      <c r="F31" s="93"/>
      <c r="G31" s="93"/>
      <c r="H31" s="93"/>
      <c r="I31" s="93"/>
      <c r="J31" s="93"/>
      <c r="K31" s="93">
        <f t="shared" si="49"/>
        <v>-18.562226461676275</v>
      </c>
      <c r="L31" s="93">
        <f t="shared" si="50"/>
        <v>13.942002943396904</v>
      </c>
      <c r="M31" s="93">
        <f t="shared" si="50"/>
        <v>10.504969527057444</v>
      </c>
      <c r="N31" s="93">
        <f t="shared" si="50"/>
        <v>13.614405730621234</v>
      </c>
      <c r="O31" s="93">
        <f t="shared" si="50"/>
        <v>18.20104240461227</v>
      </c>
      <c r="P31" s="93">
        <f t="shared" si="50"/>
        <v>27.311906697273496</v>
      </c>
      <c r="Q31" s="93">
        <f t="shared" si="50"/>
        <v>4.7894136712192683</v>
      </c>
      <c r="R31" s="93">
        <f t="shared" si="50"/>
        <v>13.702311993174055</v>
      </c>
      <c r="S31" s="93">
        <f t="shared" si="50"/>
        <v>19.68618624383668</v>
      </c>
      <c r="T31" s="93">
        <f t="shared" si="50"/>
        <v>-53.717316847864588</v>
      </c>
      <c r="U31" s="93">
        <f t="shared" si="50"/>
        <v>90.6612263270939</v>
      </c>
      <c r="V31" s="93">
        <f t="shared" si="50"/>
        <v>8.1441014261278486</v>
      </c>
      <c r="W31" s="93">
        <f t="shared" si="51"/>
        <v>29.112887438825453</v>
      </c>
      <c r="X31" s="140">
        <f t="shared" si="51"/>
        <v>3.8584290844032898</v>
      </c>
      <c r="Y31" s="93">
        <f t="shared" si="50"/>
        <v>-22.477215091704529</v>
      </c>
      <c r="Z31" s="93">
        <f t="shared" si="50"/>
        <v>16.405502258115305</v>
      </c>
      <c r="AA31" s="93">
        <f t="shared" ref="AA31:AL31" si="60">(AA14-Z14)/Z14%</f>
        <v>49.407582346960858</v>
      </c>
      <c r="AB31" s="93">
        <f t="shared" si="60"/>
        <v>25.076978269541069</v>
      </c>
      <c r="AC31" s="93">
        <f t="shared" si="60"/>
        <v>25.904423933799791</v>
      </c>
      <c r="AD31" s="93">
        <f t="shared" si="60"/>
        <v>16.805081578170313</v>
      </c>
      <c r="AE31" s="93">
        <f t="shared" si="60"/>
        <v>14.268279042322728</v>
      </c>
      <c r="AF31" s="93">
        <f t="shared" si="60"/>
        <v>19.077437242163452</v>
      </c>
      <c r="AG31" s="93">
        <f t="shared" si="60"/>
        <v>14.916417887502092</v>
      </c>
      <c r="AH31" s="93">
        <f t="shared" si="60"/>
        <v>13.651738879907667</v>
      </c>
      <c r="AI31" s="93">
        <f t="shared" si="60"/>
        <v>9.9666867412733211</v>
      </c>
      <c r="AJ31" s="93">
        <f t="shared" si="60"/>
        <v>7.6812172470579316</v>
      </c>
      <c r="AK31" s="93">
        <f t="shared" si="60"/>
        <v>8.87938487743771</v>
      </c>
      <c r="AL31" s="93">
        <f t="shared" si="60"/>
        <v>9.4133475024348954</v>
      </c>
      <c r="AM31" s="35"/>
      <c r="AN31" s="35"/>
      <c r="AO31" s="35"/>
      <c r="AP31" s="35"/>
      <c r="AQ31" s="35"/>
      <c r="AR31" s="35"/>
      <c r="AS31" s="35"/>
      <c r="AT31" s="35"/>
      <c r="AU31" s="35"/>
      <c r="AV31" s="35"/>
    </row>
    <row r="32" spans="1:48" x14ac:dyDescent="0.2">
      <c r="A32" s="35"/>
      <c r="B32" s="11" t="s">
        <v>304</v>
      </c>
      <c r="C32" s="35"/>
      <c r="D32" s="36"/>
      <c r="E32" s="36"/>
      <c r="F32" s="93"/>
      <c r="G32" s="93"/>
      <c r="H32" s="93"/>
      <c r="I32" s="93"/>
      <c r="J32" s="93"/>
      <c r="K32" s="93">
        <f t="shared" si="49"/>
        <v>0</v>
      </c>
      <c r="L32" s="93">
        <f t="shared" si="50"/>
        <v>0</v>
      </c>
      <c r="M32" s="93">
        <f t="shared" si="50"/>
        <v>8.6956521739130395</v>
      </c>
      <c r="N32" s="93">
        <f t="shared" si="50"/>
        <v>0</v>
      </c>
      <c r="O32" s="93">
        <f t="shared" si="50"/>
        <v>0</v>
      </c>
      <c r="P32" s="93">
        <f t="shared" si="50"/>
        <v>30.000000000000004</v>
      </c>
      <c r="Q32" s="93">
        <f t="shared" si="50"/>
        <v>0</v>
      </c>
      <c r="R32" s="93">
        <f t="shared" si="50"/>
        <v>53.84615384615384</v>
      </c>
      <c r="S32" s="93">
        <f t="shared" si="50"/>
        <v>0</v>
      </c>
      <c r="T32" s="93">
        <f t="shared" si="50"/>
        <v>-30.000000000000004</v>
      </c>
      <c r="U32" s="93">
        <f t="shared" si="50"/>
        <v>128.57142857142861</v>
      </c>
      <c r="V32" s="93">
        <f t="shared" si="50"/>
        <v>24.999999999999993</v>
      </c>
      <c r="W32" s="93">
        <f t="shared" si="50"/>
        <v>35.000000000000007</v>
      </c>
      <c r="X32" s="93">
        <f t="shared" si="50"/>
        <v>11.111111111111104</v>
      </c>
      <c r="Y32" s="93">
        <f t="shared" si="50"/>
        <v>0</v>
      </c>
      <c r="Z32" s="93">
        <f t="shared" si="50"/>
        <v>6.6666666666666732</v>
      </c>
      <c r="AA32" s="93">
        <f t="shared" ref="AA32:AL36" si="61">(AA15-Z15)/Z15%</f>
        <v>24.999999999999993</v>
      </c>
      <c r="AB32" s="93">
        <f t="shared" si="61"/>
        <v>30.000000000000004</v>
      </c>
      <c r="AC32" s="93">
        <f t="shared" si="61"/>
        <v>29.094330206685502</v>
      </c>
      <c r="AD32" s="93">
        <f t="shared" si="61"/>
        <v>16.535225626523385</v>
      </c>
      <c r="AE32" s="93">
        <f t="shared" si="61"/>
        <v>13.937372558795788</v>
      </c>
      <c r="AF32" s="93">
        <f t="shared" si="61"/>
        <v>19.109456991195362</v>
      </c>
      <c r="AG32" s="93">
        <f t="shared" si="61"/>
        <v>14.947226797444305</v>
      </c>
      <c r="AH32" s="93">
        <f t="shared" si="61"/>
        <v>13.681550307823219</v>
      </c>
      <c r="AI32" s="93">
        <f t="shared" si="61"/>
        <v>9.995523997151837</v>
      </c>
      <c r="AJ32" s="93">
        <f t="shared" si="61"/>
        <v>7.7094477668302517</v>
      </c>
      <c r="AK32" s="93">
        <f t="shared" si="61"/>
        <v>8.9079220363528133</v>
      </c>
      <c r="AL32" s="93">
        <f t="shared" si="61"/>
        <v>9.4420170980595923</v>
      </c>
      <c r="AM32" s="35"/>
      <c r="AN32" s="35"/>
      <c r="AO32" s="35"/>
      <c r="AP32" s="35"/>
      <c r="AQ32" s="35"/>
      <c r="AR32" s="35"/>
      <c r="AS32" s="35"/>
      <c r="AT32" s="35"/>
      <c r="AU32" s="35"/>
      <c r="AV32" s="35"/>
    </row>
    <row r="33" spans="1:48" x14ac:dyDescent="0.2">
      <c r="A33" s="35"/>
      <c r="B33" s="11" t="s">
        <v>305</v>
      </c>
      <c r="C33" s="35"/>
      <c r="D33" s="36"/>
      <c r="E33" s="36"/>
      <c r="F33" s="93"/>
      <c r="G33" s="93"/>
      <c r="H33" s="93"/>
      <c r="I33" s="93"/>
      <c r="J33" s="93"/>
      <c r="K33" s="93">
        <f t="shared" si="49"/>
        <v>-189.39980638915804</v>
      </c>
      <c r="L33" s="93">
        <f t="shared" si="50"/>
        <v>-187.90013340105727</v>
      </c>
      <c r="M33" s="93">
        <f t="shared" si="50"/>
        <v>31.929566106387878</v>
      </c>
      <c r="N33" s="93">
        <f t="shared" si="50"/>
        <v>122.03798540651803</v>
      </c>
      <c r="O33" s="93">
        <f t="shared" si="50"/>
        <v>-18.053824393310322</v>
      </c>
      <c r="P33" s="93">
        <f t="shared" si="50"/>
        <v>-47.30391767849104</v>
      </c>
      <c r="Q33" s="93">
        <f t="shared" si="50"/>
        <v>107.32203185630992</v>
      </c>
      <c r="R33" s="93">
        <f t="shared" si="50"/>
        <v>25.665859564164649</v>
      </c>
      <c r="S33" s="93">
        <f t="shared" si="50"/>
        <v>-61.271676300578029</v>
      </c>
      <c r="T33" s="93">
        <f t="shared" si="50"/>
        <v>381.59203980099505</v>
      </c>
      <c r="U33" s="93">
        <f t="shared" si="50"/>
        <v>-33.264462809917354</v>
      </c>
      <c r="V33" s="93">
        <f t="shared" si="50"/>
        <v>-25.38699690402477</v>
      </c>
      <c r="W33" s="93">
        <f>(W16-V16)/V16%</f>
        <v>-39.419087136929456</v>
      </c>
      <c r="X33" s="93">
        <f>(X16-W16)/W16%</f>
        <v>-54.143835616438366</v>
      </c>
      <c r="Y33" s="93">
        <f t="shared" si="50"/>
        <v>-67.214339058999514</v>
      </c>
      <c r="Z33" s="93">
        <f>(Z16-Y16)/Y16%</f>
        <v>995.78506042583422</v>
      </c>
      <c r="AA33" s="93">
        <f t="shared" si="61"/>
        <v>69.836941860448448</v>
      </c>
      <c r="AB33" s="93">
        <f t="shared" si="61"/>
        <v>17.270501835985147</v>
      </c>
      <c r="AC33" s="93">
        <f t="shared" si="61"/>
        <v>33.486915020106878</v>
      </c>
      <c r="AD33" s="93">
        <f t="shared" si="61"/>
        <v>-16.835657871693634</v>
      </c>
      <c r="AE33" s="93">
        <f t="shared" si="61"/>
        <v>34.835173819285941</v>
      </c>
      <c r="AF33" s="93">
        <f t="shared" si="61"/>
        <v>27.890847929735401</v>
      </c>
      <c r="AG33" s="93">
        <f t="shared" si="61"/>
        <v>14.907869522545932</v>
      </c>
      <c r="AH33" s="93">
        <f t="shared" si="61"/>
        <v>22.546002243276597</v>
      </c>
      <c r="AI33" s="93">
        <f t="shared" si="61"/>
        <v>5.3774966494976928</v>
      </c>
      <c r="AJ33" s="93">
        <f t="shared" si="61"/>
        <v>7.8952446180103797</v>
      </c>
      <c r="AK33" s="93">
        <f t="shared" si="61"/>
        <v>16.343474331376477</v>
      </c>
      <c r="AL33" s="93">
        <f t="shared" si="61"/>
        <v>8.4101804701461287</v>
      </c>
      <c r="AM33" s="35"/>
      <c r="AN33" s="35"/>
      <c r="AO33" s="35"/>
      <c r="AP33" s="35"/>
      <c r="AQ33" s="35"/>
      <c r="AR33" s="35"/>
      <c r="AS33" s="35"/>
      <c r="AT33" s="35"/>
      <c r="AU33" s="35"/>
      <c r="AV33" s="35"/>
    </row>
    <row r="34" spans="1:48" x14ac:dyDescent="0.2">
      <c r="A34" s="35"/>
      <c r="B34" s="11" t="s">
        <v>35</v>
      </c>
      <c r="C34" s="35"/>
      <c r="D34" s="36"/>
      <c r="E34" s="36"/>
      <c r="F34" s="93"/>
      <c r="G34" s="93"/>
      <c r="H34" s="93"/>
      <c r="I34" s="93"/>
      <c r="J34" s="93"/>
      <c r="K34" s="93">
        <f t="shared" si="49"/>
        <v>-189.3998063891581</v>
      </c>
      <c r="L34" s="93">
        <f t="shared" si="50"/>
        <v>-187.90013340105725</v>
      </c>
      <c r="M34" s="93">
        <f t="shared" si="50"/>
        <v>31.84965827982947</v>
      </c>
      <c r="N34" s="93">
        <f t="shared" si="50"/>
        <v>121.5853966335968</v>
      </c>
      <c r="O34" s="93">
        <f t="shared" si="50"/>
        <v>-24.983094181251246</v>
      </c>
      <c r="P34" s="93">
        <f t="shared" si="50"/>
        <v>-48.560165504297231</v>
      </c>
      <c r="Q34" s="93">
        <f t="shared" si="50"/>
        <v>92.325548054659606</v>
      </c>
      <c r="R34" s="93">
        <f t="shared" si="50"/>
        <v>25.627120633610062</v>
      </c>
      <c r="S34" s="93">
        <f t="shared" si="50"/>
        <v>-60.158120007909247</v>
      </c>
      <c r="T34" s="93">
        <f t="shared" si="50"/>
        <v>390.84563767795026</v>
      </c>
      <c r="U34" s="93">
        <f t="shared" si="50"/>
        <v>-33.253165094691738</v>
      </c>
      <c r="V34" s="93">
        <f t="shared" si="50"/>
        <v>-25.365446150858883</v>
      </c>
      <c r="W34" s="93">
        <f>(W17-V17)/V17%</f>
        <v>-39.41908713692947</v>
      </c>
      <c r="X34" s="93">
        <f>(X17-W17)/W17%</f>
        <v>-54.143835616438359</v>
      </c>
      <c r="Y34" s="93">
        <f t="shared" si="50"/>
        <v>-67.145391110694945</v>
      </c>
      <c r="Z34" s="93">
        <f>(Z17-Y17)/Y17%</f>
        <v>1035.1502860849523</v>
      </c>
      <c r="AA34" s="93">
        <f t="shared" si="61"/>
        <v>66.038526789977553</v>
      </c>
      <c r="AB34" s="93">
        <f t="shared" si="61"/>
        <v>18.365045541926229</v>
      </c>
      <c r="AC34" s="93">
        <f t="shared" si="61"/>
        <v>37.654589366993356</v>
      </c>
      <c r="AD34" s="93">
        <f t="shared" si="61"/>
        <v>-15.733542850707593</v>
      </c>
      <c r="AE34" s="93">
        <f t="shared" si="61"/>
        <v>35.815664940836456</v>
      </c>
      <c r="AF34" s="93">
        <f t="shared" si="61"/>
        <v>29.430558289103448</v>
      </c>
      <c r="AG34" s="93">
        <f t="shared" si="61"/>
        <v>15.588599297598698</v>
      </c>
      <c r="AH34" s="93">
        <f t="shared" si="61"/>
        <v>22.51386623437876</v>
      </c>
      <c r="AI34" s="93">
        <f t="shared" si="61"/>
        <v>5.3498700904860774</v>
      </c>
      <c r="AJ34" s="93">
        <f t="shared" si="61"/>
        <v>7.8669654011015551</v>
      </c>
      <c r="AK34" s="93">
        <f t="shared" si="61"/>
        <v>16.312988833594037</v>
      </c>
      <c r="AL34" s="93">
        <f t="shared" si="61"/>
        <v>8.3817811759984764</v>
      </c>
      <c r="AM34" s="35"/>
      <c r="AN34" s="35"/>
      <c r="AO34" s="35"/>
      <c r="AP34" s="35"/>
      <c r="AQ34" s="35"/>
      <c r="AR34" s="35"/>
      <c r="AS34" s="35"/>
      <c r="AT34" s="35"/>
      <c r="AU34" s="35"/>
      <c r="AV34" s="35"/>
    </row>
    <row r="35" spans="1:48" x14ac:dyDescent="0.2">
      <c r="A35" s="35"/>
      <c r="B35" s="11" t="s">
        <v>52</v>
      </c>
      <c r="C35" s="35"/>
      <c r="D35" s="36"/>
      <c r="E35" s="36"/>
      <c r="F35" s="93"/>
      <c r="G35" s="93"/>
      <c r="H35" s="93"/>
      <c r="I35" s="93"/>
      <c r="J35" s="93"/>
      <c r="K35" s="93">
        <f t="shared" si="49"/>
        <v>12.541353194589224</v>
      </c>
      <c r="L35" s="93">
        <f t="shared" si="50"/>
        <v>-6.2089654179542837</v>
      </c>
      <c r="M35" s="93">
        <f t="shared" si="50"/>
        <v>-10.871267289221407</v>
      </c>
      <c r="N35" s="93">
        <f t="shared" si="50"/>
        <v>-36.821486025539194</v>
      </c>
      <c r="O35" s="93">
        <f t="shared" si="50"/>
        <v>-29.75600942870939</v>
      </c>
      <c r="P35" s="93">
        <f t="shared" si="50"/>
        <v>-182.87720786536292</v>
      </c>
      <c r="Q35" s="93">
        <f t="shared" si="50"/>
        <v>-504.89963702359347</v>
      </c>
      <c r="R35" s="93">
        <f t="shared" si="50"/>
        <v>-20.842699474719151</v>
      </c>
      <c r="S35" s="93">
        <f t="shared" si="50"/>
        <v>23.896020208414861</v>
      </c>
      <c r="T35" s="93">
        <f t="shared" si="50"/>
        <v>-58.089579524680076</v>
      </c>
      <c r="U35" s="93">
        <f t="shared" si="50"/>
        <v>-75.899672846237735</v>
      </c>
      <c r="V35" s="93">
        <f t="shared" si="50"/>
        <v>-141.1764705882353</v>
      </c>
      <c r="W35" s="93">
        <f t="shared" si="50"/>
        <v>392.30769230769232</v>
      </c>
      <c r="X35" s="93">
        <f t="shared" si="50"/>
        <v>-34.375</v>
      </c>
      <c r="Y35" s="93">
        <f t="shared" si="50"/>
        <v>-162.58503401360545</v>
      </c>
      <c r="Z35" s="93">
        <f t="shared" si="50"/>
        <v>149.45652173913044</v>
      </c>
      <c r="AA35" s="93">
        <f t="shared" si="61"/>
        <v>-77.5599128540305</v>
      </c>
      <c r="AB35" s="93">
        <f t="shared" si="61"/>
        <v>-569.41747572815575</v>
      </c>
      <c r="AC35" s="93">
        <f t="shared" si="61"/>
        <v>-78.498628049942738</v>
      </c>
      <c r="AD35" s="93">
        <f t="shared" si="61"/>
        <v>-670.47848082916562</v>
      </c>
      <c r="AE35" s="93">
        <f t="shared" si="61"/>
        <v>-11.781703485693816</v>
      </c>
      <c r="AF35" s="93">
        <f t="shared" si="61"/>
        <v>-60.824613225717762</v>
      </c>
      <c r="AG35" s="93">
        <f t="shared" si="61"/>
        <v>-462.45381135745765</v>
      </c>
      <c r="AH35" s="93">
        <f t="shared" si="61"/>
        <v>170.29180911062295</v>
      </c>
      <c r="AI35" s="93">
        <f t="shared" si="61"/>
        <v>63.34564135996613</v>
      </c>
      <c r="AJ35" s="93">
        <f t="shared" si="61"/>
        <v>41.916974535101964</v>
      </c>
      <c r="AK35" s="93">
        <f t="shared" si="61"/>
        <v>36.852321239050305</v>
      </c>
      <c r="AL35" s="93">
        <f t="shared" si="61"/>
        <v>28.913296345284497</v>
      </c>
      <c r="AM35" s="35"/>
      <c r="AN35" s="35"/>
      <c r="AO35" s="35"/>
      <c r="AP35" s="35"/>
      <c r="AQ35" s="35"/>
      <c r="AR35" s="35"/>
      <c r="AS35" s="35"/>
      <c r="AT35" s="35"/>
      <c r="AU35" s="35"/>
      <c r="AV35" s="35"/>
    </row>
    <row r="36" spans="1:48" x14ac:dyDescent="0.2">
      <c r="A36" s="35"/>
      <c r="B36" s="11" t="s">
        <v>259</v>
      </c>
      <c r="C36" s="35"/>
      <c r="D36" s="36"/>
      <c r="E36" s="36"/>
      <c r="F36" s="93"/>
      <c r="G36" s="93"/>
      <c r="H36" s="93"/>
      <c r="I36" s="93"/>
      <c r="J36" s="93"/>
      <c r="K36" s="93">
        <f t="shared" si="49"/>
        <v>12.22373878050777</v>
      </c>
      <c r="L36" s="93">
        <f t="shared" si="50"/>
        <v>-5.5512552028200837</v>
      </c>
      <c r="M36" s="93">
        <f t="shared" si="50"/>
        <v>-9.919036789358012</v>
      </c>
      <c r="N36" s="93">
        <f t="shared" si="50"/>
        <v>-34.145101371341781</v>
      </c>
      <c r="O36" s="93">
        <f t="shared" si="50"/>
        <v>-24.551812005876009</v>
      </c>
      <c r="P36" s="93">
        <f t="shared" si="50"/>
        <v>-150.78668960259103</v>
      </c>
      <c r="Q36" s="93">
        <f t="shared" si="50"/>
        <v>-686.84789081885845</v>
      </c>
      <c r="R36" s="93">
        <f t="shared" si="50"/>
        <v>-20.084592073478319</v>
      </c>
      <c r="S36" s="93">
        <f t="shared" si="50"/>
        <v>22.751517595001481</v>
      </c>
      <c r="T36" s="93">
        <f t="shared" si="50"/>
        <v>-53.706896551724142</v>
      </c>
      <c r="U36" s="93">
        <f t="shared" si="50"/>
        <v>-62.662942271880816</v>
      </c>
      <c r="V36" s="93">
        <f t="shared" si="50"/>
        <v>-71.571072319202003</v>
      </c>
      <c r="W36" s="93">
        <f t="shared" si="50"/>
        <v>-272.80701754385967</v>
      </c>
      <c r="X36" s="93">
        <f t="shared" si="50"/>
        <v>-80.203045685279193</v>
      </c>
      <c r="Y36" s="93">
        <f t="shared" si="50"/>
        <v>-1300</v>
      </c>
      <c r="Z36" s="93">
        <f t="shared" si="50"/>
        <v>56.410256410256416</v>
      </c>
      <c r="AA36" s="93">
        <f t="shared" si="61"/>
        <v>-37.431693989071036</v>
      </c>
      <c r="AB36" s="93">
        <f t="shared" si="61"/>
        <v>-140.50218340611363</v>
      </c>
      <c r="AC36" s="93">
        <f t="shared" si="61"/>
        <v>-204.60424076629246</v>
      </c>
      <c r="AD36" s="93">
        <f t="shared" si="61"/>
        <v>359.21485524966187</v>
      </c>
      <c r="AE36" s="93">
        <f t="shared" si="61"/>
        <v>-7.8415311427239267</v>
      </c>
      <c r="AF36" s="93">
        <f t="shared" si="61"/>
        <v>-38.752127984412105</v>
      </c>
      <c r="AG36" s="93">
        <f t="shared" si="61"/>
        <v>-188.45464724420623</v>
      </c>
      <c r="AH36" s="93">
        <f t="shared" si="61"/>
        <v>284.35722262639672</v>
      </c>
      <c r="AI36" s="93">
        <f t="shared" si="61"/>
        <v>74.384950901490953</v>
      </c>
      <c r="AJ36" s="93">
        <f t="shared" si="61"/>
        <v>46.105933430838483</v>
      </c>
      <c r="AK36" s="93">
        <f t="shared" si="61"/>
        <v>39.372974827971376</v>
      </c>
      <c r="AL36" s="93">
        <f t="shared" si="61"/>
        <v>30.332247201786153</v>
      </c>
      <c r="AM36" s="35"/>
      <c r="AN36" s="35"/>
      <c r="AO36" s="35"/>
      <c r="AP36" s="35"/>
      <c r="AQ36" s="35"/>
      <c r="AR36" s="35"/>
      <c r="AS36" s="35"/>
      <c r="AT36" s="35"/>
      <c r="AU36" s="35"/>
      <c r="AV36" s="35"/>
    </row>
    <row r="37" spans="1:48" x14ac:dyDescent="0.2">
      <c r="A37" s="35"/>
      <c r="B37" s="63"/>
      <c r="C37" s="35"/>
      <c r="D37" s="36"/>
      <c r="E37" s="36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35"/>
      <c r="AN37" s="35"/>
      <c r="AO37" s="35"/>
      <c r="AP37" s="35"/>
      <c r="AQ37" s="36"/>
      <c r="AR37" s="35"/>
      <c r="AS37" s="35"/>
      <c r="AT37" s="35"/>
      <c r="AU37" s="35"/>
      <c r="AV37" s="35"/>
    </row>
    <row r="38" spans="1:48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O39" s="2"/>
      <c r="AP39" s="2"/>
      <c r="AQ39" s="152"/>
      <c r="AR39" s="2"/>
      <c r="AS39" s="2"/>
      <c r="AT39" s="2"/>
      <c r="AU39" s="2"/>
      <c r="AV39" s="2"/>
    </row>
    <row r="40" spans="1:48" x14ac:dyDescent="0.2">
      <c r="A40" s="2"/>
      <c r="B40" s="3" t="s">
        <v>309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O40" s="2"/>
      <c r="AT40" s="2"/>
      <c r="AU40" s="2"/>
      <c r="AV40" s="2"/>
    </row>
    <row r="41" spans="1:48" x14ac:dyDescent="0.2">
      <c r="A41" s="2"/>
      <c r="B41" s="3" t="str">
        <f>+$B$5</f>
        <v>€ Millions, Yr end December</v>
      </c>
      <c r="C41" s="3">
        <f t="shared" ref="C41:AA41" si="62">C5</f>
        <v>1992</v>
      </c>
      <c r="D41" s="3">
        <f t="shared" si="62"/>
        <v>1993</v>
      </c>
      <c r="E41" s="3">
        <f t="shared" si="62"/>
        <v>1994</v>
      </c>
      <c r="F41" s="3">
        <f>F5</f>
        <v>1995</v>
      </c>
      <c r="G41" s="3">
        <f>G5</f>
        <v>1996</v>
      </c>
      <c r="H41" s="3">
        <f>H5</f>
        <v>1997</v>
      </c>
      <c r="I41" s="3">
        <f>I5</f>
        <v>1998</v>
      </c>
      <c r="J41" s="3">
        <f t="shared" si="62"/>
        <v>1999</v>
      </c>
      <c r="K41" s="3">
        <f t="shared" si="62"/>
        <v>2000</v>
      </c>
      <c r="L41" s="3">
        <f t="shared" si="62"/>
        <v>2001</v>
      </c>
      <c r="M41" s="3">
        <f t="shared" si="62"/>
        <v>2002</v>
      </c>
      <c r="N41" s="3">
        <f t="shared" si="62"/>
        <v>2003</v>
      </c>
      <c r="O41" s="3">
        <f t="shared" si="62"/>
        <v>2004</v>
      </c>
      <c r="P41" s="3">
        <f t="shared" si="62"/>
        <v>2005</v>
      </c>
      <c r="Q41" s="3">
        <f t="shared" si="62"/>
        <v>2006</v>
      </c>
      <c r="R41" s="84">
        <f t="shared" si="62"/>
        <v>2007</v>
      </c>
      <c r="S41" s="84">
        <f t="shared" si="62"/>
        <v>2008</v>
      </c>
      <c r="T41" s="84">
        <f t="shared" si="62"/>
        <v>2009</v>
      </c>
      <c r="U41" s="84">
        <f t="shared" si="62"/>
        <v>2010</v>
      </c>
      <c r="V41" s="84">
        <f t="shared" si="62"/>
        <v>2011</v>
      </c>
      <c r="W41" s="84">
        <f t="shared" si="62"/>
        <v>2012</v>
      </c>
      <c r="X41" s="84">
        <f>X5</f>
        <v>2013</v>
      </c>
      <c r="Y41" s="84">
        <f>Y5</f>
        <v>2014</v>
      </c>
      <c r="Z41" s="84">
        <f t="shared" si="62"/>
        <v>2015</v>
      </c>
      <c r="AA41" s="84">
        <f t="shared" si="62"/>
        <v>2016</v>
      </c>
      <c r="AB41" s="84">
        <f t="shared" ref="AB41:AH41" si="63">AB5</f>
        <v>2017</v>
      </c>
      <c r="AC41" s="49">
        <f t="shared" si="63"/>
        <v>2018</v>
      </c>
      <c r="AD41" s="49">
        <f t="shared" si="63"/>
        <v>2019</v>
      </c>
      <c r="AE41" s="49">
        <f t="shared" si="63"/>
        <v>2020</v>
      </c>
      <c r="AF41" s="49">
        <f t="shared" si="63"/>
        <v>2021</v>
      </c>
      <c r="AG41" s="49">
        <f t="shared" si="63"/>
        <v>2022</v>
      </c>
      <c r="AH41" s="49">
        <f t="shared" si="63"/>
        <v>2023</v>
      </c>
      <c r="AI41" s="49">
        <f t="shared" ref="AI41:AL41" si="64">AI5</f>
        <v>2024</v>
      </c>
      <c r="AJ41" s="49">
        <f t="shared" si="64"/>
        <v>2025</v>
      </c>
      <c r="AK41" s="49">
        <f t="shared" si="64"/>
        <v>2026</v>
      </c>
      <c r="AL41" s="49">
        <f t="shared" si="64"/>
        <v>2027</v>
      </c>
      <c r="AO41" s="2"/>
      <c r="AT41" s="2"/>
      <c r="AU41" s="2"/>
      <c r="AV41" s="2"/>
    </row>
    <row r="42" spans="1:48" x14ac:dyDescent="0.2">
      <c r="A42" s="2"/>
      <c r="B42" s="2" t="s">
        <v>310</v>
      </c>
      <c r="C42" s="2"/>
      <c r="D42" s="2"/>
      <c r="E42" s="2"/>
      <c r="F42" s="75"/>
      <c r="G42" s="75"/>
      <c r="H42" s="75"/>
      <c r="I42" s="75"/>
      <c r="J42" s="75">
        <v>18.64</v>
      </c>
      <c r="K42" s="75">
        <v>16.5</v>
      </c>
      <c r="L42" s="75">
        <v>21.08</v>
      </c>
      <c r="M42" s="75">
        <v>20.58</v>
      </c>
      <c r="N42" s="75">
        <v>22.58</v>
      </c>
      <c r="O42" s="75">
        <v>29.69</v>
      </c>
      <c r="P42" s="10">
        <v>40</v>
      </c>
      <c r="Q42" s="10">
        <v>37.729999999999997</v>
      </c>
      <c r="R42" s="10">
        <v>43.01</v>
      </c>
      <c r="S42" s="10">
        <v>38.11</v>
      </c>
      <c r="T42" s="10">
        <f>U42</f>
        <v>212</v>
      </c>
      <c r="U42" s="6">
        <f t="shared" ref="U42:AA42" si="65">V42</f>
        <v>212</v>
      </c>
      <c r="V42" s="6">
        <f t="shared" si="65"/>
        <v>212</v>
      </c>
      <c r="W42" s="6">
        <f t="shared" si="65"/>
        <v>212</v>
      </c>
      <c r="X42" s="6">
        <f t="shared" si="65"/>
        <v>212</v>
      </c>
      <c r="Y42" s="6">
        <f t="shared" si="65"/>
        <v>212</v>
      </c>
      <c r="Z42" s="6">
        <f t="shared" si="65"/>
        <v>212</v>
      </c>
      <c r="AA42" s="6">
        <f t="shared" si="65"/>
        <v>212</v>
      </c>
      <c r="AB42" s="87">
        <v>212</v>
      </c>
      <c r="AC42" s="6">
        <f t="shared" ref="AC42:AL42" si="66">AB42</f>
        <v>212</v>
      </c>
      <c r="AD42" s="6">
        <f t="shared" si="66"/>
        <v>212</v>
      </c>
      <c r="AE42" s="6">
        <f t="shared" si="66"/>
        <v>212</v>
      </c>
      <c r="AF42" s="6">
        <f t="shared" si="66"/>
        <v>212</v>
      </c>
      <c r="AG42" s="6">
        <f t="shared" si="66"/>
        <v>212</v>
      </c>
      <c r="AH42" s="6">
        <f t="shared" si="66"/>
        <v>212</v>
      </c>
      <c r="AI42" s="6">
        <f t="shared" si="66"/>
        <v>212</v>
      </c>
      <c r="AJ42" s="6">
        <f t="shared" si="66"/>
        <v>212</v>
      </c>
      <c r="AK42" s="6">
        <f t="shared" si="66"/>
        <v>212</v>
      </c>
      <c r="AL42" s="6">
        <f t="shared" si="66"/>
        <v>212</v>
      </c>
      <c r="AO42" s="2"/>
      <c r="AT42" s="2"/>
      <c r="AU42" s="2"/>
      <c r="AV42" s="2"/>
    </row>
    <row r="43" spans="1:48" x14ac:dyDescent="0.2">
      <c r="A43" s="2"/>
      <c r="B43" s="2" t="s">
        <v>19</v>
      </c>
      <c r="C43" s="6"/>
      <c r="D43" s="6"/>
      <c r="E43" s="6"/>
      <c r="F43" s="6"/>
      <c r="G43" s="6"/>
      <c r="H43" s="6"/>
      <c r="I43" s="6"/>
      <c r="J43" s="6">
        <f t="shared" ref="J43:AC43" si="67">J171</f>
        <v>181.39680000000001</v>
      </c>
      <c r="K43" s="6">
        <f t="shared" si="67"/>
        <v>181.39680000000001</v>
      </c>
      <c r="L43" s="6">
        <f t="shared" si="67"/>
        <v>181.39680000000001</v>
      </c>
      <c r="M43" s="6">
        <f t="shared" si="67"/>
        <v>181.50673599999999</v>
      </c>
      <c r="N43" s="6">
        <f t="shared" si="67"/>
        <v>181.877464</v>
      </c>
      <c r="O43" s="6">
        <f t="shared" si="67"/>
        <v>198.67738399999999</v>
      </c>
      <c r="P43" s="6">
        <f t="shared" si="67"/>
        <v>203.52942200000001</v>
      </c>
      <c r="Q43" s="6">
        <f t="shared" si="67"/>
        <v>219.39952199999999</v>
      </c>
      <c r="R43" s="6">
        <f t="shared" si="67"/>
        <v>219.46717699999999</v>
      </c>
      <c r="S43" s="6">
        <f t="shared" si="67"/>
        <v>213.333203</v>
      </c>
      <c r="T43" s="6">
        <f t="shared" si="67"/>
        <v>209.31136900000001</v>
      </c>
      <c r="U43" s="6">
        <f t="shared" si="67"/>
        <v>209.27594049999999</v>
      </c>
      <c r="V43" s="6">
        <f t="shared" si="67"/>
        <v>209.21551199999999</v>
      </c>
      <c r="W43" s="6">
        <f t="shared" si="67"/>
        <v>209.21551199999999</v>
      </c>
      <c r="X43" s="6">
        <f>X171</f>
        <v>209.21551199999999</v>
      </c>
      <c r="Y43" s="6">
        <f t="shared" si="67"/>
        <v>208.77645699999999</v>
      </c>
      <c r="Z43" s="6">
        <f t="shared" si="67"/>
        <v>201.536418</v>
      </c>
      <c r="AA43" s="6">
        <f t="shared" si="67"/>
        <v>206.146908</v>
      </c>
      <c r="AB43" s="6">
        <f t="shared" si="67"/>
        <v>204.24062900000001</v>
      </c>
      <c r="AC43" s="6">
        <f t="shared" si="67"/>
        <v>198.0569744339623</v>
      </c>
      <c r="AD43" s="6">
        <f t="shared" ref="AD43:AL43" si="68">AD171</f>
        <v>195.46660130188681</v>
      </c>
      <c r="AE43" s="6">
        <f t="shared" si="68"/>
        <v>194.0554734528302</v>
      </c>
      <c r="AF43" s="6">
        <f t="shared" si="68"/>
        <v>191.74698288679247</v>
      </c>
      <c r="AG43" s="6">
        <f t="shared" si="68"/>
        <v>190.61773760377358</v>
      </c>
      <c r="AH43" s="6">
        <f t="shared" si="68"/>
        <v>190.66773760377359</v>
      </c>
      <c r="AI43" s="6">
        <f t="shared" si="68"/>
        <v>190.71773760377357</v>
      </c>
      <c r="AJ43" s="6">
        <f t="shared" si="68"/>
        <v>190.76773760377358</v>
      </c>
      <c r="AK43" s="6">
        <f t="shared" si="68"/>
        <v>190.81773760377359</v>
      </c>
      <c r="AL43" s="6">
        <f t="shared" si="68"/>
        <v>190.86773760377358</v>
      </c>
      <c r="AO43" s="2"/>
      <c r="AT43" s="2"/>
      <c r="AU43" s="2"/>
      <c r="AV43" s="2"/>
    </row>
    <row r="44" spans="1:48" x14ac:dyDescent="0.2">
      <c r="A44" s="2"/>
      <c r="B44" s="2" t="s">
        <v>311</v>
      </c>
      <c r="C44" s="6"/>
      <c r="D44" s="6"/>
      <c r="E44" s="6"/>
      <c r="F44" s="6"/>
      <c r="G44" s="6"/>
      <c r="H44" s="6"/>
      <c r="I44" s="6"/>
      <c r="J44" s="6">
        <f>J42*J43</f>
        <v>3381.2363520000004</v>
      </c>
      <c r="K44" s="6">
        <f>K42*K43</f>
        <v>2993.0472000000004</v>
      </c>
      <c r="L44" s="6">
        <f>L42*L43</f>
        <v>3823.844544</v>
      </c>
      <c r="M44" s="6">
        <f t="shared" ref="M44:AC44" si="69">M42*M43</f>
        <v>3735.4086268799992</v>
      </c>
      <c r="N44" s="6">
        <f t="shared" si="69"/>
        <v>4106.7931371200002</v>
      </c>
      <c r="O44" s="6">
        <f t="shared" si="69"/>
        <v>5898.7315309599999</v>
      </c>
      <c r="P44" s="6">
        <f t="shared" si="69"/>
        <v>8141.1768800000009</v>
      </c>
      <c r="Q44" s="6">
        <f>Q42*Q43</f>
        <v>8277.9439650599998</v>
      </c>
      <c r="R44" s="73">
        <f>R42*R43</f>
        <v>9439.2832827699986</v>
      </c>
      <c r="S44" s="28">
        <f>S42*S43</f>
        <v>8130.1283663300001</v>
      </c>
      <c r="T44" s="28">
        <f t="shared" si="69"/>
        <v>44374.010227999999</v>
      </c>
      <c r="U44" s="28">
        <f t="shared" si="69"/>
        <v>44366.499385999996</v>
      </c>
      <c r="V44" s="28">
        <f t="shared" si="69"/>
        <v>44353.688543999997</v>
      </c>
      <c r="W44" s="28">
        <f t="shared" si="69"/>
        <v>44353.688543999997</v>
      </c>
      <c r="X44" s="28">
        <f>X42*X43</f>
        <v>44353.688543999997</v>
      </c>
      <c r="Y44" s="28">
        <f t="shared" si="69"/>
        <v>44260.608884000001</v>
      </c>
      <c r="Z44" s="28">
        <f t="shared" si="69"/>
        <v>42725.720615999999</v>
      </c>
      <c r="AA44" s="28">
        <f>AA42*AA43</f>
        <v>43703.144496000001</v>
      </c>
      <c r="AB44" s="28">
        <f t="shared" si="69"/>
        <v>43299.013348</v>
      </c>
      <c r="AC44" s="28">
        <f t="shared" si="69"/>
        <v>41988.078580000009</v>
      </c>
      <c r="AD44" s="28">
        <f t="shared" ref="AD44:AL44" si="70">AD42*AD43</f>
        <v>41438.919476000003</v>
      </c>
      <c r="AE44" s="28">
        <f t="shared" si="70"/>
        <v>41139.760372000004</v>
      </c>
      <c r="AF44" s="28">
        <f t="shared" si="70"/>
        <v>40650.360372000003</v>
      </c>
      <c r="AG44" s="28">
        <f t="shared" si="70"/>
        <v>40410.960372000001</v>
      </c>
      <c r="AH44" s="28">
        <f t="shared" si="70"/>
        <v>40421.560372</v>
      </c>
      <c r="AI44" s="28">
        <f t="shared" si="70"/>
        <v>40432.160371999998</v>
      </c>
      <c r="AJ44" s="28">
        <f t="shared" si="70"/>
        <v>40442.760371999997</v>
      </c>
      <c r="AK44" s="28">
        <f t="shared" si="70"/>
        <v>40453.360372000003</v>
      </c>
      <c r="AL44" s="28">
        <f t="shared" si="70"/>
        <v>40463.960372000001</v>
      </c>
      <c r="AO44" s="2"/>
      <c r="AT44" s="2"/>
      <c r="AU44" s="2"/>
      <c r="AV44" s="2"/>
    </row>
    <row r="45" spans="1:48" x14ac:dyDescent="0.2">
      <c r="A45" s="2"/>
      <c r="B45" s="2" t="s">
        <v>260</v>
      </c>
      <c r="C45" s="6"/>
      <c r="D45" s="6"/>
      <c r="E45" s="6"/>
      <c r="F45" s="6"/>
      <c r="G45" s="6"/>
      <c r="H45" s="6"/>
      <c r="I45" s="6"/>
      <c r="J45" s="6">
        <f>J289</f>
        <v>1672.6470000000002</v>
      </c>
      <c r="K45" s="6">
        <f>K289</f>
        <v>1877.107</v>
      </c>
      <c r="L45" s="6">
        <f t="shared" ref="L45:Z45" si="71">L289</f>
        <v>1772.904</v>
      </c>
      <c r="M45" s="6">
        <f t="shared" si="71"/>
        <v>1597.0490000000002</v>
      </c>
      <c r="N45" s="6">
        <f t="shared" si="71"/>
        <v>1051.7349999999999</v>
      </c>
      <c r="O45" s="6">
        <f t="shared" si="71"/>
        <v>793.51499999999987</v>
      </c>
      <c r="P45" s="6">
        <f t="shared" si="71"/>
        <v>-403</v>
      </c>
      <c r="Q45" s="6">
        <f t="shared" si="71"/>
        <v>2364.9969999999998</v>
      </c>
      <c r="R45" s="6">
        <f t="shared" si="71"/>
        <v>1889.9969999999998</v>
      </c>
      <c r="S45" s="6">
        <f t="shared" si="71"/>
        <v>2320</v>
      </c>
      <c r="T45" s="6">
        <f t="shared" si="71"/>
        <v>1074</v>
      </c>
      <c r="U45" s="6">
        <f t="shared" si="71"/>
        <v>401</v>
      </c>
      <c r="V45" s="6">
        <f t="shared" si="71"/>
        <v>114</v>
      </c>
      <c r="W45" s="6">
        <f t="shared" si="71"/>
        <v>-197</v>
      </c>
      <c r="X45" s="6">
        <f>X289</f>
        <v>-39</v>
      </c>
      <c r="Y45" s="6">
        <f>Y289</f>
        <v>468</v>
      </c>
      <c r="Z45" s="6">
        <f t="shared" si="71"/>
        <v>732</v>
      </c>
      <c r="AA45" s="6">
        <f t="shared" ref="AA45:AH45" si="72">AA289</f>
        <v>458</v>
      </c>
      <c r="AB45" s="6">
        <f t="shared" si="72"/>
        <v>-185.50000000000045</v>
      </c>
      <c r="AC45" s="6">
        <f t="shared" si="72"/>
        <v>194.04086662147301</v>
      </c>
      <c r="AD45" s="6">
        <f t="shared" si="72"/>
        <v>891.06448478098673</v>
      </c>
      <c r="AE45" s="6">
        <f t="shared" si="72"/>
        <v>821.19138570513314</v>
      </c>
      <c r="AF45" s="6">
        <f t="shared" si="72"/>
        <v>502.96224891971269</v>
      </c>
      <c r="AG45" s="6">
        <f t="shared" si="72"/>
        <v>-444.89348305345834</v>
      </c>
      <c r="AH45" s="6">
        <f t="shared" si="72"/>
        <v>-1709.9802351101116</v>
      </c>
      <c r="AI45" s="6">
        <f t="shared" ref="AI45:AL45" si="73">AI289</f>
        <v>-2981.9481934219675</v>
      </c>
      <c r="AJ45" s="6">
        <f t="shared" si="73"/>
        <v>-4356.8032424231906</v>
      </c>
      <c r="AK45" s="6">
        <f t="shared" si="73"/>
        <v>-6072.2062863667143</v>
      </c>
      <c r="AL45" s="6">
        <f t="shared" si="73"/>
        <v>-7914.0429077498648</v>
      </c>
      <c r="AO45" s="2"/>
      <c r="AT45" s="2"/>
      <c r="AU45" s="2"/>
      <c r="AV45" s="2"/>
    </row>
    <row r="46" spans="1:48" x14ac:dyDescent="0.2">
      <c r="A46" s="11"/>
      <c r="B46" s="11" t="s">
        <v>263</v>
      </c>
      <c r="C46" s="14"/>
      <c r="D46" s="14"/>
      <c r="E46" s="14"/>
      <c r="F46" s="14"/>
      <c r="G46" s="14"/>
      <c r="H46" s="14"/>
      <c r="I46" s="14"/>
      <c r="J46" s="14">
        <f t="shared" ref="J46:Q46" si="74">+J283</f>
        <v>63.424999999999997</v>
      </c>
      <c r="K46" s="14">
        <f t="shared" si="74"/>
        <v>89.75</v>
      </c>
      <c r="L46" s="14">
        <f t="shared" si="74"/>
        <v>58.156999999999996</v>
      </c>
      <c r="M46" s="14">
        <f t="shared" si="74"/>
        <v>55.512999999999998</v>
      </c>
      <c r="N46" s="14">
        <f t="shared" si="74"/>
        <v>56.579000000000001</v>
      </c>
      <c r="O46" s="14">
        <f t="shared" si="74"/>
        <v>19.797999999999998</v>
      </c>
      <c r="P46" s="14">
        <f t="shared" si="74"/>
        <v>28</v>
      </c>
      <c r="Q46" s="14">
        <f t="shared" si="74"/>
        <v>8</v>
      </c>
      <c r="R46" s="14">
        <f>+R283</f>
        <v>11</v>
      </c>
      <c r="S46" s="14">
        <f t="shared" ref="S46:AA46" si="75">+S283</f>
        <v>14</v>
      </c>
      <c r="T46" s="14">
        <f t="shared" si="75"/>
        <v>5</v>
      </c>
      <c r="U46" s="14">
        <f t="shared" si="75"/>
        <v>7</v>
      </c>
      <c r="V46" s="14">
        <f t="shared" si="75"/>
        <v>-9</v>
      </c>
      <c r="W46" s="14">
        <f t="shared" si="75"/>
        <v>-13</v>
      </c>
      <c r="X46" s="14">
        <f>+X283</f>
        <v>-8</v>
      </c>
      <c r="Y46" s="14">
        <f t="shared" si="75"/>
        <v>-6.6</v>
      </c>
      <c r="Z46" s="14">
        <f t="shared" si="75"/>
        <v>-18</v>
      </c>
      <c r="AA46" s="14">
        <f t="shared" si="75"/>
        <v>-17</v>
      </c>
      <c r="AB46" s="14">
        <f t="shared" ref="AB46:AH46" si="76">+AB283</f>
        <v>-15.4</v>
      </c>
      <c r="AC46" s="14">
        <f t="shared" si="76"/>
        <v>-12.361499999999999</v>
      </c>
      <c r="AD46" s="14">
        <f t="shared" si="76"/>
        <v>-9.2318449999999999</v>
      </c>
      <c r="AE46" s="14">
        <f t="shared" si="76"/>
        <v>-6.008300349999999</v>
      </c>
      <c r="AF46" s="14">
        <f t="shared" si="76"/>
        <v>-2.6880493604999982</v>
      </c>
      <c r="AG46" s="14">
        <f t="shared" si="76"/>
        <v>0.73180915868500263</v>
      </c>
      <c r="AH46" s="14">
        <f t="shared" si="76"/>
        <v>4.2542634334455531</v>
      </c>
      <c r="AI46" s="14">
        <f t="shared" ref="AI46:AL46" si="77">+AI283</f>
        <v>7.8823913364489204</v>
      </c>
      <c r="AJ46" s="14">
        <f t="shared" si="77"/>
        <v>11.619363076542388</v>
      </c>
      <c r="AK46" s="14">
        <f t="shared" si="77"/>
        <v>15.468443968838661</v>
      </c>
      <c r="AL46" s="14">
        <f t="shared" si="77"/>
        <v>19.432997287903824</v>
      </c>
      <c r="AM46" s="11"/>
      <c r="AN46" s="11"/>
      <c r="AO46" s="2"/>
      <c r="AT46" s="11"/>
      <c r="AU46" s="11"/>
      <c r="AV46" s="11"/>
    </row>
    <row r="47" spans="1:48" x14ac:dyDescent="0.2">
      <c r="A47" s="11"/>
      <c r="B47" s="11" t="s">
        <v>312</v>
      </c>
      <c r="C47" s="14"/>
      <c r="D47" s="14"/>
      <c r="E47" s="14"/>
      <c r="F47" s="73"/>
      <c r="G47" s="73"/>
      <c r="H47" s="73"/>
      <c r="I47" s="73"/>
      <c r="J47" s="73">
        <f t="shared" ref="J47:P47" si="78">J44+J45+J46</f>
        <v>5117.3083520000009</v>
      </c>
      <c r="K47" s="73">
        <f t="shared" si="78"/>
        <v>4959.9042000000009</v>
      </c>
      <c r="L47" s="73">
        <f t="shared" si="78"/>
        <v>5654.9055440000002</v>
      </c>
      <c r="M47" s="73">
        <f t="shared" si="78"/>
        <v>5387.9706268799991</v>
      </c>
      <c r="N47" s="73">
        <f t="shared" si="78"/>
        <v>5215.1071371199996</v>
      </c>
      <c r="O47" s="73">
        <f t="shared" si="78"/>
        <v>6712.0445309599991</v>
      </c>
      <c r="P47" s="73">
        <f t="shared" si="78"/>
        <v>7766.1768800000009</v>
      </c>
      <c r="Q47" s="73">
        <f t="shared" ref="Q47:Z47" si="79">Q44+Q45+Q46</f>
        <v>10650.940965059999</v>
      </c>
      <c r="R47" s="73">
        <f>R44+R45+R46</f>
        <v>11340.280282769998</v>
      </c>
      <c r="S47" s="73">
        <f t="shared" si="79"/>
        <v>10464.12836633</v>
      </c>
      <c r="T47" s="73">
        <f t="shared" si="79"/>
        <v>45453.010227999999</v>
      </c>
      <c r="U47" s="73">
        <f t="shared" si="79"/>
        <v>44774.499385999996</v>
      </c>
      <c r="V47" s="73">
        <f t="shared" si="79"/>
        <v>44458.688543999997</v>
      </c>
      <c r="W47" s="73">
        <f t="shared" si="79"/>
        <v>44143.688543999997</v>
      </c>
      <c r="X47" s="73">
        <f>X44+X45+X46</f>
        <v>44306.688543999997</v>
      </c>
      <c r="Y47" s="73">
        <f t="shared" si="79"/>
        <v>44722.008884000003</v>
      </c>
      <c r="Z47" s="73">
        <f t="shared" si="79"/>
        <v>43439.720615999999</v>
      </c>
      <c r="AA47" s="73">
        <f t="shared" ref="AA47:AH47" si="80">AA44+AA45+AA46</f>
        <v>44144.144496000001</v>
      </c>
      <c r="AB47" s="73">
        <f t="shared" si="80"/>
        <v>43098.113347999999</v>
      </c>
      <c r="AC47" s="73">
        <f t="shared" si="80"/>
        <v>42169.757946621481</v>
      </c>
      <c r="AD47" s="73">
        <f t="shared" si="80"/>
        <v>42320.75211578099</v>
      </c>
      <c r="AE47" s="73">
        <f t="shared" si="80"/>
        <v>41954.943457355141</v>
      </c>
      <c r="AF47" s="73">
        <f t="shared" si="80"/>
        <v>41150.634571559218</v>
      </c>
      <c r="AG47" s="73">
        <f t="shared" si="80"/>
        <v>39966.798698105231</v>
      </c>
      <c r="AH47" s="73">
        <f t="shared" si="80"/>
        <v>38715.834400323336</v>
      </c>
      <c r="AI47" s="73">
        <f t="shared" ref="AI47:AL47" si="81">AI44+AI45+AI46</f>
        <v>37458.09456991448</v>
      </c>
      <c r="AJ47" s="73">
        <f t="shared" si="81"/>
        <v>36097.576492653345</v>
      </c>
      <c r="AK47" s="73">
        <f t="shared" si="81"/>
        <v>34396.622529602122</v>
      </c>
      <c r="AL47" s="73">
        <f t="shared" si="81"/>
        <v>32569.350461538041</v>
      </c>
      <c r="AM47" s="11"/>
      <c r="AN47" s="11"/>
      <c r="AO47" s="2"/>
      <c r="AT47" s="11"/>
      <c r="AU47" s="11"/>
      <c r="AV47" s="11"/>
    </row>
    <row r="48" spans="1:48" x14ac:dyDescent="0.2">
      <c r="A48" s="11"/>
      <c r="B48" s="225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4"/>
      <c r="S48" s="14"/>
      <c r="T48" s="14"/>
      <c r="U48" s="11"/>
      <c r="V48" s="11"/>
      <c r="W48" s="11"/>
      <c r="X48" s="73"/>
      <c r="Y48" s="73"/>
      <c r="Z48" s="73"/>
      <c r="AA48" s="177"/>
      <c r="AB48" s="177"/>
      <c r="AC48" s="177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2"/>
      <c r="AT48" s="11"/>
      <c r="AU48" s="11"/>
      <c r="AV48" s="11"/>
    </row>
    <row r="49" spans="1:48" x14ac:dyDescent="0.2">
      <c r="A49" s="11"/>
      <c r="B49" s="11" t="s">
        <v>453</v>
      </c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4"/>
      <c r="S49" s="14"/>
      <c r="T49" s="14"/>
      <c r="U49" s="11"/>
      <c r="V49" s="11"/>
      <c r="W49" s="11"/>
      <c r="X49" s="73"/>
      <c r="Y49" s="73"/>
      <c r="Z49" s="73"/>
      <c r="AA49" s="177"/>
      <c r="AB49" s="177">
        <f>AB41</f>
        <v>2017</v>
      </c>
      <c r="AC49" s="177">
        <f t="shared" ref="AC49:AH49" si="82">AC41</f>
        <v>2018</v>
      </c>
      <c r="AD49" s="177">
        <f t="shared" si="82"/>
        <v>2019</v>
      </c>
      <c r="AE49" s="177">
        <f t="shared" si="82"/>
        <v>2020</v>
      </c>
      <c r="AF49" s="177">
        <f t="shared" si="82"/>
        <v>2021</v>
      </c>
      <c r="AG49" s="177">
        <f t="shared" si="82"/>
        <v>2022</v>
      </c>
      <c r="AH49" s="177">
        <f t="shared" si="82"/>
        <v>2023</v>
      </c>
      <c r="AI49" s="177">
        <f t="shared" ref="AI49:AL49" si="83">AI41</f>
        <v>2024</v>
      </c>
      <c r="AJ49" s="177">
        <f t="shared" si="83"/>
        <v>2025</v>
      </c>
      <c r="AK49" s="177">
        <f t="shared" si="83"/>
        <v>2026</v>
      </c>
      <c r="AL49" s="177">
        <f t="shared" si="83"/>
        <v>2027</v>
      </c>
      <c r="AM49" s="11"/>
      <c r="AN49" s="11"/>
      <c r="AO49" s="2"/>
      <c r="AT49" s="11"/>
      <c r="AU49" s="11"/>
      <c r="AV49" s="11"/>
    </row>
    <row r="50" spans="1:48" x14ac:dyDescent="0.2">
      <c r="A50" s="2"/>
      <c r="B50" s="2" t="s">
        <v>313</v>
      </c>
      <c r="C50" s="6"/>
      <c r="D50" s="6"/>
      <c r="E50" s="6"/>
      <c r="F50" s="6"/>
      <c r="G50" s="6"/>
      <c r="H50" s="6"/>
      <c r="I50" s="6"/>
      <c r="J50" s="6">
        <f t="shared" ref="J50:AH50" si="84">J47/J84</f>
        <v>0.95580072802337135</v>
      </c>
      <c r="K50" s="6">
        <f t="shared" si="84"/>
        <v>0.85005483473740773</v>
      </c>
      <c r="L50" s="6">
        <f t="shared" si="84"/>
        <v>0.92516107871493558</v>
      </c>
      <c r="M50" s="6">
        <f t="shared" si="84"/>
        <v>0.82594274978810944</v>
      </c>
      <c r="N50" s="6">
        <f t="shared" si="84"/>
        <v>0.83218024145018188</v>
      </c>
      <c r="O50" s="6">
        <f t="shared" si="84"/>
        <v>1.1453985269235125</v>
      </c>
      <c r="P50" s="6">
        <f t="shared" si="84"/>
        <v>1.1703099578059073</v>
      </c>
      <c r="Q50" s="6">
        <f t="shared" si="84"/>
        <v>1.0562218331078936</v>
      </c>
      <c r="R50" s="6">
        <f t="shared" si="84"/>
        <v>1.1011049891028253</v>
      </c>
      <c r="S50" s="6">
        <f t="shared" si="84"/>
        <v>0.96899049600240761</v>
      </c>
      <c r="T50" s="6">
        <f t="shared" si="84"/>
        <v>4.3784809004912821</v>
      </c>
      <c r="U50" s="6">
        <f t="shared" si="84"/>
        <v>3.7343202156797326</v>
      </c>
      <c r="V50" s="6">
        <f t="shared" si="84"/>
        <v>3.3372382933493467</v>
      </c>
      <c r="W50" s="6">
        <f t="shared" si="84"/>
        <v>2.9660477419875022</v>
      </c>
      <c r="X50" s="6">
        <f t="shared" si="84"/>
        <v>3.1195302783918888</v>
      </c>
      <c r="Y50" s="6">
        <f t="shared" si="84"/>
        <v>3.0770824681606452</v>
      </c>
      <c r="Z50" s="6">
        <f t="shared" si="84"/>
        <v>2.5681107378694428</v>
      </c>
      <c r="AA50" s="6">
        <f t="shared" si="84"/>
        <v>2.3883646862522316</v>
      </c>
      <c r="AB50" s="6">
        <f t="shared" si="84"/>
        <v>2.0313010014610926</v>
      </c>
      <c r="AC50" s="6">
        <f t="shared" si="84"/>
        <v>1.8822230458378477</v>
      </c>
      <c r="AD50" s="6">
        <f t="shared" si="84"/>
        <v>1.7259065540641527</v>
      </c>
      <c r="AE50" s="6">
        <f t="shared" si="84"/>
        <v>1.5821524951821462</v>
      </c>
      <c r="AF50" s="6">
        <f t="shared" si="84"/>
        <v>1.449668008057984</v>
      </c>
      <c r="AG50" s="6">
        <f t="shared" si="84"/>
        <v>1.3204021021144694</v>
      </c>
      <c r="AH50" s="6">
        <f t="shared" si="84"/>
        <v>1.2016517676213971</v>
      </c>
      <c r="AI50" s="6">
        <f t="shared" ref="AI50:AL50" si="85">AI47/AI84</f>
        <v>1.0990157320361775</v>
      </c>
      <c r="AJ50" s="6">
        <f t="shared" si="85"/>
        <v>1.0010183038086526</v>
      </c>
      <c r="AK50" s="6">
        <f t="shared" si="85"/>
        <v>0.90141294085629187</v>
      </c>
      <c r="AL50" s="6">
        <f t="shared" si="85"/>
        <v>0.80733229851445432</v>
      </c>
      <c r="AO50" s="2"/>
      <c r="AT50" s="2"/>
      <c r="AU50" s="2"/>
      <c r="AV50" s="2"/>
    </row>
    <row r="51" spans="1:48" x14ac:dyDescent="0.2">
      <c r="A51" s="2"/>
      <c r="B51" s="2" t="s">
        <v>195</v>
      </c>
      <c r="C51" s="6"/>
      <c r="D51" s="6"/>
      <c r="E51" s="6"/>
      <c r="F51" s="6"/>
      <c r="G51" s="6"/>
      <c r="H51" s="6"/>
      <c r="I51" s="6"/>
      <c r="J51" s="6">
        <f t="shared" ref="J51:AH51" si="86">J47/J105</f>
        <v>8.830557984469376</v>
      </c>
      <c r="K51" s="6">
        <f t="shared" si="86"/>
        <v>8.8780412801093966</v>
      </c>
      <c r="L51" s="6">
        <f t="shared" si="86"/>
        <v>9.3192554095432154</v>
      </c>
      <c r="M51" s="6">
        <f t="shared" si="86"/>
        <v>8.6934581320580246</v>
      </c>
      <c r="N51" s="6">
        <f t="shared" si="86"/>
        <v>8.3066783957847861</v>
      </c>
      <c r="O51" s="6">
        <f t="shared" si="86"/>
        <v>9.3893133354223242</v>
      </c>
      <c r="P51" s="6">
        <f t="shared" si="86"/>
        <v>9.4801153798734656</v>
      </c>
      <c r="Q51" s="6">
        <f t="shared" si="86"/>
        <v>9.9170772486592167</v>
      </c>
      <c r="R51" s="6">
        <f t="shared" si="86"/>
        <v>9.8354555791587153</v>
      </c>
      <c r="S51" s="6">
        <f t="shared" si="86"/>
        <v>8.0617321774499224</v>
      </c>
      <c r="T51" s="6">
        <f t="shared" si="86"/>
        <v>52.729710241299301</v>
      </c>
      <c r="U51" s="6">
        <f t="shared" si="86"/>
        <v>38.799392882149043</v>
      </c>
      <c r="V51" s="6">
        <f t="shared" si="86"/>
        <v>36.987261683860233</v>
      </c>
      <c r="W51" s="6">
        <f t="shared" si="86"/>
        <v>30.485972751381212</v>
      </c>
      <c r="X51" s="6">
        <f t="shared" si="86"/>
        <v>29.24533897293729</v>
      </c>
      <c r="Y51" s="6">
        <f t="shared" si="86"/>
        <v>34.860089550237753</v>
      </c>
      <c r="Z51" s="6">
        <f t="shared" si="86"/>
        <v>30.040269274663626</v>
      </c>
      <c r="AA51" s="6">
        <f t="shared" si="86"/>
        <v>22.534019650842268</v>
      </c>
      <c r="AB51" s="6">
        <f t="shared" si="86"/>
        <v>17.084798758423844</v>
      </c>
      <c r="AC51" s="6">
        <f t="shared" si="86"/>
        <v>15.440053833875167</v>
      </c>
      <c r="AD51" s="6">
        <f t="shared" si="86"/>
        <v>13.428141247500388</v>
      </c>
      <c r="AE51" s="6">
        <f t="shared" si="86"/>
        <v>11.783373572815718</v>
      </c>
      <c r="AF51" s="6">
        <f t="shared" si="86"/>
        <v>9.9799216669673534</v>
      </c>
      <c r="AG51" s="6">
        <f t="shared" si="86"/>
        <v>8.5971849854972984</v>
      </c>
      <c r="AH51" s="6">
        <f t="shared" si="86"/>
        <v>7.4301248758914813</v>
      </c>
      <c r="AI51" s="6">
        <f t="shared" ref="AI51:AL51" si="87">AI47/AI105</f>
        <v>6.60426991053615</v>
      </c>
      <c r="AJ51" s="6">
        <f t="shared" si="87"/>
        <v>5.9540271733967511</v>
      </c>
      <c r="AK51" s="6">
        <f t="shared" si="87"/>
        <v>5.2526823452445903</v>
      </c>
      <c r="AL51" s="6">
        <f t="shared" si="87"/>
        <v>4.5857630084729006</v>
      </c>
      <c r="AO51" s="2"/>
      <c r="AT51" s="2"/>
      <c r="AU51" s="2"/>
      <c r="AV51" s="2"/>
    </row>
    <row r="52" spans="1:48" x14ac:dyDescent="0.2">
      <c r="A52" s="2"/>
      <c r="B52" s="2" t="s">
        <v>196</v>
      </c>
      <c r="C52" s="6"/>
      <c r="D52" s="6"/>
      <c r="E52" s="6"/>
      <c r="F52" s="6"/>
      <c r="G52" s="6"/>
      <c r="H52" s="6"/>
      <c r="I52" s="6"/>
      <c r="J52" s="6">
        <f t="shared" ref="J52:AH52" si="88">J47/J112</f>
        <v>10.725096832336416</v>
      </c>
      <c r="K52" s="6">
        <f t="shared" si="88"/>
        <v>11.264470809467777</v>
      </c>
      <c r="L52" s="6">
        <f t="shared" si="88"/>
        <v>11.868932773073979</v>
      </c>
      <c r="M52" s="6">
        <f t="shared" si="88"/>
        <v>11.29009204551264</v>
      </c>
      <c r="N52" s="6">
        <f t="shared" si="88"/>
        <v>10.697809275456263</v>
      </c>
      <c r="O52" s="6">
        <f t="shared" si="88"/>
        <v>11.489095583711341</v>
      </c>
      <c r="P52" s="6">
        <f t="shared" si="88"/>
        <v>10.981476258012155</v>
      </c>
      <c r="Q52" s="6">
        <f t="shared" si="88"/>
        <v>12.089603819591373</v>
      </c>
      <c r="R52" s="6">
        <f t="shared" si="88"/>
        <v>11.949715787955741</v>
      </c>
      <c r="S52" s="6">
        <f t="shared" si="88"/>
        <v>9.7795592208691584</v>
      </c>
      <c r="T52" s="6">
        <f t="shared" si="88"/>
        <v>80.022905330985921</v>
      </c>
      <c r="U52" s="6">
        <f t="shared" si="88"/>
        <v>50.083332646532433</v>
      </c>
      <c r="V52" s="6">
        <f t="shared" si="88"/>
        <v>46.651299626442807</v>
      </c>
      <c r="W52" s="6">
        <f t="shared" si="88"/>
        <v>37.252057843037974</v>
      </c>
      <c r="X52" s="6">
        <f t="shared" si="88"/>
        <v>35.934053969180859</v>
      </c>
      <c r="Y52" s="6">
        <f t="shared" si="88"/>
        <v>46.541792989905318</v>
      </c>
      <c r="Z52" s="6">
        <f t="shared" si="88"/>
        <v>39.705438370577305</v>
      </c>
      <c r="AA52" s="6">
        <f t="shared" si="88"/>
        <v>27.904010427307206</v>
      </c>
      <c r="AB52" s="6">
        <f t="shared" si="88"/>
        <v>20.814311478798412</v>
      </c>
      <c r="AC52" s="6">
        <f t="shared" si="88"/>
        <v>17.990305056229897</v>
      </c>
      <c r="AD52" s="6">
        <f t="shared" si="88"/>
        <v>15.508358308728951</v>
      </c>
      <c r="AE52" s="6">
        <f t="shared" si="88"/>
        <v>13.493413677924137</v>
      </c>
      <c r="AF52" s="6">
        <f t="shared" si="88"/>
        <v>11.27632906278517</v>
      </c>
      <c r="AG52" s="6">
        <f t="shared" si="88"/>
        <v>9.6153668359119191</v>
      </c>
      <c r="AH52" s="6">
        <f t="shared" si="88"/>
        <v>8.2350369724413088</v>
      </c>
      <c r="AI52" s="6">
        <f t="shared" ref="AI52:AL52" si="89">AI47/AI112</f>
        <v>7.2814677791045082</v>
      </c>
      <c r="AJ52" s="6">
        <f t="shared" si="89"/>
        <v>6.5439790007415999</v>
      </c>
      <c r="AK52" s="6">
        <f t="shared" si="89"/>
        <v>5.749006017838437</v>
      </c>
      <c r="AL52" s="6">
        <f t="shared" si="89"/>
        <v>4.9957175997515959</v>
      </c>
      <c r="AO52" s="2"/>
      <c r="AT52" s="2"/>
      <c r="AU52" s="2"/>
      <c r="AV52" s="2"/>
    </row>
    <row r="53" spans="1:48" x14ac:dyDescent="0.2">
      <c r="A53" s="8"/>
      <c r="B53" s="8" t="s">
        <v>197</v>
      </c>
      <c r="C53" s="9"/>
      <c r="D53" s="9"/>
      <c r="E53" s="9"/>
      <c r="F53" s="100"/>
      <c r="G53" s="100"/>
      <c r="H53" s="100"/>
      <c r="I53" s="100"/>
      <c r="J53" s="100">
        <f t="shared" ref="J53:AH53" si="90">J42/J156</f>
        <v>15.177808784648201</v>
      </c>
      <c r="K53" s="100">
        <f t="shared" si="90"/>
        <v>16.49761717092095</v>
      </c>
      <c r="L53" s="100">
        <f t="shared" si="90"/>
        <v>18.497968449619567</v>
      </c>
      <c r="M53" s="100">
        <f t="shared" si="90"/>
        <v>16.338631549934146</v>
      </c>
      <c r="N53" s="100">
        <f t="shared" si="90"/>
        <v>15.776101934978101</v>
      </c>
      <c r="O53" s="100">
        <f t="shared" si="90"/>
        <v>16.653892868860027</v>
      </c>
      <c r="P53" s="100">
        <f t="shared" si="90"/>
        <v>17.504191832062681</v>
      </c>
      <c r="Q53" s="100">
        <f t="shared" si="90"/>
        <v>15.887697109565215</v>
      </c>
      <c r="R53" s="100">
        <f t="shared" si="90"/>
        <v>15.892232077586206</v>
      </c>
      <c r="S53" s="100">
        <f t="shared" si="90"/>
        <v>11.727571660529595</v>
      </c>
      <c r="T53" s="100">
        <f t="shared" si="90"/>
        <v>144.8686573454936</v>
      </c>
      <c r="U53" s="100">
        <f t="shared" si="90"/>
        <v>78.225452261022923</v>
      </c>
      <c r="V53" s="100">
        <f t="shared" si="90"/>
        <v>72.355353070146819</v>
      </c>
      <c r="W53" s="100">
        <f t="shared" si="90"/>
        <v>56.0403802481989</v>
      </c>
      <c r="X53" s="100">
        <f t="shared" si="90"/>
        <v>53.958432399026762</v>
      </c>
      <c r="Y53" s="100">
        <f t="shared" si="90"/>
        <v>69.603096216386263</v>
      </c>
      <c r="Z53" s="100">
        <f t="shared" si="90"/>
        <v>59.793647951494343</v>
      </c>
      <c r="AA53" s="100">
        <f t="shared" si="90"/>
        <v>39.295518553744238</v>
      </c>
      <c r="AB53" s="100">
        <f t="shared" si="90"/>
        <v>31.731414241551271</v>
      </c>
      <c r="AC53" s="100">
        <f t="shared" si="90"/>
        <v>25.264769229729918</v>
      </c>
      <c r="AD53" s="100">
        <f t="shared" si="90"/>
        <v>21.67994191790509</v>
      </c>
      <c r="AE53" s="100">
        <f t="shared" si="90"/>
        <v>19.027946169916689</v>
      </c>
      <c r="AF53" s="100">
        <f t="shared" si="90"/>
        <v>15.97517665731886</v>
      </c>
      <c r="AG53" s="100">
        <f t="shared" si="90"/>
        <v>13.897835643716501</v>
      </c>
      <c r="AH53" s="100">
        <f t="shared" si="90"/>
        <v>12.225234091270213</v>
      </c>
      <c r="AI53" s="100">
        <f t="shared" ref="AI53:AL53" si="91">AI42/AI156</f>
        <v>11.114301425198688</v>
      </c>
      <c r="AJ53" s="100">
        <f t="shared" si="91"/>
        <v>10.318780437217507</v>
      </c>
      <c r="AK53" s="100">
        <f t="shared" si="91"/>
        <v>9.4747748779681604</v>
      </c>
      <c r="AL53" s="100">
        <f t="shared" si="91"/>
        <v>8.6573467203905814</v>
      </c>
      <c r="AM53" s="8"/>
      <c r="AN53" s="8"/>
      <c r="AO53" s="8"/>
      <c r="AT53" s="8"/>
      <c r="AU53" s="8"/>
      <c r="AV53" s="8"/>
    </row>
    <row r="54" spans="1:48" x14ac:dyDescent="0.2">
      <c r="A54" s="8"/>
      <c r="B54" s="8" t="s">
        <v>198</v>
      </c>
      <c r="C54" s="9"/>
      <c r="D54" s="9"/>
      <c r="E54" s="9"/>
      <c r="F54" s="100"/>
      <c r="G54" s="100"/>
      <c r="H54" s="100"/>
      <c r="I54" s="100"/>
      <c r="J54" s="100">
        <f t="shared" ref="J54:AH54" si="92">J42/J158</f>
        <v>15.177808784648201</v>
      </c>
      <c r="K54" s="100">
        <f t="shared" si="92"/>
        <v>16.49761717092095</v>
      </c>
      <c r="L54" s="100">
        <f t="shared" si="92"/>
        <v>18.497968449619567</v>
      </c>
      <c r="M54" s="100">
        <f t="shared" si="92"/>
        <v>16.342443384681335</v>
      </c>
      <c r="N54" s="100">
        <f t="shared" si="92"/>
        <v>15.782004216124822</v>
      </c>
      <c r="O54" s="100">
        <f t="shared" si="92"/>
        <v>17.556062105156652</v>
      </c>
      <c r="P54" s="100">
        <f t="shared" si="92"/>
        <v>18.578381632424865</v>
      </c>
      <c r="Q54" s="100">
        <f t="shared" si="92"/>
        <v>16.723119121333333</v>
      </c>
      <c r="R54" s="100">
        <f t="shared" si="92"/>
        <v>16.766044907229126</v>
      </c>
      <c r="S54" s="100">
        <f t="shared" si="92"/>
        <v>12.412409719587787</v>
      </c>
      <c r="T54" s="100">
        <f t="shared" si="92"/>
        <v>149.18820424647299</v>
      </c>
      <c r="U54" s="100">
        <f t="shared" si="92"/>
        <v>78.247794331569665</v>
      </c>
      <c r="V54" s="100">
        <f t="shared" si="92"/>
        <v>72.355119973898852</v>
      </c>
      <c r="W54" s="100">
        <f t="shared" si="92"/>
        <v>56.040199711420129</v>
      </c>
      <c r="X54" s="100">
        <f t="shared" si="92"/>
        <v>53.958258569343066</v>
      </c>
      <c r="Y54" s="100">
        <f t="shared" si="92"/>
        <v>69.603096216386263</v>
      </c>
      <c r="Z54" s="100">
        <f t="shared" si="92"/>
        <v>59.793647951494343</v>
      </c>
      <c r="AA54" s="100">
        <f t="shared" si="92"/>
        <v>40.020490936423094</v>
      </c>
      <c r="AB54" s="100">
        <f t="shared" si="92"/>
        <v>31.996688351535706</v>
      </c>
      <c r="AC54" s="100">
        <f t="shared" si="92"/>
        <v>25.413474246432738</v>
      </c>
      <c r="AD54" s="100">
        <f t="shared" si="92"/>
        <v>21.757164930727004</v>
      </c>
      <c r="AE54" s="100">
        <f t="shared" si="92"/>
        <v>19.040424090633742</v>
      </c>
      <c r="AF54" s="100">
        <f t="shared" si="92"/>
        <v>15.989951187740061</v>
      </c>
      <c r="AG54" s="100">
        <f t="shared" si="92"/>
        <v>13.914418393543638</v>
      </c>
      <c r="AH54" s="100">
        <f t="shared" si="92"/>
        <v>12.243031677893269</v>
      </c>
      <c r="AI54" s="100">
        <f t="shared" ref="AI54:AL54" si="93">AI42/AI158</f>
        <v>11.133400524013556</v>
      </c>
      <c r="AJ54" s="100">
        <f t="shared" si="93"/>
        <v>10.339222390539742</v>
      </c>
      <c r="AK54" s="100">
        <f t="shared" si="93"/>
        <v>9.4960330664783772</v>
      </c>
      <c r="AL54" s="100">
        <f t="shared" si="93"/>
        <v>8.6790444522932191</v>
      </c>
      <c r="AM54" s="8"/>
      <c r="AN54" s="8"/>
      <c r="AO54" s="8"/>
      <c r="AT54" s="8"/>
      <c r="AU54" s="8"/>
      <c r="AV54" s="8"/>
    </row>
    <row r="55" spans="1:48" hidden="1" x14ac:dyDescent="0.2">
      <c r="A55" s="4"/>
      <c r="B55" s="4" t="s">
        <v>199</v>
      </c>
      <c r="C55" s="15"/>
      <c r="D55" s="15"/>
      <c r="E55" s="15"/>
      <c r="F55" s="69"/>
      <c r="G55" s="69"/>
      <c r="H55" s="69"/>
      <c r="I55" s="69"/>
      <c r="J55" s="69">
        <f t="shared" ref="J55:AH55" si="94">J42/J150</f>
        <v>14.426412454460252</v>
      </c>
      <c r="K55" s="69">
        <f t="shared" si="94"/>
        <v>16.440996247042261</v>
      </c>
      <c r="L55" s="69">
        <f t="shared" si="94"/>
        <v>18.125429512362068</v>
      </c>
      <c r="M55" s="69">
        <f t="shared" si="94"/>
        <v>16.338631549934146</v>
      </c>
      <c r="N55" s="69">
        <f t="shared" si="94"/>
        <v>15.776101934978101</v>
      </c>
      <c r="O55" s="69">
        <f t="shared" si="94"/>
        <v>17.255857408951741</v>
      </c>
      <c r="P55" s="69">
        <f t="shared" si="94"/>
        <v>19.511637921587258</v>
      </c>
      <c r="Q55" s="69">
        <f t="shared" si="94"/>
        <v>15.887697109565215</v>
      </c>
      <c r="R55" s="69">
        <f t="shared" si="94"/>
        <v>15.892232077586206</v>
      </c>
      <c r="S55" s="69">
        <f t="shared" si="94"/>
        <v>11.727571660529595</v>
      </c>
      <c r="T55" s="69">
        <f t="shared" si="94"/>
        <v>169.14832058775511</v>
      </c>
      <c r="U55" s="69">
        <f t="shared" si="94"/>
        <v>78.225452261022923</v>
      </c>
      <c r="V55" s="69">
        <f t="shared" si="94"/>
        <v>72.355353070146819</v>
      </c>
      <c r="W55" s="69">
        <f t="shared" si="94"/>
        <v>84.250795767879183</v>
      </c>
      <c r="X55" s="69">
        <f t="shared" si="94"/>
        <v>56.358108554002541</v>
      </c>
      <c r="Y55" s="69">
        <f t="shared" si="94"/>
        <v>90.346211234945969</v>
      </c>
      <c r="Z55" s="69">
        <f t="shared" si="94"/>
        <v>67.385450314436966</v>
      </c>
      <c r="AA55" s="69">
        <f t="shared" si="94"/>
        <v>41.705890833333328</v>
      </c>
      <c r="AB55" s="69">
        <f t="shared" si="94"/>
        <v>39.070534343701304</v>
      </c>
      <c r="AC55" s="69">
        <f t="shared" si="94"/>
        <v>25.264769229729918</v>
      </c>
      <c r="AD55" s="69">
        <f t="shared" si="94"/>
        <v>21.67994191790509</v>
      </c>
      <c r="AE55" s="69">
        <f t="shared" si="94"/>
        <v>19.027946169916689</v>
      </c>
      <c r="AF55" s="69">
        <f t="shared" si="94"/>
        <v>15.97517665731886</v>
      </c>
      <c r="AG55" s="69">
        <f t="shared" si="94"/>
        <v>13.897835643716501</v>
      </c>
      <c r="AH55" s="69">
        <f t="shared" si="94"/>
        <v>12.225234091270213</v>
      </c>
      <c r="AI55" s="69">
        <f t="shared" ref="AI55:AL55" si="95">AI42/AI150</f>
        <v>11.114301425198688</v>
      </c>
      <c r="AJ55" s="69">
        <f t="shared" si="95"/>
        <v>10.318780437217507</v>
      </c>
      <c r="AK55" s="69">
        <f t="shared" si="95"/>
        <v>9.4747748779681604</v>
      </c>
      <c r="AL55" s="69">
        <f t="shared" si="95"/>
        <v>8.6573467203905814</v>
      </c>
      <c r="AM55" s="4"/>
      <c r="AN55" s="4"/>
      <c r="AO55" s="4"/>
      <c r="AT55" s="4"/>
      <c r="AU55" s="4"/>
      <c r="AV55" s="4"/>
    </row>
    <row r="56" spans="1:48" x14ac:dyDescent="0.2">
      <c r="A56" s="4"/>
      <c r="B56" s="4" t="s">
        <v>219</v>
      </c>
      <c r="C56" s="15"/>
      <c r="D56" s="15"/>
      <c r="E56" s="15"/>
      <c r="F56" s="69"/>
      <c r="G56" s="69"/>
      <c r="H56" s="69"/>
      <c r="I56" s="69"/>
      <c r="J56" s="69">
        <f t="shared" ref="J56:AH56" si="96">J42/J152</f>
        <v>14.426412454460252</v>
      </c>
      <c r="K56" s="69">
        <f t="shared" si="96"/>
        <v>16.440996247042261</v>
      </c>
      <c r="L56" s="69">
        <f t="shared" si="96"/>
        <v>18.125429512362068</v>
      </c>
      <c r="M56" s="69">
        <f t="shared" si="96"/>
        <v>16.342443384681335</v>
      </c>
      <c r="N56" s="69">
        <f t="shared" si="96"/>
        <v>15.782004216124822</v>
      </c>
      <c r="O56" s="69">
        <f t="shared" si="96"/>
        <v>18.170181959474874</v>
      </c>
      <c r="P56" s="69">
        <f t="shared" si="96"/>
        <v>20.649573320752616</v>
      </c>
      <c r="Q56" s="69">
        <f t="shared" si="96"/>
        <v>16.723119121333333</v>
      </c>
      <c r="R56" s="69">
        <f t="shared" si="96"/>
        <v>16.766044907229126</v>
      </c>
      <c r="S56" s="69">
        <f t="shared" si="96"/>
        <v>12.412409719587787</v>
      </c>
      <c r="T56" s="69">
        <f t="shared" si="96"/>
        <v>173.08243872452462</v>
      </c>
      <c r="U56" s="69">
        <f t="shared" si="96"/>
        <v>78.247794331569665</v>
      </c>
      <c r="V56" s="69">
        <f t="shared" si="96"/>
        <v>72.355119973898852</v>
      </c>
      <c r="W56" s="69">
        <f t="shared" si="96"/>
        <v>84.250524349890767</v>
      </c>
      <c r="X56" s="69">
        <f t="shared" si="96"/>
        <v>56.357926993646757</v>
      </c>
      <c r="Y56" s="69">
        <f t="shared" si="96"/>
        <v>90.346211234945969</v>
      </c>
      <c r="Z56" s="69">
        <f t="shared" si="96"/>
        <v>67.385450314436966</v>
      </c>
      <c r="AA56" s="69">
        <f t="shared" si="96"/>
        <v>42.446721538461532</v>
      </c>
      <c r="AB56" s="69">
        <f t="shared" si="96"/>
        <v>39.39016169194705</v>
      </c>
      <c r="AC56" s="69">
        <f t="shared" si="96"/>
        <v>25.413474246432738</v>
      </c>
      <c r="AD56" s="69">
        <f t="shared" si="96"/>
        <v>21.757164930727004</v>
      </c>
      <c r="AE56" s="69">
        <f t="shared" si="96"/>
        <v>19.040424090633742</v>
      </c>
      <c r="AF56" s="69">
        <f t="shared" si="96"/>
        <v>15.989951187740061</v>
      </c>
      <c r="AG56" s="69">
        <f t="shared" si="96"/>
        <v>13.914418393543638</v>
      </c>
      <c r="AH56" s="69">
        <f t="shared" si="96"/>
        <v>12.243031677893269</v>
      </c>
      <c r="AI56" s="69">
        <f t="shared" ref="AI56:AL56" si="97">AI42/AI152</f>
        <v>11.133400524013556</v>
      </c>
      <c r="AJ56" s="69">
        <f t="shared" si="97"/>
        <v>10.339222390539742</v>
      </c>
      <c r="AK56" s="69">
        <f t="shared" si="97"/>
        <v>9.4960330664783772</v>
      </c>
      <c r="AL56" s="69">
        <f t="shared" si="97"/>
        <v>8.6790444522932191</v>
      </c>
      <c r="AM56" s="4"/>
      <c r="AN56" s="4"/>
      <c r="AO56" s="4"/>
      <c r="AT56" s="4"/>
      <c r="AU56" s="4"/>
      <c r="AV56" s="4"/>
    </row>
    <row r="57" spans="1:48" hidden="1" x14ac:dyDescent="0.2">
      <c r="A57" s="2"/>
      <c r="B57" s="2" t="s">
        <v>314</v>
      </c>
      <c r="C57" s="10"/>
      <c r="D57" s="10"/>
      <c r="E57" s="10"/>
      <c r="F57" s="6"/>
      <c r="G57" s="6"/>
      <c r="H57" s="6"/>
      <c r="I57" s="6"/>
      <c r="J57" s="6">
        <f t="shared" ref="J57:AH57" si="98">J44/J16</f>
        <v>16.872268500314448</v>
      </c>
      <c r="K57" s="6">
        <f t="shared" si="98"/>
        <v>-16.706094586373027</v>
      </c>
      <c r="L57" s="6">
        <f t="shared" si="98"/>
        <v>24.281307230713562</v>
      </c>
      <c r="M57" s="6">
        <f t="shared" si="98"/>
        <v>17.979094678962614</v>
      </c>
      <c r="N57" s="6">
        <f t="shared" si="98"/>
        <v>8.9023620240399843</v>
      </c>
      <c r="O57" s="6">
        <f t="shared" si="98"/>
        <v>15.603871467767107</v>
      </c>
      <c r="P57" s="6">
        <f t="shared" si="98"/>
        <v>40.86792572550155</v>
      </c>
      <c r="Q57" s="6">
        <f t="shared" si="98"/>
        <v>20.043447857288136</v>
      </c>
      <c r="R57" s="6">
        <f t="shared" si="98"/>
        <v>18.187443704759151</v>
      </c>
      <c r="S57" s="6">
        <f t="shared" si="98"/>
        <v>40.44839983248756</v>
      </c>
      <c r="T57" s="6">
        <f t="shared" si="98"/>
        <v>45.840919657024791</v>
      </c>
      <c r="U57" s="6">
        <f t="shared" si="98"/>
        <v>68.678791619195039</v>
      </c>
      <c r="V57" s="6">
        <f t="shared" si="98"/>
        <v>92.020100713692941</v>
      </c>
      <c r="W57" s="6">
        <f t="shared" si="98"/>
        <v>151.8961936438356</v>
      </c>
      <c r="X57" s="6">
        <f t="shared" si="98"/>
        <v>331.24487336818527</v>
      </c>
      <c r="Y57" s="6">
        <f t="shared" si="98"/>
        <v>1008.2143253758626</v>
      </c>
      <c r="Z57" s="6">
        <f t="shared" si="98"/>
        <v>88.817695571668978</v>
      </c>
      <c r="AA57" s="6">
        <f t="shared" si="98"/>
        <v>53.492220925336596</v>
      </c>
      <c r="AB57" s="6">
        <f t="shared" si="98"/>
        <v>45.192582557144412</v>
      </c>
      <c r="AC57" s="6">
        <f t="shared" si="98"/>
        <v>32.830421975005102</v>
      </c>
      <c r="AD57" s="6">
        <f t="shared" si="98"/>
        <v>38.960249529466282</v>
      </c>
      <c r="AE57" s="6">
        <f t="shared" si="98"/>
        <v>28.686123612057568</v>
      </c>
      <c r="AF57" s="6">
        <f t="shared" si="98"/>
        <v>22.163331435210697</v>
      </c>
      <c r="AG57" s="6">
        <f t="shared" si="98"/>
        <v>19.174323047334592</v>
      </c>
      <c r="AH57" s="6">
        <f t="shared" si="98"/>
        <v>15.650737044452248</v>
      </c>
      <c r="AI57" s="6">
        <f t="shared" ref="AI57:AL57" si="99">AI44/AI16</f>
        <v>14.855962357627655</v>
      </c>
      <c r="AJ57" s="6">
        <f t="shared" si="99"/>
        <v>13.772485674725344</v>
      </c>
      <c r="AK57" s="6">
        <f t="shared" si="99"/>
        <v>11.840883647508431</v>
      </c>
      <c r="AL57" s="6">
        <f t="shared" si="99"/>
        <v>10.925160593439884</v>
      </c>
      <c r="AO57" s="2"/>
      <c r="AT57" s="2"/>
      <c r="AU57" s="2"/>
      <c r="AV57" s="2"/>
    </row>
    <row r="58" spans="1:48" x14ac:dyDescent="0.2">
      <c r="A58" s="2"/>
      <c r="B58" s="2" t="s">
        <v>315</v>
      </c>
      <c r="C58" s="10"/>
      <c r="D58" s="10"/>
      <c r="E58" s="10"/>
      <c r="F58" s="98"/>
      <c r="G58" s="98"/>
      <c r="H58" s="98"/>
      <c r="I58" s="98"/>
      <c r="J58" s="97">
        <f>1/J57%</f>
        <v>5.9268852909812519</v>
      </c>
      <c r="K58" s="97">
        <f t="shared" ref="K58:Y58" si="100">1/K57%</f>
        <v>-5.9858394481717392</v>
      </c>
      <c r="L58" s="97">
        <f t="shared" si="100"/>
        <v>4.118394411381173</v>
      </c>
      <c r="M58" s="97">
        <f t="shared" si="100"/>
        <v>5.5620153175460088</v>
      </c>
      <c r="N58" s="97">
        <f t="shared" si="100"/>
        <v>11.232973870300881</v>
      </c>
      <c r="O58" s="97">
        <f t="shared" si="100"/>
        <v>6.4086659651465254</v>
      </c>
      <c r="P58" s="97">
        <f t="shared" si="100"/>
        <v>2.4469066688549863</v>
      </c>
      <c r="Q58" s="97">
        <f t="shared" si="100"/>
        <v>4.9891615809821017</v>
      </c>
      <c r="R58" s="97">
        <f t="shared" si="100"/>
        <v>5.4982988056662832</v>
      </c>
      <c r="S58" s="97">
        <f t="shared" si="100"/>
        <v>2.4722856877933026</v>
      </c>
      <c r="T58" s="97">
        <f t="shared" si="100"/>
        <v>2.1814571074966582</v>
      </c>
      <c r="U58" s="97">
        <f t="shared" si="100"/>
        <v>1.4560535740709073</v>
      </c>
      <c r="V58" s="97">
        <f t="shared" si="100"/>
        <v>1.0867190888122948</v>
      </c>
      <c r="W58" s="97">
        <f>1/W57%</f>
        <v>0.65834434425973054</v>
      </c>
      <c r="X58" s="97">
        <f t="shared" si="100"/>
        <v>0.30189146471362294</v>
      </c>
      <c r="Y58" s="97">
        <f t="shared" si="100"/>
        <v>9.9185260001855236E-2</v>
      </c>
      <c r="Z58" s="97">
        <f t="shared" ref="Z58:AH58" si="101">1/Z57%</f>
        <v>1.1259017626651637</v>
      </c>
      <c r="AA58" s="97">
        <f t="shared" si="101"/>
        <v>1.869430699831627</v>
      </c>
      <c r="AB58" s="97">
        <f t="shared" si="101"/>
        <v>2.2127524992304557</v>
      </c>
      <c r="AC58" s="97">
        <f t="shared" si="101"/>
        <v>3.0459553665235659</v>
      </c>
      <c r="AD58" s="97">
        <f t="shared" si="101"/>
        <v>2.5667186737181531</v>
      </c>
      <c r="AE58" s="97">
        <f t="shared" si="101"/>
        <v>3.4860060338709284</v>
      </c>
      <c r="AF58" s="97">
        <f t="shared" si="101"/>
        <v>4.5119570716309756</v>
      </c>
      <c r="AG58" s="97">
        <f t="shared" si="101"/>
        <v>5.2153079800071964</v>
      </c>
      <c r="AH58" s="97">
        <f t="shared" si="101"/>
        <v>6.3894754423368978</v>
      </c>
      <c r="AI58" s="97">
        <f t="shared" ref="AI58:AL58" si="102">1/AI57%</f>
        <v>6.731304077965433</v>
      </c>
      <c r="AJ58" s="97">
        <f t="shared" si="102"/>
        <v>7.2608534408219123</v>
      </c>
      <c r="AK58" s="97">
        <f t="shared" si="102"/>
        <v>8.4453156518468191</v>
      </c>
      <c r="AL58" s="97">
        <f t="shared" si="102"/>
        <v>9.1531835294069683</v>
      </c>
      <c r="AO58" s="2"/>
      <c r="AT58" s="2"/>
      <c r="AU58" s="2"/>
      <c r="AV58" s="2"/>
    </row>
    <row r="59" spans="1:48" x14ac:dyDescent="0.2">
      <c r="A59" s="2"/>
      <c r="B59" s="2" t="s">
        <v>316</v>
      </c>
      <c r="C59" s="10"/>
      <c r="D59" s="10"/>
      <c r="E59" s="10"/>
      <c r="F59" s="10"/>
      <c r="G59" s="10"/>
      <c r="H59" s="10"/>
      <c r="I59" s="10"/>
      <c r="J59" s="6">
        <f t="shared" ref="J59:AH59" si="103">J15/J42%</f>
        <v>1.2339055793991416</v>
      </c>
      <c r="K59" s="6">
        <f t="shared" si="103"/>
        <v>1.393939393939394</v>
      </c>
      <c r="L59" s="6">
        <f t="shared" si="103"/>
        <v>1.0910815939278939</v>
      </c>
      <c r="M59" s="6">
        <f t="shared" si="103"/>
        <v>1.2147716229348884</v>
      </c>
      <c r="N59" s="6">
        <f t="shared" si="103"/>
        <v>1.1071744906997345</v>
      </c>
      <c r="O59" s="6">
        <f t="shared" si="103"/>
        <v>0.84203435500168411</v>
      </c>
      <c r="P59" s="6">
        <f t="shared" si="103"/>
        <v>0.8125</v>
      </c>
      <c r="Q59" s="6">
        <f t="shared" si="103"/>
        <v>0.86138351444473904</v>
      </c>
      <c r="R59" s="6">
        <f t="shared" si="103"/>
        <v>1.1625203441060219</v>
      </c>
      <c r="S59" s="6">
        <f t="shared" si="103"/>
        <v>1.3119916032537391</v>
      </c>
      <c r="T59" s="6">
        <f t="shared" si="103"/>
        <v>0.1650943396226415</v>
      </c>
      <c r="U59" s="6">
        <f t="shared" si="103"/>
        <v>0.37735849056603776</v>
      </c>
      <c r="V59" s="6">
        <f t="shared" si="103"/>
        <v>0.47169811320754712</v>
      </c>
      <c r="W59" s="6">
        <f t="shared" si="103"/>
        <v>0.6367924528301887</v>
      </c>
      <c r="X59" s="6">
        <f t="shared" si="103"/>
        <v>0.70754716981132071</v>
      </c>
      <c r="Y59" s="6">
        <f t="shared" si="103"/>
        <v>0.70754716981132071</v>
      </c>
      <c r="Z59" s="6">
        <f t="shared" si="103"/>
        <v>0.75471698113207553</v>
      </c>
      <c r="AA59" s="6">
        <f t="shared" si="103"/>
        <v>0.94339622641509424</v>
      </c>
      <c r="AB59" s="6">
        <f t="shared" si="103"/>
        <v>1.2264150943396226</v>
      </c>
      <c r="AC59" s="6">
        <f t="shared" si="103"/>
        <v>1.5832323515914259</v>
      </c>
      <c r="AD59" s="6">
        <f t="shared" si="103"/>
        <v>1.8450233931191802</v>
      </c>
      <c r="AE59" s="6">
        <f t="shared" si="103"/>
        <v>2.1021711772151357</v>
      </c>
      <c r="AF59" s="6">
        <f t="shared" si="103"/>
        <v>2.5038846742063674</v>
      </c>
      <c r="AG59" s="6">
        <f t="shared" si="103"/>
        <v>2.8781459952064425</v>
      </c>
      <c r="AH59" s="6">
        <f t="shared" si="103"/>
        <v>3.2719209874732114</v>
      </c>
      <c r="AI59" s="6">
        <f t="shared" ref="AI59:AL59" si="104">AI15/AI42%</f>
        <v>3.5989666349439435</v>
      </c>
      <c r="AJ59" s="6">
        <f t="shared" si="104"/>
        <v>3.8764270878105953</v>
      </c>
      <c r="AK59" s="6">
        <f t="shared" si="104"/>
        <v>4.2217361905888247</v>
      </c>
      <c r="AL59" s="6">
        <f t="shared" si="104"/>
        <v>4.6203532435391912</v>
      </c>
      <c r="AO59" s="2"/>
      <c r="AT59" s="2"/>
      <c r="AU59" s="2"/>
      <c r="AV59" s="2"/>
    </row>
    <row r="60" spans="1:48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O61" s="2"/>
      <c r="AP61" s="2"/>
      <c r="AQ61" s="2"/>
      <c r="AR61" s="2"/>
      <c r="AS61" s="2"/>
      <c r="AT61" s="2"/>
      <c r="AU61" s="2"/>
      <c r="AV61" s="2"/>
    </row>
    <row r="62" spans="1:48" x14ac:dyDescent="0.2">
      <c r="A62" s="2"/>
      <c r="B62" s="5" t="s">
        <v>317</v>
      </c>
      <c r="C62" s="5"/>
      <c r="D62" s="5"/>
      <c r="E62" s="5"/>
      <c r="F62" s="5"/>
      <c r="G62" s="5"/>
      <c r="H62" s="5"/>
      <c r="I62" s="5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O62" s="2"/>
      <c r="AP62" s="2"/>
      <c r="AQ62" s="2"/>
      <c r="AR62" s="2"/>
      <c r="AS62" s="2"/>
      <c r="AT62" s="2"/>
      <c r="AU62" s="2"/>
      <c r="AV62" s="2"/>
    </row>
    <row r="63" spans="1:48" x14ac:dyDescent="0.2">
      <c r="A63" s="2"/>
      <c r="B63" s="5" t="s">
        <v>84</v>
      </c>
      <c r="C63" s="3">
        <f t="shared" ref="C63:AH63" si="105">C5</f>
        <v>1992</v>
      </c>
      <c r="D63" s="3">
        <f t="shared" si="105"/>
        <v>1993</v>
      </c>
      <c r="E63" s="3">
        <f t="shared" si="105"/>
        <v>1994</v>
      </c>
      <c r="F63" s="3">
        <f t="shared" si="105"/>
        <v>1995</v>
      </c>
      <c r="G63" s="3">
        <f t="shared" si="105"/>
        <v>1996</v>
      </c>
      <c r="H63" s="3">
        <f t="shared" si="105"/>
        <v>1997</v>
      </c>
      <c r="I63" s="3">
        <f t="shared" si="105"/>
        <v>1998</v>
      </c>
      <c r="J63" s="3">
        <f t="shared" si="105"/>
        <v>1999</v>
      </c>
      <c r="K63" s="3">
        <f t="shared" si="105"/>
        <v>2000</v>
      </c>
      <c r="L63" s="3">
        <f t="shared" si="105"/>
        <v>2001</v>
      </c>
      <c r="M63" s="3">
        <f t="shared" si="105"/>
        <v>2002</v>
      </c>
      <c r="N63" s="3">
        <f t="shared" si="105"/>
        <v>2003</v>
      </c>
      <c r="O63" s="3">
        <f t="shared" si="105"/>
        <v>2004</v>
      </c>
      <c r="P63" s="3">
        <f t="shared" si="105"/>
        <v>2005</v>
      </c>
      <c r="Q63" s="3">
        <f t="shared" si="105"/>
        <v>2006</v>
      </c>
      <c r="R63" s="84">
        <f t="shared" si="105"/>
        <v>2007</v>
      </c>
      <c r="S63" s="84">
        <f t="shared" si="105"/>
        <v>2008</v>
      </c>
      <c r="T63" s="84">
        <f t="shared" si="105"/>
        <v>2009</v>
      </c>
      <c r="U63" s="84">
        <f t="shared" si="105"/>
        <v>2010</v>
      </c>
      <c r="V63" s="84">
        <f t="shared" si="105"/>
        <v>2011</v>
      </c>
      <c r="W63" s="84">
        <f t="shared" si="105"/>
        <v>2012</v>
      </c>
      <c r="X63" s="84">
        <f t="shared" si="105"/>
        <v>2013</v>
      </c>
      <c r="Y63" s="84">
        <f t="shared" si="105"/>
        <v>2014</v>
      </c>
      <c r="Z63" s="84">
        <f t="shared" si="105"/>
        <v>2015</v>
      </c>
      <c r="AA63" s="84">
        <f t="shared" si="105"/>
        <v>2016</v>
      </c>
      <c r="AB63" s="84">
        <f t="shared" si="105"/>
        <v>2017</v>
      </c>
      <c r="AC63" s="49">
        <f t="shared" si="105"/>
        <v>2018</v>
      </c>
      <c r="AD63" s="49">
        <f t="shared" si="105"/>
        <v>2019</v>
      </c>
      <c r="AE63" s="49">
        <f t="shared" si="105"/>
        <v>2020</v>
      </c>
      <c r="AF63" s="49">
        <f t="shared" si="105"/>
        <v>2021</v>
      </c>
      <c r="AG63" s="49">
        <f t="shared" si="105"/>
        <v>2022</v>
      </c>
      <c r="AH63" s="49">
        <f t="shared" si="105"/>
        <v>2023</v>
      </c>
      <c r="AI63" s="49">
        <f t="shared" ref="AI63:AL63" si="106">AI5</f>
        <v>2024</v>
      </c>
      <c r="AJ63" s="49">
        <f t="shared" si="106"/>
        <v>2025</v>
      </c>
      <c r="AK63" s="49">
        <f t="shared" si="106"/>
        <v>2026</v>
      </c>
      <c r="AL63" s="49">
        <f t="shared" si="106"/>
        <v>2027</v>
      </c>
      <c r="AO63" s="2"/>
      <c r="AP63" s="2"/>
      <c r="AQ63" s="2"/>
      <c r="AR63" s="2"/>
      <c r="AS63" s="2"/>
      <c r="AT63" s="2"/>
      <c r="AU63" s="2"/>
      <c r="AV63" s="2"/>
    </row>
    <row r="64" spans="1:48" x14ac:dyDescent="0.2">
      <c r="A64" s="2"/>
      <c r="B64" s="2" t="s">
        <v>262</v>
      </c>
      <c r="C64" s="10"/>
      <c r="D64" s="10"/>
      <c r="E64" s="10"/>
      <c r="F64" s="10"/>
      <c r="G64" s="10"/>
      <c r="H64" s="10"/>
      <c r="I64" s="10"/>
      <c r="J64" s="10">
        <f t="shared" ref="J64:AH64" si="107">J18/J7</f>
        <v>2.747851596203625</v>
      </c>
      <c r="K64" s="10">
        <f t="shared" si="107"/>
        <v>3.2077662882089788</v>
      </c>
      <c r="L64" s="10">
        <f t="shared" si="107"/>
        <v>2.7699761699939702</v>
      </c>
      <c r="M64" s="10">
        <f t="shared" si="107"/>
        <v>2.4171591857018617</v>
      </c>
      <c r="N64" s="10">
        <f t="shared" si="107"/>
        <v>1.5075491262636964</v>
      </c>
      <c r="O64" s="10">
        <f t="shared" si="107"/>
        <v>0.93002685840584209</v>
      </c>
      <c r="P64" s="10">
        <f t="shared" si="107"/>
        <v>-0.67260167454623809</v>
      </c>
      <c r="Q64" s="10">
        <f t="shared" si="107"/>
        <v>2.0772783985102419</v>
      </c>
      <c r="R64" s="10">
        <f t="shared" si="107"/>
        <v>1.5316539462272332</v>
      </c>
      <c r="S64" s="10">
        <f t="shared" si="107"/>
        <v>1.6856702619414483</v>
      </c>
      <c r="T64" s="10">
        <f t="shared" si="107"/>
        <v>1.0638051044083527</v>
      </c>
      <c r="U64" s="6">
        <f t="shared" si="107"/>
        <v>0.19150779896013864</v>
      </c>
      <c r="V64" s="10">
        <f t="shared" si="107"/>
        <v>-7.5707154742096508E-2</v>
      </c>
      <c r="W64" s="10">
        <f t="shared" si="107"/>
        <v>-0.30939226519337015</v>
      </c>
      <c r="X64" s="10">
        <f t="shared" si="107"/>
        <v>-0.19405940594059407</v>
      </c>
      <c r="Y64" s="10">
        <f t="shared" si="107"/>
        <v>0.1434250526151688</v>
      </c>
      <c r="Z64" s="10">
        <f t="shared" si="107"/>
        <v>0.31741648890789459</v>
      </c>
      <c r="AA64" s="10">
        <f t="shared" si="107"/>
        <v>5.2577845839714137E-2</v>
      </c>
      <c r="AB64" s="10">
        <f t="shared" si="107"/>
        <v>-0.19166732736065978</v>
      </c>
      <c r="AC64" s="10">
        <f t="shared" si="107"/>
        <v>-3.8063643095112051E-2</v>
      </c>
      <c r="AD64" s="10">
        <f t="shared" si="107"/>
        <v>0.18817609027192903</v>
      </c>
      <c r="AE64" s="10">
        <f t="shared" si="107"/>
        <v>0.14694238723284272</v>
      </c>
      <c r="AF64" s="10">
        <f t="shared" si="107"/>
        <v>4.9707792120365628E-2</v>
      </c>
      <c r="AG64" s="10">
        <f t="shared" si="107"/>
        <v>-0.15980245870014534</v>
      </c>
      <c r="AH64" s="10">
        <f t="shared" si="107"/>
        <v>-0.38536025701839105</v>
      </c>
      <c r="AI64" s="10">
        <f t="shared" ref="AI64:AL64" si="108">AI18/AI7</f>
        <v>-0.57829057806192519</v>
      </c>
      <c r="AJ64" s="10">
        <f t="shared" si="108"/>
        <v>-0.76777522717746893</v>
      </c>
      <c r="AK64" s="10">
        <f t="shared" si="108"/>
        <v>-0.97278940881965714</v>
      </c>
      <c r="AL64" s="10">
        <f t="shared" si="108"/>
        <v>-1.1562552539948074</v>
      </c>
      <c r="AO64" s="2"/>
      <c r="AP64" s="2"/>
      <c r="AQ64" s="2"/>
      <c r="AR64" s="2"/>
      <c r="AS64" s="2"/>
      <c r="AT64" s="2"/>
      <c r="AU64" s="2"/>
      <c r="AV64" s="2"/>
    </row>
    <row r="65" spans="1:48" x14ac:dyDescent="0.2">
      <c r="A65" s="2"/>
      <c r="B65" s="2" t="s">
        <v>261</v>
      </c>
      <c r="C65" s="10"/>
      <c r="D65" s="10"/>
      <c r="E65" s="10"/>
      <c r="F65" s="10"/>
      <c r="G65" s="10"/>
      <c r="H65" s="10"/>
      <c r="I65" s="10"/>
      <c r="J65" s="10">
        <f t="shared" ref="J65:AH65" si="109">J19/J7</f>
        <v>2.8863623813632455</v>
      </c>
      <c r="K65" s="10">
        <f t="shared" si="109"/>
        <v>3.3599506686403955</v>
      </c>
      <c r="L65" s="10">
        <f t="shared" si="109"/>
        <v>2.9217367229292144</v>
      </c>
      <c r="M65" s="10">
        <f t="shared" si="109"/>
        <v>2.5768289357555103</v>
      </c>
      <c r="N65" s="10">
        <f t="shared" si="109"/>
        <v>1.6752147507012349</v>
      </c>
      <c r="O65" s="10">
        <f t="shared" si="109"/>
        <v>1.1100285370562071</v>
      </c>
      <c r="P65" s="10">
        <f t="shared" si="109"/>
        <v>-0.49193915579334657</v>
      </c>
      <c r="Q65" s="10">
        <f t="shared" si="109"/>
        <v>2.2020456238361263</v>
      </c>
      <c r="R65" s="10">
        <f t="shared" si="109"/>
        <v>1.6391994796183866</v>
      </c>
      <c r="S65" s="10">
        <f t="shared" si="109"/>
        <v>1.7873651771956858</v>
      </c>
      <c r="T65" s="10">
        <f t="shared" si="109"/>
        <v>1.2459396751740139</v>
      </c>
      <c r="U65" s="10">
        <f t="shared" si="109"/>
        <v>0.34748700173310226</v>
      </c>
      <c r="V65" s="10">
        <f t="shared" si="109"/>
        <v>9.4841930116472545E-2</v>
      </c>
      <c r="W65" s="10">
        <f t="shared" si="109"/>
        <v>-0.13604972375690608</v>
      </c>
      <c r="X65" s="10">
        <f t="shared" si="109"/>
        <v>-2.5742574257425741E-2</v>
      </c>
      <c r="Y65" s="10">
        <f t="shared" si="109"/>
        <v>0.36479850339075542</v>
      </c>
      <c r="Z65" s="10">
        <f t="shared" si="109"/>
        <v>0.5062066881929822</v>
      </c>
      <c r="AA65" s="10">
        <f t="shared" si="109"/>
        <v>0.23379275140377745</v>
      </c>
      <c r="AB65" s="10">
        <f t="shared" si="109"/>
        <v>-7.3535241417585204E-2</v>
      </c>
      <c r="AC65" s="10">
        <f t="shared" si="109"/>
        <v>7.1046208764102364E-2</v>
      </c>
      <c r="AD65" s="10">
        <f t="shared" si="109"/>
        <v>0.28272984680271063</v>
      </c>
      <c r="AE65" s="10">
        <f t="shared" si="109"/>
        <v>0.23063801485937671</v>
      </c>
      <c r="AF65" s="10">
        <f t="shared" si="109"/>
        <v>0.12197925737771376</v>
      </c>
      <c r="AG65" s="10">
        <f t="shared" si="109"/>
        <v>-9.5700223616712099E-2</v>
      </c>
      <c r="AH65" s="10">
        <f t="shared" si="109"/>
        <v>-0.32816977546707077</v>
      </c>
      <c r="AI65" s="10">
        <f t="shared" ref="AI65:AL65" si="110">AI19/AI7</f>
        <v>-0.52574993348465171</v>
      </c>
      <c r="AJ65" s="10">
        <f t="shared" si="110"/>
        <v>-0.71862234019533755</v>
      </c>
      <c r="AK65" s="10">
        <f t="shared" si="110"/>
        <v>-0.92728205304553202</v>
      </c>
      <c r="AL65" s="10">
        <f t="shared" si="110"/>
        <v>-1.1142968680534382</v>
      </c>
      <c r="AO65" s="2"/>
      <c r="AP65" s="2"/>
      <c r="AQ65" s="2"/>
      <c r="AR65" s="2"/>
      <c r="AS65" s="2"/>
      <c r="AT65" s="2"/>
      <c r="AU65" s="2"/>
      <c r="AV65" s="2"/>
    </row>
    <row r="66" spans="1:48" x14ac:dyDescent="0.2">
      <c r="A66" s="2"/>
      <c r="B66" s="2" t="s">
        <v>201</v>
      </c>
      <c r="C66" s="10"/>
      <c r="D66" s="10"/>
      <c r="E66" s="10"/>
      <c r="F66" s="10"/>
      <c r="G66" s="10"/>
      <c r="H66" s="10"/>
      <c r="I66" s="10"/>
      <c r="J66" s="75"/>
      <c r="K66" s="75"/>
      <c r="L66" s="75"/>
      <c r="M66" s="75"/>
      <c r="N66" s="75"/>
      <c r="O66" s="75"/>
      <c r="P66" s="75"/>
      <c r="Q66" s="10">
        <f t="shared" ref="Q66:AH66" si="111">(Q19+Q516)/(Q105-Q408)</f>
        <v>2.7610924556213017</v>
      </c>
      <c r="R66" s="10">
        <f t="shared" si="111"/>
        <v>2.4067093959731545</v>
      </c>
      <c r="S66" s="10">
        <f t="shared" si="111"/>
        <v>2.3395348837209302</v>
      </c>
      <c r="T66" s="10">
        <f t="shared" si="111"/>
        <v>2.9463487332339793</v>
      </c>
      <c r="U66" s="10">
        <f t="shared" si="111"/>
        <v>2.1395759717314489</v>
      </c>
      <c r="V66" s="10">
        <f t="shared" si="111"/>
        <v>2.1177142857142859</v>
      </c>
      <c r="W66" s="10">
        <f t="shared" si="111"/>
        <v>1.6551558752997602</v>
      </c>
      <c r="X66" s="10">
        <f t="shared" si="111"/>
        <v>1.617283950617284</v>
      </c>
      <c r="Y66" s="10">
        <f t="shared" si="111"/>
        <v>2.2202606573550034</v>
      </c>
      <c r="Z66" s="10">
        <f t="shared" si="111"/>
        <v>2.285929690949986</v>
      </c>
      <c r="AA66" s="10">
        <f t="shared" si="111"/>
        <v>2.2180059523809526</v>
      </c>
      <c r="AB66" s="10">
        <f t="shared" si="111"/>
        <v>1.7193074178865788</v>
      </c>
      <c r="AC66" s="10">
        <f t="shared" si="111"/>
        <v>1.7107879307512242</v>
      </c>
      <c r="AD66" s="10">
        <f t="shared" si="111"/>
        <v>1.69183085878627</v>
      </c>
      <c r="AE66" s="10">
        <f t="shared" si="111"/>
        <v>1.5056948609646776</v>
      </c>
      <c r="AF66" s="10">
        <f t="shared" si="111"/>
        <v>1.2614735893971114</v>
      </c>
      <c r="AG66" s="10">
        <f t="shared" si="111"/>
        <v>0.96273311698645592</v>
      </c>
      <c r="AH66" s="10">
        <f t="shared" si="111"/>
        <v>0.66273570165199291</v>
      </c>
      <c r="AI66" s="10">
        <f t="shared" ref="AI66:AL66" si="112">(AI19+AI516)/(AI105-AI408)</f>
        <v>0.4211905908691233</v>
      </c>
      <c r="AJ66" s="10">
        <f t="shared" si="112"/>
        <v>0.20092042189618331</v>
      </c>
      <c r="AK66" s="10">
        <f t="shared" si="112"/>
        <v>-3.9028003269779891E-2</v>
      </c>
      <c r="AL66" s="10">
        <f t="shared" si="112"/>
        <v>-0.26119783442188466</v>
      </c>
      <c r="AO66" s="2"/>
      <c r="AP66" s="2"/>
      <c r="AQ66" s="2"/>
      <c r="AR66" s="2"/>
      <c r="AS66" s="2"/>
      <c r="AT66" s="2"/>
      <c r="AU66" s="2"/>
      <c r="AV66" s="2"/>
    </row>
    <row r="67" spans="1:48" x14ac:dyDescent="0.2">
      <c r="A67" s="2"/>
      <c r="B67" s="2" t="s">
        <v>284</v>
      </c>
      <c r="C67" s="6"/>
      <c r="D67" s="6"/>
      <c r="E67" s="6"/>
      <c r="F67" s="6"/>
      <c r="G67" s="6"/>
      <c r="H67" s="6"/>
      <c r="I67" s="6"/>
      <c r="J67" s="6">
        <f t="shared" ref="J67:AH67" si="113">J47/J19</f>
        <v>3.0594072461194743</v>
      </c>
      <c r="K67" s="6">
        <f t="shared" si="113"/>
        <v>2.6423129848218565</v>
      </c>
      <c r="L67" s="6">
        <f t="shared" si="113"/>
        <v>3.1896287356788635</v>
      </c>
      <c r="M67" s="6">
        <f t="shared" si="113"/>
        <v>3.3737040171466237</v>
      </c>
      <c r="N67" s="6">
        <f t="shared" si="113"/>
        <v>4.958575246730403</v>
      </c>
      <c r="O67" s="6">
        <f t="shared" si="113"/>
        <v>8.4586233794698273</v>
      </c>
      <c r="P67" s="6">
        <f t="shared" si="113"/>
        <v>-19.270910372208437</v>
      </c>
      <c r="Q67" s="6">
        <f t="shared" si="113"/>
        <v>4.5035748311985175</v>
      </c>
      <c r="R67" s="6">
        <f t="shared" si="113"/>
        <v>6.0001578218219391</v>
      </c>
      <c r="S67" s="6">
        <f t="shared" si="113"/>
        <v>4.5104001579008619</v>
      </c>
      <c r="T67" s="6">
        <f t="shared" si="113"/>
        <v>42.321238573556798</v>
      </c>
      <c r="U67" s="6">
        <f t="shared" si="113"/>
        <v>111.65710570074812</v>
      </c>
      <c r="V67" s="6">
        <f t="shared" si="113"/>
        <v>389.988496</v>
      </c>
      <c r="W67" s="6">
        <f t="shared" si="113"/>
        <v>-224.07963727918781</v>
      </c>
      <c r="X67" s="6">
        <f t="shared" si="113"/>
        <v>-1136.0689370256409</v>
      </c>
      <c r="Y67" s="6">
        <f t="shared" si="113"/>
        <v>95.559848042735055</v>
      </c>
      <c r="Z67" s="6">
        <f t="shared" si="113"/>
        <v>59.34388062295082</v>
      </c>
      <c r="AA67" s="6">
        <f t="shared" si="113"/>
        <v>96.384594969432314</v>
      </c>
      <c r="AB67" s="6">
        <f t="shared" si="113"/>
        <v>-232.3348428463606</v>
      </c>
      <c r="AC67" s="6">
        <f t="shared" si="113"/>
        <v>217.32410641560637</v>
      </c>
      <c r="AD67" s="6">
        <f t="shared" si="113"/>
        <v>47.494600939215907</v>
      </c>
      <c r="AE67" s="6">
        <f t="shared" si="113"/>
        <v>51.090335563286082</v>
      </c>
      <c r="AF67" s="6">
        <f t="shared" si="113"/>
        <v>81.816547186085231</v>
      </c>
      <c r="AG67" s="6">
        <f t="shared" si="113"/>
        <v>-89.834533928883886</v>
      </c>
      <c r="AH67" s="6">
        <f t="shared" si="113"/>
        <v>-22.641100525837533</v>
      </c>
      <c r="AI67" s="6">
        <f t="shared" ref="AI67:AL67" si="114">AI47/AI19</f>
        <v>-12.561618157064302</v>
      </c>
      <c r="AJ67" s="6">
        <f t="shared" si="114"/>
        <v>-8.2853354820256691</v>
      </c>
      <c r="AK67" s="6">
        <f t="shared" si="114"/>
        <v>-5.6646004610925749</v>
      </c>
      <c r="AL67" s="6">
        <f t="shared" si="114"/>
        <v>-4.1153871467697432</v>
      </c>
      <c r="AO67" s="2"/>
      <c r="AP67" s="2"/>
      <c r="AQ67" s="2"/>
      <c r="AR67" s="2"/>
      <c r="AS67" s="2"/>
      <c r="AT67" s="2"/>
      <c r="AU67" s="2"/>
      <c r="AV67" s="2"/>
    </row>
    <row r="68" spans="1:48" x14ac:dyDescent="0.2">
      <c r="A68" s="2"/>
      <c r="B68" s="2" t="s">
        <v>318</v>
      </c>
      <c r="C68" s="6"/>
      <c r="D68" s="6"/>
      <c r="E68" s="6"/>
      <c r="F68" s="6"/>
      <c r="G68" s="6"/>
      <c r="H68" s="6"/>
      <c r="I68" s="6"/>
      <c r="J68" s="6">
        <f t="shared" ref="J68:Y68" si="115">J105/-J123</f>
        <v>6.9094204194536823</v>
      </c>
      <c r="K68" s="6">
        <f t="shared" si="115"/>
        <v>5.9462183621772402</v>
      </c>
      <c r="L68" s="6">
        <f t="shared" si="115"/>
        <v>5.9561239914407382</v>
      </c>
      <c r="M68" s="6">
        <f t="shared" si="115"/>
        <v>7.1143417971440392</v>
      </c>
      <c r="N68" s="6">
        <f t="shared" si="115"/>
        <v>12.768375025422003</v>
      </c>
      <c r="O68" s="6">
        <f t="shared" si="115"/>
        <v>12.21669657352815</v>
      </c>
      <c r="P68" s="6">
        <f t="shared" si="115"/>
        <v>15.753980769230767</v>
      </c>
      <c r="Q68" s="6">
        <f t="shared" si="115"/>
        <v>6.7974683544303796</v>
      </c>
      <c r="R68" s="6">
        <f t="shared" si="115"/>
        <v>8.6044776119402986</v>
      </c>
      <c r="S68" s="6">
        <f t="shared" si="115"/>
        <v>7.8192771084337354</v>
      </c>
      <c r="T68" s="6">
        <f t="shared" si="115"/>
        <v>5.746666666666667</v>
      </c>
      <c r="U68" s="6">
        <f t="shared" si="115"/>
        <v>13.113636363636363</v>
      </c>
      <c r="V68" s="6">
        <f t="shared" si="115"/>
        <v>14.30952380952381</v>
      </c>
      <c r="W68" s="6">
        <f>W105/-W123</f>
        <v>20.985507246376812</v>
      </c>
      <c r="X68" s="6">
        <f t="shared" si="115"/>
        <v>22.279411764705884</v>
      </c>
      <c r="Y68" s="6">
        <f t="shared" si="115"/>
        <v>26.727083333333326</v>
      </c>
      <c r="Z68" s="6">
        <f t="shared" ref="Z68:AH68" si="116">Z105/-Z123</f>
        <v>68.859506739377963</v>
      </c>
      <c r="AA68" s="6">
        <f t="shared" si="116"/>
        <v>42.586956521739133</v>
      </c>
      <c r="AB68" s="6">
        <f t="shared" si="116"/>
        <v>53.672340425531921</v>
      </c>
      <c r="AC68" s="6">
        <f t="shared" si="116"/>
        <v>582.96529708348726</v>
      </c>
      <c r="AD68" s="6">
        <f t="shared" si="116"/>
        <v>116.1220126113936</v>
      </c>
      <c r="AE68" s="6">
        <f t="shared" si="116"/>
        <v>89.099239587024314</v>
      </c>
      <c r="AF68" s="6">
        <f t="shared" si="116"/>
        <v>106.92254078094788</v>
      </c>
      <c r="AG68" s="6">
        <f t="shared" si="116"/>
        <v>144.37679716186992</v>
      </c>
      <c r="AH68" s="6">
        <f t="shared" si="116"/>
        <v>393.49086313026919</v>
      </c>
      <c r="AI68" s="6">
        <f t="shared" ref="AI68:AL68" si="117">AI105/-AI123</f>
        <v>-470.31387916820756</v>
      </c>
      <c r="AJ68" s="6">
        <f t="shared" si="117"/>
        <v>-161.67689689138203</v>
      </c>
      <c r="AK68" s="6">
        <f t="shared" si="117"/>
        <v>-100.75059030955961</v>
      </c>
      <c r="AL68" s="6">
        <f t="shared" si="117"/>
        <v>-71.520443435256055</v>
      </c>
      <c r="AO68" s="2"/>
      <c r="AP68" s="2"/>
      <c r="AQ68" s="2"/>
      <c r="AR68" s="2"/>
      <c r="AS68" s="2"/>
      <c r="AT68" s="2"/>
      <c r="AU68" s="2"/>
      <c r="AV68" s="2"/>
    </row>
    <row r="69" spans="1:48" x14ac:dyDescent="0.2">
      <c r="A69" s="2"/>
      <c r="B69" s="2" t="s">
        <v>319</v>
      </c>
      <c r="C69" s="6"/>
      <c r="D69" s="6"/>
      <c r="E69" s="6"/>
      <c r="F69" s="6"/>
      <c r="G69" s="6"/>
      <c r="H69" s="6"/>
      <c r="I69" s="6"/>
      <c r="J69" s="6">
        <f t="shared" ref="J69:AH69" si="118">J16/-J123</f>
        <v>2.3894075425355497</v>
      </c>
      <c r="K69" s="6">
        <f t="shared" si="118"/>
        <v>-1.9068799625348543</v>
      </c>
      <c r="L69" s="6">
        <f t="shared" si="118"/>
        <v>1.5457802469620519</v>
      </c>
      <c r="M69" s="6">
        <f t="shared" si="118"/>
        <v>2.3849120712613132</v>
      </c>
      <c r="N69" s="6">
        <f t="shared" si="118"/>
        <v>9.3820418954647025</v>
      </c>
      <c r="O69" s="6">
        <f t="shared" si="118"/>
        <v>6.4603947705716491</v>
      </c>
      <c r="P69" s="6">
        <f t="shared" si="118"/>
        <v>3.8309038461538525</v>
      </c>
      <c r="Q69" s="6">
        <f t="shared" si="118"/>
        <v>2.6139240506329116</v>
      </c>
      <c r="R69" s="6">
        <f t="shared" si="118"/>
        <v>3.8731343283582089</v>
      </c>
      <c r="S69" s="6">
        <f t="shared" si="118"/>
        <v>1.2108433734939759</v>
      </c>
      <c r="T69" s="6">
        <f t="shared" si="118"/>
        <v>6.4533333333333331</v>
      </c>
      <c r="U69" s="6">
        <f t="shared" si="118"/>
        <v>7.3409090909090908</v>
      </c>
      <c r="V69" s="6">
        <f t="shared" si="118"/>
        <v>5.7380952380952381</v>
      </c>
      <c r="W69" s="6">
        <f t="shared" si="118"/>
        <v>4.2318840579710146</v>
      </c>
      <c r="X69" s="6">
        <f t="shared" si="118"/>
        <v>1.9691176470588232</v>
      </c>
      <c r="Y69" s="6">
        <f t="shared" si="118"/>
        <v>0.91458333333332575</v>
      </c>
      <c r="Z69" s="6">
        <f t="shared" si="118"/>
        <v>22.90712578699701</v>
      </c>
      <c r="AA69" s="6">
        <f t="shared" si="118"/>
        <v>17.760869565217391</v>
      </c>
      <c r="AB69" s="6">
        <f t="shared" si="118"/>
        <v>20.385106382978694</v>
      </c>
      <c r="AC69" s="6">
        <f t="shared" si="118"/>
        <v>272.98572738690405</v>
      </c>
      <c r="AD69" s="6">
        <f t="shared" si="118"/>
        <v>39.188962931733215</v>
      </c>
      <c r="AE69" s="6">
        <f t="shared" si="118"/>
        <v>35.888094198450261</v>
      </c>
      <c r="AF69" s="6">
        <f t="shared" si="118"/>
        <v>47.560808098341219</v>
      </c>
      <c r="AG69" s="6">
        <f t="shared" si="118"/>
        <v>65.453585712728199</v>
      </c>
      <c r="AH69" s="6">
        <f t="shared" si="118"/>
        <v>195.03853286999518</v>
      </c>
      <c r="AI69" s="6">
        <f t="shared" ref="AI69:AL69" si="119">AI16/-AI123</f>
        <v>-225.680005865612</v>
      </c>
      <c r="AJ69" s="6">
        <f t="shared" si="119"/>
        <v>-78.308551893221562</v>
      </c>
      <c r="AK69" s="6">
        <f t="shared" si="119"/>
        <v>-52.563397232736669</v>
      </c>
      <c r="AL69" s="6">
        <f t="shared" si="119"/>
        <v>-37.296945408746311</v>
      </c>
      <c r="AO69" s="2"/>
      <c r="AP69" s="2"/>
      <c r="AQ69" s="2"/>
      <c r="AR69" s="2"/>
      <c r="AS69" s="2"/>
      <c r="AT69" s="2"/>
      <c r="AU69" s="2"/>
      <c r="AV69" s="2"/>
    </row>
    <row r="70" spans="1:48" x14ac:dyDescent="0.2">
      <c r="A70" s="2"/>
      <c r="B70" s="2" t="s">
        <v>320</v>
      </c>
      <c r="C70" s="6"/>
      <c r="D70" s="6"/>
      <c r="E70" s="6"/>
      <c r="F70" s="97"/>
      <c r="G70" s="97"/>
      <c r="H70" s="97"/>
      <c r="I70" s="97"/>
      <c r="J70" s="97">
        <f>IF(ISERROR(J12/J15),"na",J12/J15)</f>
        <v>5.6177153201947405</v>
      </c>
      <c r="K70" s="97">
        <f>IF(ISERROR(K12/K15),"na",K12/K15)</f>
        <v>4.3634296460403661</v>
      </c>
      <c r="L70" s="97">
        <f>IF(ISERROR(L12/L15),"na",L12/L15)</f>
        <v>5.0565518378769472</v>
      </c>
      <c r="M70" s="6">
        <f t="shared" ref="M70:AH70" si="120">M12/M15</f>
        <v>5.0371904654822321</v>
      </c>
      <c r="N70" s="6">
        <f t="shared" si="120"/>
        <v>5.7229740128771516</v>
      </c>
      <c r="O70" s="6">
        <f t="shared" si="120"/>
        <v>6.5359829783142258</v>
      </c>
      <c r="P70" s="6">
        <f t="shared" si="120"/>
        <v>5.9602647069337742</v>
      </c>
      <c r="Q70" s="6">
        <f t="shared" si="120"/>
        <v>6.9420248011156698</v>
      </c>
      <c r="R70" s="6">
        <f t="shared" si="120"/>
        <v>5.130607753705239</v>
      </c>
      <c r="S70" s="6">
        <f t="shared" si="120"/>
        <v>6.1406287515403779</v>
      </c>
      <c r="T70" s="6">
        <f t="shared" si="120"/>
        <v>3.4995710147020254</v>
      </c>
      <c r="U70" s="6">
        <f t="shared" si="120"/>
        <v>3.3866769314554817</v>
      </c>
      <c r="V70" s="6">
        <f t="shared" si="120"/>
        <v>2.9299930685827924</v>
      </c>
      <c r="W70" s="6">
        <f t="shared" si="120"/>
        <v>1.8639294918197222</v>
      </c>
      <c r="X70" s="6">
        <f t="shared" si="120"/>
        <v>2.5077809080746687</v>
      </c>
      <c r="Y70" s="6">
        <f t="shared" si="120"/>
        <v>1.5643526319636691</v>
      </c>
      <c r="Z70" s="6">
        <f t="shared" si="120"/>
        <v>1.9662998374533764</v>
      </c>
      <c r="AA70" s="6">
        <f t="shared" si="120"/>
        <v>2.4972482245525609</v>
      </c>
      <c r="AB70" s="6">
        <f t="shared" si="120"/>
        <v>2.0700209909301113</v>
      </c>
      <c r="AC70" s="6">
        <f t="shared" si="120"/>
        <v>2.4853714396484285</v>
      </c>
      <c r="AD70" s="6">
        <f t="shared" si="120"/>
        <v>2.4911267146859686</v>
      </c>
      <c r="AE70" s="6">
        <f t="shared" si="120"/>
        <v>2.4983616540448814</v>
      </c>
      <c r="AF70" s="6">
        <f t="shared" si="120"/>
        <v>2.4976900288425319</v>
      </c>
      <c r="AG70" s="6">
        <f t="shared" si="120"/>
        <v>2.4970205815726314</v>
      </c>
      <c r="AH70" s="6">
        <f t="shared" si="120"/>
        <v>2.4963657721609929</v>
      </c>
      <c r="AI70" s="6">
        <f t="shared" ref="AI70:AL70" si="121">AI12/AI15</f>
        <v>2.4957113060889005</v>
      </c>
      <c r="AJ70" s="6">
        <f t="shared" si="121"/>
        <v>2.4950571830863848</v>
      </c>
      <c r="AK70" s="6">
        <f t="shared" si="121"/>
        <v>2.4944034028837634</v>
      </c>
      <c r="AL70" s="6">
        <f t="shared" si="121"/>
        <v>2.4937499652116353</v>
      </c>
      <c r="AO70" s="2"/>
      <c r="AP70" s="2"/>
      <c r="AQ70" s="2"/>
      <c r="AR70" s="2"/>
      <c r="AS70" s="2"/>
      <c r="AT70" s="2"/>
      <c r="AU70" s="2"/>
      <c r="AV70" s="2"/>
    </row>
    <row r="71" spans="1:48" x14ac:dyDescent="0.2">
      <c r="A71" s="2"/>
      <c r="B71" s="2" t="s">
        <v>321</v>
      </c>
      <c r="C71" s="6"/>
      <c r="D71" s="6"/>
      <c r="E71" s="6"/>
      <c r="F71" s="97"/>
      <c r="G71" s="97"/>
      <c r="H71" s="97"/>
      <c r="I71" s="97"/>
      <c r="J71" s="97">
        <f>IF(ISERROR(J17/J15),"na",J17/J15)</f>
        <v>4.8033539923430659</v>
      </c>
      <c r="K71" s="97">
        <f>IF(ISERROR(K17/K15),"na",K17/K15)</f>
        <v>-4.2941891693405951</v>
      </c>
      <c r="L71" s="97">
        <f>IF(ISERROR(L17/L15),"na",L17/L15)</f>
        <v>3.7745980083441357</v>
      </c>
      <c r="M71" s="6">
        <f t="shared" ref="M71:AH71" si="122">M17/M15</f>
        <v>4.578651009403873</v>
      </c>
      <c r="N71" s="6">
        <f t="shared" si="122"/>
        <v>10.145621999655756</v>
      </c>
      <c r="O71" s="6">
        <f t="shared" si="122"/>
        <v>7.6109317002080124</v>
      </c>
      <c r="P71" s="6">
        <f t="shared" si="122"/>
        <v>3.0115774385907526</v>
      </c>
      <c r="Q71" s="6">
        <f t="shared" si="122"/>
        <v>5.7920328138601445</v>
      </c>
      <c r="R71" s="6">
        <f t="shared" si="122"/>
        <v>4.7296366326341364</v>
      </c>
      <c r="S71" s="6">
        <f t="shared" si="122"/>
        <v>1.8843761512360548</v>
      </c>
      <c r="T71" s="6">
        <f t="shared" si="122"/>
        <v>13.213397336836898</v>
      </c>
      <c r="U71" s="6">
        <f t="shared" si="122"/>
        <v>3.8585419712879037</v>
      </c>
      <c r="V71" s="6">
        <f t="shared" si="122"/>
        <v>2.3038444682820653</v>
      </c>
      <c r="W71" s="6">
        <f t="shared" si="122"/>
        <v>1.0338444517263916</v>
      </c>
      <c r="X71" s="6">
        <f t="shared" si="122"/>
        <v>0.42667327012858713</v>
      </c>
      <c r="Y71" s="6">
        <f t="shared" si="122"/>
        <v>0.14018183413595539</v>
      </c>
      <c r="Z71" s="6">
        <f t="shared" si="122"/>
        <v>1.4918198355313417</v>
      </c>
      <c r="AA71" s="6">
        <f t="shared" si="122"/>
        <v>1.9815965418215247</v>
      </c>
      <c r="AB71" s="6">
        <f t="shared" si="122"/>
        <v>1.8042443455263713</v>
      </c>
      <c r="AC71" s="6">
        <f t="shared" si="122"/>
        <v>1.923883985481883</v>
      </c>
      <c r="AD71" s="6">
        <f t="shared" si="122"/>
        <v>1.3911577941452988</v>
      </c>
      <c r="AE71" s="6">
        <f t="shared" si="122"/>
        <v>1.65828837901252</v>
      </c>
      <c r="AF71" s="6">
        <f t="shared" si="122"/>
        <v>1.8019827822385979</v>
      </c>
      <c r="AG71" s="6">
        <f t="shared" si="122"/>
        <v>1.8120373284375779</v>
      </c>
      <c r="AH71" s="6">
        <f t="shared" si="122"/>
        <v>1.9528208250747716</v>
      </c>
      <c r="AI71" s="6">
        <f t="shared" ref="AI71:AL71" si="123">AI17/AI15</f>
        <v>1.8703435626794238</v>
      </c>
      <c r="AJ71" s="6">
        <f t="shared" si="123"/>
        <v>1.8730788110664138</v>
      </c>
      <c r="AK71" s="6">
        <f t="shared" si="123"/>
        <v>2.0004366143657384</v>
      </c>
      <c r="AL71" s="6">
        <f t="shared" si="123"/>
        <v>1.9810570852361122</v>
      </c>
      <c r="AO71" s="2"/>
      <c r="AP71" s="2"/>
      <c r="AQ71" s="2"/>
      <c r="AR71" s="2"/>
      <c r="AS71" s="2"/>
      <c r="AT71" s="2"/>
      <c r="AU71" s="2"/>
      <c r="AV71" s="2"/>
    </row>
    <row r="72" spans="1:48" x14ac:dyDescent="0.2">
      <c r="A72" s="2"/>
      <c r="B72" s="2" t="s">
        <v>361</v>
      </c>
      <c r="C72" s="2"/>
      <c r="D72" s="2"/>
      <c r="E72" s="2"/>
      <c r="F72" s="6"/>
      <c r="G72" s="6"/>
      <c r="H72" s="6"/>
      <c r="I72" s="6"/>
      <c r="J72" s="6">
        <f t="shared" ref="J72:Z72" si="124">J288/J284%</f>
        <v>214.20750031612283</v>
      </c>
      <c r="K72" s="6">
        <f t="shared" si="124"/>
        <v>198.00436207426131</v>
      </c>
      <c r="L72" s="6">
        <f t="shared" si="124"/>
        <v>156.67999664420142</v>
      </c>
      <c r="M72" s="6">
        <f t="shared" si="124"/>
        <v>131.77297004412111</v>
      </c>
      <c r="N72" s="6">
        <f t="shared" si="124"/>
        <v>67.013011472214416</v>
      </c>
      <c r="O72" s="6">
        <f t="shared" si="124"/>
        <v>42.517178861606645</v>
      </c>
      <c r="P72" s="6">
        <f t="shared" si="124"/>
        <v>-20.317109144542773</v>
      </c>
      <c r="Q72" s="6">
        <f t="shared" si="124"/>
        <v>78.667031029619181</v>
      </c>
      <c r="R72" s="6">
        <f t="shared" si="124"/>
        <v>58.206888595912979</v>
      </c>
      <c r="S72" s="6">
        <f t="shared" si="124"/>
        <v>64.352941176470594</v>
      </c>
      <c r="T72" s="6">
        <f t="shared" si="124"/>
        <v>24.284957627118644</v>
      </c>
      <c r="U72" s="6">
        <f t="shared" si="124"/>
        <v>4.7804455980964748</v>
      </c>
      <c r="V72" s="6">
        <f t="shared" si="124"/>
        <v>-1.7745709828393135</v>
      </c>
      <c r="W72" s="6">
        <f t="shared" si="124"/>
        <v>-8.4672084672084669</v>
      </c>
      <c r="X72" s="6">
        <f t="shared" si="124"/>
        <v>-5.3639846743295019</v>
      </c>
      <c r="Y72" s="6">
        <f t="shared" si="124"/>
        <v>3.275536725175348</v>
      </c>
      <c r="Z72" s="6">
        <f t="shared" si="124"/>
        <v>8.1267705382436262</v>
      </c>
      <c r="AA72" s="6">
        <f t="shared" ref="AA72:AH72" si="125">AA288/AA284%</f>
        <v>1.5959095134800123</v>
      </c>
      <c r="AB72" s="6">
        <f t="shared" si="125"/>
        <v>-7.5144149324712934</v>
      </c>
      <c r="AC72" s="6">
        <f t="shared" si="125"/>
        <v>-1.6180266321743551</v>
      </c>
      <c r="AD72" s="6">
        <f t="shared" si="125"/>
        <v>9.0280208440779326</v>
      </c>
      <c r="AE72" s="6">
        <f t="shared" si="125"/>
        <v>7.1001197268661915</v>
      </c>
      <c r="AF72" s="6">
        <f t="shared" si="125"/>
        <v>2.4404813830236018</v>
      </c>
      <c r="AG72" s="6">
        <f t="shared" si="125"/>
        <v>-7.3217404649784799</v>
      </c>
      <c r="AH72" s="6">
        <f t="shared" si="125"/>
        <v>-16.54853330838991</v>
      </c>
      <c r="AI72" s="6">
        <f t="shared" ref="AI72:AL72" si="126">AI288/AI284%</f>
        <v>-22.905497765405979</v>
      </c>
      <c r="AJ72" s="6">
        <f t="shared" si="126"/>
        <v>-27.917927836667683</v>
      </c>
      <c r="AK72" s="6">
        <f t="shared" si="126"/>
        <v>-33.116006054042018</v>
      </c>
      <c r="AL72" s="6">
        <f t="shared" si="126"/>
        <v>-37.259123074378579</v>
      </c>
      <c r="AO72" s="2"/>
      <c r="AP72" s="2"/>
      <c r="AQ72" s="2"/>
      <c r="AR72" s="2"/>
      <c r="AS72" s="2"/>
      <c r="AT72" s="2"/>
      <c r="AU72" s="2"/>
      <c r="AV72" s="2"/>
    </row>
    <row r="73" spans="1:48" x14ac:dyDescent="0.2">
      <c r="A73" s="2"/>
      <c r="B73" s="2" t="s">
        <v>64</v>
      </c>
      <c r="C73" s="2"/>
      <c r="D73" s="2"/>
      <c r="E73" s="2"/>
      <c r="F73" s="6"/>
      <c r="G73" s="6"/>
      <c r="H73" s="6"/>
      <c r="I73" s="6"/>
      <c r="J73" s="6">
        <f t="shared" ref="J73:AH73" si="127">(J105-J408)/(-J408-J123)</f>
        <v>4.0809095486445655</v>
      </c>
      <c r="K73" s="6">
        <f t="shared" si="127"/>
        <v>3.4084341345605713</v>
      </c>
      <c r="L73" s="6">
        <f t="shared" si="127"/>
        <v>3.4057785951838668</v>
      </c>
      <c r="M73" s="6">
        <f t="shared" si="127"/>
        <v>3.47613845553097</v>
      </c>
      <c r="N73" s="6">
        <f t="shared" si="127"/>
        <v>4.2477465342089005</v>
      </c>
      <c r="O73" s="6">
        <f t="shared" si="127"/>
        <v>4.5189931104736871</v>
      </c>
      <c r="P73" s="6">
        <f t="shared" si="127"/>
        <v>4.4403901345291477</v>
      </c>
      <c r="Q73" s="6">
        <f t="shared" si="127"/>
        <v>3.1009174311926606</v>
      </c>
      <c r="R73" s="6">
        <f t="shared" si="127"/>
        <v>3.1634819532908707</v>
      </c>
      <c r="S73" s="6">
        <f t="shared" si="127"/>
        <v>2.925170068027211</v>
      </c>
      <c r="T73" s="6">
        <f t="shared" si="127"/>
        <v>2.1301587301587301</v>
      </c>
      <c r="U73" s="6">
        <f t="shared" si="127"/>
        <v>2.6867088607594938</v>
      </c>
      <c r="V73" s="6">
        <f t="shared" si="127"/>
        <v>2.768987341772152</v>
      </c>
      <c r="W73" s="6">
        <f t="shared" si="127"/>
        <v>2.953257790368272</v>
      </c>
      <c r="X73" s="6">
        <f t="shared" si="127"/>
        <v>2.9554054054054055</v>
      </c>
      <c r="Y73" s="6">
        <f t="shared" si="127"/>
        <v>2.7871201157742398</v>
      </c>
      <c r="Z73" s="6">
        <f t="shared" si="127"/>
        <v>3.0328810863437048</v>
      </c>
      <c r="AA73" s="6">
        <f t="shared" si="127"/>
        <v>3.4683870967741934</v>
      </c>
      <c r="AB73" s="6">
        <f t="shared" si="127"/>
        <v>4.1902061855670105</v>
      </c>
      <c r="AC73" s="6">
        <f t="shared" si="127"/>
        <v>4.5727645834784107</v>
      </c>
      <c r="AD73" s="6">
        <f t="shared" si="127"/>
        <v>4.8279538019619848</v>
      </c>
      <c r="AE73" s="6">
        <f t="shared" si="127"/>
        <v>5.0892338891356745</v>
      </c>
      <c r="AF73" s="6">
        <f t="shared" si="127"/>
        <v>5.5757393562118471</v>
      </c>
      <c r="AG73" s="6">
        <f t="shared" si="127"/>
        <v>6.0134590668530832</v>
      </c>
      <c r="AH73" s="6">
        <f t="shared" si="127"/>
        <v>6.5421927696295112</v>
      </c>
      <c r="AI73" s="6">
        <f t="shared" ref="AI73:AL73" si="128">(AI105-AI408)/(-AI408-AI123)</f>
        <v>6.984014779981166</v>
      </c>
      <c r="AJ73" s="6">
        <f t="shared" si="128"/>
        <v>7.332873350592215</v>
      </c>
      <c r="AK73" s="6">
        <f t="shared" si="128"/>
        <v>7.7746555964840836</v>
      </c>
      <c r="AL73" s="6">
        <f t="shared" si="128"/>
        <v>8.3190386343578417</v>
      </c>
      <c r="AO73" s="2"/>
      <c r="AP73" s="2"/>
      <c r="AQ73" s="2"/>
      <c r="AR73" s="2"/>
      <c r="AS73" s="2"/>
      <c r="AT73" s="2"/>
      <c r="AU73" s="2"/>
      <c r="AV73" s="2"/>
    </row>
    <row r="74" spans="1:48" x14ac:dyDescent="0.2">
      <c r="A74" s="2"/>
      <c r="B74" s="2"/>
      <c r="C74" s="2"/>
      <c r="D74" s="2"/>
      <c r="E74" s="2"/>
      <c r="F74" s="2"/>
      <c r="G74" s="2"/>
      <c r="H74" s="2"/>
      <c r="I74" s="2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O74" s="2"/>
      <c r="AP74" s="2"/>
      <c r="AQ74" s="2"/>
      <c r="AR74" s="2"/>
      <c r="AS74" s="2"/>
      <c r="AT74" s="2"/>
      <c r="AU74" s="2"/>
      <c r="AV74" s="2"/>
    </row>
    <row r="75" spans="1:48" x14ac:dyDescent="0.2">
      <c r="A75" s="2"/>
      <c r="B75" s="5" t="s">
        <v>21</v>
      </c>
      <c r="C75" s="5"/>
      <c r="D75" s="5"/>
      <c r="E75" s="5"/>
      <c r="F75" s="5"/>
      <c r="G75" s="5"/>
      <c r="H75" s="5"/>
      <c r="I75" s="5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O75" s="2"/>
      <c r="AP75" s="2"/>
      <c r="AQ75" s="2"/>
      <c r="AR75" s="2"/>
      <c r="AS75" s="2"/>
      <c r="AT75" s="2"/>
      <c r="AU75" s="2"/>
      <c r="AV75" s="2"/>
    </row>
    <row r="76" spans="1:48" x14ac:dyDescent="0.2">
      <c r="A76" s="2"/>
      <c r="B76" s="5" t="str">
        <f>+B63</f>
        <v>Yr end December</v>
      </c>
      <c r="C76" s="3">
        <f t="shared" ref="C76:AH76" si="129">C5</f>
        <v>1992</v>
      </c>
      <c r="D76" s="3">
        <f t="shared" si="129"/>
        <v>1993</v>
      </c>
      <c r="E76" s="3">
        <f t="shared" si="129"/>
        <v>1994</v>
      </c>
      <c r="F76" s="3">
        <f t="shared" si="129"/>
        <v>1995</v>
      </c>
      <c r="G76" s="3">
        <f t="shared" si="129"/>
        <v>1996</v>
      </c>
      <c r="H76" s="3">
        <f t="shared" si="129"/>
        <v>1997</v>
      </c>
      <c r="I76" s="3">
        <f t="shared" si="129"/>
        <v>1998</v>
      </c>
      <c r="J76" s="3">
        <f t="shared" si="129"/>
        <v>1999</v>
      </c>
      <c r="K76" s="3">
        <f t="shared" si="129"/>
        <v>2000</v>
      </c>
      <c r="L76" s="3">
        <f t="shared" si="129"/>
        <v>2001</v>
      </c>
      <c r="M76" s="3">
        <f t="shared" si="129"/>
        <v>2002</v>
      </c>
      <c r="N76" s="3">
        <f t="shared" si="129"/>
        <v>2003</v>
      </c>
      <c r="O76" s="3">
        <f t="shared" si="129"/>
        <v>2004</v>
      </c>
      <c r="P76" s="3">
        <f t="shared" si="129"/>
        <v>2005</v>
      </c>
      <c r="Q76" s="3">
        <f t="shared" si="129"/>
        <v>2006</v>
      </c>
      <c r="R76" s="84">
        <f t="shared" si="129"/>
        <v>2007</v>
      </c>
      <c r="S76" s="84">
        <f t="shared" si="129"/>
        <v>2008</v>
      </c>
      <c r="T76" s="84">
        <f t="shared" si="129"/>
        <v>2009</v>
      </c>
      <c r="U76" s="84">
        <f t="shared" si="129"/>
        <v>2010</v>
      </c>
      <c r="V76" s="84">
        <f t="shared" si="129"/>
        <v>2011</v>
      </c>
      <c r="W76" s="84">
        <f t="shared" si="129"/>
        <v>2012</v>
      </c>
      <c r="X76" s="84">
        <f t="shared" si="129"/>
        <v>2013</v>
      </c>
      <c r="Y76" s="84">
        <f t="shared" si="129"/>
        <v>2014</v>
      </c>
      <c r="Z76" s="84">
        <f t="shared" si="129"/>
        <v>2015</v>
      </c>
      <c r="AA76" s="84">
        <f t="shared" si="129"/>
        <v>2016</v>
      </c>
      <c r="AB76" s="84">
        <f t="shared" si="129"/>
        <v>2017</v>
      </c>
      <c r="AC76" s="49">
        <f t="shared" si="129"/>
        <v>2018</v>
      </c>
      <c r="AD76" s="49">
        <f t="shared" si="129"/>
        <v>2019</v>
      </c>
      <c r="AE76" s="49">
        <f t="shared" si="129"/>
        <v>2020</v>
      </c>
      <c r="AF76" s="49">
        <f t="shared" si="129"/>
        <v>2021</v>
      </c>
      <c r="AG76" s="49">
        <f t="shared" si="129"/>
        <v>2022</v>
      </c>
      <c r="AH76" s="49">
        <f t="shared" si="129"/>
        <v>2023</v>
      </c>
      <c r="AI76" s="49">
        <f t="shared" ref="AI76:AL76" si="130">AI5</f>
        <v>2024</v>
      </c>
      <c r="AJ76" s="49">
        <f t="shared" si="130"/>
        <v>2025</v>
      </c>
      <c r="AK76" s="49">
        <f t="shared" si="130"/>
        <v>2026</v>
      </c>
      <c r="AL76" s="49">
        <f t="shared" si="130"/>
        <v>2027</v>
      </c>
      <c r="AO76" s="2"/>
      <c r="AP76" s="2"/>
      <c r="AQ76" s="2"/>
      <c r="AR76" s="2"/>
      <c r="AS76" s="2"/>
      <c r="AT76" s="2"/>
      <c r="AU76" s="2"/>
      <c r="AV76" s="2"/>
    </row>
    <row r="77" spans="1:48" x14ac:dyDescent="0.2">
      <c r="A77" s="2"/>
      <c r="B77" s="2" t="s">
        <v>22</v>
      </c>
      <c r="C77" s="2"/>
      <c r="D77" s="2"/>
      <c r="E77" s="2"/>
      <c r="F77" s="97"/>
      <c r="G77" s="97"/>
      <c r="H77" s="97"/>
      <c r="I77" s="97"/>
      <c r="J77" s="97"/>
      <c r="K77" s="97">
        <f>Returns!K30</f>
        <v>10.878728510740912</v>
      </c>
      <c r="L77" s="97">
        <f>Returns!L30</f>
        <v>10.40671774426211</v>
      </c>
      <c r="M77" s="97">
        <f>Returns!M30</f>
        <v>10.414020447174037</v>
      </c>
      <c r="N77" s="97">
        <f>Returns!N30</f>
        <v>11.049319141956612</v>
      </c>
      <c r="O77" s="97">
        <f>Returns!O30</f>
        <v>14.995509466802694</v>
      </c>
      <c r="P77" s="6">
        <f>Returns!P30</f>
        <v>19.88229749780826</v>
      </c>
      <c r="Q77" s="6">
        <f>Returns!Q30</f>
        <v>26.175522206388255</v>
      </c>
      <c r="R77" s="6">
        <f>Returns!R30</f>
        <v>12.425524586470511</v>
      </c>
      <c r="S77" s="6">
        <f>Returns!S30</f>
        <v>15.480435360847718</v>
      </c>
      <c r="T77" s="6">
        <f>Returns!T30</f>
        <v>6.0778606867992337</v>
      </c>
      <c r="U77" s="6">
        <f>Returns!U30</f>
        <v>12.989997697679774</v>
      </c>
      <c r="V77" s="6">
        <f>Returns!V30</f>
        <v>13.271715787236223</v>
      </c>
      <c r="W77" s="6">
        <f>Returns!W30</f>
        <v>12.408241129339947</v>
      </c>
      <c r="X77" s="6">
        <f>Returns!X30</f>
        <v>16.417951945484969</v>
      </c>
      <c r="Y77" s="6">
        <f>Returns!Y30</f>
        <v>11.407675214610421</v>
      </c>
      <c r="Z77" s="6">
        <f>Returns!Z30</f>
        <v>11.697231641064487</v>
      </c>
      <c r="AA77" s="6">
        <f>Returns!AA30</f>
        <v>17.473909090909089</v>
      </c>
      <c r="AB77" s="6">
        <f>Returns!AB30</f>
        <v>20.061034461805558</v>
      </c>
      <c r="AC77" s="6">
        <f>Returns!AC30</f>
        <v>26.441468904169454</v>
      </c>
      <c r="AD77" s="6">
        <f>Returns!AD30</f>
        <v>29.061113998193065</v>
      </c>
      <c r="AE77" s="6">
        <f>Returns!AE30</f>
        <v>29.379251969400315</v>
      </c>
      <c r="AF77" s="6">
        <f>Returns!AF30</f>
        <v>31.409651224355081</v>
      </c>
      <c r="AG77" s="6">
        <f>Returns!AG30</f>
        <v>32.916650789235668</v>
      </c>
      <c r="AH77" s="6">
        <f>Returns!AH30</f>
        <v>34.160796982560463</v>
      </c>
      <c r="AI77" s="6">
        <f>Returns!AI30</f>
        <v>34.78914148286183</v>
      </c>
      <c r="AJ77" s="6">
        <f>Returns!AJ30</f>
        <v>34.297971802571055</v>
      </c>
      <c r="AK77" s="6">
        <f>Returns!AK30</f>
        <v>34.244775417660776</v>
      </c>
      <c r="AL77" s="6">
        <f>Returns!AL30</f>
        <v>34.912837247609843</v>
      </c>
      <c r="AO77" s="2"/>
      <c r="AP77" s="2"/>
      <c r="AQ77" s="2"/>
      <c r="AR77" s="2"/>
      <c r="AS77" s="2"/>
      <c r="AT77" s="2"/>
      <c r="AU77" s="2"/>
      <c r="AV77" s="2"/>
    </row>
    <row r="78" spans="1:48" x14ac:dyDescent="0.2">
      <c r="A78" s="2"/>
      <c r="B78" s="2" t="s">
        <v>23</v>
      </c>
      <c r="C78" s="2"/>
      <c r="D78" s="2"/>
      <c r="E78" s="2"/>
      <c r="F78" s="6"/>
      <c r="G78" s="6"/>
      <c r="H78" s="6"/>
      <c r="I78" s="6"/>
      <c r="J78" s="6"/>
      <c r="K78" s="6">
        <f>Returns!K47</f>
        <v>24.300850475596295</v>
      </c>
      <c r="L78" s="6">
        <f>Returns!L47</f>
        <v>22.786904685789686</v>
      </c>
      <c r="M78" s="6">
        <f>Returns!M47</f>
        <v>21.81050128532253</v>
      </c>
      <c r="N78" s="6">
        <f>Returns!N47</f>
        <v>21.354459657575301</v>
      </c>
      <c r="O78" s="6">
        <f>Returns!O47</f>
        <v>22.452768178082653</v>
      </c>
      <c r="P78" s="6">
        <f>Returns!P47</f>
        <v>20.208959679008256</v>
      </c>
      <c r="Q78" s="6">
        <f>Returns!Q47</f>
        <v>17.525399129172715</v>
      </c>
      <c r="R78" s="6">
        <f>Returns!R47</f>
        <v>18.83438728422492</v>
      </c>
      <c r="S78" s="6">
        <f>Returns!S47</f>
        <v>20.034326728038696</v>
      </c>
      <c r="T78" s="6">
        <f>Returns!T47</f>
        <v>6.8464440407992182</v>
      </c>
      <c r="U78" s="6">
        <f>Returns!U47</f>
        <v>13.520925241445093</v>
      </c>
      <c r="V78" s="6">
        <f>Returns!V47</f>
        <v>12.570491130934071</v>
      </c>
      <c r="W78" s="6">
        <f>Returns!W47</f>
        <v>10.084283114644192</v>
      </c>
      <c r="X78" s="6">
        <f>Returns!X47</f>
        <v>14.268507365885295</v>
      </c>
      <c r="Y78" s="6">
        <f>Returns!Y47</f>
        <v>10.040493116170245</v>
      </c>
      <c r="Z78" s="6">
        <f>Returns!Z47</f>
        <v>12.046937848129977</v>
      </c>
      <c r="AA78" s="6">
        <f>Returns!AA47</f>
        <v>17.796819642415752</v>
      </c>
      <c r="AB78" s="6">
        <f>Returns!AB47</f>
        <v>20.930664933014469</v>
      </c>
      <c r="AC78" s="6">
        <f>Returns!AC47</f>
        <v>25.547953154650823</v>
      </c>
      <c r="AD78" s="6">
        <f>Returns!AD47</f>
        <v>29.220021755427666</v>
      </c>
      <c r="AE78" s="6">
        <f>Returns!AE47</f>
        <v>30.970093511457002</v>
      </c>
      <c r="AF78" s="6">
        <f>Returns!AF47</f>
        <v>32.229466018978428</v>
      </c>
      <c r="AG78" s="6">
        <f>Returns!AG47</f>
        <v>31.318084310825864</v>
      </c>
      <c r="AH78" s="6">
        <f>Returns!AH47</f>
        <v>29.643564176161426</v>
      </c>
      <c r="AI78" s="6">
        <f>Returns!AI47</f>
        <v>27.469291509371072</v>
      </c>
      <c r="AJ78" s="6">
        <f>Returns!AJ47</f>
        <v>25.257919388897516</v>
      </c>
      <c r="AK78" s="6">
        <f>Returns!AK47</f>
        <v>23.744571848908752</v>
      </c>
      <c r="AL78" s="6">
        <f>Returns!AL47</f>
        <v>22.609561897412103</v>
      </c>
      <c r="AO78" s="2"/>
      <c r="AP78" s="2"/>
      <c r="AQ78" s="2"/>
      <c r="AR78" s="2"/>
      <c r="AS78" s="28"/>
      <c r="AT78" s="2"/>
      <c r="AU78" s="2"/>
      <c r="AV78" s="2"/>
    </row>
    <row r="79" spans="1:48" x14ac:dyDescent="0.2">
      <c r="A79" s="2"/>
      <c r="B79" s="2" t="s">
        <v>27</v>
      </c>
      <c r="C79" s="2"/>
      <c r="D79" s="2"/>
      <c r="E79" s="2"/>
      <c r="F79" s="97"/>
      <c r="G79" s="97"/>
      <c r="H79" s="97"/>
      <c r="I79" s="97"/>
      <c r="J79" s="97"/>
      <c r="K79" s="97">
        <f>Returns!K40</f>
        <v>10.878728510740912</v>
      </c>
      <c r="L79" s="97">
        <f>Returns!L40</f>
        <v>10.40671774426211</v>
      </c>
      <c r="M79" s="97">
        <f>Returns!M40</f>
        <v>10.414020447174039</v>
      </c>
      <c r="N79" s="97">
        <f>Returns!N40</f>
        <v>11.049319141956611</v>
      </c>
      <c r="O79" s="97">
        <f>Returns!O40</f>
        <v>14.995509466802694</v>
      </c>
      <c r="P79" s="97">
        <f>Returns!P40</f>
        <v>19.88229749780826</v>
      </c>
      <c r="Q79" s="97">
        <f>Returns!Q40</f>
        <v>25.437407733396665</v>
      </c>
      <c r="R79" s="97">
        <f>Returns!R40</f>
        <v>12.251220877326212</v>
      </c>
      <c r="S79" s="97">
        <f>Returns!S40</f>
        <v>15.254294472623091</v>
      </c>
      <c r="T79" s="97">
        <f>Returns!T40</f>
        <v>6.0095701172846354</v>
      </c>
      <c r="U79" s="97">
        <f>Returns!U40</f>
        <v>12.85482326744479</v>
      </c>
      <c r="V79" s="97">
        <f>Returns!V40</f>
        <v>13.094481562269204</v>
      </c>
      <c r="W79" s="97">
        <f>Returns!W40</f>
        <v>12.175964058405093</v>
      </c>
      <c r="X79" s="97">
        <f>Returns!X40</f>
        <v>16.07400484533931</v>
      </c>
      <c r="Y79" s="97">
        <f>Returns!Y40</f>
        <v>11.224112912296132</v>
      </c>
      <c r="Z79" s="97">
        <f>Returns!Z40</f>
        <v>11.472139864062314</v>
      </c>
      <c r="AA79" s="97">
        <f>Returns!AA40</f>
        <v>17.020387786259541</v>
      </c>
      <c r="AB79" s="97">
        <f>Returns!AB40</f>
        <v>19.596081147540986</v>
      </c>
      <c r="AC79" s="97">
        <f>Returns!AC40</f>
        <v>25.765364114452947</v>
      </c>
      <c r="AD79" s="97">
        <f>Returns!AD40</f>
        <v>28.358585410014136</v>
      </c>
      <c r="AE79" s="97">
        <f>Returns!AE40</f>
        <v>28.747375245365816</v>
      </c>
      <c r="AF79" s="97">
        <f>Returns!AF40</f>
        <v>30.793109329131678</v>
      </c>
      <c r="AG79" s="97">
        <f>Returns!AG40</f>
        <v>32.321228988489459</v>
      </c>
      <c r="AH79" s="97">
        <f>Returns!AH40</f>
        <v>33.592980245461412</v>
      </c>
      <c r="AI79" s="97">
        <f>Returns!AI40</f>
        <v>34.250330475769445</v>
      </c>
      <c r="AJ79" s="97">
        <f>Returns!AJ40</f>
        <v>33.808960563721193</v>
      </c>
      <c r="AK79" s="97">
        <f>Returns!AK40</f>
        <v>33.794813181679402</v>
      </c>
      <c r="AL79" s="97">
        <f>Returns!AL40</f>
        <v>34.483264197463747</v>
      </c>
      <c r="AO79" s="2"/>
      <c r="AP79" s="2"/>
      <c r="AQ79" s="2"/>
      <c r="AR79" s="2"/>
      <c r="AS79" s="6"/>
      <c r="AT79" s="2"/>
      <c r="AU79" s="2"/>
      <c r="AV79" s="2"/>
    </row>
    <row r="80" spans="1:48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152"/>
      <c r="T80" s="152"/>
      <c r="U80" s="2"/>
      <c r="V80" s="2"/>
      <c r="W80" s="2"/>
      <c r="X80" s="2"/>
      <c r="Y80" s="2"/>
      <c r="AO80" s="2"/>
      <c r="AP80" s="2"/>
      <c r="AQ80" s="2"/>
      <c r="AR80" s="2"/>
      <c r="AS80" s="6"/>
      <c r="AT80" s="2"/>
      <c r="AU80" s="2"/>
      <c r="AV80" s="2"/>
    </row>
    <row r="81" spans="1:48" x14ac:dyDescent="0.2">
      <c r="A81" s="2"/>
      <c r="B81" s="5" t="s">
        <v>322</v>
      </c>
      <c r="C81" s="5"/>
      <c r="D81" s="5"/>
      <c r="E81" s="5"/>
      <c r="F81" s="5"/>
      <c r="G81" s="5"/>
      <c r="H81" s="5"/>
      <c r="I81" s="5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O81" s="2"/>
      <c r="AP81" s="2"/>
      <c r="AQ81" s="2"/>
      <c r="AR81" s="2"/>
      <c r="AS81" s="6"/>
      <c r="AT81" s="2"/>
      <c r="AU81" s="2"/>
      <c r="AV81" s="2"/>
    </row>
    <row r="82" spans="1:48" x14ac:dyDescent="0.2">
      <c r="A82" s="2"/>
      <c r="B82" s="3" t="str">
        <f>+$B$5</f>
        <v>€ Millions, Yr end December</v>
      </c>
      <c r="C82" s="3">
        <f t="shared" ref="C82:AH82" si="131">C5</f>
        <v>1992</v>
      </c>
      <c r="D82" s="3">
        <f t="shared" si="131"/>
        <v>1993</v>
      </c>
      <c r="E82" s="3">
        <f t="shared" si="131"/>
        <v>1994</v>
      </c>
      <c r="F82" s="3">
        <f t="shared" si="131"/>
        <v>1995</v>
      </c>
      <c r="G82" s="3">
        <f t="shared" si="131"/>
        <v>1996</v>
      </c>
      <c r="H82" s="3">
        <f t="shared" si="131"/>
        <v>1997</v>
      </c>
      <c r="I82" s="3">
        <f t="shared" si="131"/>
        <v>1998</v>
      </c>
      <c r="J82" s="3">
        <f t="shared" si="131"/>
        <v>1999</v>
      </c>
      <c r="K82" s="3">
        <f t="shared" si="131"/>
        <v>2000</v>
      </c>
      <c r="L82" s="3">
        <f t="shared" si="131"/>
        <v>2001</v>
      </c>
      <c r="M82" s="3">
        <f t="shared" si="131"/>
        <v>2002</v>
      </c>
      <c r="N82" s="3">
        <f t="shared" si="131"/>
        <v>2003</v>
      </c>
      <c r="O82" s="3">
        <f t="shared" si="131"/>
        <v>2004</v>
      </c>
      <c r="P82" s="3">
        <f t="shared" si="131"/>
        <v>2005</v>
      </c>
      <c r="Q82" s="3">
        <f t="shared" si="131"/>
        <v>2006</v>
      </c>
      <c r="R82" s="84">
        <f t="shared" si="131"/>
        <v>2007</v>
      </c>
      <c r="S82" s="84">
        <f t="shared" si="131"/>
        <v>2008</v>
      </c>
      <c r="T82" s="84">
        <f t="shared" si="131"/>
        <v>2009</v>
      </c>
      <c r="U82" s="84">
        <f t="shared" si="131"/>
        <v>2010</v>
      </c>
      <c r="V82" s="84">
        <f t="shared" si="131"/>
        <v>2011</v>
      </c>
      <c r="W82" s="84">
        <f t="shared" si="131"/>
        <v>2012</v>
      </c>
      <c r="X82" s="84">
        <f t="shared" si="131"/>
        <v>2013</v>
      </c>
      <c r="Y82" s="84">
        <f t="shared" si="131"/>
        <v>2014</v>
      </c>
      <c r="Z82" s="84">
        <f t="shared" si="131"/>
        <v>2015</v>
      </c>
      <c r="AA82" s="84">
        <f t="shared" si="131"/>
        <v>2016</v>
      </c>
      <c r="AB82" s="84">
        <f t="shared" si="131"/>
        <v>2017</v>
      </c>
      <c r="AC82" s="49">
        <f t="shared" si="131"/>
        <v>2018</v>
      </c>
      <c r="AD82" s="49">
        <f t="shared" si="131"/>
        <v>2019</v>
      </c>
      <c r="AE82" s="49">
        <f t="shared" si="131"/>
        <v>2020</v>
      </c>
      <c r="AF82" s="49">
        <f t="shared" si="131"/>
        <v>2021</v>
      </c>
      <c r="AG82" s="49">
        <f t="shared" si="131"/>
        <v>2022</v>
      </c>
      <c r="AH82" s="49">
        <f t="shared" si="131"/>
        <v>2023</v>
      </c>
      <c r="AI82" s="49">
        <f t="shared" ref="AI82:AL82" si="132">AI5</f>
        <v>2024</v>
      </c>
      <c r="AJ82" s="49">
        <f t="shared" si="132"/>
        <v>2025</v>
      </c>
      <c r="AK82" s="49">
        <f t="shared" si="132"/>
        <v>2026</v>
      </c>
      <c r="AL82" s="49">
        <f t="shared" si="132"/>
        <v>2027</v>
      </c>
      <c r="AO82" s="2"/>
      <c r="AP82" s="2"/>
      <c r="AQ82" s="2"/>
      <c r="AR82" s="2"/>
      <c r="AS82" s="10"/>
      <c r="AT82" s="2"/>
      <c r="AU82" s="2"/>
      <c r="AV82" s="2"/>
    </row>
    <row r="83" spans="1:48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6"/>
      <c r="S83" s="6"/>
      <c r="T83" s="6"/>
      <c r="U83" s="2"/>
      <c r="V83" s="2"/>
      <c r="W83" s="74"/>
      <c r="X83" s="151"/>
      <c r="Y83" s="12"/>
      <c r="Z83" s="6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">
      <c r="A84" s="2"/>
      <c r="B84" s="8" t="s">
        <v>301</v>
      </c>
      <c r="C84" s="8"/>
      <c r="D84" s="8"/>
      <c r="E84" s="8"/>
      <c r="F84" s="108">
        <v>1790</v>
      </c>
      <c r="G84" s="108">
        <v>2408</v>
      </c>
      <c r="H84" s="108">
        <v>3425</v>
      </c>
      <c r="I84" s="108">
        <v>5065</v>
      </c>
      <c r="J84" s="108">
        <v>5353.9489999999996</v>
      </c>
      <c r="K84" s="108">
        <v>5834.8050000000003</v>
      </c>
      <c r="L84" s="108">
        <v>6112.3469999999998</v>
      </c>
      <c r="M84" s="108">
        <v>6523.4189999999999</v>
      </c>
      <c r="N84" s="108">
        <v>6266.8</v>
      </c>
      <c r="O84" s="108">
        <v>5860.0079999999998</v>
      </c>
      <c r="P84" s="108">
        <v>6636</v>
      </c>
      <c r="Q84" s="108">
        <v>10084</v>
      </c>
      <c r="R84" s="89">
        <v>10299</v>
      </c>
      <c r="S84" s="89">
        <v>10799</v>
      </c>
      <c r="T84" s="89">
        <v>10381</v>
      </c>
      <c r="U84" s="89">
        <v>11990</v>
      </c>
      <c r="V84" s="89">
        <v>13322</v>
      </c>
      <c r="W84" s="89">
        <v>14883</v>
      </c>
      <c r="X84" s="89">
        <v>14203</v>
      </c>
      <c r="Y84" s="89">
        <v>14533.9</v>
      </c>
      <c r="Z84" s="89">
        <v>16915.049641526937</v>
      </c>
      <c r="AA84" s="89">
        <v>18483</v>
      </c>
      <c r="AB84" s="89">
        <f>Revs!J133</f>
        <v>21217</v>
      </c>
      <c r="AC84" s="89">
        <f>Revs!R133</f>
        <v>22404.229955568389</v>
      </c>
      <c r="AD84" s="89">
        <f>Revs!S133</f>
        <v>24520.882672427644</v>
      </c>
      <c r="AE84" s="89">
        <f>Revs!T133</f>
        <v>26517.6356799444</v>
      </c>
      <c r="AF84" s="89">
        <f>Revs!U133</f>
        <v>28386.247294431065</v>
      </c>
      <c r="AG84" s="89">
        <f>Revs!V133</f>
        <v>30268.657278039078</v>
      </c>
      <c r="AH84" s="89">
        <f>Revs!W133</f>
        <v>32218.84696009658</v>
      </c>
      <c r="AI84" s="89">
        <f>Revs!X133</f>
        <v>34083.310618779593</v>
      </c>
      <c r="AJ84" s="89">
        <f>Revs!Y133</f>
        <v>36060.855586066784</v>
      </c>
      <c r="AK84" s="89">
        <f>Revs!Z133</f>
        <v>38158.56304096018</v>
      </c>
      <c r="AL84" s="89">
        <f>Revs!AA133</f>
        <v>40341.939151286075</v>
      </c>
      <c r="AO84" s="6"/>
      <c r="AP84" s="2"/>
      <c r="AQ84" s="2"/>
      <c r="AR84" s="2"/>
      <c r="AS84" s="2"/>
      <c r="AT84" s="2"/>
      <c r="AU84" s="2"/>
      <c r="AV84" s="2"/>
    </row>
    <row r="85" spans="1:48" x14ac:dyDescent="0.2">
      <c r="A85" s="2"/>
      <c r="B85" s="35" t="s">
        <v>6</v>
      </c>
      <c r="C85" s="35"/>
      <c r="D85" s="35"/>
      <c r="E85" s="35"/>
      <c r="F85" s="93"/>
      <c r="G85" s="93">
        <f>(G84-F84)/F84%</f>
        <v>34.52513966480447</v>
      </c>
      <c r="H85" s="93">
        <f t="shared" ref="H85:T85" si="133">(H84-G84)/G84%</f>
        <v>42.234219269102994</v>
      </c>
      <c r="I85" s="93">
        <f t="shared" si="133"/>
        <v>47.883211678832119</v>
      </c>
      <c r="J85" s="93">
        <f t="shared" si="133"/>
        <v>5.7048173741362218</v>
      </c>
      <c r="K85" s="93">
        <f t="shared" si="133"/>
        <v>8.981333217780012</v>
      </c>
      <c r="L85" s="93">
        <f t="shared" si="133"/>
        <v>4.7566628190659239</v>
      </c>
      <c r="M85" s="93">
        <f t="shared" si="133"/>
        <v>6.725272632591051</v>
      </c>
      <c r="N85" s="93">
        <f t="shared" si="133"/>
        <v>-3.9338113955274019</v>
      </c>
      <c r="O85" s="93">
        <f t="shared" si="133"/>
        <v>-6.4912235909874321</v>
      </c>
      <c r="P85" s="93">
        <f t="shared" si="133"/>
        <v>13.242166222298676</v>
      </c>
      <c r="Q85" s="93">
        <f t="shared" si="133"/>
        <v>51.95901145268234</v>
      </c>
      <c r="R85" s="93">
        <f t="shared" si="133"/>
        <v>2.1320904403014675</v>
      </c>
      <c r="S85" s="94">
        <f t="shared" si="133"/>
        <v>4.8548402757549276</v>
      </c>
      <c r="T85" s="94">
        <f t="shared" si="133"/>
        <v>-3.8707287711825171</v>
      </c>
      <c r="U85" s="94">
        <f t="shared" ref="U85:Y85" si="134">(U84-T84)/T84%</f>
        <v>15.499470185916579</v>
      </c>
      <c r="V85" s="94">
        <f t="shared" si="134"/>
        <v>11.109257714762302</v>
      </c>
      <c r="W85" s="94">
        <f>(W84-V84)/V84%</f>
        <v>11.717459840864736</v>
      </c>
      <c r="X85" s="94">
        <f>(X84-W84)/W84%</f>
        <v>-4.5689713095478055</v>
      </c>
      <c r="Y85" s="94">
        <f t="shared" si="134"/>
        <v>2.3297894810955406</v>
      </c>
      <c r="Z85" s="94">
        <f t="shared" ref="Z85:AL85" si="135">(Z84-Y84)/Y84%</f>
        <v>16.383418363460169</v>
      </c>
      <c r="AA85" s="94" t="s">
        <v>230</v>
      </c>
      <c r="AB85" s="94">
        <f t="shared" si="135"/>
        <v>14.791971000378725</v>
      </c>
      <c r="AC85" s="94">
        <f>(AC84-AB84)/AB84%</f>
        <v>5.5956542186378355</v>
      </c>
      <c r="AD85" s="94">
        <f t="shared" si="135"/>
        <v>9.4475584345320378</v>
      </c>
      <c r="AE85" s="94">
        <f>(AE84-AD84)/AD84%</f>
        <v>8.143071496206753</v>
      </c>
      <c r="AF85" s="94">
        <f t="shared" si="135"/>
        <v>7.0466750393584956</v>
      </c>
      <c r="AG85" s="94">
        <f t="shared" si="135"/>
        <v>6.631415431857075</v>
      </c>
      <c r="AH85" s="94">
        <f t="shared" si="135"/>
        <v>6.4429342343917897</v>
      </c>
      <c r="AI85" s="94">
        <f t="shared" si="135"/>
        <v>5.7868726990514991</v>
      </c>
      <c r="AJ85" s="94">
        <f t="shared" si="135"/>
        <v>5.8020917903367693</v>
      </c>
      <c r="AK85" s="94">
        <f t="shared" si="135"/>
        <v>5.8171316814343967</v>
      </c>
      <c r="AL85" s="94">
        <f t="shared" si="135"/>
        <v>5.7218509721716053</v>
      </c>
      <c r="AO85" s="2"/>
      <c r="AP85" s="2"/>
      <c r="AQ85" s="2"/>
      <c r="AR85" s="2"/>
      <c r="AS85" s="2"/>
      <c r="AT85" s="2"/>
      <c r="AU85" s="2"/>
      <c r="AV85" s="2"/>
    </row>
    <row r="86" spans="1:48" x14ac:dyDescent="0.2">
      <c r="A86" s="2"/>
      <c r="B86" s="35" t="s">
        <v>2</v>
      </c>
      <c r="C86" s="35"/>
      <c r="D86" s="35"/>
      <c r="E86" s="35"/>
      <c r="F86" s="46"/>
      <c r="G86" s="46"/>
      <c r="H86" s="46"/>
      <c r="I86" s="46"/>
      <c r="J86" s="46"/>
      <c r="K86" s="46"/>
      <c r="L86" s="46">
        <v>6</v>
      </c>
      <c r="M86" s="46">
        <v>11</v>
      </c>
      <c r="N86" s="46">
        <v>5</v>
      </c>
      <c r="O86" s="46">
        <v>7</v>
      </c>
      <c r="P86" s="46">
        <v>0</v>
      </c>
      <c r="Q86" s="46">
        <v>53</v>
      </c>
      <c r="R86" s="46">
        <v>7</v>
      </c>
      <c r="S86" s="46">
        <v>9.0965142246819948</v>
      </c>
      <c r="T86" s="46">
        <v>-6</v>
      </c>
      <c r="U86" s="46">
        <v>8.554525389094831</v>
      </c>
      <c r="V86" s="46">
        <v>13</v>
      </c>
      <c r="W86" s="46">
        <v>6</v>
      </c>
      <c r="X86" s="46">
        <v>3</v>
      </c>
      <c r="Y86" s="46">
        <v>6</v>
      </c>
      <c r="Z86" s="46">
        <v>9.685268234954151</v>
      </c>
      <c r="AA86" s="46">
        <v>20</v>
      </c>
      <c r="AB86" s="46">
        <f>Revs!J134</f>
        <v>14.8</v>
      </c>
      <c r="AC86" s="46">
        <f>Revs!R134</f>
        <v>10.541622284017542</v>
      </c>
      <c r="AD86" s="46">
        <f>Revs!S134</f>
        <v>9.5264757762437373</v>
      </c>
      <c r="AE86" s="46">
        <f>Revs!T134</f>
        <v>8.143071496206753</v>
      </c>
      <c r="AF86" s="46">
        <f>Revs!U134</f>
        <v>7.0466750393584956</v>
      </c>
      <c r="AG86" s="46">
        <f>Revs!V134</f>
        <v>6.6314154318570884</v>
      </c>
      <c r="AH86" s="46">
        <f>Revs!W134</f>
        <v>6.4429342343917897</v>
      </c>
      <c r="AI86" s="46">
        <f>Revs!X134</f>
        <v>5.7868726990514991</v>
      </c>
      <c r="AJ86" s="46">
        <f>Revs!Y134</f>
        <v>5.8020917903367693</v>
      </c>
      <c r="AK86" s="46">
        <f>Revs!Z134</f>
        <v>5.8171316814343967</v>
      </c>
      <c r="AL86" s="46">
        <f>Revs!AA134</f>
        <v>5.7218509721716053</v>
      </c>
      <c r="AO86" s="2"/>
      <c r="AP86" s="2"/>
      <c r="AQ86" s="2"/>
      <c r="AR86" s="2"/>
      <c r="AS86" s="2"/>
      <c r="AT86" s="2"/>
      <c r="AU86" s="2"/>
      <c r="AV86" s="2"/>
    </row>
    <row r="87" spans="1:48" x14ac:dyDescent="0.2">
      <c r="A87" s="2"/>
      <c r="B87" s="2"/>
      <c r="C87" s="2"/>
      <c r="D87" s="2"/>
      <c r="E87" s="2"/>
      <c r="F87" s="6"/>
      <c r="G87" s="6"/>
      <c r="H87" s="6"/>
      <c r="I87" s="6"/>
      <c r="J87" s="6"/>
      <c r="K87" s="6"/>
      <c r="L87" s="6"/>
      <c r="M87" s="6"/>
      <c r="N87" s="6"/>
      <c r="O87" s="6"/>
      <c r="P87" s="14"/>
      <c r="Q87" s="14"/>
      <c r="R87" s="11"/>
      <c r="S87" s="11"/>
      <c r="T87" s="11"/>
      <c r="U87" s="11"/>
      <c r="V87" s="11"/>
      <c r="W87" s="11"/>
      <c r="X87" s="14"/>
      <c r="Y87" s="11"/>
      <c r="Z87" s="11"/>
      <c r="AA87" s="2"/>
      <c r="AB87" s="28"/>
      <c r="AC87" s="2"/>
      <c r="AD87" s="2"/>
      <c r="AE87" s="2"/>
      <c r="AF87" s="2"/>
      <c r="AG87" s="2"/>
      <c r="AH87" s="2"/>
      <c r="AI87" s="2"/>
      <c r="AJ87" s="2"/>
      <c r="AK87" s="2"/>
      <c r="AL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">
      <c r="A88" s="2"/>
      <c r="B88" s="2" t="s">
        <v>124</v>
      </c>
      <c r="C88" s="2"/>
      <c r="D88" s="2"/>
      <c r="E88" s="2"/>
      <c r="F88" s="88">
        <f>F91-F84</f>
        <v>-1080</v>
      </c>
      <c r="G88" s="88">
        <f>G91-G84</f>
        <v>-1448</v>
      </c>
      <c r="H88" s="88">
        <f>H91-H84</f>
        <v>-1988</v>
      </c>
      <c r="I88" s="88">
        <f>I91-I84</f>
        <v>-2941</v>
      </c>
      <c r="J88" s="88">
        <f>-3001.883</f>
        <v>-3001.8829999999998</v>
      </c>
      <c r="K88" s="88">
        <f>-3306.886</f>
        <v>-3306.886</v>
      </c>
      <c r="L88" s="88">
        <f>-3511.164</f>
        <v>-3511.1640000000002</v>
      </c>
      <c r="M88" s="88">
        <f>-3704.269</f>
        <v>-3704.2689999999998</v>
      </c>
      <c r="N88" s="88">
        <f>-3453.132</f>
        <v>-3453.1320000000001</v>
      </c>
      <c r="O88" s="88">
        <f>-3046.606</f>
        <v>-3046.6060000000002</v>
      </c>
      <c r="P88" s="88">
        <f>-3439</f>
        <v>-3439</v>
      </c>
      <c r="Q88" s="88">
        <f>-5589</f>
        <v>-5589</v>
      </c>
      <c r="R88" s="73">
        <f>-5417</f>
        <v>-5417</v>
      </c>
      <c r="S88" s="73">
        <v>-5543</v>
      </c>
      <c r="T88" s="73">
        <v>-5669</v>
      </c>
      <c r="U88" s="73">
        <v>-6260</v>
      </c>
      <c r="V88" s="73">
        <v>-6993</v>
      </c>
      <c r="W88" s="88">
        <v>-7780</v>
      </c>
      <c r="X88" s="73">
        <v>-7202</v>
      </c>
      <c r="Y88" s="217">
        <v>-7610</v>
      </c>
      <c r="Z88" s="217">
        <v>-8748</v>
      </c>
      <c r="AA88" s="28">
        <f t="shared" ref="AA88:AH88" si="136">AA91-AA84</f>
        <v>-9383</v>
      </c>
      <c r="AB88" s="28">
        <f t="shared" si="136"/>
        <v>-10513</v>
      </c>
      <c r="AC88" s="28">
        <f t="shared" si="136"/>
        <v>-11033.133301306405</v>
      </c>
      <c r="AD88" s="28">
        <f t="shared" si="136"/>
        <v>-12009.926705637432</v>
      </c>
      <c r="AE88" s="28">
        <f t="shared" si="136"/>
        <v>-12925.927437170594</v>
      </c>
      <c r="AF88" s="28">
        <f t="shared" si="136"/>
        <v>-13790.756426601489</v>
      </c>
      <c r="AG88" s="28">
        <f t="shared" si="136"/>
        <v>-14660.05748367776</v>
      </c>
      <c r="AH88" s="28">
        <f t="shared" si="136"/>
        <v>-15552.306359052018</v>
      </c>
      <c r="AI88" s="28">
        <f t="shared" ref="AI88:AL88" si="137">AI91-AI84</f>
        <v>-16428.844393855208</v>
      </c>
      <c r="AJ88" s="28">
        <f t="shared" si="137"/>
        <v>-17426.828934833797</v>
      </c>
      <c r="AK88" s="28">
        <f t="shared" si="137"/>
        <v>-18418.909050396946</v>
      </c>
      <c r="AL88" s="28">
        <f t="shared" si="137"/>
        <v>-19447.152812763805</v>
      </c>
      <c r="AO88" s="2"/>
      <c r="AP88" s="2"/>
      <c r="AQ88" s="2"/>
      <c r="AR88" s="2"/>
      <c r="AS88" s="2"/>
      <c r="AT88" s="2"/>
      <c r="AU88" s="2"/>
      <c r="AV88" s="2"/>
    </row>
    <row r="89" spans="1:48" x14ac:dyDescent="0.2">
      <c r="A89" s="2"/>
      <c r="B89" s="35" t="s">
        <v>298</v>
      </c>
      <c r="C89" s="35"/>
      <c r="D89" s="35"/>
      <c r="E89" s="35"/>
      <c r="F89" s="93"/>
      <c r="G89" s="93">
        <f>(G88-F88)/F88%</f>
        <v>34.074074074074069</v>
      </c>
      <c r="H89" s="93">
        <f t="shared" ref="H89:Z89" si="138">(H88-G88)/G88%</f>
        <v>37.292817679558013</v>
      </c>
      <c r="I89" s="93">
        <f t="shared" si="138"/>
        <v>47.937625754527168</v>
      </c>
      <c r="J89" s="93">
        <f t="shared" si="138"/>
        <v>2.07014620877252</v>
      </c>
      <c r="K89" s="93">
        <f t="shared" si="138"/>
        <v>10.160389328964525</v>
      </c>
      <c r="L89" s="93">
        <f t="shared" si="138"/>
        <v>6.1773523490075029</v>
      </c>
      <c r="M89" s="93">
        <f t="shared" si="138"/>
        <v>5.4997431051354919</v>
      </c>
      <c r="N89" s="93">
        <f t="shared" si="138"/>
        <v>-6.7796642198501162</v>
      </c>
      <c r="O89" s="93">
        <f t="shared" si="138"/>
        <v>-11.772674777564246</v>
      </c>
      <c r="P89" s="93">
        <f t="shared" si="138"/>
        <v>12.879709420909686</v>
      </c>
      <c r="Q89" s="93">
        <f t="shared" si="138"/>
        <v>62.518173887758067</v>
      </c>
      <c r="R89" s="93">
        <f t="shared" si="138"/>
        <v>-3.0774736088745751</v>
      </c>
      <c r="S89" s="94">
        <f t="shared" si="138"/>
        <v>2.3260107070334133</v>
      </c>
      <c r="T89" s="94">
        <f t="shared" si="138"/>
        <v>2.2731372902760238</v>
      </c>
      <c r="U89" s="94">
        <f t="shared" si="138"/>
        <v>10.425119068618804</v>
      </c>
      <c r="V89" s="94">
        <f t="shared" si="138"/>
        <v>11.70926517571885</v>
      </c>
      <c r="W89" s="94">
        <f t="shared" si="138"/>
        <v>11.254111254111253</v>
      </c>
      <c r="X89" s="94">
        <f t="shared" si="138"/>
        <v>-7.4293059125964014</v>
      </c>
      <c r="Y89" s="94">
        <f t="shared" si="138"/>
        <v>5.6650930297139688</v>
      </c>
      <c r="Z89" s="94">
        <f t="shared" si="138"/>
        <v>14.954007884362682</v>
      </c>
      <c r="AA89" s="93">
        <f t="shared" ref="AA89:AL89" si="139">(AA88-Z88)/Z88%</f>
        <v>7.2588020118884309</v>
      </c>
      <c r="AB89" s="93">
        <f t="shared" si="139"/>
        <v>12.043056591708408</v>
      </c>
      <c r="AC89" s="93">
        <f t="shared" si="139"/>
        <v>4.9475249815124611</v>
      </c>
      <c r="AD89" s="93">
        <f t="shared" si="139"/>
        <v>8.8532729339485758</v>
      </c>
      <c r="AE89" s="93">
        <f t="shared" si="139"/>
        <v>7.6270301558392832</v>
      </c>
      <c r="AF89" s="93">
        <f t="shared" si="139"/>
        <v>6.6906532907181502</v>
      </c>
      <c r="AG89" s="93">
        <f t="shared" si="139"/>
        <v>6.3035052624049284</v>
      </c>
      <c r="AH89" s="93">
        <f t="shared" si="139"/>
        <v>6.0862576860129769</v>
      </c>
      <c r="AI89" s="93">
        <f t="shared" si="139"/>
        <v>5.6360646103978844</v>
      </c>
      <c r="AJ89" s="93">
        <f t="shared" si="139"/>
        <v>6.0745875793422162</v>
      </c>
      <c r="AK89" s="93">
        <f t="shared" si="139"/>
        <v>5.6928321226595582</v>
      </c>
      <c r="AL89" s="93">
        <f t="shared" si="139"/>
        <v>5.582544327426926</v>
      </c>
      <c r="AO89" s="2"/>
      <c r="AP89" s="2"/>
      <c r="AQ89" s="67"/>
      <c r="AR89" s="2"/>
      <c r="AS89" s="2"/>
      <c r="AT89" s="2"/>
      <c r="AU89" s="2"/>
      <c r="AV89" s="2"/>
    </row>
    <row r="90" spans="1:48" x14ac:dyDescent="0.2">
      <c r="A90" s="2"/>
      <c r="B90" s="2"/>
      <c r="C90" s="2"/>
      <c r="D90" s="2"/>
      <c r="E90" s="2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86"/>
      <c r="S90" s="86"/>
      <c r="T90" s="86"/>
      <c r="U90" s="86"/>
      <c r="V90" s="86"/>
      <c r="W90" s="86"/>
      <c r="X90" s="86"/>
      <c r="Y90" s="86"/>
      <c r="Z90" s="8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O90" s="2"/>
      <c r="AP90" s="6"/>
      <c r="AQ90" s="6"/>
      <c r="AR90" s="6"/>
      <c r="AS90" s="2"/>
      <c r="AT90" s="2"/>
      <c r="AU90" s="2"/>
      <c r="AV90" s="2"/>
    </row>
    <row r="91" spans="1:48" x14ac:dyDescent="0.2">
      <c r="A91" s="2"/>
      <c r="B91" s="8" t="s">
        <v>325</v>
      </c>
      <c r="C91" s="8"/>
      <c r="D91" s="8"/>
      <c r="E91" s="8"/>
      <c r="F91" s="108">
        <v>710</v>
      </c>
      <c r="G91" s="108">
        <v>960</v>
      </c>
      <c r="H91" s="108">
        <v>1437</v>
      </c>
      <c r="I91" s="108">
        <v>2124</v>
      </c>
      <c r="J91" s="108">
        <f t="shared" ref="J91:R91" si="140">J84+J88</f>
        <v>2352.0659999999998</v>
      </c>
      <c r="K91" s="108">
        <f t="shared" si="140"/>
        <v>2527.9190000000003</v>
      </c>
      <c r="L91" s="108">
        <f t="shared" si="140"/>
        <v>2601.1829999999995</v>
      </c>
      <c r="M91" s="108">
        <f t="shared" si="140"/>
        <v>2819.15</v>
      </c>
      <c r="N91" s="108">
        <f t="shared" si="140"/>
        <v>2813.6680000000001</v>
      </c>
      <c r="O91" s="108">
        <f t="shared" si="140"/>
        <v>2813.4019999999996</v>
      </c>
      <c r="P91" s="108">
        <f t="shared" si="140"/>
        <v>3197</v>
      </c>
      <c r="Q91" s="108">
        <f t="shared" si="140"/>
        <v>4495</v>
      </c>
      <c r="R91" s="89">
        <f t="shared" si="140"/>
        <v>4882</v>
      </c>
      <c r="S91" s="89">
        <f t="shared" ref="S91:Y91" si="141">S84+S88</f>
        <v>5256</v>
      </c>
      <c r="T91" s="89">
        <f t="shared" si="141"/>
        <v>4712</v>
      </c>
      <c r="U91" s="89">
        <f t="shared" si="141"/>
        <v>5730</v>
      </c>
      <c r="V91" s="89">
        <f t="shared" si="141"/>
        <v>6329</v>
      </c>
      <c r="W91" s="89">
        <f>W84+W88</f>
        <v>7103</v>
      </c>
      <c r="X91" s="89">
        <f t="shared" si="141"/>
        <v>7001</v>
      </c>
      <c r="Y91" s="89">
        <f t="shared" si="141"/>
        <v>6923.9</v>
      </c>
      <c r="Z91" s="89">
        <f>Z84+Z88</f>
        <v>8167.0496415269372</v>
      </c>
      <c r="AA91" s="89">
        <f t="shared" ref="AA91:AH91" si="142">AA84*(AA92/100)</f>
        <v>9100</v>
      </c>
      <c r="AB91" s="89">
        <f t="shared" si="142"/>
        <v>10704</v>
      </c>
      <c r="AC91" s="89">
        <f t="shared" si="142"/>
        <v>11371.096654261984</v>
      </c>
      <c r="AD91" s="89">
        <f t="shared" si="142"/>
        <v>12510.955966790212</v>
      </c>
      <c r="AE91" s="89">
        <f t="shared" si="142"/>
        <v>13591.708242773806</v>
      </c>
      <c r="AF91" s="89">
        <f t="shared" si="142"/>
        <v>14595.490867829576</v>
      </c>
      <c r="AG91" s="89">
        <f t="shared" si="142"/>
        <v>15608.599794361318</v>
      </c>
      <c r="AH91" s="89">
        <f t="shared" si="142"/>
        <v>16666.540601044562</v>
      </c>
      <c r="AI91" s="89">
        <f t="shared" ref="AI91:AL91" si="143">AI84*(AI92/100)</f>
        <v>17654.466224924385</v>
      </c>
      <c r="AJ91" s="89">
        <f t="shared" si="143"/>
        <v>18634.026651232987</v>
      </c>
      <c r="AK91" s="89">
        <f t="shared" si="143"/>
        <v>19739.653990563234</v>
      </c>
      <c r="AL91" s="89">
        <f t="shared" si="143"/>
        <v>20894.78633852227</v>
      </c>
      <c r="AO91" s="151"/>
      <c r="AP91" s="2"/>
      <c r="AQ91" s="2"/>
      <c r="AR91" s="2"/>
      <c r="AS91" s="2"/>
      <c r="AT91" s="2"/>
      <c r="AU91" s="2"/>
      <c r="AV91" s="2"/>
    </row>
    <row r="92" spans="1:48" x14ac:dyDescent="0.2">
      <c r="A92" s="2"/>
      <c r="B92" s="35" t="s">
        <v>326</v>
      </c>
      <c r="C92" s="35"/>
      <c r="D92" s="35"/>
      <c r="E92" s="35"/>
      <c r="F92" s="36">
        <f>F91/F84%</f>
        <v>39.664804469273747</v>
      </c>
      <c r="G92" s="36">
        <f>G91/G84%</f>
        <v>39.867109634551497</v>
      </c>
      <c r="H92" s="36">
        <f>H91/H84%</f>
        <v>41.956204379562045</v>
      </c>
      <c r="I92" s="36">
        <f>I91/I84%</f>
        <v>41.934846989141164</v>
      </c>
      <c r="J92" s="36">
        <f t="shared" ref="J92:V92" si="144">J91/J84%</f>
        <v>43.931423328836345</v>
      </c>
      <c r="K92" s="36">
        <f t="shared" si="144"/>
        <v>43.324824051532147</v>
      </c>
      <c r="L92" s="36">
        <f t="shared" si="144"/>
        <v>42.556206314857448</v>
      </c>
      <c r="M92" s="36">
        <f t="shared" si="144"/>
        <v>43.215835131853403</v>
      </c>
      <c r="N92" s="36">
        <f t="shared" si="144"/>
        <v>44.898002170166592</v>
      </c>
      <c r="O92" s="36">
        <f t="shared" si="144"/>
        <v>48.010207494597275</v>
      </c>
      <c r="P92" s="36">
        <f t="shared" si="144"/>
        <v>48.176612417118747</v>
      </c>
      <c r="Q92" s="36">
        <f t="shared" si="144"/>
        <v>44.575565251884171</v>
      </c>
      <c r="R92" s="46">
        <f t="shared" si="144"/>
        <v>47.402660452471117</v>
      </c>
      <c r="S92" s="46">
        <f t="shared" si="144"/>
        <v>48.671173256783035</v>
      </c>
      <c r="T92" s="46">
        <f t="shared" si="144"/>
        <v>45.390617474231767</v>
      </c>
      <c r="U92" s="46">
        <f t="shared" si="144"/>
        <v>47.789824854045037</v>
      </c>
      <c r="V92" s="46">
        <f t="shared" si="144"/>
        <v>47.507881699444525</v>
      </c>
      <c r="W92" s="46">
        <f>W91/W84%</f>
        <v>47.725592958408917</v>
      </c>
      <c r="X92" s="46">
        <f>X91/X84%</f>
        <v>49.29240301344786</v>
      </c>
      <c r="Y92" s="46">
        <f>Y91/Y84%</f>
        <v>47.639656251935129</v>
      </c>
      <c r="Z92" s="46">
        <f>Z91/Z84%</f>
        <v>48.282741195607215</v>
      </c>
      <c r="AA92" s="46">
        <f t="shared" ref="AA92:AH92" si="145">AA320</f>
        <v>49.234431639885294</v>
      </c>
      <c r="AB92" s="46">
        <f t="shared" si="145"/>
        <v>50.450110760239433</v>
      </c>
      <c r="AC92" s="46">
        <f t="shared" si="145"/>
        <v>50.75424005561856</v>
      </c>
      <c r="AD92" s="46">
        <f t="shared" si="145"/>
        <v>51.021637899104178</v>
      </c>
      <c r="AE92" s="46">
        <f t="shared" si="145"/>
        <v>51.25535476397458</v>
      </c>
      <c r="AF92" s="46">
        <f t="shared" si="145"/>
        <v>51.417472399364961</v>
      </c>
      <c r="AG92" s="46">
        <f t="shared" si="145"/>
        <v>51.566872131080217</v>
      </c>
      <c r="AH92" s="46">
        <f t="shared" si="145"/>
        <v>51.729165297834108</v>
      </c>
      <c r="AI92" s="46">
        <f t="shared" ref="AI92:AL92" si="146">AI320</f>
        <v>51.797979434535726</v>
      </c>
      <c r="AJ92" s="46">
        <f t="shared" si="146"/>
        <v>51.673833990874058</v>
      </c>
      <c r="AK92" s="46">
        <f t="shared" si="146"/>
        <v>51.730600990855677</v>
      </c>
      <c r="AL92" s="46">
        <f t="shared" si="146"/>
        <v>51.794204190742661</v>
      </c>
      <c r="AO92" s="6"/>
      <c r="AP92" s="2"/>
      <c r="AQ92" s="2"/>
      <c r="AR92" s="2"/>
      <c r="AS92" s="2"/>
      <c r="AT92" s="2"/>
      <c r="AU92" s="2"/>
      <c r="AV92" s="2"/>
    </row>
    <row r="93" spans="1:48" x14ac:dyDescent="0.2">
      <c r="A93" s="2"/>
      <c r="B93" s="35" t="s">
        <v>306</v>
      </c>
      <c r="C93" s="35"/>
      <c r="D93" s="35"/>
      <c r="E93" s="35"/>
      <c r="F93" s="93"/>
      <c r="G93" s="93">
        <f>(G91-F91)/F91%</f>
        <v>35.211267605633807</v>
      </c>
      <c r="H93" s="93">
        <f>(H91-G91)/G91%</f>
        <v>49.6875</v>
      </c>
      <c r="I93" s="93">
        <f t="shared" ref="I93:Y93" si="147">(I91-H91)/H91%</f>
        <v>47.807933194154494</v>
      </c>
      <c r="J93" s="93">
        <f t="shared" si="147"/>
        <v>10.737570621468919</v>
      </c>
      <c r="K93" s="93">
        <f t="shared" si="147"/>
        <v>7.4765333965968868</v>
      </c>
      <c r="L93" s="93">
        <f t="shared" si="147"/>
        <v>2.8981941272643312</v>
      </c>
      <c r="M93" s="93">
        <f t="shared" si="147"/>
        <v>8.3795334661190921</v>
      </c>
      <c r="N93" s="93">
        <f t="shared" si="147"/>
        <v>-0.19445577567706473</v>
      </c>
      <c r="O93" s="93">
        <f t="shared" si="147"/>
        <v>-9.4538516982291838E-3</v>
      </c>
      <c r="P93" s="93">
        <f t="shared" si="147"/>
        <v>13.634667210729233</v>
      </c>
      <c r="Q93" s="93">
        <f t="shared" si="147"/>
        <v>40.600563027838604</v>
      </c>
      <c r="R93" s="93">
        <f t="shared" si="147"/>
        <v>8.6095661846496103</v>
      </c>
      <c r="S93" s="94">
        <f t="shared" si="147"/>
        <v>7.6607947562474399</v>
      </c>
      <c r="T93" s="94">
        <f t="shared" si="147"/>
        <v>-10.350076103500761</v>
      </c>
      <c r="U93" s="94">
        <f t="shared" si="147"/>
        <v>21.604414261460104</v>
      </c>
      <c r="V93" s="94">
        <f t="shared" si="147"/>
        <v>10.453752181500873</v>
      </c>
      <c r="W93" s="94">
        <f>(W91-V91)/V91%</f>
        <v>12.229420129562332</v>
      </c>
      <c r="X93" s="94">
        <f>(X91-W91)/W91%</f>
        <v>-1.4360129522736871</v>
      </c>
      <c r="Y93" s="94">
        <f t="shared" si="147"/>
        <v>-1.1012712469647243</v>
      </c>
      <c r="Z93" s="94">
        <f t="shared" ref="Z93:AL93" si="148">(Z91-Y91)/Y91%</f>
        <v>17.954471346017964</v>
      </c>
      <c r="AA93" s="93">
        <f t="shared" si="148"/>
        <v>11.423346244025469</v>
      </c>
      <c r="AB93" s="93">
        <f t="shared" si="148"/>
        <v>17.626373626373628</v>
      </c>
      <c r="AC93" s="93">
        <f t="shared" si="148"/>
        <v>6.2322183694131574</v>
      </c>
      <c r="AD93" s="93">
        <f t="shared" si="148"/>
        <v>10.024181019523731</v>
      </c>
      <c r="AE93" s="93">
        <f t="shared" si="148"/>
        <v>8.6384468049636141</v>
      </c>
      <c r="AF93" s="93">
        <f t="shared" si="148"/>
        <v>7.3852572989818492</v>
      </c>
      <c r="AG93" s="93">
        <f t="shared" si="148"/>
        <v>6.9412460033445713</v>
      </c>
      <c r="AH93" s="93">
        <f t="shared" si="148"/>
        <v>6.7779353729437668</v>
      </c>
      <c r="AI93" s="93">
        <f t="shared" si="148"/>
        <v>5.9275985792630843</v>
      </c>
      <c r="AJ93" s="93">
        <f t="shared" si="148"/>
        <v>5.5485134120094193</v>
      </c>
      <c r="AK93" s="93">
        <f t="shared" si="148"/>
        <v>5.9333785446587273</v>
      </c>
      <c r="AL93" s="93">
        <f t="shared" si="148"/>
        <v>5.8518368584943774</v>
      </c>
      <c r="AO93" s="2"/>
      <c r="AP93" s="6"/>
      <c r="AQ93" s="2"/>
      <c r="AR93" s="2"/>
      <c r="AS93" s="2"/>
      <c r="AT93" s="2"/>
      <c r="AU93" s="2"/>
      <c r="AV93" s="2"/>
    </row>
    <row r="94" spans="1:48" x14ac:dyDescent="0.2">
      <c r="A94" s="2"/>
      <c r="B94" s="2"/>
      <c r="C94" s="2"/>
      <c r="D94" s="2"/>
      <c r="E94" s="2"/>
      <c r="F94" s="6"/>
      <c r="G94" s="6"/>
      <c r="H94" s="6"/>
      <c r="I94" s="6"/>
      <c r="J94" s="6"/>
      <c r="K94" s="6"/>
      <c r="L94" s="6"/>
      <c r="M94" s="6"/>
      <c r="N94" s="6"/>
      <c r="O94" s="6"/>
      <c r="P94" s="10"/>
      <c r="Q94" s="10"/>
      <c r="R94" s="11"/>
      <c r="S94" s="14"/>
      <c r="T94" s="14"/>
      <c r="U94" s="14"/>
      <c r="V94" s="14"/>
      <c r="W94" s="14"/>
      <c r="X94" s="14"/>
      <c r="Y94" s="14"/>
      <c r="Z94" s="14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O94" s="2"/>
      <c r="AP94" s="6"/>
      <c r="AQ94" s="6"/>
      <c r="AR94" s="6"/>
      <c r="AS94" s="2"/>
      <c r="AT94" s="2"/>
      <c r="AU94" s="2"/>
      <c r="AV94" s="2"/>
    </row>
    <row r="95" spans="1:48" x14ac:dyDescent="0.2">
      <c r="A95" s="2"/>
      <c r="B95" s="11" t="s">
        <v>86</v>
      </c>
      <c r="C95" s="2"/>
      <c r="D95" s="2"/>
      <c r="E95" s="2"/>
      <c r="F95" s="15">
        <v>51</v>
      </c>
      <c r="G95" s="15">
        <v>49</v>
      </c>
      <c r="H95" s="15">
        <v>44</v>
      </c>
      <c r="I95" s="15">
        <v>45</v>
      </c>
      <c r="J95" s="15">
        <v>34.689</v>
      </c>
      <c r="K95" s="15">
        <v>43.073</v>
      </c>
      <c r="L95" s="15">
        <v>42.085000000000001</v>
      </c>
      <c r="M95" s="15">
        <v>46.006</v>
      </c>
      <c r="N95" s="15">
        <v>42.152999999999999</v>
      </c>
      <c r="O95" s="15">
        <v>42.457999999999998</v>
      </c>
      <c r="P95" s="6">
        <v>47.207000000000001</v>
      </c>
      <c r="Q95" s="6">
        <v>90</v>
      </c>
      <c r="R95" s="14">
        <v>102</v>
      </c>
      <c r="S95" s="14">
        <v>89</v>
      </c>
      <c r="T95" s="14">
        <v>86</v>
      </c>
      <c r="U95" s="14">
        <v>100</v>
      </c>
      <c r="V95" s="14">
        <v>93</v>
      </c>
      <c r="W95" s="14">
        <v>105</v>
      </c>
      <c r="X95" s="14">
        <v>103</v>
      </c>
      <c r="Y95" s="45">
        <v>102</v>
      </c>
      <c r="Z95" s="45">
        <v>119</v>
      </c>
      <c r="AA95" s="45">
        <v>105</v>
      </c>
      <c r="AB95" s="45">
        <v>115</v>
      </c>
      <c r="AC95" s="14">
        <f t="shared" ref="AC95:AH95" si="149">+AC325</f>
        <v>112.02114977784196</v>
      </c>
      <c r="AD95" s="14">
        <f t="shared" si="149"/>
        <v>122.60441336213822</v>
      </c>
      <c r="AE95" s="14">
        <f t="shared" si="149"/>
        <v>132.58817839972201</v>
      </c>
      <c r="AF95" s="14">
        <f t="shared" si="149"/>
        <v>141.93123647215532</v>
      </c>
      <c r="AG95" s="14">
        <f t="shared" si="149"/>
        <v>151.3432863901954</v>
      </c>
      <c r="AH95" s="14">
        <f t="shared" si="149"/>
        <v>161.09423480048289</v>
      </c>
      <c r="AI95" s="14">
        <f t="shared" ref="AI95:AL95" si="150">+AI325</f>
        <v>170.41655309389796</v>
      </c>
      <c r="AJ95" s="14">
        <f t="shared" si="150"/>
        <v>180.30427793033391</v>
      </c>
      <c r="AK95" s="14">
        <f t="shared" si="150"/>
        <v>190.79281520480092</v>
      </c>
      <c r="AL95" s="14">
        <f t="shared" si="150"/>
        <v>201.70969575643039</v>
      </c>
      <c r="AO95" s="2"/>
      <c r="AP95" s="28"/>
      <c r="AQ95" s="28"/>
      <c r="AR95" s="28"/>
      <c r="AS95" s="2"/>
      <c r="AT95" s="2"/>
      <c r="AU95" s="2"/>
      <c r="AV95" s="2"/>
    </row>
    <row r="96" spans="1:48" x14ac:dyDescent="0.2">
      <c r="A96" s="2"/>
      <c r="B96" s="58" t="s">
        <v>145</v>
      </c>
      <c r="C96" s="8"/>
      <c r="D96" s="8"/>
      <c r="E96" s="8"/>
      <c r="F96" s="9"/>
      <c r="G96" s="9"/>
      <c r="H96" s="9"/>
      <c r="I96" s="9"/>
      <c r="J96" s="20">
        <v>0</v>
      </c>
      <c r="K96" s="20">
        <v>0</v>
      </c>
      <c r="L96" s="20">
        <v>0</v>
      </c>
      <c r="M96" s="20">
        <v>0</v>
      </c>
      <c r="N96" s="20">
        <v>0</v>
      </c>
      <c r="O96" s="20">
        <v>0</v>
      </c>
      <c r="P96" s="20">
        <v>36</v>
      </c>
      <c r="Q96" s="20">
        <f>Q335</f>
        <v>55</v>
      </c>
      <c r="R96" s="20">
        <f>R335</f>
        <v>80</v>
      </c>
      <c r="S96" s="20">
        <f>S335</f>
        <v>103</v>
      </c>
      <c r="T96" s="20">
        <f>T335</f>
        <v>100</v>
      </c>
      <c r="U96" s="20">
        <v>110</v>
      </c>
      <c r="V96" s="20">
        <v>98</v>
      </c>
      <c r="W96" s="20">
        <v>127</v>
      </c>
      <c r="X96" s="20">
        <v>142</v>
      </c>
      <c r="Y96" s="45">
        <v>138</v>
      </c>
      <c r="Z96" s="45">
        <v>96</v>
      </c>
      <c r="AA96" s="45">
        <v>262</v>
      </c>
      <c r="AB96" s="45">
        <f>AB335</f>
        <v>133</v>
      </c>
      <c r="AC96" s="20">
        <f t="shared" ref="AC96:AH96" si="151">AC335</f>
        <v>99.36</v>
      </c>
      <c r="AD96" s="20">
        <f t="shared" si="151"/>
        <v>100.74720000000001</v>
      </c>
      <c r="AE96" s="20">
        <f t="shared" si="151"/>
        <v>102.16214400000001</v>
      </c>
      <c r="AF96" s="20">
        <f t="shared" si="151"/>
        <v>107.60538688000001</v>
      </c>
      <c r="AG96" s="20">
        <f t="shared" si="151"/>
        <v>113.07749461760001</v>
      </c>
      <c r="AH96" s="20">
        <f t="shared" si="151"/>
        <v>118.57904450995201</v>
      </c>
      <c r="AI96" s="20">
        <f t="shared" ref="AI96:AL96" si="152">AI335</f>
        <v>120.11062540015105</v>
      </c>
      <c r="AJ96" s="20">
        <f t="shared" si="152"/>
        <v>121.67283790815408</v>
      </c>
      <c r="AK96" s="20">
        <f t="shared" si="152"/>
        <v>123.26629466631717</v>
      </c>
      <c r="AL96" s="20">
        <f t="shared" si="152"/>
        <v>124.89162055964351</v>
      </c>
      <c r="AO96" s="10"/>
      <c r="AP96" s="10"/>
      <c r="AQ96" s="10"/>
      <c r="AR96" s="10"/>
      <c r="AS96" s="2"/>
      <c r="AT96" s="2"/>
      <c r="AU96" s="2"/>
      <c r="AV96" s="2"/>
    </row>
    <row r="97" spans="1:48" x14ac:dyDescent="0.2">
      <c r="A97" s="2"/>
      <c r="B97" s="58"/>
      <c r="C97" s="8"/>
      <c r="D97" s="8"/>
      <c r="E97" s="8"/>
      <c r="F97" s="9"/>
      <c r="G97" s="9"/>
      <c r="H97" s="9"/>
      <c r="I97" s="9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187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O97" s="2"/>
      <c r="AP97" s="2"/>
      <c r="AQ97" s="2"/>
      <c r="AR97" s="2"/>
      <c r="AS97" s="2"/>
      <c r="AT97" s="2"/>
      <c r="AU97" s="2"/>
      <c r="AV97" s="2"/>
    </row>
    <row r="98" spans="1:48" x14ac:dyDescent="0.2">
      <c r="A98" s="2"/>
      <c r="B98" s="11" t="s">
        <v>87</v>
      </c>
      <c r="C98" s="2"/>
      <c r="D98" s="2"/>
      <c r="E98" s="2"/>
      <c r="F98" s="15"/>
      <c r="G98" s="15"/>
      <c r="H98" s="15"/>
      <c r="I98" s="15"/>
      <c r="J98" s="110">
        <f>-1807.255</f>
        <v>-1807.2550000000001</v>
      </c>
      <c r="K98" s="110">
        <f>-2012.321+91</f>
        <v>-1921.3209999999999</v>
      </c>
      <c r="L98" s="110">
        <f>-2036.47+86</f>
        <v>-1950.47</v>
      </c>
      <c r="M98" s="110">
        <f>-2245.383+85</f>
        <v>-2160.3829999999998</v>
      </c>
      <c r="N98" s="110">
        <v>-807</v>
      </c>
      <c r="O98" s="110">
        <v>-833</v>
      </c>
      <c r="P98" s="110">
        <v>-942</v>
      </c>
      <c r="Q98" s="110">
        <v>-1301</v>
      </c>
      <c r="R98" s="88">
        <v>-1378</v>
      </c>
      <c r="S98" s="88">
        <f>-1132-297</f>
        <v>-1429</v>
      </c>
      <c r="T98" s="88">
        <f>-1028-241</f>
        <v>-1269</v>
      </c>
      <c r="U98" s="73">
        <f>-1288-308</f>
        <v>-1596</v>
      </c>
      <c r="V98" s="73">
        <f>-1362-338</f>
        <v>-1700</v>
      </c>
      <c r="W98" s="73">
        <f>-1502-304</f>
        <v>-1806</v>
      </c>
      <c r="X98" s="88">
        <f>-1451-336</f>
        <v>-1787</v>
      </c>
      <c r="Y98" s="73">
        <f>-1548-375</f>
        <v>-1923</v>
      </c>
      <c r="Z98" s="73">
        <f>-1886+-462</f>
        <v>-2348</v>
      </c>
      <c r="AA98" s="217">
        <f>-1981-540+35</f>
        <v>-2486</v>
      </c>
      <c r="AB98" s="217">
        <f>-2141-592</f>
        <v>-2733</v>
      </c>
      <c r="AC98" s="73">
        <f t="shared" ref="AC98:AH98" si="153">-AC357</f>
        <v>-2912.5498942238905</v>
      </c>
      <c r="AD98" s="73">
        <f t="shared" si="153"/>
        <v>-3310.3191607777321</v>
      </c>
      <c r="AE98" s="73">
        <f t="shared" si="153"/>
        <v>-3632.9160881523821</v>
      </c>
      <c r="AF98" s="73">
        <f t="shared" si="153"/>
        <v>-3860.5296320426251</v>
      </c>
      <c r="AG98" s="73">
        <f t="shared" si="153"/>
        <v>-4116.5373898133148</v>
      </c>
      <c r="AH98" s="73">
        <f t="shared" si="153"/>
        <v>-4381.7631865731355</v>
      </c>
      <c r="AI98" s="73">
        <f t="shared" ref="AI98:AL98" si="154">-AI357</f>
        <v>-4635.3302441540254</v>
      </c>
      <c r="AJ98" s="73">
        <f t="shared" si="154"/>
        <v>-4904.2763597050825</v>
      </c>
      <c r="AK98" s="73">
        <f t="shared" si="154"/>
        <v>-5189.5645735705848</v>
      </c>
      <c r="AL98" s="73">
        <f t="shared" si="154"/>
        <v>-5486.5037245749063</v>
      </c>
      <c r="AO98" s="2"/>
      <c r="AP98" s="2"/>
      <c r="AQ98" s="2"/>
      <c r="AR98" s="2"/>
      <c r="AS98" s="2"/>
      <c r="AT98" s="2"/>
      <c r="AU98" s="2"/>
      <c r="AV98" s="2"/>
    </row>
    <row r="99" spans="1:48" x14ac:dyDescent="0.2">
      <c r="A99" s="2"/>
      <c r="B99" s="11" t="s">
        <v>88</v>
      </c>
      <c r="C99" s="2"/>
      <c r="D99" s="2"/>
      <c r="E99" s="2"/>
      <c r="F99" s="15"/>
      <c r="G99" s="15"/>
      <c r="H99" s="15"/>
      <c r="I99" s="15"/>
      <c r="J99" s="110"/>
      <c r="K99" s="110"/>
      <c r="L99" s="110"/>
      <c r="M99" s="110"/>
      <c r="N99" s="110">
        <v>-194</v>
      </c>
      <c r="O99" s="110">
        <v>-183</v>
      </c>
      <c r="P99" s="110">
        <v>-207</v>
      </c>
      <c r="Q99" s="110">
        <v>-291</v>
      </c>
      <c r="R99" s="88">
        <v>-327</v>
      </c>
      <c r="S99" s="88">
        <v>-376</v>
      </c>
      <c r="T99" s="88">
        <v>-348</v>
      </c>
      <c r="U99" s="73">
        <v>-380</v>
      </c>
      <c r="V99" s="73">
        <v>-402</v>
      </c>
      <c r="W99" s="73">
        <v>-445</v>
      </c>
      <c r="X99" s="88">
        <v>-420</v>
      </c>
      <c r="Y99" s="73">
        <v>-427</v>
      </c>
      <c r="Z99" s="73">
        <v>-554</v>
      </c>
      <c r="AA99" s="217">
        <f>-684+32</f>
        <v>-652</v>
      </c>
      <c r="AB99" s="217">
        <v>-748</v>
      </c>
      <c r="AC99" s="73">
        <f t="shared" ref="AC99:AH99" si="155">-AC361</f>
        <v>-784.14804844489367</v>
      </c>
      <c r="AD99" s="73">
        <f t="shared" si="155"/>
        <v>-858.23089353496766</v>
      </c>
      <c r="AE99" s="73">
        <f t="shared" si="155"/>
        <v>-928.11724879805411</v>
      </c>
      <c r="AF99" s="73">
        <f t="shared" si="155"/>
        <v>-993.51865530508735</v>
      </c>
      <c r="AG99" s="73">
        <f t="shared" si="155"/>
        <v>-1059.4030047313679</v>
      </c>
      <c r="AH99" s="73">
        <f t="shared" si="155"/>
        <v>-1127.6596436033803</v>
      </c>
      <c r="AI99" s="73">
        <f t="shared" ref="AI99:AL99" si="156">-AI361</f>
        <v>-1192.9158716572858</v>
      </c>
      <c r="AJ99" s="73">
        <f t="shared" si="156"/>
        <v>-1262.1299455123376</v>
      </c>
      <c r="AK99" s="73">
        <f t="shared" si="156"/>
        <v>-1335.5497064336064</v>
      </c>
      <c r="AL99" s="73">
        <f t="shared" si="156"/>
        <v>-1411.9678702950127</v>
      </c>
      <c r="AO99" s="2"/>
      <c r="AP99" s="67"/>
      <c r="AQ99" s="2"/>
      <c r="AR99" s="2"/>
      <c r="AS99" s="2"/>
      <c r="AT99" s="2"/>
      <c r="AU99" s="2"/>
      <c r="AV99" s="2"/>
    </row>
    <row r="100" spans="1:48" x14ac:dyDescent="0.2">
      <c r="A100" s="2"/>
      <c r="B100" s="11" t="s">
        <v>113</v>
      </c>
      <c r="C100" s="2"/>
      <c r="D100" s="2"/>
      <c r="E100" s="2"/>
      <c r="F100" s="15"/>
      <c r="G100" s="15"/>
      <c r="H100" s="15"/>
      <c r="I100" s="15"/>
      <c r="J100" s="110"/>
      <c r="K100" s="110"/>
      <c r="L100" s="110"/>
      <c r="M100" s="110"/>
      <c r="N100" s="110">
        <v>-466</v>
      </c>
      <c r="O100" s="110">
        <v>-454</v>
      </c>
      <c r="P100" s="110">
        <v>-534</v>
      </c>
      <c r="Q100" s="110">
        <v>-904</v>
      </c>
      <c r="R100" s="88">
        <v>-1045</v>
      </c>
      <c r="S100" s="88">
        <v>-1179</v>
      </c>
      <c r="T100" s="88">
        <v>-1296</v>
      </c>
      <c r="U100" s="73">
        <v>-1496</v>
      </c>
      <c r="V100" s="73">
        <v>-1673</v>
      </c>
      <c r="W100" s="73">
        <v>-1885</v>
      </c>
      <c r="X100" s="88">
        <v>-1815</v>
      </c>
      <c r="Y100" s="73">
        <v>-1915</v>
      </c>
      <c r="Z100" s="73">
        <v>-2040</v>
      </c>
      <c r="AA100" s="217">
        <f>-2237+100</f>
        <v>-2137</v>
      </c>
      <c r="AB100" s="217">
        <f>-2352+0.4</f>
        <v>-2351.6</v>
      </c>
      <c r="AC100" s="73">
        <f t="shared" ref="AC100:AH100" si="157">+-AC372</f>
        <v>-2398.8671599999998</v>
      </c>
      <c r="AD100" s="73">
        <f t="shared" si="157"/>
        <v>-2447.084389916</v>
      </c>
      <c r="AE100" s="73">
        <f t="shared" si="157"/>
        <v>-2496.2707861533117</v>
      </c>
      <c r="AF100" s="73">
        <f t="shared" si="157"/>
        <v>-2546.4458289549934</v>
      </c>
      <c r="AG100" s="73">
        <f t="shared" si="157"/>
        <v>-2597.6293901169888</v>
      </c>
      <c r="AH100" s="73">
        <f t="shared" si="157"/>
        <v>-2649.84174085834</v>
      </c>
      <c r="AI100" s="73">
        <f t="shared" ref="AI100:AL100" si="158">+-AI372</f>
        <v>-2729.8669614322621</v>
      </c>
      <c r="AJ100" s="73">
        <f t="shared" si="158"/>
        <v>-2812.3089436675164</v>
      </c>
      <c r="AK100" s="73">
        <f t="shared" si="158"/>
        <v>-2897.2406737662754</v>
      </c>
      <c r="AL100" s="73">
        <f t="shared" si="158"/>
        <v>-2984.7373421140173</v>
      </c>
      <c r="AO100" s="2"/>
      <c r="AP100" s="152"/>
      <c r="AQ100" s="2"/>
      <c r="AR100" s="2"/>
      <c r="AS100" s="2"/>
      <c r="AT100" s="2"/>
      <c r="AU100" s="2"/>
      <c r="AV100" s="2"/>
    </row>
    <row r="101" spans="1:48" x14ac:dyDescent="0.2">
      <c r="A101" s="2"/>
      <c r="B101" s="11" t="s">
        <v>90</v>
      </c>
      <c r="C101" s="2"/>
      <c r="D101" s="2"/>
      <c r="E101" s="2"/>
      <c r="F101" s="15"/>
      <c r="G101" s="15"/>
      <c r="H101" s="15"/>
      <c r="I101" s="15"/>
      <c r="J101" s="110"/>
      <c r="K101" s="110"/>
      <c r="L101" s="110"/>
      <c r="M101" s="110"/>
      <c r="N101" s="110">
        <v>-349</v>
      </c>
      <c r="O101" s="110">
        <v>-325</v>
      </c>
      <c r="P101" s="110">
        <v>-347</v>
      </c>
      <c r="Q101" s="110">
        <v>-491</v>
      </c>
      <c r="R101" s="88">
        <v>-535</v>
      </c>
      <c r="S101" s="88">
        <v>-565</v>
      </c>
      <c r="T101" s="88">
        <v>-582</v>
      </c>
      <c r="U101" s="73">
        <v>-617</v>
      </c>
      <c r="V101" s="73">
        <v>-678</v>
      </c>
      <c r="W101" s="73">
        <v>-750</v>
      </c>
      <c r="X101" s="88">
        <v>-753</v>
      </c>
      <c r="Y101" s="73">
        <v>-763</v>
      </c>
      <c r="Z101" s="73">
        <v>-859</v>
      </c>
      <c r="AA101" s="217">
        <f>-967+50</f>
        <v>-917</v>
      </c>
      <c r="AB101" s="217">
        <f>-1098+0.4</f>
        <v>-1097.5999999999999</v>
      </c>
      <c r="AC101" s="73">
        <f t="shared" ref="AC101:AH101" si="159">+-AC380</f>
        <v>-1120.2114977784195</v>
      </c>
      <c r="AD101" s="73">
        <f t="shared" si="159"/>
        <v>-1201.5232509489547</v>
      </c>
      <c r="AE101" s="73">
        <f t="shared" si="159"/>
        <v>-1299.3641483172757</v>
      </c>
      <c r="AF101" s="73">
        <f t="shared" si="159"/>
        <v>-1362.5398701326912</v>
      </c>
      <c r="AG101" s="73">
        <f t="shared" si="159"/>
        <v>-1422.6268920678372</v>
      </c>
      <c r="AH101" s="73">
        <f t="shared" si="159"/>
        <v>-1482.0669601644431</v>
      </c>
      <c r="AI101" s="73">
        <f t="shared" ref="AI101:AL101" si="160">+-AI380</f>
        <v>-1533.7489778450824</v>
      </c>
      <c r="AJ101" s="73">
        <f t="shared" si="160"/>
        <v>-1586.6776457869391</v>
      </c>
      <c r="AK101" s="73">
        <f t="shared" si="160"/>
        <v>-1640.8182107612886</v>
      </c>
      <c r="AL101" s="73">
        <f t="shared" si="160"/>
        <v>-1694.3614443540164</v>
      </c>
      <c r="AO101" s="6"/>
      <c r="AP101" s="44"/>
      <c r="AQ101" s="2"/>
      <c r="AR101" s="2"/>
      <c r="AS101" s="2"/>
      <c r="AT101" s="2"/>
      <c r="AU101" s="2"/>
      <c r="AV101" s="2"/>
    </row>
    <row r="102" spans="1:48" x14ac:dyDescent="0.2">
      <c r="A102" s="2"/>
      <c r="B102" s="11" t="s">
        <v>91</v>
      </c>
      <c r="C102" s="2"/>
      <c r="D102" s="2"/>
      <c r="E102" s="2"/>
      <c r="F102" s="15"/>
      <c r="G102" s="15"/>
      <c r="H102" s="15"/>
      <c r="I102" s="15"/>
      <c r="J102" s="110"/>
      <c r="K102" s="110">
        <v>-91</v>
      </c>
      <c r="L102" s="110">
        <v>-86</v>
      </c>
      <c r="M102" s="110">
        <v>-85</v>
      </c>
      <c r="N102" s="110">
        <v>-86</v>
      </c>
      <c r="O102" s="110">
        <v>-59</v>
      </c>
      <c r="P102" s="110">
        <v>-63</v>
      </c>
      <c r="Q102" s="110">
        <v>-98</v>
      </c>
      <c r="R102" s="88">
        <v>-84</v>
      </c>
      <c r="S102" s="88">
        <v>-81</v>
      </c>
      <c r="T102" s="88">
        <v>-86</v>
      </c>
      <c r="U102" s="73">
        <v>-102</v>
      </c>
      <c r="V102" s="73">
        <v>-115</v>
      </c>
      <c r="W102" s="73">
        <v>-128</v>
      </c>
      <c r="X102" s="88">
        <v>-124</v>
      </c>
      <c r="Y102" s="73">
        <v>-126</v>
      </c>
      <c r="Z102" s="73">
        <v>-139</v>
      </c>
      <c r="AA102" s="217">
        <v>-164</v>
      </c>
      <c r="AB102" s="217">
        <f>-187+0.4</f>
        <v>-186.6</v>
      </c>
      <c r="AC102" s="73">
        <f t="shared" ref="AC102:AH102" si="161">+-AC386</f>
        <v>-201.63806960011553</v>
      </c>
      <c r="AD102" s="73">
        <f t="shared" si="161"/>
        <v>-220.68794405184883</v>
      </c>
      <c r="AE102" s="73">
        <f t="shared" si="161"/>
        <v>-238.65872111949963</v>
      </c>
      <c r="AF102" s="73">
        <f t="shared" si="161"/>
        <v>-255.47622564987961</v>
      </c>
      <c r="AG102" s="73">
        <f t="shared" si="161"/>
        <v>-272.41791550235172</v>
      </c>
      <c r="AH102" s="73">
        <f t="shared" si="161"/>
        <v>-289.96962264086926</v>
      </c>
      <c r="AI102" s="73">
        <f t="shared" ref="AI102:AL102" si="162">+-AI386</f>
        <v>-306.74979556901638</v>
      </c>
      <c r="AJ102" s="73">
        <f t="shared" si="162"/>
        <v>-324.54770027460108</v>
      </c>
      <c r="AK102" s="73">
        <f t="shared" si="162"/>
        <v>-343.42706736864164</v>
      </c>
      <c r="AL102" s="73">
        <f t="shared" si="162"/>
        <v>-363.07745236157473</v>
      </c>
      <c r="AO102" s="2"/>
      <c r="AP102" s="2"/>
      <c r="AQ102" s="10"/>
      <c r="AR102" s="151"/>
      <c r="AS102" s="2"/>
      <c r="AT102" s="2"/>
      <c r="AU102" s="2"/>
      <c r="AV102" s="2"/>
    </row>
    <row r="103" spans="1:48" x14ac:dyDescent="0.2">
      <c r="A103" s="2"/>
      <c r="B103" s="58" t="s">
        <v>135</v>
      </c>
      <c r="C103" s="2"/>
      <c r="D103" s="2"/>
      <c r="E103" s="2"/>
      <c r="F103" s="15"/>
      <c r="G103" s="15"/>
      <c r="H103" s="15"/>
      <c r="I103" s="15"/>
      <c r="J103" s="110"/>
      <c r="K103" s="110"/>
      <c r="L103" s="110"/>
      <c r="M103" s="110"/>
      <c r="N103" s="110">
        <f>-416-6+96</f>
        <v>-326</v>
      </c>
      <c r="O103" s="110">
        <f>-381-1+95</f>
        <v>-287</v>
      </c>
      <c r="P103" s="110">
        <f>-439-5+112-36</f>
        <v>-368</v>
      </c>
      <c r="Q103" s="110">
        <f>-619+193-55</f>
        <v>-481</v>
      </c>
      <c r="R103" s="88">
        <f>-746+204</f>
        <v>-542</v>
      </c>
      <c r="S103" s="88">
        <f>-748+228</f>
        <v>-520</v>
      </c>
      <c r="T103" s="88">
        <f>294-809+60</f>
        <v>-455</v>
      </c>
      <c r="U103" s="73">
        <f>-855+260</f>
        <v>-595</v>
      </c>
      <c r="V103" s="73">
        <f>-999+249</f>
        <v>-750</v>
      </c>
      <c r="W103" s="73">
        <f>-1136+263</f>
        <v>-873</v>
      </c>
      <c r="X103" s="73">
        <f>-1114+282</f>
        <v>-832</v>
      </c>
      <c r="Y103" s="73">
        <f>-1050+323</f>
        <v>-727</v>
      </c>
      <c r="Z103" s="73">
        <f>-1350+354</f>
        <v>-996</v>
      </c>
      <c r="AA103" s="217">
        <f>-1690+388+150</f>
        <v>-1152</v>
      </c>
      <c r="AB103" s="217">
        <f>-1765+0.4</f>
        <v>-1764.6</v>
      </c>
      <c r="AC103" s="73">
        <f t="shared" ref="AC103:AH103" si="163">+-AC394</f>
        <v>-1433.8707171563769</v>
      </c>
      <c r="AD103" s="73">
        <f t="shared" si="163"/>
        <v>-1544.8156083629417</v>
      </c>
      <c r="AE103" s="73">
        <f t="shared" si="163"/>
        <v>-1670.6110478364972</v>
      </c>
      <c r="AF103" s="73">
        <f t="shared" si="163"/>
        <v>-1703.1748376658638</v>
      </c>
      <c r="AG103" s="73">
        <f t="shared" si="163"/>
        <v>-1755.5821221262663</v>
      </c>
      <c r="AH103" s="73">
        <f t="shared" si="163"/>
        <v>-1804.2554297654083</v>
      </c>
      <c r="AI103" s="73">
        <f t="shared" ref="AI103:AL103" si="164">+-AI394</f>
        <v>-1874.5820840328777</v>
      </c>
      <c r="AJ103" s="73">
        <f t="shared" si="164"/>
        <v>-1983.347057233673</v>
      </c>
      <c r="AK103" s="73">
        <f t="shared" si="164"/>
        <v>-2098.7209672528097</v>
      </c>
      <c r="AL103" s="73">
        <f t="shared" si="164"/>
        <v>-2178.4647141694481</v>
      </c>
      <c r="AO103" s="2"/>
      <c r="AP103" s="2"/>
      <c r="AQ103" s="28"/>
      <c r="AR103" s="2"/>
      <c r="AS103" s="2"/>
      <c r="AT103" s="2"/>
      <c r="AU103" s="2"/>
      <c r="AV103" s="2"/>
    </row>
    <row r="104" spans="1:48" x14ac:dyDescent="0.2">
      <c r="A104" s="4"/>
      <c r="B104" s="58" t="s">
        <v>136</v>
      </c>
      <c r="C104" s="4"/>
      <c r="D104" s="4"/>
      <c r="E104" s="4"/>
      <c r="F104" s="15"/>
      <c r="G104" s="15"/>
      <c r="H104" s="15"/>
      <c r="I104" s="15"/>
      <c r="J104" s="88">
        <f>J98</f>
        <v>-1807.2550000000001</v>
      </c>
      <c r="K104" s="88">
        <f>K98+K102</f>
        <v>-2012.3209999999999</v>
      </c>
      <c r="L104" s="88">
        <f>L98+L102</f>
        <v>-2036.47</v>
      </c>
      <c r="M104" s="88">
        <f>M98+M102</f>
        <v>-2245.3829999999998</v>
      </c>
      <c r="N104" s="88">
        <f t="shared" ref="N104:Z104" si="165">+N103+N102+N101+N100+N99+N98</f>
        <v>-2228</v>
      </c>
      <c r="O104" s="88">
        <f t="shared" si="165"/>
        <v>-2141</v>
      </c>
      <c r="P104" s="88">
        <f t="shared" si="165"/>
        <v>-2461</v>
      </c>
      <c r="Q104" s="88">
        <f t="shared" si="165"/>
        <v>-3566</v>
      </c>
      <c r="R104" s="88">
        <f t="shared" si="165"/>
        <v>-3911</v>
      </c>
      <c r="S104" s="88">
        <f t="shared" si="165"/>
        <v>-4150</v>
      </c>
      <c r="T104" s="88">
        <f t="shared" si="165"/>
        <v>-4036</v>
      </c>
      <c r="U104" s="88">
        <f t="shared" si="165"/>
        <v>-4786</v>
      </c>
      <c r="V104" s="88">
        <f t="shared" si="165"/>
        <v>-5318</v>
      </c>
      <c r="W104" s="88">
        <f t="shared" si="165"/>
        <v>-5887</v>
      </c>
      <c r="X104" s="88">
        <f>+X103+X102+X101+X100+X99+X98</f>
        <v>-5731</v>
      </c>
      <c r="Y104" s="88">
        <f t="shared" si="165"/>
        <v>-5881</v>
      </c>
      <c r="Z104" s="88">
        <f t="shared" si="165"/>
        <v>-6936</v>
      </c>
      <c r="AA104" s="88">
        <f t="shared" ref="AA104:AH104" si="166">+AA103+AA102+AA101+AA100+AA99+AA98</f>
        <v>-7508</v>
      </c>
      <c r="AB104" s="88">
        <f>+AB103+AB102+AB101+AB100+AB99+AB98-AB111</f>
        <v>-8429.4</v>
      </c>
      <c r="AC104" s="88">
        <f>+AC103+AC102+AC101+AC100+AC99+AC98</f>
        <v>-8851.2853872036958</v>
      </c>
      <c r="AD104" s="88">
        <f t="shared" si="166"/>
        <v>-9582.6612475924449</v>
      </c>
      <c r="AE104" s="88">
        <f t="shared" si="166"/>
        <v>-10265.938040377019</v>
      </c>
      <c r="AF104" s="88">
        <f t="shared" si="166"/>
        <v>-10721.68504975114</v>
      </c>
      <c r="AG104" s="88">
        <f t="shared" si="166"/>
        <v>-11224.196714358128</v>
      </c>
      <c r="AH104" s="88">
        <f t="shared" si="166"/>
        <v>-11735.556583605576</v>
      </c>
      <c r="AI104" s="88">
        <f t="shared" ref="AI104:AL104" si="167">+AI103+AI102+AI101+AI100+AI99+AI98</f>
        <v>-12273.193934690549</v>
      </c>
      <c r="AJ104" s="88">
        <f t="shared" si="167"/>
        <v>-12873.287652180148</v>
      </c>
      <c r="AK104" s="88">
        <f t="shared" si="167"/>
        <v>-13505.321199153208</v>
      </c>
      <c r="AL104" s="88">
        <f t="shared" si="167"/>
        <v>-14119.112547868976</v>
      </c>
      <c r="AM104" s="4"/>
      <c r="AN104" s="4"/>
      <c r="AO104" s="135"/>
      <c r="AP104" s="4"/>
      <c r="AQ104" s="110"/>
      <c r="AR104" s="4"/>
      <c r="AS104" s="4"/>
      <c r="AT104" s="4"/>
      <c r="AU104" s="4"/>
      <c r="AV104" s="4"/>
    </row>
    <row r="105" spans="1:48" x14ac:dyDescent="0.2">
      <c r="A105" s="2"/>
      <c r="B105" s="13" t="s">
        <v>302</v>
      </c>
      <c r="C105" s="2"/>
      <c r="D105" s="2"/>
      <c r="E105" s="2"/>
      <c r="F105" s="15"/>
      <c r="G105" s="15"/>
      <c r="H105" s="15"/>
      <c r="I105" s="15"/>
      <c r="J105" s="124">
        <f>+J104+J95+J91</f>
        <v>579.49999999999977</v>
      </c>
      <c r="K105" s="124">
        <f>+K104+K95+K91</f>
        <v>558.6710000000005</v>
      </c>
      <c r="L105" s="124">
        <f>+L104+L95+L91</f>
        <v>606.79799999999955</v>
      </c>
      <c r="M105" s="124">
        <f>+M104+M95+M91</f>
        <v>619.77300000000014</v>
      </c>
      <c r="N105" s="124">
        <f t="shared" ref="N105:Y105" si="168">+N104+N95+N91+N96</f>
        <v>627.82099999999991</v>
      </c>
      <c r="O105" s="124">
        <f t="shared" si="168"/>
        <v>714.85999999999967</v>
      </c>
      <c r="P105" s="124">
        <f t="shared" si="168"/>
        <v>819.20699999999988</v>
      </c>
      <c r="Q105" s="124">
        <f t="shared" si="168"/>
        <v>1074</v>
      </c>
      <c r="R105" s="124">
        <f t="shared" si="168"/>
        <v>1153</v>
      </c>
      <c r="S105" s="124">
        <f t="shared" si="168"/>
        <v>1298</v>
      </c>
      <c r="T105" s="124">
        <f t="shared" si="168"/>
        <v>862</v>
      </c>
      <c r="U105" s="124">
        <f t="shared" si="168"/>
        <v>1154</v>
      </c>
      <c r="V105" s="124">
        <f t="shared" si="168"/>
        <v>1202</v>
      </c>
      <c r="W105" s="124">
        <f>+W104+W95+W91+W96</f>
        <v>1448</v>
      </c>
      <c r="X105" s="124">
        <f>+X104+X95+X91+X96</f>
        <v>1515</v>
      </c>
      <c r="Y105" s="124">
        <f t="shared" si="168"/>
        <v>1282.8999999999996</v>
      </c>
      <c r="Z105" s="124">
        <f t="shared" ref="Z105:AH105" si="169">+Z104+Z95+Z91+Z96</f>
        <v>1446.0496415269372</v>
      </c>
      <c r="AA105" s="124">
        <f t="shared" si="169"/>
        <v>1959</v>
      </c>
      <c r="AB105" s="124">
        <f t="shared" si="169"/>
        <v>2522.6000000000004</v>
      </c>
      <c r="AC105" s="124">
        <f>+AC104+AC95+AC91+AC96</f>
        <v>2731.1924168361306</v>
      </c>
      <c r="AD105" s="124">
        <f t="shared" si="169"/>
        <v>3151.6463325599052</v>
      </c>
      <c r="AE105" s="124">
        <f t="shared" si="169"/>
        <v>3560.5205247965096</v>
      </c>
      <c r="AF105" s="124">
        <f t="shared" si="169"/>
        <v>4123.342441430591</v>
      </c>
      <c r="AG105" s="124">
        <f t="shared" si="169"/>
        <v>4648.8238610109865</v>
      </c>
      <c r="AH105" s="124">
        <f t="shared" si="169"/>
        <v>5210.6572967494212</v>
      </c>
      <c r="AI105" s="124">
        <f t="shared" ref="AI105:AL105" si="170">+AI104+AI95+AI91+AI96</f>
        <v>5671.7994687278833</v>
      </c>
      <c r="AJ105" s="124">
        <f t="shared" si="170"/>
        <v>6062.7161148913274</v>
      </c>
      <c r="AK105" s="124">
        <f t="shared" si="170"/>
        <v>6548.3919012811439</v>
      </c>
      <c r="AL105" s="124">
        <f t="shared" si="170"/>
        <v>7102.2751069693677</v>
      </c>
      <c r="AO105" s="28"/>
      <c r="AP105" s="2"/>
      <c r="AQ105" s="2"/>
      <c r="AR105" s="2"/>
      <c r="AS105" s="2"/>
      <c r="AT105" s="2"/>
      <c r="AU105" s="2"/>
      <c r="AV105" s="2"/>
    </row>
    <row r="106" spans="1:48" x14ac:dyDescent="0.2">
      <c r="A106" s="2"/>
      <c r="B106" s="35" t="s">
        <v>326</v>
      </c>
      <c r="C106" s="2"/>
      <c r="D106" s="2"/>
      <c r="E106" s="2"/>
      <c r="F106" s="15"/>
      <c r="G106" s="15"/>
      <c r="H106" s="15"/>
      <c r="I106" s="15"/>
      <c r="J106" s="36">
        <f t="shared" ref="J106:Y106" si="171">J105/J84%</f>
        <v>10.82378633042638</v>
      </c>
      <c r="K106" s="36">
        <f t="shared" si="171"/>
        <v>9.574801557207147</v>
      </c>
      <c r="L106" s="36">
        <f t="shared" si="171"/>
        <v>9.9274141340470301</v>
      </c>
      <c r="M106" s="36">
        <f t="shared" si="171"/>
        <v>9.5007387996999757</v>
      </c>
      <c r="N106" s="36">
        <f t="shared" si="171"/>
        <v>10.018207059424267</v>
      </c>
      <c r="O106" s="36">
        <f t="shared" si="171"/>
        <v>12.198959455345449</v>
      </c>
      <c r="P106" s="36">
        <f t="shared" si="171"/>
        <v>12.344891500904158</v>
      </c>
      <c r="Q106" s="36">
        <f t="shared" si="171"/>
        <v>10.650535501785006</v>
      </c>
      <c r="R106" s="46">
        <f t="shared" si="171"/>
        <v>11.195261675890864</v>
      </c>
      <c r="S106" s="46">
        <f t="shared" si="171"/>
        <v>12.019631447356238</v>
      </c>
      <c r="T106" s="46">
        <f t="shared" si="171"/>
        <v>8.3036316347172718</v>
      </c>
      <c r="U106" s="46">
        <f t="shared" si="171"/>
        <v>9.6246872393661373</v>
      </c>
      <c r="V106" s="46">
        <f t="shared" si="171"/>
        <v>9.0226692688785466</v>
      </c>
      <c r="W106" s="46">
        <f>W105/W84%</f>
        <v>9.7292212591547393</v>
      </c>
      <c r="X106" s="46">
        <f>X105/X84%</f>
        <v>10.666760543547138</v>
      </c>
      <c r="Y106" s="46">
        <f t="shared" si="171"/>
        <v>8.8269494079359259</v>
      </c>
      <c r="Z106" s="46">
        <f t="shared" ref="Z106:AH106" si="172">Z105/Z84%</f>
        <v>8.5488938677238249</v>
      </c>
      <c r="AA106" s="36">
        <f t="shared" si="172"/>
        <v>10.598928745333549</v>
      </c>
      <c r="AB106" s="36">
        <f t="shared" si="172"/>
        <v>11.889522552670032</v>
      </c>
      <c r="AC106" s="36">
        <f t="shared" si="172"/>
        <v>12.190521264299536</v>
      </c>
      <c r="AD106" s="36">
        <f t="shared" si="172"/>
        <v>12.852907355181609</v>
      </c>
      <c r="AE106" s="36">
        <f t="shared" si="172"/>
        <v>13.426990881729976</v>
      </c>
      <c r="AF106" s="36">
        <f t="shared" si="172"/>
        <v>14.52584555704736</v>
      </c>
      <c r="AG106" s="36">
        <f t="shared" si="172"/>
        <v>15.358540084247025</v>
      </c>
      <c r="AH106" s="36">
        <f t="shared" si="172"/>
        <v>16.172699486120287</v>
      </c>
      <c r="AI106" s="36">
        <f t="shared" ref="AI106:AL106" si="173">AI105/AI84%</f>
        <v>16.640987526613021</v>
      </c>
      <c r="AJ106" s="36">
        <f t="shared" si="173"/>
        <v>16.812457764407132</v>
      </c>
      <c r="AK106" s="36">
        <f t="shared" si="173"/>
        <v>17.161002352871535</v>
      </c>
      <c r="AL106" s="36">
        <f t="shared" si="173"/>
        <v>17.6051901727757</v>
      </c>
      <c r="AO106" s="6"/>
      <c r="AP106" s="2"/>
      <c r="AQ106" s="2"/>
      <c r="AR106" s="2"/>
      <c r="AS106" s="2"/>
      <c r="AT106" s="2"/>
      <c r="AU106" s="2"/>
      <c r="AV106" s="2"/>
    </row>
    <row r="107" spans="1:48" x14ac:dyDescent="0.2">
      <c r="A107" s="2"/>
      <c r="B107" s="35" t="s">
        <v>306</v>
      </c>
      <c r="C107" s="2"/>
      <c r="D107" s="2"/>
      <c r="E107" s="2"/>
      <c r="F107" s="15"/>
      <c r="G107" s="15"/>
      <c r="H107" s="15"/>
      <c r="I107" s="15"/>
      <c r="J107" s="93" t="str">
        <f t="shared" ref="J107:Y107" si="174">IF(ISERROR((J105-I105)/I105%),"na",(J105-I105)/I105%)</f>
        <v>na</v>
      </c>
      <c r="K107" s="93">
        <f t="shared" si="174"/>
        <v>-3.5943054357203237</v>
      </c>
      <c r="L107" s="93">
        <f t="shared" si="174"/>
        <v>8.6145513191125005</v>
      </c>
      <c r="M107" s="93">
        <f t="shared" si="174"/>
        <v>2.1382733627995809</v>
      </c>
      <c r="N107" s="93">
        <f t="shared" si="174"/>
        <v>1.2985399493039826</v>
      </c>
      <c r="O107" s="93">
        <f t="shared" si="174"/>
        <v>13.863664961828256</v>
      </c>
      <c r="P107" s="93">
        <f t="shared" si="174"/>
        <v>14.596844137313637</v>
      </c>
      <c r="Q107" s="93">
        <f t="shared" si="174"/>
        <v>31.102395365273996</v>
      </c>
      <c r="R107" s="94">
        <f t="shared" si="174"/>
        <v>7.355679702048417</v>
      </c>
      <c r="S107" s="94">
        <f t="shared" si="174"/>
        <v>12.575888985255855</v>
      </c>
      <c r="T107" s="94">
        <f t="shared" si="174"/>
        <v>-33.590138674884436</v>
      </c>
      <c r="U107" s="94">
        <f t="shared" si="174"/>
        <v>33.874709976798144</v>
      </c>
      <c r="V107" s="94">
        <f t="shared" si="174"/>
        <v>4.1594454072790299</v>
      </c>
      <c r="W107" s="94">
        <f>IF(ISERROR((W105-V105)/V105%),"na",(W105-V105)/V105%)</f>
        <v>20.465890183028286</v>
      </c>
      <c r="X107" s="94">
        <f>IF(ISERROR((X105-W105)/W105%),"na",(X105-W105)/W105%)</f>
        <v>4.6270718232044201</v>
      </c>
      <c r="Y107" s="94">
        <f t="shared" si="174"/>
        <v>-15.320132013201343</v>
      </c>
      <c r="Z107" s="94">
        <f t="shared" ref="Z107:AL107" si="175">IF(ISERROR((Z105-Y105)/Y105%),"na",(Z105-Y105)/Y105%)</f>
        <v>12.717253217471166</v>
      </c>
      <c r="AA107" s="93">
        <f t="shared" si="175"/>
        <v>35.472527618859587</v>
      </c>
      <c r="AB107" s="93">
        <f t="shared" si="175"/>
        <v>28.769780500255251</v>
      </c>
      <c r="AC107" s="93">
        <f t="shared" si="175"/>
        <v>8.2689454069662354</v>
      </c>
      <c r="AD107" s="93">
        <f t="shared" si="175"/>
        <v>15.394518274579754</v>
      </c>
      <c r="AE107" s="93">
        <f t="shared" si="175"/>
        <v>12.973352625657677</v>
      </c>
      <c r="AF107" s="93">
        <f t="shared" si="175"/>
        <v>15.807293139147056</v>
      </c>
      <c r="AG107" s="93">
        <f t="shared" si="175"/>
        <v>12.744064482747161</v>
      </c>
      <c r="AH107" s="93">
        <f t="shared" si="175"/>
        <v>12.085496300482589</v>
      </c>
      <c r="AI107" s="93">
        <f t="shared" si="175"/>
        <v>8.8499808319026805</v>
      </c>
      <c r="AJ107" s="93">
        <f t="shared" si="175"/>
        <v>6.8922860957762664</v>
      </c>
      <c r="AK107" s="93">
        <f t="shared" si="175"/>
        <v>8.0108614222739689</v>
      </c>
      <c r="AL107" s="93">
        <f t="shared" si="175"/>
        <v>8.4583087579083447</v>
      </c>
      <c r="AO107" s="2"/>
      <c r="AP107" s="2"/>
      <c r="AQ107" s="2"/>
      <c r="AR107" s="2"/>
      <c r="AS107" s="2"/>
      <c r="AT107" s="2"/>
      <c r="AU107" s="2"/>
      <c r="AV107" s="2"/>
    </row>
    <row r="108" spans="1:48" x14ac:dyDescent="0.2">
      <c r="A108" s="2"/>
      <c r="B108" s="35"/>
      <c r="C108" s="2"/>
      <c r="D108" s="2"/>
      <c r="E108" s="28"/>
      <c r="F108" s="110"/>
      <c r="G108" s="110"/>
      <c r="H108" s="110"/>
      <c r="I108" s="110"/>
      <c r="J108" s="72"/>
      <c r="K108" s="72"/>
      <c r="L108" s="72"/>
      <c r="M108" s="72"/>
      <c r="N108" s="72"/>
      <c r="O108" s="72"/>
      <c r="P108" s="72"/>
      <c r="Q108" s="72"/>
      <c r="R108" s="72"/>
      <c r="S108" s="153"/>
      <c r="T108" s="153"/>
      <c r="U108" s="153"/>
      <c r="V108" s="153"/>
      <c r="W108" s="94"/>
      <c r="X108" s="94"/>
      <c r="Y108" s="153"/>
      <c r="Z108" s="167"/>
      <c r="AA108" s="72"/>
      <c r="AB108" s="88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">
      <c r="A109" s="2"/>
      <c r="B109" s="4" t="s">
        <v>328</v>
      </c>
      <c r="C109" s="2"/>
      <c r="D109" s="2"/>
      <c r="E109" s="28"/>
      <c r="F109" s="110"/>
      <c r="G109" s="110"/>
      <c r="H109" s="110"/>
      <c r="I109" s="110"/>
      <c r="J109" s="70">
        <f t="shared" ref="J109:R109" si="176">-J183</f>
        <v>-65.463999999999999</v>
      </c>
      <c r="K109" s="70">
        <f t="shared" si="176"/>
        <v>-74</v>
      </c>
      <c r="L109" s="70">
        <f t="shared" si="176"/>
        <v>-79.831000000000003</v>
      </c>
      <c r="M109" s="70">
        <f t="shared" si="176"/>
        <v>-83.647999999999996</v>
      </c>
      <c r="N109" s="70">
        <f t="shared" si="176"/>
        <v>-82.843999999999994</v>
      </c>
      <c r="O109" s="70">
        <f t="shared" si="176"/>
        <v>-83</v>
      </c>
      <c r="P109" s="70">
        <f t="shared" si="176"/>
        <v>-92</v>
      </c>
      <c r="Q109" s="70">
        <f t="shared" si="176"/>
        <v>-118</v>
      </c>
      <c r="R109" s="70">
        <f t="shared" si="176"/>
        <v>-142</v>
      </c>
      <c r="S109" s="158">
        <f>-S183</f>
        <v>-159</v>
      </c>
      <c r="T109" s="158">
        <f t="shared" ref="T109:V109" si="177">-T183</f>
        <v>-182</v>
      </c>
      <c r="U109" s="158">
        <f t="shared" si="177"/>
        <v>-184</v>
      </c>
      <c r="V109" s="158">
        <f t="shared" si="177"/>
        <v>-205</v>
      </c>
      <c r="W109" s="158">
        <f>-W183+8</f>
        <v>-206</v>
      </c>
      <c r="X109" s="158">
        <f>-X183+6</f>
        <v>-228</v>
      </c>
      <c r="Y109" s="158">
        <f>-Y183+5</f>
        <v>-253</v>
      </c>
      <c r="Z109" s="158">
        <f>-Z183+7</f>
        <v>-272</v>
      </c>
      <c r="AA109" s="70">
        <f>-AA183+20</f>
        <v>-283</v>
      </c>
      <c r="AB109" s="70">
        <f>-AB183</f>
        <v>-358</v>
      </c>
      <c r="AC109" s="70">
        <f t="shared" ref="AC109:AH109" si="178">-AC183</f>
        <v>-306.01057488892098</v>
      </c>
      <c r="AD109" s="70">
        <f t="shared" si="178"/>
        <v>-339.56171045666002</v>
      </c>
      <c r="AE109" s="70">
        <f t="shared" si="178"/>
        <v>-365.97078966684046</v>
      </c>
      <c r="AF109" s="70">
        <f t="shared" si="178"/>
        <v>-386.69279574962655</v>
      </c>
      <c r="AG109" s="70">
        <f t="shared" si="178"/>
        <v>-402.81605649585157</v>
      </c>
      <c r="AH109" s="70">
        <f t="shared" si="178"/>
        <v>-417.75205302034908</v>
      </c>
      <c r="AI109" s="70">
        <f t="shared" ref="AI109:AL109" si="179">-AI183</f>
        <v>-433.84708267901482</v>
      </c>
      <c r="AJ109" s="70">
        <f t="shared" si="179"/>
        <v>-450.82124894031568</v>
      </c>
      <c r="AK109" s="70">
        <f t="shared" si="179"/>
        <v>-467.49555635477316</v>
      </c>
      <c r="AL109" s="70">
        <f t="shared" si="179"/>
        <v>-482.88353880739828</v>
      </c>
      <c r="AO109" s="2"/>
      <c r="AP109" s="2"/>
      <c r="AQ109" s="2"/>
      <c r="AR109" s="2"/>
      <c r="AS109" s="2"/>
      <c r="AT109" s="2"/>
      <c r="AU109" s="2"/>
      <c r="AV109" s="2"/>
    </row>
    <row r="110" spans="1:48" x14ac:dyDescent="0.2">
      <c r="A110" s="2"/>
      <c r="B110" s="4" t="s">
        <v>244</v>
      </c>
      <c r="C110" s="2"/>
      <c r="D110" s="2"/>
      <c r="E110" s="28"/>
      <c r="F110" s="110"/>
      <c r="G110" s="110"/>
      <c r="H110" s="110"/>
      <c r="I110" s="110"/>
      <c r="J110" s="70">
        <f t="shared" ref="J110:R110" si="180">J111-J109</f>
        <v>-36.902000000000001</v>
      </c>
      <c r="K110" s="70">
        <f t="shared" si="180"/>
        <v>-44.356999999999999</v>
      </c>
      <c r="L110" s="70">
        <f t="shared" si="180"/>
        <v>-50.521000000000001</v>
      </c>
      <c r="M110" s="70">
        <f t="shared" si="180"/>
        <v>-58.89500000000001</v>
      </c>
      <c r="N110" s="70">
        <f t="shared" si="180"/>
        <v>-57.484000000000009</v>
      </c>
      <c r="O110" s="70">
        <f t="shared" si="180"/>
        <v>-47.650000000000006</v>
      </c>
      <c r="P110" s="70">
        <f t="shared" si="180"/>
        <v>-20</v>
      </c>
      <c r="Q110" s="70">
        <f t="shared" si="180"/>
        <v>-75</v>
      </c>
      <c r="R110" s="70">
        <f t="shared" si="180"/>
        <v>-62</v>
      </c>
      <c r="S110" s="158">
        <f>S111-S109</f>
        <v>-69</v>
      </c>
      <c r="T110" s="158">
        <f>T111-T109</f>
        <v>-112</v>
      </c>
      <c r="U110" s="158">
        <f>U111-U109</f>
        <v>-76</v>
      </c>
      <c r="V110" s="158">
        <f>V111-V109</f>
        <v>-44</v>
      </c>
      <c r="W110" s="158">
        <f t="shared" ref="W110:AC110" si="181">W446</f>
        <v>-57</v>
      </c>
      <c r="X110" s="158">
        <f>X446</f>
        <v>-54</v>
      </c>
      <c r="Y110" s="158">
        <f t="shared" si="181"/>
        <v>-69</v>
      </c>
      <c r="Z110" s="158">
        <f t="shared" si="181"/>
        <v>-80</v>
      </c>
      <c r="AA110" s="70">
        <f>AA446</f>
        <v>-94</v>
      </c>
      <c r="AB110" s="70">
        <f t="shared" si="181"/>
        <v>-94</v>
      </c>
      <c r="AC110" s="70">
        <f t="shared" si="181"/>
        <v>-81.155000000000001</v>
      </c>
      <c r="AD110" s="70">
        <f t="shared" ref="AD110:AL110" si="182">AD446</f>
        <v>-83.185065277777781</v>
      </c>
      <c r="AE110" s="70">
        <f t="shared" si="182"/>
        <v>-85.259198369841272</v>
      </c>
      <c r="AF110" s="70">
        <f t="shared" si="182"/>
        <v>-87.356126270728296</v>
      </c>
      <c r="AG110" s="70">
        <f t="shared" si="182"/>
        <v>-89.453054171615321</v>
      </c>
      <c r="AH110" s="70">
        <f t="shared" si="182"/>
        <v>-91.549982072502345</v>
      </c>
      <c r="AI110" s="70">
        <f t="shared" si="182"/>
        <v>-93.64690997338937</v>
      </c>
      <c r="AJ110" s="70">
        <f t="shared" si="182"/>
        <v>-95.74383787427638</v>
      </c>
      <c r="AK110" s="70">
        <f t="shared" si="182"/>
        <v>-97.840765775163419</v>
      </c>
      <c r="AL110" s="70">
        <f t="shared" si="182"/>
        <v>-99.937693676050444</v>
      </c>
      <c r="AO110" s="2"/>
      <c r="AP110" s="6"/>
      <c r="AQ110" s="2"/>
      <c r="AR110" s="2"/>
      <c r="AS110" s="2"/>
      <c r="AT110" s="2"/>
      <c r="AU110" s="2"/>
      <c r="AV110" s="2"/>
    </row>
    <row r="111" spans="1:48" x14ac:dyDescent="0.2">
      <c r="A111" s="4"/>
      <c r="B111" s="58" t="s">
        <v>252</v>
      </c>
      <c r="C111" s="4"/>
      <c r="D111" s="4"/>
      <c r="E111" s="110"/>
      <c r="F111" s="88"/>
      <c r="G111" s="88"/>
      <c r="H111" s="88"/>
      <c r="I111" s="88"/>
      <c r="J111" s="88">
        <f>-63.264-39.102</f>
        <v>-102.366</v>
      </c>
      <c r="K111" s="88">
        <f>-78.812-39.545</f>
        <v>-118.357</v>
      </c>
      <c r="L111" s="88">
        <f>-89.962-40.39</f>
        <v>-130.352</v>
      </c>
      <c r="M111" s="88">
        <f>-97.147-45.396</f>
        <v>-142.54300000000001</v>
      </c>
      <c r="N111" s="88">
        <f>-95.519-44.809</f>
        <v>-140.328</v>
      </c>
      <c r="O111" s="88">
        <f>-94.744-35.906</f>
        <v>-130.65</v>
      </c>
      <c r="P111" s="88">
        <v>-112</v>
      </c>
      <c r="Q111" s="88">
        <v>-193</v>
      </c>
      <c r="R111" s="88">
        <v>-204</v>
      </c>
      <c r="S111" s="88">
        <v>-228</v>
      </c>
      <c r="T111" s="88">
        <v>-294</v>
      </c>
      <c r="U111" s="88">
        <v>-260</v>
      </c>
      <c r="V111" s="88">
        <v>-249</v>
      </c>
      <c r="W111" s="88">
        <f t="shared" ref="W111:Z111" si="183">W109+W110</f>
        <v>-263</v>
      </c>
      <c r="X111" s="88">
        <f>X109+X110</f>
        <v>-282</v>
      </c>
      <c r="Y111" s="88">
        <f t="shared" si="183"/>
        <v>-322</v>
      </c>
      <c r="Z111" s="88">
        <f t="shared" si="183"/>
        <v>-352</v>
      </c>
      <c r="AA111" s="88">
        <f t="shared" ref="AA111:AH111" si="184">AA109+AA110</f>
        <v>-377</v>
      </c>
      <c r="AB111" s="88">
        <f t="shared" si="184"/>
        <v>-452</v>
      </c>
      <c r="AC111" s="88">
        <f t="shared" si="184"/>
        <v>-387.16557488892101</v>
      </c>
      <c r="AD111" s="88">
        <f t="shared" si="184"/>
        <v>-422.74677573443779</v>
      </c>
      <c r="AE111" s="88">
        <f t="shared" si="184"/>
        <v>-451.22998803668173</v>
      </c>
      <c r="AF111" s="88">
        <f t="shared" si="184"/>
        <v>-474.04892202035484</v>
      </c>
      <c r="AG111" s="88">
        <f t="shared" si="184"/>
        <v>-492.26911066746686</v>
      </c>
      <c r="AH111" s="88">
        <f t="shared" si="184"/>
        <v>-509.30203509285144</v>
      </c>
      <c r="AI111" s="88">
        <f t="shared" ref="AI111:AL111" si="185">AI109+AI110</f>
        <v>-527.49399265240413</v>
      </c>
      <c r="AJ111" s="88">
        <f t="shared" si="185"/>
        <v>-546.56508681459206</v>
      </c>
      <c r="AK111" s="88">
        <f t="shared" si="185"/>
        <v>-565.33632212993655</v>
      </c>
      <c r="AL111" s="88">
        <f t="shared" si="185"/>
        <v>-582.82123248344874</v>
      </c>
      <c r="AM111" s="4"/>
      <c r="AN111" s="4"/>
      <c r="AO111" s="4"/>
      <c r="AP111" s="15"/>
      <c r="AQ111" s="4"/>
      <c r="AR111" s="4"/>
      <c r="AS111" s="4"/>
      <c r="AT111" s="4"/>
      <c r="AU111" s="4"/>
      <c r="AV111" s="4"/>
    </row>
    <row r="112" spans="1:48" x14ac:dyDescent="0.2">
      <c r="A112" s="13"/>
      <c r="B112" s="13" t="s">
        <v>330</v>
      </c>
      <c r="C112" s="13"/>
      <c r="D112" s="13"/>
      <c r="E112" s="89"/>
      <c r="F112" s="89">
        <v>129</v>
      </c>
      <c r="G112" s="89">
        <v>192</v>
      </c>
      <c r="H112" s="89">
        <v>316</v>
      </c>
      <c r="I112" s="89">
        <v>416</v>
      </c>
      <c r="J112" s="89">
        <f t="shared" ref="J112:Y112" si="186">J111+J105</f>
        <v>477.13399999999979</v>
      </c>
      <c r="K112" s="55">
        <f t="shared" si="186"/>
        <v>440.31400000000053</v>
      </c>
      <c r="L112" s="55">
        <f t="shared" si="186"/>
        <v>476.44599999999957</v>
      </c>
      <c r="M112" s="55">
        <f t="shared" si="186"/>
        <v>477.23000000000013</v>
      </c>
      <c r="N112" s="55">
        <f t="shared" si="186"/>
        <v>487.49299999999994</v>
      </c>
      <c r="O112" s="55">
        <f t="shared" si="186"/>
        <v>584.2099999999997</v>
      </c>
      <c r="P112" s="55">
        <f t="shared" si="186"/>
        <v>707.20699999999988</v>
      </c>
      <c r="Q112" s="55">
        <f t="shared" si="186"/>
        <v>881</v>
      </c>
      <c r="R112" s="55">
        <f t="shared" si="186"/>
        <v>949</v>
      </c>
      <c r="S112" s="55">
        <f t="shared" si="186"/>
        <v>1070</v>
      </c>
      <c r="T112" s="55">
        <f t="shared" si="186"/>
        <v>568</v>
      </c>
      <c r="U112" s="55">
        <f t="shared" si="186"/>
        <v>894</v>
      </c>
      <c r="V112" s="55">
        <f t="shared" si="186"/>
        <v>953</v>
      </c>
      <c r="W112" s="55">
        <f>W111+W105</f>
        <v>1185</v>
      </c>
      <c r="X112" s="55">
        <f>X111+X105</f>
        <v>1233</v>
      </c>
      <c r="Y112" s="55">
        <f t="shared" si="186"/>
        <v>960.89999999999964</v>
      </c>
      <c r="Z112" s="55">
        <f t="shared" ref="Z112:AH112" si="187">Z111+Z105</f>
        <v>1094.0496415269372</v>
      </c>
      <c r="AA112" s="55">
        <f t="shared" si="187"/>
        <v>1582</v>
      </c>
      <c r="AB112" s="89">
        <f t="shared" si="187"/>
        <v>2070.6000000000004</v>
      </c>
      <c r="AC112" s="55">
        <f>AC111+AC105</f>
        <v>2344.0268419472095</v>
      </c>
      <c r="AD112" s="55">
        <f t="shared" si="187"/>
        <v>2728.8995568254672</v>
      </c>
      <c r="AE112" s="55">
        <f t="shared" si="187"/>
        <v>3109.2905367598278</v>
      </c>
      <c r="AF112" s="55">
        <f t="shared" si="187"/>
        <v>3649.2935194102361</v>
      </c>
      <c r="AG112" s="55">
        <f t="shared" si="187"/>
        <v>4156.55475034352</v>
      </c>
      <c r="AH112" s="55">
        <f t="shared" si="187"/>
        <v>4701.3552616565694</v>
      </c>
      <c r="AI112" s="55">
        <f t="shared" ref="AI112:AL112" si="188">AI111+AI105</f>
        <v>5144.3054760754794</v>
      </c>
      <c r="AJ112" s="55">
        <f t="shared" si="188"/>
        <v>5516.1510280767352</v>
      </c>
      <c r="AK112" s="55">
        <f>AK111+AK105</f>
        <v>5983.055579151207</v>
      </c>
      <c r="AL112" s="55">
        <f t="shared" si="188"/>
        <v>6519.4538744859192</v>
      </c>
      <c r="AM112" s="13"/>
      <c r="AN112" s="13"/>
      <c r="AO112" s="89"/>
      <c r="AP112" s="55"/>
      <c r="AQ112" s="13"/>
      <c r="AR112" s="13"/>
      <c r="AS112" s="13"/>
      <c r="AT112" s="13"/>
      <c r="AU112" s="13"/>
      <c r="AV112" s="13"/>
    </row>
    <row r="113" spans="1:48" x14ac:dyDescent="0.2">
      <c r="A113" s="31"/>
      <c r="B113" s="31" t="s">
        <v>326</v>
      </c>
      <c r="C113" s="37"/>
      <c r="D113" s="37"/>
      <c r="E113" s="37"/>
      <c r="F113" s="37">
        <f t="shared" ref="F113:Y113" si="189">F112/F84%</f>
        <v>7.2067039106145261</v>
      </c>
      <c r="G113" s="37">
        <f t="shared" si="189"/>
        <v>7.9734219269102997</v>
      </c>
      <c r="H113" s="37">
        <f t="shared" si="189"/>
        <v>9.2262773722627731</v>
      </c>
      <c r="I113" s="37">
        <f t="shared" si="189"/>
        <v>8.2132280355380054</v>
      </c>
      <c r="J113" s="37">
        <f t="shared" si="189"/>
        <v>8.9118144382772382</v>
      </c>
      <c r="K113" s="37">
        <f t="shared" si="189"/>
        <v>7.5463361671898292</v>
      </c>
      <c r="L113" s="37">
        <f t="shared" si="189"/>
        <v>7.7948126963341506</v>
      </c>
      <c r="M113" s="37">
        <f t="shared" si="189"/>
        <v>7.3156423035221279</v>
      </c>
      <c r="N113" s="37">
        <f t="shared" si="189"/>
        <v>7.7789781068487898</v>
      </c>
      <c r="O113" s="37">
        <f t="shared" si="189"/>
        <v>9.9694403147572448</v>
      </c>
      <c r="P113" s="37">
        <f t="shared" si="189"/>
        <v>10.657127787823988</v>
      </c>
      <c r="Q113" s="37">
        <f t="shared" si="189"/>
        <v>8.7366124553748516</v>
      </c>
      <c r="R113" s="178">
        <f t="shared" si="189"/>
        <v>9.2144868433828524</v>
      </c>
      <c r="S113" s="178">
        <f t="shared" si="189"/>
        <v>9.9083248448930465</v>
      </c>
      <c r="T113" s="178">
        <f t="shared" si="189"/>
        <v>5.4715345342452553</v>
      </c>
      <c r="U113" s="178">
        <f t="shared" si="189"/>
        <v>7.4562135112593824</v>
      </c>
      <c r="V113" s="178">
        <f t="shared" si="189"/>
        <v>7.1535805434619428</v>
      </c>
      <c r="W113" s="178">
        <f>W112/W84%</f>
        <v>7.9621044144325737</v>
      </c>
      <c r="X113" s="178">
        <f>X112/X84%</f>
        <v>8.6812645215799478</v>
      </c>
      <c r="Y113" s="178">
        <f t="shared" si="189"/>
        <v>6.6114394622228012</v>
      </c>
      <c r="Z113" s="178">
        <f t="shared" ref="Z113:AH113" si="190">Z112/Z84%</f>
        <v>6.4679067736284592</v>
      </c>
      <c r="AA113" s="178">
        <f t="shared" si="190"/>
        <v>8.5592165773954445</v>
      </c>
      <c r="AB113" s="178">
        <f t="shared" si="190"/>
        <v>9.7591553942593219</v>
      </c>
      <c r="AC113" s="178">
        <f t="shared" si="190"/>
        <v>10.462429847380765</v>
      </c>
      <c r="AD113" s="178">
        <f t="shared" si="190"/>
        <v>11.128879793115937</v>
      </c>
      <c r="AE113" s="178">
        <f t="shared" si="190"/>
        <v>11.725368635000217</v>
      </c>
      <c r="AF113" s="178">
        <f t="shared" si="190"/>
        <v>12.855850516479402</v>
      </c>
      <c r="AG113" s="178">
        <f t="shared" si="190"/>
        <v>13.732207253736489</v>
      </c>
      <c r="AH113" s="178">
        <f t="shared" si="190"/>
        <v>14.591941379774557</v>
      </c>
      <c r="AI113" s="178">
        <f t="shared" ref="AI113:AL113" si="191">AI112/AI84%</f>
        <v>15.093326859043483</v>
      </c>
      <c r="AJ113" s="178">
        <f t="shared" si="191"/>
        <v>15.296783557759149</v>
      </c>
      <c r="AK113" s="178">
        <f t="shared" si="191"/>
        <v>15.679457249815391</v>
      </c>
      <c r="AL113" s="178">
        <f t="shared" si="191"/>
        <v>16.160487105087718</v>
      </c>
      <c r="AM113" s="31"/>
      <c r="AN113" s="31"/>
      <c r="AO113" s="179"/>
      <c r="AP113" s="37"/>
      <c r="AQ113" s="31"/>
      <c r="AR113" s="31"/>
      <c r="AS113" s="31"/>
      <c r="AT113" s="31"/>
      <c r="AU113" s="31"/>
      <c r="AV113" s="31"/>
    </row>
    <row r="114" spans="1:48" x14ac:dyDescent="0.2">
      <c r="A114" s="35"/>
      <c r="B114" s="35" t="s">
        <v>306</v>
      </c>
      <c r="C114" s="36"/>
      <c r="D114" s="36"/>
      <c r="E114" s="36"/>
      <c r="F114" s="93" t="str">
        <f>IF(ISERROR((F112-E112)/E112%),"na",(F112-E112)/E112%)</f>
        <v>na</v>
      </c>
      <c r="G114" s="93">
        <f>IF(ISERROR((G112-F112)/F112%),"na",(G112-F112)/F112%)</f>
        <v>48.837209302325583</v>
      </c>
      <c r="H114" s="93">
        <f>IF(ISERROR((H112-G112)/G112%),"na",(H112-G112)/G112%)</f>
        <v>64.583333333333343</v>
      </c>
      <c r="I114" s="93">
        <f>IF(ISERROR((I112-H112)/H112%),"na",(I112-H112)/H112%)</f>
        <v>31.645569620253163</v>
      </c>
      <c r="J114" s="93">
        <f t="shared" ref="J114:O114" si="192">IF(ISERROR((J112-I112)/I112%),"na",(J112-I112)/I112%)</f>
        <v>14.695673076923025</v>
      </c>
      <c r="K114" s="93">
        <f t="shared" si="192"/>
        <v>-7.7169097150903667</v>
      </c>
      <c r="L114" s="93">
        <f t="shared" si="192"/>
        <v>8.2059621088584507</v>
      </c>
      <c r="M114" s="93">
        <f t="shared" si="192"/>
        <v>0.16455170155706225</v>
      </c>
      <c r="N114" s="93">
        <f t="shared" si="192"/>
        <v>2.1505353812626624</v>
      </c>
      <c r="O114" s="93">
        <f t="shared" si="192"/>
        <v>19.839669492690106</v>
      </c>
      <c r="P114" s="36">
        <f t="shared" ref="P114:Y114" si="193">IF(ISERROR((P112-O112)/O112%),"na",(P112-O112)/O112%)</f>
        <v>21.053559507711313</v>
      </c>
      <c r="Q114" s="36">
        <f>IF(ISERROR((Q112-P112)/P112%),"na",(Q112-P112)/P112%)</f>
        <v>24.574558792545908</v>
      </c>
      <c r="R114" s="46">
        <f t="shared" si="193"/>
        <v>7.718501702610669</v>
      </c>
      <c r="S114" s="46">
        <f t="shared" si="193"/>
        <v>12.750263435194942</v>
      </c>
      <c r="T114" s="46">
        <f t="shared" si="193"/>
        <v>-46.915887850467293</v>
      </c>
      <c r="U114" s="46">
        <f t="shared" si="193"/>
        <v>57.394366197183103</v>
      </c>
      <c r="V114" s="46">
        <f t="shared" si="193"/>
        <v>6.5995525727069353</v>
      </c>
      <c r="W114" s="46">
        <f>IF(ISERROR((W112-V112)/V112%),"na",(W112-V112)/V112%)</f>
        <v>24.344176285414481</v>
      </c>
      <c r="X114" s="46">
        <f>IF(ISERROR((X112-W112)/W112%),"na",(X112-W112)/W112%)</f>
        <v>4.0506329113924053</v>
      </c>
      <c r="Y114" s="46">
        <f t="shared" si="193"/>
        <v>-22.068126520681293</v>
      </c>
      <c r="Z114" s="46">
        <f t="shared" ref="Z114:AL114" si="194">IF(ISERROR((Z112-Y112)/Y112%),"na",(Z112-Y112)/Y112%)</f>
        <v>13.856763609838444</v>
      </c>
      <c r="AA114" s="36">
        <f t="shared" si="194"/>
        <v>44.600385572271009</v>
      </c>
      <c r="AB114" s="36">
        <f t="shared" si="194"/>
        <v>30.884955752212413</v>
      </c>
      <c r="AC114" s="36">
        <f t="shared" si="194"/>
        <v>13.205198587231195</v>
      </c>
      <c r="AD114" s="36">
        <f t="shared" si="194"/>
        <v>16.419296400144447</v>
      </c>
      <c r="AE114" s="36">
        <f t="shared" si="194"/>
        <v>13.939354381253588</v>
      </c>
      <c r="AF114" s="36">
        <f t="shared" si="194"/>
        <v>17.367401864386146</v>
      </c>
      <c r="AG114" s="36">
        <f t="shared" si="194"/>
        <v>13.900258453731141</v>
      </c>
      <c r="AH114" s="36">
        <f t="shared" si="194"/>
        <v>13.107021175843387</v>
      </c>
      <c r="AI114" s="36">
        <f t="shared" si="194"/>
        <v>9.4217558505211123</v>
      </c>
      <c r="AJ114" s="36">
        <f t="shared" si="194"/>
        <v>7.2282945429774852</v>
      </c>
      <c r="AK114" s="36">
        <f t="shared" si="194"/>
        <v>8.4643177588497434</v>
      </c>
      <c r="AL114" s="36">
        <f t="shared" si="194"/>
        <v>8.9652901972675476</v>
      </c>
      <c r="AM114" s="35"/>
      <c r="AN114" s="35"/>
      <c r="AO114" s="35"/>
      <c r="AP114" s="36"/>
      <c r="AQ114" s="35"/>
      <c r="AR114" s="35"/>
      <c r="AS114" s="35"/>
      <c r="AT114" s="35"/>
      <c r="AU114" s="35"/>
      <c r="AV114" s="35"/>
    </row>
    <row r="115" spans="1:48" x14ac:dyDescent="0.2">
      <c r="A115" s="35"/>
      <c r="B115" s="4" t="s">
        <v>137</v>
      </c>
      <c r="C115" s="36"/>
      <c r="D115" s="36"/>
      <c r="E115" s="36"/>
      <c r="F115" s="93"/>
      <c r="G115" s="93"/>
      <c r="H115" s="93"/>
      <c r="I115" s="93"/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0</v>
      </c>
      <c r="Q115" s="15">
        <v>0</v>
      </c>
      <c r="R115" s="15">
        <v>0</v>
      </c>
      <c r="S115" s="20">
        <v>0</v>
      </c>
      <c r="T115" s="20">
        <v>-60</v>
      </c>
      <c r="U115" s="20">
        <v>0</v>
      </c>
      <c r="V115" s="20">
        <v>0</v>
      </c>
      <c r="W115" s="20">
        <v>-265</v>
      </c>
      <c r="X115" s="20">
        <v>-52</v>
      </c>
      <c r="Y115" s="20">
        <v>-78</v>
      </c>
      <c r="Z115" s="20">
        <v>-34</v>
      </c>
      <c r="AA115" s="20">
        <v>0</v>
      </c>
      <c r="AB115" s="20">
        <v>0</v>
      </c>
      <c r="AC115" s="20">
        <v>0</v>
      </c>
      <c r="AD115" s="20">
        <v>0</v>
      </c>
      <c r="AE115" s="20">
        <v>0</v>
      </c>
      <c r="AF115" s="20">
        <v>0</v>
      </c>
      <c r="AG115" s="20">
        <v>0</v>
      </c>
      <c r="AH115" s="20">
        <v>0</v>
      </c>
      <c r="AI115" s="20">
        <v>0</v>
      </c>
      <c r="AJ115" s="20">
        <v>0</v>
      </c>
      <c r="AK115" s="20">
        <v>0</v>
      </c>
      <c r="AL115" s="20">
        <v>0</v>
      </c>
      <c r="AM115" s="35"/>
      <c r="AN115" s="35"/>
      <c r="AO115" s="35"/>
      <c r="AP115" s="36"/>
      <c r="AQ115" s="35"/>
      <c r="AR115" s="35"/>
      <c r="AS115" s="35"/>
      <c r="AT115" s="35"/>
      <c r="AU115" s="35"/>
      <c r="AV115" s="35"/>
    </row>
    <row r="116" spans="1:48" x14ac:dyDescent="0.2">
      <c r="A116" s="31"/>
      <c r="B116" s="8" t="s">
        <v>151</v>
      </c>
      <c r="C116" s="37"/>
      <c r="D116" s="37"/>
      <c r="E116" s="37"/>
      <c r="F116" s="140"/>
      <c r="G116" s="140"/>
      <c r="H116" s="140"/>
      <c r="I116" s="140"/>
      <c r="J116" s="9">
        <f t="shared" ref="J116:T116" si="195">J112+J115</f>
        <v>477.13399999999979</v>
      </c>
      <c r="K116" s="9">
        <f t="shared" si="195"/>
        <v>440.31400000000053</v>
      </c>
      <c r="L116" s="9">
        <f t="shared" si="195"/>
        <v>476.44599999999957</v>
      </c>
      <c r="M116" s="9">
        <f t="shared" si="195"/>
        <v>477.23000000000013</v>
      </c>
      <c r="N116" s="9">
        <f t="shared" si="195"/>
        <v>487.49299999999994</v>
      </c>
      <c r="O116" s="9">
        <f t="shared" si="195"/>
        <v>584.2099999999997</v>
      </c>
      <c r="P116" s="9">
        <f t="shared" si="195"/>
        <v>707.20699999999988</v>
      </c>
      <c r="Q116" s="9">
        <f t="shared" si="195"/>
        <v>881</v>
      </c>
      <c r="R116" s="9">
        <f t="shared" si="195"/>
        <v>949</v>
      </c>
      <c r="S116" s="55">
        <f t="shared" si="195"/>
        <v>1070</v>
      </c>
      <c r="T116" s="55">
        <f t="shared" si="195"/>
        <v>508</v>
      </c>
      <c r="U116" s="55">
        <f>U112+U115</f>
        <v>894</v>
      </c>
      <c r="V116" s="55">
        <f t="shared" ref="V116" si="196">V112+V115</f>
        <v>953</v>
      </c>
      <c r="W116" s="55">
        <f t="shared" ref="W116:AH116" si="197">W112+W115</f>
        <v>920</v>
      </c>
      <c r="X116" s="89">
        <f t="shared" si="197"/>
        <v>1181</v>
      </c>
      <c r="Y116" s="55">
        <f t="shared" si="197"/>
        <v>882.89999999999964</v>
      </c>
      <c r="Z116" s="55">
        <f t="shared" si="197"/>
        <v>1060.0496415269372</v>
      </c>
      <c r="AA116" s="9">
        <f t="shared" si="197"/>
        <v>1582</v>
      </c>
      <c r="AB116" s="9">
        <f t="shared" si="197"/>
        <v>2070.6000000000004</v>
      </c>
      <c r="AC116" s="9">
        <f t="shared" si="197"/>
        <v>2344.0268419472095</v>
      </c>
      <c r="AD116" s="9">
        <f t="shared" si="197"/>
        <v>2728.8995568254672</v>
      </c>
      <c r="AE116" s="9">
        <f t="shared" si="197"/>
        <v>3109.2905367598278</v>
      </c>
      <c r="AF116" s="9">
        <f t="shared" si="197"/>
        <v>3649.2935194102361</v>
      </c>
      <c r="AG116" s="9">
        <f t="shared" si="197"/>
        <v>4156.55475034352</v>
      </c>
      <c r="AH116" s="9">
        <f t="shared" si="197"/>
        <v>4701.3552616565694</v>
      </c>
      <c r="AI116" s="9">
        <f t="shared" ref="AI116:AL116" si="198">AI112+AI115</f>
        <v>5144.3054760754794</v>
      </c>
      <c r="AJ116" s="9">
        <f t="shared" si="198"/>
        <v>5516.1510280767352</v>
      </c>
      <c r="AK116" s="9">
        <f t="shared" si="198"/>
        <v>5983.055579151207</v>
      </c>
      <c r="AL116" s="9">
        <f t="shared" si="198"/>
        <v>6519.4538744859192</v>
      </c>
      <c r="AM116" s="31"/>
      <c r="AN116" s="31"/>
      <c r="AO116" s="31"/>
      <c r="AP116" s="37"/>
      <c r="AQ116" s="31"/>
      <c r="AR116" s="31"/>
      <c r="AS116" s="31"/>
      <c r="AT116" s="31"/>
      <c r="AU116" s="31"/>
      <c r="AV116" s="31"/>
    </row>
    <row r="117" spans="1:48" x14ac:dyDescent="0.2">
      <c r="A117" s="31"/>
      <c r="B117" s="8" t="s">
        <v>326</v>
      </c>
      <c r="C117" s="37"/>
      <c r="D117" s="37"/>
      <c r="E117" s="37"/>
      <c r="F117" s="140"/>
      <c r="G117" s="140"/>
      <c r="H117" s="140"/>
      <c r="I117" s="140"/>
      <c r="J117" s="9">
        <f t="shared" ref="J117:Y117" si="199">J116/J84%</f>
        <v>8.9118144382772382</v>
      </c>
      <c r="K117" s="9">
        <f t="shared" si="199"/>
        <v>7.5463361671898292</v>
      </c>
      <c r="L117" s="9">
        <f t="shared" si="199"/>
        <v>7.7948126963341506</v>
      </c>
      <c r="M117" s="9">
        <f t="shared" si="199"/>
        <v>7.3156423035221279</v>
      </c>
      <c r="N117" s="9">
        <f t="shared" si="199"/>
        <v>7.7789781068487898</v>
      </c>
      <c r="O117" s="9">
        <f t="shared" si="199"/>
        <v>9.9694403147572448</v>
      </c>
      <c r="P117" s="9">
        <f t="shared" si="199"/>
        <v>10.657127787823988</v>
      </c>
      <c r="Q117" s="9">
        <f t="shared" si="199"/>
        <v>8.7366124553748516</v>
      </c>
      <c r="R117" s="9">
        <f t="shared" si="199"/>
        <v>9.2144868433828524</v>
      </c>
      <c r="S117" s="55">
        <f t="shared" si="199"/>
        <v>9.9083248448930465</v>
      </c>
      <c r="T117" s="55">
        <f t="shared" si="199"/>
        <v>4.8935555341489261</v>
      </c>
      <c r="U117" s="9">
        <f t="shared" si="199"/>
        <v>7.4562135112593824</v>
      </c>
      <c r="V117" s="55">
        <f t="shared" si="199"/>
        <v>7.1535805434619428</v>
      </c>
      <c r="W117" s="55">
        <f>W116/W84%</f>
        <v>6.1815494187999729</v>
      </c>
      <c r="X117" s="55">
        <f>X116/X84%</f>
        <v>8.315144687742027</v>
      </c>
      <c r="Y117" s="55">
        <f t="shared" si="199"/>
        <v>6.0747631399693107</v>
      </c>
      <c r="Z117" s="55">
        <f t="shared" ref="Z117:AH117" si="200">Z116/Z84%</f>
        <v>6.2669023384033391</v>
      </c>
      <c r="AA117" s="9">
        <f t="shared" si="200"/>
        <v>8.5592165773954445</v>
      </c>
      <c r="AB117" s="9">
        <f t="shared" si="200"/>
        <v>9.7591553942593219</v>
      </c>
      <c r="AC117" s="9">
        <f t="shared" si="200"/>
        <v>10.462429847380765</v>
      </c>
      <c r="AD117" s="9">
        <f t="shared" si="200"/>
        <v>11.128879793115937</v>
      </c>
      <c r="AE117" s="9">
        <f t="shared" si="200"/>
        <v>11.725368635000217</v>
      </c>
      <c r="AF117" s="9">
        <f t="shared" si="200"/>
        <v>12.855850516479402</v>
      </c>
      <c r="AG117" s="9">
        <f t="shared" si="200"/>
        <v>13.732207253736489</v>
      </c>
      <c r="AH117" s="9">
        <f t="shared" si="200"/>
        <v>14.591941379774557</v>
      </c>
      <c r="AI117" s="9">
        <f t="shared" ref="AI117:AL117" si="201">AI116/AI84%</f>
        <v>15.093326859043483</v>
      </c>
      <c r="AJ117" s="9">
        <f t="shared" si="201"/>
        <v>15.296783557759149</v>
      </c>
      <c r="AK117" s="9">
        <f t="shared" si="201"/>
        <v>15.679457249815391</v>
      </c>
      <c r="AL117" s="9">
        <f t="shared" si="201"/>
        <v>16.160487105087718</v>
      </c>
      <c r="AM117" s="31"/>
      <c r="AN117" s="31"/>
      <c r="AO117" s="37"/>
      <c r="AP117" s="31"/>
      <c r="AQ117" s="31"/>
      <c r="AR117" s="31"/>
      <c r="AS117" s="31"/>
      <c r="AT117" s="31"/>
      <c r="AU117" s="31"/>
      <c r="AV117" s="31"/>
    </row>
    <row r="118" spans="1:48" x14ac:dyDescent="0.2">
      <c r="A118" s="2"/>
      <c r="B118" s="2"/>
      <c r="C118" s="2"/>
      <c r="D118" s="2"/>
      <c r="E118" s="2"/>
      <c r="F118" s="9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49"/>
      <c r="W118" s="55"/>
      <c r="X118" s="55"/>
      <c r="Y118" s="14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">
      <c r="A119" s="2"/>
      <c r="B119" s="2" t="s">
        <v>97</v>
      </c>
      <c r="C119" s="2"/>
      <c r="D119" s="2"/>
      <c r="E119" s="2"/>
      <c r="F119" s="15"/>
      <c r="G119" s="15"/>
      <c r="H119" s="15"/>
      <c r="I119" s="15"/>
      <c r="J119" s="15">
        <v>7.2839999999999998</v>
      </c>
      <c r="K119" s="15">
        <v>12.612</v>
      </c>
      <c r="L119" s="15">
        <v>11.727</v>
      </c>
      <c r="M119" s="15">
        <v>8.7910000000000004</v>
      </c>
      <c r="N119" s="15">
        <v>9.06</v>
      </c>
      <c r="O119" s="15">
        <v>13.285</v>
      </c>
      <c r="P119" s="6">
        <v>36</v>
      </c>
      <c r="Q119" s="6">
        <f>34+3</f>
        <v>37</v>
      </c>
      <c r="R119" s="14">
        <f>23+4</f>
        <v>27</v>
      </c>
      <c r="S119" s="14">
        <f>30+7</f>
        <v>37</v>
      </c>
      <c r="T119" s="14">
        <v>19</v>
      </c>
      <c r="U119" s="14">
        <v>25</v>
      </c>
      <c r="V119" s="14">
        <v>31</v>
      </c>
      <c r="W119" s="14">
        <v>36</v>
      </c>
      <c r="X119" s="14">
        <v>26</v>
      </c>
      <c r="Y119" s="14">
        <v>19</v>
      </c>
      <c r="Z119" s="14">
        <v>46</v>
      </c>
      <c r="AA119" s="45">
        <v>28</v>
      </c>
      <c r="AB119" s="45">
        <v>46</v>
      </c>
      <c r="AC119" s="14">
        <f t="shared" ref="AC119:AH119" si="202">+AC303</f>
        <v>47.955000000000013</v>
      </c>
      <c r="AD119" s="14">
        <f t="shared" si="202"/>
        <v>24.379182667570539</v>
      </c>
      <c r="AE119" s="14">
        <f t="shared" si="202"/>
        <v>10.438710304380265</v>
      </c>
      <c r="AF119" s="14">
        <f t="shared" si="202"/>
        <v>11.836172285897337</v>
      </c>
      <c r="AG119" s="14">
        <f t="shared" si="202"/>
        <v>18.200755021605747</v>
      </c>
      <c r="AH119" s="14">
        <f t="shared" si="202"/>
        <v>37.157869661069171</v>
      </c>
      <c r="AI119" s="14">
        <f t="shared" ref="AI119:AL119" si="203">+AI303</f>
        <v>62.459604702202235</v>
      </c>
      <c r="AJ119" s="14">
        <f t="shared" si="203"/>
        <v>87.898963868439353</v>
      </c>
      <c r="AK119" s="14">
        <f t="shared" si="203"/>
        <v>115.39606484846381</v>
      </c>
      <c r="AL119" s="14">
        <f t="shared" si="203"/>
        <v>149.70412572733429</v>
      </c>
      <c r="AO119" s="6"/>
      <c r="AP119" s="2"/>
      <c r="AQ119" s="2"/>
      <c r="AR119" s="2"/>
      <c r="AS119" s="2"/>
      <c r="AT119" s="2"/>
      <c r="AU119" s="2"/>
      <c r="AV119" s="2"/>
    </row>
    <row r="120" spans="1:48" x14ac:dyDescent="0.2">
      <c r="A120" s="2"/>
      <c r="B120" s="2" t="s">
        <v>98</v>
      </c>
      <c r="C120" s="2"/>
      <c r="D120" s="2"/>
      <c r="E120" s="2"/>
      <c r="F120" s="15"/>
      <c r="G120" s="15"/>
      <c r="H120" s="15"/>
      <c r="I120" s="15"/>
      <c r="J120" s="15">
        <v>-84.933000000000007</v>
      </c>
      <c r="K120" s="15">
        <v>-108.517</v>
      </c>
      <c r="L120" s="15">
        <v>-107.77200000000001</v>
      </c>
      <c r="M120" s="15">
        <v>-81.567999999999998</v>
      </c>
      <c r="N120" s="15">
        <v>-67.884</v>
      </c>
      <c r="O120" s="15">
        <v>-70.563999999999993</v>
      </c>
      <c r="P120" s="6">
        <v>-74</v>
      </c>
      <c r="Q120" s="6">
        <f>-182-1-1</f>
        <v>-184</v>
      </c>
      <c r="R120" s="14">
        <v>-164</v>
      </c>
      <c r="S120" s="14">
        <v>-178</v>
      </c>
      <c r="T120" s="14">
        <v>-138</v>
      </c>
      <c r="U120" s="6">
        <v>-112</v>
      </c>
      <c r="V120" s="6">
        <v>-108</v>
      </c>
      <c r="W120" s="14">
        <v>-105</v>
      </c>
      <c r="X120" s="14">
        <v>-94</v>
      </c>
      <c r="Y120" s="14">
        <v>-67</v>
      </c>
      <c r="Z120" s="14">
        <v>-67</v>
      </c>
      <c r="AA120" s="45">
        <v>-74</v>
      </c>
      <c r="AB120" s="45">
        <v>-93</v>
      </c>
      <c r="AC120" s="6">
        <f t="shared" ref="AC120:AH120" si="204">AC305</f>
        <v>-52.64</v>
      </c>
      <c r="AD120" s="6">
        <f t="shared" si="204"/>
        <v>-51.52000000000001</v>
      </c>
      <c r="AE120" s="6">
        <f t="shared" si="204"/>
        <v>-50.400000000000013</v>
      </c>
      <c r="AF120" s="6">
        <f t="shared" si="204"/>
        <v>-50.400000000000013</v>
      </c>
      <c r="AG120" s="6">
        <f t="shared" si="204"/>
        <v>-50.400000000000013</v>
      </c>
      <c r="AH120" s="6">
        <f t="shared" si="204"/>
        <v>-50.400000000000013</v>
      </c>
      <c r="AI120" s="6">
        <f t="shared" ref="AI120:AL120" si="205">AI305</f>
        <v>-50.400000000000013</v>
      </c>
      <c r="AJ120" s="6">
        <f t="shared" si="205"/>
        <v>-50.400000000000013</v>
      </c>
      <c r="AK120" s="6">
        <f t="shared" si="205"/>
        <v>-50.400000000000013</v>
      </c>
      <c r="AL120" s="6">
        <f t="shared" si="205"/>
        <v>-50.400000000000013</v>
      </c>
      <c r="AO120" s="6"/>
      <c r="AP120" s="2"/>
      <c r="AQ120" s="2"/>
      <c r="AR120" s="2"/>
      <c r="AS120" s="2"/>
      <c r="AT120" s="2"/>
      <c r="AU120" s="2"/>
      <c r="AV120" s="2"/>
    </row>
    <row r="121" spans="1:48" x14ac:dyDescent="0.2">
      <c r="A121" s="2"/>
      <c r="B121" s="11" t="s">
        <v>256</v>
      </c>
      <c r="C121" s="2"/>
      <c r="D121" s="2"/>
      <c r="E121" s="2"/>
      <c r="F121" s="15"/>
      <c r="G121" s="15"/>
      <c r="H121" s="15"/>
      <c r="I121" s="15"/>
      <c r="J121" s="15">
        <f>0.441-2.096-4.567</f>
        <v>-6.2220000000000004</v>
      </c>
      <c r="K121" s="15">
        <f>0.474+3.126-1.649</f>
        <v>1.9509999999999996</v>
      </c>
      <c r="L121" s="15">
        <f>0.334+2.181-8.348</f>
        <v>-5.8330000000000002</v>
      </c>
      <c r="M121" s="15">
        <f>0.34+0-14.679</f>
        <v>-14.339</v>
      </c>
      <c r="N121" s="15">
        <f>0+0.338+9.316</f>
        <v>9.6539999999999999</v>
      </c>
      <c r="O121" s="15">
        <f>4.656+0.01-2.256</f>
        <v>2.4099999999999997</v>
      </c>
      <c r="P121" s="6">
        <v>-20</v>
      </c>
      <c r="Q121" s="6">
        <f>-13</f>
        <v>-13</v>
      </c>
      <c r="R121" s="14">
        <f>2-2-4</f>
        <v>-4</v>
      </c>
      <c r="S121" s="14">
        <v>0</v>
      </c>
      <c r="T121" s="14">
        <v>0</v>
      </c>
      <c r="U121" s="6">
        <v>0</v>
      </c>
      <c r="V121" s="6">
        <v>0</v>
      </c>
      <c r="W121" s="14">
        <v>0</v>
      </c>
      <c r="X121" s="14">
        <v>0</v>
      </c>
      <c r="Y121" s="14">
        <v>0</v>
      </c>
      <c r="Z121" s="14">
        <v>0</v>
      </c>
      <c r="AA121" s="45">
        <v>0</v>
      </c>
      <c r="AB121" s="45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O121" s="2"/>
      <c r="AP121" s="2"/>
      <c r="AQ121" s="2"/>
      <c r="AR121" s="2"/>
      <c r="AS121" s="2"/>
      <c r="AT121" s="2"/>
      <c r="AU121" s="2"/>
      <c r="AV121" s="2"/>
    </row>
    <row r="122" spans="1:48" x14ac:dyDescent="0.2">
      <c r="A122" s="2"/>
      <c r="B122" s="11" t="s">
        <v>334</v>
      </c>
      <c r="C122" s="2"/>
      <c r="D122" s="2"/>
      <c r="E122" s="2"/>
      <c r="F122" s="15"/>
      <c r="G122" s="15"/>
      <c r="H122" s="15"/>
      <c r="I122" s="15"/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-3.6459999999999999</v>
      </c>
      <c r="P122" s="6">
        <f>5+1</f>
        <v>6</v>
      </c>
      <c r="Q122" s="6">
        <v>2</v>
      </c>
      <c r="R122" s="14">
        <f>7</f>
        <v>7</v>
      </c>
      <c r="S122" s="14">
        <v>-25</v>
      </c>
      <c r="T122" s="14">
        <v>-31</v>
      </c>
      <c r="U122" s="45">
        <v>-1</v>
      </c>
      <c r="V122" s="45">
        <v>-7</v>
      </c>
      <c r="W122" s="45">
        <v>0</v>
      </c>
      <c r="X122" s="45">
        <v>0</v>
      </c>
      <c r="Y122" s="45">
        <v>0</v>
      </c>
      <c r="Z122" s="45">
        <v>0</v>
      </c>
      <c r="AA122" s="45">
        <v>0</v>
      </c>
      <c r="AB122" s="45">
        <v>0</v>
      </c>
      <c r="AC122" s="45">
        <v>0</v>
      </c>
      <c r="AD122" s="45">
        <v>0</v>
      </c>
      <c r="AE122" s="45">
        <v>0</v>
      </c>
      <c r="AF122" s="45">
        <v>0</v>
      </c>
      <c r="AG122" s="45">
        <v>0</v>
      </c>
      <c r="AH122" s="45">
        <v>0</v>
      </c>
      <c r="AI122" s="45">
        <v>0</v>
      </c>
      <c r="AJ122" s="45">
        <v>0</v>
      </c>
      <c r="AK122" s="45">
        <v>0</v>
      </c>
      <c r="AL122" s="45">
        <v>0</v>
      </c>
      <c r="AO122" s="2"/>
      <c r="AP122" s="2"/>
      <c r="AQ122" s="2"/>
      <c r="AR122" s="2"/>
      <c r="AS122" s="2"/>
      <c r="AT122" s="2"/>
      <c r="AU122" s="2"/>
      <c r="AV122" s="2"/>
    </row>
    <row r="123" spans="1:48" ht="12" customHeight="1" x14ac:dyDescent="0.2">
      <c r="A123" s="8"/>
      <c r="B123" s="8" t="s">
        <v>65</v>
      </c>
      <c r="C123" s="8"/>
      <c r="D123" s="8"/>
      <c r="E123" s="8"/>
      <c r="F123" s="9">
        <v>-24</v>
      </c>
      <c r="G123" s="9">
        <v>-6</v>
      </c>
      <c r="H123" s="9">
        <v>-16</v>
      </c>
      <c r="I123" s="9">
        <v>-115</v>
      </c>
      <c r="J123" s="9">
        <f t="shared" ref="J123:AA123" si="206">J119+J120+J121+J122</f>
        <v>-83.870999999999995</v>
      </c>
      <c r="K123" s="9">
        <f t="shared" si="206"/>
        <v>-93.954000000000008</v>
      </c>
      <c r="L123" s="9">
        <f t="shared" si="206"/>
        <v>-101.878</v>
      </c>
      <c r="M123" s="9">
        <f t="shared" si="206"/>
        <v>-87.116</v>
      </c>
      <c r="N123" s="9">
        <f t="shared" si="206"/>
        <v>-49.17</v>
      </c>
      <c r="O123" s="9">
        <f t="shared" si="206"/>
        <v>-58.515000000000001</v>
      </c>
      <c r="P123" s="9">
        <f t="shared" si="206"/>
        <v>-52</v>
      </c>
      <c r="Q123" s="9">
        <f t="shared" si="206"/>
        <v>-158</v>
      </c>
      <c r="R123" s="55">
        <f t="shared" si="206"/>
        <v>-134</v>
      </c>
      <c r="S123" s="55">
        <f t="shared" si="206"/>
        <v>-166</v>
      </c>
      <c r="T123" s="55">
        <f t="shared" si="206"/>
        <v>-150</v>
      </c>
      <c r="U123" s="55">
        <f>U119+U120+U121+U122</f>
        <v>-88</v>
      </c>
      <c r="V123" s="55">
        <f t="shared" si="206"/>
        <v>-84</v>
      </c>
      <c r="W123" s="55">
        <f t="shared" si="206"/>
        <v>-69</v>
      </c>
      <c r="X123" s="55">
        <f>X119+X120+X121+X122</f>
        <v>-68</v>
      </c>
      <c r="Y123" s="55">
        <f t="shared" si="206"/>
        <v>-48</v>
      </c>
      <c r="Z123" s="55">
        <f t="shared" si="206"/>
        <v>-21</v>
      </c>
      <c r="AA123" s="55">
        <f t="shared" si="206"/>
        <v>-46</v>
      </c>
      <c r="AB123" s="55">
        <f t="shared" ref="AB123:AH123" si="207">AB119+AB120+AB121+AB122</f>
        <v>-47</v>
      </c>
      <c r="AC123" s="55">
        <f t="shared" si="207"/>
        <v>-4.6849999999999881</v>
      </c>
      <c r="AD123" s="55">
        <f t="shared" si="207"/>
        <v>-27.140817332429471</v>
      </c>
      <c r="AE123" s="55">
        <f t="shared" si="207"/>
        <v>-39.961289695619747</v>
      </c>
      <c r="AF123" s="55">
        <f t="shared" si="207"/>
        <v>-38.563827714102672</v>
      </c>
      <c r="AG123" s="55">
        <f t="shared" si="207"/>
        <v>-32.199244978394262</v>
      </c>
      <c r="AH123" s="55">
        <f t="shared" si="207"/>
        <v>-13.242130338930842</v>
      </c>
      <c r="AI123" s="55">
        <f t="shared" ref="AI123:AL123" si="208">AI119+AI120+AI121+AI122</f>
        <v>12.059604702202222</v>
      </c>
      <c r="AJ123" s="55">
        <f t="shared" si="208"/>
        <v>37.49896386843934</v>
      </c>
      <c r="AK123" s="55">
        <f t="shared" si="208"/>
        <v>64.996064848463789</v>
      </c>
      <c r="AL123" s="55">
        <f t="shared" si="208"/>
        <v>99.304125727334281</v>
      </c>
      <c r="AM123" s="8"/>
      <c r="AN123" s="8"/>
      <c r="AO123" s="9"/>
      <c r="AP123" s="8"/>
      <c r="AQ123" s="8"/>
      <c r="AR123" s="8"/>
      <c r="AS123" s="8"/>
      <c r="AT123" s="8"/>
      <c r="AU123" s="8"/>
      <c r="AV123" s="8"/>
    </row>
    <row r="124" spans="1:48" x14ac:dyDescent="0.2">
      <c r="A124" s="2"/>
      <c r="B124" s="4"/>
      <c r="C124" s="2"/>
      <c r="D124" s="2"/>
      <c r="E124" s="2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14"/>
      <c r="S124" s="11"/>
      <c r="T124" s="11"/>
      <c r="U124" s="11"/>
      <c r="V124" s="14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O124" s="6"/>
      <c r="AP124" s="2"/>
      <c r="AQ124" s="2"/>
      <c r="AR124" s="2"/>
      <c r="AS124" s="2"/>
      <c r="AT124" s="2"/>
      <c r="AU124" s="2"/>
      <c r="AV124" s="2"/>
    </row>
    <row r="125" spans="1:48" x14ac:dyDescent="0.2">
      <c r="A125" s="2"/>
      <c r="B125" s="2" t="s">
        <v>92</v>
      </c>
      <c r="C125" s="2"/>
      <c r="D125" s="2"/>
      <c r="E125" s="2"/>
      <c r="F125" s="14"/>
      <c r="G125" s="14"/>
      <c r="H125" s="14"/>
      <c r="I125" s="14"/>
      <c r="J125" s="14">
        <v>4.8570000000000002</v>
      </c>
      <c r="K125" s="14">
        <v>0.26</v>
      </c>
      <c r="L125" s="14">
        <v>1.776</v>
      </c>
      <c r="M125" s="14">
        <v>0</v>
      </c>
      <c r="N125" s="14">
        <v>0</v>
      </c>
      <c r="O125" s="14">
        <v>0</v>
      </c>
      <c r="P125" s="14">
        <v>0</v>
      </c>
      <c r="Q125" s="14">
        <v>0</v>
      </c>
      <c r="R125" s="14">
        <v>0</v>
      </c>
      <c r="S125" s="14">
        <v>0</v>
      </c>
      <c r="T125" s="14">
        <v>0</v>
      </c>
      <c r="U125" s="14">
        <v>0</v>
      </c>
      <c r="V125" s="14">
        <v>0</v>
      </c>
      <c r="W125" s="14">
        <v>0</v>
      </c>
      <c r="X125" s="14">
        <v>0</v>
      </c>
      <c r="Y125" s="14">
        <v>0</v>
      </c>
      <c r="Z125" s="14">
        <v>0</v>
      </c>
      <c r="AA125" s="14">
        <v>0</v>
      </c>
      <c r="AB125" s="14">
        <v>0</v>
      </c>
      <c r="AC125" s="14">
        <v>0</v>
      </c>
      <c r="AD125" s="14">
        <v>0</v>
      </c>
      <c r="AE125" s="14">
        <v>0</v>
      </c>
      <c r="AF125" s="14">
        <v>0</v>
      </c>
      <c r="AG125" s="14">
        <v>0</v>
      </c>
      <c r="AH125" s="14">
        <v>0</v>
      </c>
      <c r="AI125" s="14">
        <v>0</v>
      </c>
      <c r="AJ125" s="14">
        <v>0</v>
      </c>
      <c r="AK125" s="14">
        <v>0</v>
      </c>
      <c r="AL125" s="14">
        <v>0</v>
      </c>
      <c r="AO125" s="2"/>
      <c r="AP125" s="2"/>
      <c r="AQ125" s="2"/>
      <c r="AR125" s="2"/>
      <c r="AS125" s="2"/>
      <c r="AT125" s="2"/>
      <c r="AU125" s="2"/>
      <c r="AV125" s="2"/>
    </row>
    <row r="126" spans="1:48" x14ac:dyDescent="0.2">
      <c r="A126" s="58"/>
      <c r="B126" s="58" t="s">
        <v>257</v>
      </c>
      <c r="C126" s="58"/>
      <c r="D126" s="58"/>
      <c r="E126" s="58"/>
      <c r="F126" s="20">
        <f t="shared" ref="F126:X126" si="209">F112+F123</f>
        <v>105</v>
      </c>
      <c r="G126" s="20">
        <f t="shared" si="209"/>
        <v>186</v>
      </c>
      <c r="H126" s="20">
        <f t="shared" si="209"/>
        <v>300</v>
      </c>
      <c r="I126" s="20">
        <f t="shared" si="209"/>
        <v>301</v>
      </c>
      <c r="J126" s="20">
        <f t="shared" si="209"/>
        <v>393.26299999999981</v>
      </c>
      <c r="K126" s="20">
        <f t="shared" si="209"/>
        <v>346.36000000000053</v>
      </c>
      <c r="L126" s="20">
        <f t="shared" si="209"/>
        <v>374.56799999999959</v>
      </c>
      <c r="M126" s="20">
        <f t="shared" si="209"/>
        <v>390.11400000000015</v>
      </c>
      <c r="N126" s="20">
        <f t="shared" si="209"/>
        <v>438.32299999999992</v>
      </c>
      <c r="O126" s="20">
        <f t="shared" si="209"/>
        <v>525.69499999999971</v>
      </c>
      <c r="P126" s="20">
        <f t="shared" si="209"/>
        <v>655.20699999999988</v>
      </c>
      <c r="Q126" s="20">
        <f t="shared" si="209"/>
        <v>723</v>
      </c>
      <c r="R126" s="20">
        <f t="shared" si="209"/>
        <v>815</v>
      </c>
      <c r="S126" s="20">
        <f t="shared" si="209"/>
        <v>904</v>
      </c>
      <c r="T126" s="20">
        <f t="shared" si="209"/>
        <v>418</v>
      </c>
      <c r="U126" s="20">
        <f t="shared" si="209"/>
        <v>806</v>
      </c>
      <c r="V126" s="20">
        <f t="shared" si="209"/>
        <v>869</v>
      </c>
      <c r="W126" s="20">
        <f>W112+W123</f>
        <v>1116</v>
      </c>
      <c r="X126" s="20">
        <f t="shared" si="209"/>
        <v>1165</v>
      </c>
      <c r="Y126" s="20">
        <f t="shared" ref="Y126:AH126" si="210">Y112+Y123</f>
        <v>912.89999999999964</v>
      </c>
      <c r="Z126" s="20">
        <f t="shared" si="210"/>
        <v>1073.0496415269372</v>
      </c>
      <c r="AA126" s="20">
        <f t="shared" si="210"/>
        <v>1536</v>
      </c>
      <c r="AB126" s="20">
        <f t="shared" si="210"/>
        <v>2023.6000000000004</v>
      </c>
      <c r="AC126" s="20">
        <f t="shared" si="210"/>
        <v>2339.3418419472096</v>
      </c>
      <c r="AD126" s="20">
        <f t="shared" si="210"/>
        <v>2701.7587394930379</v>
      </c>
      <c r="AE126" s="20">
        <f t="shared" si="210"/>
        <v>3069.3292470642082</v>
      </c>
      <c r="AF126" s="20">
        <f t="shared" si="210"/>
        <v>3610.7296916961332</v>
      </c>
      <c r="AG126" s="20">
        <f t="shared" si="210"/>
        <v>4124.3555053651262</v>
      </c>
      <c r="AH126" s="20">
        <f t="shared" si="210"/>
        <v>4688.1131313176384</v>
      </c>
      <c r="AI126" s="20">
        <f t="shared" ref="AI126:AL126" si="211">AI112+AI123</f>
        <v>5156.3650807776812</v>
      </c>
      <c r="AJ126" s="20">
        <f t="shared" si="211"/>
        <v>5553.6499919451744</v>
      </c>
      <c r="AK126" s="20">
        <f t="shared" si="211"/>
        <v>6048.0516439996709</v>
      </c>
      <c r="AL126" s="20">
        <f t="shared" si="211"/>
        <v>6618.7580002132536</v>
      </c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</row>
    <row r="127" spans="1:48" x14ac:dyDescent="0.2">
      <c r="A127" s="8"/>
      <c r="B127" s="8" t="s">
        <v>258</v>
      </c>
      <c r="C127" s="8"/>
      <c r="D127" s="8"/>
      <c r="E127" s="8"/>
      <c r="F127" s="9">
        <f>F112+F123</f>
        <v>105</v>
      </c>
      <c r="G127" s="9">
        <f>G112+G123</f>
        <v>186</v>
      </c>
      <c r="H127" s="9">
        <f>H112+H123</f>
        <v>300</v>
      </c>
      <c r="I127" s="9">
        <f>I112+I123</f>
        <v>301</v>
      </c>
      <c r="J127" s="9">
        <f>J116+J123+J125</f>
        <v>398.11999999999983</v>
      </c>
      <c r="K127" s="9">
        <f>K116+K123+K125</f>
        <v>346.62000000000052</v>
      </c>
      <c r="L127" s="9">
        <f>L116+L123+L125</f>
        <v>376.3439999999996</v>
      </c>
      <c r="M127" s="9">
        <f>M116+M123+M125</f>
        <v>390.11400000000015</v>
      </c>
      <c r="N127" s="9">
        <f t="shared" ref="N127:S127" si="212">N112+N123</f>
        <v>438.32299999999992</v>
      </c>
      <c r="O127" s="9">
        <f t="shared" si="212"/>
        <v>525.69499999999971</v>
      </c>
      <c r="P127" s="9">
        <f t="shared" si="212"/>
        <v>655.20699999999988</v>
      </c>
      <c r="Q127" s="9">
        <f t="shared" si="212"/>
        <v>723</v>
      </c>
      <c r="R127" s="9">
        <f t="shared" si="212"/>
        <v>815</v>
      </c>
      <c r="S127" s="55">
        <f t="shared" si="212"/>
        <v>904</v>
      </c>
      <c r="T127" s="55">
        <f t="shared" ref="T127:X127" si="213">T116+T123</f>
        <v>358</v>
      </c>
      <c r="U127" s="9">
        <f t="shared" si="213"/>
        <v>806</v>
      </c>
      <c r="V127" s="9">
        <f t="shared" si="213"/>
        <v>869</v>
      </c>
      <c r="W127" s="55">
        <f>W116+W123</f>
        <v>851</v>
      </c>
      <c r="X127" s="55">
        <f t="shared" si="213"/>
        <v>1113</v>
      </c>
      <c r="Y127" s="55">
        <f t="shared" ref="Y127:AH127" si="214">Y116+Y123</f>
        <v>834.89999999999964</v>
      </c>
      <c r="Z127" s="55">
        <f t="shared" si="214"/>
        <v>1039.0496415269372</v>
      </c>
      <c r="AA127" s="9">
        <f t="shared" si="214"/>
        <v>1536</v>
      </c>
      <c r="AB127" s="9">
        <f t="shared" si="214"/>
        <v>2023.6000000000004</v>
      </c>
      <c r="AC127" s="9">
        <f t="shared" si="214"/>
        <v>2339.3418419472096</v>
      </c>
      <c r="AD127" s="9">
        <f t="shared" si="214"/>
        <v>2701.7587394930379</v>
      </c>
      <c r="AE127" s="9">
        <f t="shared" si="214"/>
        <v>3069.3292470642082</v>
      </c>
      <c r="AF127" s="9">
        <f t="shared" si="214"/>
        <v>3610.7296916961332</v>
      </c>
      <c r="AG127" s="9">
        <f t="shared" si="214"/>
        <v>4124.3555053651262</v>
      </c>
      <c r="AH127" s="9">
        <f t="shared" si="214"/>
        <v>4688.1131313176384</v>
      </c>
      <c r="AI127" s="9">
        <f t="shared" ref="AI127:AL127" si="215">AI116+AI123</f>
        <v>5156.3650807776812</v>
      </c>
      <c r="AJ127" s="9">
        <f t="shared" si="215"/>
        <v>5553.6499919451744</v>
      </c>
      <c r="AK127" s="9">
        <f t="shared" si="215"/>
        <v>6048.0516439996709</v>
      </c>
      <c r="AL127" s="9">
        <f t="shared" si="215"/>
        <v>6618.7580002132536</v>
      </c>
      <c r="AM127" s="8"/>
      <c r="AN127" s="8"/>
      <c r="AO127" s="108"/>
      <c r="AP127" s="8"/>
      <c r="AQ127" s="8"/>
      <c r="AR127" s="8"/>
      <c r="AS127" s="8"/>
      <c r="AT127" s="8"/>
      <c r="AU127" s="8"/>
      <c r="AV127" s="8"/>
    </row>
    <row r="128" spans="1:48" x14ac:dyDescent="0.2">
      <c r="A128" s="8"/>
      <c r="B128" s="4"/>
      <c r="C128" s="8"/>
      <c r="D128" s="8"/>
      <c r="E128" s="8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20"/>
      <c r="S128" s="20"/>
      <c r="T128" s="20"/>
      <c r="U128" s="15"/>
      <c r="V128" s="15"/>
      <c r="W128" s="20"/>
      <c r="X128" s="20"/>
      <c r="Y128" s="20"/>
      <c r="Z128" s="20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8"/>
      <c r="AN128" s="8"/>
      <c r="AO128" s="8"/>
      <c r="AP128" s="8"/>
      <c r="AQ128" s="8"/>
      <c r="AR128" s="8"/>
      <c r="AS128" s="8"/>
      <c r="AT128" s="8"/>
      <c r="AU128" s="8"/>
      <c r="AV128" s="8"/>
    </row>
    <row r="129" spans="1:54" x14ac:dyDescent="0.2">
      <c r="A129" s="2"/>
      <c r="B129" s="2" t="s">
        <v>176</v>
      </c>
      <c r="C129" s="2"/>
      <c r="D129" s="2"/>
      <c r="E129" s="2"/>
      <c r="F129" s="6">
        <v>-22</v>
      </c>
      <c r="G129" s="6">
        <v>-55</v>
      </c>
      <c r="H129" s="6">
        <v>-95</v>
      </c>
      <c r="I129" s="6">
        <v>-105</v>
      </c>
      <c r="J129" s="6">
        <v>-152.964</v>
      </c>
      <c r="K129" s="6">
        <v>-139.61000000000001</v>
      </c>
      <c r="L129" s="6">
        <v>-146.94499999999999</v>
      </c>
      <c r="M129" s="6">
        <v>-147.86199999999999</v>
      </c>
      <c r="N129" s="6">
        <v>-166.71199999999999</v>
      </c>
      <c r="O129" s="6">
        <v>-193.2</v>
      </c>
      <c r="P129" s="6">
        <v>-221</v>
      </c>
      <c r="Q129" s="6">
        <v>-227</v>
      </c>
      <c r="R129" s="14">
        <v>-260</v>
      </c>
      <c r="S129" s="14">
        <v>-260</v>
      </c>
      <c r="T129" s="14">
        <f t="shared" ref="T129:U129" si="216">-(T130/100)*T126</f>
        <v>-131.93854748603351</v>
      </c>
      <c r="U129" s="6">
        <f t="shared" si="216"/>
        <v>-237.99999999999997</v>
      </c>
      <c r="V129" s="6">
        <v>-261</v>
      </c>
      <c r="W129" s="14">
        <f>-(W130/100)*W126</f>
        <v>-326.988</v>
      </c>
      <c r="X129" s="14">
        <f>X131</f>
        <v>-340</v>
      </c>
      <c r="Y129" s="14">
        <f>Y131</f>
        <v>-271</v>
      </c>
      <c r="Z129" s="14">
        <f t="shared" ref="Z129:AH129" si="217">-(Z130/100)*Z126</f>
        <v>-352.4968072415989</v>
      </c>
      <c r="AA129" s="73">
        <f t="shared" si="217"/>
        <v>-453.58080000000001</v>
      </c>
      <c r="AB129" s="6">
        <f t="shared" si="217"/>
        <v>-668.4557880000001</v>
      </c>
      <c r="AC129" s="6">
        <f t="shared" si="217"/>
        <v>-690.10584337442674</v>
      </c>
      <c r="AD129" s="6">
        <f t="shared" si="217"/>
        <v>-797.0188281504461</v>
      </c>
      <c r="AE129" s="6">
        <f t="shared" si="217"/>
        <v>-905.45212788394133</v>
      </c>
      <c r="AF129" s="6">
        <f t="shared" si="217"/>
        <v>-1065.1652590503593</v>
      </c>
      <c r="AG129" s="6">
        <f t="shared" si="217"/>
        <v>-1216.6848740827122</v>
      </c>
      <c r="AH129" s="6">
        <f t="shared" si="217"/>
        <v>-1382.9933737387032</v>
      </c>
      <c r="AI129" s="6">
        <f t="shared" ref="AI129:AL129" si="218">-(AI130/100)*AI126</f>
        <v>-1521.127698829416</v>
      </c>
      <c r="AJ129" s="6">
        <f t="shared" si="218"/>
        <v>-1638.3267476238263</v>
      </c>
      <c r="AK129" s="6">
        <f t="shared" si="218"/>
        <v>-1784.1752349799028</v>
      </c>
      <c r="AL129" s="6">
        <f t="shared" si="218"/>
        <v>-1952.5336100629097</v>
      </c>
      <c r="AO129" s="2"/>
      <c r="AP129" s="2"/>
      <c r="AQ129" s="2"/>
      <c r="AR129" s="2"/>
      <c r="AS129" s="2"/>
      <c r="AT129" s="2"/>
      <c r="AU129" s="2"/>
      <c r="AV129" s="2"/>
    </row>
    <row r="130" spans="1:54" x14ac:dyDescent="0.2">
      <c r="A130" s="2"/>
      <c r="B130" s="2" t="s">
        <v>232</v>
      </c>
      <c r="C130" s="2"/>
      <c r="D130" s="2"/>
      <c r="E130" s="2"/>
      <c r="F130" s="6"/>
      <c r="G130" s="6"/>
      <c r="H130" s="6"/>
      <c r="I130" s="6"/>
      <c r="J130" s="6">
        <f>-J129/J126%</f>
        <v>38.896107693833407</v>
      </c>
      <c r="K130" s="6">
        <f t="shared" ref="K130:S130" si="219">-K129/K126%</f>
        <v>40.307772260076163</v>
      </c>
      <c r="L130" s="6">
        <f t="shared" si="219"/>
        <v>39.230526900322545</v>
      </c>
      <c r="M130" s="6">
        <f t="shared" si="219"/>
        <v>37.902254212871092</v>
      </c>
      <c r="N130" s="6">
        <f t="shared" si="219"/>
        <v>38.034052513785497</v>
      </c>
      <c r="O130" s="6">
        <f t="shared" si="219"/>
        <v>36.75134821521987</v>
      </c>
      <c r="P130" s="6">
        <f t="shared" si="219"/>
        <v>33.729798369065051</v>
      </c>
      <c r="Q130" s="6">
        <f t="shared" si="219"/>
        <v>31.396957123098201</v>
      </c>
      <c r="R130" s="6">
        <f t="shared" si="219"/>
        <v>31.901840490797543</v>
      </c>
      <c r="S130" s="14">
        <f t="shared" si="219"/>
        <v>28.761061946902657</v>
      </c>
      <c r="T130" s="14">
        <f>+T132</f>
        <v>31.564245810055866</v>
      </c>
      <c r="U130" s="45">
        <f>+U132</f>
        <v>29.528535980148881</v>
      </c>
      <c r="V130" s="45">
        <f>+V132</f>
        <v>30.034522439585732</v>
      </c>
      <c r="W130" s="45">
        <v>29.3</v>
      </c>
      <c r="X130" s="45">
        <f>-X129/X126%</f>
        <v>29.184549356223176</v>
      </c>
      <c r="Y130" s="45">
        <f>-Y129/Y126%</f>
        <v>29.685617263665257</v>
      </c>
      <c r="Z130" s="45">
        <v>32.85</v>
      </c>
      <c r="AA130" s="45">
        <v>29.53</v>
      </c>
      <c r="AB130" s="45">
        <v>33.033000000000001</v>
      </c>
      <c r="AC130" s="45">
        <v>29.5</v>
      </c>
      <c r="AD130" s="45">
        <v>29.5</v>
      </c>
      <c r="AE130" s="45">
        <v>29.5</v>
      </c>
      <c r="AF130" s="45">
        <v>29.5</v>
      </c>
      <c r="AG130" s="45">
        <v>29.5</v>
      </c>
      <c r="AH130" s="45">
        <v>29.5</v>
      </c>
      <c r="AI130" s="45">
        <v>29.5</v>
      </c>
      <c r="AJ130" s="45">
        <v>29.5</v>
      </c>
      <c r="AK130" s="45">
        <v>29.5</v>
      </c>
      <c r="AL130" s="45">
        <v>29.5</v>
      </c>
      <c r="AO130" s="6"/>
      <c r="AP130" s="2"/>
      <c r="AQ130" s="2"/>
      <c r="AR130" s="2"/>
      <c r="AS130" s="2"/>
      <c r="AT130" s="2"/>
      <c r="AU130" s="2"/>
      <c r="AV130" s="2"/>
    </row>
    <row r="131" spans="1:54" x14ac:dyDescent="0.2">
      <c r="A131" s="2"/>
      <c r="B131" s="2" t="s">
        <v>177</v>
      </c>
      <c r="C131" s="2"/>
      <c r="D131" s="2"/>
      <c r="E131" s="2"/>
      <c r="F131" s="6"/>
      <c r="G131" s="6"/>
      <c r="H131" s="6"/>
      <c r="I131" s="6"/>
      <c r="J131" s="6">
        <f t="shared" ref="J131:S131" si="220">-(J130/100)*J127</f>
        <v>-154.8531839506895</v>
      </c>
      <c r="K131" s="6">
        <f t="shared" si="220"/>
        <v>-139.71480020787621</v>
      </c>
      <c r="L131" s="6">
        <f t="shared" si="220"/>
        <v>-147.64173415774971</v>
      </c>
      <c r="M131" s="6">
        <f t="shared" si="220"/>
        <v>-147.86199999999999</v>
      </c>
      <c r="N131" s="6">
        <f t="shared" si="220"/>
        <v>-166.71199999999999</v>
      </c>
      <c r="O131" s="6">
        <f t="shared" si="220"/>
        <v>-193.2</v>
      </c>
      <c r="P131" s="6">
        <f t="shared" si="220"/>
        <v>-221</v>
      </c>
      <c r="Q131" s="6">
        <f t="shared" si="220"/>
        <v>-227</v>
      </c>
      <c r="R131" s="6">
        <f t="shared" si="220"/>
        <v>-260</v>
      </c>
      <c r="S131" s="14">
        <f t="shared" si="220"/>
        <v>-260</v>
      </c>
      <c r="T131" s="14">
        <v>-113</v>
      </c>
      <c r="U131" s="6">
        <v>-238</v>
      </c>
      <c r="V131" s="6">
        <v>-261</v>
      </c>
      <c r="W131" s="14">
        <v>-327</v>
      </c>
      <c r="X131" s="14">
        <v>-340</v>
      </c>
      <c r="Y131" s="14">
        <v>-271</v>
      </c>
      <c r="Z131" s="14">
        <v>-353</v>
      </c>
      <c r="AA131" s="28">
        <v>-453.6</v>
      </c>
      <c r="AB131" s="6">
        <f t="shared" ref="AB131:AH131" si="221">-(AB130/100)*AB127</f>
        <v>-668.4557880000001</v>
      </c>
      <c r="AC131" s="6">
        <f t="shared" si="221"/>
        <v>-690.10584337442674</v>
      </c>
      <c r="AD131" s="6">
        <f t="shared" si="221"/>
        <v>-797.0188281504461</v>
      </c>
      <c r="AE131" s="6">
        <f t="shared" si="221"/>
        <v>-905.45212788394133</v>
      </c>
      <c r="AF131" s="6">
        <f t="shared" si="221"/>
        <v>-1065.1652590503593</v>
      </c>
      <c r="AG131" s="6">
        <f t="shared" si="221"/>
        <v>-1216.6848740827122</v>
      </c>
      <c r="AH131" s="6">
        <f t="shared" si="221"/>
        <v>-1382.9933737387032</v>
      </c>
      <c r="AI131" s="6">
        <f t="shared" ref="AI131:AL131" si="222">-(AI130/100)*AI127</f>
        <v>-1521.127698829416</v>
      </c>
      <c r="AJ131" s="6">
        <f t="shared" si="222"/>
        <v>-1638.3267476238263</v>
      </c>
      <c r="AK131" s="6">
        <f t="shared" si="222"/>
        <v>-1784.1752349799028</v>
      </c>
      <c r="AL131" s="6">
        <f t="shared" si="222"/>
        <v>-1952.5336100629097</v>
      </c>
      <c r="AO131" s="2"/>
      <c r="AP131" s="2"/>
      <c r="AQ131" s="2"/>
      <c r="AR131" s="2"/>
      <c r="AS131" s="2"/>
      <c r="AT131" s="2"/>
      <c r="AU131" s="2"/>
      <c r="AV131" s="2"/>
    </row>
    <row r="132" spans="1:54" x14ac:dyDescent="0.2">
      <c r="A132" s="2"/>
      <c r="B132" s="2" t="s">
        <v>233</v>
      </c>
      <c r="C132" s="2"/>
      <c r="D132" s="2"/>
      <c r="E132" s="2"/>
      <c r="F132" s="6"/>
      <c r="G132" s="6"/>
      <c r="H132" s="6"/>
      <c r="I132" s="6"/>
      <c r="J132" s="6">
        <f t="shared" ref="J132:Q132" si="223">-J129/(J127)%</f>
        <v>38.421581432733866</v>
      </c>
      <c r="K132" s="6">
        <f t="shared" si="223"/>
        <v>40.277537360798512</v>
      </c>
      <c r="L132" s="6">
        <f t="shared" si="223"/>
        <v>39.045394638947386</v>
      </c>
      <c r="M132" s="6">
        <f t="shared" si="223"/>
        <v>37.902254212871092</v>
      </c>
      <c r="N132" s="6">
        <f t="shared" si="223"/>
        <v>38.034052513785497</v>
      </c>
      <c r="O132" s="6">
        <f t="shared" si="223"/>
        <v>36.75134821521987</v>
      </c>
      <c r="P132" s="6">
        <f t="shared" si="223"/>
        <v>33.729798369065051</v>
      </c>
      <c r="Q132" s="6">
        <f t="shared" si="223"/>
        <v>31.396957123098201</v>
      </c>
      <c r="R132" s="14">
        <f>-R131/(R127)%</f>
        <v>31.901840490797543</v>
      </c>
      <c r="S132" s="14">
        <f t="shared" ref="S132:Y132" si="224">-S131/(S127)%</f>
        <v>28.761061946902657</v>
      </c>
      <c r="T132" s="14">
        <f t="shared" si="224"/>
        <v>31.564245810055866</v>
      </c>
      <c r="U132" s="14">
        <f t="shared" si="224"/>
        <v>29.528535980148881</v>
      </c>
      <c r="V132" s="14">
        <f t="shared" si="224"/>
        <v>30.034522439585732</v>
      </c>
      <c r="W132" s="14">
        <f>-W131/(W127)%</f>
        <v>38.425381903642773</v>
      </c>
      <c r="X132" s="14">
        <f>-X131/(X127)%</f>
        <v>30.548068283917338</v>
      </c>
      <c r="Y132" s="14">
        <f t="shared" si="224"/>
        <v>32.458977123008758</v>
      </c>
      <c r="Z132" s="14">
        <f t="shared" ref="Z132:AH132" si="225">-Z131/(Z127)%</f>
        <v>33.973352753507356</v>
      </c>
      <c r="AA132" s="14">
        <f t="shared" si="225"/>
        <v>29.531250000000004</v>
      </c>
      <c r="AB132" s="14">
        <f t="shared" si="225"/>
        <v>33.033000000000001</v>
      </c>
      <c r="AC132" s="14">
        <f t="shared" si="225"/>
        <v>29.499999999999996</v>
      </c>
      <c r="AD132" s="14">
        <f t="shared" si="225"/>
        <v>29.5</v>
      </c>
      <c r="AE132" s="14">
        <f t="shared" si="225"/>
        <v>29.499999999999996</v>
      </c>
      <c r="AF132" s="14">
        <f t="shared" si="225"/>
        <v>29.5</v>
      </c>
      <c r="AG132" s="14">
        <f t="shared" si="225"/>
        <v>29.5</v>
      </c>
      <c r="AH132" s="14">
        <f t="shared" si="225"/>
        <v>29.5</v>
      </c>
      <c r="AI132" s="14">
        <f t="shared" ref="AI132:AL132" si="226">-AI131/(AI127)%</f>
        <v>29.5</v>
      </c>
      <c r="AJ132" s="14">
        <f t="shared" si="226"/>
        <v>29.5</v>
      </c>
      <c r="AK132" s="14">
        <f t="shared" si="226"/>
        <v>29.5</v>
      </c>
      <c r="AL132" s="14">
        <f t="shared" si="226"/>
        <v>29.5</v>
      </c>
      <c r="AO132" s="48"/>
      <c r="AP132" s="48"/>
      <c r="AQ132" s="11"/>
      <c r="AR132" s="2"/>
      <c r="AS132" s="2"/>
      <c r="AT132" s="2"/>
      <c r="AU132" s="2"/>
      <c r="AV132" s="2"/>
    </row>
    <row r="133" spans="1:54" x14ac:dyDescent="0.2">
      <c r="A133" s="2"/>
      <c r="B133" s="2"/>
      <c r="C133" s="2"/>
      <c r="D133" s="2"/>
      <c r="E133" s="2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14"/>
      <c r="T133" s="14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O133" s="2"/>
      <c r="AP133" s="2"/>
      <c r="AQ133" s="2"/>
      <c r="AR133" s="2"/>
      <c r="AS133" s="2"/>
      <c r="AT133" s="2"/>
      <c r="AU133" s="2"/>
      <c r="AV133" s="2"/>
    </row>
    <row r="134" spans="1:54" s="53" customFormat="1" x14ac:dyDescent="0.2">
      <c r="A134" s="8"/>
      <c r="B134" s="8" t="s">
        <v>179</v>
      </c>
      <c r="C134" s="8"/>
      <c r="D134" s="8"/>
      <c r="E134" s="8"/>
      <c r="F134" s="9"/>
      <c r="G134" s="9"/>
      <c r="H134" s="9"/>
      <c r="I134" s="9"/>
      <c r="J134" s="9">
        <f t="shared" ref="J134:R134" si="227">J126+J129</f>
        <v>240.29899999999981</v>
      </c>
      <c r="K134" s="9">
        <f t="shared" si="227"/>
        <v>206.75000000000051</v>
      </c>
      <c r="L134" s="9">
        <f t="shared" si="227"/>
        <v>227.62299999999959</v>
      </c>
      <c r="M134" s="9">
        <f t="shared" si="227"/>
        <v>242.25200000000015</v>
      </c>
      <c r="N134" s="9">
        <f t="shared" si="227"/>
        <v>271.61099999999993</v>
      </c>
      <c r="O134" s="9">
        <f t="shared" si="227"/>
        <v>332.49499999999972</v>
      </c>
      <c r="P134" s="9">
        <f t="shared" si="227"/>
        <v>434.20699999999988</v>
      </c>
      <c r="Q134" s="9">
        <f t="shared" si="227"/>
        <v>496</v>
      </c>
      <c r="R134" s="9">
        <f t="shared" si="227"/>
        <v>555</v>
      </c>
      <c r="S134" s="55">
        <f>S126+S129</f>
        <v>644</v>
      </c>
      <c r="T134" s="55">
        <f t="shared" ref="T134:Y134" si="228">T126+T129</f>
        <v>286.06145251396651</v>
      </c>
      <c r="U134" s="9">
        <f t="shared" si="228"/>
        <v>568</v>
      </c>
      <c r="V134" s="9">
        <f t="shared" si="228"/>
        <v>608</v>
      </c>
      <c r="W134" s="55">
        <f>W126+W129</f>
        <v>789.01199999999994</v>
      </c>
      <c r="X134" s="9">
        <f>X126+X129</f>
        <v>825</v>
      </c>
      <c r="Y134" s="9">
        <f t="shared" si="228"/>
        <v>641.89999999999964</v>
      </c>
      <c r="Z134" s="9">
        <f t="shared" ref="Z134:AH134" si="229">Z126+Z129</f>
        <v>720.55283428533835</v>
      </c>
      <c r="AA134" s="9">
        <f t="shared" si="229"/>
        <v>1082.4192</v>
      </c>
      <c r="AB134" s="9">
        <f t="shared" si="229"/>
        <v>1355.1442120000002</v>
      </c>
      <c r="AC134" s="9">
        <f t="shared" si="229"/>
        <v>1649.2359985727828</v>
      </c>
      <c r="AD134" s="9">
        <f t="shared" si="229"/>
        <v>1904.7399113425918</v>
      </c>
      <c r="AE134" s="9">
        <f t="shared" si="229"/>
        <v>2163.8771191802671</v>
      </c>
      <c r="AF134" s="9">
        <f t="shared" si="229"/>
        <v>2545.5644326457741</v>
      </c>
      <c r="AG134" s="9">
        <f t="shared" si="229"/>
        <v>2907.670631282414</v>
      </c>
      <c r="AH134" s="9">
        <f t="shared" si="229"/>
        <v>3305.1197575789352</v>
      </c>
      <c r="AI134" s="9">
        <f t="shared" ref="AI134:AL134" si="230">AI126+AI129</f>
        <v>3635.2373819482655</v>
      </c>
      <c r="AJ134" s="9">
        <f t="shared" si="230"/>
        <v>3915.3232443213483</v>
      </c>
      <c r="AK134" s="9">
        <f t="shared" si="230"/>
        <v>4263.8764090197683</v>
      </c>
      <c r="AL134" s="9">
        <f t="shared" si="230"/>
        <v>4666.2243901503443</v>
      </c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/>
      <c r="AX134"/>
      <c r="AY134"/>
      <c r="AZ134"/>
      <c r="BA134"/>
      <c r="BB134"/>
    </row>
    <row r="135" spans="1:54" s="191" customFormat="1" x14ac:dyDescent="0.2">
      <c r="A135" s="35"/>
      <c r="B135" s="35" t="s">
        <v>336</v>
      </c>
      <c r="C135" s="35"/>
      <c r="D135" s="35"/>
      <c r="E135" s="35"/>
      <c r="F135" s="36"/>
      <c r="G135" s="36"/>
      <c r="H135" s="36"/>
      <c r="I135" s="36"/>
      <c r="J135" s="36"/>
      <c r="K135" s="36">
        <f t="shared" ref="K135:Y135" si="231">(K134-J134)/J134%</f>
        <v>-13.961356476722468</v>
      </c>
      <c r="L135" s="36">
        <f t="shared" si="231"/>
        <v>10.095767835549712</v>
      </c>
      <c r="M135" s="36">
        <f t="shared" si="231"/>
        <v>6.4268549311803227</v>
      </c>
      <c r="N135" s="36">
        <f t="shared" si="231"/>
        <v>12.119198190314121</v>
      </c>
      <c r="O135" s="36">
        <f t="shared" si="231"/>
        <v>22.415881536462003</v>
      </c>
      <c r="P135" s="36">
        <f t="shared" si="231"/>
        <v>30.59053519601806</v>
      </c>
      <c r="Q135" s="36">
        <f t="shared" si="231"/>
        <v>14.231230726358659</v>
      </c>
      <c r="R135" s="36">
        <f t="shared" si="231"/>
        <v>11.89516129032258</v>
      </c>
      <c r="S135" s="36">
        <f t="shared" si="231"/>
        <v>16.036036036036037</v>
      </c>
      <c r="T135" s="36">
        <f t="shared" si="231"/>
        <v>-55.58051979596793</v>
      </c>
      <c r="U135" s="36">
        <f t="shared" si="231"/>
        <v>98.558734498584101</v>
      </c>
      <c r="V135" s="36">
        <f t="shared" si="231"/>
        <v>7.042253521126761</v>
      </c>
      <c r="W135" s="36">
        <f>(W134-V134)/V134%</f>
        <v>29.771710526315779</v>
      </c>
      <c r="X135" s="36">
        <f>(X134-W134)/W134%</f>
        <v>4.5611473589755365</v>
      </c>
      <c r="Y135" s="36">
        <f t="shared" si="231"/>
        <v>-22.193939393939438</v>
      </c>
      <c r="Z135" s="36">
        <f t="shared" ref="Z135:AL135" si="232">(Z134-Y134)/Y134%</f>
        <v>12.253128880719546</v>
      </c>
      <c r="AA135" s="36">
        <f t="shared" si="232"/>
        <v>50.22065676468673</v>
      </c>
      <c r="AB135" s="36">
        <f t="shared" si="232"/>
        <v>25.195877161085104</v>
      </c>
      <c r="AC135" s="36">
        <f t="shared" si="232"/>
        <v>21.701881170177824</v>
      </c>
      <c r="AD135" s="36">
        <f t="shared" si="232"/>
        <v>15.492259021202372</v>
      </c>
      <c r="AE135" s="36">
        <f t="shared" si="232"/>
        <v>13.604860500613837</v>
      </c>
      <c r="AF135" s="36">
        <f t="shared" si="232"/>
        <v>17.639047526418693</v>
      </c>
      <c r="AG135" s="36">
        <f t="shared" si="232"/>
        <v>14.224986568510422</v>
      </c>
      <c r="AH135" s="36">
        <f t="shared" si="232"/>
        <v>13.668987196160803</v>
      </c>
      <c r="AI135" s="36">
        <f t="shared" si="232"/>
        <v>9.988068468996957</v>
      </c>
      <c r="AJ135" s="36">
        <f t="shared" si="232"/>
        <v>7.7047475293889569</v>
      </c>
      <c r="AK135" s="36">
        <f t="shared" si="232"/>
        <v>8.902283233037009</v>
      </c>
      <c r="AL135" s="36">
        <f t="shared" si="232"/>
        <v>9.4362017688752076</v>
      </c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/>
      <c r="AX135"/>
      <c r="AY135"/>
      <c r="AZ135"/>
      <c r="BA135"/>
      <c r="BB135"/>
    </row>
    <row r="136" spans="1:54" x14ac:dyDescent="0.2">
      <c r="A136" s="4"/>
      <c r="B136" s="2"/>
      <c r="C136" s="4"/>
      <c r="D136" s="4"/>
      <c r="E136" s="4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4"/>
      <c r="AN136" s="4"/>
      <c r="AO136" s="2"/>
      <c r="AP136" s="4"/>
      <c r="AQ136" s="4"/>
      <c r="AR136" s="4"/>
      <c r="AS136" s="4"/>
      <c r="AT136" s="4"/>
      <c r="AU136" s="4"/>
      <c r="AV136" s="4"/>
    </row>
    <row r="137" spans="1:54" x14ac:dyDescent="0.2">
      <c r="A137" s="8"/>
      <c r="B137" s="8" t="s">
        <v>178</v>
      </c>
      <c r="C137" s="8"/>
      <c r="D137" s="8"/>
      <c r="E137" s="8"/>
      <c r="F137" s="55">
        <f t="shared" ref="F137:R137" si="233">F127+F129</f>
        <v>83</v>
      </c>
      <c r="G137" s="55">
        <f t="shared" si="233"/>
        <v>131</v>
      </c>
      <c r="H137" s="55">
        <f t="shared" si="233"/>
        <v>205</v>
      </c>
      <c r="I137" s="55">
        <f t="shared" si="233"/>
        <v>196</v>
      </c>
      <c r="J137" s="55">
        <f t="shared" si="233"/>
        <v>245.15599999999984</v>
      </c>
      <c r="K137" s="55">
        <f t="shared" si="233"/>
        <v>207.0100000000005</v>
      </c>
      <c r="L137" s="55">
        <f t="shared" si="233"/>
        <v>229.3989999999996</v>
      </c>
      <c r="M137" s="55">
        <f t="shared" si="233"/>
        <v>242.25200000000015</v>
      </c>
      <c r="N137" s="55">
        <f t="shared" si="233"/>
        <v>271.61099999999993</v>
      </c>
      <c r="O137" s="55">
        <f t="shared" si="233"/>
        <v>332.49499999999972</v>
      </c>
      <c r="P137" s="55">
        <f t="shared" si="233"/>
        <v>434.20699999999988</v>
      </c>
      <c r="Q137" s="55">
        <f t="shared" si="233"/>
        <v>496</v>
      </c>
      <c r="R137" s="55">
        <f t="shared" si="233"/>
        <v>555</v>
      </c>
      <c r="S137" s="55">
        <f t="shared" ref="S137:Y137" si="234">S127+S131</f>
        <v>644</v>
      </c>
      <c r="T137" s="55">
        <f t="shared" si="234"/>
        <v>245</v>
      </c>
      <c r="U137" s="55">
        <f t="shared" si="234"/>
        <v>568</v>
      </c>
      <c r="V137" s="55">
        <f t="shared" si="234"/>
        <v>608</v>
      </c>
      <c r="W137" s="55">
        <f>W127+W131</f>
        <v>524</v>
      </c>
      <c r="X137" s="55">
        <f t="shared" si="234"/>
        <v>773</v>
      </c>
      <c r="Y137" s="55">
        <f t="shared" si="234"/>
        <v>563.89999999999964</v>
      </c>
      <c r="Z137" s="55">
        <f t="shared" ref="Z137:AH137" si="235">Z127+Z131</f>
        <v>686.04964152693719</v>
      </c>
      <c r="AA137" s="55">
        <f t="shared" si="235"/>
        <v>1082.4000000000001</v>
      </c>
      <c r="AB137" s="55">
        <f t="shared" si="235"/>
        <v>1355.1442120000002</v>
      </c>
      <c r="AC137" s="55">
        <f t="shared" si="235"/>
        <v>1649.2359985727828</v>
      </c>
      <c r="AD137" s="55">
        <f t="shared" si="235"/>
        <v>1904.7399113425918</v>
      </c>
      <c r="AE137" s="55">
        <f t="shared" si="235"/>
        <v>2163.8771191802671</v>
      </c>
      <c r="AF137" s="55">
        <f t="shared" si="235"/>
        <v>2545.5644326457741</v>
      </c>
      <c r="AG137" s="55">
        <f t="shared" si="235"/>
        <v>2907.670631282414</v>
      </c>
      <c r="AH137" s="55">
        <f t="shared" si="235"/>
        <v>3305.1197575789352</v>
      </c>
      <c r="AI137" s="55">
        <f t="shared" ref="AI137:AL137" si="236">AI127+AI131</f>
        <v>3635.2373819482655</v>
      </c>
      <c r="AJ137" s="55">
        <f t="shared" si="236"/>
        <v>3915.3232443213483</v>
      </c>
      <c r="AK137" s="55">
        <f t="shared" si="236"/>
        <v>4263.8764090197683</v>
      </c>
      <c r="AL137" s="55">
        <f t="shared" si="236"/>
        <v>4666.2243901503443</v>
      </c>
      <c r="AM137" s="8"/>
      <c r="AN137" s="8"/>
      <c r="AO137" s="108"/>
      <c r="AP137" s="8"/>
      <c r="AQ137" s="8"/>
      <c r="AR137" s="71"/>
      <c r="AS137" s="8"/>
      <c r="AT137" s="8"/>
      <c r="AU137" s="8"/>
      <c r="AV137" s="8"/>
    </row>
    <row r="138" spans="1:54" x14ac:dyDescent="0.2">
      <c r="A138" s="2"/>
      <c r="B138" s="2" t="s">
        <v>126</v>
      </c>
      <c r="C138" s="2"/>
      <c r="D138" s="2"/>
      <c r="E138" s="2"/>
      <c r="F138" s="6"/>
      <c r="G138" s="6"/>
      <c r="H138" s="6"/>
      <c r="I138" s="6"/>
      <c r="J138" s="6">
        <f>J125-J543</f>
        <v>6.7461839506894998</v>
      </c>
      <c r="K138" s="6">
        <f>K125-K543</f>
        <v>0.36480020787619538</v>
      </c>
      <c r="L138" s="6">
        <f>L125-L543</f>
        <v>2.4727341577497164</v>
      </c>
      <c r="M138" s="6">
        <f>M125-M543</f>
        <v>0</v>
      </c>
      <c r="N138" s="6">
        <v>0</v>
      </c>
      <c r="O138" s="6">
        <v>-11.356</v>
      </c>
      <c r="P138" s="6">
        <v>-43.953000000000003</v>
      </c>
      <c r="Q138" s="6">
        <v>0</v>
      </c>
      <c r="R138" s="14">
        <v>0</v>
      </c>
      <c r="S138" s="14">
        <v>0</v>
      </c>
      <c r="T138" s="14">
        <v>0</v>
      </c>
      <c r="U138" s="14">
        <v>0</v>
      </c>
      <c r="V138" s="14">
        <v>0</v>
      </c>
      <c r="W138" s="14">
        <v>0</v>
      </c>
      <c r="X138" s="14">
        <v>17</v>
      </c>
      <c r="Y138" s="14">
        <f>14-82</f>
        <v>-68</v>
      </c>
      <c r="Z138" s="14">
        <v>-46</v>
      </c>
      <c r="AA138" s="45">
        <v>-62.4</v>
      </c>
      <c r="AB138" s="45">
        <v>-254</v>
      </c>
      <c r="AC138" s="14">
        <v>0</v>
      </c>
      <c r="AD138" s="14">
        <v>0</v>
      </c>
      <c r="AE138" s="14">
        <v>0</v>
      </c>
      <c r="AF138" s="14">
        <v>0</v>
      </c>
      <c r="AG138" s="14">
        <v>0</v>
      </c>
      <c r="AH138" s="14">
        <v>0</v>
      </c>
      <c r="AI138" s="14">
        <v>0</v>
      </c>
      <c r="AJ138" s="14">
        <v>0</v>
      </c>
      <c r="AK138" s="14">
        <v>0</v>
      </c>
      <c r="AL138" s="14">
        <v>0</v>
      </c>
      <c r="AO138" s="2"/>
      <c r="AP138" s="2"/>
      <c r="AQ138" s="2"/>
      <c r="AR138" s="7"/>
      <c r="AS138" s="2"/>
      <c r="AT138" s="2"/>
      <c r="AU138" s="2"/>
      <c r="AV138" s="2"/>
    </row>
    <row r="139" spans="1:54" x14ac:dyDescent="0.2">
      <c r="A139" s="2"/>
      <c r="B139" s="2" t="s">
        <v>125</v>
      </c>
      <c r="C139" s="2"/>
      <c r="D139" s="2"/>
      <c r="E139" s="2"/>
      <c r="F139" s="15">
        <v>-4</v>
      </c>
      <c r="G139" s="15">
        <v>-12</v>
      </c>
      <c r="H139" s="15">
        <v>-14</v>
      </c>
      <c r="I139" s="15">
        <v>-9</v>
      </c>
      <c r="J139" s="15">
        <v>-17.524000000000001</v>
      </c>
      <c r="K139" s="15">
        <v>-25.327000000000002</v>
      </c>
      <c r="L139" s="15">
        <v>-20.905999999999999</v>
      </c>
      <c r="M139" s="15">
        <v>-13.680999999999999</v>
      </c>
      <c r="N139" s="15">
        <v>-11.391</v>
      </c>
      <c r="O139" s="15">
        <v>-6.9649999999999999</v>
      </c>
      <c r="P139" s="14">
        <v>-7</v>
      </c>
      <c r="Q139" s="6">
        <v>-13</v>
      </c>
      <c r="R139" s="14">
        <v>-4</v>
      </c>
      <c r="S139" s="14">
        <v>-2</v>
      </c>
      <c r="T139" s="14">
        <v>0</v>
      </c>
      <c r="U139" s="14">
        <v>-1</v>
      </c>
      <c r="V139" s="14">
        <v>5</v>
      </c>
      <c r="W139" s="73">
        <v>2.4500000000000002</v>
      </c>
      <c r="X139" s="14">
        <v>-3</v>
      </c>
      <c r="Y139" s="14">
        <v>-6</v>
      </c>
      <c r="Z139" s="14">
        <v>-6</v>
      </c>
      <c r="AA139" s="45">
        <v>-2.4</v>
      </c>
      <c r="AB139" s="45">
        <v>-2.95</v>
      </c>
      <c r="AC139" s="14">
        <f t="shared" ref="AC139:AL139" si="237">AB139*1.03</f>
        <v>-3.0385000000000004</v>
      </c>
      <c r="AD139" s="14">
        <f t="shared" si="237"/>
        <v>-3.1296550000000005</v>
      </c>
      <c r="AE139" s="14">
        <f t="shared" si="237"/>
        <v>-3.2235446500000005</v>
      </c>
      <c r="AF139" s="14">
        <f t="shared" si="237"/>
        <v>-3.3202509895000007</v>
      </c>
      <c r="AG139" s="14">
        <f t="shared" si="237"/>
        <v>-3.4198585191850008</v>
      </c>
      <c r="AH139" s="14">
        <f t="shared" si="237"/>
        <v>-3.522454274760551</v>
      </c>
      <c r="AI139" s="14">
        <f t="shared" si="237"/>
        <v>-3.6281279030033677</v>
      </c>
      <c r="AJ139" s="14">
        <f t="shared" si="237"/>
        <v>-3.7369717400934688</v>
      </c>
      <c r="AK139" s="14">
        <f t="shared" si="237"/>
        <v>-3.8490808922962731</v>
      </c>
      <c r="AL139" s="14">
        <f t="shared" si="237"/>
        <v>-3.9645533190651614</v>
      </c>
      <c r="AO139" s="6"/>
      <c r="AP139" s="2"/>
      <c r="AQ139" s="2"/>
      <c r="AR139" s="7"/>
      <c r="AS139" s="2"/>
      <c r="AT139" s="7"/>
      <c r="AU139" s="2"/>
      <c r="AV139" s="2"/>
    </row>
    <row r="140" spans="1:54" x14ac:dyDescent="0.2">
      <c r="A140" s="4"/>
      <c r="B140" s="4" t="s">
        <v>187</v>
      </c>
      <c r="C140" s="4"/>
      <c r="D140" s="4"/>
      <c r="E140" s="4"/>
      <c r="F140" s="15"/>
      <c r="G140" s="15"/>
      <c r="H140" s="15"/>
      <c r="I140" s="15"/>
      <c r="J140" s="20">
        <f t="shared" ref="J140:AH140" si="238">J134+J139</f>
        <v>222.77499999999981</v>
      </c>
      <c r="K140" s="20">
        <f t="shared" si="238"/>
        <v>181.42300000000051</v>
      </c>
      <c r="L140" s="20">
        <f t="shared" si="238"/>
        <v>206.71699999999959</v>
      </c>
      <c r="M140" s="20">
        <f t="shared" si="238"/>
        <v>228.57100000000014</v>
      </c>
      <c r="N140" s="20">
        <f t="shared" si="238"/>
        <v>260.21999999999991</v>
      </c>
      <c r="O140" s="20">
        <f t="shared" si="238"/>
        <v>325.52999999999975</v>
      </c>
      <c r="P140" s="20">
        <f t="shared" si="238"/>
        <v>427.20699999999988</v>
      </c>
      <c r="Q140" s="20">
        <f t="shared" si="238"/>
        <v>483</v>
      </c>
      <c r="R140" s="20">
        <f t="shared" si="238"/>
        <v>551</v>
      </c>
      <c r="S140" s="20">
        <f t="shared" si="238"/>
        <v>642</v>
      </c>
      <c r="T140" s="20">
        <f t="shared" si="238"/>
        <v>286.06145251396651</v>
      </c>
      <c r="U140" s="20">
        <f t="shared" si="238"/>
        <v>567</v>
      </c>
      <c r="V140" s="20">
        <f t="shared" si="238"/>
        <v>613</v>
      </c>
      <c r="W140" s="20">
        <f t="shared" si="238"/>
        <v>791.46199999999999</v>
      </c>
      <c r="X140" s="20">
        <f t="shared" si="238"/>
        <v>822</v>
      </c>
      <c r="Y140" s="20">
        <f t="shared" si="238"/>
        <v>635.89999999999964</v>
      </c>
      <c r="Z140" s="20">
        <f t="shared" si="238"/>
        <v>714.55283428533835</v>
      </c>
      <c r="AA140" s="20">
        <f t="shared" si="238"/>
        <v>1080.0192</v>
      </c>
      <c r="AB140" s="20">
        <f t="shared" si="238"/>
        <v>1352.1942120000001</v>
      </c>
      <c r="AC140" s="20">
        <f t="shared" si="238"/>
        <v>1646.1974985727827</v>
      </c>
      <c r="AD140" s="20">
        <f t="shared" si="238"/>
        <v>1901.6102563425918</v>
      </c>
      <c r="AE140" s="20">
        <f t="shared" si="238"/>
        <v>2160.6535745302672</v>
      </c>
      <c r="AF140" s="20">
        <f t="shared" si="238"/>
        <v>2542.2441816562741</v>
      </c>
      <c r="AG140" s="20">
        <f t="shared" si="238"/>
        <v>2904.2507727632292</v>
      </c>
      <c r="AH140" s="20">
        <f t="shared" si="238"/>
        <v>3301.5973033041746</v>
      </c>
      <c r="AI140" s="20">
        <f t="shared" ref="AI140:AL140" si="239">AI134+AI139</f>
        <v>3631.6092540452619</v>
      </c>
      <c r="AJ140" s="20">
        <f t="shared" si="239"/>
        <v>3911.5862725812549</v>
      </c>
      <c r="AK140" s="20">
        <f t="shared" si="239"/>
        <v>4260.0273281274722</v>
      </c>
      <c r="AL140" s="20">
        <f t="shared" si="239"/>
        <v>4662.2598368312792</v>
      </c>
      <c r="AM140" s="4"/>
      <c r="AN140" s="4"/>
      <c r="AO140" s="110"/>
      <c r="AP140" s="4"/>
      <c r="AQ140" s="4"/>
      <c r="AR140" s="160"/>
      <c r="AS140" s="4"/>
      <c r="AT140" s="159"/>
      <c r="AU140" s="4"/>
      <c r="AV140" s="4"/>
    </row>
    <row r="141" spans="1:54" ht="12" customHeight="1" x14ac:dyDescent="0.2">
      <c r="A141" s="4"/>
      <c r="B141" s="4" t="s">
        <v>180</v>
      </c>
      <c r="C141" s="4"/>
      <c r="D141" s="4"/>
      <c r="E141" s="4"/>
      <c r="F141" s="15">
        <f>F137+F138+F139</f>
        <v>79</v>
      </c>
      <c r="G141" s="15">
        <f>G137+G138+G139</f>
        <v>119</v>
      </c>
      <c r="H141" s="15">
        <f>H137+H138+H139</f>
        <v>191</v>
      </c>
      <c r="I141" s="15">
        <f>I137+I138+I139</f>
        <v>187</v>
      </c>
      <c r="J141" s="15">
        <f t="shared" ref="J141:AH141" si="240">J137+J139</f>
        <v>227.63199999999983</v>
      </c>
      <c r="K141" s="20">
        <f t="shared" si="240"/>
        <v>181.6830000000005</v>
      </c>
      <c r="L141" s="20">
        <f t="shared" si="240"/>
        <v>208.4929999999996</v>
      </c>
      <c r="M141" s="20">
        <f t="shared" si="240"/>
        <v>228.57100000000014</v>
      </c>
      <c r="N141" s="20">
        <f t="shared" si="240"/>
        <v>260.21999999999991</v>
      </c>
      <c r="O141" s="20">
        <f t="shared" si="240"/>
        <v>325.52999999999975</v>
      </c>
      <c r="P141" s="20">
        <f t="shared" si="240"/>
        <v>427.20699999999988</v>
      </c>
      <c r="Q141" s="20">
        <f t="shared" si="240"/>
        <v>483</v>
      </c>
      <c r="R141" s="20">
        <f t="shared" si="240"/>
        <v>551</v>
      </c>
      <c r="S141" s="20">
        <f t="shared" si="240"/>
        <v>642</v>
      </c>
      <c r="T141" s="20">
        <f t="shared" si="240"/>
        <v>245</v>
      </c>
      <c r="U141" s="20">
        <f t="shared" si="240"/>
        <v>567</v>
      </c>
      <c r="V141" s="20">
        <f t="shared" si="240"/>
        <v>613</v>
      </c>
      <c r="W141" s="20">
        <f t="shared" si="240"/>
        <v>526.45000000000005</v>
      </c>
      <c r="X141" s="20">
        <f t="shared" si="240"/>
        <v>770</v>
      </c>
      <c r="Y141" s="20">
        <f t="shared" si="240"/>
        <v>557.89999999999964</v>
      </c>
      <c r="Z141" s="20">
        <f t="shared" si="240"/>
        <v>680.04964152693719</v>
      </c>
      <c r="AA141" s="20">
        <f t="shared" si="240"/>
        <v>1080</v>
      </c>
      <c r="AB141" s="20">
        <f t="shared" si="240"/>
        <v>1352.1942120000001</v>
      </c>
      <c r="AC141" s="20">
        <f t="shared" si="240"/>
        <v>1646.1974985727827</v>
      </c>
      <c r="AD141" s="20">
        <f t="shared" si="240"/>
        <v>1901.6102563425918</v>
      </c>
      <c r="AE141" s="20">
        <f t="shared" si="240"/>
        <v>2160.6535745302672</v>
      </c>
      <c r="AF141" s="20">
        <f t="shared" si="240"/>
        <v>2542.2441816562741</v>
      </c>
      <c r="AG141" s="20">
        <f t="shared" si="240"/>
        <v>2904.2507727632292</v>
      </c>
      <c r="AH141" s="20">
        <f t="shared" si="240"/>
        <v>3301.5973033041746</v>
      </c>
      <c r="AI141" s="20">
        <f t="shared" ref="AI141:AL141" si="241">AI137+AI139</f>
        <v>3631.6092540452619</v>
      </c>
      <c r="AJ141" s="20">
        <f t="shared" si="241"/>
        <v>3911.5862725812549</v>
      </c>
      <c r="AK141" s="20">
        <f t="shared" si="241"/>
        <v>4260.0273281274722</v>
      </c>
      <c r="AL141" s="20">
        <f t="shared" si="241"/>
        <v>4662.2598368312792</v>
      </c>
      <c r="AM141" s="4"/>
      <c r="AN141" s="4"/>
      <c r="AO141" s="4"/>
      <c r="AP141" s="4"/>
      <c r="AQ141" s="4"/>
      <c r="AR141" s="159"/>
      <c r="AS141" s="4"/>
      <c r="AT141" s="160"/>
      <c r="AU141" s="4"/>
      <c r="AV141" s="4"/>
    </row>
    <row r="142" spans="1:54" x14ac:dyDescent="0.2">
      <c r="A142" s="13"/>
      <c r="B142" s="13" t="s">
        <v>207</v>
      </c>
      <c r="C142" s="13"/>
      <c r="D142" s="13"/>
      <c r="E142" s="13"/>
      <c r="F142" s="15"/>
      <c r="G142" s="15"/>
      <c r="H142" s="15"/>
      <c r="I142" s="15"/>
      <c r="J142" s="15">
        <f t="shared" ref="J142:AH142" si="242">J137+J138+J139</f>
        <v>234.37818395068933</v>
      </c>
      <c r="K142" s="55">
        <f t="shared" si="242"/>
        <v>182.04780020787669</v>
      </c>
      <c r="L142" s="55">
        <f t="shared" si="242"/>
        <v>210.96573415774932</v>
      </c>
      <c r="M142" s="55">
        <f t="shared" si="242"/>
        <v>228.57100000000014</v>
      </c>
      <c r="N142" s="55">
        <f t="shared" si="242"/>
        <v>260.21999999999991</v>
      </c>
      <c r="O142" s="55">
        <f t="shared" si="242"/>
        <v>314.17399999999975</v>
      </c>
      <c r="P142" s="55">
        <f t="shared" si="242"/>
        <v>383.25399999999991</v>
      </c>
      <c r="Q142" s="55">
        <f t="shared" si="242"/>
        <v>483</v>
      </c>
      <c r="R142" s="55">
        <f t="shared" si="242"/>
        <v>551</v>
      </c>
      <c r="S142" s="55">
        <f t="shared" si="242"/>
        <v>642</v>
      </c>
      <c r="T142" s="55">
        <f t="shared" si="242"/>
        <v>245</v>
      </c>
      <c r="U142" s="55">
        <f t="shared" si="242"/>
        <v>567</v>
      </c>
      <c r="V142" s="55">
        <f t="shared" si="242"/>
        <v>613</v>
      </c>
      <c r="W142" s="55">
        <f t="shared" si="242"/>
        <v>526.45000000000005</v>
      </c>
      <c r="X142" s="55">
        <f t="shared" si="242"/>
        <v>787</v>
      </c>
      <c r="Y142" s="55">
        <f t="shared" si="242"/>
        <v>489.89999999999964</v>
      </c>
      <c r="Z142" s="55">
        <f t="shared" si="242"/>
        <v>634.04964152693719</v>
      </c>
      <c r="AA142" s="55">
        <f t="shared" si="242"/>
        <v>1017.6000000000001</v>
      </c>
      <c r="AB142" s="55">
        <f t="shared" si="242"/>
        <v>1098.1942120000001</v>
      </c>
      <c r="AC142" s="55">
        <f t="shared" si="242"/>
        <v>1646.1974985727827</v>
      </c>
      <c r="AD142" s="55">
        <f t="shared" si="242"/>
        <v>1901.6102563425918</v>
      </c>
      <c r="AE142" s="55">
        <f t="shared" si="242"/>
        <v>2160.6535745302672</v>
      </c>
      <c r="AF142" s="55">
        <f t="shared" si="242"/>
        <v>2542.2441816562741</v>
      </c>
      <c r="AG142" s="55">
        <f t="shared" si="242"/>
        <v>2904.2507727632292</v>
      </c>
      <c r="AH142" s="55">
        <f t="shared" si="242"/>
        <v>3301.5973033041746</v>
      </c>
      <c r="AI142" s="55">
        <f t="shared" ref="AI142:AL142" si="243">AI137+AI138+AI139</f>
        <v>3631.6092540452619</v>
      </c>
      <c r="AJ142" s="55">
        <f t="shared" si="243"/>
        <v>3911.5862725812549</v>
      </c>
      <c r="AK142" s="55">
        <f t="shared" si="243"/>
        <v>4260.0273281274722</v>
      </c>
      <c r="AL142" s="55">
        <f t="shared" si="243"/>
        <v>4662.2598368312792</v>
      </c>
      <c r="AM142" s="13"/>
      <c r="AN142" s="13"/>
      <c r="AO142" s="13"/>
      <c r="AP142" s="13"/>
      <c r="AQ142" s="58"/>
      <c r="AR142" s="170"/>
      <c r="AS142" s="20"/>
      <c r="AT142" s="170"/>
      <c r="AU142" s="13"/>
      <c r="AV142" s="13"/>
    </row>
    <row r="143" spans="1:54" x14ac:dyDescent="0.2">
      <c r="A143" s="58"/>
      <c r="B143" s="58"/>
      <c r="C143" s="58"/>
      <c r="D143" s="58"/>
      <c r="E143" s="58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58"/>
      <c r="AN143" s="58"/>
      <c r="AO143" s="58"/>
      <c r="AP143" s="58"/>
      <c r="AQ143" s="58"/>
      <c r="AR143" s="170"/>
      <c r="AS143" s="58"/>
      <c r="AT143" s="171"/>
      <c r="AU143" s="58"/>
      <c r="AV143" s="58"/>
    </row>
    <row r="144" spans="1:54" x14ac:dyDescent="0.2">
      <c r="A144" s="11"/>
      <c r="B144" s="11" t="s">
        <v>173</v>
      </c>
      <c r="C144" s="11"/>
      <c r="D144" s="11"/>
      <c r="E144" s="11"/>
      <c r="F144" s="20"/>
      <c r="G144" s="20"/>
      <c r="H144" s="20"/>
      <c r="I144" s="20"/>
      <c r="J144" s="20">
        <v>0</v>
      </c>
      <c r="K144" s="20">
        <v>0</v>
      </c>
      <c r="L144" s="20">
        <v>0</v>
      </c>
      <c r="M144" s="20">
        <v>0</v>
      </c>
      <c r="N144" s="20">
        <v>0</v>
      </c>
      <c r="O144" s="14">
        <v>10.464</v>
      </c>
      <c r="P144" s="14">
        <v>11</v>
      </c>
      <c r="Q144" s="14">
        <v>12</v>
      </c>
      <c r="R144" s="14">
        <v>12</v>
      </c>
      <c r="S144" s="14">
        <v>13</v>
      </c>
      <c r="T144" s="14">
        <f>13*(10.5/12)</f>
        <v>11.375</v>
      </c>
      <c r="U144" s="14">
        <v>0</v>
      </c>
      <c r="V144" s="14">
        <v>0</v>
      </c>
      <c r="W144" s="14">
        <v>0</v>
      </c>
      <c r="X144" s="14">
        <v>0</v>
      </c>
      <c r="Y144" s="2">
        <v>0</v>
      </c>
      <c r="Z144" s="2">
        <v>0</v>
      </c>
      <c r="AA144" s="45">
        <v>12</v>
      </c>
      <c r="AB144" s="45">
        <v>1.04</v>
      </c>
      <c r="AC144" s="2">
        <v>6</v>
      </c>
      <c r="AD144" s="6">
        <f>AC144*0.5</f>
        <v>3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11"/>
      <c r="AN144" s="11"/>
      <c r="AO144" s="14"/>
      <c r="AP144" s="11"/>
      <c r="AQ144" s="11"/>
      <c r="AR144" s="138"/>
      <c r="AS144" s="14"/>
      <c r="AT144" s="147"/>
      <c r="AU144" s="11"/>
      <c r="AV144" s="11"/>
    </row>
    <row r="145" spans="1:48" x14ac:dyDescent="0.2">
      <c r="A145" s="13"/>
      <c r="B145" s="13" t="s">
        <v>188</v>
      </c>
      <c r="C145" s="13"/>
      <c r="D145" s="13"/>
      <c r="E145" s="13"/>
      <c r="F145" s="55"/>
      <c r="G145" s="55"/>
      <c r="H145" s="55"/>
      <c r="I145" s="55"/>
      <c r="J145" s="55">
        <f t="shared" ref="J145:R145" si="244">J140+J144</f>
        <v>222.77499999999981</v>
      </c>
      <c r="K145" s="55">
        <f t="shared" si="244"/>
        <v>181.42300000000051</v>
      </c>
      <c r="L145" s="55">
        <f t="shared" si="244"/>
        <v>206.71699999999959</v>
      </c>
      <c r="M145" s="55">
        <f t="shared" si="244"/>
        <v>228.57100000000014</v>
      </c>
      <c r="N145" s="55">
        <f t="shared" si="244"/>
        <v>260.21999999999991</v>
      </c>
      <c r="O145" s="55">
        <f t="shared" si="244"/>
        <v>335.99399999999974</v>
      </c>
      <c r="P145" s="55">
        <f t="shared" si="244"/>
        <v>438.20699999999988</v>
      </c>
      <c r="Q145" s="55">
        <f t="shared" si="244"/>
        <v>495</v>
      </c>
      <c r="R145" s="55">
        <f t="shared" si="244"/>
        <v>563</v>
      </c>
      <c r="S145" s="55">
        <f>S140+S144</f>
        <v>655</v>
      </c>
      <c r="T145" s="55">
        <f t="shared" ref="T145:Y145" si="245">T140+T144</f>
        <v>297.43645251396651</v>
      </c>
      <c r="U145" s="55">
        <f t="shared" si="245"/>
        <v>567</v>
      </c>
      <c r="V145" s="55">
        <f t="shared" si="245"/>
        <v>613</v>
      </c>
      <c r="W145" s="55">
        <f>W140+W144</f>
        <v>791.46199999999999</v>
      </c>
      <c r="X145" s="55">
        <f>X140+X144</f>
        <v>822</v>
      </c>
      <c r="Y145" s="55">
        <f t="shared" si="245"/>
        <v>635.89999999999964</v>
      </c>
      <c r="Z145" s="55">
        <f t="shared" ref="Z145:AH145" si="246">Z140+Z144</f>
        <v>714.55283428533835</v>
      </c>
      <c r="AA145" s="55">
        <f t="shared" si="246"/>
        <v>1092.0192</v>
      </c>
      <c r="AB145" s="55">
        <f t="shared" si="246"/>
        <v>1353.2342120000001</v>
      </c>
      <c r="AC145" s="55">
        <f t="shared" si="246"/>
        <v>1652.1974985727827</v>
      </c>
      <c r="AD145" s="55">
        <f t="shared" si="246"/>
        <v>1904.6102563425918</v>
      </c>
      <c r="AE145" s="55">
        <f t="shared" si="246"/>
        <v>2160.6535745302672</v>
      </c>
      <c r="AF145" s="55">
        <f t="shared" si="246"/>
        <v>2542.2441816562741</v>
      </c>
      <c r="AG145" s="55">
        <f t="shared" si="246"/>
        <v>2904.2507727632292</v>
      </c>
      <c r="AH145" s="55">
        <f t="shared" si="246"/>
        <v>3301.5973033041746</v>
      </c>
      <c r="AI145" s="55">
        <f t="shared" ref="AI145:AL145" si="247">AI140+AI144</f>
        <v>3631.6092540452619</v>
      </c>
      <c r="AJ145" s="55">
        <f t="shared" si="247"/>
        <v>3911.5862725812549</v>
      </c>
      <c r="AK145" s="55">
        <f t="shared" si="247"/>
        <v>4260.0273281274722</v>
      </c>
      <c r="AL145" s="55">
        <f t="shared" si="247"/>
        <v>4662.2598368312792</v>
      </c>
      <c r="AM145" s="13"/>
      <c r="AN145" s="13"/>
      <c r="AO145" s="89"/>
      <c r="AP145" s="13"/>
      <c r="AQ145" s="13"/>
      <c r="AR145" s="68"/>
      <c r="AS145" s="13"/>
      <c r="AT145" s="172"/>
      <c r="AU145" s="13"/>
      <c r="AV145" s="13"/>
    </row>
    <row r="146" spans="1:48" x14ac:dyDescent="0.2">
      <c r="A146" s="58"/>
      <c r="B146" s="58" t="s">
        <v>181</v>
      </c>
      <c r="C146" s="58"/>
      <c r="D146" s="58"/>
      <c r="E146" s="58"/>
      <c r="F146" s="58"/>
      <c r="G146" s="58"/>
      <c r="H146" s="58"/>
      <c r="I146" s="58"/>
      <c r="J146" s="20">
        <f t="shared" ref="J146:Y146" si="248">J141+J144</f>
        <v>227.63199999999983</v>
      </c>
      <c r="K146" s="20">
        <f t="shared" si="248"/>
        <v>181.6830000000005</v>
      </c>
      <c r="L146" s="20">
        <f t="shared" si="248"/>
        <v>208.4929999999996</v>
      </c>
      <c r="M146" s="20">
        <f t="shared" si="248"/>
        <v>228.57100000000014</v>
      </c>
      <c r="N146" s="20">
        <f t="shared" si="248"/>
        <v>260.21999999999991</v>
      </c>
      <c r="O146" s="20">
        <f t="shared" si="248"/>
        <v>335.99399999999974</v>
      </c>
      <c r="P146" s="20">
        <f t="shared" si="248"/>
        <v>438.20699999999988</v>
      </c>
      <c r="Q146" s="20">
        <f t="shared" si="248"/>
        <v>495</v>
      </c>
      <c r="R146" s="20">
        <f t="shared" si="248"/>
        <v>563</v>
      </c>
      <c r="S146" s="20">
        <f t="shared" si="248"/>
        <v>655</v>
      </c>
      <c r="T146" s="20">
        <f t="shared" si="248"/>
        <v>256.375</v>
      </c>
      <c r="U146" s="20">
        <f t="shared" si="248"/>
        <v>567</v>
      </c>
      <c r="V146" s="20">
        <f t="shared" si="248"/>
        <v>613</v>
      </c>
      <c r="W146" s="20">
        <f>W141+W144</f>
        <v>526.45000000000005</v>
      </c>
      <c r="X146" s="20">
        <f>X141+X144</f>
        <v>770</v>
      </c>
      <c r="Y146" s="20">
        <f t="shared" si="248"/>
        <v>557.89999999999964</v>
      </c>
      <c r="Z146" s="75">
        <f t="shared" ref="Z146:AH146" si="249">Z141+Z144</f>
        <v>680.04964152693719</v>
      </c>
      <c r="AA146" s="20">
        <f t="shared" si="249"/>
        <v>1092</v>
      </c>
      <c r="AB146" s="20">
        <f t="shared" si="249"/>
        <v>1353.2342120000001</v>
      </c>
      <c r="AC146" s="20">
        <f t="shared" si="249"/>
        <v>1652.1974985727827</v>
      </c>
      <c r="AD146" s="20">
        <f t="shared" si="249"/>
        <v>1904.6102563425918</v>
      </c>
      <c r="AE146" s="20">
        <f t="shared" si="249"/>
        <v>2160.6535745302672</v>
      </c>
      <c r="AF146" s="20">
        <f t="shared" si="249"/>
        <v>2542.2441816562741</v>
      </c>
      <c r="AG146" s="20">
        <f t="shared" si="249"/>
        <v>2904.2507727632292</v>
      </c>
      <c r="AH146" s="20">
        <f t="shared" si="249"/>
        <v>3301.5973033041746</v>
      </c>
      <c r="AI146" s="20">
        <f t="shared" ref="AI146:AL146" si="250">AI141+AI144</f>
        <v>3631.6092540452619</v>
      </c>
      <c r="AJ146" s="20">
        <f t="shared" si="250"/>
        <v>3911.5862725812549</v>
      </c>
      <c r="AK146" s="20">
        <f t="shared" si="250"/>
        <v>4260.0273281274722</v>
      </c>
      <c r="AL146" s="20">
        <f t="shared" si="250"/>
        <v>4662.2598368312792</v>
      </c>
      <c r="AM146" s="58"/>
      <c r="AN146" s="58"/>
      <c r="AO146" s="58"/>
      <c r="AP146" s="58"/>
      <c r="AQ146" s="11"/>
      <c r="AR146" s="164"/>
      <c r="AS146" s="58"/>
      <c r="AT146" s="171"/>
      <c r="AU146" s="58"/>
      <c r="AV146" s="58"/>
    </row>
    <row r="147" spans="1:48" x14ac:dyDescent="0.2">
      <c r="A147" s="13"/>
      <c r="B147" s="13" t="s">
        <v>182</v>
      </c>
      <c r="C147" s="13"/>
      <c r="D147" s="13"/>
      <c r="E147" s="13"/>
      <c r="F147" s="13"/>
      <c r="G147" s="13"/>
      <c r="H147" s="13"/>
      <c r="I147" s="13"/>
      <c r="J147" s="55">
        <f t="shared" ref="J147:Y147" si="251">J142+J144</f>
        <v>234.37818395068933</v>
      </c>
      <c r="K147" s="55">
        <f t="shared" si="251"/>
        <v>182.04780020787669</v>
      </c>
      <c r="L147" s="55">
        <f t="shared" si="251"/>
        <v>210.96573415774932</v>
      </c>
      <c r="M147" s="55">
        <f t="shared" si="251"/>
        <v>228.57100000000014</v>
      </c>
      <c r="N147" s="55">
        <f t="shared" si="251"/>
        <v>260.21999999999991</v>
      </c>
      <c r="O147" s="55">
        <f t="shared" si="251"/>
        <v>324.63799999999975</v>
      </c>
      <c r="P147" s="55">
        <f t="shared" si="251"/>
        <v>394.25399999999991</v>
      </c>
      <c r="Q147" s="55">
        <f t="shared" si="251"/>
        <v>495</v>
      </c>
      <c r="R147" s="55">
        <f t="shared" si="251"/>
        <v>563</v>
      </c>
      <c r="S147" s="55">
        <f t="shared" si="251"/>
        <v>655</v>
      </c>
      <c r="T147" s="55">
        <f t="shared" si="251"/>
        <v>256.375</v>
      </c>
      <c r="U147" s="55">
        <f t="shared" si="251"/>
        <v>567</v>
      </c>
      <c r="V147" s="55">
        <f t="shared" si="251"/>
        <v>613</v>
      </c>
      <c r="W147" s="55">
        <f>W142+W144</f>
        <v>526.45000000000005</v>
      </c>
      <c r="X147" s="55">
        <f>X142+X144</f>
        <v>787</v>
      </c>
      <c r="Y147" s="55">
        <f t="shared" si="251"/>
        <v>489.89999999999964</v>
      </c>
      <c r="Z147" s="55">
        <f t="shared" ref="Z147:AH147" si="252">Z142+Z144</f>
        <v>634.04964152693719</v>
      </c>
      <c r="AA147" s="55">
        <f t="shared" si="252"/>
        <v>1029.6000000000001</v>
      </c>
      <c r="AB147" s="55">
        <f t="shared" si="252"/>
        <v>1099.2342120000001</v>
      </c>
      <c r="AC147" s="55">
        <f t="shared" si="252"/>
        <v>1652.1974985727827</v>
      </c>
      <c r="AD147" s="55">
        <f t="shared" si="252"/>
        <v>1904.6102563425918</v>
      </c>
      <c r="AE147" s="55">
        <f t="shared" si="252"/>
        <v>2160.6535745302672</v>
      </c>
      <c r="AF147" s="55">
        <f t="shared" si="252"/>
        <v>2542.2441816562741</v>
      </c>
      <c r="AG147" s="55">
        <f t="shared" si="252"/>
        <v>2904.2507727632292</v>
      </c>
      <c r="AH147" s="55">
        <f t="shared" si="252"/>
        <v>3301.5973033041746</v>
      </c>
      <c r="AI147" s="55">
        <f t="shared" ref="AI147:AL147" si="253">AI142+AI144</f>
        <v>3631.6092540452619</v>
      </c>
      <c r="AJ147" s="55">
        <f t="shared" si="253"/>
        <v>3911.5862725812549</v>
      </c>
      <c r="AK147" s="55">
        <f t="shared" si="253"/>
        <v>4260.0273281274722</v>
      </c>
      <c r="AL147" s="55">
        <f t="shared" si="253"/>
        <v>4662.2598368312792</v>
      </c>
      <c r="AM147" s="13"/>
      <c r="AN147" s="13"/>
      <c r="AO147" s="13"/>
      <c r="AP147" s="13"/>
      <c r="AQ147" s="13"/>
      <c r="AR147" s="68"/>
      <c r="AS147" s="13"/>
      <c r="AT147" s="68"/>
      <c r="AU147" s="13"/>
      <c r="AV147" s="13"/>
    </row>
    <row r="148" spans="1:48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14"/>
      <c r="Z148" s="186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1"/>
      <c r="AN148" s="11"/>
      <c r="AO148" s="11"/>
      <c r="AP148" s="11"/>
      <c r="AQ148" s="11"/>
      <c r="AR148" s="147"/>
      <c r="AS148" s="11"/>
      <c r="AT148" s="147"/>
      <c r="AU148" s="11"/>
      <c r="AV148" s="11"/>
    </row>
    <row r="149" spans="1:48" x14ac:dyDescent="0.2">
      <c r="A149" s="11"/>
      <c r="B149" s="11" t="s">
        <v>184</v>
      </c>
      <c r="C149" s="11"/>
      <c r="D149" s="11"/>
      <c r="E149" s="11"/>
      <c r="F149" s="11"/>
      <c r="G149" s="11"/>
      <c r="H149" s="11"/>
      <c r="I149" s="11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14"/>
      <c r="X149" s="14"/>
      <c r="Y149" s="14"/>
      <c r="Z149" s="186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</row>
    <row r="150" spans="1:48" x14ac:dyDescent="0.2">
      <c r="A150" s="11"/>
      <c r="B150" s="11" t="s">
        <v>85</v>
      </c>
      <c r="C150" s="11"/>
      <c r="D150" s="11"/>
      <c r="E150" s="11"/>
      <c r="F150" s="11"/>
      <c r="G150" s="11"/>
      <c r="H150" s="11"/>
      <c r="I150" s="11"/>
      <c r="J150" s="75">
        <f t="shared" ref="J150:Y150" si="254">J142/J167</f>
        <v>1.2920745236447904</v>
      </c>
      <c r="K150" s="75">
        <f t="shared" si="254"/>
        <v>1.0035888185892843</v>
      </c>
      <c r="L150" s="75">
        <f t="shared" si="254"/>
        <v>1.1630069227116979</v>
      </c>
      <c r="M150" s="75">
        <f t="shared" si="254"/>
        <v>1.2595914129713603</v>
      </c>
      <c r="N150" s="75">
        <f t="shared" si="254"/>
        <v>1.4312787843958199</v>
      </c>
      <c r="O150" s="75">
        <f t="shared" si="254"/>
        <v>1.720575181885651</v>
      </c>
      <c r="P150" s="75">
        <f t="shared" si="254"/>
        <v>2.0500585425350097</v>
      </c>
      <c r="Q150" s="75">
        <f t="shared" si="254"/>
        <v>2.374793510966708</v>
      </c>
      <c r="R150" s="75">
        <f t="shared" si="254"/>
        <v>2.7063536317632595</v>
      </c>
      <c r="S150" s="75">
        <f t="shared" si="254"/>
        <v>3.2496070885896446</v>
      </c>
      <c r="T150" s="75">
        <f t="shared" si="254"/>
        <v>1.2533378945965543</v>
      </c>
      <c r="U150" s="75">
        <f t="shared" si="254"/>
        <v>2.7101153636363491</v>
      </c>
      <c r="V150" s="75">
        <f t="shared" si="254"/>
        <v>2.9299836294692803</v>
      </c>
      <c r="W150" s="75">
        <f>W142/W167</f>
        <v>2.5162967075597109</v>
      </c>
      <c r="X150" s="75">
        <f>X142/X167</f>
        <v>3.7616592437068901</v>
      </c>
      <c r="Y150" s="75">
        <f t="shared" si="254"/>
        <v>2.3465289479455036</v>
      </c>
      <c r="Z150" s="75">
        <f t="shared" ref="Z150:AH150" si="255">Z142/Z167</f>
        <v>3.1460797399254026</v>
      </c>
      <c r="AA150" s="149">
        <f t="shared" si="255"/>
        <v>5.0832147632861382</v>
      </c>
      <c r="AB150" s="75">
        <f>AB142/AB167</f>
        <v>5.4260839673972168</v>
      </c>
      <c r="AC150" s="75">
        <f>AC142/AC167</f>
        <v>8.391131463434558</v>
      </c>
      <c r="AD150" s="75">
        <f t="shared" si="255"/>
        <v>9.7786239835316557</v>
      </c>
      <c r="AE150" s="75">
        <f t="shared" si="255"/>
        <v>11.141507239240219</v>
      </c>
      <c r="AF150" s="75">
        <f t="shared" si="255"/>
        <v>13.270588773293747</v>
      </c>
      <c r="AG150" s="75">
        <f t="shared" si="255"/>
        <v>15.254173774594145</v>
      </c>
      <c r="AH150" s="75">
        <f t="shared" si="255"/>
        <v>17.341181233608019</v>
      </c>
      <c r="AI150" s="75">
        <f t="shared" ref="AI150:AL150" si="256">AI142/AI167</f>
        <v>19.074523165202901</v>
      </c>
      <c r="AJ150" s="75">
        <f t="shared" si="256"/>
        <v>20.545063565396156</v>
      </c>
      <c r="AK150" s="75">
        <f t="shared" si="256"/>
        <v>22.375201810120771</v>
      </c>
      <c r="AL150" s="75">
        <f t="shared" si="256"/>
        <v>24.487872190757713</v>
      </c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</row>
    <row r="151" spans="1:48" x14ac:dyDescent="0.2">
      <c r="A151" s="11"/>
      <c r="B151" s="11" t="s">
        <v>183</v>
      </c>
      <c r="C151" s="11"/>
      <c r="D151" s="11"/>
      <c r="E151" s="11"/>
      <c r="F151" s="11"/>
      <c r="G151" s="11"/>
      <c r="H151" s="11"/>
      <c r="I151" s="11"/>
      <c r="J151" s="75"/>
      <c r="K151" s="14">
        <f>(K150-J150)/J150%</f>
        <v>-22.327327083403969</v>
      </c>
      <c r="L151" s="14">
        <f t="shared" ref="L151:Y151" si="257">(L150-K150)/K150%</f>
        <v>15.884802736892093</v>
      </c>
      <c r="M151" s="14">
        <f t="shared" si="257"/>
        <v>8.3047218699664711</v>
      </c>
      <c r="N151" s="14">
        <f t="shared" si="257"/>
        <v>13.630401863367041</v>
      </c>
      <c r="O151" s="14">
        <f t="shared" si="257"/>
        <v>20.212442233044808</v>
      </c>
      <c r="P151" s="14">
        <f t="shared" si="257"/>
        <v>19.149605557384831</v>
      </c>
      <c r="Q151" s="14">
        <f t="shared" si="257"/>
        <v>15.840277811293412</v>
      </c>
      <c r="R151" s="14">
        <f t="shared" si="257"/>
        <v>13.961640002190475</v>
      </c>
      <c r="S151" s="14">
        <f t="shared" si="257"/>
        <v>20.073262061929483</v>
      </c>
      <c r="T151" s="14">
        <f t="shared" si="257"/>
        <v>-61.431094269907163</v>
      </c>
      <c r="U151" s="14">
        <f t="shared" si="257"/>
        <v>116.23182186705741</v>
      </c>
      <c r="V151" s="14">
        <f t="shared" si="257"/>
        <v>8.1128747795414409</v>
      </c>
      <c r="W151" s="14">
        <f>(W150-V150)/V150%</f>
        <v>-14.119086460032614</v>
      </c>
      <c r="X151" s="14">
        <f>(X150-W150)/W150%</f>
        <v>49.49187957070945</v>
      </c>
      <c r="Y151" s="14">
        <f t="shared" si="257"/>
        <v>-37.619842842725447</v>
      </c>
      <c r="Z151" s="14">
        <f t="shared" ref="Z151:AL151" si="258">(Z150-Y150)/Y150%</f>
        <v>34.073766389285048</v>
      </c>
      <c r="AA151" s="14">
        <f t="shared" si="258"/>
        <v>61.572979183504977</v>
      </c>
      <c r="AB151" s="14">
        <f t="shared" si="258"/>
        <v>6.7451252814945875</v>
      </c>
      <c r="AC151" s="14">
        <f t="shared" si="258"/>
        <v>54.64433491727948</v>
      </c>
      <c r="AD151" s="14">
        <f t="shared" si="258"/>
        <v>16.535225626523385</v>
      </c>
      <c r="AE151" s="14">
        <f t="shared" si="258"/>
        <v>13.937372558795779</v>
      </c>
      <c r="AF151" s="14">
        <f t="shared" si="258"/>
        <v>19.109456991195366</v>
      </c>
      <c r="AG151" s="14">
        <f t="shared" si="258"/>
        <v>14.947226797444298</v>
      </c>
      <c r="AH151" s="14">
        <f t="shared" si="258"/>
        <v>13.681550307823217</v>
      </c>
      <c r="AI151" s="14">
        <f t="shared" si="258"/>
        <v>9.9955239971518477</v>
      </c>
      <c r="AJ151" s="14">
        <f t="shared" si="258"/>
        <v>7.7094477668302526</v>
      </c>
      <c r="AK151" s="14">
        <f t="shared" si="258"/>
        <v>8.9079220363528062</v>
      </c>
      <c r="AL151" s="14">
        <f t="shared" si="258"/>
        <v>9.4420170980595906</v>
      </c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</row>
    <row r="152" spans="1:48" x14ac:dyDescent="0.2">
      <c r="A152" s="166"/>
      <c r="B152" s="166" t="s">
        <v>185</v>
      </c>
      <c r="C152" s="166"/>
      <c r="D152" s="166"/>
      <c r="E152" s="166"/>
      <c r="F152" s="166"/>
      <c r="G152" s="166"/>
      <c r="H152" s="166"/>
      <c r="I152" s="166"/>
      <c r="J152" s="174">
        <f t="shared" ref="J152:Y152" si="259">J147/J171</f>
        <v>1.2920745236447904</v>
      </c>
      <c r="K152" s="174">
        <f t="shared" si="259"/>
        <v>1.0035888185892843</v>
      </c>
      <c r="L152" s="174">
        <f t="shared" si="259"/>
        <v>1.1630069227116979</v>
      </c>
      <c r="M152" s="174">
        <f t="shared" si="259"/>
        <v>1.259297616370558</v>
      </c>
      <c r="N152" s="174">
        <f t="shared" si="259"/>
        <v>1.4307435032192879</v>
      </c>
      <c r="O152" s="174">
        <f t="shared" si="259"/>
        <v>1.6339957445785565</v>
      </c>
      <c r="P152" s="174">
        <f t="shared" si="259"/>
        <v>1.9370860297534767</v>
      </c>
      <c r="Q152" s="174">
        <f t="shared" si="259"/>
        <v>2.2561580603625928</v>
      </c>
      <c r="R152" s="174">
        <f t="shared" si="259"/>
        <v>2.5653038768526195</v>
      </c>
      <c r="S152" s="174">
        <f t="shared" si="259"/>
        <v>3.070314375770189</v>
      </c>
      <c r="T152" s="174">
        <f t="shared" si="259"/>
        <v>1.2248498551457088</v>
      </c>
      <c r="U152" s="174">
        <f t="shared" si="259"/>
        <v>2.7093415451643854</v>
      </c>
      <c r="V152" s="174">
        <f t="shared" si="259"/>
        <v>2.9299930685827924</v>
      </c>
      <c r="W152" s="174">
        <f>W147/W171</f>
        <v>2.5163048139566251</v>
      </c>
      <c r="X152" s="174">
        <f>X147/X171</f>
        <v>3.7616713621120028</v>
      </c>
      <c r="Y152" s="174">
        <f t="shared" si="259"/>
        <v>2.3465289479455036</v>
      </c>
      <c r="Z152" s="174">
        <f t="shared" ref="Z152:AH152" si="260">Z147/Z171</f>
        <v>3.1460797399254026</v>
      </c>
      <c r="AA152" s="174">
        <f t="shared" si="260"/>
        <v>4.9944964491051218</v>
      </c>
      <c r="AB152" s="174">
        <f t="shared" si="260"/>
        <v>5.3820545764182892</v>
      </c>
      <c r="AC152" s="174">
        <f t="shared" si="260"/>
        <v>8.3420313942222286</v>
      </c>
      <c r="AD152" s="174">
        <f t="shared" si="260"/>
        <v>9.7439165752978525</v>
      </c>
      <c r="AE152" s="174">
        <f t="shared" si="260"/>
        <v>11.134205781912486</v>
      </c>
      <c r="AF152" s="174">
        <f t="shared" si="260"/>
        <v>13.258326902370175</v>
      </c>
      <c r="AG152" s="174">
        <f t="shared" si="260"/>
        <v>15.235994348018822</v>
      </c>
      <c r="AH152" s="174">
        <f t="shared" si="260"/>
        <v>17.315972512167843</v>
      </c>
      <c r="AI152" s="174">
        <f t="shared" ref="AI152:AL152" si="261">AI147/AI171</f>
        <v>19.041801248660608</v>
      </c>
      <c r="AJ152" s="174">
        <f t="shared" si="261"/>
        <v>20.504443370323219</v>
      </c>
      <c r="AK152" s="174">
        <f t="shared" si="261"/>
        <v>22.325111814150478</v>
      </c>
      <c r="AL152" s="174">
        <f t="shared" si="261"/>
        <v>24.42665216952361</v>
      </c>
      <c r="AM152" s="166"/>
      <c r="AN152" s="166"/>
      <c r="AO152" s="174"/>
      <c r="AP152" s="166"/>
      <c r="AQ152" s="166"/>
      <c r="AR152" s="166"/>
      <c r="AS152" s="166"/>
      <c r="AT152" s="166"/>
      <c r="AU152" s="166"/>
      <c r="AV152" s="166"/>
    </row>
    <row r="153" spans="1:48" x14ac:dyDescent="0.2">
      <c r="A153" s="11"/>
      <c r="B153" s="11" t="s">
        <v>183</v>
      </c>
      <c r="C153" s="11"/>
      <c r="D153" s="11"/>
      <c r="E153" s="11"/>
      <c r="F153" s="11"/>
      <c r="G153" s="11"/>
      <c r="H153" s="11"/>
      <c r="I153" s="11"/>
      <c r="J153" s="75"/>
      <c r="K153" s="14">
        <f t="shared" ref="K153:Y153" si="262">(K152-J152)/J152%</f>
        <v>-22.327327083403969</v>
      </c>
      <c r="L153" s="14">
        <f t="shared" si="262"/>
        <v>15.884802736892093</v>
      </c>
      <c r="M153" s="14">
        <f t="shared" si="262"/>
        <v>8.2794600598202948</v>
      </c>
      <c r="N153" s="14">
        <f t="shared" si="262"/>
        <v>13.614405730621234</v>
      </c>
      <c r="O153" s="14">
        <f t="shared" si="262"/>
        <v>14.206057263369338</v>
      </c>
      <c r="P153" s="14">
        <f t="shared" si="262"/>
        <v>18.5490253680614</v>
      </c>
      <c r="Q153" s="14">
        <f t="shared" si="262"/>
        <v>16.471753226660915</v>
      </c>
      <c r="R153" s="14">
        <f t="shared" si="262"/>
        <v>13.702311993174055</v>
      </c>
      <c r="S153" s="14">
        <f t="shared" si="262"/>
        <v>19.68618624383668</v>
      </c>
      <c r="T153" s="14">
        <f t="shared" si="262"/>
        <v>-60.1066957568977</v>
      </c>
      <c r="U153" s="14">
        <f t="shared" si="262"/>
        <v>121.19784998807717</v>
      </c>
      <c r="V153" s="14">
        <f t="shared" si="262"/>
        <v>8.1441014261278486</v>
      </c>
      <c r="W153" s="14">
        <f>(W152-V152)/V152%</f>
        <v>-14.119086460032619</v>
      </c>
      <c r="X153" s="14">
        <f>(X152-W152)/W152%</f>
        <v>49.491879570709465</v>
      </c>
      <c r="Y153" s="14">
        <f t="shared" si="262"/>
        <v>-37.620043803400279</v>
      </c>
      <c r="Z153" s="14">
        <f t="shared" ref="Z153:AL153" si="263">(Z152-Y152)/Y152%</f>
        <v>34.073766389285048</v>
      </c>
      <c r="AA153" s="14">
        <f t="shared" si="263"/>
        <v>58.753015243775977</v>
      </c>
      <c r="AB153" s="14">
        <f t="shared" si="263"/>
        <v>7.7597037311460566</v>
      </c>
      <c r="AC153" s="14">
        <f t="shared" si="263"/>
        <v>54.997153517788711</v>
      </c>
      <c r="AD153" s="14">
        <f t="shared" si="263"/>
        <v>16.805081578170313</v>
      </c>
      <c r="AE153" s="14">
        <f t="shared" si="263"/>
        <v>14.268279042322728</v>
      </c>
      <c r="AF153" s="14">
        <f t="shared" si="263"/>
        <v>19.077437242163452</v>
      </c>
      <c r="AG153" s="14">
        <f t="shared" si="263"/>
        <v>14.916417887502092</v>
      </c>
      <c r="AH153" s="14">
        <f t="shared" si="263"/>
        <v>13.651738879907667</v>
      </c>
      <c r="AI153" s="14">
        <f t="shared" si="263"/>
        <v>9.9666867412733211</v>
      </c>
      <c r="AJ153" s="14">
        <f t="shared" si="263"/>
        <v>7.6812172470579316</v>
      </c>
      <c r="AK153" s="14">
        <f t="shared" si="263"/>
        <v>8.87938487743771</v>
      </c>
      <c r="AL153" s="14">
        <f t="shared" si="263"/>
        <v>9.4133475024348954</v>
      </c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</row>
    <row r="154" spans="1:48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151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O154" s="2"/>
      <c r="AP154" s="2"/>
      <c r="AQ154" s="176"/>
      <c r="AR154" s="6"/>
      <c r="AS154" s="2"/>
      <c r="AT154" s="2"/>
      <c r="AU154" s="2"/>
      <c r="AV154" s="2"/>
    </row>
    <row r="155" spans="1:48" x14ac:dyDescent="0.2">
      <c r="A155" s="2"/>
      <c r="B155" s="2" t="s">
        <v>186</v>
      </c>
      <c r="C155" s="2"/>
      <c r="D155" s="2"/>
      <c r="E155" s="2"/>
      <c r="F155" s="2"/>
      <c r="G155" s="2"/>
      <c r="H155" s="2"/>
      <c r="I155" s="2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2"/>
      <c r="V155" s="75"/>
      <c r="W155" s="10"/>
      <c r="X155" s="6"/>
      <c r="Y155" s="6"/>
      <c r="Z155" s="151"/>
      <c r="AA155" s="151"/>
      <c r="AB155" s="6"/>
      <c r="AC155" s="10"/>
      <c r="AD155" s="6"/>
      <c r="AE155" s="6"/>
      <c r="AF155" s="6"/>
      <c r="AG155" s="6"/>
      <c r="AH155" s="6"/>
      <c r="AI155" s="6"/>
      <c r="AJ155" s="6"/>
      <c r="AK155" s="6"/>
      <c r="AL155" s="6"/>
      <c r="AO155" s="2"/>
      <c r="AP155" s="2"/>
      <c r="AQ155" s="2"/>
      <c r="AR155" s="6"/>
      <c r="AS155" s="2"/>
      <c r="AT155" s="2"/>
      <c r="AU155" s="2"/>
      <c r="AV155" s="2"/>
    </row>
    <row r="156" spans="1:48" x14ac:dyDescent="0.2">
      <c r="A156" s="2"/>
      <c r="B156" s="2" t="s">
        <v>85</v>
      </c>
      <c r="C156" s="2"/>
      <c r="D156" s="2"/>
      <c r="E156" s="2"/>
      <c r="F156" s="2"/>
      <c r="G156" s="2"/>
      <c r="H156" s="2"/>
      <c r="I156" s="2"/>
      <c r="J156" s="75">
        <f t="shared" ref="J156:V156" si="264">J140/J167</f>
        <v>1.2281087648734696</v>
      </c>
      <c r="K156" s="75">
        <f t="shared" si="264"/>
        <v>1.0001444347419608</v>
      </c>
      <c r="L156" s="75">
        <f t="shared" si="264"/>
        <v>1.1395846012719053</v>
      </c>
      <c r="M156" s="75">
        <f t="shared" si="264"/>
        <v>1.2595914129713603</v>
      </c>
      <c r="N156" s="75">
        <f t="shared" si="264"/>
        <v>1.4312787843958199</v>
      </c>
      <c r="O156" s="75">
        <f t="shared" si="264"/>
        <v>1.782766361822544</v>
      </c>
      <c r="P156" s="75">
        <f t="shared" si="264"/>
        <v>2.2851669122324987</v>
      </c>
      <c r="Q156" s="75">
        <f t="shared" si="264"/>
        <v>2.374793510966708</v>
      </c>
      <c r="R156" s="75">
        <f t="shared" si="264"/>
        <v>2.7063536317632595</v>
      </c>
      <c r="S156" s="75">
        <f t="shared" si="264"/>
        <v>3.2496070885896446</v>
      </c>
      <c r="T156" s="75">
        <f t="shared" si="264"/>
        <v>1.4633945249758653</v>
      </c>
      <c r="U156" s="75">
        <f>U140/U167</f>
        <v>2.7101153636363491</v>
      </c>
      <c r="V156" s="75">
        <f t="shared" si="264"/>
        <v>2.9299836294692803</v>
      </c>
      <c r="W156" s="75">
        <f t="shared" ref="W156:AH156" si="265">W140/W167</f>
        <v>3.7829864654926841</v>
      </c>
      <c r="X156" s="75">
        <f t="shared" si="265"/>
        <v>3.9289503155362944</v>
      </c>
      <c r="Y156" s="75">
        <f t="shared" si="265"/>
        <v>3.0458415145918472</v>
      </c>
      <c r="Z156" s="75">
        <f t="shared" si="265"/>
        <v>3.545527113046826</v>
      </c>
      <c r="AA156" s="75">
        <f t="shared" si="265"/>
        <v>5.3950172386718585</v>
      </c>
      <c r="AB156" s="75">
        <f t="shared" si="265"/>
        <v>6.6810763108816245</v>
      </c>
      <c r="AC156" s="75">
        <f t="shared" si="265"/>
        <v>8.391131463434558</v>
      </c>
      <c r="AD156" s="75">
        <f t="shared" si="265"/>
        <v>9.7786239835316557</v>
      </c>
      <c r="AE156" s="75">
        <f t="shared" si="265"/>
        <v>11.141507239240219</v>
      </c>
      <c r="AF156" s="75">
        <f t="shared" si="265"/>
        <v>13.270588773293747</v>
      </c>
      <c r="AG156" s="75">
        <f t="shared" si="265"/>
        <v>15.254173774594145</v>
      </c>
      <c r="AH156" s="75">
        <f t="shared" si="265"/>
        <v>17.341181233608019</v>
      </c>
      <c r="AI156" s="75">
        <f t="shared" ref="AI156:AL156" si="266">AI140/AI167</f>
        <v>19.074523165202901</v>
      </c>
      <c r="AJ156" s="75">
        <f t="shared" si="266"/>
        <v>20.545063565396156</v>
      </c>
      <c r="AK156" s="75">
        <f t="shared" si="266"/>
        <v>22.375201810120771</v>
      </c>
      <c r="AL156" s="75">
        <f t="shared" si="266"/>
        <v>24.487872190757713</v>
      </c>
      <c r="AO156" s="2"/>
      <c r="AP156" s="2"/>
      <c r="AQ156" s="2"/>
      <c r="AR156" s="6"/>
      <c r="AS156" s="2"/>
      <c r="AT156" s="2"/>
      <c r="AU156" s="2"/>
      <c r="AV156" s="2"/>
    </row>
    <row r="157" spans="1:48" x14ac:dyDescent="0.2">
      <c r="A157" s="2"/>
      <c r="B157" s="2" t="s">
        <v>183</v>
      </c>
      <c r="C157" s="2"/>
      <c r="D157" s="2"/>
      <c r="E157" s="2"/>
      <c r="F157" s="2"/>
      <c r="G157" s="2"/>
      <c r="H157" s="2"/>
      <c r="I157" s="2"/>
      <c r="J157" s="75"/>
      <c r="K157" s="14">
        <f t="shared" ref="K157:Y157" si="267">(K156-J156)/J156%</f>
        <v>-18.562226461676275</v>
      </c>
      <c r="L157" s="14">
        <f t="shared" si="267"/>
        <v>13.942002943396904</v>
      </c>
      <c r="M157" s="14">
        <f t="shared" si="267"/>
        <v>10.530750552921992</v>
      </c>
      <c r="N157" s="14">
        <f t="shared" si="267"/>
        <v>13.630401863367041</v>
      </c>
      <c r="O157" s="14">
        <f t="shared" si="267"/>
        <v>24.557590125608979</v>
      </c>
      <c r="P157" s="14">
        <f t="shared" si="267"/>
        <v>28.180952993545628</v>
      </c>
      <c r="Q157" s="14">
        <f t="shared" si="267"/>
        <v>3.9221029437472645</v>
      </c>
      <c r="R157" s="14">
        <f t="shared" si="267"/>
        <v>13.961640002190475</v>
      </c>
      <c r="S157" s="14">
        <f t="shared" si="267"/>
        <v>20.073262061929483</v>
      </c>
      <c r="T157" s="14">
        <f t="shared" si="267"/>
        <v>-54.967031857042436</v>
      </c>
      <c r="U157" s="14">
        <f t="shared" si="267"/>
        <v>85.193761311977369</v>
      </c>
      <c r="V157" s="14">
        <f t="shared" si="267"/>
        <v>8.1128747795414409</v>
      </c>
      <c r="W157" s="14">
        <f>(W156-V156)/V156%</f>
        <v>29.112887438825439</v>
      </c>
      <c r="X157" s="14">
        <f>(X156-W156)/W156%</f>
        <v>3.8584290844033027</v>
      </c>
      <c r="Y157" s="14">
        <f t="shared" si="267"/>
        <v>-22.476965347521951</v>
      </c>
      <c r="Z157" s="14">
        <f t="shared" ref="Z157:AL157" si="268">(Z156-Y156)/Y156%</f>
        <v>16.405502258115305</v>
      </c>
      <c r="AA157" s="14">
        <f t="shared" si="268"/>
        <v>52.164038425183136</v>
      </c>
      <c r="AB157" s="14">
        <f t="shared" si="268"/>
        <v>23.83790477982545</v>
      </c>
      <c r="AC157" s="14">
        <f t="shared" si="268"/>
        <v>25.595503972432208</v>
      </c>
      <c r="AD157" s="14">
        <f t="shared" si="268"/>
        <v>16.535225626523385</v>
      </c>
      <c r="AE157" s="14">
        <f t="shared" si="268"/>
        <v>13.937372558795779</v>
      </c>
      <c r="AF157" s="14">
        <f t="shared" si="268"/>
        <v>19.109456991195366</v>
      </c>
      <c r="AG157" s="14">
        <f t="shared" si="268"/>
        <v>14.947226797444298</v>
      </c>
      <c r="AH157" s="14">
        <f t="shared" si="268"/>
        <v>13.681550307823217</v>
      </c>
      <c r="AI157" s="14">
        <f t="shared" si="268"/>
        <v>9.9955239971518477</v>
      </c>
      <c r="AJ157" s="14">
        <f t="shared" si="268"/>
        <v>7.7094477668302526</v>
      </c>
      <c r="AK157" s="14">
        <f t="shared" si="268"/>
        <v>8.9079220363528062</v>
      </c>
      <c r="AL157" s="14">
        <f t="shared" si="268"/>
        <v>9.4420170980595906</v>
      </c>
      <c r="AO157" s="2"/>
      <c r="AP157" s="2"/>
      <c r="AQ157" s="2"/>
      <c r="AR157" s="6"/>
      <c r="AS157" s="2"/>
      <c r="AT157" s="2"/>
      <c r="AU157" s="2"/>
      <c r="AV157" s="2"/>
    </row>
    <row r="158" spans="1:48" x14ac:dyDescent="0.2">
      <c r="A158" s="166"/>
      <c r="B158" s="166" t="s">
        <v>241</v>
      </c>
      <c r="C158" s="166"/>
      <c r="D158" s="166"/>
      <c r="E158" s="166"/>
      <c r="F158" s="166"/>
      <c r="G158" s="166"/>
      <c r="H158" s="166"/>
      <c r="I158" s="166"/>
      <c r="J158" s="174">
        <f t="shared" ref="J158:Y158" si="269">J145/J171</f>
        <v>1.2281087648734696</v>
      </c>
      <c r="K158" s="174">
        <f t="shared" si="269"/>
        <v>1.0001444347419608</v>
      </c>
      <c r="L158" s="174">
        <f t="shared" si="269"/>
        <v>1.1395846012719053</v>
      </c>
      <c r="M158" s="174">
        <f t="shared" si="269"/>
        <v>1.259297616370558</v>
      </c>
      <c r="N158" s="174">
        <f t="shared" si="269"/>
        <v>1.4307435032192879</v>
      </c>
      <c r="O158" s="174">
        <f t="shared" si="269"/>
        <v>1.6911537349414656</v>
      </c>
      <c r="P158" s="174">
        <f>P145/P171</f>
        <v>2.1530400651361346</v>
      </c>
      <c r="Q158" s="174">
        <f t="shared" si="269"/>
        <v>2.2561580603625928</v>
      </c>
      <c r="R158" s="174">
        <f t="shared" si="269"/>
        <v>2.5653038768526195</v>
      </c>
      <c r="S158" s="174">
        <f t="shared" si="269"/>
        <v>3.070314375770189</v>
      </c>
      <c r="T158" s="174">
        <f t="shared" si="269"/>
        <v>1.4210238743121808</v>
      </c>
      <c r="U158" s="174">
        <f t="shared" si="269"/>
        <v>2.7093415451643854</v>
      </c>
      <c r="V158" s="174">
        <f t="shared" si="269"/>
        <v>2.9299930685827924</v>
      </c>
      <c r="W158" s="174">
        <f>W145/W171</f>
        <v>3.7829986526046886</v>
      </c>
      <c r="X158" s="174">
        <f>X145/X171</f>
        <v>3.9289629728793725</v>
      </c>
      <c r="Y158" s="174">
        <f t="shared" si="269"/>
        <v>3.0458415145918472</v>
      </c>
      <c r="Z158" s="174">
        <f t="shared" ref="Z158:AH158" si="270">Z145/Z171</f>
        <v>3.545527113046826</v>
      </c>
      <c r="AA158" s="174">
        <f t="shared" si="270"/>
        <v>5.2972863410592606</v>
      </c>
      <c r="AB158" s="174">
        <f t="shared" si="270"/>
        <v>6.6256856856820585</v>
      </c>
      <c r="AC158" s="174">
        <f t="shared" si="270"/>
        <v>8.3420313942222286</v>
      </c>
      <c r="AD158" s="174">
        <f t="shared" si="270"/>
        <v>9.7439165752978525</v>
      </c>
      <c r="AE158" s="174">
        <f t="shared" si="270"/>
        <v>11.134205781912486</v>
      </c>
      <c r="AF158" s="174">
        <f t="shared" si="270"/>
        <v>13.258326902370175</v>
      </c>
      <c r="AG158" s="174">
        <f t="shared" si="270"/>
        <v>15.235994348018822</v>
      </c>
      <c r="AH158" s="174">
        <f t="shared" si="270"/>
        <v>17.315972512167843</v>
      </c>
      <c r="AI158" s="174">
        <f t="shared" ref="AI158:AL158" si="271">AI145/AI171</f>
        <v>19.041801248660608</v>
      </c>
      <c r="AJ158" s="174">
        <f t="shared" si="271"/>
        <v>20.504443370323219</v>
      </c>
      <c r="AK158" s="174">
        <f t="shared" si="271"/>
        <v>22.325111814150478</v>
      </c>
      <c r="AL158" s="174">
        <f t="shared" si="271"/>
        <v>24.42665216952361</v>
      </c>
      <c r="AM158" s="166"/>
      <c r="AN158" s="166"/>
      <c r="AO158" s="174"/>
      <c r="AP158" s="166"/>
      <c r="AQ158" s="166"/>
      <c r="AR158" s="166"/>
      <c r="AS158" s="166"/>
      <c r="AT158" s="166"/>
      <c r="AU158" s="166"/>
      <c r="AV158" s="166"/>
    </row>
    <row r="159" spans="1:48" x14ac:dyDescent="0.2">
      <c r="A159" s="31"/>
      <c r="B159" s="31" t="s">
        <v>183</v>
      </c>
      <c r="C159" s="31"/>
      <c r="D159" s="31"/>
      <c r="E159" s="31"/>
      <c r="F159" s="31"/>
      <c r="G159" s="31"/>
      <c r="H159" s="31"/>
      <c r="I159" s="31"/>
      <c r="J159" s="184"/>
      <c r="K159" s="178">
        <f t="shared" ref="K159:Y159" si="272">(K158-J158)/J158%</f>
        <v>-18.562226461676275</v>
      </c>
      <c r="L159" s="178">
        <f t="shared" si="272"/>
        <v>13.942002943396904</v>
      </c>
      <c r="M159" s="178">
        <f t="shared" si="272"/>
        <v>10.504969527057444</v>
      </c>
      <c r="N159" s="178">
        <f t="shared" si="272"/>
        <v>13.614405730621234</v>
      </c>
      <c r="O159" s="178">
        <f t="shared" si="272"/>
        <v>18.20104240461227</v>
      </c>
      <c r="P159" s="178">
        <f t="shared" si="272"/>
        <v>27.311906697273496</v>
      </c>
      <c r="Q159" s="178">
        <f t="shared" si="272"/>
        <v>4.7894136712192683</v>
      </c>
      <c r="R159" s="178">
        <f t="shared" si="272"/>
        <v>13.702311993174055</v>
      </c>
      <c r="S159" s="178">
        <f t="shared" si="272"/>
        <v>19.68618624383668</v>
      </c>
      <c r="T159" s="178">
        <f t="shared" si="272"/>
        <v>-53.717316847864588</v>
      </c>
      <c r="U159" s="178">
        <f t="shared" si="272"/>
        <v>90.6612263270939</v>
      </c>
      <c r="V159" s="178">
        <f t="shared" si="272"/>
        <v>8.1441014261278486</v>
      </c>
      <c r="W159" s="178">
        <f>(W158-V158)/V158%</f>
        <v>29.112887438825453</v>
      </c>
      <c r="X159" s="178">
        <f>(X158-W158)/W158%</f>
        <v>3.8584290844032898</v>
      </c>
      <c r="Y159" s="178">
        <f t="shared" si="272"/>
        <v>-22.477215091704529</v>
      </c>
      <c r="Z159" s="178">
        <f t="shared" ref="Z159:AL159" si="273">(Z158-Y158)/Y158%</f>
        <v>16.405502258115305</v>
      </c>
      <c r="AA159" s="178">
        <f t="shared" si="273"/>
        <v>49.407582346960858</v>
      </c>
      <c r="AB159" s="178">
        <f t="shared" si="273"/>
        <v>25.076978269541069</v>
      </c>
      <c r="AC159" s="178">
        <f t="shared" si="273"/>
        <v>25.904423933799791</v>
      </c>
      <c r="AD159" s="178">
        <f t="shared" si="273"/>
        <v>16.805081578170313</v>
      </c>
      <c r="AE159" s="178">
        <f t="shared" si="273"/>
        <v>14.268279042322728</v>
      </c>
      <c r="AF159" s="178">
        <f t="shared" si="273"/>
        <v>19.077437242163452</v>
      </c>
      <c r="AG159" s="178">
        <f t="shared" si="273"/>
        <v>14.916417887502092</v>
      </c>
      <c r="AH159" s="178">
        <f t="shared" si="273"/>
        <v>13.651738879907667</v>
      </c>
      <c r="AI159" s="178">
        <f t="shared" si="273"/>
        <v>9.9666867412733211</v>
      </c>
      <c r="AJ159" s="178">
        <f t="shared" si="273"/>
        <v>7.6812172470579316</v>
      </c>
      <c r="AK159" s="178">
        <f t="shared" si="273"/>
        <v>8.87938487743771</v>
      </c>
      <c r="AL159" s="178">
        <f t="shared" si="273"/>
        <v>9.4133475024348954</v>
      </c>
      <c r="AM159" s="185"/>
      <c r="AN159" s="185"/>
      <c r="AO159" s="31"/>
      <c r="AP159" s="31"/>
      <c r="AQ159" s="31"/>
      <c r="AR159" s="37"/>
      <c r="AS159" s="31"/>
      <c r="AT159" s="31"/>
      <c r="AU159" s="31"/>
      <c r="AV159" s="31"/>
    </row>
    <row r="160" spans="1:48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168"/>
      <c r="X160" s="168"/>
      <c r="Y160" s="14"/>
      <c r="Z160" s="168"/>
      <c r="AA160" s="168"/>
      <c r="AB160" s="168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O160" s="2"/>
      <c r="AP160" s="2"/>
      <c r="AQ160" s="2"/>
      <c r="AR160" s="6"/>
      <c r="AS160" s="2"/>
      <c r="AT160" s="2"/>
      <c r="AU160" s="2"/>
      <c r="AV160" s="2"/>
    </row>
    <row r="161" spans="1:48" x14ac:dyDescent="0.2">
      <c r="A161" s="2"/>
      <c r="B161" s="2" t="s">
        <v>337</v>
      </c>
      <c r="C161" s="2"/>
      <c r="D161" s="2"/>
      <c r="E161" s="2"/>
      <c r="F161" s="2"/>
      <c r="G161" s="2">
        <v>5.7969999999999997</v>
      </c>
      <c r="H161" s="10">
        <v>-25.396000000000001</v>
      </c>
      <c r="I161" s="14">
        <v>-38.258000000000003</v>
      </c>
      <c r="J161" s="14">
        <v>-38.258000000000003</v>
      </c>
      <c r="K161" s="14">
        <v>-41.735999999999997</v>
      </c>
      <c r="L161" s="14">
        <v>-41.720999999999997</v>
      </c>
      <c r="M161" s="14">
        <v>-41.720999999999997</v>
      </c>
      <c r="N161" s="14">
        <v>-45.423000000000002</v>
      </c>
      <c r="O161" s="14">
        <v>-45.454000000000001</v>
      </c>
      <c r="P161" s="14">
        <v>-60</v>
      </c>
      <c r="Q161" s="14">
        <v>-66</v>
      </c>
      <c r="R161" s="14">
        <v>-85</v>
      </c>
      <c r="S161" s="6">
        <v>-99</v>
      </c>
      <c r="T161" s="6">
        <f>-T162*T167</f>
        <v>-68.417304200000004</v>
      </c>
      <c r="U161" s="14">
        <f>-U162*U167</f>
        <v>-167.37294880000002</v>
      </c>
      <c r="V161" s="14">
        <f t="shared" ref="V161:Z161" si="274">-V162*V167</f>
        <v>-209.21618599999999</v>
      </c>
      <c r="W161" s="14">
        <f t="shared" si="274"/>
        <v>-282.44185110000001</v>
      </c>
      <c r="X161" s="14">
        <f>-X162*X167</f>
        <v>-313.82427899999999</v>
      </c>
      <c r="Y161" s="14">
        <f t="shared" si="274"/>
        <v>-313.16468550000002</v>
      </c>
      <c r="Z161" s="14">
        <f t="shared" si="274"/>
        <v>-322.45826880000004</v>
      </c>
      <c r="AA161" s="14">
        <f t="shared" ref="AA161:AH161" si="275">-AA162*AA167</f>
        <v>-400.376552</v>
      </c>
      <c r="AB161" s="14">
        <f t="shared" si="275"/>
        <v>-526.21834980000006</v>
      </c>
      <c r="AC161" s="14">
        <f t="shared" si="275"/>
        <v>-658.47899942911306</v>
      </c>
      <c r="AD161" s="14">
        <f t="shared" si="275"/>
        <v>-760.6441025370367</v>
      </c>
      <c r="AE161" s="14">
        <f t="shared" si="275"/>
        <v>-864.26142981210694</v>
      </c>
      <c r="AF161" s="14">
        <f t="shared" si="275"/>
        <v>-1016.8976726625098</v>
      </c>
      <c r="AG161" s="14">
        <f t="shared" si="275"/>
        <v>-1161.7003091052918</v>
      </c>
      <c r="AH161" s="14">
        <f t="shared" si="275"/>
        <v>-1320.6389213216701</v>
      </c>
      <c r="AI161" s="14">
        <f t="shared" ref="AI161:AL161" si="276">-AI162*AI167</f>
        <v>-1452.6437016181048</v>
      </c>
      <c r="AJ161" s="14">
        <f t="shared" si="276"/>
        <v>-1564.6345090325021</v>
      </c>
      <c r="AK161" s="14">
        <f t="shared" si="276"/>
        <v>-1704.010931250989</v>
      </c>
      <c r="AL161" s="14">
        <f t="shared" si="276"/>
        <v>-1864.9039347325117</v>
      </c>
      <c r="AO161" s="2"/>
      <c r="AP161" s="2"/>
      <c r="AQ161" s="2"/>
      <c r="AR161" s="6"/>
      <c r="AS161" s="2"/>
      <c r="AT161" s="2"/>
      <c r="AU161" s="2"/>
      <c r="AV161" s="2"/>
    </row>
    <row r="162" spans="1:48" x14ac:dyDescent="0.2">
      <c r="A162" s="2"/>
      <c r="B162" s="2" t="s">
        <v>93</v>
      </c>
      <c r="C162" s="2"/>
      <c r="D162" s="2"/>
      <c r="E162" s="2"/>
      <c r="F162" s="10">
        <f>0.13/4</f>
        <v>3.2500000000000001E-2</v>
      </c>
      <c r="G162" s="2">
        <f>0.56/4</f>
        <v>0.14000000000000001</v>
      </c>
      <c r="H162" s="2">
        <f>0.84/4</f>
        <v>0.21</v>
      </c>
      <c r="I162" s="2">
        <f>0.84/4</f>
        <v>0.21</v>
      </c>
      <c r="J162" s="10">
        <v>0.23</v>
      </c>
      <c r="K162" s="10">
        <v>0.23</v>
      </c>
      <c r="L162" s="10">
        <v>0.23</v>
      </c>
      <c r="M162" s="10">
        <v>0.25</v>
      </c>
      <c r="N162" s="10">
        <v>0.25</v>
      </c>
      <c r="O162" s="10">
        <v>0.25</v>
      </c>
      <c r="P162" s="10">
        <f>1.3/4</f>
        <v>0.32500000000000001</v>
      </c>
      <c r="Q162" s="10">
        <v>0.32500000000000001</v>
      </c>
      <c r="R162" s="75">
        <v>0.5</v>
      </c>
      <c r="S162" s="75">
        <v>0.5</v>
      </c>
      <c r="T162" s="75">
        <v>0.35</v>
      </c>
      <c r="U162" s="75">
        <v>0.8</v>
      </c>
      <c r="V162" s="75">
        <v>1</v>
      </c>
      <c r="W162" s="75">
        <v>1.35</v>
      </c>
      <c r="X162" s="75">
        <v>1.5</v>
      </c>
      <c r="Y162" s="75">
        <v>1.5</v>
      </c>
      <c r="Z162" s="75">
        <v>1.6</v>
      </c>
      <c r="AA162" s="240">
        <v>2</v>
      </c>
      <c r="AB162" s="240">
        <v>2.6</v>
      </c>
      <c r="AC162" s="75">
        <f t="shared" ref="AC162:AH162" si="277">AC150*(AC163/100)</f>
        <v>3.3564525853738232</v>
      </c>
      <c r="AD162" s="75">
        <f t="shared" si="277"/>
        <v>3.9114495934126623</v>
      </c>
      <c r="AE162" s="75">
        <f t="shared" si="277"/>
        <v>4.4566028956960881</v>
      </c>
      <c r="AF162" s="75">
        <f t="shared" si="277"/>
        <v>5.3082355093174991</v>
      </c>
      <c r="AG162" s="75">
        <f t="shared" si="277"/>
        <v>6.1016695098376585</v>
      </c>
      <c r="AH162" s="75">
        <f t="shared" si="277"/>
        <v>6.9364724934432083</v>
      </c>
      <c r="AI162" s="75">
        <f t="shared" ref="AI162:AL162" si="278">AI150*(AI163/100)</f>
        <v>7.6298092660811605</v>
      </c>
      <c r="AJ162" s="75">
        <f t="shared" si="278"/>
        <v>8.2180254261584622</v>
      </c>
      <c r="AK162" s="75">
        <f t="shared" si="278"/>
        <v>8.9500807240483091</v>
      </c>
      <c r="AL162" s="75">
        <f t="shared" si="278"/>
        <v>9.7951488763030863</v>
      </c>
      <c r="AO162" s="11"/>
      <c r="AP162" s="2"/>
      <c r="AQ162" s="2"/>
      <c r="AR162" s="6"/>
      <c r="AS162" s="2"/>
      <c r="AT162" s="2"/>
      <c r="AU162" s="2"/>
      <c r="AV162" s="2"/>
    </row>
    <row r="163" spans="1:48" x14ac:dyDescent="0.2">
      <c r="A163" s="2"/>
      <c r="B163" s="2" t="s">
        <v>338</v>
      </c>
      <c r="C163" s="2"/>
      <c r="D163" s="2"/>
      <c r="E163" s="2"/>
      <c r="F163" s="14"/>
      <c r="G163" s="14"/>
      <c r="H163" s="14"/>
      <c r="I163" s="14"/>
      <c r="J163" s="14">
        <f t="shared" ref="J163:T163" si="279">J162/J150%</f>
        <v>17.80083081827177</v>
      </c>
      <c r="K163" s="14">
        <f t="shared" si="279"/>
        <v>22.917752344361944</v>
      </c>
      <c r="L163" s="14">
        <f t="shared" si="279"/>
        <v>19.77632252297569</v>
      </c>
      <c r="M163" s="14">
        <f t="shared" si="279"/>
        <v>19.847705964448672</v>
      </c>
      <c r="N163" s="14">
        <f t="shared" si="279"/>
        <v>17.466897625086471</v>
      </c>
      <c r="O163" s="14">
        <f t="shared" si="279"/>
        <v>14.530024763347711</v>
      </c>
      <c r="P163" s="14">
        <f t="shared" si="279"/>
        <v>15.853205811289648</v>
      </c>
      <c r="Q163" s="14">
        <f t="shared" si="279"/>
        <v>13.685400372670808</v>
      </c>
      <c r="R163" s="14">
        <f t="shared" si="279"/>
        <v>18.475043103448275</v>
      </c>
      <c r="S163" s="14">
        <f t="shared" si="279"/>
        <v>15.386475545171338</v>
      </c>
      <c r="T163" s="14">
        <f t="shared" si="279"/>
        <v>27.925430285714285</v>
      </c>
      <c r="U163" s="14">
        <f t="shared" ref="U163:Y163" si="280">U162/U158%</f>
        <v>29.527469559082896</v>
      </c>
      <c r="V163" s="14">
        <f t="shared" si="280"/>
        <v>34.129773572593798</v>
      </c>
      <c r="W163" s="14">
        <f>W162/W158%</f>
        <v>35.685976231328858</v>
      </c>
      <c r="X163" s="14">
        <f t="shared" si="280"/>
        <v>38.178013138686126</v>
      </c>
      <c r="Y163" s="14">
        <f t="shared" si="280"/>
        <v>49.247473738009148</v>
      </c>
      <c r="Z163" s="14">
        <f>Z162/Z158%</f>
        <v>45.127281472825928</v>
      </c>
      <c r="AA163" s="14">
        <f>AA162/AA158%</f>
        <v>37.755180128701035</v>
      </c>
      <c r="AB163" s="14">
        <f>AB162/AB158%</f>
        <v>39.241221563204171</v>
      </c>
      <c r="AC163" s="24">
        <v>40</v>
      </c>
      <c r="AD163" s="24">
        <v>40</v>
      </c>
      <c r="AE163" s="24">
        <v>40</v>
      </c>
      <c r="AF163" s="24">
        <v>40</v>
      </c>
      <c r="AG163" s="24">
        <v>40</v>
      </c>
      <c r="AH163" s="24">
        <v>40</v>
      </c>
      <c r="AI163" s="24">
        <v>40</v>
      </c>
      <c r="AJ163" s="24">
        <v>40</v>
      </c>
      <c r="AK163" s="24">
        <v>40</v>
      </c>
      <c r="AL163" s="24">
        <v>40</v>
      </c>
      <c r="AO163" s="11"/>
      <c r="AP163" s="2"/>
      <c r="AQ163" s="2"/>
      <c r="AR163" s="6"/>
      <c r="AS163" s="2"/>
      <c r="AT163" s="2"/>
      <c r="AU163" s="2"/>
      <c r="AV163" s="2"/>
    </row>
    <row r="164" spans="1:48" x14ac:dyDescent="0.2">
      <c r="A164" s="2"/>
      <c r="B164" s="2" t="s">
        <v>306</v>
      </c>
      <c r="C164" s="2"/>
      <c r="D164" s="2"/>
      <c r="E164" s="2"/>
      <c r="F164" s="97" t="str">
        <f t="shared" ref="F164:N164" si="281">IF(ISERROR((F162-E162)/E162%),"na",(F162-E162)/E162%)</f>
        <v>na</v>
      </c>
      <c r="G164" s="97">
        <f t="shared" si="281"/>
        <v>330.76923076923083</v>
      </c>
      <c r="H164" s="97">
        <f t="shared" si="281"/>
        <v>49.999999999999979</v>
      </c>
      <c r="I164" s="97">
        <f t="shared" si="281"/>
        <v>0</v>
      </c>
      <c r="J164" s="97">
        <f t="shared" si="281"/>
        <v>9.5238095238095326</v>
      </c>
      <c r="K164" s="97">
        <f t="shared" si="281"/>
        <v>0</v>
      </c>
      <c r="L164" s="97">
        <f t="shared" si="281"/>
        <v>0</v>
      </c>
      <c r="M164" s="97">
        <f t="shared" si="281"/>
        <v>8.6956521739130395</v>
      </c>
      <c r="N164" s="97">
        <f t="shared" si="281"/>
        <v>0</v>
      </c>
      <c r="O164" s="97">
        <f t="shared" ref="O164:V164" si="282">(O162-N162)/N162%</f>
        <v>0</v>
      </c>
      <c r="P164" s="97">
        <f t="shared" si="282"/>
        <v>30.000000000000004</v>
      </c>
      <c r="Q164" s="97">
        <f t="shared" si="282"/>
        <v>0</v>
      </c>
      <c r="R164" s="97">
        <f t="shared" si="282"/>
        <v>53.84615384615384</v>
      </c>
      <c r="S164" s="97">
        <f t="shared" si="282"/>
        <v>0</v>
      </c>
      <c r="T164" s="97">
        <f t="shared" si="282"/>
        <v>-30.000000000000004</v>
      </c>
      <c r="U164" s="97">
        <f t="shared" si="282"/>
        <v>128.57142857142861</v>
      </c>
      <c r="V164" s="97">
        <f t="shared" si="282"/>
        <v>24.999999999999993</v>
      </c>
      <c r="W164" s="97">
        <f t="shared" ref="W164:Z164" si="283">(W162-V162)/V162%</f>
        <v>35.000000000000007</v>
      </c>
      <c r="X164" s="97">
        <f>(X162-W162)/W162%</f>
        <v>11.111111111111104</v>
      </c>
      <c r="Y164" s="97">
        <f t="shared" si="283"/>
        <v>0</v>
      </c>
      <c r="Z164" s="97">
        <f t="shared" si="283"/>
        <v>6.6666666666666732</v>
      </c>
      <c r="AA164" s="97">
        <f t="shared" ref="AA164:AL164" si="284">(AA162-Z162)/Z162%</f>
        <v>24.999999999999993</v>
      </c>
      <c r="AB164" s="97">
        <f t="shared" si="284"/>
        <v>30.000000000000004</v>
      </c>
      <c r="AC164" s="97">
        <f t="shared" si="284"/>
        <v>29.094330206685502</v>
      </c>
      <c r="AD164" s="97">
        <f t="shared" si="284"/>
        <v>16.535225626523385</v>
      </c>
      <c r="AE164" s="97">
        <f t="shared" si="284"/>
        <v>13.937372558795788</v>
      </c>
      <c r="AF164" s="97">
        <f t="shared" si="284"/>
        <v>19.109456991195362</v>
      </c>
      <c r="AG164" s="97">
        <f t="shared" si="284"/>
        <v>14.947226797444305</v>
      </c>
      <c r="AH164" s="97">
        <f t="shared" si="284"/>
        <v>13.681550307823219</v>
      </c>
      <c r="AI164" s="97">
        <f t="shared" si="284"/>
        <v>9.995523997151837</v>
      </c>
      <c r="AJ164" s="97">
        <f t="shared" si="284"/>
        <v>7.7094477668302517</v>
      </c>
      <c r="AK164" s="97">
        <f t="shared" si="284"/>
        <v>8.9079220363528133</v>
      </c>
      <c r="AL164" s="97">
        <f t="shared" si="284"/>
        <v>9.4420170980595923</v>
      </c>
      <c r="AO164" s="2"/>
      <c r="AP164" s="2"/>
      <c r="AQ164" s="2"/>
      <c r="AR164" s="2"/>
      <c r="AS164" s="2"/>
      <c r="AT164" s="2"/>
      <c r="AU164" s="2"/>
      <c r="AV164" s="2"/>
    </row>
    <row r="165" spans="1:48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11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">
      <c r="A166" s="2"/>
      <c r="B166" s="2" t="s">
        <v>339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92"/>
      <c r="S166" s="6"/>
      <c r="T166" s="6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O166" s="2"/>
      <c r="AP166" s="2"/>
      <c r="AQ166" s="2"/>
      <c r="AR166" s="28"/>
      <c r="AS166" s="2"/>
      <c r="AT166" s="2"/>
      <c r="AU166" s="2"/>
      <c r="AV166" s="2"/>
    </row>
    <row r="167" spans="1:48" x14ac:dyDescent="0.2">
      <c r="A167" s="2"/>
      <c r="B167" s="2" t="s">
        <v>340</v>
      </c>
      <c r="C167" s="2"/>
      <c r="D167" s="2"/>
      <c r="E167" s="2"/>
      <c r="F167" s="14">
        <f t="shared" ref="F167:L167" si="285">45.3492*4</f>
        <v>181.39680000000001</v>
      </c>
      <c r="G167" s="14">
        <f t="shared" si="285"/>
        <v>181.39680000000001</v>
      </c>
      <c r="H167" s="14">
        <f t="shared" si="285"/>
        <v>181.39680000000001</v>
      </c>
      <c r="I167" s="14">
        <f t="shared" si="285"/>
        <v>181.39680000000001</v>
      </c>
      <c r="J167" s="14">
        <f t="shared" si="285"/>
        <v>181.39680000000001</v>
      </c>
      <c r="K167" s="14">
        <f t="shared" si="285"/>
        <v>181.39680000000001</v>
      </c>
      <c r="L167" s="14">
        <f t="shared" si="285"/>
        <v>181.39680000000001</v>
      </c>
      <c r="M167" s="14">
        <f>45.3661*4</f>
        <v>181.46440000000001</v>
      </c>
      <c r="N167" s="14">
        <f>45.452361*4</f>
        <v>181.80944400000001</v>
      </c>
      <c r="O167" s="14">
        <f>45.64956*4</f>
        <v>182.59824</v>
      </c>
      <c r="P167" s="14">
        <v>186.94783200000001</v>
      </c>
      <c r="Q167" s="20">
        <v>203.38610399999999</v>
      </c>
      <c r="R167" s="20">
        <v>203.59497500000001</v>
      </c>
      <c r="S167" s="15">
        <v>197.56234599999999</v>
      </c>
      <c r="T167" s="15">
        <f>((S168*(10.5/12))+(T168*(1.5/12)))</f>
        <v>195.47801200000001</v>
      </c>
      <c r="U167" s="6">
        <v>209.21618599999999</v>
      </c>
      <c r="V167" s="6">
        <v>209.21618599999999</v>
      </c>
      <c r="W167" s="6">
        <v>209.21618599999999</v>
      </c>
      <c r="X167" s="6">
        <v>209.21618599999999</v>
      </c>
      <c r="Y167" s="6">
        <v>208.77645699999999</v>
      </c>
      <c r="Z167" s="6">
        <v>201.536418</v>
      </c>
      <c r="AA167" s="239">
        <v>200.188276</v>
      </c>
      <c r="AB167" s="239">
        <v>202.391673</v>
      </c>
      <c r="AC167" s="6">
        <f t="shared" ref="AC167:AE167" si="286">AVERAGE(AB168:AC168)</f>
        <v>196.18301843396227</v>
      </c>
      <c r="AD167" s="6">
        <f t="shared" si="286"/>
        <v>194.46603730188679</v>
      </c>
      <c r="AE167" s="6">
        <f t="shared" si="286"/>
        <v>193.9283014528302</v>
      </c>
      <c r="AF167" s="6">
        <f t="shared" ref="AF167:AL167" si="287">AVERAGE(AE168:AF168)</f>
        <v>191.56981088679245</v>
      </c>
      <c r="AG167" s="6">
        <f t="shared" si="287"/>
        <v>190.39056560377358</v>
      </c>
      <c r="AH167" s="6">
        <f t="shared" si="287"/>
        <v>190.39056560377358</v>
      </c>
      <c r="AI167" s="6">
        <f t="shared" si="287"/>
        <v>190.39056560377358</v>
      </c>
      <c r="AJ167" s="6">
        <f t="shared" si="287"/>
        <v>190.39056560377358</v>
      </c>
      <c r="AK167" s="6">
        <f t="shared" si="287"/>
        <v>190.39056560377358</v>
      </c>
      <c r="AL167" s="6">
        <f t="shared" si="287"/>
        <v>190.39056560377358</v>
      </c>
      <c r="AO167" s="2"/>
      <c r="AP167" s="2"/>
      <c r="AQ167" s="43"/>
      <c r="AR167" s="2"/>
      <c r="AS167" s="2"/>
      <c r="AT167" s="2"/>
      <c r="AU167" s="2"/>
      <c r="AV167" s="2"/>
    </row>
    <row r="168" spans="1:48" x14ac:dyDescent="0.2">
      <c r="A168" s="2"/>
      <c r="B168" s="2" t="s">
        <v>341</v>
      </c>
      <c r="C168" s="2"/>
      <c r="D168" s="2"/>
      <c r="E168" s="2"/>
      <c r="F168" s="14">
        <f>45.349*4</f>
        <v>181.39599999999999</v>
      </c>
      <c r="G168" s="14">
        <f>45.349*4</f>
        <v>181.39599999999999</v>
      </c>
      <c r="H168" s="14">
        <f>45.349*4</f>
        <v>181.39599999999999</v>
      </c>
      <c r="I168" s="14">
        <f>45.349*4</f>
        <v>181.39599999999999</v>
      </c>
      <c r="J168" s="20">
        <v>181.39599999999999</v>
      </c>
      <c r="K168" s="20">
        <v>181.39599999999999</v>
      </c>
      <c r="L168" s="20">
        <v>181.39599999999999</v>
      </c>
      <c r="M168" s="20">
        <v>181.69200000000001</v>
      </c>
      <c r="N168" s="20">
        <v>181.816</v>
      </c>
      <c r="O168" s="20">
        <f>45.859*4</f>
        <v>183.43600000000001</v>
      </c>
      <c r="P168" s="20">
        <f>50.761755*4</f>
        <v>203.04702</v>
      </c>
      <c r="Q168" s="20">
        <v>203.53685999999999</v>
      </c>
      <c r="R168" s="20">
        <v>203.62896000000001</v>
      </c>
      <c r="S168" s="20">
        <v>193.515512</v>
      </c>
      <c r="T168" s="20">
        <f>S168+15.7</f>
        <v>209.21551199999999</v>
      </c>
      <c r="U168" s="14">
        <f>T168-U175</f>
        <v>209.21551199999999</v>
      </c>
      <c r="V168" s="14">
        <f t="shared" ref="V168:AC168" si="288">U168-V175</f>
        <v>209.21551199999999</v>
      </c>
      <c r="W168" s="14">
        <f t="shared" si="288"/>
        <v>209.21551199999999</v>
      </c>
      <c r="X168" s="14">
        <f>W168-X175</f>
        <v>209.21551199999999</v>
      </c>
      <c r="Y168" s="14">
        <f t="shared" si="288"/>
        <v>204.32637</v>
      </c>
      <c r="Z168" s="14">
        <f t="shared" si="288"/>
        <v>200.196743</v>
      </c>
      <c r="AA168" s="14">
        <f t="shared" si="288"/>
        <v>198.54150899999999</v>
      </c>
      <c r="AB168" s="14">
        <f t="shared" si="288"/>
        <v>198.54150899999999</v>
      </c>
      <c r="AC168" s="14">
        <f t="shared" si="288"/>
        <v>193.82452786792453</v>
      </c>
      <c r="AD168" s="14">
        <f>AC168-AD175+6</f>
        <v>195.10754673584907</v>
      </c>
      <c r="AE168" s="14">
        <f t="shared" ref="AE168:AL168" si="289">AD168-AE175</f>
        <v>192.74905616981133</v>
      </c>
      <c r="AF168" s="14">
        <f t="shared" si="289"/>
        <v>190.39056560377358</v>
      </c>
      <c r="AG168" s="14">
        <f t="shared" si="289"/>
        <v>190.39056560377358</v>
      </c>
      <c r="AH168" s="14">
        <f t="shared" si="289"/>
        <v>190.39056560377358</v>
      </c>
      <c r="AI168" s="14">
        <f t="shared" si="289"/>
        <v>190.39056560377358</v>
      </c>
      <c r="AJ168" s="14">
        <f t="shared" si="289"/>
        <v>190.39056560377358</v>
      </c>
      <c r="AK168" s="14">
        <f t="shared" si="289"/>
        <v>190.39056560377358</v>
      </c>
      <c r="AL168" s="14">
        <f t="shared" si="289"/>
        <v>190.39056560377358</v>
      </c>
      <c r="AO168" s="2"/>
      <c r="AP168" s="2"/>
      <c r="AQ168" s="2"/>
      <c r="AR168" s="28"/>
      <c r="AS168" s="2"/>
      <c r="AT168" s="2"/>
      <c r="AU168" s="2"/>
      <c r="AV168" s="2"/>
    </row>
    <row r="169" spans="1:48" x14ac:dyDescent="0.2">
      <c r="A169" s="2"/>
      <c r="B169" s="2" t="s">
        <v>29</v>
      </c>
      <c r="C169" s="2"/>
      <c r="D169" s="2"/>
      <c r="E169" s="2"/>
      <c r="F169" s="6">
        <v>0</v>
      </c>
      <c r="G169" s="6">
        <v>0</v>
      </c>
      <c r="H169" s="6">
        <v>0</v>
      </c>
      <c r="I169" s="6">
        <v>0</v>
      </c>
      <c r="J169" s="6">
        <f t="shared" ref="J169:M170" si="290">0*4</f>
        <v>0</v>
      </c>
      <c r="K169" s="6">
        <f t="shared" si="290"/>
        <v>0</v>
      </c>
      <c r="L169" s="6">
        <f t="shared" si="290"/>
        <v>0</v>
      </c>
      <c r="M169" s="6">
        <f t="shared" si="290"/>
        <v>0</v>
      </c>
      <c r="N169" s="6">
        <f>0.017005*4</f>
        <v>6.8019999999999997E-2</v>
      </c>
      <c r="O169" s="6">
        <f>0.098217*4</f>
        <v>0.39286799999999999</v>
      </c>
      <c r="P169" s="6">
        <v>0.89531499999999997</v>
      </c>
      <c r="Q169" s="15">
        <v>0.32830799999999999</v>
      </c>
      <c r="R169" s="20">
        <v>0.187887</v>
      </c>
      <c r="S169" s="15">
        <v>8.6541999999999994E-2</v>
      </c>
      <c r="T169" s="15">
        <f>S169+0.05</f>
        <v>0.136542</v>
      </c>
      <c r="U169" s="6">
        <v>0</v>
      </c>
      <c r="V169" s="6">
        <v>0</v>
      </c>
      <c r="W169" s="14">
        <v>0</v>
      </c>
      <c r="X169" s="14">
        <v>0</v>
      </c>
      <c r="Y169" s="14">
        <v>0</v>
      </c>
      <c r="Z169" s="14">
        <v>0</v>
      </c>
      <c r="AA169" s="239">
        <v>0</v>
      </c>
      <c r="AB169" s="239">
        <v>2.1719999999999999E-3</v>
      </c>
      <c r="AC169" s="14">
        <f t="shared" ref="AC169:AE169" si="291">AB169+0.05</f>
        <v>5.2172000000000003E-2</v>
      </c>
      <c r="AD169" s="14">
        <f t="shared" si="291"/>
        <v>0.10217200000000001</v>
      </c>
      <c r="AE169" s="14">
        <f t="shared" si="291"/>
        <v>0.15217200000000003</v>
      </c>
      <c r="AF169" s="14">
        <f t="shared" ref="AF169:AL169" si="292">AE169+0.05</f>
        <v>0.20217200000000002</v>
      </c>
      <c r="AG169" s="14">
        <f t="shared" si="292"/>
        <v>0.25217200000000001</v>
      </c>
      <c r="AH169" s="14">
        <f t="shared" si="292"/>
        <v>0.302172</v>
      </c>
      <c r="AI169" s="14">
        <f t="shared" si="292"/>
        <v>0.35217199999999999</v>
      </c>
      <c r="AJ169" s="14">
        <f t="shared" si="292"/>
        <v>0.40217199999999997</v>
      </c>
      <c r="AK169" s="14">
        <f t="shared" si="292"/>
        <v>0.45217199999999996</v>
      </c>
      <c r="AL169" s="14">
        <f t="shared" si="292"/>
        <v>0.50217199999999995</v>
      </c>
      <c r="AO169" s="2"/>
      <c r="AP169" s="2"/>
      <c r="AQ169" s="2"/>
      <c r="AR169" s="2"/>
      <c r="AS169" s="2"/>
      <c r="AT169" s="2"/>
      <c r="AU169" s="2"/>
      <c r="AV169" s="2"/>
    </row>
    <row r="170" spans="1:48" x14ac:dyDescent="0.2">
      <c r="A170" s="2"/>
      <c r="B170" s="2" t="s">
        <v>94</v>
      </c>
      <c r="C170" s="2"/>
      <c r="D170" s="2"/>
      <c r="E170" s="2"/>
      <c r="F170" s="6">
        <v>0</v>
      </c>
      <c r="G170" s="6">
        <v>0</v>
      </c>
      <c r="H170" s="6">
        <v>0</v>
      </c>
      <c r="I170" s="6">
        <v>0</v>
      </c>
      <c r="J170" s="6">
        <f t="shared" si="290"/>
        <v>0</v>
      </c>
      <c r="K170" s="6">
        <f t="shared" si="290"/>
        <v>0</v>
      </c>
      <c r="L170" s="6">
        <f t="shared" si="290"/>
        <v>0</v>
      </c>
      <c r="M170" s="6">
        <f t="shared" si="290"/>
        <v>0</v>
      </c>
      <c r="N170" s="6">
        <f>0*4</f>
        <v>0</v>
      </c>
      <c r="O170" s="6">
        <f>3.921569*4</f>
        <v>15.686275999999999</v>
      </c>
      <c r="P170" s="6">
        <v>15.686275</v>
      </c>
      <c r="Q170" s="15">
        <v>15.68511</v>
      </c>
      <c r="R170" s="20">
        <v>15.684315</v>
      </c>
      <c r="S170" s="15">
        <v>15.684315</v>
      </c>
      <c r="T170" s="15">
        <v>0</v>
      </c>
      <c r="U170" s="14">
        <f t="shared" ref="U170:V170" si="293">T170</f>
        <v>0</v>
      </c>
      <c r="V170" s="14">
        <f t="shared" si="293"/>
        <v>0</v>
      </c>
      <c r="W170" s="14">
        <v>0</v>
      </c>
      <c r="X170" s="14">
        <v>0</v>
      </c>
      <c r="Y170" s="14">
        <v>0</v>
      </c>
      <c r="Z170" s="14">
        <v>0</v>
      </c>
      <c r="AA170" s="14">
        <f>AA171-AA167-AA169</f>
        <v>5.9586319999999944</v>
      </c>
      <c r="AB170" s="14">
        <f>AB171-AB167-AB169</f>
        <v>1.8467840000000153</v>
      </c>
      <c r="AC170" s="14">
        <f>AB170</f>
        <v>1.8467840000000153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O170" s="2"/>
      <c r="AP170" s="2"/>
      <c r="AQ170" s="2"/>
      <c r="AR170" s="6"/>
      <c r="AS170" s="2"/>
      <c r="AT170" s="2"/>
      <c r="AU170" s="2"/>
      <c r="AV170" s="2"/>
    </row>
    <row r="171" spans="1:48" x14ac:dyDescent="0.2">
      <c r="A171" s="2"/>
      <c r="B171" s="2" t="s">
        <v>342</v>
      </c>
      <c r="C171" s="2"/>
      <c r="D171" s="2"/>
      <c r="E171" s="2"/>
      <c r="F171" s="14">
        <f t="shared" ref="F171:L171" si="294">45.3492*4</f>
        <v>181.39680000000001</v>
      </c>
      <c r="G171" s="14">
        <f t="shared" si="294"/>
        <v>181.39680000000001</v>
      </c>
      <c r="H171" s="14">
        <f t="shared" si="294"/>
        <v>181.39680000000001</v>
      </c>
      <c r="I171" s="14">
        <f t="shared" si="294"/>
        <v>181.39680000000001</v>
      </c>
      <c r="J171" s="14">
        <f t="shared" si="294"/>
        <v>181.39680000000001</v>
      </c>
      <c r="K171" s="14">
        <f t="shared" si="294"/>
        <v>181.39680000000001</v>
      </c>
      <c r="L171" s="14">
        <f t="shared" si="294"/>
        <v>181.39680000000001</v>
      </c>
      <c r="M171" s="14">
        <f>45.376684*4</f>
        <v>181.50673599999999</v>
      </c>
      <c r="N171" s="14">
        <f>45.469366*4</f>
        <v>181.877464</v>
      </c>
      <c r="O171" s="14">
        <f>49.669346*4</f>
        <v>198.67738399999999</v>
      </c>
      <c r="P171" s="14">
        <v>203.52942200000001</v>
      </c>
      <c r="Q171" s="20">
        <v>219.39952199999999</v>
      </c>
      <c r="R171" s="20">
        <v>219.46717699999999</v>
      </c>
      <c r="S171" s="20">
        <v>213.333203</v>
      </c>
      <c r="T171" s="20">
        <f t="shared" ref="T171:AC171" si="295">AVERAGE(S172:T172)</f>
        <v>209.31136900000001</v>
      </c>
      <c r="U171" s="14">
        <f t="shared" si="295"/>
        <v>209.27594049999999</v>
      </c>
      <c r="V171" s="14">
        <f t="shared" si="295"/>
        <v>209.21551199999999</v>
      </c>
      <c r="W171" s="14">
        <f t="shared" si="295"/>
        <v>209.21551199999999</v>
      </c>
      <c r="X171" s="14">
        <f>AVERAGE(W172:X172)</f>
        <v>209.21551199999999</v>
      </c>
      <c r="Y171" s="14">
        <f>Y167</f>
        <v>208.77645699999999</v>
      </c>
      <c r="Z171" s="14">
        <f>Z167</f>
        <v>201.536418</v>
      </c>
      <c r="AA171" s="239">
        <v>206.146908</v>
      </c>
      <c r="AB171" s="239">
        <v>204.24062900000001</v>
      </c>
      <c r="AC171" s="14">
        <f t="shared" si="295"/>
        <v>198.0569744339623</v>
      </c>
      <c r="AD171" s="14">
        <f t="shared" ref="AD171:AL171" si="296">AVERAGE(AC172:AD172)</f>
        <v>195.46660130188681</v>
      </c>
      <c r="AE171" s="14">
        <f t="shared" si="296"/>
        <v>194.0554734528302</v>
      </c>
      <c r="AF171" s="14">
        <f t="shared" si="296"/>
        <v>191.74698288679247</v>
      </c>
      <c r="AG171" s="14">
        <f t="shared" si="296"/>
        <v>190.61773760377358</v>
      </c>
      <c r="AH171" s="14">
        <f t="shared" si="296"/>
        <v>190.66773760377359</v>
      </c>
      <c r="AI171" s="14">
        <f t="shared" si="296"/>
        <v>190.71773760377357</v>
      </c>
      <c r="AJ171" s="14">
        <f t="shared" si="296"/>
        <v>190.76773760377358</v>
      </c>
      <c r="AK171" s="14">
        <f t="shared" si="296"/>
        <v>190.81773760377359</v>
      </c>
      <c r="AL171" s="14">
        <f t="shared" si="296"/>
        <v>190.86773760377358</v>
      </c>
      <c r="AO171" s="6"/>
      <c r="AP171" s="2"/>
      <c r="AQ171" s="2"/>
      <c r="AR171" s="2"/>
      <c r="AS171" s="2"/>
      <c r="AT171" s="2"/>
      <c r="AU171" s="2"/>
      <c r="AV171" s="2"/>
    </row>
    <row r="172" spans="1:48" x14ac:dyDescent="0.2">
      <c r="A172" s="17"/>
      <c r="B172" s="16" t="s">
        <v>343</v>
      </c>
      <c r="C172" s="16"/>
      <c r="D172" s="16"/>
      <c r="E172" s="16"/>
      <c r="F172" s="64">
        <f>+F168+F169+F170</f>
        <v>181.39599999999999</v>
      </c>
      <c r="G172" s="64">
        <f>+G168+G169+G170</f>
        <v>181.39599999999999</v>
      </c>
      <c r="H172" s="64">
        <f>+H168+H169+H170</f>
        <v>181.39599999999999</v>
      </c>
      <c r="I172" s="64">
        <f>+I168+I169+I170</f>
        <v>181.39599999999999</v>
      </c>
      <c r="J172" s="64">
        <f t="shared" ref="J172:P172" si="297">+J168+J169+J170</f>
        <v>181.39599999999999</v>
      </c>
      <c r="K172" s="64">
        <f t="shared" si="297"/>
        <v>181.39599999999999</v>
      </c>
      <c r="L172" s="64">
        <f t="shared" si="297"/>
        <v>181.39599999999999</v>
      </c>
      <c r="M172" s="64">
        <f t="shared" si="297"/>
        <v>181.69200000000001</v>
      </c>
      <c r="N172" s="64">
        <f t="shared" si="297"/>
        <v>181.88401999999999</v>
      </c>
      <c r="O172" s="64">
        <f t="shared" si="297"/>
        <v>199.51514399999999</v>
      </c>
      <c r="P172" s="64">
        <f t="shared" si="297"/>
        <v>219.62861000000001</v>
      </c>
      <c r="Q172" s="64">
        <v>219.48587499999999</v>
      </c>
      <c r="R172" s="64">
        <v>219.48587499999999</v>
      </c>
      <c r="S172" s="64">
        <f>S168+S169+S170</f>
        <v>209.28636900000001</v>
      </c>
      <c r="T172" s="64">
        <f>193.515512+T169+15.684315</f>
        <v>209.33636899999999</v>
      </c>
      <c r="U172" s="64">
        <f t="shared" ref="U172:AA172" si="298">+U168+U169+U170</f>
        <v>209.21551199999999</v>
      </c>
      <c r="V172" s="64">
        <f t="shared" si="298"/>
        <v>209.21551199999999</v>
      </c>
      <c r="W172" s="64">
        <f t="shared" si="298"/>
        <v>209.21551199999999</v>
      </c>
      <c r="X172" s="64">
        <f>+X168+X169+X170</f>
        <v>209.21551199999999</v>
      </c>
      <c r="Y172" s="64">
        <f t="shared" si="298"/>
        <v>204.32637</v>
      </c>
      <c r="Z172" s="64">
        <f t="shared" si="298"/>
        <v>200.196743</v>
      </c>
      <c r="AA172" s="64">
        <f t="shared" si="298"/>
        <v>204.50014099999999</v>
      </c>
      <c r="AB172" s="64">
        <f t="shared" ref="AB172:AH172" si="299">+AB168+AB169+AB170</f>
        <v>200.39046500000001</v>
      </c>
      <c r="AC172" s="64">
        <f t="shared" si="299"/>
        <v>195.72348386792456</v>
      </c>
      <c r="AD172" s="64">
        <f>+AD168+AD169+AD170</f>
        <v>195.20971873584907</v>
      </c>
      <c r="AE172" s="64">
        <f t="shared" si="299"/>
        <v>192.90122816981133</v>
      </c>
      <c r="AF172" s="64">
        <f t="shared" si="299"/>
        <v>190.59273760377357</v>
      </c>
      <c r="AG172" s="64">
        <f t="shared" si="299"/>
        <v>190.64273760377358</v>
      </c>
      <c r="AH172" s="64">
        <f t="shared" si="299"/>
        <v>190.69273760377359</v>
      </c>
      <c r="AI172" s="64">
        <f t="shared" ref="AI172:AL172" si="300">+AI168+AI169+AI170</f>
        <v>190.74273760377358</v>
      </c>
      <c r="AJ172" s="64">
        <f t="shared" si="300"/>
        <v>190.79273760377359</v>
      </c>
      <c r="AK172" s="64">
        <f t="shared" si="300"/>
        <v>190.84273760377357</v>
      </c>
      <c r="AL172" s="64">
        <f t="shared" si="300"/>
        <v>190.89273760377358</v>
      </c>
      <c r="AM172" s="17"/>
      <c r="AN172" s="17"/>
      <c r="AO172" s="17"/>
      <c r="AP172" s="17"/>
      <c r="AQ172" s="2"/>
      <c r="AR172" s="2"/>
      <c r="AS172" s="2"/>
      <c r="AT172" s="17"/>
      <c r="AU172" s="17"/>
      <c r="AV172" s="17"/>
    </row>
    <row r="173" spans="1:48" x14ac:dyDescent="0.2">
      <c r="A173" s="17"/>
      <c r="B173" s="17"/>
      <c r="C173" s="17"/>
      <c r="D173" s="17"/>
      <c r="E173" s="17"/>
      <c r="F173" s="17"/>
      <c r="G173" s="17"/>
      <c r="H173" s="83"/>
      <c r="I173" s="83"/>
      <c r="J173" s="83"/>
      <c r="K173" s="83"/>
      <c r="L173" s="83"/>
      <c r="M173" s="83"/>
      <c r="N173" s="83"/>
      <c r="O173" s="83"/>
      <c r="P173" s="96"/>
      <c r="Q173" s="96"/>
      <c r="R173" s="39"/>
      <c r="S173" s="39"/>
      <c r="T173" s="39"/>
      <c r="U173" s="39"/>
      <c r="V173" s="39"/>
      <c r="W173" s="39"/>
      <c r="X173" s="39"/>
      <c r="Y173" s="119"/>
      <c r="Z173" s="227"/>
      <c r="AA173" s="119"/>
      <c r="AB173" s="11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17"/>
      <c r="AN173" s="17"/>
      <c r="AO173" s="17"/>
      <c r="AP173" s="17"/>
      <c r="AQ173" s="2"/>
      <c r="AR173" s="2"/>
      <c r="AS173" s="2"/>
      <c r="AT173" s="17"/>
      <c r="AU173" s="17"/>
      <c r="AV173" s="17"/>
    </row>
    <row r="174" spans="1:48" x14ac:dyDescent="0.2">
      <c r="A174" s="17"/>
      <c r="B174" s="17" t="s">
        <v>227</v>
      </c>
      <c r="C174" s="17"/>
      <c r="D174" s="17"/>
      <c r="E174" s="17"/>
      <c r="F174" s="17"/>
      <c r="G174" s="17"/>
      <c r="H174" s="83"/>
      <c r="I174" s="83"/>
      <c r="J174" s="83"/>
      <c r="K174" s="83"/>
      <c r="L174" s="83"/>
      <c r="M174" s="83"/>
      <c r="N174" s="83"/>
      <c r="O174" s="83"/>
      <c r="P174" s="96"/>
      <c r="Q174" s="96"/>
      <c r="R174" s="39"/>
      <c r="S174" s="39"/>
      <c r="T174" s="39"/>
      <c r="U174" s="24">
        <v>0</v>
      </c>
      <c r="V174" s="24">
        <v>0</v>
      </c>
      <c r="W174" s="24">
        <v>0</v>
      </c>
      <c r="X174" s="24">
        <v>0</v>
      </c>
      <c r="Y174" s="24">
        <f>Y176*Y175</f>
        <v>299.99775311999997</v>
      </c>
      <c r="Z174" s="24">
        <f>Z175*Z176</f>
        <v>300.01740155000005</v>
      </c>
      <c r="AA174" s="24">
        <v>218</v>
      </c>
      <c r="AB174" s="24">
        <f>1500-SUM(Y174:AA174)</f>
        <v>681.98484532999998</v>
      </c>
      <c r="AC174" s="24">
        <v>1000</v>
      </c>
      <c r="AD174" s="24">
        <v>1000</v>
      </c>
      <c r="AE174" s="24">
        <v>500</v>
      </c>
      <c r="AF174" s="24">
        <v>500</v>
      </c>
      <c r="AG174" s="24">
        <v>0</v>
      </c>
      <c r="AH174" s="24">
        <v>0</v>
      </c>
      <c r="AI174" s="24">
        <v>0</v>
      </c>
      <c r="AJ174" s="24">
        <v>0</v>
      </c>
      <c r="AK174" s="24">
        <v>0</v>
      </c>
      <c r="AL174" s="24">
        <v>0</v>
      </c>
      <c r="AM174" s="17"/>
      <c r="AN174" s="17"/>
      <c r="AO174" s="17"/>
      <c r="AP174" s="117"/>
      <c r="AQ174" s="2"/>
      <c r="AR174" s="6"/>
      <c r="AS174" s="2"/>
      <c r="AT174" s="17"/>
      <c r="AU174" s="17"/>
      <c r="AV174" s="17"/>
    </row>
    <row r="175" spans="1:48" x14ac:dyDescent="0.2">
      <c r="A175" s="17"/>
      <c r="B175" s="17" t="s">
        <v>226</v>
      </c>
      <c r="C175" s="17"/>
      <c r="D175" s="17"/>
      <c r="E175" s="17"/>
      <c r="F175" s="17"/>
      <c r="G175" s="17"/>
      <c r="H175" s="83"/>
      <c r="I175" s="83"/>
      <c r="J175" s="83"/>
      <c r="K175" s="83"/>
      <c r="L175" s="83"/>
      <c r="M175" s="83"/>
      <c r="N175" s="83"/>
      <c r="O175" s="83"/>
      <c r="P175" s="96"/>
      <c r="Q175" s="96"/>
      <c r="R175" s="39"/>
      <c r="S175" s="39"/>
      <c r="T175" s="39"/>
      <c r="U175" s="17">
        <f>U174/U176</f>
        <v>0</v>
      </c>
      <c r="V175" s="83">
        <f t="shared" ref="V175:AC175" si="301">V174/V176</f>
        <v>0</v>
      </c>
      <c r="W175" s="83">
        <f t="shared" si="301"/>
        <v>0</v>
      </c>
      <c r="X175" s="83">
        <f>X174/X176</f>
        <v>0</v>
      </c>
      <c r="Y175" s="83">
        <v>4.8891419999999997</v>
      </c>
      <c r="Z175" s="39">
        <f>1.140735+1.032568+0.913606+1.042718</f>
        <v>4.1296270000000002</v>
      </c>
      <c r="AA175" s="83">
        <f>1.143103+0.512131</f>
        <v>1.6552340000000001</v>
      </c>
      <c r="AB175" s="83">
        <v>0</v>
      </c>
      <c r="AC175" s="83">
        <f t="shared" si="301"/>
        <v>4.716981132075472</v>
      </c>
      <c r="AD175" s="83">
        <f t="shared" ref="AD175:AL175" si="302">AD174/AD176</f>
        <v>4.716981132075472</v>
      </c>
      <c r="AE175" s="83">
        <f t="shared" si="302"/>
        <v>2.358490566037736</v>
      </c>
      <c r="AF175" s="83">
        <f t="shared" si="302"/>
        <v>2.358490566037736</v>
      </c>
      <c r="AG175" s="17">
        <f t="shared" si="302"/>
        <v>0</v>
      </c>
      <c r="AH175" s="17">
        <f t="shared" si="302"/>
        <v>0</v>
      </c>
      <c r="AI175" s="17">
        <f t="shared" si="302"/>
        <v>0</v>
      </c>
      <c r="AJ175" s="17">
        <f t="shared" si="302"/>
        <v>0</v>
      </c>
      <c r="AK175" s="17">
        <f t="shared" si="302"/>
        <v>0</v>
      </c>
      <c r="AL175" s="17">
        <f t="shared" si="302"/>
        <v>0</v>
      </c>
      <c r="AM175" s="17"/>
      <c r="AN175" s="17"/>
      <c r="AO175" s="17"/>
      <c r="AP175" s="83"/>
      <c r="AQ175" s="6"/>
      <c r="AR175" s="2"/>
      <c r="AS175" s="17"/>
      <c r="AT175" s="17"/>
      <c r="AU175" s="17"/>
      <c r="AV175" s="17"/>
    </row>
    <row r="176" spans="1:48" x14ac:dyDescent="0.2">
      <c r="A176" s="17"/>
      <c r="B176" s="17" t="s">
        <v>228</v>
      </c>
      <c r="C176" s="17"/>
      <c r="D176" s="17"/>
      <c r="E176" s="17"/>
      <c r="F176" s="17"/>
      <c r="G176" s="17"/>
      <c r="H176" s="83"/>
      <c r="I176" s="83"/>
      <c r="J176" s="83"/>
      <c r="K176" s="83"/>
      <c r="L176" s="83"/>
      <c r="M176" s="83"/>
      <c r="N176" s="83"/>
      <c r="O176" s="83"/>
      <c r="P176" s="96"/>
      <c r="Q176" s="96"/>
      <c r="R176" s="39"/>
      <c r="S176" s="39"/>
      <c r="T176" s="39"/>
      <c r="U176" s="24">
        <v>45.5</v>
      </c>
      <c r="V176" s="24">
        <f>V42</f>
        <v>212</v>
      </c>
      <c r="W176" s="24">
        <f>W42</f>
        <v>212</v>
      </c>
      <c r="X176" s="24">
        <f>X42</f>
        <v>212</v>
      </c>
      <c r="Y176" s="24">
        <v>61.36</v>
      </c>
      <c r="Z176" s="24">
        <v>72.650000000000006</v>
      </c>
      <c r="AA176" s="24">
        <v>138.58600000000001</v>
      </c>
      <c r="AB176" s="39">
        <f>AB42</f>
        <v>212</v>
      </c>
      <c r="AC176" s="39">
        <f t="shared" ref="AC176:AL176" si="303">AB176</f>
        <v>212</v>
      </c>
      <c r="AD176" s="39">
        <f t="shared" si="303"/>
        <v>212</v>
      </c>
      <c r="AE176" s="39">
        <f t="shared" si="303"/>
        <v>212</v>
      </c>
      <c r="AF176" s="39">
        <f t="shared" si="303"/>
        <v>212</v>
      </c>
      <c r="AG176" s="39">
        <f t="shared" si="303"/>
        <v>212</v>
      </c>
      <c r="AH176" s="39">
        <f t="shared" si="303"/>
        <v>212</v>
      </c>
      <c r="AI176" s="39">
        <f t="shared" si="303"/>
        <v>212</v>
      </c>
      <c r="AJ176" s="39">
        <f t="shared" si="303"/>
        <v>212</v>
      </c>
      <c r="AK176" s="39">
        <f t="shared" si="303"/>
        <v>212</v>
      </c>
      <c r="AL176" s="39">
        <f t="shared" si="303"/>
        <v>212</v>
      </c>
      <c r="AM176" s="17"/>
      <c r="AN176" s="17"/>
      <c r="AO176" s="83"/>
      <c r="AP176" s="83"/>
      <c r="AQ176" s="2"/>
      <c r="AR176" s="6"/>
      <c r="AS176" s="17"/>
      <c r="AT176" s="17"/>
      <c r="AU176" s="17"/>
      <c r="AV176" s="17"/>
    </row>
    <row r="177" spans="1:48" x14ac:dyDescent="0.2">
      <c r="A177" s="17"/>
      <c r="B177" s="17" t="s">
        <v>420</v>
      </c>
      <c r="C177" s="17"/>
      <c r="D177" s="17"/>
      <c r="E177" s="17"/>
      <c r="F177" s="17"/>
      <c r="G177" s="17"/>
      <c r="H177" s="83"/>
      <c r="I177" s="83"/>
      <c r="J177" s="83"/>
      <c r="K177" s="83"/>
      <c r="L177" s="83"/>
      <c r="M177" s="83"/>
      <c r="N177" s="83"/>
      <c r="O177" s="83"/>
      <c r="P177" s="96"/>
      <c r="Q177" s="96"/>
      <c r="R177" s="39"/>
      <c r="S177" s="39"/>
      <c r="T177" s="39"/>
      <c r="U177" s="39">
        <f t="shared" ref="U177:AH177" si="304">U64</f>
        <v>0.19150779896013864</v>
      </c>
      <c r="V177" s="39">
        <f t="shared" si="304"/>
        <v>-7.5707154742096508E-2</v>
      </c>
      <c r="W177" s="39">
        <f t="shared" si="304"/>
        <v>-0.30939226519337015</v>
      </c>
      <c r="X177" s="39">
        <f t="shared" si="304"/>
        <v>-0.19405940594059407</v>
      </c>
      <c r="Y177" s="39">
        <f t="shared" si="304"/>
        <v>0.1434250526151688</v>
      </c>
      <c r="Z177" s="39">
        <f t="shared" si="304"/>
        <v>0.31741648890789459</v>
      </c>
      <c r="AA177" s="39">
        <f t="shared" si="304"/>
        <v>5.2577845839714137E-2</v>
      </c>
      <c r="AB177" s="39">
        <f t="shared" si="304"/>
        <v>-0.19166732736065978</v>
      </c>
      <c r="AC177" s="39">
        <f t="shared" si="304"/>
        <v>-3.8063643095112051E-2</v>
      </c>
      <c r="AD177" s="39">
        <f t="shared" si="304"/>
        <v>0.18817609027192903</v>
      </c>
      <c r="AE177" s="39">
        <f t="shared" si="304"/>
        <v>0.14694238723284272</v>
      </c>
      <c r="AF177" s="39">
        <f t="shared" si="304"/>
        <v>4.9707792120365628E-2</v>
      </c>
      <c r="AG177" s="39">
        <f t="shared" si="304"/>
        <v>-0.15980245870014534</v>
      </c>
      <c r="AH177" s="39">
        <f t="shared" si="304"/>
        <v>-0.38536025701839105</v>
      </c>
      <c r="AI177" s="39">
        <f t="shared" ref="AI177:AL177" si="305">AI64</f>
        <v>-0.57829057806192519</v>
      </c>
      <c r="AJ177" s="39">
        <f t="shared" si="305"/>
        <v>-0.76777522717746893</v>
      </c>
      <c r="AK177" s="39">
        <f t="shared" si="305"/>
        <v>-0.97278940881965714</v>
      </c>
      <c r="AL177" s="39">
        <f t="shared" si="305"/>
        <v>-1.1562552539948074</v>
      </c>
      <c r="AM177" s="17"/>
      <c r="AN177" s="17"/>
      <c r="AO177" s="17"/>
      <c r="AP177" s="83"/>
      <c r="AQ177" s="6"/>
      <c r="AR177" s="2"/>
      <c r="AS177" s="17"/>
      <c r="AT177" s="17"/>
      <c r="AU177" s="17"/>
      <c r="AV177" s="17"/>
    </row>
    <row r="178" spans="1:48" x14ac:dyDescent="0.2">
      <c r="A178" s="2"/>
      <c r="B178" s="11" t="s">
        <v>421</v>
      </c>
      <c r="C178" s="47"/>
      <c r="D178" s="47"/>
      <c r="E178" s="47"/>
      <c r="F178" s="47"/>
      <c r="G178" s="47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155"/>
      <c r="T178" s="155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">
      <c r="A179" s="2"/>
      <c r="B179" s="5" t="s">
        <v>344</v>
      </c>
      <c r="C179" s="5"/>
      <c r="D179" s="5"/>
      <c r="E179" s="5"/>
      <c r="F179" s="5"/>
      <c r="G179" s="5"/>
      <c r="H179" s="5"/>
      <c r="I179" s="5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">
      <c r="A180" s="2"/>
      <c r="B180" s="3" t="str">
        <f>+$B$5</f>
        <v>€ Millions, Yr end December</v>
      </c>
      <c r="C180" s="3">
        <f t="shared" ref="C180:AH180" si="306">C5</f>
        <v>1992</v>
      </c>
      <c r="D180" s="3">
        <f t="shared" si="306"/>
        <v>1993</v>
      </c>
      <c r="E180" s="3">
        <f t="shared" si="306"/>
        <v>1994</v>
      </c>
      <c r="F180" s="3">
        <f t="shared" si="306"/>
        <v>1995</v>
      </c>
      <c r="G180" s="3">
        <f t="shared" si="306"/>
        <v>1996</v>
      </c>
      <c r="H180" s="3">
        <f t="shared" si="306"/>
        <v>1997</v>
      </c>
      <c r="I180" s="3">
        <f t="shared" si="306"/>
        <v>1998</v>
      </c>
      <c r="J180" s="3">
        <f t="shared" si="306"/>
        <v>1999</v>
      </c>
      <c r="K180" s="3">
        <f t="shared" si="306"/>
        <v>2000</v>
      </c>
      <c r="L180" s="3">
        <f t="shared" si="306"/>
        <v>2001</v>
      </c>
      <c r="M180" s="3">
        <f t="shared" si="306"/>
        <v>2002</v>
      </c>
      <c r="N180" s="3">
        <f t="shared" si="306"/>
        <v>2003</v>
      </c>
      <c r="O180" s="3">
        <f t="shared" si="306"/>
        <v>2004</v>
      </c>
      <c r="P180" s="3">
        <f t="shared" si="306"/>
        <v>2005</v>
      </c>
      <c r="Q180" s="3">
        <f t="shared" si="306"/>
        <v>2006</v>
      </c>
      <c r="R180" s="84">
        <f t="shared" si="306"/>
        <v>2007</v>
      </c>
      <c r="S180" s="84">
        <f t="shared" si="306"/>
        <v>2008</v>
      </c>
      <c r="T180" s="84">
        <f t="shared" si="306"/>
        <v>2009</v>
      </c>
      <c r="U180" s="84">
        <f t="shared" si="306"/>
        <v>2010</v>
      </c>
      <c r="V180" s="84">
        <f t="shared" si="306"/>
        <v>2011</v>
      </c>
      <c r="W180" s="175">
        <f t="shared" si="306"/>
        <v>2012</v>
      </c>
      <c r="X180" s="175">
        <f t="shared" si="306"/>
        <v>2013</v>
      </c>
      <c r="Y180" s="175">
        <f t="shared" si="306"/>
        <v>2014</v>
      </c>
      <c r="Z180" s="175">
        <f t="shared" si="306"/>
        <v>2015</v>
      </c>
      <c r="AA180" s="175">
        <f t="shared" si="306"/>
        <v>2016</v>
      </c>
      <c r="AB180" s="175">
        <f t="shared" si="306"/>
        <v>2017</v>
      </c>
      <c r="AC180" s="49">
        <f t="shared" si="306"/>
        <v>2018</v>
      </c>
      <c r="AD180" s="49">
        <f t="shared" si="306"/>
        <v>2019</v>
      </c>
      <c r="AE180" s="49">
        <f t="shared" si="306"/>
        <v>2020</v>
      </c>
      <c r="AF180" s="49">
        <f t="shared" si="306"/>
        <v>2021</v>
      </c>
      <c r="AG180" s="49">
        <f t="shared" si="306"/>
        <v>2022</v>
      </c>
      <c r="AH180" s="49">
        <f t="shared" si="306"/>
        <v>2023</v>
      </c>
      <c r="AI180" s="49">
        <f t="shared" ref="AI180:AL180" si="307">AI5</f>
        <v>2024</v>
      </c>
      <c r="AJ180" s="49">
        <f t="shared" si="307"/>
        <v>2025</v>
      </c>
      <c r="AK180" s="49">
        <f t="shared" si="307"/>
        <v>2026</v>
      </c>
      <c r="AL180" s="49">
        <f t="shared" si="307"/>
        <v>2027</v>
      </c>
      <c r="AO180" s="2"/>
      <c r="AP180" s="2"/>
      <c r="AQ180" s="2"/>
      <c r="AR180" s="2"/>
      <c r="AS180" s="2"/>
      <c r="AT180" s="2"/>
      <c r="AU180" s="2"/>
      <c r="AV180" s="2"/>
    </row>
    <row r="181" spans="1:48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51"/>
      <c r="P181" s="51"/>
      <c r="Q181" s="51"/>
      <c r="R181" s="51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">
      <c r="A182" s="2"/>
      <c r="B182" s="2" t="s">
        <v>95</v>
      </c>
      <c r="C182" s="6"/>
      <c r="D182" s="6"/>
      <c r="E182" s="6"/>
      <c r="F182" s="6"/>
      <c r="G182" s="6"/>
      <c r="H182" s="6"/>
      <c r="I182" s="6"/>
      <c r="J182" s="20">
        <f t="shared" ref="J182:AH182" si="308">J127</f>
        <v>398.11999999999983</v>
      </c>
      <c r="K182" s="20">
        <f t="shared" si="308"/>
        <v>346.62000000000052</v>
      </c>
      <c r="L182" s="20">
        <f t="shared" si="308"/>
        <v>376.3439999999996</v>
      </c>
      <c r="M182" s="20">
        <f t="shared" si="308"/>
        <v>390.11400000000015</v>
      </c>
      <c r="N182" s="20">
        <f t="shared" si="308"/>
        <v>438.32299999999992</v>
      </c>
      <c r="O182" s="20">
        <f t="shared" si="308"/>
        <v>525.69499999999971</v>
      </c>
      <c r="P182" s="20">
        <f t="shared" si="308"/>
        <v>655.20699999999988</v>
      </c>
      <c r="Q182" s="20">
        <f t="shared" si="308"/>
        <v>723</v>
      </c>
      <c r="R182" s="20">
        <f t="shared" si="308"/>
        <v>815</v>
      </c>
      <c r="S182" s="20">
        <f t="shared" si="308"/>
        <v>904</v>
      </c>
      <c r="T182" s="20">
        <f t="shared" si="308"/>
        <v>358</v>
      </c>
      <c r="U182" s="20">
        <f t="shared" si="308"/>
        <v>806</v>
      </c>
      <c r="V182" s="20">
        <f t="shared" si="308"/>
        <v>869</v>
      </c>
      <c r="W182" s="20">
        <f t="shared" si="308"/>
        <v>851</v>
      </c>
      <c r="X182" s="20">
        <f t="shared" si="308"/>
        <v>1113</v>
      </c>
      <c r="Y182" s="14">
        <f t="shared" si="308"/>
        <v>834.89999999999964</v>
      </c>
      <c r="Z182" s="20">
        <f t="shared" si="308"/>
        <v>1039.0496415269372</v>
      </c>
      <c r="AA182" s="20">
        <v>1445</v>
      </c>
      <c r="AB182" s="20">
        <f t="shared" si="308"/>
        <v>2023.6000000000004</v>
      </c>
      <c r="AC182" s="20">
        <f t="shared" si="308"/>
        <v>2339.3418419472096</v>
      </c>
      <c r="AD182" s="20">
        <f t="shared" si="308"/>
        <v>2701.7587394930379</v>
      </c>
      <c r="AE182" s="20">
        <f t="shared" si="308"/>
        <v>3069.3292470642082</v>
      </c>
      <c r="AF182" s="20">
        <f t="shared" si="308"/>
        <v>3610.7296916961332</v>
      </c>
      <c r="AG182" s="20">
        <f t="shared" si="308"/>
        <v>4124.3555053651262</v>
      </c>
      <c r="AH182" s="20">
        <f t="shared" si="308"/>
        <v>4688.1131313176384</v>
      </c>
      <c r="AI182" s="20">
        <f t="shared" ref="AI182:AL182" si="309">AI127</f>
        <v>5156.3650807776812</v>
      </c>
      <c r="AJ182" s="20">
        <f t="shared" si="309"/>
        <v>5553.6499919451744</v>
      </c>
      <c r="AK182" s="20">
        <f t="shared" si="309"/>
        <v>6048.0516439996709</v>
      </c>
      <c r="AL182" s="20">
        <f t="shared" si="309"/>
        <v>6618.7580002132536</v>
      </c>
      <c r="AO182" s="2"/>
      <c r="AP182" s="2"/>
      <c r="AQ182" s="2"/>
      <c r="AR182" s="2"/>
      <c r="AS182" s="2"/>
      <c r="AT182" s="2"/>
      <c r="AU182" s="2"/>
      <c r="AV182" s="2"/>
    </row>
    <row r="183" spans="1:48" x14ac:dyDescent="0.2">
      <c r="A183" s="4"/>
      <c r="B183" s="2" t="s">
        <v>345</v>
      </c>
      <c r="C183" s="4"/>
      <c r="D183" s="4"/>
      <c r="E183" s="4"/>
      <c r="F183" s="4"/>
      <c r="G183" s="4"/>
      <c r="H183" s="4"/>
      <c r="I183" s="4"/>
      <c r="J183" s="20">
        <f t="shared" ref="J183:P183" si="310">-J431</f>
        <v>65.463999999999999</v>
      </c>
      <c r="K183" s="20">
        <f t="shared" si="310"/>
        <v>74</v>
      </c>
      <c r="L183" s="20">
        <f t="shared" si="310"/>
        <v>79.831000000000003</v>
      </c>
      <c r="M183" s="20">
        <f t="shared" si="310"/>
        <v>83.647999999999996</v>
      </c>
      <c r="N183" s="20">
        <f t="shared" si="310"/>
        <v>82.843999999999994</v>
      </c>
      <c r="O183" s="20">
        <f t="shared" si="310"/>
        <v>83</v>
      </c>
      <c r="P183" s="20">
        <f t="shared" si="310"/>
        <v>92</v>
      </c>
      <c r="Q183" s="20">
        <f>-Q431</f>
        <v>118</v>
      </c>
      <c r="R183" s="20">
        <f t="shared" ref="R183:Z183" si="311">-R431</f>
        <v>142</v>
      </c>
      <c r="S183" s="20">
        <f t="shared" si="311"/>
        <v>159</v>
      </c>
      <c r="T183" s="20">
        <f t="shared" si="311"/>
        <v>182</v>
      </c>
      <c r="U183" s="20">
        <f t="shared" si="311"/>
        <v>184</v>
      </c>
      <c r="V183" s="20">
        <f t="shared" si="311"/>
        <v>205</v>
      </c>
      <c r="W183" s="20">
        <f t="shared" si="311"/>
        <v>214</v>
      </c>
      <c r="X183" s="20">
        <f>-X431</f>
        <v>234</v>
      </c>
      <c r="Y183" s="14">
        <f t="shared" si="311"/>
        <v>258</v>
      </c>
      <c r="Z183" s="20">
        <f t="shared" si="311"/>
        <v>279</v>
      </c>
      <c r="AA183" s="55">
        <f t="shared" ref="AA183:AH183" si="312">-AA431</f>
        <v>303</v>
      </c>
      <c r="AB183" s="20">
        <f t="shared" si="312"/>
        <v>358</v>
      </c>
      <c r="AC183" s="20">
        <f t="shared" si="312"/>
        <v>306.01057488892098</v>
      </c>
      <c r="AD183" s="20">
        <f t="shared" si="312"/>
        <v>339.56171045666002</v>
      </c>
      <c r="AE183" s="20">
        <f t="shared" si="312"/>
        <v>365.97078966684046</v>
      </c>
      <c r="AF183" s="20">
        <f t="shared" si="312"/>
        <v>386.69279574962655</v>
      </c>
      <c r="AG183" s="20">
        <f t="shared" si="312"/>
        <v>402.81605649585157</v>
      </c>
      <c r="AH183" s="20">
        <f t="shared" si="312"/>
        <v>417.75205302034908</v>
      </c>
      <c r="AI183" s="20">
        <f t="shared" ref="AI183:AL183" si="313">-AI431</f>
        <v>433.84708267901482</v>
      </c>
      <c r="AJ183" s="20">
        <f t="shared" si="313"/>
        <v>450.82124894031568</v>
      </c>
      <c r="AK183" s="20">
        <f t="shared" si="313"/>
        <v>467.49555635477316</v>
      </c>
      <c r="AL183" s="20">
        <f t="shared" si="313"/>
        <v>482.88353880739828</v>
      </c>
      <c r="AM183" s="4"/>
      <c r="AN183" s="4"/>
      <c r="AO183" s="131"/>
      <c r="AP183" s="4"/>
      <c r="AQ183" s="4"/>
      <c r="AR183" s="4"/>
      <c r="AS183" s="4"/>
      <c r="AT183" s="4"/>
      <c r="AU183" s="4"/>
      <c r="AV183" s="4"/>
    </row>
    <row r="184" spans="1:48" x14ac:dyDescent="0.2">
      <c r="A184" s="4"/>
      <c r="B184" s="4" t="s">
        <v>329</v>
      </c>
      <c r="C184" s="4"/>
      <c r="D184" s="4"/>
      <c r="E184" s="4"/>
      <c r="F184" s="4"/>
      <c r="G184" s="4"/>
      <c r="H184" s="4"/>
      <c r="I184" s="4"/>
      <c r="J184" s="20">
        <f t="shared" ref="J184:P184" si="314">-J446</f>
        <v>14.711</v>
      </c>
      <c r="K184" s="20">
        <f t="shared" si="314"/>
        <v>22</v>
      </c>
      <c r="L184" s="20">
        <f t="shared" si="314"/>
        <v>27.77</v>
      </c>
      <c r="M184" s="20">
        <f t="shared" si="314"/>
        <v>30.491</v>
      </c>
      <c r="N184" s="20">
        <f t="shared" si="314"/>
        <v>27.527000000000001</v>
      </c>
      <c r="O184" s="20">
        <f t="shared" si="314"/>
        <v>33</v>
      </c>
      <c r="P184" s="20">
        <f t="shared" si="314"/>
        <v>35</v>
      </c>
      <c r="Q184" s="20">
        <f>-Q446</f>
        <v>69</v>
      </c>
      <c r="R184" s="20">
        <f t="shared" ref="R184:AC184" si="315">-R446</f>
        <v>64</v>
      </c>
      <c r="S184" s="20">
        <f t="shared" si="315"/>
        <v>61</v>
      </c>
      <c r="T184" s="20">
        <f t="shared" si="315"/>
        <v>66</v>
      </c>
      <c r="U184" s="20">
        <f t="shared" si="315"/>
        <v>55</v>
      </c>
      <c r="V184" s="20">
        <f t="shared" si="315"/>
        <v>48</v>
      </c>
      <c r="W184" s="20">
        <f t="shared" si="315"/>
        <v>57</v>
      </c>
      <c r="X184" s="20">
        <f>-X446</f>
        <v>54</v>
      </c>
      <c r="Y184" s="14">
        <f t="shared" si="315"/>
        <v>69</v>
      </c>
      <c r="Z184" s="20">
        <f t="shared" si="315"/>
        <v>80</v>
      </c>
      <c r="AA184" s="55">
        <f t="shared" si="315"/>
        <v>94</v>
      </c>
      <c r="AB184" s="20">
        <f t="shared" si="315"/>
        <v>94</v>
      </c>
      <c r="AC184" s="20">
        <f t="shared" si="315"/>
        <v>81.155000000000001</v>
      </c>
      <c r="AD184" s="20">
        <f t="shared" ref="AD184:AL184" si="316">-AD446</f>
        <v>83.185065277777781</v>
      </c>
      <c r="AE184" s="20">
        <f t="shared" si="316"/>
        <v>85.259198369841272</v>
      </c>
      <c r="AF184" s="20">
        <f t="shared" si="316"/>
        <v>87.356126270728296</v>
      </c>
      <c r="AG184" s="20">
        <f t="shared" si="316"/>
        <v>89.453054171615321</v>
      </c>
      <c r="AH184" s="20">
        <f t="shared" si="316"/>
        <v>91.549982072502345</v>
      </c>
      <c r="AI184" s="20">
        <f t="shared" si="316"/>
        <v>93.64690997338937</v>
      </c>
      <c r="AJ184" s="20">
        <f t="shared" si="316"/>
        <v>95.74383787427638</v>
      </c>
      <c r="AK184" s="20">
        <f t="shared" si="316"/>
        <v>97.840765775163419</v>
      </c>
      <c r="AL184" s="20">
        <f t="shared" si="316"/>
        <v>99.937693676050444</v>
      </c>
      <c r="AM184" s="4"/>
      <c r="AN184" s="4"/>
      <c r="AO184" s="4"/>
      <c r="AP184" s="4"/>
      <c r="AQ184" s="4"/>
      <c r="AR184" s="4"/>
      <c r="AS184" s="4"/>
      <c r="AT184" s="4"/>
      <c r="AU184" s="4"/>
      <c r="AV184" s="4"/>
    </row>
    <row r="185" spans="1:48" x14ac:dyDescent="0.2">
      <c r="A185" s="4"/>
      <c r="B185" s="4" t="s">
        <v>58</v>
      </c>
      <c r="C185" s="4"/>
      <c r="D185" s="4"/>
      <c r="E185" s="4"/>
      <c r="F185" s="4"/>
      <c r="G185" s="4"/>
      <c r="H185" s="4"/>
      <c r="I185" s="4"/>
      <c r="J185" s="20">
        <f t="shared" ref="J185:P185" si="317">J186-J184-J183</f>
        <v>39.028000000000006</v>
      </c>
      <c r="K185" s="20">
        <f t="shared" si="317"/>
        <v>36.704000000000008</v>
      </c>
      <c r="L185" s="20">
        <f t="shared" si="317"/>
        <v>40.436000000000007</v>
      </c>
      <c r="M185" s="20">
        <f t="shared" si="317"/>
        <v>45.388000000000005</v>
      </c>
      <c r="N185" s="20">
        <f t="shared" si="317"/>
        <v>44.798000000000016</v>
      </c>
      <c r="O185" s="20">
        <f t="shared" si="317"/>
        <v>2.7680000000000007</v>
      </c>
      <c r="P185" s="20">
        <f t="shared" si="317"/>
        <v>1</v>
      </c>
      <c r="Q185" s="20">
        <f>Q186-Q184-Q183</f>
        <v>30</v>
      </c>
      <c r="R185" s="20">
        <f>R186-R184-R183</f>
        <v>9</v>
      </c>
      <c r="S185" s="20">
        <f>S186-S184-S183</f>
        <v>14</v>
      </c>
      <c r="T185" s="20">
        <f>T186-T184-T183</f>
        <v>51</v>
      </c>
      <c r="U185" s="20">
        <f>+U186-U184-U183</f>
        <v>31</v>
      </c>
      <c r="V185" s="20">
        <f>+V186-V184-V183</f>
        <v>0</v>
      </c>
      <c r="W185" s="20">
        <v>265</v>
      </c>
      <c r="X185" s="20">
        <f>52-1.5</f>
        <v>50.5</v>
      </c>
      <c r="Y185" s="14">
        <f>78-1</f>
        <v>77</v>
      </c>
      <c r="Z185" s="20">
        <f>34-1</f>
        <v>33</v>
      </c>
      <c r="AA185" s="241">
        <v>-2</v>
      </c>
      <c r="AB185" s="241">
        <f>484-AB184-AB183-1</f>
        <v>31</v>
      </c>
      <c r="AC185" s="20">
        <v>0</v>
      </c>
      <c r="AD185" s="20">
        <v>0</v>
      </c>
      <c r="AE185" s="20">
        <v>0</v>
      </c>
      <c r="AF185" s="20">
        <v>0</v>
      </c>
      <c r="AG185" s="20">
        <v>0</v>
      </c>
      <c r="AH185" s="20">
        <v>0</v>
      </c>
      <c r="AI185" s="20">
        <v>0</v>
      </c>
      <c r="AJ185" s="20">
        <v>0</v>
      </c>
      <c r="AK185" s="20">
        <v>0</v>
      </c>
      <c r="AL185" s="20">
        <v>0</v>
      </c>
      <c r="AM185" s="4"/>
      <c r="AN185" s="4"/>
      <c r="AO185" s="4"/>
      <c r="AP185" s="4"/>
      <c r="AQ185" s="4"/>
      <c r="AR185" s="4"/>
      <c r="AS185" s="4"/>
      <c r="AT185" s="4"/>
      <c r="AU185" s="4"/>
      <c r="AV185" s="4"/>
    </row>
    <row r="186" spans="1:48" x14ac:dyDescent="0.2">
      <c r="A186" s="2"/>
      <c r="B186" s="2" t="s">
        <v>362</v>
      </c>
      <c r="C186" s="2"/>
      <c r="D186" s="2"/>
      <c r="E186" s="2"/>
      <c r="F186" s="2"/>
      <c r="G186" s="2"/>
      <c r="H186" s="2"/>
      <c r="I186" s="2"/>
      <c r="J186" s="20">
        <v>119.203</v>
      </c>
      <c r="K186" s="20">
        <v>132.70400000000001</v>
      </c>
      <c r="L186" s="20">
        <v>148.03700000000001</v>
      </c>
      <c r="M186" s="20">
        <v>159.52699999999999</v>
      </c>
      <c r="N186" s="20">
        <v>155.16900000000001</v>
      </c>
      <c r="O186" s="20">
        <v>118.768</v>
      </c>
      <c r="P186" s="20">
        <v>128</v>
      </c>
      <c r="Q186" s="20">
        <v>217</v>
      </c>
      <c r="R186" s="20">
        <v>215</v>
      </c>
      <c r="S186" s="15">
        <v>234</v>
      </c>
      <c r="T186" s="15">
        <v>299</v>
      </c>
      <c r="U186" s="15">
        <v>270</v>
      </c>
      <c r="V186" s="6">
        <v>253</v>
      </c>
      <c r="W186" s="15">
        <f t="shared" ref="W186:Z186" si="318">W183+W184+W185</f>
        <v>536</v>
      </c>
      <c r="X186" s="6">
        <f t="shared" si="318"/>
        <v>338.5</v>
      </c>
      <c r="Y186" s="6">
        <f t="shared" si="318"/>
        <v>404</v>
      </c>
      <c r="Z186" s="6">
        <f t="shared" si="318"/>
        <v>392</v>
      </c>
      <c r="AA186" s="9">
        <f t="shared" ref="AA186:AH186" si="319">AA183+AA184+AA185</f>
        <v>395</v>
      </c>
      <c r="AB186" s="9">
        <f t="shared" si="319"/>
        <v>483</v>
      </c>
      <c r="AC186" s="6">
        <f t="shared" si="319"/>
        <v>387.16557488892101</v>
      </c>
      <c r="AD186" s="6">
        <f t="shared" si="319"/>
        <v>422.74677573443779</v>
      </c>
      <c r="AE186" s="6">
        <f t="shared" si="319"/>
        <v>451.22998803668173</v>
      </c>
      <c r="AF186" s="6">
        <f t="shared" si="319"/>
        <v>474.04892202035484</v>
      </c>
      <c r="AG186" s="6">
        <f t="shared" si="319"/>
        <v>492.26911066746686</v>
      </c>
      <c r="AH186" s="6">
        <f t="shared" si="319"/>
        <v>509.30203509285144</v>
      </c>
      <c r="AI186" s="6">
        <f t="shared" ref="AI186:AL186" si="320">AI183+AI184+AI185</f>
        <v>527.49399265240413</v>
      </c>
      <c r="AJ186" s="6">
        <f t="shared" si="320"/>
        <v>546.56508681459206</v>
      </c>
      <c r="AK186" s="6">
        <f t="shared" si="320"/>
        <v>565.33632212993655</v>
      </c>
      <c r="AL186" s="6">
        <f t="shared" si="320"/>
        <v>582.82123248344874</v>
      </c>
      <c r="AO186" s="2"/>
      <c r="AP186" s="2"/>
      <c r="AQ186" s="2"/>
      <c r="AR186" s="2"/>
      <c r="AS186" s="2"/>
      <c r="AT186" s="2"/>
      <c r="AU186" s="2"/>
      <c r="AV186" s="2"/>
    </row>
    <row r="187" spans="1:48" x14ac:dyDescent="0.2">
      <c r="A187" s="2"/>
      <c r="B187" s="2" t="s">
        <v>96</v>
      </c>
      <c r="C187" s="2"/>
      <c r="D187" s="2"/>
      <c r="E187" s="2"/>
      <c r="F187" s="2"/>
      <c r="G187" s="2"/>
      <c r="H187" s="2"/>
      <c r="I187" s="2"/>
      <c r="J187" s="14">
        <v>-21.984999999999999</v>
      </c>
      <c r="K187" s="14">
        <v>7.6159999999999997</v>
      </c>
      <c r="L187" s="14">
        <v>15.276999999999999</v>
      </c>
      <c r="M187" s="14">
        <v>65.436000000000007</v>
      </c>
      <c r="N187" s="14">
        <v>22.114000000000001</v>
      </c>
      <c r="O187" s="14">
        <v>51.618000000000002</v>
      </c>
      <c r="P187" s="14">
        <v>-61</v>
      </c>
      <c r="Q187" s="14">
        <v>76</v>
      </c>
      <c r="R187" s="14">
        <v>-23</v>
      </c>
      <c r="S187" s="15">
        <v>-46</v>
      </c>
      <c r="T187" s="15">
        <v>15</v>
      </c>
      <c r="U187" s="14">
        <v>-19</v>
      </c>
      <c r="V187" s="14">
        <v>-31</v>
      </c>
      <c r="W187" s="20">
        <v>-26</v>
      </c>
      <c r="X187" s="14">
        <v>10.4</v>
      </c>
      <c r="Y187" s="14">
        <v>32</v>
      </c>
      <c r="Z187" s="14">
        <v>36</v>
      </c>
      <c r="AA187" s="241">
        <v>-7</v>
      </c>
      <c r="AB187" s="241">
        <v>-75</v>
      </c>
      <c r="AC187" s="14">
        <v>0</v>
      </c>
      <c r="AD187" s="14">
        <v>0</v>
      </c>
      <c r="AE187" s="14">
        <v>0</v>
      </c>
      <c r="AF187" s="14">
        <v>0</v>
      </c>
      <c r="AG187" s="14">
        <v>0</v>
      </c>
      <c r="AH187" s="14">
        <v>0</v>
      </c>
      <c r="AI187" s="14">
        <v>0</v>
      </c>
      <c r="AJ187" s="14">
        <v>0</v>
      </c>
      <c r="AK187" s="14">
        <v>0</v>
      </c>
      <c r="AL187" s="14">
        <v>0</v>
      </c>
      <c r="AO187" s="2"/>
      <c r="AP187" s="2"/>
      <c r="AQ187" s="2"/>
      <c r="AR187" s="2"/>
      <c r="AS187" s="2"/>
      <c r="AT187" s="2"/>
      <c r="AU187" s="2"/>
      <c r="AV187" s="2"/>
    </row>
    <row r="188" spans="1:48" x14ac:dyDescent="0.2">
      <c r="A188" s="2"/>
      <c r="B188" s="2" t="s">
        <v>97</v>
      </c>
      <c r="C188" s="2"/>
      <c r="D188" s="2"/>
      <c r="E188" s="2"/>
      <c r="F188" s="2"/>
      <c r="G188" s="2"/>
      <c r="H188" s="2"/>
      <c r="I188" s="2"/>
      <c r="J188" s="14">
        <v>-7.7249999999999996</v>
      </c>
      <c r="K188" s="14">
        <v>-12.978999999999999</v>
      </c>
      <c r="L188" s="14">
        <v>-12.061</v>
      </c>
      <c r="M188" s="14">
        <v>-8.7840000000000007</v>
      </c>
      <c r="N188" s="14">
        <v>-8.7469999999999999</v>
      </c>
      <c r="O188" s="14">
        <v>-13.31</v>
      </c>
      <c r="P188" s="14">
        <f>+-P119</f>
        <v>-36</v>
      </c>
      <c r="Q188" s="14">
        <f>+-Q119</f>
        <v>-37</v>
      </c>
      <c r="R188" s="14">
        <f>+-R119</f>
        <v>-27</v>
      </c>
      <c r="S188" s="15">
        <v>-37</v>
      </c>
      <c r="T188" s="15">
        <v>-16</v>
      </c>
      <c r="U188" s="14">
        <v>-23</v>
      </c>
      <c r="V188" s="14">
        <v>-30</v>
      </c>
      <c r="W188" s="20">
        <v>-35</v>
      </c>
      <c r="X188" s="14">
        <v>-25</v>
      </c>
      <c r="Y188" s="14">
        <v>-17</v>
      </c>
      <c r="Z188" s="14">
        <v>-20</v>
      </c>
      <c r="AA188" s="241">
        <v>-21</v>
      </c>
      <c r="AB188" s="241">
        <v>-25</v>
      </c>
      <c r="AC188" s="14">
        <f t="shared" ref="AC188:AH188" si="321">+-AC119</f>
        <v>-47.955000000000013</v>
      </c>
      <c r="AD188" s="14">
        <f t="shared" si="321"/>
        <v>-24.379182667570539</v>
      </c>
      <c r="AE188" s="14">
        <f t="shared" si="321"/>
        <v>-10.438710304380265</v>
      </c>
      <c r="AF188" s="14">
        <f t="shared" si="321"/>
        <v>-11.836172285897337</v>
      </c>
      <c r="AG188" s="14">
        <f t="shared" si="321"/>
        <v>-18.200755021605747</v>
      </c>
      <c r="AH188" s="14">
        <f t="shared" si="321"/>
        <v>-37.157869661069171</v>
      </c>
      <c r="AI188" s="14">
        <f t="shared" ref="AI188:AL188" si="322">+-AI119</f>
        <v>-62.459604702202235</v>
      </c>
      <c r="AJ188" s="14">
        <f t="shared" si="322"/>
        <v>-87.898963868439353</v>
      </c>
      <c r="AK188" s="14">
        <f t="shared" si="322"/>
        <v>-115.39606484846381</v>
      </c>
      <c r="AL188" s="14">
        <f t="shared" si="322"/>
        <v>-149.70412572733429</v>
      </c>
      <c r="AO188" s="48"/>
      <c r="AP188" s="48"/>
      <c r="AQ188" s="48"/>
      <c r="AR188" s="2"/>
      <c r="AS188" s="2"/>
      <c r="AT188" s="2"/>
      <c r="AU188" s="2"/>
      <c r="AV188" s="2"/>
    </row>
    <row r="189" spans="1:48" x14ac:dyDescent="0.2">
      <c r="A189" s="2"/>
      <c r="B189" s="2" t="s">
        <v>98</v>
      </c>
      <c r="C189" s="2"/>
      <c r="D189" s="2"/>
      <c r="E189" s="2"/>
      <c r="F189" s="2"/>
      <c r="G189" s="2"/>
      <c r="H189" s="2"/>
      <c r="I189" s="2"/>
      <c r="J189" s="14">
        <f t="shared" ref="J189:Q189" si="323">-J120</f>
        <v>84.933000000000007</v>
      </c>
      <c r="K189" s="14">
        <f t="shared" si="323"/>
        <v>108.517</v>
      </c>
      <c r="L189" s="14">
        <f t="shared" si="323"/>
        <v>107.77200000000001</v>
      </c>
      <c r="M189" s="14">
        <f t="shared" si="323"/>
        <v>81.567999999999998</v>
      </c>
      <c r="N189" s="14">
        <f t="shared" si="323"/>
        <v>67.884</v>
      </c>
      <c r="O189" s="14">
        <f t="shared" si="323"/>
        <v>70.563999999999993</v>
      </c>
      <c r="P189" s="14">
        <f t="shared" si="323"/>
        <v>74</v>
      </c>
      <c r="Q189" s="14">
        <f t="shared" si="323"/>
        <v>184</v>
      </c>
      <c r="R189" s="14">
        <v>166</v>
      </c>
      <c r="S189" s="15">
        <v>178</v>
      </c>
      <c r="T189" s="15">
        <v>138</v>
      </c>
      <c r="U189" s="14">
        <v>112</v>
      </c>
      <c r="V189" s="14">
        <v>108</v>
      </c>
      <c r="W189" s="20">
        <v>97</v>
      </c>
      <c r="X189" s="14">
        <v>73</v>
      </c>
      <c r="Y189" s="14">
        <v>62</v>
      </c>
      <c r="Z189" s="14">
        <v>65</v>
      </c>
      <c r="AA189" s="241">
        <v>70</v>
      </c>
      <c r="AB189" s="241">
        <v>62</v>
      </c>
      <c r="AC189" s="14">
        <f t="shared" ref="AC189:AH189" si="324">-AC120-AC122</f>
        <v>52.64</v>
      </c>
      <c r="AD189" s="14">
        <f t="shared" si="324"/>
        <v>51.52000000000001</v>
      </c>
      <c r="AE189" s="14">
        <f t="shared" si="324"/>
        <v>50.400000000000013</v>
      </c>
      <c r="AF189" s="14">
        <f t="shared" si="324"/>
        <v>50.400000000000013</v>
      </c>
      <c r="AG189" s="14">
        <f t="shared" si="324"/>
        <v>50.400000000000013</v>
      </c>
      <c r="AH189" s="14">
        <f t="shared" si="324"/>
        <v>50.400000000000013</v>
      </c>
      <c r="AI189" s="14">
        <f t="shared" ref="AI189:AL189" si="325">-AI120-AI122</f>
        <v>50.400000000000013</v>
      </c>
      <c r="AJ189" s="14">
        <f t="shared" si="325"/>
        <v>50.400000000000013</v>
      </c>
      <c r="AK189" s="14">
        <f t="shared" si="325"/>
        <v>50.400000000000013</v>
      </c>
      <c r="AL189" s="14">
        <f t="shared" si="325"/>
        <v>50.400000000000013</v>
      </c>
      <c r="AO189" s="48"/>
      <c r="AP189" s="48"/>
      <c r="AQ189" s="48"/>
      <c r="AR189" s="2"/>
      <c r="AS189" s="2"/>
      <c r="AT189" s="2"/>
      <c r="AU189" s="2"/>
      <c r="AV189" s="2"/>
    </row>
    <row r="190" spans="1:48" x14ac:dyDescent="0.2">
      <c r="A190" s="2"/>
      <c r="B190" s="2" t="s">
        <v>67</v>
      </c>
      <c r="C190" s="2"/>
      <c r="D190" s="2"/>
      <c r="E190" s="2"/>
      <c r="F190" s="2"/>
      <c r="G190" s="2"/>
      <c r="H190" s="2"/>
      <c r="I190" s="2"/>
      <c r="J190" s="14">
        <v>2.3559999999999999</v>
      </c>
      <c r="K190" s="14">
        <v>-4.4400000000000004</v>
      </c>
      <c r="L190" s="14">
        <v>-4.0629999999999997</v>
      </c>
      <c r="M190" s="14">
        <v>-6.569</v>
      </c>
      <c r="N190" s="14">
        <v>-1.839</v>
      </c>
      <c r="O190" s="14">
        <v>1.7050000000000001</v>
      </c>
      <c r="P190" s="14">
        <v>3</v>
      </c>
      <c r="Q190" s="14">
        <v>2</v>
      </c>
      <c r="R190" s="14">
        <v>-7</v>
      </c>
      <c r="S190" s="15">
        <v>-7</v>
      </c>
      <c r="T190" s="15">
        <v>23</v>
      </c>
      <c r="U190" s="14">
        <v>5</v>
      </c>
      <c r="V190" s="14">
        <v>12</v>
      </c>
      <c r="W190" s="20">
        <v>12</v>
      </c>
      <c r="X190" s="14">
        <v>6</v>
      </c>
      <c r="Y190" s="14">
        <v>16</v>
      </c>
      <c r="Z190" s="14">
        <v>15</v>
      </c>
      <c r="AA190" s="241">
        <v>-21</v>
      </c>
      <c r="AB190" s="241">
        <v>17</v>
      </c>
      <c r="AC190" s="14">
        <v>0</v>
      </c>
      <c r="AD190" s="14">
        <v>0</v>
      </c>
      <c r="AE190" s="14">
        <v>0</v>
      </c>
      <c r="AF190" s="14">
        <v>0</v>
      </c>
      <c r="AG190" s="14">
        <v>0</v>
      </c>
      <c r="AH190" s="14">
        <v>0</v>
      </c>
      <c r="AI190" s="14">
        <v>0</v>
      </c>
      <c r="AJ190" s="14">
        <v>0</v>
      </c>
      <c r="AK190" s="14">
        <v>0</v>
      </c>
      <c r="AL190" s="14">
        <v>0</v>
      </c>
      <c r="AO190" s="2"/>
      <c r="AP190" s="2"/>
      <c r="AQ190" s="2"/>
      <c r="AR190" s="2"/>
      <c r="AS190" s="2"/>
      <c r="AT190" s="2"/>
      <c r="AU190" s="2"/>
      <c r="AV190" s="2"/>
    </row>
    <row r="191" spans="1:48" x14ac:dyDescent="0.2">
      <c r="A191" s="2"/>
      <c r="B191" s="2" t="s">
        <v>68</v>
      </c>
      <c r="C191" s="2"/>
      <c r="D191" s="2"/>
      <c r="E191" s="2"/>
      <c r="F191" s="2"/>
      <c r="G191" s="2"/>
      <c r="H191" s="2"/>
      <c r="I191" s="2"/>
      <c r="J191" s="14">
        <v>-3.68</v>
      </c>
      <c r="K191" s="14">
        <v>-230.39400000000001</v>
      </c>
      <c r="L191" s="14">
        <v>32.164999999999999</v>
      </c>
      <c r="M191" s="14">
        <v>1.9419999999999999</v>
      </c>
      <c r="N191" s="14">
        <v>-10.622999999999999</v>
      </c>
      <c r="O191" s="14">
        <v>-83.498999999999995</v>
      </c>
      <c r="P191" s="14">
        <v>-142</v>
      </c>
      <c r="Q191" s="14">
        <v>98</v>
      </c>
      <c r="R191" s="14">
        <v>26</v>
      </c>
      <c r="S191" s="15">
        <v>-324</v>
      </c>
      <c r="T191" s="15">
        <v>617</v>
      </c>
      <c r="U191" s="14">
        <v>-561</v>
      </c>
      <c r="V191" s="14">
        <v>-353</v>
      </c>
      <c r="W191" s="20">
        <v>23</v>
      </c>
      <c r="X191" s="14">
        <v>-299</v>
      </c>
      <c r="Y191" s="14">
        <v>-76</v>
      </c>
      <c r="Z191" s="14">
        <v>-639</v>
      </c>
      <c r="AA191" s="241">
        <v>-621</v>
      </c>
      <c r="AB191" s="241">
        <v>-216</v>
      </c>
      <c r="AC191" s="14">
        <f t="shared" ref="AC191:AL192" si="326">-(AC248-AB248)</f>
        <v>-176.75359607457494</v>
      </c>
      <c r="AD191" s="14">
        <f t="shared" si="326"/>
        <v>-243.8350017464636</v>
      </c>
      <c r="AE191" s="14">
        <f t="shared" si="326"/>
        <v>-136.63138152271858</v>
      </c>
      <c r="AF191" s="14">
        <f t="shared" si="326"/>
        <v>-133.19576171315384</v>
      </c>
      <c r="AG191" s="14">
        <f t="shared" si="326"/>
        <v>-276.27102087903495</v>
      </c>
      <c r="AH191" s="14">
        <f t="shared" si="326"/>
        <v>-198.34590911043688</v>
      </c>
      <c r="AI191" s="14">
        <f t="shared" si="326"/>
        <v>-273.76804374675066</v>
      </c>
      <c r="AJ191" s="14">
        <f t="shared" si="326"/>
        <v>-311.6992812919425</v>
      </c>
      <c r="AK191" s="14">
        <f t="shared" si="326"/>
        <v>-259.39239485973212</v>
      </c>
      <c r="AL191" s="14">
        <f t="shared" si="326"/>
        <v>-265.05312968408452</v>
      </c>
      <c r="AO191" s="2"/>
      <c r="AP191" s="2"/>
      <c r="AQ191" s="2"/>
      <c r="AR191" s="2"/>
      <c r="AS191" s="2"/>
      <c r="AT191" s="2"/>
      <c r="AU191" s="2"/>
      <c r="AV191" s="2"/>
    </row>
    <row r="192" spans="1:48" x14ac:dyDescent="0.2">
      <c r="A192" s="2"/>
      <c r="B192" s="2" t="s">
        <v>118</v>
      </c>
      <c r="C192" s="2"/>
      <c r="D192" s="2"/>
      <c r="E192" s="2"/>
      <c r="F192" s="2"/>
      <c r="G192" s="2"/>
      <c r="H192" s="2"/>
      <c r="I192" s="2"/>
      <c r="J192" s="14">
        <v>-123.771</v>
      </c>
      <c r="K192" s="14">
        <v>-115.767</v>
      </c>
      <c r="L192" s="14">
        <v>-128.15700000000001</v>
      </c>
      <c r="M192" s="14">
        <v>-176.339</v>
      </c>
      <c r="N192" s="14">
        <v>194.244</v>
      </c>
      <c r="O192" s="14">
        <v>-130.40100000000001</v>
      </c>
      <c r="P192" s="14">
        <v>-303</v>
      </c>
      <c r="Q192" s="14">
        <v>52</v>
      </c>
      <c r="R192" s="14">
        <v>-66</v>
      </c>
      <c r="S192" s="15">
        <v>-236</v>
      </c>
      <c r="T192" s="15">
        <v>464</v>
      </c>
      <c r="U192" s="14">
        <v>-100</v>
      </c>
      <c r="V192" s="14">
        <v>-41</v>
      </c>
      <c r="W192" s="20">
        <v>-135</v>
      </c>
      <c r="X192" s="14">
        <v>-302</v>
      </c>
      <c r="Y192" s="14">
        <v>-36</v>
      </c>
      <c r="Z192" s="14">
        <v>-183</v>
      </c>
      <c r="AA192" s="241">
        <v>-411</v>
      </c>
      <c r="AB192" s="241">
        <v>-477</v>
      </c>
      <c r="AC192" s="14">
        <f t="shared" si="326"/>
        <v>-262.62098118869108</v>
      </c>
      <c r="AD192" s="14">
        <f t="shared" si="326"/>
        <v>-243.56003865229786</v>
      </c>
      <c r="AE192" s="14">
        <f t="shared" si="326"/>
        <v>-229.76335976905193</v>
      </c>
      <c r="AF192" s="14">
        <f t="shared" si="326"/>
        <v>-215.01832276284858</v>
      </c>
      <c r="AG192" s="14">
        <f t="shared" si="326"/>
        <v>-216.60608030557978</v>
      </c>
      <c r="AH192" s="14">
        <f t="shared" si="326"/>
        <v>-224.40538807236999</v>
      </c>
      <c r="AI192" s="14">
        <f t="shared" si="326"/>
        <v>-214.54102373886735</v>
      </c>
      <c r="AJ192" s="14">
        <f t="shared" si="326"/>
        <v>-227.55311952345801</v>
      </c>
      <c r="AK192" s="14">
        <f t="shared" si="326"/>
        <v>-136.83602757414337</v>
      </c>
      <c r="AL192" s="14">
        <f t="shared" si="326"/>
        <v>-245.2559466393468</v>
      </c>
      <c r="AO192" s="2"/>
      <c r="AP192" s="2"/>
      <c r="AQ192" s="2"/>
      <c r="AR192" s="2"/>
      <c r="AS192" s="2"/>
      <c r="AT192" s="2"/>
      <c r="AU192" s="2"/>
      <c r="AV192" s="2"/>
    </row>
    <row r="193" spans="1:48" x14ac:dyDescent="0.2">
      <c r="A193" s="2"/>
      <c r="B193" s="2" t="s">
        <v>116</v>
      </c>
      <c r="C193" s="2"/>
      <c r="D193" s="2"/>
      <c r="E193" s="2"/>
      <c r="F193" s="2"/>
      <c r="G193" s="2"/>
      <c r="H193" s="2"/>
      <c r="I193" s="2"/>
      <c r="J193" s="14">
        <v>117.63200000000001</v>
      </c>
      <c r="K193" s="14">
        <v>8.0139999999999993</v>
      </c>
      <c r="L193" s="14">
        <v>71.161000000000001</v>
      </c>
      <c r="M193" s="14">
        <v>273.89800000000002</v>
      </c>
      <c r="N193" s="14">
        <v>-25</v>
      </c>
      <c r="O193" s="14">
        <v>255.792</v>
      </c>
      <c r="P193" s="14">
        <v>289</v>
      </c>
      <c r="Q193" s="14">
        <v>-98</v>
      </c>
      <c r="R193" s="14">
        <v>97</v>
      </c>
      <c r="S193" s="15">
        <v>374</v>
      </c>
      <c r="T193" s="15">
        <v>-312</v>
      </c>
      <c r="U193" s="6">
        <v>757</v>
      </c>
      <c r="V193" s="6">
        <v>449</v>
      </c>
      <c r="W193" s="15">
        <v>94</v>
      </c>
      <c r="X193" s="6">
        <v>151</v>
      </c>
      <c r="Y193" s="6">
        <v>-117</v>
      </c>
      <c r="Z193" s="6">
        <v>823</v>
      </c>
      <c r="AA193" s="239">
        <v>1006</v>
      </c>
      <c r="AB193" s="239">
        <v>422</v>
      </c>
      <c r="AC193" s="6">
        <f t="shared" ref="AC193:AL193" si="327">AC261-AB261</f>
        <v>654.81533483193743</v>
      </c>
      <c r="AD193" s="6">
        <f t="shared" si="327"/>
        <v>232.82472925150523</v>
      </c>
      <c r="AE193" s="6">
        <f t="shared" si="327"/>
        <v>218.334420940781</v>
      </c>
      <c r="AF193" s="6">
        <f t="shared" si="327"/>
        <v>206.13732076846009</v>
      </c>
      <c r="AG193" s="6">
        <f t="shared" si="327"/>
        <v>247.36780671044744</v>
      </c>
      <c r="AH193" s="6">
        <f t="shared" si="327"/>
        <v>300.33565411243444</v>
      </c>
      <c r="AI193" s="6">
        <f t="shared" si="327"/>
        <v>216.13266611585595</v>
      </c>
      <c r="AJ193" s="6">
        <f t="shared" si="327"/>
        <v>246.07837996732223</v>
      </c>
      <c r="AK193" s="6">
        <f t="shared" si="327"/>
        <v>244.62249424844867</v>
      </c>
      <c r="AL193" s="6">
        <f t="shared" si="327"/>
        <v>253.5395578438829</v>
      </c>
      <c r="AO193" s="2"/>
      <c r="AP193" s="2"/>
      <c r="AQ193" s="2"/>
      <c r="AR193" s="2"/>
      <c r="AS193" s="2"/>
      <c r="AT193" s="2"/>
      <c r="AU193" s="2"/>
      <c r="AV193" s="2"/>
    </row>
    <row r="194" spans="1:48" x14ac:dyDescent="0.2">
      <c r="A194" s="2"/>
      <c r="B194" s="2" t="s">
        <v>347</v>
      </c>
      <c r="C194" s="2"/>
      <c r="D194" s="2"/>
      <c r="E194" s="2"/>
      <c r="F194" s="2"/>
      <c r="G194" s="2"/>
      <c r="H194" s="2"/>
      <c r="I194" s="2"/>
      <c r="J194" s="14">
        <v>0</v>
      </c>
      <c r="K194" s="14">
        <v>0</v>
      </c>
      <c r="L194" s="14">
        <v>0</v>
      </c>
      <c r="M194" s="14">
        <v>0</v>
      </c>
      <c r="N194" s="14">
        <v>0</v>
      </c>
      <c r="O194" s="14">
        <v>45.075000000000003</v>
      </c>
      <c r="P194" s="14">
        <v>-28</v>
      </c>
      <c r="Q194" s="14">
        <v>0</v>
      </c>
      <c r="R194" s="14">
        <v>0</v>
      </c>
      <c r="S194" s="15">
        <v>0</v>
      </c>
      <c r="T194" s="15">
        <v>0</v>
      </c>
      <c r="U194" s="6">
        <v>0</v>
      </c>
      <c r="V194" s="6">
        <v>0</v>
      </c>
      <c r="W194" s="15">
        <v>0</v>
      </c>
      <c r="X194" s="6">
        <v>0</v>
      </c>
      <c r="Y194" s="6">
        <v>0</v>
      </c>
      <c r="Z194" s="6">
        <v>0</v>
      </c>
      <c r="AA194" s="239">
        <v>0</v>
      </c>
      <c r="AB194" s="239">
        <v>0</v>
      </c>
      <c r="AC194" s="6">
        <v>0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O194" s="2"/>
      <c r="AP194" s="2"/>
      <c r="AQ194" s="2"/>
      <c r="AR194" s="2"/>
      <c r="AS194" s="2"/>
      <c r="AT194" s="2"/>
      <c r="AU194" s="2"/>
      <c r="AV194" s="2"/>
    </row>
    <row r="195" spans="1:48" x14ac:dyDescent="0.2">
      <c r="A195" s="8"/>
      <c r="B195" s="8" t="s">
        <v>346</v>
      </c>
      <c r="C195" s="8"/>
      <c r="D195" s="8"/>
      <c r="E195" s="8"/>
      <c r="F195" s="8"/>
      <c r="G195" s="8"/>
      <c r="H195" s="8"/>
      <c r="I195" s="8"/>
      <c r="J195" s="9">
        <f t="shared" ref="J195:R195" si="328">J191+J192+J193+J194</f>
        <v>-9.8190000000000026</v>
      </c>
      <c r="K195" s="9">
        <f t="shared" si="328"/>
        <v>-338.14699999999999</v>
      </c>
      <c r="L195" s="9">
        <f t="shared" si="328"/>
        <v>-24.831000000000017</v>
      </c>
      <c r="M195" s="9">
        <f t="shared" si="328"/>
        <v>99.501000000000033</v>
      </c>
      <c r="N195" s="9">
        <f t="shared" si="328"/>
        <v>158.62100000000001</v>
      </c>
      <c r="O195" s="9">
        <f t="shared" si="328"/>
        <v>86.966999999999999</v>
      </c>
      <c r="P195" s="9">
        <f t="shared" si="328"/>
        <v>-184</v>
      </c>
      <c r="Q195" s="9">
        <f t="shared" si="328"/>
        <v>52</v>
      </c>
      <c r="R195" s="9">
        <f t="shared" si="328"/>
        <v>57</v>
      </c>
      <c r="S195" s="9">
        <f>S191+S192+S193+S194</f>
        <v>-186</v>
      </c>
      <c r="T195" s="9">
        <f t="shared" ref="T195:W195" si="329">T191+T192+T193+T194</f>
        <v>769</v>
      </c>
      <c r="U195" s="9">
        <f t="shared" si="329"/>
        <v>96</v>
      </c>
      <c r="V195" s="55">
        <f>V191+V192+V193+V194</f>
        <v>55</v>
      </c>
      <c r="W195" s="55">
        <f t="shared" si="329"/>
        <v>-18</v>
      </c>
      <c r="X195" s="55">
        <f t="shared" ref="X195:AH195" si="330">X191+X192+X193+X194</f>
        <v>-450</v>
      </c>
      <c r="Y195" s="55">
        <f t="shared" si="330"/>
        <v>-229</v>
      </c>
      <c r="Z195" s="55">
        <f t="shared" si="330"/>
        <v>1</v>
      </c>
      <c r="AA195" s="55">
        <f t="shared" si="330"/>
        <v>-26</v>
      </c>
      <c r="AB195" s="55">
        <f t="shared" si="330"/>
        <v>-271</v>
      </c>
      <c r="AC195" s="55">
        <f t="shared" si="330"/>
        <v>215.44075756867142</v>
      </c>
      <c r="AD195" s="55">
        <f t="shared" si="330"/>
        <v>-254.57031114725623</v>
      </c>
      <c r="AE195" s="55">
        <f t="shared" si="330"/>
        <v>-148.06032035098951</v>
      </c>
      <c r="AF195" s="55">
        <f t="shared" si="330"/>
        <v>-142.07676370754234</v>
      </c>
      <c r="AG195" s="55">
        <f t="shared" si="330"/>
        <v>-245.50929447416729</v>
      </c>
      <c r="AH195" s="55">
        <f t="shared" si="330"/>
        <v>-122.41564307037243</v>
      </c>
      <c r="AI195" s="55">
        <f t="shared" ref="AI195:AL195" si="331">AI191+AI192+AI193+AI194</f>
        <v>-272.17640136976206</v>
      </c>
      <c r="AJ195" s="55">
        <f t="shared" si="331"/>
        <v>-293.17402084807827</v>
      </c>
      <c r="AK195" s="55">
        <f t="shared" si="331"/>
        <v>-151.60592818542682</v>
      </c>
      <c r="AL195" s="55">
        <f t="shared" si="331"/>
        <v>-256.76951847954842</v>
      </c>
      <c r="AM195" s="8"/>
      <c r="AN195" s="8"/>
      <c r="AO195" s="8"/>
      <c r="AP195" s="8"/>
      <c r="AQ195" s="8"/>
      <c r="AR195" s="8"/>
      <c r="AS195" s="8"/>
      <c r="AT195" s="8"/>
      <c r="AU195" s="8"/>
      <c r="AV195" s="8"/>
    </row>
    <row r="196" spans="1:48" x14ac:dyDescent="0.2">
      <c r="A196" s="8"/>
      <c r="B196" s="4" t="s">
        <v>164</v>
      </c>
      <c r="C196" s="8"/>
      <c r="D196" s="8"/>
      <c r="E196" s="8"/>
      <c r="F196" s="8"/>
      <c r="G196" s="8"/>
      <c r="H196" s="8"/>
      <c r="I196" s="8"/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20">
        <v>-21</v>
      </c>
      <c r="T196" s="20">
        <v>5</v>
      </c>
      <c r="U196" s="20">
        <v>-7</v>
      </c>
      <c r="V196" s="20">
        <v>-2</v>
      </c>
      <c r="W196" s="20">
        <v>-5</v>
      </c>
      <c r="X196" s="20">
        <f>26-1</f>
        <v>25</v>
      </c>
      <c r="Y196" s="20">
        <f>7-1-65</f>
        <v>-59</v>
      </c>
      <c r="Z196" s="20">
        <f>3-1+0</f>
        <v>2</v>
      </c>
      <c r="AA196" s="241">
        <v>-1</v>
      </c>
      <c r="AB196" s="241">
        <f>3-30+76+6</f>
        <v>55</v>
      </c>
      <c r="AC196" s="20">
        <v>0</v>
      </c>
      <c r="AD196" s="20">
        <v>0</v>
      </c>
      <c r="AE196" s="20">
        <v>0</v>
      </c>
      <c r="AF196" s="20">
        <v>0</v>
      </c>
      <c r="AG196" s="20">
        <v>0</v>
      </c>
      <c r="AH196" s="20">
        <v>0</v>
      </c>
      <c r="AI196" s="20">
        <v>0</v>
      </c>
      <c r="AJ196" s="20">
        <v>0</v>
      </c>
      <c r="AK196" s="20">
        <v>0</v>
      </c>
      <c r="AL196" s="20">
        <v>0</v>
      </c>
      <c r="AM196" s="8"/>
      <c r="AN196" s="8"/>
      <c r="AO196" s="8"/>
      <c r="AP196" s="8"/>
      <c r="AQ196" s="8"/>
      <c r="AR196" s="8"/>
      <c r="AS196" s="8"/>
      <c r="AT196" s="8"/>
      <c r="AU196" s="8"/>
      <c r="AV196" s="8"/>
    </row>
    <row r="197" spans="1:48" x14ac:dyDescent="0.2">
      <c r="A197" s="8"/>
      <c r="B197" s="8" t="s">
        <v>163</v>
      </c>
      <c r="C197" s="8"/>
      <c r="D197" s="8"/>
      <c r="E197" s="8"/>
      <c r="F197" s="8"/>
      <c r="G197" s="8"/>
      <c r="H197" s="8"/>
      <c r="I197" s="8"/>
      <c r="J197" s="9">
        <f t="shared" ref="J197:R197" si="332">J182+J186+J187+J188+J189+J190+J195+J196</f>
        <v>565.08299999999986</v>
      </c>
      <c r="K197" s="9">
        <f t="shared" si="332"/>
        <v>239.89100000000047</v>
      </c>
      <c r="L197" s="9">
        <f t="shared" si="332"/>
        <v>606.47499999999968</v>
      </c>
      <c r="M197" s="9">
        <f t="shared" si="332"/>
        <v>780.79300000000012</v>
      </c>
      <c r="N197" s="9">
        <f t="shared" si="332"/>
        <v>831.52499999999998</v>
      </c>
      <c r="O197" s="9">
        <f t="shared" si="332"/>
        <v>842.00699999999983</v>
      </c>
      <c r="P197" s="9">
        <f t="shared" si="332"/>
        <v>579.20699999999988</v>
      </c>
      <c r="Q197" s="9">
        <f t="shared" si="332"/>
        <v>1217</v>
      </c>
      <c r="R197" s="9">
        <f t="shared" si="332"/>
        <v>1196</v>
      </c>
      <c r="S197" s="9">
        <f>S182+S186+S187+S188+S189+S190+S195+S196</f>
        <v>1019</v>
      </c>
      <c r="T197" s="9">
        <f t="shared" ref="T197:V197" si="333">T182+T186+T187+T188+T189+T190+T195+T196</f>
        <v>1591</v>
      </c>
      <c r="U197" s="9">
        <f t="shared" si="333"/>
        <v>1240</v>
      </c>
      <c r="V197" s="9">
        <f t="shared" si="333"/>
        <v>1234</v>
      </c>
      <c r="W197" s="9">
        <f t="shared" ref="W197:AH197" si="334">W182+W186+W187+W188+W189+W190+W195+W196</f>
        <v>1412</v>
      </c>
      <c r="X197" s="9">
        <f t="shared" si="334"/>
        <v>1090.9000000000001</v>
      </c>
      <c r="Y197" s="9">
        <f t="shared" si="334"/>
        <v>1043.8999999999996</v>
      </c>
      <c r="Z197" s="9">
        <f t="shared" si="334"/>
        <v>1530.0496415269372</v>
      </c>
      <c r="AA197" s="9">
        <f t="shared" si="334"/>
        <v>1834</v>
      </c>
      <c r="AB197" s="9">
        <f t="shared" si="334"/>
        <v>2269.6000000000004</v>
      </c>
      <c r="AC197" s="9">
        <f t="shared" si="334"/>
        <v>2946.633174404802</v>
      </c>
      <c r="AD197" s="9">
        <f t="shared" si="334"/>
        <v>2897.076021412649</v>
      </c>
      <c r="AE197" s="9">
        <f t="shared" si="334"/>
        <v>3412.4602044455205</v>
      </c>
      <c r="AF197" s="9">
        <f t="shared" si="334"/>
        <v>3981.2656777230486</v>
      </c>
      <c r="AG197" s="9">
        <f t="shared" si="334"/>
        <v>4403.3145665368193</v>
      </c>
      <c r="AH197" s="9">
        <f t="shared" si="334"/>
        <v>5088.2416536790479</v>
      </c>
      <c r="AI197" s="9">
        <f t="shared" ref="AI197:AL197" si="335">AI182+AI186+AI187+AI188+AI189+AI190+AI195+AI196</f>
        <v>5399.6230673581204</v>
      </c>
      <c r="AJ197" s="9">
        <f t="shared" si="335"/>
        <v>5769.5420940432487</v>
      </c>
      <c r="AK197" s="9">
        <f t="shared" si="335"/>
        <v>6396.7859730957171</v>
      </c>
      <c r="AL197" s="9">
        <f t="shared" si="335"/>
        <v>6845.5055884898193</v>
      </c>
      <c r="AM197" s="8"/>
      <c r="AN197" s="8"/>
      <c r="AO197" s="8"/>
      <c r="AP197" s="8"/>
      <c r="AQ197" s="8"/>
      <c r="AR197" s="8"/>
      <c r="AS197" s="8"/>
      <c r="AT197" s="8"/>
      <c r="AU197" s="8"/>
      <c r="AV197" s="8"/>
    </row>
    <row r="198" spans="1:48" x14ac:dyDescent="0.2">
      <c r="A198" s="8"/>
      <c r="B198" s="8"/>
      <c r="C198" s="8"/>
      <c r="D198" s="8"/>
      <c r="E198" s="8"/>
      <c r="F198" s="8"/>
      <c r="G198" s="8"/>
      <c r="H198" s="8"/>
      <c r="I198" s="8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8"/>
      <c r="AN198" s="8"/>
      <c r="AO198" s="8"/>
      <c r="AP198" s="8"/>
      <c r="AQ198" s="8"/>
      <c r="AR198" s="8"/>
      <c r="AS198" s="8"/>
      <c r="AT198" s="8"/>
      <c r="AU198" s="8"/>
      <c r="AV198" s="8"/>
    </row>
    <row r="199" spans="1:48" x14ac:dyDescent="0.2">
      <c r="A199" s="2"/>
      <c r="B199" s="2" t="s">
        <v>70</v>
      </c>
      <c r="C199" s="2"/>
      <c r="D199" s="2"/>
      <c r="E199" s="2"/>
      <c r="F199" s="2"/>
      <c r="G199" s="2"/>
      <c r="H199" s="2"/>
      <c r="I199" s="2"/>
      <c r="J199" s="14">
        <v>-84.766000000000005</v>
      </c>
      <c r="K199" s="14">
        <v>-105.313</v>
      </c>
      <c r="L199" s="14">
        <v>-110.4</v>
      </c>
      <c r="M199" s="14">
        <v>-79.149000000000001</v>
      </c>
      <c r="N199" s="14">
        <v>-60.161999999999999</v>
      </c>
      <c r="O199" s="14">
        <v>-64.960999999999999</v>
      </c>
      <c r="P199" s="14">
        <v>-68</v>
      </c>
      <c r="Q199" s="14">
        <v>-158</v>
      </c>
      <c r="R199" s="14">
        <v>-161</v>
      </c>
      <c r="S199" s="6">
        <v>-176</v>
      </c>
      <c r="T199" s="6">
        <v>-131</v>
      </c>
      <c r="U199" s="6">
        <v>-111</v>
      </c>
      <c r="V199" s="6">
        <v>-113</v>
      </c>
      <c r="W199" s="6">
        <v>-90</v>
      </c>
      <c r="X199" s="6">
        <v>-67.5</v>
      </c>
      <c r="Y199" s="6">
        <v>-59</v>
      </c>
      <c r="Z199" s="6">
        <v>-55</v>
      </c>
      <c r="AA199" s="239">
        <v>-46</v>
      </c>
      <c r="AB199" s="239">
        <v>-65</v>
      </c>
      <c r="AC199" s="6">
        <f t="shared" ref="AC199:AH199" si="336">+-AC189</f>
        <v>-52.64</v>
      </c>
      <c r="AD199" s="6">
        <f t="shared" si="336"/>
        <v>-51.52000000000001</v>
      </c>
      <c r="AE199" s="6">
        <f t="shared" si="336"/>
        <v>-50.400000000000013</v>
      </c>
      <c r="AF199" s="6">
        <f t="shared" si="336"/>
        <v>-50.400000000000013</v>
      </c>
      <c r="AG199" s="6">
        <f t="shared" si="336"/>
        <v>-50.400000000000013</v>
      </c>
      <c r="AH199" s="6">
        <f t="shared" si="336"/>
        <v>-50.400000000000013</v>
      </c>
      <c r="AI199" s="6">
        <f t="shared" ref="AI199:AL199" si="337">+-AI189</f>
        <v>-50.400000000000013</v>
      </c>
      <c r="AJ199" s="6">
        <f t="shared" si="337"/>
        <v>-50.400000000000013</v>
      </c>
      <c r="AK199" s="6">
        <f t="shared" si="337"/>
        <v>-50.400000000000013</v>
      </c>
      <c r="AL199" s="6">
        <f t="shared" si="337"/>
        <v>-50.400000000000013</v>
      </c>
      <c r="AO199" s="48"/>
      <c r="AP199" s="48"/>
      <c r="AQ199" s="48"/>
      <c r="AR199" s="2"/>
      <c r="AS199" s="2"/>
      <c r="AT199" s="2"/>
      <c r="AU199" s="2"/>
      <c r="AV199" s="2"/>
    </row>
    <row r="200" spans="1:48" x14ac:dyDescent="0.2">
      <c r="A200" s="2"/>
      <c r="B200" s="2" t="s">
        <v>71</v>
      </c>
      <c r="C200" s="2"/>
      <c r="D200" s="2"/>
      <c r="E200" s="2"/>
      <c r="F200" s="2"/>
      <c r="G200" s="2"/>
      <c r="H200" s="2"/>
      <c r="I200" s="2"/>
      <c r="J200" s="14">
        <v>-151.977</v>
      </c>
      <c r="K200" s="14">
        <v>-144.99299999999999</v>
      </c>
      <c r="L200" s="14">
        <v>-112.015</v>
      </c>
      <c r="M200" s="14">
        <v>-167.58099999999999</v>
      </c>
      <c r="N200" s="14">
        <v>-120.26</v>
      </c>
      <c r="O200" s="14">
        <v>-198.92500000000001</v>
      </c>
      <c r="P200" s="14">
        <v>-159</v>
      </c>
      <c r="Q200" s="14">
        <v>-297</v>
      </c>
      <c r="R200" s="14">
        <v>-255</v>
      </c>
      <c r="S200" s="6">
        <v>-346</v>
      </c>
      <c r="T200" s="6">
        <v>-262</v>
      </c>
      <c r="U200" s="6">
        <v>-235</v>
      </c>
      <c r="V200" s="6">
        <v>-314</v>
      </c>
      <c r="W200" s="6">
        <v>-380</v>
      </c>
      <c r="X200" s="6">
        <v>-389.5</v>
      </c>
      <c r="Y200" s="6">
        <v>-284</v>
      </c>
      <c r="Z200" s="6">
        <v>-386</v>
      </c>
      <c r="AA200" s="239">
        <v>-439</v>
      </c>
      <c r="AB200" s="239">
        <v>-556</v>
      </c>
      <c r="AC200" s="6">
        <f t="shared" ref="AC200:AH200" si="338">+AC131</f>
        <v>-690.10584337442674</v>
      </c>
      <c r="AD200" s="6">
        <f t="shared" si="338"/>
        <v>-797.0188281504461</v>
      </c>
      <c r="AE200" s="6">
        <f t="shared" si="338"/>
        <v>-905.45212788394133</v>
      </c>
      <c r="AF200" s="6">
        <f t="shared" si="338"/>
        <v>-1065.1652590503593</v>
      </c>
      <c r="AG200" s="6">
        <f t="shared" si="338"/>
        <v>-1216.6848740827122</v>
      </c>
      <c r="AH200" s="6">
        <f t="shared" si="338"/>
        <v>-1382.9933737387032</v>
      </c>
      <c r="AI200" s="6">
        <f t="shared" ref="AI200:AL200" si="339">+AI131</f>
        <v>-1521.127698829416</v>
      </c>
      <c r="AJ200" s="6">
        <f t="shared" si="339"/>
        <v>-1638.3267476238263</v>
      </c>
      <c r="AK200" s="6">
        <f t="shared" si="339"/>
        <v>-1784.1752349799028</v>
      </c>
      <c r="AL200" s="6">
        <f t="shared" si="339"/>
        <v>-1952.5336100629097</v>
      </c>
      <c r="AO200" s="48"/>
      <c r="AP200" s="48"/>
      <c r="AQ200" s="48"/>
      <c r="AR200" s="2"/>
      <c r="AS200" s="2"/>
      <c r="AT200" s="2"/>
      <c r="AU200" s="2"/>
      <c r="AV200" s="2"/>
    </row>
    <row r="201" spans="1:48" x14ac:dyDescent="0.2">
      <c r="A201" s="8"/>
      <c r="B201" s="8" t="s">
        <v>348</v>
      </c>
      <c r="C201" s="8"/>
      <c r="D201" s="8"/>
      <c r="E201" s="8"/>
      <c r="F201" s="8"/>
      <c r="G201" s="8"/>
      <c r="H201" s="8"/>
      <c r="I201" s="8"/>
      <c r="J201" s="9">
        <f t="shared" ref="J201:R201" si="340">J197+J199+J200</f>
        <v>328.3399999999998</v>
      </c>
      <c r="K201" s="9">
        <f t="shared" si="340"/>
        <v>-10.414999999999509</v>
      </c>
      <c r="L201" s="9">
        <f t="shared" si="340"/>
        <v>384.05999999999972</v>
      </c>
      <c r="M201" s="9">
        <f t="shared" si="340"/>
        <v>534.0630000000001</v>
      </c>
      <c r="N201" s="9">
        <f t="shared" si="340"/>
        <v>651.10299999999995</v>
      </c>
      <c r="O201" s="9">
        <f t="shared" si="340"/>
        <v>578.12099999999987</v>
      </c>
      <c r="P201" s="9">
        <f t="shared" si="340"/>
        <v>352.20699999999988</v>
      </c>
      <c r="Q201" s="9">
        <f t="shared" si="340"/>
        <v>762</v>
      </c>
      <c r="R201" s="9">
        <f t="shared" si="340"/>
        <v>780</v>
      </c>
      <c r="S201" s="9">
        <f>S197+S199+S200</f>
        <v>497</v>
      </c>
      <c r="T201" s="9">
        <f t="shared" ref="T201:Y201" si="341">T197+T199+T200</f>
        <v>1198</v>
      </c>
      <c r="U201" s="9">
        <f t="shared" si="341"/>
        <v>894</v>
      </c>
      <c r="V201" s="9">
        <f t="shared" si="341"/>
        <v>807</v>
      </c>
      <c r="W201" s="9">
        <f>W197+W199+W200</f>
        <v>942</v>
      </c>
      <c r="X201" s="9">
        <f>X197+X199+X200</f>
        <v>633.90000000000009</v>
      </c>
      <c r="Y201" s="9">
        <f t="shared" si="341"/>
        <v>700.89999999999964</v>
      </c>
      <c r="Z201" s="9">
        <f t="shared" ref="Z201:AH201" si="342">Z197+Z199+Z200</f>
        <v>1089.0496415269372</v>
      </c>
      <c r="AA201" s="9">
        <f t="shared" si="342"/>
        <v>1349</v>
      </c>
      <c r="AB201" s="9">
        <f t="shared" si="342"/>
        <v>1648.6000000000004</v>
      </c>
      <c r="AC201" s="9">
        <f t="shared" si="342"/>
        <v>2203.8873310303752</v>
      </c>
      <c r="AD201" s="9">
        <f t="shared" si="342"/>
        <v>2048.5371932622029</v>
      </c>
      <c r="AE201" s="9">
        <f t="shared" si="342"/>
        <v>2456.6080765615789</v>
      </c>
      <c r="AF201" s="9">
        <f t="shared" si="342"/>
        <v>2865.700418672689</v>
      </c>
      <c r="AG201" s="9">
        <f t="shared" si="342"/>
        <v>3136.2296924541074</v>
      </c>
      <c r="AH201" s="9">
        <f t="shared" si="342"/>
        <v>3654.848279940345</v>
      </c>
      <c r="AI201" s="9">
        <f t="shared" ref="AI201:AL201" si="343">AI197+AI199+AI200</f>
        <v>3828.095368528705</v>
      </c>
      <c r="AJ201" s="9">
        <f t="shared" si="343"/>
        <v>4080.8153464194229</v>
      </c>
      <c r="AK201" s="9">
        <f t="shared" si="343"/>
        <v>4562.2107381158148</v>
      </c>
      <c r="AL201" s="9">
        <f t="shared" si="343"/>
        <v>4842.5719784269095</v>
      </c>
      <c r="AM201" s="8"/>
      <c r="AN201" s="8"/>
      <c r="AO201" s="8"/>
      <c r="AP201" s="8"/>
      <c r="AQ201" s="8"/>
      <c r="AR201" s="8"/>
      <c r="AS201" s="8"/>
      <c r="AT201" s="8"/>
      <c r="AU201" s="8"/>
      <c r="AV201" s="8"/>
    </row>
    <row r="202" spans="1:48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11"/>
      <c r="K202" s="11"/>
      <c r="L202" s="11"/>
      <c r="M202" s="11"/>
      <c r="N202" s="11"/>
      <c r="O202" s="14"/>
      <c r="P202" s="14"/>
      <c r="Q202" s="11"/>
      <c r="R202" s="11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">
      <c r="A203" s="2"/>
      <c r="B203" s="8" t="s">
        <v>349</v>
      </c>
      <c r="C203" s="2"/>
      <c r="D203" s="2"/>
      <c r="E203" s="2"/>
      <c r="F203" s="2"/>
      <c r="G203" s="2"/>
      <c r="H203" s="2"/>
      <c r="I203" s="2"/>
      <c r="J203" s="14"/>
      <c r="K203" s="14"/>
      <c r="L203" s="14"/>
      <c r="M203" s="14"/>
      <c r="N203" s="14"/>
      <c r="O203" s="14"/>
      <c r="P203" s="14"/>
      <c r="Q203" s="14"/>
      <c r="R203" s="11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">
      <c r="A204" s="2"/>
      <c r="B204" s="4" t="s">
        <v>165</v>
      </c>
      <c r="C204" s="6"/>
      <c r="D204" s="6"/>
      <c r="E204" s="6"/>
      <c r="F204" s="6"/>
      <c r="G204" s="6"/>
      <c r="H204" s="6"/>
      <c r="I204" s="6"/>
      <c r="J204" s="14">
        <v>-31.187000000000001</v>
      </c>
      <c r="K204" s="14">
        <v>-24.562000000000001</v>
      </c>
      <c r="L204" s="14">
        <v>-42.338000000000001</v>
      </c>
      <c r="M204" s="14">
        <v>-150.64699999999999</v>
      </c>
      <c r="N204" s="14">
        <v>-35.031999999999996</v>
      </c>
      <c r="O204" s="14">
        <v>-43.148000000000003</v>
      </c>
      <c r="P204" s="14">
        <f>-27+6</f>
        <v>-21</v>
      </c>
      <c r="Q204" s="14">
        <f>-75+19</f>
        <v>-56</v>
      </c>
      <c r="R204" s="14">
        <f>-55+10</f>
        <v>-45</v>
      </c>
      <c r="S204" s="14">
        <f>-60+8</f>
        <v>-52</v>
      </c>
      <c r="T204" s="14">
        <f>-46+10</f>
        <v>-36</v>
      </c>
      <c r="U204" s="14">
        <f>-42+17</f>
        <v>-25</v>
      </c>
      <c r="V204" s="14">
        <f>-58</f>
        <v>-58</v>
      </c>
      <c r="W204" s="20">
        <f>-58+1</f>
        <v>-57</v>
      </c>
      <c r="X204" s="14">
        <f>-52+1.4</f>
        <v>-50.6</v>
      </c>
      <c r="Y204" s="14">
        <f>-49+1</f>
        <v>-48</v>
      </c>
      <c r="Z204" s="14">
        <f>-49+0</f>
        <v>-49</v>
      </c>
      <c r="AA204" s="241">
        <v>-65</v>
      </c>
      <c r="AB204" s="243">
        <v>-74.5</v>
      </c>
      <c r="AC204" s="14">
        <f t="shared" ref="AC204:AH204" si="344">-AC507</f>
        <v>-76.734999999999999</v>
      </c>
      <c r="AD204" s="14">
        <f t="shared" si="344"/>
        <v>-77.502350000000007</v>
      </c>
      <c r="AE204" s="14">
        <f t="shared" si="344"/>
        <v>-78.27737350000001</v>
      </c>
      <c r="AF204" s="14">
        <f t="shared" si="344"/>
        <v>-78.27737350000001</v>
      </c>
      <c r="AG204" s="14">
        <f t="shared" si="344"/>
        <v>-78.27737350000001</v>
      </c>
      <c r="AH204" s="14">
        <f t="shared" si="344"/>
        <v>-78.27737350000001</v>
      </c>
      <c r="AI204" s="14">
        <f t="shared" ref="AI204:AL204" si="345">-AI507</f>
        <v>-78.27737350000001</v>
      </c>
      <c r="AJ204" s="14">
        <f t="shared" si="345"/>
        <v>-78.27737350000001</v>
      </c>
      <c r="AK204" s="14">
        <f t="shared" si="345"/>
        <v>-78.27737350000001</v>
      </c>
      <c r="AL204" s="14">
        <f t="shared" si="345"/>
        <v>-78.27737350000001</v>
      </c>
      <c r="AO204" s="2"/>
      <c r="AP204" s="2"/>
      <c r="AQ204" s="2"/>
      <c r="AR204" s="2"/>
      <c r="AS204" s="2"/>
      <c r="AT204" s="2"/>
      <c r="AU204" s="2"/>
      <c r="AV204" s="2"/>
    </row>
    <row r="205" spans="1:48" x14ac:dyDescent="0.2">
      <c r="A205" s="2"/>
      <c r="B205" s="11" t="s">
        <v>166</v>
      </c>
      <c r="C205" s="6"/>
      <c r="D205" s="6"/>
      <c r="E205" s="6"/>
      <c r="F205" s="6"/>
      <c r="G205" s="6"/>
      <c r="H205" s="6"/>
      <c r="I205" s="6"/>
      <c r="J205" s="14">
        <v>-101.349</v>
      </c>
      <c r="K205" s="14">
        <v>-124.815</v>
      </c>
      <c r="L205" s="14">
        <v>-159.733</v>
      </c>
      <c r="M205" s="14">
        <v>-114.133</v>
      </c>
      <c r="N205" s="14">
        <v>-109.673</v>
      </c>
      <c r="O205" s="14">
        <v>-116.76300000000001</v>
      </c>
      <c r="P205" s="14">
        <v>-188</v>
      </c>
      <c r="Q205" s="14">
        <v>-202</v>
      </c>
      <c r="R205" s="14">
        <v>-230</v>
      </c>
      <c r="S205" s="14">
        <v>-316</v>
      </c>
      <c r="T205" s="14">
        <v>-195</v>
      </c>
      <c r="U205" s="14">
        <v>-227</v>
      </c>
      <c r="V205" s="14">
        <v>-318</v>
      </c>
      <c r="W205" s="20">
        <v>-376</v>
      </c>
      <c r="X205" s="14">
        <v>-421.5</v>
      </c>
      <c r="Y205" s="14">
        <v>-499</v>
      </c>
      <c r="Z205" s="14">
        <v>-464</v>
      </c>
      <c r="AA205" s="241">
        <v>-586</v>
      </c>
      <c r="AB205" s="243">
        <v>-678.4</v>
      </c>
      <c r="AC205" s="14">
        <f t="shared" ref="AC205:AH205" si="346">-AC503</f>
        <v>-896.16919822273564</v>
      </c>
      <c r="AD205" s="14">
        <f t="shared" si="346"/>
        <v>-931.79354155225042</v>
      </c>
      <c r="AE205" s="14">
        <f t="shared" si="346"/>
        <v>-954.63488447799853</v>
      </c>
      <c r="AF205" s="14">
        <f t="shared" si="346"/>
        <v>-965.13240801065626</v>
      </c>
      <c r="AG205" s="14">
        <f t="shared" si="346"/>
        <v>-968.59703289725053</v>
      </c>
      <c r="AH205" s="14">
        <f t="shared" si="346"/>
        <v>-1031.0031027230905</v>
      </c>
      <c r="AI205" s="14">
        <f t="shared" ref="AI205:AL205" si="347">-AI503</f>
        <v>-1090.6659398009469</v>
      </c>
      <c r="AJ205" s="14">
        <f t="shared" si="347"/>
        <v>-1153.9473787541372</v>
      </c>
      <c r="AK205" s="14">
        <f t="shared" si="347"/>
        <v>-1182.9154542697656</v>
      </c>
      <c r="AL205" s="14">
        <f t="shared" si="347"/>
        <v>-1210.2581745385821</v>
      </c>
      <c r="AO205" s="2"/>
      <c r="AP205" s="2"/>
      <c r="AQ205" s="2"/>
      <c r="AR205" s="2"/>
      <c r="AS205" s="2"/>
      <c r="AT205" s="2"/>
      <c r="AU205" s="2"/>
      <c r="AV205" s="2"/>
    </row>
    <row r="206" spans="1:48" x14ac:dyDescent="0.2">
      <c r="A206" s="2"/>
      <c r="B206" s="11" t="s">
        <v>72</v>
      </c>
      <c r="C206" s="6"/>
      <c r="D206" s="6"/>
      <c r="E206" s="6"/>
      <c r="F206" s="6"/>
      <c r="G206" s="6"/>
      <c r="H206" s="6"/>
      <c r="I206" s="6"/>
      <c r="J206" s="14">
        <v>18.111999999999998</v>
      </c>
      <c r="K206" s="14">
        <v>14.141</v>
      </c>
      <c r="L206" s="14">
        <v>23.292999999999999</v>
      </c>
      <c r="M206" s="14">
        <v>10.936999999999999</v>
      </c>
      <c r="N206" s="14">
        <v>28.347000000000001</v>
      </c>
      <c r="O206" s="14">
        <v>0.96</v>
      </c>
      <c r="P206" s="14">
        <v>14</v>
      </c>
      <c r="Q206" s="14">
        <v>36</v>
      </c>
      <c r="R206" s="14">
        <v>30</v>
      </c>
      <c r="S206" s="14">
        <v>27</v>
      </c>
      <c r="T206" s="14">
        <v>16</v>
      </c>
      <c r="U206" s="14">
        <v>23</v>
      </c>
      <c r="V206" s="14">
        <v>2</v>
      </c>
      <c r="W206" s="20">
        <v>19</v>
      </c>
      <c r="X206" s="14">
        <v>4.4000000000000004</v>
      </c>
      <c r="Y206" s="14">
        <v>4</v>
      </c>
      <c r="Z206" s="14">
        <v>6</v>
      </c>
      <c r="AA206" s="241">
        <v>5</v>
      </c>
      <c r="AB206" s="243">
        <v>2.4</v>
      </c>
      <c r="AC206" s="14">
        <v>0</v>
      </c>
      <c r="AD206" s="14">
        <v>0</v>
      </c>
      <c r="AE206" s="14">
        <v>0</v>
      </c>
      <c r="AF206" s="14">
        <v>0</v>
      </c>
      <c r="AG206" s="14">
        <v>0</v>
      </c>
      <c r="AH206" s="14">
        <v>0</v>
      </c>
      <c r="AI206" s="14">
        <v>0</v>
      </c>
      <c r="AJ206" s="14">
        <v>0</v>
      </c>
      <c r="AK206" s="14">
        <v>0</v>
      </c>
      <c r="AL206" s="14">
        <v>0</v>
      </c>
      <c r="AO206" s="2"/>
      <c r="AP206" s="2"/>
      <c r="AQ206" s="2"/>
      <c r="AR206" s="2"/>
      <c r="AS206" s="2"/>
      <c r="AT206" s="2"/>
      <c r="AU206" s="2"/>
      <c r="AV206" s="2"/>
    </row>
    <row r="207" spans="1:48" x14ac:dyDescent="0.2">
      <c r="A207" s="2"/>
      <c r="B207" s="11" t="s">
        <v>350</v>
      </c>
      <c r="C207" s="6"/>
      <c r="D207" s="6"/>
      <c r="E207" s="6"/>
      <c r="F207" s="6"/>
      <c r="G207" s="6"/>
      <c r="H207" s="6"/>
      <c r="I207" s="6"/>
      <c r="J207" s="14">
        <v>0</v>
      </c>
      <c r="K207" s="14">
        <v>0</v>
      </c>
      <c r="L207" s="14">
        <v>0</v>
      </c>
      <c r="M207" s="14">
        <v>-76.971999999999994</v>
      </c>
      <c r="N207" s="14">
        <v>0</v>
      </c>
      <c r="O207" s="14">
        <v>-9.8089999999999993</v>
      </c>
      <c r="P207" s="14">
        <v>0</v>
      </c>
      <c r="Q207" s="14">
        <v>-2432</v>
      </c>
      <c r="R207" s="14">
        <v>-2</v>
      </c>
      <c r="S207" s="6">
        <v>-50</v>
      </c>
      <c r="T207" s="6">
        <v>-8</v>
      </c>
      <c r="U207" s="6">
        <v>0</v>
      </c>
      <c r="V207" s="14">
        <v>-20</v>
      </c>
      <c r="W207" s="15">
        <v>-57</v>
      </c>
      <c r="X207" s="6">
        <v>0</v>
      </c>
      <c r="Y207" s="6">
        <v>-6</v>
      </c>
      <c r="Z207" s="6">
        <v>-214</v>
      </c>
      <c r="AA207" s="239">
        <v>0</v>
      </c>
      <c r="AB207" s="239">
        <v>0</v>
      </c>
      <c r="AC207" s="6">
        <v>0</v>
      </c>
      <c r="AD207" s="6">
        <v>0</v>
      </c>
      <c r="AE207" s="6">
        <v>0</v>
      </c>
      <c r="AF207" s="6">
        <v>0</v>
      </c>
      <c r="AG207" s="6">
        <v>0</v>
      </c>
      <c r="AH207" s="6">
        <v>0</v>
      </c>
      <c r="AI207" s="6">
        <v>0</v>
      </c>
      <c r="AJ207" s="6">
        <v>0</v>
      </c>
      <c r="AK207" s="6">
        <v>0</v>
      </c>
      <c r="AL207" s="6">
        <v>0</v>
      </c>
      <c r="AO207" s="2"/>
      <c r="AP207" s="2"/>
      <c r="AQ207" s="2"/>
      <c r="AR207" s="2"/>
      <c r="AS207" s="2"/>
      <c r="AT207" s="2"/>
      <c r="AU207" s="2"/>
      <c r="AV207" s="2"/>
    </row>
    <row r="208" spans="1:48" x14ac:dyDescent="0.2">
      <c r="A208" s="2"/>
      <c r="B208" s="11" t="s">
        <v>99</v>
      </c>
      <c r="C208" s="6"/>
      <c r="D208" s="6"/>
      <c r="E208" s="6"/>
      <c r="F208" s="6"/>
      <c r="G208" s="6"/>
      <c r="H208" s="6"/>
      <c r="I208" s="6"/>
      <c r="J208" s="14">
        <v>0</v>
      </c>
      <c r="K208" s="14">
        <v>0</v>
      </c>
      <c r="L208" s="14">
        <v>0</v>
      </c>
      <c r="M208" s="14">
        <v>0</v>
      </c>
      <c r="N208" s="14">
        <v>0</v>
      </c>
      <c r="O208" s="14">
        <v>0</v>
      </c>
      <c r="P208" s="14">
        <v>450</v>
      </c>
      <c r="Q208" s="14">
        <v>33</v>
      </c>
      <c r="R208" s="14">
        <v>0</v>
      </c>
      <c r="S208" s="6">
        <v>0</v>
      </c>
      <c r="T208" s="6">
        <v>0</v>
      </c>
      <c r="U208" s="6">
        <v>0</v>
      </c>
      <c r="V208" s="6">
        <v>0</v>
      </c>
      <c r="W208" s="15">
        <v>14</v>
      </c>
      <c r="X208" s="6">
        <f>+(W252-X252)+(X266-W266)</f>
        <v>0</v>
      </c>
      <c r="Y208" s="6">
        <v>0</v>
      </c>
      <c r="Z208" s="6">
        <v>164</v>
      </c>
      <c r="AA208" s="239">
        <f>14+29+1</f>
        <v>44</v>
      </c>
      <c r="AB208" s="244">
        <v>6.4</v>
      </c>
      <c r="AC208" s="6">
        <f t="shared" ref="AC208:AL208" si="348">+(AB252-AC252)+(AC266-AB266)</f>
        <v>0</v>
      </c>
      <c r="AD208" s="6">
        <f t="shared" si="348"/>
        <v>0</v>
      </c>
      <c r="AE208" s="6">
        <f t="shared" si="348"/>
        <v>0</v>
      </c>
      <c r="AF208" s="6">
        <f t="shared" si="348"/>
        <v>0</v>
      </c>
      <c r="AG208" s="6">
        <f t="shared" si="348"/>
        <v>0</v>
      </c>
      <c r="AH208" s="6">
        <f t="shared" si="348"/>
        <v>0</v>
      </c>
      <c r="AI208" s="6">
        <f t="shared" si="348"/>
        <v>0</v>
      </c>
      <c r="AJ208" s="6">
        <f t="shared" si="348"/>
        <v>0</v>
      </c>
      <c r="AK208" s="6">
        <f t="shared" si="348"/>
        <v>0</v>
      </c>
      <c r="AL208" s="6">
        <f t="shared" si="348"/>
        <v>0</v>
      </c>
      <c r="AO208" s="2"/>
      <c r="AP208" s="2"/>
      <c r="AQ208" s="2"/>
      <c r="AR208" s="2"/>
      <c r="AS208" s="2"/>
      <c r="AT208" s="2"/>
      <c r="AU208" s="2"/>
      <c r="AV208" s="2"/>
    </row>
    <row r="209" spans="1:48" x14ac:dyDescent="0.2">
      <c r="A209" s="2"/>
      <c r="B209" s="2" t="s">
        <v>167</v>
      </c>
      <c r="C209" s="2"/>
      <c r="D209" s="2"/>
      <c r="E209" s="2"/>
      <c r="F209" s="2"/>
      <c r="G209" s="2"/>
      <c r="H209" s="2"/>
      <c r="I209" s="2"/>
      <c r="J209" s="14">
        <v>-26.538</v>
      </c>
      <c r="K209" s="14">
        <v>1.8080000000000001</v>
      </c>
      <c r="L209" s="14">
        <f>9.3-19.519</f>
        <v>-10.218999999999998</v>
      </c>
      <c r="M209" s="14">
        <f>9.662+16.757-19.623</f>
        <v>6.7960000000000029</v>
      </c>
      <c r="N209" s="14">
        <f>-49.77-80.584</f>
        <v>-130.35400000000001</v>
      </c>
      <c r="O209" s="14">
        <f>-168.357-41.634</f>
        <v>-209.99099999999999</v>
      </c>
      <c r="P209" s="14">
        <f>201-53</f>
        <v>148</v>
      </c>
      <c r="Q209" s="14">
        <f>22-1-32-170-223</f>
        <v>-404</v>
      </c>
      <c r="R209" s="14">
        <f>-47-11-7</f>
        <v>-65</v>
      </c>
      <c r="S209" s="6">
        <f>-59-25-6</f>
        <v>-90</v>
      </c>
      <c r="T209" s="6">
        <f>60-1-14</f>
        <v>45</v>
      </c>
      <c r="U209" s="2">
        <f>-146+44</f>
        <v>-102</v>
      </c>
      <c r="V209" s="2">
        <f>-192-10</f>
        <v>-202</v>
      </c>
      <c r="W209" s="4">
        <f>195+10</f>
        <v>205</v>
      </c>
      <c r="X209" s="2">
        <f>226-20-6.4</f>
        <v>199.6</v>
      </c>
      <c r="Y209" s="2">
        <f>37-36-6</f>
        <v>-5</v>
      </c>
      <c r="Z209" s="2">
        <f>0-48-6</f>
        <v>-54</v>
      </c>
      <c r="AA209" s="242">
        <v>-33</v>
      </c>
      <c r="AB209" s="244">
        <f>42.4-4</f>
        <v>38.4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O209" s="2"/>
      <c r="AP209" s="2"/>
      <c r="AQ209" s="2"/>
      <c r="AR209" s="2"/>
      <c r="AS209" s="2"/>
      <c r="AT209" s="2"/>
      <c r="AU209" s="2"/>
      <c r="AV209" s="2"/>
    </row>
    <row r="210" spans="1:48" x14ac:dyDescent="0.2">
      <c r="A210" s="2"/>
      <c r="B210" s="11" t="s">
        <v>69</v>
      </c>
      <c r="C210" s="6"/>
      <c r="D210" s="6"/>
      <c r="E210" s="6"/>
      <c r="F210" s="6"/>
      <c r="G210" s="6"/>
      <c r="H210" s="6"/>
      <c r="I210" s="6"/>
      <c r="J210" s="14">
        <v>7.7249999999999996</v>
      </c>
      <c r="K210" s="14">
        <v>12.978999999999999</v>
      </c>
      <c r="L210" s="14">
        <v>12.061</v>
      </c>
      <c r="M210" s="14">
        <v>8.7840000000000007</v>
      </c>
      <c r="N210" s="14">
        <v>8.7469999999999999</v>
      </c>
      <c r="O210" s="14">
        <v>13.907999999999999</v>
      </c>
      <c r="P210" s="14">
        <v>37</v>
      </c>
      <c r="Q210" s="14">
        <f>+-Q188</f>
        <v>37</v>
      </c>
      <c r="R210" s="14">
        <f t="shared" ref="R210:W210" si="349">+-R188</f>
        <v>27</v>
      </c>
      <c r="S210" s="6">
        <f t="shared" si="349"/>
        <v>37</v>
      </c>
      <c r="T210" s="6">
        <f t="shared" si="349"/>
        <v>16</v>
      </c>
      <c r="U210" s="6">
        <v>1</v>
      </c>
      <c r="V210" s="6">
        <v>30</v>
      </c>
      <c r="W210" s="15">
        <f t="shared" si="349"/>
        <v>35</v>
      </c>
      <c r="X210" s="6">
        <v>25</v>
      </c>
      <c r="Y210" s="6">
        <v>17</v>
      </c>
      <c r="Z210" s="6">
        <v>20</v>
      </c>
      <c r="AA210" s="239">
        <v>21</v>
      </c>
      <c r="AB210" s="244">
        <v>25.4</v>
      </c>
      <c r="AC210" s="6">
        <f t="shared" ref="AC210:AH210" si="350">+-AC188</f>
        <v>47.955000000000013</v>
      </c>
      <c r="AD210" s="6">
        <f t="shared" si="350"/>
        <v>24.379182667570539</v>
      </c>
      <c r="AE210" s="6">
        <f t="shared" si="350"/>
        <v>10.438710304380265</v>
      </c>
      <c r="AF210" s="6">
        <f t="shared" si="350"/>
        <v>11.836172285897337</v>
      </c>
      <c r="AG210" s="6">
        <f t="shared" si="350"/>
        <v>18.200755021605747</v>
      </c>
      <c r="AH210" s="6">
        <f t="shared" si="350"/>
        <v>37.157869661069171</v>
      </c>
      <c r="AI210" s="6">
        <f t="shared" ref="AI210:AL210" si="351">+-AI188</f>
        <v>62.459604702202235</v>
      </c>
      <c r="AJ210" s="6">
        <f t="shared" si="351"/>
        <v>87.898963868439353</v>
      </c>
      <c r="AK210" s="6">
        <f t="shared" si="351"/>
        <v>115.39606484846381</v>
      </c>
      <c r="AL210" s="6">
        <f t="shared" si="351"/>
        <v>149.70412572733429</v>
      </c>
      <c r="AO210" s="2"/>
      <c r="AP210" s="2"/>
      <c r="AQ210" s="2"/>
      <c r="AR210" s="2"/>
      <c r="AS210" s="2"/>
      <c r="AT210" s="2"/>
      <c r="AU210" s="2"/>
      <c r="AV210" s="2"/>
    </row>
    <row r="211" spans="1:48" x14ac:dyDescent="0.2">
      <c r="A211" s="8"/>
      <c r="B211" s="13" t="s">
        <v>351</v>
      </c>
      <c r="C211" s="9"/>
      <c r="D211" s="9"/>
      <c r="E211" s="9"/>
      <c r="F211" s="9"/>
      <c r="G211" s="9"/>
      <c r="H211" s="9"/>
      <c r="I211" s="9"/>
      <c r="J211" s="55">
        <f>J204+J205+J206+J207+J208+J209+J210</f>
        <v>-133.23700000000002</v>
      </c>
      <c r="K211" s="55">
        <f t="shared" ref="K211:Z211" si="352">K204+K205+K206+K207+K208+K209+K210</f>
        <v>-120.44900000000003</v>
      </c>
      <c r="L211" s="55">
        <f t="shared" si="352"/>
        <v>-176.93599999999998</v>
      </c>
      <c r="M211" s="55">
        <f t="shared" si="352"/>
        <v>-315.23499999999996</v>
      </c>
      <c r="N211" s="55">
        <f t="shared" si="352"/>
        <v>-237.96499999999997</v>
      </c>
      <c r="O211" s="55">
        <f t="shared" si="352"/>
        <v>-364.84299999999996</v>
      </c>
      <c r="P211" s="55">
        <f t="shared" si="352"/>
        <v>440</v>
      </c>
      <c r="Q211" s="55">
        <f t="shared" si="352"/>
        <v>-2988</v>
      </c>
      <c r="R211" s="55">
        <f t="shared" si="352"/>
        <v>-285</v>
      </c>
      <c r="S211" s="55">
        <f t="shared" si="352"/>
        <v>-444</v>
      </c>
      <c r="T211" s="55">
        <f t="shared" si="352"/>
        <v>-162</v>
      </c>
      <c r="U211" s="55">
        <f t="shared" si="352"/>
        <v>-330</v>
      </c>
      <c r="V211" s="55">
        <f t="shared" si="352"/>
        <v>-566</v>
      </c>
      <c r="W211" s="55">
        <f t="shared" si="352"/>
        <v>-217</v>
      </c>
      <c r="X211" s="55">
        <f>X204+X205+X206+X207+X208+X209+X210</f>
        <v>-243.10000000000002</v>
      </c>
      <c r="Y211" s="55">
        <f t="shared" si="352"/>
        <v>-537</v>
      </c>
      <c r="Z211" s="55">
        <f t="shared" si="352"/>
        <v>-591</v>
      </c>
      <c r="AA211" s="55">
        <f>AA204+AA205+AA206+AA207+AA208+AA209+AA210</f>
        <v>-614</v>
      </c>
      <c r="AB211" s="55">
        <f>AB204+AB205+AB206+AB207+AB208+AB209+AB210</f>
        <v>-680.30000000000007</v>
      </c>
      <c r="AC211" s="55">
        <f t="shared" ref="AC211:AH211" si="353">AC204+AC205+AC206+AC207+AC208+AC209+AC210</f>
        <v>-924.94919822273562</v>
      </c>
      <c r="AD211" s="55">
        <f t="shared" si="353"/>
        <v>-984.91670888467991</v>
      </c>
      <c r="AE211" s="55">
        <f t="shared" si="353"/>
        <v>-1022.4735476736182</v>
      </c>
      <c r="AF211" s="55">
        <f t="shared" si="353"/>
        <v>-1031.5736092247589</v>
      </c>
      <c r="AG211" s="55">
        <f t="shared" si="353"/>
        <v>-1028.6736513756448</v>
      </c>
      <c r="AH211" s="55">
        <f t="shared" si="353"/>
        <v>-1072.1226065620215</v>
      </c>
      <c r="AI211" s="55">
        <f t="shared" ref="AI211:AL211" si="354">AI204+AI205+AI206+AI207+AI208+AI209+AI210</f>
        <v>-1106.4837085987447</v>
      </c>
      <c r="AJ211" s="55">
        <f t="shared" si="354"/>
        <v>-1144.3257883856979</v>
      </c>
      <c r="AK211" s="55">
        <f t="shared" si="354"/>
        <v>-1145.7967629213019</v>
      </c>
      <c r="AL211" s="55">
        <f t="shared" si="354"/>
        <v>-1138.8314223112479</v>
      </c>
      <c r="AM211" s="8"/>
      <c r="AN211" s="8"/>
      <c r="AO211" s="8"/>
      <c r="AP211" s="8"/>
      <c r="AQ211" s="8"/>
      <c r="AR211" s="8"/>
      <c r="AS211" s="8"/>
      <c r="AT211" s="8"/>
      <c r="AU211" s="8"/>
      <c r="AV211" s="8"/>
    </row>
    <row r="212" spans="1:48" x14ac:dyDescent="0.2">
      <c r="A212" s="2"/>
      <c r="B212" s="11"/>
      <c r="C212" s="6"/>
      <c r="D212" s="6"/>
      <c r="E212" s="6"/>
      <c r="F212" s="6"/>
      <c r="G212" s="6"/>
      <c r="H212" s="6"/>
      <c r="I212" s="6"/>
      <c r="J212" s="14"/>
      <c r="K212" s="14"/>
      <c r="L212" s="14"/>
      <c r="M212" s="14"/>
      <c r="N212" s="14"/>
      <c r="O212" s="14"/>
      <c r="P212" s="14"/>
      <c r="Q212" s="14"/>
      <c r="R212" s="14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">
      <c r="A213" s="2"/>
      <c r="B213" s="13" t="s">
        <v>352</v>
      </c>
      <c r="C213" s="6"/>
      <c r="D213" s="6"/>
      <c r="E213" s="6"/>
      <c r="F213" s="6"/>
      <c r="G213" s="6"/>
      <c r="H213" s="6"/>
      <c r="I213" s="6"/>
      <c r="J213" s="14"/>
      <c r="K213" s="14"/>
      <c r="L213" s="14"/>
      <c r="M213" s="14"/>
      <c r="N213" s="92"/>
      <c r="O213" s="14"/>
      <c r="P213" s="14"/>
      <c r="Q213" s="14"/>
      <c r="R213" s="14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">
      <c r="A214" s="2"/>
      <c r="B214" s="11" t="s">
        <v>168</v>
      </c>
      <c r="C214" s="6"/>
      <c r="D214" s="6"/>
      <c r="E214" s="6"/>
      <c r="F214" s="6"/>
      <c r="G214" s="6"/>
      <c r="H214" s="6"/>
      <c r="I214" s="6"/>
      <c r="J214" s="14">
        <f>1236.698-1382.239</f>
        <v>-145.54099999999994</v>
      </c>
      <c r="K214" s="14">
        <f>132.967+71.517</f>
        <v>204.48400000000001</v>
      </c>
      <c r="L214" s="14">
        <f>-47.667-88.283</f>
        <v>-135.94999999999999</v>
      </c>
      <c r="M214" s="14">
        <f>0.144-166.369</f>
        <v>-166.22499999999999</v>
      </c>
      <c r="N214" s="14">
        <v>-617.59799999999996</v>
      </c>
      <c r="O214" s="14">
        <f>-367.078+185.848</f>
        <v>-181.22999999999996</v>
      </c>
      <c r="P214" s="14">
        <f>106-186</f>
        <v>-80</v>
      </c>
      <c r="Q214" s="14">
        <v>1099</v>
      </c>
      <c r="R214" s="14">
        <v>-424</v>
      </c>
      <c r="S214" s="14">
        <f>588-186</f>
        <v>402</v>
      </c>
      <c r="T214" s="14">
        <f>-508-404+497</f>
        <v>-415</v>
      </c>
      <c r="U214" s="14">
        <f>33-198</f>
        <v>-165</v>
      </c>
      <c r="V214" s="14">
        <f>-273-57</f>
        <v>-330</v>
      </c>
      <c r="W214" s="14">
        <f>-3-231+496</f>
        <v>262</v>
      </c>
      <c r="X214" s="14">
        <f>-221+67-2</f>
        <v>-156</v>
      </c>
      <c r="Y214" s="14">
        <f>990-500-2+68-56</f>
        <v>500</v>
      </c>
      <c r="Z214" s="14">
        <f>-10-2+35-103</f>
        <v>-80</v>
      </c>
      <c r="AA214" s="241">
        <f>-3+150-138</f>
        <v>9</v>
      </c>
      <c r="AB214" s="241">
        <f>-2-273</f>
        <v>-275</v>
      </c>
      <c r="AC214" s="24">
        <v>0</v>
      </c>
      <c r="AD214" s="24">
        <v>0</v>
      </c>
      <c r="AE214" s="24">
        <v>0</v>
      </c>
      <c r="AF214" s="24">
        <v>0</v>
      </c>
      <c r="AG214" s="24">
        <v>0</v>
      </c>
      <c r="AH214" s="24">
        <v>0</v>
      </c>
      <c r="AI214" s="24">
        <v>0</v>
      </c>
      <c r="AJ214" s="24">
        <v>0</v>
      </c>
      <c r="AK214" s="24">
        <v>0</v>
      </c>
      <c r="AL214" s="24">
        <v>0</v>
      </c>
      <c r="AO214" s="2"/>
      <c r="AP214" s="2"/>
      <c r="AQ214" s="2"/>
      <c r="AR214" s="2"/>
      <c r="AS214" s="2"/>
      <c r="AT214" s="2"/>
      <c r="AU214" s="2"/>
      <c r="AV214" s="2"/>
    </row>
    <row r="215" spans="1:48" x14ac:dyDescent="0.2">
      <c r="A215" s="2"/>
      <c r="B215" s="11" t="s">
        <v>353</v>
      </c>
      <c r="C215" s="6"/>
      <c r="D215" s="6"/>
      <c r="E215" s="6"/>
      <c r="F215" s="6"/>
      <c r="G215" s="6"/>
      <c r="H215" s="6"/>
      <c r="I215" s="6"/>
      <c r="J215" s="14">
        <f>-38.258-0.551</f>
        <v>-38.809000000000005</v>
      </c>
      <c r="K215" s="14">
        <f>-41.736-2.692</f>
        <v>-44.427999999999997</v>
      </c>
      <c r="L215" s="14">
        <f>-41.721-51.349</f>
        <v>-93.07</v>
      </c>
      <c r="M215" s="14">
        <f>-41.721-3.341</f>
        <v>-45.061999999999998</v>
      </c>
      <c r="N215" s="14">
        <f>-45.423-5.022</f>
        <v>-50.445</v>
      </c>
      <c r="O215" s="14">
        <f>-45.454-4.085</f>
        <v>-49.539000000000001</v>
      </c>
      <c r="P215" s="14">
        <f>-60-3</f>
        <v>-63</v>
      </c>
      <c r="Q215" s="14">
        <f>-66-4</f>
        <v>-70</v>
      </c>
      <c r="R215" s="14">
        <f>-85-1</f>
        <v>-86</v>
      </c>
      <c r="S215" s="6">
        <v>-99</v>
      </c>
      <c r="T215" s="6">
        <v>-97</v>
      </c>
      <c r="U215" s="6">
        <v>-73</v>
      </c>
      <c r="V215" s="6">
        <v>-167</v>
      </c>
      <c r="W215" s="6">
        <v>-209</v>
      </c>
      <c r="X215" s="6">
        <f>-282</f>
        <v>-282</v>
      </c>
      <c r="Y215" s="6">
        <f>-314</f>
        <v>-314</v>
      </c>
      <c r="Z215" s="14">
        <v>-303</v>
      </c>
      <c r="AA215" s="241">
        <v>-320</v>
      </c>
      <c r="AB215" s="241">
        <f>-405-1-0.4</f>
        <v>-406.4</v>
      </c>
      <c r="AC215" s="6">
        <f t="shared" ref="AC215:AH215" si="355">+AC161</f>
        <v>-658.47899942911306</v>
      </c>
      <c r="AD215" s="6">
        <f t="shared" si="355"/>
        <v>-760.6441025370367</v>
      </c>
      <c r="AE215" s="6">
        <f t="shared" si="355"/>
        <v>-864.26142981210694</v>
      </c>
      <c r="AF215" s="6">
        <f t="shared" si="355"/>
        <v>-1016.8976726625098</v>
      </c>
      <c r="AG215" s="6">
        <f t="shared" si="355"/>
        <v>-1161.7003091052918</v>
      </c>
      <c r="AH215" s="6">
        <f t="shared" si="355"/>
        <v>-1320.6389213216701</v>
      </c>
      <c r="AI215" s="6">
        <f t="shared" ref="AI215:AL215" si="356">+AI161</f>
        <v>-1452.6437016181048</v>
      </c>
      <c r="AJ215" s="6">
        <f t="shared" si="356"/>
        <v>-1564.6345090325021</v>
      </c>
      <c r="AK215" s="6">
        <f t="shared" si="356"/>
        <v>-1704.010931250989</v>
      </c>
      <c r="AL215" s="6">
        <f t="shared" si="356"/>
        <v>-1864.9039347325117</v>
      </c>
      <c r="AO215" s="2"/>
      <c r="AP215" s="2"/>
      <c r="AQ215" s="2"/>
      <c r="AR215" s="2"/>
      <c r="AS215" s="2"/>
      <c r="AT215" s="2"/>
      <c r="AU215" s="2"/>
      <c r="AV215" s="2"/>
    </row>
    <row r="216" spans="1:48" x14ac:dyDescent="0.2">
      <c r="A216" s="2"/>
      <c r="B216" s="11" t="s">
        <v>161</v>
      </c>
      <c r="C216" s="6"/>
      <c r="D216" s="6"/>
      <c r="E216" s="6"/>
      <c r="F216" s="6"/>
      <c r="G216" s="6"/>
      <c r="H216" s="6"/>
      <c r="I216" s="6"/>
      <c r="J216" s="14">
        <v>0</v>
      </c>
      <c r="K216" s="14">
        <v>0</v>
      </c>
      <c r="L216" s="14">
        <v>0</v>
      </c>
      <c r="M216" s="14">
        <v>0</v>
      </c>
      <c r="N216" s="14">
        <v>0</v>
      </c>
      <c r="O216" s="14">
        <v>0</v>
      </c>
      <c r="P216" s="14">
        <v>639</v>
      </c>
      <c r="Q216" s="14">
        <v>0</v>
      </c>
      <c r="R216" s="14">
        <v>0</v>
      </c>
      <c r="S216" s="6">
        <v>-409</v>
      </c>
      <c r="T216" s="6">
        <v>0</v>
      </c>
      <c r="U216" s="14">
        <v>0</v>
      </c>
      <c r="V216" s="14">
        <v>0</v>
      </c>
      <c r="W216" s="14">
        <f t="shared" ref="W216:AE216" si="357">-W174</f>
        <v>0</v>
      </c>
      <c r="X216" s="14">
        <f t="shared" si="357"/>
        <v>0</v>
      </c>
      <c r="Y216" s="14">
        <f t="shared" si="357"/>
        <v>-299.99775311999997</v>
      </c>
      <c r="Z216" s="14">
        <v>-301</v>
      </c>
      <c r="AA216" s="241">
        <v>-218</v>
      </c>
      <c r="AB216" s="241">
        <f>-85-15+13-0.4</f>
        <v>-87.4</v>
      </c>
      <c r="AC216" s="24">
        <f>-AC174</f>
        <v>-1000</v>
      </c>
      <c r="AD216" s="24">
        <f t="shared" si="357"/>
        <v>-1000</v>
      </c>
      <c r="AE216" s="24">
        <f t="shared" si="357"/>
        <v>-500</v>
      </c>
      <c r="AF216" s="24">
        <f t="shared" ref="AF216:AL216" si="358">-AF174</f>
        <v>-500</v>
      </c>
      <c r="AG216" s="24">
        <f t="shared" si="358"/>
        <v>0</v>
      </c>
      <c r="AH216" s="24">
        <f t="shared" si="358"/>
        <v>0</v>
      </c>
      <c r="AI216" s="24">
        <f t="shared" si="358"/>
        <v>0</v>
      </c>
      <c r="AJ216" s="24">
        <f t="shared" si="358"/>
        <v>0</v>
      </c>
      <c r="AK216" s="24">
        <f t="shared" si="358"/>
        <v>0</v>
      </c>
      <c r="AL216" s="24">
        <f t="shared" si="358"/>
        <v>0</v>
      </c>
      <c r="AO216" s="2"/>
      <c r="AP216" s="2"/>
      <c r="AQ216" s="2"/>
      <c r="AR216" s="2"/>
      <c r="AS216" s="2"/>
      <c r="AT216" s="2"/>
      <c r="AU216" s="2"/>
      <c r="AV216" s="2"/>
    </row>
    <row r="217" spans="1:48" x14ac:dyDescent="0.2">
      <c r="A217" s="2"/>
      <c r="B217" s="11" t="s">
        <v>169</v>
      </c>
      <c r="C217" s="6"/>
      <c r="D217" s="6"/>
      <c r="E217" s="6"/>
      <c r="F217" s="6"/>
      <c r="G217" s="6"/>
      <c r="H217" s="6"/>
      <c r="I217" s="6"/>
      <c r="J217" s="14">
        <v>3.774</v>
      </c>
      <c r="K217" s="14">
        <v>4.97</v>
      </c>
      <c r="L217" s="14">
        <v>0</v>
      </c>
      <c r="M217" s="14">
        <v>4.5339999999999998</v>
      </c>
      <c r="N217" s="14">
        <f>391.965+2.257</f>
        <v>394.22199999999998</v>
      </c>
      <c r="O217" s="14">
        <f>28.517-3.022</f>
        <v>25.495000000000001</v>
      </c>
      <c r="P217" s="14">
        <f>20-2</f>
        <v>18</v>
      </c>
      <c r="Q217" s="14">
        <v>6</v>
      </c>
      <c r="R217" s="14">
        <v>0</v>
      </c>
      <c r="S217" s="6">
        <v>0</v>
      </c>
      <c r="T217" s="6">
        <v>0</v>
      </c>
      <c r="U217" s="6">
        <v>0</v>
      </c>
      <c r="V217" s="6">
        <v>-3</v>
      </c>
      <c r="W217" s="6">
        <f>-3-8</f>
        <v>-11</v>
      </c>
      <c r="X217" s="6">
        <v>-1</v>
      </c>
      <c r="Y217" s="6">
        <v>-4</v>
      </c>
      <c r="Z217" s="6">
        <v>-6</v>
      </c>
      <c r="AA217" s="239">
        <f>-2-24</f>
        <v>-26</v>
      </c>
      <c r="AB217" s="239">
        <v>0</v>
      </c>
      <c r="AC217" s="6">
        <v>0</v>
      </c>
      <c r="AD217" s="6">
        <v>0</v>
      </c>
      <c r="AE217" s="6">
        <v>0</v>
      </c>
      <c r="AF217" s="6">
        <v>1</v>
      </c>
      <c r="AG217" s="6">
        <v>2</v>
      </c>
      <c r="AH217" s="6">
        <v>3</v>
      </c>
      <c r="AI217" s="6">
        <v>3</v>
      </c>
      <c r="AJ217" s="6">
        <v>3</v>
      </c>
      <c r="AK217" s="6">
        <v>3</v>
      </c>
      <c r="AL217" s="6">
        <v>3</v>
      </c>
      <c r="AO217" s="2"/>
      <c r="AP217" s="2"/>
      <c r="AQ217" s="2"/>
      <c r="AR217" s="2"/>
      <c r="AS217" s="2"/>
      <c r="AT217" s="2"/>
      <c r="AU217" s="2"/>
      <c r="AV217" s="2"/>
    </row>
    <row r="218" spans="1:48" x14ac:dyDescent="0.2">
      <c r="A218" s="8"/>
      <c r="B218" s="13" t="s">
        <v>354</v>
      </c>
      <c r="C218" s="9"/>
      <c r="D218" s="9"/>
      <c r="E218" s="9"/>
      <c r="F218" s="9"/>
      <c r="G218" s="9"/>
      <c r="H218" s="9"/>
      <c r="I218" s="9"/>
      <c r="J218" s="55">
        <f>J214+J215+J216+J217</f>
        <v>-180.57599999999994</v>
      </c>
      <c r="K218" s="55">
        <f t="shared" ref="K218:Z218" si="359">K214+K215+K216+K217</f>
        <v>165.02600000000001</v>
      </c>
      <c r="L218" s="55">
        <f t="shared" si="359"/>
        <v>-229.01999999999998</v>
      </c>
      <c r="M218" s="55">
        <f t="shared" si="359"/>
        <v>-206.75299999999999</v>
      </c>
      <c r="N218" s="55">
        <f t="shared" si="359"/>
        <v>-273.82100000000003</v>
      </c>
      <c r="O218" s="55">
        <f t="shared" si="359"/>
        <v>-205.27399999999994</v>
      </c>
      <c r="P218" s="55">
        <f t="shared" si="359"/>
        <v>514</v>
      </c>
      <c r="Q218" s="55">
        <f t="shared" si="359"/>
        <v>1035</v>
      </c>
      <c r="R218" s="55">
        <f t="shared" si="359"/>
        <v>-510</v>
      </c>
      <c r="S218" s="55">
        <f t="shared" si="359"/>
        <v>-106</v>
      </c>
      <c r="T218" s="55">
        <f t="shared" si="359"/>
        <v>-512</v>
      </c>
      <c r="U218" s="55">
        <f t="shared" si="359"/>
        <v>-238</v>
      </c>
      <c r="V218" s="55">
        <f t="shared" si="359"/>
        <v>-500</v>
      </c>
      <c r="W218" s="55">
        <f t="shared" si="359"/>
        <v>42</v>
      </c>
      <c r="X218" s="55">
        <f>X214+X215+X216+X217</f>
        <v>-439</v>
      </c>
      <c r="Y218" s="55">
        <f t="shared" si="359"/>
        <v>-117.99775311999997</v>
      </c>
      <c r="Z218" s="55">
        <f t="shared" si="359"/>
        <v>-690</v>
      </c>
      <c r="AA218" s="55">
        <f t="shared" ref="AA218:AH218" si="360">AA214+AA215+AA216+AA217</f>
        <v>-555</v>
      </c>
      <c r="AB218" s="55">
        <f t="shared" si="360"/>
        <v>-768.8</v>
      </c>
      <c r="AC218" s="55">
        <f t="shared" si="360"/>
        <v>-1658.4789994291132</v>
      </c>
      <c r="AD218" s="55">
        <f t="shared" si="360"/>
        <v>-1760.6441025370368</v>
      </c>
      <c r="AE218" s="55">
        <f t="shared" si="360"/>
        <v>-1364.2614298121071</v>
      </c>
      <c r="AF218" s="55">
        <f t="shared" si="360"/>
        <v>-1515.8976726625096</v>
      </c>
      <c r="AG218" s="55">
        <f t="shared" si="360"/>
        <v>-1159.7003091052918</v>
      </c>
      <c r="AH218" s="55">
        <f t="shared" si="360"/>
        <v>-1317.6389213216701</v>
      </c>
      <c r="AI218" s="55">
        <f t="shared" ref="AI218:AL218" si="361">AI214+AI215+AI216+AI217</f>
        <v>-1449.6437016181048</v>
      </c>
      <c r="AJ218" s="55">
        <f t="shared" si="361"/>
        <v>-1561.6345090325021</v>
      </c>
      <c r="AK218" s="55">
        <f t="shared" si="361"/>
        <v>-1701.010931250989</v>
      </c>
      <c r="AL218" s="55">
        <f t="shared" si="361"/>
        <v>-1861.9039347325117</v>
      </c>
      <c r="AM218" s="8"/>
      <c r="AN218" s="8"/>
      <c r="AO218" s="2"/>
      <c r="AP218" s="2"/>
      <c r="AQ218" s="8"/>
      <c r="AR218" s="8"/>
      <c r="AS218" s="8"/>
      <c r="AT218" s="8"/>
      <c r="AU218" s="8"/>
      <c r="AV218" s="8"/>
    </row>
    <row r="219" spans="1:48" x14ac:dyDescent="0.2">
      <c r="A219" s="2"/>
      <c r="B219" s="2"/>
      <c r="C219" s="6"/>
      <c r="D219" s="6"/>
      <c r="E219" s="6"/>
      <c r="F219" s="6"/>
      <c r="G219" s="6"/>
      <c r="H219" s="6"/>
      <c r="I219" s="6"/>
      <c r="J219" s="14"/>
      <c r="K219" s="14"/>
      <c r="L219" s="14"/>
      <c r="M219" s="14"/>
      <c r="N219" s="14"/>
      <c r="O219" s="14"/>
      <c r="P219" s="14"/>
      <c r="Q219" s="14"/>
      <c r="R219" s="14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">
      <c r="A220" s="2"/>
      <c r="B220" s="2" t="s">
        <v>170</v>
      </c>
      <c r="C220" s="2"/>
      <c r="D220" s="2"/>
      <c r="E220" s="2"/>
      <c r="F220" s="2"/>
      <c r="G220" s="2"/>
      <c r="H220" s="2"/>
      <c r="I220" s="2"/>
      <c r="J220" s="14">
        <v>2.6520000000000001</v>
      </c>
      <c r="K220" s="14">
        <v>1.4359999999999999</v>
      </c>
      <c r="L220" s="14">
        <v>2.1850000000000001</v>
      </c>
      <c r="M220" s="14">
        <v>-9.77</v>
      </c>
      <c r="N220" s="14">
        <v>-17.134</v>
      </c>
      <c r="O220" s="14">
        <v>-1.5840000000000001</v>
      </c>
      <c r="P220" s="14">
        <v>23</v>
      </c>
      <c r="Q220" s="14">
        <v>-23</v>
      </c>
      <c r="R220" s="14">
        <v>-1</v>
      </c>
      <c r="S220" s="6">
        <v>2</v>
      </c>
      <c r="T220" s="6">
        <v>7</v>
      </c>
      <c r="U220" s="6">
        <v>55</v>
      </c>
      <c r="V220" s="6">
        <v>15</v>
      </c>
      <c r="W220" s="6">
        <v>-3</v>
      </c>
      <c r="X220" s="6">
        <v>-35</v>
      </c>
      <c r="Y220" s="6">
        <v>50</v>
      </c>
      <c r="Z220" s="6">
        <v>-126</v>
      </c>
      <c r="AA220" s="239">
        <v>-35</v>
      </c>
      <c r="AB220" s="239">
        <v>-111</v>
      </c>
      <c r="AC220" s="6">
        <v>0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O220" s="2"/>
      <c r="AP220" s="2"/>
      <c r="AQ220" s="2"/>
      <c r="AR220" s="2"/>
      <c r="AS220" s="2"/>
      <c r="AT220" s="2"/>
      <c r="AU220" s="2"/>
      <c r="AV220" s="2"/>
    </row>
    <row r="221" spans="1:48" ht="13.5" thickBot="1" x14ac:dyDescent="0.25">
      <c r="A221" s="8"/>
      <c r="B221" s="21" t="s">
        <v>355</v>
      </c>
      <c r="C221" s="40"/>
      <c r="D221" s="40"/>
      <c r="E221" s="40"/>
      <c r="F221" s="40"/>
      <c r="G221" s="40"/>
      <c r="H221" s="40"/>
      <c r="I221" s="40"/>
      <c r="J221" s="104">
        <f t="shared" ref="J221:Y221" si="362">J201+J211+J218+J220</f>
        <v>17.178999999999846</v>
      </c>
      <c r="K221" s="104">
        <f t="shared" si="362"/>
        <v>35.598000000000489</v>
      </c>
      <c r="L221" s="139">
        <f t="shared" si="362"/>
        <v>-19.711000000000244</v>
      </c>
      <c r="M221" s="104">
        <f t="shared" si="362"/>
        <v>2.3050000000001596</v>
      </c>
      <c r="N221" s="104">
        <f t="shared" si="362"/>
        <v>122.18299999999995</v>
      </c>
      <c r="O221" s="104">
        <f t="shared" si="362"/>
        <v>6.4199999999999626</v>
      </c>
      <c r="P221" s="104">
        <f t="shared" si="362"/>
        <v>1329.2069999999999</v>
      </c>
      <c r="Q221" s="104">
        <f t="shared" si="362"/>
        <v>-1214</v>
      </c>
      <c r="R221" s="104">
        <f t="shared" si="362"/>
        <v>-16</v>
      </c>
      <c r="S221" s="104">
        <f t="shared" si="362"/>
        <v>-51</v>
      </c>
      <c r="T221" s="104">
        <f t="shared" si="362"/>
        <v>531</v>
      </c>
      <c r="U221" s="40">
        <f t="shared" si="362"/>
        <v>381</v>
      </c>
      <c r="V221" s="40">
        <f t="shared" si="362"/>
        <v>-244</v>
      </c>
      <c r="W221" s="40">
        <f>W201+W211+W218+W220</f>
        <v>764</v>
      </c>
      <c r="X221" s="40">
        <f>X201+X211+X218+X220</f>
        <v>-83.199999999999932</v>
      </c>
      <c r="Y221" s="40">
        <f t="shared" si="362"/>
        <v>95.902246879999666</v>
      </c>
      <c r="Z221" s="40">
        <f t="shared" ref="Z221:AH221" si="363">Z201+Z211+Z218+Z220</f>
        <v>-317.95035847306281</v>
      </c>
      <c r="AA221" s="40">
        <f t="shared" si="363"/>
        <v>145</v>
      </c>
      <c r="AB221" s="40">
        <f t="shared" si="363"/>
        <v>88.500000000000341</v>
      </c>
      <c r="AC221" s="40">
        <f t="shared" si="363"/>
        <v>-379.54086662147347</v>
      </c>
      <c r="AD221" s="40">
        <f t="shared" si="363"/>
        <v>-697.02361815951372</v>
      </c>
      <c r="AE221" s="40">
        <f t="shared" si="363"/>
        <v>69.873099075853588</v>
      </c>
      <c r="AF221" s="40">
        <f t="shared" si="363"/>
        <v>318.22913678542045</v>
      </c>
      <c r="AG221" s="40">
        <f t="shared" si="363"/>
        <v>947.85573197317103</v>
      </c>
      <c r="AH221" s="40">
        <f t="shared" si="363"/>
        <v>1265.0867520566533</v>
      </c>
      <c r="AI221" s="40">
        <f t="shared" ref="AI221:AL221" si="364">AI201+AI211+AI218+AI220</f>
        <v>1271.9679583118555</v>
      </c>
      <c r="AJ221" s="40">
        <f t="shared" si="364"/>
        <v>1374.8550490012231</v>
      </c>
      <c r="AK221" s="40">
        <f t="shared" si="364"/>
        <v>1715.4030439435242</v>
      </c>
      <c r="AL221" s="40">
        <f t="shared" si="364"/>
        <v>1841.8366213831498</v>
      </c>
      <c r="AM221" s="8"/>
      <c r="AN221" s="8"/>
      <c r="AO221" s="8"/>
      <c r="AP221" s="8"/>
      <c r="AQ221" s="8"/>
      <c r="AR221" s="8"/>
      <c r="AS221" s="8"/>
      <c r="AT221" s="8"/>
      <c r="AU221" s="8"/>
      <c r="AV221" s="8"/>
    </row>
    <row r="222" spans="1:48" ht="13.5" thickTop="1" x14ac:dyDescent="0.2">
      <c r="A222" s="2"/>
      <c r="B222" s="2" t="s">
        <v>138</v>
      </c>
      <c r="C222" s="2"/>
      <c r="D222" s="2"/>
      <c r="E222" s="2"/>
      <c r="F222" s="2"/>
      <c r="G222" s="2"/>
      <c r="H222" s="2"/>
      <c r="I222" s="2"/>
      <c r="J222" s="11"/>
      <c r="K222" s="11"/>
      <c r="L222" s="11"/>
      <c r="M222" s="11"/>
      <c r="N222" s="11"/>
      <c r="O222" s="14"/>
      <c r="P222" s="14"/>
      <c r="Q222" s="11"/>
      <c r="R222" s="14"/>
      <c r="S222" s="2"/>
      <c r="T222" s="2"/>
      <c r="U222" s="2"/>
      <c r="V222" s="28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">
      <c r="A223" s="2"/>
      <c r="B223" s="2" t="s">
        <v>356</v>
      </c>
      <c r="C223" s="2"/>
      <c r="D223" s="2"/>
      <c r="E223" s="2"/>
      <c r="F223" s="2"/>
      <c r="G223" s="2"/>
      <c r="H223" s="2"/>
      <c r="I223" s="2"/>
      <c r="J223" s="73"/>
      <c r="K223" s="73">
        <f>J254</f>
        <v>69.108000000000004</v>
      </c>
      <c r="L223" s="73">
        <f>+K226</f>
        <v>104.706</v>
      </c>
      <c r="M223" s="73">
        <f>+L226</f>
        <v>84.995000000000005</v>
      </c>
      <c r="N223" s="73">
        <f>+M226</f>
        <v>67.454999999999998</v>
      </c>
      <c r="O223" s="73">
        <f t="shared" ref="O223:T223" si="365">+N226</f>
        <v>189.50299999999999</v>
      </c>
      <c r="P223" s="73">
        <f t="shared" si="365"/>
        <v>195.99700000000001</v>
      </c>
      <c r="Q223" s="73">
        <f t="shared" si="365"/>
        <v>1525</v>
      </c>
      <c r="R223" s="73">
        <f t="shared" si="365"/>
        <v>311</v>
      </c>
      <c r="S223" s="28">
        <f t="shared" si="365"/>
        <v>295</v>
      </c>
      <c r="T223" s="28">
        <f t="shared" si="365"/>
        <v>244</v>
      </c>
      <c r="U223" s="28">
        <f t="shared" ref="U223:Z223" si="366">+T226</f>
        <v>775</v>
      </c>
      <c r="V223" s="28">
        <f t="shared" si="366"/>
        <v>1156</v>
      </c>
      <c r="W223" s="28">
        <f t="shared" si="366"/>
        <v>906</v>
      </c>
      <c r="X223" s="28">
        <f t="shared" si="366"/>
        <v>1670</v>
      </c>
      <c r="Y223" s="28">
        <f t="shared" si="366"/>
        <v>1587</v>
      </c>
      <c r="Z223" s="28">
        <f t="shared" si="366"/>
        <v>1682.9022468799997</v>
      </c>
      <c r="AA223" s="28">
        <f t="shared" ref="AA223:AL223" si="367">+Z226</f>
        <v>1364.9518884069369</v>
      </c>
      <c r="AB223" s="28">
        <f t="shared" si="367"/>
        <v>1509.9518884069369</v>
      </c>
      <c r="AC223" s="28">
        <f t="shared" si="367"/>
        <v>1598.4518884069371</v>
      </c>
      <c r="AD223" s="28">
        <f t="shared" si="367"/>
        <v>1218.9110217854636</v>
      </c>
      <c r="AE223" s="28">
        <f t="shared" si="367"/>
        <v>521.8874036259499</v>
      </c>
      <c r="AF223" s="28">
        <f t="shared" si="367"/>
        <v>591.76050270180349</v>
      </c>
      <c r="AG223" s="28">
        <f t="shared" si="367"/>
        <v>909.98963948722394</v>
      </c>
      <c r="AH223" s="28">
        <f t="shared" si="367"/>
        <v>1857.845371460395</v>
      </c>
      <c r="AI223" s="28">
        <f t="shared" si="367"/>
        <v>3122.9321235170482</v>
      </c>
      <c r="AJ223" s="28">
        <f t="shared" si="367"/>
        <v>4394.9000818289041</v>
      </c>
      <c r="AK223" s="28">
        <f t="shared" si="367"/>
        <v>5769.7551308301272</v>
      </c>
      <c r="AL223" s="28">
        <f t="shared" si="367"/>
        <v>7485.1581747736509</v>
      </c>
      <c r="AO223" s="2"/>
      <c r="AP223" s="2"/>
      <c r="AQ223" s="2"/>
      <c r="AR223" s="2"/>
      <c r="AS223" s="2"/>
      <c r="AT223" s="2"/>
      <c r="AU223" s="2"/>
      <c r="AV223" s="2"/>
    </row>
    <row r="224" spans="1:48" x14ac:dyDescent="0.2">
      <c r="A224" s="2"/>
      <c r="B224" s="2" t="s">
        <v>357</v>
      </c>
      <c r="C224" s="2"/>
      <c r="D224" s="2"/>
      <c r="E224" s="2"/>
      <c r="F224" s="2"/>
      <c r="G224" s="2"/>
      <c r="H224" s="2"/>
      <c r="I224" s="2"/>
      <c r="J224" s="73"/>
      <c r="K224" s="73">
        <f>K221</f>
        <v>35.598000000000489</v>
      </c>
      <c r="L224" s="73">
        <f>L221</f>
        <v>-19.711000000000244</v>
      </c>
      <c r="M224" s="73">
        <f>M221</f>
        <v>2.3050000000001596</v>
      </c>
      <c r="N224" s="73">
        <f>N221</f>
        <v>122.18299999999995</v>
      </c>
      <c r="O224" s="73">
        <f t="shared" ref="O224:Y224" si="368">O221</f>
        <v>6.4199999999999626</v>
      </c>
      <c r="P224" s="73">
        <f t="shared" si="368"/>
        <v>1329.2069999999999</v>
      </c>
      <c r="Q224" s="73">
        <f t="shared" si="368"/>
        <v>-1214</v>
      </c>
      <c r="R224" s="73">
        <f>R221</f>
        <v>-16</v>
      </c>
      <c r="S224" s="28">
        <f t="shared" si="368"/>
        <v>-51</v>
      </c>
      <c r="T224" s="28">
        <f t="shared" si="368"/>
        <v>531</v>
      </c>
      <c r="U224" s="28">
        <f t="shared" si="368"/>
        <v>381</v>
      </c>
      <c r="V224" s="28">
        <f t="shared" si="368"/>
        <v>-244</v>
      </c>
      <c r="W224" s="28">
        <f>W221</f>
        <v>764</v>
      </c>
      <c r="X224" s="28">
        <f t="shared" si="368"/>
        <v>-83.199999999999932</v>
      </c>
      <c r="Y224" s="28">
        <f t="shared" si="368"/>
        <v>95.902246879999666</v>
      </c>
      <c r="Z224" s="28">
        <f t="shared" ref="Z224:AH224" si="369">Z221</f>
        <v>-317.95035847306281</v>
      </c>
      <c r="AA224" s="28">
        <f t="shared" si="369"/>
        <v>145</v>
      </c>
      <c r="AB224" s="28">
        <f t="shared" si="369"/>
        <v>88.500000000000341</v>
      </c>
      <c r="AC224" s="28">
        <f t="shared" si="369"/>
        <v>-379.54086662147347</v>
      </c>
      <c r="AD224" s="28">
        <f t="shared" si="369"/>
        <v>-697.02361815951372</v>
      </c>
      <c r="AE224" s="28">
        <f t="shared" si="369"/>
        <v>69.873099075853588</v>
      </c>
      <c r="AF224" s="28">
        <f t="shared" si="369"/>
        <v>318.22913678542045</v>
      </c>
      <c r="AG224" s="28">
        <f t="shared" si="369"/>
        <v>947.85573197317103</v>
      </c>
      <c r="AH224" s="28">
        <f t="shared" si="369"/>
        <v>1265.0867520566533</v>
      </c>
      <c r="AI224" s="28">
        <f t="shared" ref="AI224:AL224" si="370">AI221</f>
        <v>1271.9679583118555</v>
      </c>
      <c r="AJ224" s="28">
        <f t="shared" si="370"/>
        <v>1374.8550490012231</v>
      </c>
      <c r="AK224" s="28">
        <f t="shared" si="370"/>
        <v>1715.4030439435242</v>
      </c>
      <c r="AL224" s="28">
        <f t="shared" si="370"/>
        <v>1841.8366213831498</v>
      </c>
      <c r="AO224" s="2"/>
      <c r="AP224" s="2"/>
      <c r="AQ224" s="2"/>
      <c r="AR224" s="2"/>
      <c r="AS224" s="2"/>
      <c r="AT224" s="2"/>
      <c r="AU224" s="2"/>
      <c r="AV224" s="2"/>
    </row>
    <row r="225" spans="1:48" x14ac:dyDescent="0.2">
      <c r="A225" s="2"/>
      <c r="B225" s="2" t="s">
        <v>171</v>
      </c>
      <c r="C225" s="2"/>
      <c r="D225" s="2"/>
      <c r="E225" s="2"/>
      <c r="F225" s="2"/>
      <c r="G225" s="2"/>
      <c r="H225" s="2"/>
      <c r="I225" s="2"/>
      <c r="J225" s="73"/>
      <c r="K225" s="14">
        <f t="shared" ref="K225:V225" si="371">K226-K224-K223</f>
        <v>-4.8316906031686813E-13</v>
      </c>
      <c r="L225" s="14">
        <f t="shared" si="371"/>
        <v>2.4158453015843406E-13</v>
      </c>
      <c r="M225" s="14">
        <f t="shared" si="371"/>
        <v>-19.845000000000169</v>
      </c>
      <c r="N225" s="14">
        <f t="shared" si="371"/>
        <v>-0.13499999999996248</v>
      </c>
      <c r="O225" s="73">
        <f t="shared" si="371"/>
        <v>7.4000000000069122E-2</v>
      </c>
      <c r="P225" s="73">
        <f t="shared" si="371"/>
        <v>-0.20399999999989404</v>
      </c>
      <c r="Q225" s="73">
        <f t="shared" si="371"/>
        <v>0</v>
      </c>
      <c r="R225" s="73">
        <f t="shared" si="371"/>
        <v>0</v>
      </c>
      <c r="S225" s="73">
        <f t="shared" si="371"/>
        <v>0</v>
      </c>
      <c r="T225" s="73">
        <f t="shared" si="371"/>
        <v>0</v>
      </c>
      <c r="U225" s="73">
        <f t="shared" si="371"/>
        <v>0</v>
      </c>
      <c r="V225" s="73">
        <f t="shared" si="371"/>
        <v>-6</v>
      </c>
      <c r="W225" s="73">
        <f>W226-W224-W223</f>
        <v>0</v>
      </c>
      <c r="X225" s="73">
        <f>X226-X224-X223</f>
        <v>0.1999999999998181</v>
      </c>
      <c r="Y225" s="28">
        <v>0</v>
      </c>
      <c r="Z225" s="28">
        <v>0</v>
      </c>
      <c r="AA225" s="28">
        <v>0</v>
      </c>
      <c r="AB225" s="28">
        <v>0</v>
      </c>
      <c r="AC225" s="28">
        <v>0</v>
      </c>
      <c r="AD225" s="28">
        <v>0</v>
      </c>
      <c r="AE225" s="28">
        <v>0</v>
      </c>
      <c r="AF225" s="28">
        <v>0</v>
      </c>
      <c r="AG225" s="28">
        <v>0</v>
      </c>
      <c r="AH225" s="28">
        <v>0</v>
      </c>
      <c r="AI225" s="28">
        <v>0</v>
      </c>
      <c r="AJ225" s="28">
        <v>0</v>
      </c>
      <c r="AK225" s="28">
        <v>0</v>
      </c>
      <c r="AL225" s="28">
        <v>0</v>
      </c>
      <c r="AO225" s="2"/>
      <c r="AP225" s="2"/>
      <c r="AQ225" s="2"/>
      <c r="AR225" s="2"/>
      <c r="AS225" s="2"/>
      <c r="AT225" s="2"/>
      <c r="AU225" s="2"/>
      <c r="AV225" s="2"/>
    </row>
    <row r="226" spans="1:48" x14ac:dyDescent="0.2">
      <c r="A226" s="2"/>
      <c r="B226" s="2" t="s">
        <v>358</v>
      </c>
      <c r="C226" s="2"/>
      <c r="D226" s="2"/>
      <c r="E226" s="2"/>
      <c r="F226" s="2"/>
      <c r="G226" s="2"/>
      <c r="H226" s="2"/>
      <c r="I226" s="2"/>
      <c r="J226" s="73"/>
      <c r="K226" s="73">
        <f>K254</f>
        <v>104.706</v>
      </c>
      <c r="L226" s="73">
        <f>L254</f>
        <v>84.995000000000005</v>
      </c>
      <c r="M226" s="73">
        <f>M254</f>
        <v>67.454999999999998</v>
      </c>
      <c r="N226" s="73">
        <f t="shared" ref="N226:W226" si="372">N254</f>
        <v>189.50299999999999</v>
      </c>
      <c r="O226" s="73">
        <f t="shared" si="372"/>
        <v>195.99700000000001</v>
      </c>
      <c r="P226" s="73">
        <f t="shared" si="372"/>
        <v>1525</v>
      </c>
      <c r="Q226" s="73">
        <f t="shared" si="372"/>
        <v>311</v>
      </c>
      <c r="R226" s="73">
        <f t="shared" si="372"/>
        <v>295</v>
      </c>
      <c r="S226" s="73">
        <f t="shared" si="372"/>
        <v>244</v>
      </c>
      <c r="T226" s="73">
        <f t="shared" si="372"/>
        <v>775</v>
      </c>
      <c r="U226" s="73">
        <f t="shared" si="372"/>
        <v>1156</v>
      </c>
      <c r="V226" s="73">
        <f t="shared" si="372"/>
        <v>906</v>
      </c>
      <c r="W226" s="73">
        <f t="shared" si="372"/>
        <v>1670</v>
      </c>
      <c r="X226" s="73">
        <f>X254</f>
        <v>1587</v>
      </c>
      <c r="Y226" s="28">
        <f t="shared" ref="Y226" si="373">Y223+Y224+Y225</f>
        <v>1682.9022468799997</v>
      </c>
      <c r="Z226" s="28">
        <f t="shared" ref="Z226:AH226" si="374">Z223+Z224+Z225</f>
        <v>1364.9518884069369</v>
      </c>
      <c r="AA226" s="28">
        <f t="shared" si="374"/>
        <v>1509.9518884069369</v>
      </c>
      <c r="AB226" s="28">
        <f t="shared" si="374"/>
        <v>1598.4518884069371</v>
      </c>
      <c r="AC226" s="28">
        <f t="shared" si="374"/>
        <v>1218.9110217854636</v>
      </c>
      <c r="AD226" s="28">
        <f t="shared" si="374"/>
        <v>521.8874036259499</v>
      </c>
      <c r="AE226" s="28">
        <f t="shared" si="374"/>
        <v>591.76050270180349</v>
      </c>
      <c r="AF226" s="28">
        <f t="shared" si="374"/>
        <v>909.98963948722394</v>
      </c>
      <c r="AG226" s="28">
        <f t="shared" si="374"/>
        <v>1857.845371460395</v>
      </c>
      <c r="AH226" s="28">
        <f t="shared" si="374"/>
        <v>3122.9321235170482</v>
      </c>
      <c r="AI226" s="28">
        <f t="shared" ref="AI226:AL226" si="375">AI223+AI224+AI225</f>
        <v>4394.9000818289041</v>
      </c>
      <c r="AJ226" s="28">
        <f t="shared" si="375"/>
        <v>5769.7551308301272</v>
      </c>
      <c r="AK226" s="28">
        <f t="shared" si="375"/>
        <v>7485.1581747736509</v>
      </c>
      <c r="AL226" s="28">
        <f t="shared" si="375"/>
        <v>9326.9947961568014</v>
      </c>
      <c r="AO226" s="2"/>
      <c r="AP226" s="2"/>
      <c r="AQ226" s="2"/>
      <c r="AR226" s="2"/>
      <c r="AS226" s="2"/>
      <c r="AT226" s="2"/>
      <c r="AU226" s="2"/>
      <c r="AV226" s="2"/>
    </row>
    <row r="227" spans="1:48" x14ac:dyDescent="0.2">
      <c r="A227" s="2"/>
      <c r="B227" s="2" t="s">
        <v>172</v>
      </c>
      <c r="C227" s="2"/>
      <c r="D227" s="2"/>
      <c r="E227" s="2"/>
      <c r="F227" s="2"/>
      <c r="G227" s="2"/>
      <c r="H227" s="2"/>
      <c r="I227" s="2"/>
      <c r="J227" s="73"/>
      <c r="K227" s="73">
        <f>K253</f>
        <v>0</v>
      </c>
      <c r="L227" s="73">
        <f t="shared" ref="L227:AC227" si="376">L253</f>
        <v>0</v>
      </c>
      <c r="M227" s="73">
        <f t="shared" si="376"/>
        <v>8.5009999999999994</v>
      </c>
      <c r="N227" s="73">
        <f t="shared" si="376"/>
        <v>89.411000000000001</v>
      </c>
      <c r="O227" s="73">
        <f t="shared" si="376"/>
        <v>258.95</v>
      </c>
      <c r="P227" s="73">
        <f t="shared" si="376"/>
        <v>61</v>
      </c>
      <c r="Q227" s="73">
        <f t="shared" si="376"/>
        <v>36.003</v>
      </c>
      <c r="R227" s="73">
        <f t="shared" si="376"/>
        <v>85.003</v>
      </c>
      <c r="S227" s="73">
        <f t="shared" si="376"/>
        <v>141</v>
      </c>
      <c r="T227" s="73">
        <f t="shared" si="376"/>
        <v>75</v>
      </c>
      <c r="U227" s="73">
        <f t="shared" si="376"/>
        <v>233</v>
      </c>
      <c r="V227" s="73">
        <f t="shared" si="376"/>
        <v>465</v>
      </c>
      <c r="W227" s="73">
        <f t="shared" si="376"/>
        <v>265</v>
      </c>
      <c r="X227" s="73">
        <f t="shared" si="376"/>
        <v>41</v>
      </c>
      <c r="Y227" s="73">
        <f t="shared" si="376"/>
        <v>5</v>
      </c>
      <c r="Z227" s="73">
        <f>Z253</f>
        <v>5</v>
      </c>
      <c r="AA227" s="73">
        <f t="shared" si="376"/>
        <v>5</v>
      </c>
      <c r="AB227" s="73">
        <f t="shared" si="376"/>
        <v>5</v>
      </c>
      <c r="AC227" s="73">
        <f t="shared" si="376"/>
        <v>5</v>
      </c>
      <c r="AD227" s="73">
        <f t="shared" ref="AD227:AL227" si="377">AD253</f>
        <v>5</v>
      </c>
      <c r="AE227" s="73">
        <f t="shared" si="377"/>
        <v>5</v>
      </c>
      <c r="AF227" s="73">
        <f t="shared" si="377"/>
        <v>5</v>
      </c>
      <c r="AG227" s="73">
        <f t="shared" si="377"/>
        <v>5</v>
      </c>
      <c r="AH227" s="73">
        <f t="shared" si="377"/>
        <v>5</v>
      </c>
      <c r="AI227" s="73">
        <f t="shared" si="377"/>
        <v>5</v>
      </c>
      <c r="AJ227" s="73">
        <f t="shared" si="377"/>
        <v>5</v>
      </c>
      <c r="AK227" s="73">
        <f t="shared" si="377"/>
        <v>5</v>
      </c>
      <c r="AL227" s="73">
        <f t="shared" si="377"/>
        <v>5</v>
      </c>
      <c r="AO227" s="2"/>
      <c r="AP227" s="2"/>
      <c r="AQ227" s="2"/>
      <c r="AR227" s="2"/>
      <c r="AS227" s="2"/>
      <c r="AT227" s="2"/>
      <c r="AU227" s="2"/>
      <c r="AV227" s="2"/>
    </row>
    <row r="228" spans="1:48" x14ac:dyDescent="0.2">
      <c r="A228" s="2"/>
      <c r="B228" s="2" t="s">
        <v>359</v>
      </c>
      <c r="C228" s="2"/>
      <c r="D228" s="2"/>
      <c r="E228" s="2"/>
      <c r="F228" s="2"/>
      <c r="G228" s="2"/>
      <c r="H228" s="2"/>
      <c r="I228" s="2"/>
      <c r="J228" s="73"/>
      <c r="K228" s="73">
        <f>K226+K227</f>
        <v>104.706</v>
      </c>
      <c r="L228" s="73">
        <f t="shared" ref="L228:Y228" si="378">L226+L227</f>
        <v>84.995000000000005</v>
      </c>
      <c r="M228" s="73">
        <f t="shared" si="378"/>
        <v>75.956000000000003</v>
      </c>
      <c r="N228" s="73">
        <f t="shared" si="378"/>
        <v>278.91399999999999</v>
      </c>
      <c r="O228" s="73">
        <f t="shared" si="378"/>
        <v>454.947</v>
      </c>
      <c r="P228" s="73">
        <f t="shared" si="378"/>
        <v>1586</v>
      </c>
      <c r="Q228" s="73">
        <f t="shared" si="378"/>
        <v>347.00299999999999</v>
      </c>
      <c r="R228" s="73">
        <f t="shared" si="378"/>
        <v>380.00299999999999</v>
      </c>
      <c r="S228" s="73">
        <f t="shared" si="378"/>
        <v>385</v>
      </c>
      <c r="T228" s="73">
        <f t="shared" si="378"/>
        <v>850</v>
      </c>
      <c r="U228" s="73">
        <f t="shared" si="378"/>
        <v>1389</v>
      </c>
      <c r="V228" s="73">
        <f t="shared" si="378"/>
        <v>1371</v>
      </c>
      <c r="W228" s="73">
        <f t="shared" si="378"/>
        <v>1935</v>
      </c>
      <c r="X228" s="73">
        <f t="shared" si="378"/>
        <v>1628</v>
      </c>
      <c r="Y228" s="73">
        <f t="shared" si="378"/>
        <v>1687.9022468799997</v>
      </c>
      <c r="Z228" s="73">
        <f t="shared" ref="Z228:AH228" si="379">Z226+Z227</f>
        <v>1369.9518884069369</v>
      </c>
      <c r="AA228" s="73">
        <f t="shared" si="379"/>
        <v>1514.9518884069369</v>
      </c>
      <c r="AB228" s="73">
        <f t="shared" si="379"/>
        <v>1603.4518884069371</v>
      </c>
      <c r="AC228" s="73">
        <f t="shared" si="379"/>
        <v>1223.9110217854636</v>
      </c>
      <c r="AD228" s="73">
        <f t="shared" si="379"/>
        <v>526.8874036259499</v>
      </c>
      <c r="AE228" s="73">
        <f t="shared" si="379"/>
        <v>596.76050270180349</v>
      </c>
      <c r="AF228" s="73">
        <f t="shared" si="379"/>
        <v>914.98963948722394</v>
      </c>
      <c r="AG228" s="73">
        <f t="shared" si="379"/>
        <v>1862.845371460395</v>
      </c>
      <c r="AH228" s="73">
        <f t="shared" si="379"/>
        <v>3127.9321235170482</v>
      </c>
      <c r="AI228" s="73">
        <f t="shared" ref="AI228:AL228" si="380">AI226+AI227</f>
        <v>4399.9000818289041</v>
      </c>
      <c r="AJ228" s="73">
        <f t="shared" si="380"/>
        <v>5774.7551308301272</v>
      </c>
      <c r="AK228" s="73">
        <f t="shared" si="380"/>
        <v>7490.1581747736509</v>
      </c>
      <c r="AL228" s="73">
        <f t="shared" si="380"/>
        <v>9331.9947961568014</v>
      </c>
      <c r="AO228" s="2"/>
      <c r="AP228" s="2"/>
      <c r="AQ228" s="2"/>
      <c r="AR228" s="2"/>
      <c r="AS228" s="2"/>
      <c r="AT228" s="2"/>
      <c r="AU228" s="2"/>
      <c r="AV228" s="2"/>
    </row>
    <row r="229" spans="1:48" x14ac:dyDescent="0.2">
      <c r="A229" s="2"/>
      <c r="B229" s="2" t="s">
        <v>360</v>
      </c>
      <c r="C229" s="2"/>
      <c r="D229" s="2"/>
      <c r="E229" s="2"/>
      <c r="F229" s="2"/>
      <c r="G229" s="2"/>
      <c r="H229" s="2"/>
      <c r="I229" s="2"/>
      <c r="J229" s="73"/>
      <c r="K229" s="73">
        <f t="shared" ref="K229:R229" si="381">K259+K270</f>
        <v>1896.7919999999999</v>
      </c>
      <c r="L229" s="73">
        <f t="shared" si="381"/>
        <v>1765.8109999999999</v>
      </c>
      <c r="M229" s="73">
        <f t="shared" si="381"/>
        <v>1574.046</v>
      </c>
      <c r="N229" s="73">
        <f t="shared" si="381"/>
        <v>1225.385</v>
      </c>
      <c r="O229" s="73">
        <f t="shared" si="381"/>
        <v>1119.7860000000001</v>
      </c>
      <c r="P229" s="73">
        <f t="shared" si="381"/>
        <v>1035</v>
      </c>
      <c r="Q229" s="73">
        <f t="shared" si="381"/>
        <v>2578</v>
      </c>
      <c r="R229" s="73">
        <f t="shared" si="381"/>
        <v>2146</v>
      </c>
      <c r="S229" s="28">
        <f>S259+S270+S260</f>
        <v>2573</v>
      </c>
      <c r="T229" s="28">
        <f>T259+T270+T260</f>
        <v>1767</v>
      </c>
      <c r="U229" s="28">
        <f>U259+U270+U260</f>
        <v>1610</v>
      </c>
      <c r="V229" s="28">
        <f>V259+V270+V260</f>
        <v>1280</v>
      </c>
      <c r="W229" s="28">
        <f>W259+W270+W260+W271</f>
        <v>1487</v>
      </c>
      <c r="X229" s="28">
        <f t="shared" ref="X229:AC229" si="382">X259+X270+X260+X271</f>
        <v>1334</v>
      </c>
      <c r="Y229" s="28">
        <f t="shared" si="382"/>
        <v>1872</v>
      </c>
      <c r="Z229" s="28">
        <f t="shared" si="382"/>
        <v>1829</v>
      </c>
      <c r="AA229" s="28">
        <f t="shared" si="382"/>
        <v>1618</v>
      </c>
      <c r="AB229" s="28">
        <f t="shared" si="382"/>
        <v>1120</v>
      </c>
      <c r="AC229" s="28">
        <f t="shared" si="382"/>
        <v>1120</v>
      </c>
      <c r="AD229" s="28">
        <f t="shared" ref="AD229:AL229" si="383">AD259+AD270+AD260+AD271</f>
        <v>1120</v>
      </c>
      <c r="AE229" s="28">
        <f t="shared" si="383"/>
        <v>1120</v>
      </c>
      <c r="AF229" s="28">
        <f t="shared" si="383"/>
        <v>1120</v>
      </c>
      <c r="AG229" s="28">
        <f t="shared" si="383"/>
        <v>1120</v>
      </c>
      <c r="AH229" s="28">
        <f t="shared" si="383"/>
        <v>1120</v>
      </c>
      <c r="AI229" s="28">
        <f t="shared" si="383"/>
        <v>1120</v>
      </c>
      <c r="AJ229" s="28">
        <f t="shared" si="383"/>
        <v>1120</v>
      </c>
      <c r="AK229" s="28">
        <f t="shared" si="383"/>
        <v>1120</v>
      </c>
      <c r="AL229" s="28">
        <f t="shared" si="383"/>
        <v>1120</v>
      </c>
      <c r="AO229" s="2"/>
      <c r="AP229" s="2"/>
      <c r="AQ229" s="2"/>
      <c r="AR229" s="2"/>
      <c r="AS229" s="2"/>
      <c r="AT229" s="2"/>
      <c r="AU229" s="2"/>
      <c r="AV229" s="2"/>
    </row>
    <row r="230" spans="1:48" x14ac:dyDescent="0.2">
      <c r="A230" s="2"/>
      <c r="B230" s="19" t="s">
        <v>55</v>
      </c>
      <c r="C230" s="19"/>
      <c r="D230" s="19"/>
      <c r="E230" s="19"/>
      <c r="F230" s="19"/>
      <c r="G230" s="19"/>
      <c r="H230" s="19"/>
      <c r="I230" s="19"/>
      <c r="J230" s="118"/>
      <c r="K230" s="118">
        <f>-K228+K229</f>
        <v>1792.086</v>
      </c>
      <c r="L230" s="118">
        <f t="shared" ref="L230:Y230" si="384">-L228+L229</f>
        <v>1680.8159999999998</v>
      </c>
      <c r="M230" s="118">
        <f t="shared" si="384"/>
        <v>1498.0900000000001</v>
      </c>
      <c r="N230" s="118">
        <f t="shared" si="384"/>
        <v>946.471</v>
      </c>
      <c r="O230" s="118">
        <f t="shared" si="384"/>
        <v>664.83900000000006</v>
      </c>
      <c r="P230" s="118">
        <f t="shared" si="384"/>
        <v>-551</v>
      </c>
      <c r="Q230" s="118">
        <f t="shared" si="384"/>
        <v>2230.9969999999998</v>
      </c>
      <c r="R230" s="118">
        <f t="shared" si="384"/>
        <v>1765.9970000000001</v>
      </c>
      <c r="S230" s="118">
        <f t="shared" si="384"/>
        <v>2188</v>
      </c>
      <c r="T230" s="118">
        <f t="shared" si="384"/>
        <v>917</v>
      </c>
      <c r="U230" s="118">
        <f t="shared" si="384"/>
        <v>221</v>
      </c>
      <c r="V230" s="118">
        <f t="shared" si="384"/>
        <v>-91</v>
      </c>
      <c r="W230" s="118">
        <f t="shared" si="384"/>
        <v>-448</v>
      </c>
      <c r="X230" s="118">
        <f>-X228+X229</f>
        <v>-294</v>
      </c>
      <c r="Y230" s="118">
        <f t="shared" si="384"/>
        <v>184.09775312000033</v>
      </c>
      <c r="Z230" s="118">
        <f t="shared" ref="Z230:AH230" si="385">-Z228+Z229</f>
        <v>459.04811159306314</v>
      </c>
      <c r="AA230" s="118">
        <f t="shared" si="385"/>
        <v>103.04811159306314</v>
      </c>
      <c r="AB230" s="118">
        <f t="shared" si="385"/>
        <v>-483.45188840693709</v>
      </c>
      <c r="AC230" s="118">
        <f t="shared" si="385"/>
        <v>-103.91102178546362</v>
      </c>
      <c r="AD230" s="118">
        <f t="shared" si="385"/>
        <v>593.1125963740501</v>
      </c>
      <c r="AE230" s="118">
        <f t="shared" si="385"/>
        <v>523.23949729819651</v>
      </c>
      <c r="AF230" s="118">
        <f t="shared" si="385"/>
        <v>205.01036051277606</v>
      </c>
      <c r="AG230" s="118">
        <f t="shared" si="385"/>
        <v>-742.84537146039497</v>
      </c>
      <c r="AH230" s="118">
        <f t="shared" si="385"/>
        <v>-2007.9321235170482</v>
      </c>
      <c r="AI230" s="118">
        <f t="shared" ref="AI230:AL230" si="386">-AI228+AI229</f>
        <v>-3279.9000818289041</v>
      </c>
      <c r="AJ230" s="118">
        <f t="shared" si="386"/>
        <v>-4654.7551308301272</v>
      </c>
      <c r="AK230" s="118">
        <f t="shared" si="386"/>
        <v>-6370.1581747736509</v>
      </c>
      <c r="AL230" s="118">
        <f t="shared" si="386"/>
        <v>-8211.9947961568014</v>
      </c>
      <c r="AO230" s="2"/>
      <c r="AP230" s="2"/>
      <c r="AQ230" s="2"/>
      <c r="AR230" s="2"/>
      <c r="AS230" s="2"/>
      <c r="AT230" s="2"/>
      <c r="AU230" s="2"/>
      <c r="AV230" s="2"/>
    </row>
    <row r="231" spans="1:48" x14ac:dyDescent="0.2">
      <c r="A231" s="2"/>
      <c r="B231" s="34" t="s">
        <v>53</v>
      </c>
      <c r="C231" s="19"/>
      <c r="D231" s="19"/>
      <c r="E231" s="19"/>
      <c r="F231" s="19"/>
      <c r="G231" s="19"/>
      <c r="H231" s="19"/>
      <c r="I231" s="19"/>
      <c r="J231" s="109"/>
      <c r="K231" s="109">
        <f>K272</f>
        <v>85.021000000000001</v>
      </c>
      <c r="L231" s="109">
        <f>L272</f>
        <v>92.087999999999994</v>
      </c>
      <c r="M231" s="109">
        <f>M272</f>
        <v>98.959000000000003</v>
      </c>
      <c r="N231" s="109">
        <f>N272</f>
        <v>105.264</v>
      </c>
      <c r="O231" s="109">
        <f t="shared" ref="O231:AA231" si="387">O272</f>
        <v>128.67599999999999</v>
      </c>
      <c r="P231" s="109">
        <f t="shared" si="387"/>
        <v>148</v>
      </c>
      <c r="Q231" s="109">
        <f t="shared" si="387"/>
        <v>134</v>
      </c>
      <c r="R231" s="109">
        <f t="shared" si="387"/>
        <v>124</v>
      </c>
      <c r="S231" s="121">
        <f t="shared" si="387"/>
        <v>132</v>
      </c>
      <c r="T231" s="121">
        <f t="shared" si="387"/>
        <v>157</v>
      </c>
      <c r="U231" s="121">
        <f t="shared" si="387"/>
        <v>180</v>
      </c>
      <c r="V231" s="121">
        <f t="shared" si="387"/>
        <v>205</v>
      </c>
      <c r="W231" s="121">
        <f t="shared" si="387"/>
        <v>251</v>
      </c>
      <c r="X231" s="121">
        <f t="shared" si="387"/>
        <v>255</v>
      </c>
      <c r="Y231" s="121">
        <f t="shared" si="387"/>
        <v>284</v>
      </c>
      <c r="Z231" s="121">
        <f t="shared" si="387"/>
        <v>273</v>
      </c>
      <c r="AA231" s="121">
        <f t="shared" si="387"/>
        <v>355</v>
      </c>
      <c r="AB231" s="121">
        <f t="shared" ref="AB231:AH231" si="388">AB272</f>
        <v>298</v>
      </c>
      <c r="AC231" s="121">
        <f t="shared" si="388"/>
        <v>298</v>
      </c>
      <c r="AD231" s="121">
        <f t="shared" si="388"/>
        <v>298</v>
      </c>
      <c r="AE231" s="121">
        <f t="shared" si="388"/>
        <v>298</v>
      </c>
      <c r="AF231" s="121">
        <f t="shared" si="388"/>
        <v>298</v>
      </c>
      <c r="AG231" s="121">
        <f t="shared" si="388"/>
        <v>298</v>
      </c>
      <c r="AH231" s="121">
        <f t="shared" si="388"/>
        <v>298</v>
      </c>
      <c r="AI231" s="121">
        <f t="shared" ref="AI231:AL231" si="389">AI272</f>
        <v>298</v>
      </c>
      <c r="AJ231" s="121">
        <f t="shared" si="389"/>
        <v>298</v>
      </c>
      <c r="AK231" s="121">
        <f t="shared" si="389"/>
        <v>298</v>
      </c>
      <c r="AL231" s="121">
        <f t="shared" si="389"/>
        <v>298</v>
      </c>
      <c r="AO231" s="2"/>
      <c r="AP231" s="2"/>
      <c r="AQ231" s="2"/>
      <c r="AR231" s="2"/>
      <c r="AS231" s="2"/>
      <c r="AT231" s="2"/>
      <c r="AU231" s="2"/>
      <c r="AV231" s="2"/>
    </row>
    <row r="232" spans="1:48" x14ac:dyDescent="0.2">
      <c r="A232" s="2"/>
      <c r="B232" s="29" t="s">
        <v>54</v>
      </c>
      <c r="C232" s="57"/>
      <c r="D232" s="57"/>
      <c r="E232" s="57"/>
      <c r="F232" s="57"/>
      <c r="G232" s="57"/>
      <c r="H232" s="57"/>
      <c r="I232" s="57"/>
      <c r="J232" s="125"/>
      <c r="K232" s="125">
        <f t="shared" ref="K232:Y232" si="390">K230+K231</f>
        <v>1877.107</v>
      </c>
      <c r="L232" s="125">
        <f t="shared" si="390"/>
        <v>1772.9039999999998</v>
      </c>
      <c r="M232" s="125">
        <f t="shared" si="390"/>
        <v>1597.0490000000002</v>
      </c>
      <c r="N232" s="125">
        <f t="shared" si="390"/>
        <v>1051.7349999999999</v>
      </c>
      <c r="O232" s="125">
        <f t="shared" si="390"/>
        <v>793.5150000000001</v>
      </c>
      <c r="P232" s="125">
        <f t="shared" si="390"/>
        <v>-403</v>
      </c>
      <c r="Q232" s="125">
        <f t="shared" si="390"/>
        <v>2364.9969999999998</v>
      </c>
      <c r="R232" s="125">
        <f t="shared" si="390"/>
        <v>1889.9970000000001</v>
      </c>
      <c r="S232" s="126">
        <f>S230+S231</f>
        <v>2320</v>
      </c>
      <c r="T232" s="126">
        <f t="shared" si="390"/>
        <v>1074</v>
      </c>
      <c r="U232" s="126">
        <f t="shared" si="390"/>
        <v>401</v>
      </c>
      <c r="V232" s="126">
        <f t="shared" si="390"/>
        <v>114</v>
      </c>
      <c r="W232" s="126">
        <f t="shared" si="390"/>
        <v>-197</v>
      </c>
      <c r="X232" s="126">
        <f>X230+X231</f>
        <v>-39</v>
      </c>
      <c r="Y232" s="126">
        <f t="shared" si="390"/>
        <v>468.09775312000033</v>
      </c>
      <c r="Z232" s="126">
        <f t="shared" ref="Z232:AH232" si="391">Z230+Z231</f>
        <v>732.04811159306314</v>
      </c>
      <c r="AA232" s="126">
        <f t="shared" si="391"/>
        <v>458.04811159306314</v>
      </c>
      <c r="AB232" s="126">
        <f t="shared" si="391"/>
        <v>-185.45188840693709</v>
      </c>
      <c r="AC232" s="126">
        <f t="shared" si="391"/>
        <v>194.08897821453638</v>
      </c>
      <c r="AD232" s="126">
        <f t="shared" si="391"/>
        <v>891.1125963740501</v>
      </c>
      <c r="AE232" s="126">
        <f t="shared" si="391"/>
        <v>821.23949729819651</v>
      </c>
      <c r="AF232" s="126">
        <f t="shared" si="391"/>
        <v>503.01036051277606</v>
      </c>
      <c r="AG232" s="126">
        <f t="shared" si="391"/>
        <v>-444.84537146039497</v>
      </c>
      <c r="AH232" s="126">
        <f t="shared" si="391"/>
        <v>-1709.9321235170482</v>
      </c>
      <c r="AI232" s="126">
        <f t="shared" ref="AI232:AL232" si="392">AI230+AI231</f>
        <v>-2981.9000818289041</v>
      </c>
      <c r="AJ232" s="126">
        <f t="shared" si="392"/>
        <v>-4356.7551308301272</v>
      </c>
      <c r="AK232" s="126">
        <f t="shared" si="392"/>
        <v>-6072.1581747736509</v>
      </c>
      <c r="AL232" s="126">
        <f t="shared" si="392"/>
        <v>-7913.9947961568014</v>
      </c>
      <c r="AO232" s="2"/>
      <c r="AP232" s="2"/>
      <c r="AQ232" s="2"/>
      <c r="AR232" s="2"/>
      <c r="AS232" s="2"/>
      <c r="AT232" s="2"/>
      <c r="AU232" s="2"/>
      <c r="AV232" s="2"/>
    </row>
    <row r="233" spans="1:48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">
      <c r="A234" s="2"/>
      <c r="B234" s="5" t="s">
        <v>363</v>
      </c>
      <c r="C234" s="5"/>
      <c r="D234" s="5"/>
      <c r="E234" s="5"/>
      <c r="F234" s="5"/>
      <c r="G234" s="5"/>
      <c r="H234" s="5"/>
      <c r="I234" s="5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">
      <c r="A235" s="2"/>
      <c r="B235" s="3" t="str">
        <f>+$B$5</f>
        <v>€ Millions, Yr end December</v>
      </c>
      <c r="C235" s="3"/>
      <c r="D235" s="3"/>
      <c r="E235" s="3"/>
      <c r="F235" s="3"/>
      <c r="G235" s="3"/>
      <c r="H235" s="3"/>
      <c r="I235" s="3"/>
      <c r="J235" s="3">
        <v>1999</v>
      </c>
      <c r="K235" s="3">
        <v>2000</v>
      </c>
      <c r="L235" s="3">
        <v>2001</v>
      </c>
      <c r="M235" s="3">
        <v>2002</v>
      </c>
      <c r="N235" s="3">
        <f t="shared" ref="N235:AH235" si="393">N5</f>
        <v>2003</v>
      </c>
      <c r="O235" s="3">
        <f t="shared" si="393"/>
        <v>2004</v>
      </c>
      <c r="P235" s="3">
        <f t="shared" si="393"/>
        <v>2005</v>
      </c>
      <c r="Q235" s="3">
        <f t="shared" si="393"/>
        <v>2006</v>
      </c>
      <c r="R235" s="84">
        <f t="shared" si="393"/>
        <v>2007</v>
      </c>
      <c r="S235" s="84">
        <f t="shared" si="393"/>
        <v>2008</v>
      </c>
      <c r="T235" s="84">
        <f t="shared" si="393"/>
        <v>2009</v>
      </c>
      <c r="U235" s="84">
        <f t="shared" si="393"/>
        <v>2010</v>
      </c>
      <c r="V235" s="84">
        <f t="shared" si="393"/>
        <v>2011</v>
      </c>
      <c r="W235" s="84">
        <f t="shared" si="393"/>
        <v>2012</v>
      </c>
      <c r="X235" s="84">
        <f t="shared" si="393"/>
        <v>2013</v>
      </c>
      <c r="Y235" s="84">
        <f t="shared" si="393"/>
        <v>2014</v>
      </c>
      <c r="Z235" s="84">
        <f t="shared" si="393"/>
        <v>2015</v>
      </c>
      <c r="AA235" s="84">
        <f t="shared" si="393"/>
        <v>2016</v>
      </c>
      <c r="AB235" s="84">
        <f t="shared" si="393"/>
        <v>2017</v>
      </c>
      <c r="AC235" s="49">
        <f t="shared" si="393"/>
        <v>2018</v>
      </c>
      <c r="AD235" s="49">
        <f t="shared" si="393"/>
        <v>2019</v>
      </c>
      <c r="AE235" s="49">
        <f t="shared" si="393"/>
        <v>2020</v>
      </c>
      <c r="AF235" s="49">
        <f t="shared" si="393"/>
        <v>2021</v>
      </c>
      <c r="AG235" s="49">
        <f t="shared" si="393"/>
        <v>2022</v>
      </c>
      <c r="AH235" s="49">
        <f t="shared" si="393"/>
        <v>2023</v>
      </c>
      <c r="AI235" s="49">
        <f t="shared" ref="AI235:AL235" si="394">AI5</f>
        <v>2024</v>
      </c>
      <c r="AJ235" s="49">
        <f t="shared" si="394"/>
        <v>2025</v>
      </c>
      <c r="AK235" s="49">
        <f t="shared" si="394"/>
        <v>2026</v>
      </c>
      <c r="AL235" s="49">
        <f t="shared" si="394"/>
        <v>2027</v>
      </c>
      <c r="AO235" s="2"/>
      <c r="AP235" s="2"/>
      <c r="AQ235" s="2"/>
      <c r="AR235" s="2"/>
      <c r="AS235" s="2"/>
      <c r="AT235" s="2"/>
      <c r="AU235" s="2"/>
      <c r="AV235" s="2"/>
    </row>
    <row r="236" spans="1:48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">
      <c r="A237" s="2"/>
      <c r="B237" s="8" t="s">
        <v>364</v>
      </c>
      <c r="C237" s="2"/>
      <c r="D237" s="2"/>
      <c r="E237" s="2"/>
      <c r="F237" s="2"/>
      <c r="G237" s="2"/>
      <c r="H237" s="2"/>
      <c r="I237" s="2"/>
      <c r="J237" s="11"/>
      <c r="K237" s="6"/>
      <c r="L237" s="6"/>
      <c r="M237" s="6"/>
      <c r="N237" s="6"/>
      <c r="O237" s="6"/>
      <c r="P237" s="6"/>
      <c r="Q237" s="6"/>
      <c r="R237" s="14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">
      <c r="A238" s="2"/>
      <c r="B238" s="2" t="s">
        <v>365</v>
      </c>
      <c r="C238" s="2"/>
      <c r="D238" s="2"/>
      <c r="E238" s="2"/>
      <c r="F238" s="2"/>
      <c r="G238" s="2"/>
      <c r="H238" s="2"/>
      <c r="I238" s="2"/>
      <c r="J238" s="73">
        <v>284.19600000000003</v>
      </c>
      <c r="K238" s="73">
        <v>310.06799999999998</v>
      </c>
      <c r="L238" s="73">
        <v>377.86500000000001</v>
      </c>
      <c r="M238" s="73">
        <v>365.75599999999997</v>
      </c>
      <c r="N238" s="73">
        <v>344.55399999999997</v>
      </c>
      <c r="O238" s="73">
        <v>367.928</v>
      </c>
      <c r="P238" s="73">
        <v>424</v>
      </c>
      <c r="Q238" s="73">
        <v>689</v>
      </c>
      <c r="R238" s="88">
        <v>702</v>
      </c>
      <c r="S238" s="88">
        <v>886</v>
      </c>
      <c r="T238" s="88">
        <v>723</v>
      </c>
      <c r="U238" s="73">
        <v>855</v>
      </c>
      <c r="V238" s="73">
        <v>963</v>
      </c>
      <c r="W238" s="73">
        <v>1095</v>
      </c>
      <c r="X238" s="73">
        <v>1238</v>
      </c>
      <c r="Y238" s="73">
        <v>1454</v>
      </c>
      <c r="Z238" s="73">
        <v>1638</v>
      </c>
      <c r="AA238" s="243">
        <v>1915</v>
      </c>
      <c r="AB238" s="243">
        <v>2000</v>
      </c>
      <c r="AC238" s="73">
        <f t="shared" ref="AC238:AL238" si="395">AB238-AC183-AC205-AC206-AC207-AC208</f>
        <v>2590.1586233338148</v>
      </c>
      <c r="AD238" s="73">
        <f t="shared" si="395"/>
        <v>3182.3904544294055</v>
      </c>
      <c r="AE238" s="73">
        <f t="shared" si="395"/>
        <v>3771.0545492405636</v>
      </c>
      <c r="AF238" s="73">
        <f t="shared" si="395"/>
        <v>4349.4941615015932</v>
      </c>
      <c r="AG238" s="73">
        <f t="shared" si="395"/>
        <v>4915.2751379029924</v>
      </c>
      <c r="AH238" s="73">
        <f t="shared" si="395"/>
        <v>5528.5261876057339</v>
      </c>
      <c r="AI238" s="73">
        <f t="shared" si="395"/>
        <v>6185.3450447276664</v>
      </c>
      <c r="AJ238" s="73">
        <f t="shared" si="395"/>
        <v>6888.4711745414879</v>
      </c>
      <c r="AK238" s="73">
        <f t="shared" si="395"/>
        <v>7603.8910724564812</v>
      </c>
      <c r="AL238" s="73">
        <f t="shared" si="395"/>
        <v>8331.2657081876641</v>
      </c>
      <c r="AO238" s="2"/>
      <c r="AP238" s="2"/>
      <c r="AQ238" s="2"/>
      <c r="AR238" s="2"/>
      <c r="AS238" s="2"/>
      <c r="AT238" s="2"/>
      <c r="AU238" s="2"/>
      <c r="AV238" s="2"/>
    </row>
    <row r="239" spans="1:48" x14ac:dyDescent="0.2">
      <c r="A239" s="2"/>
      <c r="B239" s="2" t="s">
        <v>366</v>
      </c>
      <c r="C239" s="2"/>
      <c r="D239" s="2"/>
      <c r="E239" s="2"/>
      <c r="F239" s="2"/>
      <c r="G239" s="2"/>
      <c r="H239" s="2"/>
      <c r="I239" s="2"/>
      <c r="J239" s="6">
        <v>635.59400000000005</v>
      </c>
      <c r="K239" s="97">
        <v>601.02800000000002</v>
      </c>
      <c r="L239" s="97">
        <v>580.06899999999996</v>
      </c>
      <c r="M239" s="97">
        <v>638.74199999999996</v>
      </c>
      <c r="N239" s="6">
        <v>591.04499999999996</v>
      </c>
      <c r="O239" s="6">
        <v>572.42600000000004</v>
      </c>
      <c r="P239" s="6">
        <v>436</v>
      </c>
      <c r="Q239" s="6">
        <v>1516</v>
      </c>
      <c r="R239" s="6">
        <v>1436</v>
      </c>
      <c r="S239" s="6">
        <v>1499</v>
      </c>
      <c r="T239" s="6">
        <v>1478</v>
      </c>
      <c r="U239" s="73">
        <v>1539</v>
      </c>
      <c r="V239" s="73">
        <v>1553</v>
      </c>
      <c r="W239" s="73">
        <v>1281</v>
      </c>
      <c r="X239" s="73">
        <v>1204</v>
      </c>
      <c r="Y239" s="73">
        <v>1169</v>
      </c>
      <c r="Z239" s="73">
        <v>1392</v>
      </c>
      <c r="AA239" s="243">
        <v>1412</v>
      </c>
      <c r="AB239" s="243">
        <v>1220</v>
      </c>
      <c r="AC239" s="73">
        <f t="shared" ref="AC239:AL239" si="396">AB239-AC184-AC185-AC204</f>
        <v>1215.58</v>
      </c>
      <c r="AD239" s="73">
        <f t="shared" si="396"/>
        <v>1209.8972847222221</v>
      </c>
      <c r="AE239" s="73">
        <f t="shared" si="396"/>
        <v>1202.915459852381</v>
      </c>
      <c r="AF239" s="73">
        <f t="shared" si="396"/>
        <v>1193.8367070816528</v>
      </c>
      <c r="AG239" s="73">
        <f t="shared" si="396"/>
        <v>1182.6610264100375</v>
      </c>
      <c r="AH239" s="73">
        <f t="shared" si="396"/>
        <v>1169.3884178375351</v>
      </c>
      <c r="AI239" s="73">
        <f t="shared" si="396"/>
        <v>1154.0188813641457</v>
      </c>
      <c r="AJ239" s="73">
        <f t="shared" si="396"/>
        <v>1136.5524169898695</v>
      </c>
      <c r="AK239" s="73">
        <f t="shared" si="396"/>
        <v>1116.9890247147061</v>
      </c>
      <c r="AL239" s="73">
        <f t="shared" si="396"/>
        <v>1095.3287045386558</v>
      </c>
      <c r="AO239" s="2"/>
      <c r="AP239" s="2"/>
      <c r="AQ239" s="2"/>
      <c r="AR239" s="2"/>
      <c r="AS239" s="2"/>
      <c r="AT239" s="2"/>
      <c r="AU239" s="2"/>
      <c r="AV239" s="2"/>
    </row>
    <row r="240" spans="1:48" x14ac:dyDescent="0.2">
      <c r="A240" s="2"/>
      <c r="B240" s="2" t="s">
        <v>162</v>
      </c>
      <c r="C240" s="2"/>
      <c r="D240" s="2"/>
      <c r="E240" s="2"/>
      <c r="F240" s="2"/>
      <c r="G240" s="2"/>
      <c r="H240" s="2"/>
      <c r="I240" s="2"/>
      <c r="J240" s="14">
        <v>0</v>
      </c>
      <c r="K240" s="138">
        <v>0</v>
      </c>
      <c r="L240" s="14">
        <v>0</v>
      </c>
      <c r="M240" s="14">
        <v>0</v>
      </c>
      <c r="N240" s="14">
        <v>0</v>
      </c>
      <c r="O240" s="14">
        <v>0</v>
      </c>
      <c r="P240" s="14">
        <v>15</v>
      </c>
      <c r="Q240" s="14">
        <v>1454</v>
      </c>
      <c r="R240" s="6">
        <v>1291</v>
      </c>
      <c r="S240" s="6">
        <v>1390</v>
      </c>
      <c r="T240" s="6">
        <v>1342</v>
      </c>
      <c r="U240" s="73">
        <v>1447</v>
      </c>
      <c r="V240" s="73">
        <v>1503</v>
      </c>
      <c r="W240" s="73">
        <v>1484</v>
      </c>
      <c r="X240" s="73">
        <v>1419</v>
      </c>
      <c r="Y240" s="73">
        <v>1432</v>
      </c>
      <c r="Z240" s="73">
        <v>1628</v>
      </c>
      <c r="AA240" s="243">
        <v>1680</v>
      </c>
      <c r="AB240" s="243">
        <v>1309</v>
      </c>
      <c r="AC240" s="73">
        <f t="shared" ref="AC240:AE241" si="397">AB240</f>
        <v>1309</v>
      </c>
      <c r="AD240" s="73">
        <f t="shared" si="397"/>
        <v>1309</v>
      </c>
      <c r="AE240" s="73">
        <f t="shared" si="397"/>
        <v>1309</v>
      </c>
      <c r="AF240" s="73">
        <f t="shared" ref="AF240:AL241" si="398">AE240</f>
        <v>1309</v>
      </c>
      <c r="AG240" s="73">
        <f t="shared" si="398"/>
        <v>1309</v>
      </c>
      <c r="AH240" s="73">
        <f t="shared" si="398"/>
        <v>1309</v>
      </c>
      <c r="AI240" s="73">
        <f t="shared" si="398"/>
        <v>1309</v>
      </c>
      <c r="AJ240" s="73">
        <f t="shared" si="398"/>
        <v>1309</v>
      </c>
      <c r="AK240" s="73">
        <f t="shared" si="398"/>
        <v>1309</v>
      </c>
      <c r="AL240" s="73">
        <f t="shared" si="398"/>
        <v>1309</v>
      </c>
      <c r="AO240" s="2"/>
      <c r="AP240" s="2"/>
      <c r="AQ240" s="2"/>
      <c r="AR240" s="2"/>
      <c r="AS240" s="2"/>
      <c r="AT240" s="2"/>
      <c r="AU240" s="2"/>
      <c r="AV240" s="2"/>
    </row>
    <row r="241" spans="1:48" x14ac:dyDescent="0.2">
      <c r="A241" s="2"/>
      <c r="B241" s="11" t="s">
        <v>367</v>
      </c>
      <c r="C241" s="2"/>
      <c r="D241" s="2"/>
      <c r="E241" s="2"/>
      <c r="F241" s="2"/>
      <c r="G241" s="2"/>
      <c r="H241" s="2"/>
      <c r="I241" s="2"/>
      <c r="J241" s="73">
        <v>73.399000000000001</v>
      </c>
      <c r="K241" s="73">
        <v>77.632999999999996</v>
      </c>
      <c r="L241" s="73">
        <v>91.131</v>
      </c>
      <c r="M241" s="73">
        <v>115.495</v>
      </c>
      <c r="N241" s="73">
        <v>103.797</v>
      </c>
      <c r="O241" s="73">
        <v>96.311999999999998</v>
      </c>
      <c r="P241" s="73">
        <v>76</v>
      </c>
      <c r="Q241" s="73">
        <v>223</v>
      </c>
      <c r="R241" s="73">
        <v>194</v>
      </c>
      <c r="S241" s="73">
        <v>204</v>
      </c>
      <c r="T241" s="73">
        <v>160</v>
      </c>
      <c r="U241" s="73">
        <v>142</v>
      </c>
      <c r="V241" s="73">
        <v>160</v>
      </c>
      <c r="W241" s="73">
        <v>167</v>
      </c>
      <c r="X241" s="73">
        <v>164</v>
      </c>
      <c r="Y241" s="73">
        <v>162</v>
      </c>
      <c r="Z241" s="73">
        <v>188</v>
      </c>
      <c r="AA241" s="243">
        <v>167</v>
      </c>
      <c r="AB241" s="243">
        <v>154</v>
      </c>
      <c r="AC241" s="73">
        <f t="shared" si="397"/>
        <v>154</v>
      </c>
      <c r="AD241" s="73">
        <f t="shared" si="397"/>
        <v>154</v>
      </c>
      <c r="AE241" s="73">
        <f t="shared" si="397"/>
        <v>154</v>
      </c>
      <c r="AF241" s="73">
        <f t="shared" si="398"/>
        <v>154</v>
      </c>
      <c r="AG241" s="73">
        <f t="shared" si="398"/>
        <v>154</v>
      </c>
      <c r="AH241" s="73">
        <f t="shared" si="398"/>
        <v>154</v>
      </c>
      <c r="AI241" s="73">
        <f t="shared" si="398"/>
        <v>154</v>
      </c>
      <c r="AJ241" s="73">
        <f t="shared" si="398"/>
        <v>154</v>
      </c>
      <c r="AK241" s="73">
        <f t="shared" si="398"/>
        <v>154</v>
      </c>
      <c r="AL241" s="73">
        <f t="shared" si="398"/>
        <v>154</v>
      </c>
      <c r="AO241" s="2"/>
      <c r="AP241" s="2"/>
      <c r="AQ241" s="2"/>
      <c r="AR241" s="2"/>
      <c r="AS241" s="2"/>
      <c r="AT241" s="2"/>
      <c r="AU241" s="2"/>
      <c r="AV241" s="2"/>
    </row>
    <row r="242" spans="1:48" x14ac:dyDescent="0.2">
      <c r="A242" s="2"/>
      <c r="B242" s="11" t="s">
        <v>103</v>
      </c>
      <c r="C242" s="11"/>
      <c r="D242" s="11"/>
      <c r="E242" s="11"/>
      <c r="F242" s="11"/>
      <c r="G242" s="11"/>
      <c r="H242" s="11"/>
      <c r="I242" s="11"/>
      <c r="J242" s="73">
        <v>12.227</v>
      </c>
      <c r="K242" s="73">
        <v>16.388000000000002</v>
      </c>
      <c r="L242" s="73">
        <v>15.031000000000001</v>
      </c>
      <c r="M242" s="73">
        <v>87.474000000000004</v>
      </c>
      <c r="N242" s="73">
        <v>88.408000000000001</v>
      </c>
      <c r="O242" s="73">
        <v>93.134</v>
      </c>
      <c r="P242" s="73">
        <v>114</v>
      </c>
      <c r="Q242" s="73">
        <v>106</v>
      </c>
      <c r="R242" s="88">
        <v>103</v>
      </c>
      <c r="S242" s="73">
        <v>96</v>
      </c>
      <c r="T242" s="73">
        <v>91</v>
      </c>
      <c r="U242" s="73">
        <v>93</v>
      </c>
      <c r="V242" s="73">
        <v>97</v>
      </c>
      <c r="W242" s="73">
        <v>112</v>
      </c>
      <c r="X242" s="73">
        <v>120</v>
      </c>
      <c r="Y242" s="73">
        <v>129</v>
      </c>
      <c r="Z242" s="73">
        <v>140</v>
      </c>
      <c r="AA242" s="243">
        <v>194</v>
      </c>
      <c r="AB242" s="243">
        <v>236</v>
      </c>
      <c r="AC242" s="73">
        <f t="shared" ref="AC242:AL242" si="399">AB242-AC209</f>
        <v>236</v>
      </c>
      <c r="AD242" s="73">
        <f t="shared" si="399"/>
        <v>236</v>
      </c>
      <c r="AE242" s="73">
        <f t="shared" si="399"/>
        <v>236</v>
      </c>
      <c r="AF242" s="73">
        <f t="shared" si="399"/>
        <v>236</v>
      </c>
      <c r="AG242" s="73">
        <f t="shared" si="399"/>
        <v>236</v>
      </c>
      <c r="AH242" s="73">
        <f t="shared" si="399"/>
        <v>236</v>
      </c>
      <c r="AI242" s="73">
        <f t="shared" si="399"/>
        <v>236</v>
      </c>
      <c r="AJ242" s="73">
        <f t="shared" si="399"/>
        <v>236</v>
      </c>
      <c r="AK242" s="73">
        <f t="shared" si="399"/>
        <v>236</v>
      </c>
      <c r="AL242" s="73">
        <f t="shared" si="399"/>
        <v>236</v>
      </c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</row>
    <row r="243" spans="1:48" x14ac:dyDescent="0.2">
      <c r="A243" s="2"/>
      <c r="B243" s="11" t="s">
        <v>74</v>
      </c>
      <c r="C243" s="11"/>
      <c r="D243" s="11"/>
      <c r="E243" s="11"/>
      <c r="F243" s="11"/>
      <c r="G243" s="11"/>
      <c r="H243" s="11"/>
      <c r="I243" s="11"/>
      <c r="J243" s="73">
        <v>134.34899999999999</v>
      </c>
      <c r="K243" s="73">
        <v>131.06299999999999</v>
      </c>
      <c r="L243" s="73">
        <v>147.87299999999999</v>
      </c>
      <c r="M243" s="73">
        <v>169.69200000000001</v>
      </c>
      <c r="N243" s="73">
        <v>178.48400000000001</v>
      </c>
      <c r="O243" s="73">
        <v>166.53899999999999</v>
      </c>
      <c r="P243" s="73">
        <v>195</v>
      </c>
      <c r="Q243" s="73">
        <v>332</v>
      </c>
      <c r="R243" s="88">
        <v>315</v>
      </c>
      <c r="S243" s="73">
        <v>344</v>
      </c>
      <c r="T243" s="73">
        <v>412</v>
      </c>
      <c r="U243" s="73">
        <v>508</v>
      </c>
      <c r="V243" s="73">
        <v>484</v>
      </c>
      <c r="W243" s="73">
        <v>528</v>
      </c>
      <c r="X243" s="73">
        <v>486</v>
      </c>
      <c r="Y243" s="73">
        <v>577</v>
      </c>
      <c r="Z243" s="73">
        <v>637</v>
      </c>
      <c r="AA243" s="243">
        <v>732</v>
      </c>
      <c r="AB243" s="243">
        <v>630.4</v>
      </c>
      <c r="AC243" s="73">
        <f t="shared" ref="AC243:AC244" si="400">AB243</f>
        <v>630.4</v>
      </c>
      <c r="AD243" s="73">
        <f t="shared" ref="AD243:AL244" si="401">AC243</f>
        <v>630.4</v>
      </c>
      <c r="AE243" s="73">
        <f t="shared" si="401"/>
        <v>630.4</v>
      </c>
      <c r="AF243" s="73">
        <f t="shared" si="401"/>
        <v>630.4</v>
      </c>
      <c r="AG243" s="73">
        <f t="shared" si="401"/>
        <v>630.4</v>
      </c>
      <c r="AH243" s="73">
        <f t="shared" si="401"/>
        <v>630.4</v>
      </c>
      <c r="AI243" s="73">
        <f t="shared" si="401"/>
        <v>630.4</v>
      </c>
      <c r="AJ243" s="73">
        <f t="shared" si="401"/>
        <v>630.4</v>
      </c>
      <c r="AK243" s="73">
        <f t="shared" si="401"/>
        <v>630.4</v>
      </c>
      <c r="AL243" s="73">
        <f t="shared" si="401"/>
        <v>630.4</v>
      </c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</row>
    <row r="244" spans="1:48" x14ac:dyDescent="0.2">
      <c r="A244" s="2"/>
      <c r="B244" s="11" t="s">
        <v>368</v>
      </c>
      <c r="C244" s="11"/>
      <c r="D244" s="11"/>
      <c r="E244" s="11"/>
      <c r="F244" s="11"/>
      <c r="G244" s="11"/>
      <c r="H244" s="11"/>
      <c r="I244" s="11"/>
      <c r="J244" s="73">
        <f>111.185-J242</f>
        <v>98.957999999999998</v>
      </c>
      <c r="K244" s="73">
        <f>112.643-K242</f>
        <v>96.254999999999995</v>
      </c>
      <c r="L244" s="73">
        <f>107.76-L242</f>
        <v>92.728999999999999</v>
      </c>
      <c r="M244" s="73">
        <v>57.661000000000001</v>
      </c>
      <c r="N244" s="73">
        <v>104.569</v>
      </c>
      <c r="O244" s="73">
        <v>102.599</v>
      </c>
      <c r="P244" s="73">
        <v>123</v>
      </c>
      <c r="Q244" s="73">
        <v>134</v>
      </c>
      <c r="R244" s="73">
        <v>147</v>
      </c>
      <c r="S244" s="73">
        <f>120+60</f>
        <v>180</v>
      </c>
      <c r="T244" s="73">
        <f>126+58</f>
        <v>184</v>
      </c>
      <c r="U244" s="73">
        <f>100+54</f>
        <v>154</v>
      </c>
      <c r="V244" s="73">
        <f>107+42</f>
        <v>149</v>
      </c>
      <c r="W244" s="73">
        <f>21+86</f>
        <v>107</v>
      </c>
      <c r="X244" s="73">
        <f>30+81</f>
        <v>111</v>
      </c>
      <c r="Y244" s="73">
        <f>42+105</f>
        <v>147</v>
      </c>
      <c r="Z244" s="73">
        <f>99+124</f>
        <v>223</v>
      </c>
      <c r="AA244" s="243">
        <f>96+94</f>
        <v>190</v>
      </c>
      <c r="AB244" s="243">
        <f>219+108</f>
        <v>327</v>
      </c>
      <c r="AC244" s="73">
        <f t="shared" si="400"/>
        <v>327</v>
      </c>
      <c r="AD244" s="73">
        <f t="shared" si="401"/>
        <v>327</v>
      </c>
      <c r="AE244" s="73">
        <f t="shared" si="401"/>
        <v>327</v>
      </c>
      <c r="AF244" s="73">
        <f t="shared" si="401"/>
        <v>327</v>
      </c>
      <c r="AG244" s="73">
        <f t="shared" si="401"/>
        <v>327</v>
      </c>
      <c r="AH244" s="73">
        <f t="shared" si="401"/>
        <v>327</v>
      </c>
      <c r="AI244" s="73">
        <f t="shared" si="401"/>
        <v>327</v>
      </c>
      <c r="AJ244" s="73">
        <f t="shared" si="401"/>
        <v>327</v>
      </c>
      <c r="AK244" s="73">
        <f t="shared" si="401"/>
        <v>327</v>
      </c>
      <c r="AL244" s="73">
        <f t="shared" si="401"/>
        <v>327</v>
      </c>
      <c r="AM244" s="11"/>
      <c r="AN244" s="11"/>
      <c r="AO244" s="11"/>
      <c r="AP244" s="11"/>
      <c r="AR244" s="11"/>
      <c r="AS244" s="11"/>
      <c r="AT244" s="11"/>
      <c r="AU244" s="11"/>
      <c r="AV244" s="11"/>
    </row>
    <row r="245" spans="1:48" x14ac:dyDescent="0.2">
      <c r="A245" s="2"/>
      <c r="B245" s="13" t="s">
        <v>369</v>
      </c>
      <c r="C245" s="13"/>
      <c r="D245" s="13"/>
      <c r="E245" s="13"/>
      <c r="F245" s="13"/>
      <c r="G245" s="13"/>
      <c r="H245" s="13"/>
      <c r="I245" s="13"/>
      <c r="J245" s="89">
        <f t="shared" ref="J245:R245" si="402">J238+J239+J240+J241+J242+J243+J244</f>
        <v>1238.7230000000002</v>
      </c>
      <c r="K245" s="89">
        <f t="shared" si="402"/>
        <v>1232.4349999999999</v>
      </c>
      <c r="L245" s="89">
        <f t="shared" si="402"/>
        <v>1304.6980000000001</v>
      </c>
      <c r="M245" s="89">
        <f t="shared" si="402"/>
        <v>1434.82</v>
      </c>
      <c r="N245" s="89">
        <f t="shared" si="402"/>
        <v>1410.8569999999997</v>
      </c>
      <c r="O245" s="89">
        <f t="shared" si="402"/>
        <v>1398.9379999999999</v>
      </c>
      <c r="P245" s="89">
        <f t="shared" si="402"/>
        <v>1383</v>
      </c>
      <c r="Q245" s="89">
        <f t="shared" si="402"/>
        <v>4454</v>
      </c>
      <c r="R245" s="89">
        <f t="shared" si="402"/>
        <v>4188</v>
      </c>
      <c r="S245" s="89">
        <f>S238+S239+S240+S241+S242+S243+S244</f>
        <v>4599</v>
      </c>
      <c r="T245" s="89">
        <f t="shared" ref="T245:Z245" si="403">T238+T239+T240+T241+T242+T243+T244</f>
        <v>4390</v>
      </c>
      <c r="U245" s="89">
        <f t="shared" si="403"/>
        <v>4738</v>
      </c>
      <c r="V245" s="89">
        <f t="shared" si="403"/>
        <v>4909</v>
      </c>
      <c r="W245" s="89">
        <f t="shared" si="403"/>
        <v>4774</v>
      </c>
      <c r="X245" s="89">
        <f>X238+X239+X240+X241+X242+X243+X244</f>
        <v>4742</v>
      </c>
      <c r="Y245" s="89">
        <f t="shared" si="403"/>
        <v>5070</v>
      </c>
      <c r="Z245" s="89">
        <f t="shared" si="403"/>
        <v>5846</v>
      </c>
      <c r="AA245" s="89">
        <f t="shared" ref="AA245:AH245" si="404">AA238+AA239+AA240+AA241+AA242+AA243+AA244</f>
        <v>6290</v>
      </c>
      <c r="AB245" s="89">
        <f t="shared" si="404"/>
        <v>5876.4</v>
      </c>
      <c r="AC245" s="89">
        <f t="shared" si="404"/>
        <v>6462.1386233338144</v>
      </c>
      <c r="AD245" s="89">
        <f t="shared" si="404"/>
        <v>7048.6877391516273</v>
      </c>
      <c r="AE245" s="89">
        <f t="shared" si="404"/>
        <v>7630.3700090929442</v>
      </c>
      <c r="AF245" s="89">
        <f t="shared" si="404"/>
        <v>8199.7308685832468</v>
      </c>
      <c r="AG245" s="89">
        <f t="shared" si="404"/>
        <v>8754.3361643130302</v>
      </c>
      <c r="AH245" s="89">
        <f t="shared" si="404"/>
        <v>9354.3146054432691</v>
      </c>
      <c r="AI245" s="89">
        <f t="shared" ref="AI245:AL245" si="405">AI238+AI239+AI240+AI241+AI242+AI243+AI244</f>
        <v>9995.7639260918113</v>
      </c>
      <c r="AJ245" s="89">
        <f t="shared" si="405"/>
        <v>10681.423591531357</v>
      </c>
      <c r="AK245" s="89">
        <f t="shared" si="405"/>
        <v>11377.280097171188</v>
      </c>
      <c r="AL245" s="89">
        <f t="shared" si="405"/>
        <v>12082.994412726319</v>
      </c>
      <c r="AM245" s="13"/>
      <c r="AN245" s="13"/>
      <c r="AO245" s="13"/>
      <c r="AP245" s="13"/>
      <c r="AR245" s="13"/>
      <c r="AS245" s="13"/>
      <c r="AT245" s="13"/>
      <c r="AU245" s="13"/>
      <c r="AV245" s="13"/>
    </row>
    <row r="246" spans="1:48" x14ac:dyDescent="0.2">
      <c r="A246" s="2"/>
      <c r="B246" s="11"/>
      <c r="C246" s="11"/>
      <c r="D246" s="11"/>
      <c r="E246" s="11"/>
      <c r="F246" s="11"/>
      <c r="G246" s="11"/>
      <c r="H246" s="11"/>
      <c r="I246" s="11"/>
      <c r="J246" s="14"/>
      <c r="K246" s="14"/>
      <c r="L246" s="14"/>
      <c r="M246" s="14"/>
      <c r="N246" s="14"/>
      <c r="O246" s="14"/>
      <c r="P246" s="14"/>
      <c r="Q246" s="14"/>
      <c r="R246" s="55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R246" s="11"/>
      <c r="AS246" s="11"/>
      <c r="AT246" s="11"/>
      <c r="AU246" s="11"/>
      <c r="AV246" s="11"/>
    </row>
    <row r="247" spans="1:48" x14ac:dyDescent="0.2">
      <c r="A247" s="2"/>
      <c r="B247" s="13" t="s">
        <v>370</v>
      </c>
      <c r="C247" s="11"/>
      <c r="D247" s="11"/>
      <c r="E247" s="11"/>
      <c r="F247" s="11"/>
      <c r="G247" s="11"/>
      <c r="H247" s="11"/>
      <c r="I247" s="11"/>
      <c r="J247" s="14"/>
      <c r="K247" s="14"/>
      <c r="L247" s="14"/>
      <c r="M247" s="14"/>
      <c r="N247" s="14"/>
      <c r="O247" s="14"/>
      <c r="P247" s="14"/>
      <c r="Q247" s="14"/>
      <c r="R247" s="122"/>
      <c r="S247" s="122"/>
      <c r="T247" s="122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R247" s="11"/>
      <c r="AS247" s="11"/>
      <c r="AT247" s="11"/>
      <c r="AU247" s="11"/>
      <c r="AV247" s="11"/>
    </row>
    <row r="248" spans="1:48" x14ac:dyDescent="0.2">
      <c r="A248" s="2"/>
      <c r="B248" s="11" t="s">
        <v>283</v>
      </c>
      <c r="C248" s="11"/>
      <c r="D248" s="11"/>
      <c r="E248" s="73"/>
      <c r="F248" s="73">
        <v>431</v>
      </c>
      <c r="G248" s="73">
        <v>556</v>
      </c>
      <c r="H248" s="73">
        <v>821</v>
      </c>
      <c r="I248" s="73">
        <v>975</v>
      </c>
      <c r="J248" s="73">
        <v>1045.2439999999999</v>
      </c>
      <c r="K248" s="73">
        <v>1294.0329999999999</v>
      </c>
      <c r="L248" s="73">
        <v>1273.0619999999999</v>
      </c>
      <c r="M248" s="73">
        <v>1189.933</v>
      </c>
      <c r="N248" s="73">
        <v>1163.518</v>
      </c>
      <c r="O248" s="73">
        <v>1155.374</v>
      </c>
      <c r="P248" s="73">
        <v>1230</v>
      </c>
      <c r="Q248" s="73">
        <v>1607</v>
      </c>
      <c r="R248" s="88">
        <v>1629</v>
      </c>
      <c r="S248" s="73">
        <v>1995</v>
      </c>
      <c r="T248" s="73">
        <v>1471</v>
      </c>
      <c r="U248" s="73">
        <v>2119</v>
      </c>
      <c r="V248" s="73">
        <v>2502</v>
      </c>
      <c r="W248" s="73">
        <v>2486</v>
      </c>
      <c r="X248" s="73">
        <v>2634</v>
      </c>
      <c r="Y248" s="73">
        <v>2526</v>
      </c>
      <c r="Z248" s="73">
        <v>3113</v>
      </c>
      <c r="AA248" s="243">
        <v>3763</v>
      </c>
      <c r="AB248" s="243">
        <v>3692.4</v>
      </c>
      <c r="AC248" s="73">
        <f t="shared" ref="AC248:AH248" si="406">AC470</f>
        <v>3869.153596074575</v>
      </c>
      <c r="AD248" s="73">
        <f t="shared" si="406"/>
        <v>4112.9885978210386</v>
      </c>
      <c r="AE248" s="73">
        <f t="shared" si="406"/>
        <v>4249.6199793437572</v>
      </c>
      <c r="AF248" s="73">
        <f t="shared" si="406"/>
        <v>4382.8157410569111</v>
      </c>
      <c r="AG248" s="73">
        <f t="shared" si="406"/>
        <v>4659.086761935946</v>
      </c>
      <c r="AH248" s="73">
        <f t="shared" si="406"/>
        <v>4857.4326710463829</v>
      </c>
      <c r="AI248" s="73">
        <f t="shared" ref="AI248:AL248" si="407">AI470</f>
        <v>5131.2007147931336</v>
      </c>
      <c r="AJ248" s="73">
        <f t="shared" si="407"/>
        <v>5442.8999960850761</v>
      </c>
      <c r="AK248" s="73">
        <f t="shared" si="407"/>
        <v>5702.2923909448082</v>
      </c>
      <c r="AL248" s="73">
        <f t="shared" si="407"/>
        <v>5967.3455206288927</v>
      </c>
      <c r="AM248" s="11"/>
      <c r="AN248" s="11"/>
      <c r="AO248" s="11"/>
      <c r="AP248" s="11"/>
      <c r="AR248" s="11"/>
      <c r="AS248" s="11"/>
      <c r="AT248" s="11"/>
      <c r="AU248" s="11"/>
      <c r="AV248" s="11"/>
    </row>
    <row r="249" spans="1:48" x14ac:dyDescent="0.2">
      <c r="A249" s="2"/>
      <c r="B249" s="11" t="s">
        <v>134</v>
      </c>
      <c r="C249" s="11"/>
      <c r="D249" s="11"/>
      <c r="E249" s="73"/>
      <c r="F249" s="73">
        <v>288</v>
      </c>
      <c r="G249" s="73">
        <v>418</v>
      </c>
      <c r="H249" s="73">
        <v>592</v>
      </c>
      <c r="I249" s="73">
        <v>1026</v>
      </c>
      <c r="J249" s="73">
        <v>1032.877</v>
      </c>
      <c r="K249" s="73">
        <v>1133.1030000000001</v>
      </c>
      <c r="L249" s="73">
        <v>1253.193</v>
      </c>
      <c r="M249" s="73">
        <v>1292.6669999999999</v>
      </c>
      <c r="N249" s="73">
        <v>1075.0920000000001</v>
      </c>
      <c r="O249" s="73">
        <v>1046.3219999999999</v>
      </c>
      <c r="P249" s="73">
        <v>965</v>
      </c>
      <c r="Q249" s="73">
        <v>1415</v>
      </c>
      <c r="R249" s="88">
        <v>1459</v>
      </c>
      <c r="S249" s="73">
        <v>1624</v>
      </c>
      <c r="T249" s="73">
        <v>1429</v>
      </c>
      <c r="U249" s="73">
        <v>1667</v>
      </c>
      <c r="V249" s="73">
        <v>1595</v>
      </c>
      <c r="W249" s="73">
        <v>1688</v>
      </c>
      <c r="X249" s="73">
        <v>1809</v>
      </c>
      <c r="Y249" s="73">
        <v>1946</v>
      </c>
      <c r="Z249" s="73">
        <v>2049</v>
      </c>
      <c r="AA249" s="243">
        <v>2200</v>
      </c>
      <c r="AB249" s="243">
        <v>2315.4</v>
      </c>
      <c r="AC249" s="73">
        <f t="shared" ref="AC249:AH249" si="408">AC477</f>
        <v>2578.0209811886912</v>
      </c>
      <c r="AD249" s="73">
        <f t="shared" si="408"/>
        <v>2821.581019840989</v>
      </c>
      <c r="AE249" s="73">
        <f t="shared" si="408"/>
        <v>3051.344379610041</v>
      </c>
      <c r="AF249" s="73">
        <f t="shared" si="408"/>
        <v>3266.3627023728895</v>
      </c>
      <c r="AG249" s="73">
        <f t="shared" si="408"/>
        <v>3482.9687826784693</v>
      </c>
      <c r="AH249" s="73">
        <f t="shared" si="408"/>
        <v>3707.3741707508393</v>
      </c>
      <c r="AI249" s="73">
        <f t="shared" ref="AI249:AL249" si="409">AI477</f>
        <v>3921.9151944897067</v>
      </c>
      <c r="AJ249" s="73">
        <f t="shared" si="409"/>
        <v>4149.4683140131647</v>
      </c>
      <c r="AK249" s="73">
        <f t="shared" si="409"/>
        <v>4286.304341587308</v>
      </c>
      <c r="AL249" s="73">
        <f t="shared" si="409"/>
        <v>4531.5602882266548</v>
      </c>
      <c r="AM249" s="11"/>
      <c r="AN249" s="11"/>
      <c r="AO249" s="11"/>
      <c r="AP249" s="11"/>
      <c r="AR249" s="11"/>
      <c r="AS249" s="11"/>
      <c r="AT249" s="11"/>
      <c r="AU249" s="11"/>
      <c r="AV249" s="11"/>
    </row>
    <row r="250" spans="1:48" x14ac:dyDescent="0.2">
      <c r="A250" s="2"/>
      <c r="B250" s="11" t="s">
        <v>73</v>
      </c>
      <c r="C250" s="11"/>
      <c r="D250" s="11"/>
      <c r="E250" s="73"/>
      <c r="F250" s="73"/>
      <c r="G250" s="73"/>
      <c r="H250" s="73"/>
      <c r="I250" s="73"/>
      <c r="J250" s="73">
        <v>0</v>
      </c>
      <c r="K250" s="73">
        <v>0</v>
      </c>
      <c r="L250" s="73">
        <v>0</v>
      </c>
      <c r="M250" s="73">
        <v>0</v>
      </c>
      <c r="N250" s="73">
        <v>0</v>
      </c>
      <c r="O250" s="73">
        <v>0</v>
      </c>
      <c r="P250" s="73">
        <v>49</v>
      </c>
      <c r="Q250" s="73">
        <v>84</v>
      </c>
      <c r="R250" s="88">
        <v>60</v>
      </c>
      <c r="S250" s="73">
        <v>110</v>
      </c>
      <c r="T250" s="73">
        <v>89</v>
      </c>
      <c r="U250" s="73">
        <v>71</v>
      </c>
      <c r="V250" s="73">
        <v>77</v>
      </c>
      <c r="W250" s="73">
        <v>76</v>
      </c>
      <c r="X250" s="73">
        <v>86</v>
      </c>
      <c r="Y250" s="73">
        <v>92</v>
      </c>
      <c r="Z250" s="73">
        <v>97</v>
      </c>
      <c r="AA250" s="243">
        <v>98</v>
      </c>
      <c r="AB250" s="243">
        <v>71.400000000000006</v>
      </c>
      <c r="AC250" s="73">
        <f t="shared" ref="AC250:AL250" si="410">AB250</f>
        <v>71.400000000000006</v>
      </c>
      <c r="AD250" s="73">
        <f t="shared" si="410"/>
        <v>71.400000000000006</v>
      </c>
      <c r="AE250" s="73">
        <f t="shared" si="410"/>
        <v>71.400000000000006</v>
      </c>
      <c r="AF250" s="73">
        <f t="shared" si="410"/>
        <v>71.400000000000006</v>
      </c>
      <c r="AG250" s="73">
        <f t="shared" si="410"/>
        <v>71.400000000000006</v>
      </c>
      <c r="AH250" s="73">
        <f t="shared" si="410"/>
        <v>71.400000000000006</v>
      </c>
      <c r="AI250" s="73">
        <f t="shared" si="410"/>
        <v>71.400000000000006</v>
      </c>
      <c r="AJ250" s="73">
        <f t="shared" si="410"/>
        <v>71.400000000000006</v>
      </c>
      <c r="AK250" s="73">
        <f t="shared" si="410"/>
        <v>71.400000000000006</v>
      </c>
      <c r="AL250" s="73">
        <f t="shared" si="410"/>
        <v>71.400000000000006</v>
      </c>
      <c r="AM250" s="11"/>
      <c r="AN250" s="11"/>
      <c r="AO250" s="11"/>
      <c r="AP250" s="11"/>
      <c r="AR250" s="11"/>
      <c r="AS250" s="11"/>
      <c r="AT250" s="11"/>
      <c r="AU250" s="11"/>
      <c r="AV250" s="11"/>
    </row>
    <row r="251" spans="1:48" x14ac:dyDescent="0.2">
      <c r="A251" s="2"/>
      <c r="B251" s="11" t="s">
        <v>101</v>
      </c>
      <c r="C251" s="11"/>
      <c r="D251" s="11"/>
      <c r="E251" s="73"/>
      <c r="F251" s="73"/>
      <c r="G251" s="73"/>
      <c r="H251" s="73"/>
      <c r="I251" s="73"/>
      <c r="J251" s="73">
        <v>201.422</v>
      </c>
      <c r="K251" s="73">
        <v>254.18299999999999</v>
      </c>
      <c r="L251" s="73">
        <v>266.92899999999997</v>
      </c>
      <c r="M251" s="73">
        <v>267.435</v>
      </c>
      <c r="N251" s="73">
        <v>259.42700000000002</v>
      </c>
      <c r="O251" s="73">
        <v>378.303</v>
      </c>
      <c r="P251" s="73">
        <v>537</v>
      </c>
      <c r="Q251" s="73">
        <v>413</v>
      </c>
      <c r="R251" s="88">
        <v>529</v>
      </c>
      <c r="S251" s="73">
        <v>789</v>
      </c>
      <c r="T251" s="73">
        <f>160+360</f>
        <v>520</v>
      </c>
      <c r="U251" s="73">
        <f>390+197</f>
        <v>587</v>
      </c>
      <c r="V251" s="73">
        <f>289+469</f>
        <v>758</v>
      </c>
      <c r="W251" s="88">
        <f>192+489</f>
        <v>681</v>
      </c>
      <c r="X251" s="73">
        <f>183+506</f>
        <v>689</v>
      </c>
      <c r="Y251" s="73">
        <f>398+425</f>
        <v>823</v>
      </c>
      <c r="Z251" s="73">
        <f>367+489</f>
        <v>856</v>
      </c>
      <c r="AA251" s="243">
        <f>729+580</f>
        <v>1309</v>
      </c>
      <c r="AB251" s="243">
        <f>393+498</f>
        <v>891</v>
      </c>
      <c r="AC251" s="73">
        <f t="shared" ref="AC251:AC252" si="411">+AB251</f>
        <v>891</v>
      </c>
      <c r="AD251" s="73">
        <f t="shared" ref="AD251:AL252" si="412">+AC251</f>
        <v>891</v>
      </c>
      <c r="AE251" s="73">
        <f t="shared" si="412"/>
        <v>891</v>
      </c>
      <c r="AF251" s="73">
        <f t="shared" si="412"/>
        <v>891</v>
      </c>
      <c r="AG251" s="73">
        <f t="shared" si="412"/>
        <v>891</v>
      </c>
      <c r="AH251" s="73">
        <f t="shared" si="412"/>
        <v>891</v>
      </c>
      <c r="AI251" s="73">
        <f t="shared" si="412"/>
        <v>891</v>
      </c>
      <c r="AJ251" s="73">
        <f t="shared" si="412"/>
        <v>891</v>
      </c>
      <c r="AK251" s="73">
        <f t="shared" si="412"/>
        <v>891</v>
      </c>
      <c r="AL251" s="73">
        <f t="shared" si="412"/>
        <v>891</v>
      </c>
      <c r="AM251" s="11"/>
      <c r="AN251" s="11"/>
      <c r="AO251" s="11"/>
      <c r="AP251" s="11"/>
      <c r="AR251" s="11"/>
      <c r="AS251" s="11"/>
      <c r="AT251" s="11"/>
      <c r="AU251" s="11"/>
      <c r="AV251" s="11"/>
    </row>
    <row r="252" spans="1:48" x14ac:dyDescent="0.2">
      <c r="A252" s="2"/>
      <c r="B252" s="11" t="s">
        <v>102</v>
      </c>
      <c r="C252" s="11"/>
      <c r="D252" s="11"/>
      <c r="E252" s="73"/>
      <c r="F252" s="73"/>
      <c r="G252" s="73"/>
      <c r="H252" s="73"/>
      <c r="I252" s="73"/>
      <c r="J252" s="73">
        <v>0</v>
      </c>
      <c r="K252" s="73">
        <v>0</v>
      </c>
      <c r="L252" s="73">
        <v>0</v>
      </c>
      <c r="M252" s="73">
        <v>0</v>
      </c>
      <c r="N252" s="73">
        <v>0</v>
      </c>
      <c r="O252" s="73">
        <v>0</v>
      </c>
      <c r="P252" s="73">
        <v>0</v>
      </c>
      <c r="Q252" s="73">
        <v>59</v>
      </c>
      <c r="R252" s="88">
        <v>80</v>
      </c>
      <c r="S252" s="73">
        <v>31</v>
      </c>
      <c r="T252" s="73">
        <v>126</v>
      </c>
      <c r="U252" s="73">
        <v>47</v>
      </c>
      <c r="V252" s="73">
        <v>25</v>
      </c>
      <c r="W252" s="73">
        <v>11</v>
      </c>
      <c r="X252" s="73">
        <v>11</v>
      </c>
      <c r="Y252" s="73">
        <v>272</v>
      </c>
      <c r="Z252" s="73">
        <v>12</v>
      </c>
      <c r="AA252" s="243">
        <v>0</v>
      </c>
      <c r="AB252" s="243">
        <v>72.400000000000006</v>
      </c>
      <c r="AC252" s="73">
        <f t="shared" si="411"/>
        <v>72.400000000000006</v>
      </c>
      <c r="AD252" s="73">
        <f t="shared" si="412"/>
        <v>72.400000000000006</v>
      </c>
      <c r="AE252" s="73">
        <f t="shared" si="412"/>
        <v>72.400000000000006</v>
      </c>
      <c r="AF252" s="73">
        <f t="shared" si="412"/>
        <v>72.400000000000006</v>
      </c>
      <c r="AG252" s="73">
        <f t="shared" si="412"/>
        <v>72.400000000000006</v>
      </c>
      <c r="AH252" s="73">
        <f t="shared" si="412"/>
        <v>72.400000000000006</v>
      </c>
      <c r="AI252" s="73">
        <f t="shared" si="412"/>
        <v>72.400000000000006</v>
      </c>
      <c r="AJ252" s="73">
        <f t="shared" si="412"/>
        <v>72.400000000000006</v>
      </c>
      <c r="AK252" s="73">
        <f t="shared" si="412"/>
        <v>72.400000000000006</v>
      </c>
      <c r="AL252" s="73">
        <f t="shared" si="412"/>
        <v>72.400000000000006</v>
      </c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</row>
    <row r="253" spans="1:48" x14ac:dyDescent="0.2">
      <c r="A253" s="2"/>
      <c r="B253" s="11" t="s">
        <v>100</v>
      </c>
      <c r="C253" s="11"/>
      <c r="D253" s="11"/>
      <c r="E253" s="73"/>
      <c r="F253" s="73"/>
      <c r="G253" s="73"/>
      <c r="H253" s="73"/>
      <c r="I253" s="73"/>
      <c r="J253" s="73">
        <v>0</v>
      </c>
      <c r="K253" s="73">
        <v>0</v>
      </c>
      <c r="L253" s="73">
        <v>0</v>
      </c>
      <c r="M253" s="73">
        <v>8.5009999999999994</v>
      </c>
      <c r="N253" s="73">
        <v>89.411000000000001</v>
      </c>
      <c r="O253" s="73">
        <v>258.95</v>
      </c>
      <c r="P253" s="73">
        <v>61</v>
      </c>
      <c r="Q253" s="73">
        <v>36.003</v>
      </c>
      <c r="R253" s="88">
        <v>85.003</v>
      </c>
      <c r="S253" s="73">
        <v>141</v>
      </c>
      <c r="T253" s="73">
        <v>75</v>
      </c>
      <c r="U253" s="73">
        <v>233</v>
      </c>
      <c r="V253" s="73">
        <v>465</v>
      </c>
      <c r="W253" s="73">
        <v>265</v>
      </c>
      <c r="X253" s="73">
        <v>41</v>
      </c>
      <c r="Y253" s="73">
        <v>5</v>
      </c>
      <c r="Z253" s="73">
        <v>5</v>
      </c>
      <c r="AA253" s="243">
        <v>5</v>
      </c>
      <c r="AB253" s="243">
        <v>5</v>
      </c>
      <c r="AC253" s="73">
        <f t="shared" ref="AC253:AL253" si="413">AB253</f>
        <v>5</v>
      </c>
      <c r="AD253" s="73">
        <f t="shared" si="413"/>
        <v>5</v>
      </c>
      <c r="AE253" s="73">
        <f t="shared" si="413"/>
        <v>5</v>
      </c>
      <c r="AF253" s="73">
        <f t="shared" si="413"/>
        <v>5</v>
      </c>
      <c r="AG253" s="73">
        <f t="shared" si="413"/>
        <v>5</v>
      </c>
      <c r="AH253" s="73">
        <f t="shared" si="413"/>
        <v>5</v>
      </c>
      <c r="AI253" s="73">
        <f t="shared" si="413"/>
        <v>5</v>
      </c>
      <c r="AJ253" s="73">
        <f t="shared" si="413"/>
        <v>5</v>
      </c>
      <c r="AK253" s="73">
        <f t="shared" si="413"/>
        <v>5</v>
      </c>
      <c r="AL253" s="73">
        <f t="shared" si="413"/>
        <v>5</v>
      </c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</row>
    <row r="254" spans="1:48" x14ac:dyDescent="0.2">
      <c r="A254" s="2"/>
      <c r="B254" s="11" t="s">
        <v>372</v>
      </c>
      <c r="C254" s="11"/>
      <c r="D254" s="11"/>
      <c r="E254" s="73"/>
      <c r="F254" s="73"/>
      <c r="G254" s="73"/>
      <c r="H254" s="73"/>
      <c r="I254" s="73"/>
      <c r="J254" s="73">
        <v>69.108000000000004</v>
      </c>
      <c r="K254" s="73">
        <v>104.706</v>
      </c>
      <c r="L254" s="73">
        <v>84.995000000000005</v>
      </c>
      <c r="M254" s="73">
        <v>67.454999999999998</v>
      </c>
      <c r="N254" s="73">
        <v>189.50299999999999</v>
      </c>
      <c r="O254" s="73">
        <v>195.99700000000001</v>
      </c>
      <c r="P254" s="73">
        <v>1525</v>
      </c>
      <c r="Q254" s="73">
        <v>311</v>
      </c>
      <c r="R254" s="88">
        <v>295</v>
      </c>
      <c r="S254" s="88">
        <v>244</v>
      </c>
      <c r="T254" s="88">
        <v>775</v>
      </c>
      <c r="U254" s="73">
        <v>1156</v>
      </c>
      <c r="V254" s="73">
        <v>906</v>
      </c>
      <c r="W254" s="73">
        <v>1670</v>
      </c>
      <c r="X254" s="73">
        <v>1587</v>
      </c>
      <c r="Y254" s="73">
        <v>1683</v>
      </c>
      <c r="Z254" s="73">
        <v>1365</v>
      </c>
      <c r="AA254" s="243">
        <v>1510</v>
      </c>
      <c r="AB254" s="73">
        <f t="shared" ref="AB254:AL254" si="414">AA254+AB221</f>
        <v>1598.5000000000005</v>
      </c>
      <c r="AC254" s="73">
        <f t="shared" si="414"/>
        <v>1218.959133378527</v>
      </c>
      <c r="AD254" s="73">
        <f t="shared" si="414"/>
        <v>521.93551521901327</v>
      </c>
      <c r="AE254" s="73">
        <f t="shared" si="414"/>
        <v>591.80861429486686</v>
      </c>
      <c r="AF254" s="73">
        <f t="shared" si="414"/>
        <v>910.03775108028731</v>
      </c>
      <c r="AG254" s="73">
        <f t="shared" si="414"/>
        <v>1857.8934830534583</v>
      </c>
      <c r="AH254" s="73">
        <f t="shared" si="414"/>
        <v>3122.9802351101116</v>
      </c>
      <c r="AI254" s="73">
        <f t="shared" si="414"/>
        <v>4394.9481934219675</v>
      </c>
      <c r="AJ254" s="73">
        <f t="shared" si="414"/>
        <v>5769.8032424231906</v>
      </c>
      <c r="AK254" s="73">
        <f t="shared" si="414"/>
        <v>7485.2062863667143</v>
      </c>
      <c r="AL254" s="73">
        <f t="shared" si="414"/>
        <v>9327.0429077498648</v>
      </c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</row>
    <row r="255" spans="1:48" x14ac:dyDescent="0.2">
      <c r="A255" s="2"/>
      <c r="B255" s="8" t="s">
        <v>373</v>
      </c>
      <c r="C255" s="8"/>
      <c r="D255" s="8"/>
      <c r="E255" s="108"/>
      <c r="F255" s="108"/>
      <c r="G255" s="108"/>
      <c r="H255" s="108"/>
      <c r="I255" s="108"/>
      <c r="J255" s="89">
        <f>J248+J249+J250+J251+J252+J253+J254</f>
        <v>2348.6510000000003</v>
      </c>
      <c r="K255" s="89">
        <f t="shared" ref="K255:Z255" si="415">K248+K249+K250+K251+K252+K253+K254</f>
        <v>2786.0250000000001</v>
      </c>
      <c r="L255" s="89">
        <f t="shared" si="415"/>
        <v>2878.1790000000001</v>
      </c>
      <c r="M255" s="89">
        <f t="shared" si="415"/>
        <v>2825.991</v>
      </c>
      <c r="N255" s="89">
        <f t="shared" si="415"/>
        <v>2776.9510000000005</v>
      </c>
      <c r="O255" s="89">
        <f t="shared" si="415"/>
        <v>3034.9459999999995</v>
      </c>
      <c r="P255" s="89">
        <f t="shared" si="415"/>
        <v>4367</v>
      </c>
      <c r="Q255" s="89">
        <f t="shared" si="415"/>
        <v>3925.0030000000002</v>
      </c>
      <c r="R255" s="89">
        <f t="shared" si="415"/>
        <v>4137.0030000000006</v>
      </c>
      <c r="S255" s="89">
        <f t="shared" si="415"/>
        <v>4934</v>
      </c>
      <c r="T255" s="89">
        <f t="shared" si="415"/>
        <v>4485</v>
      </c>
      <c r="U255" s="89">
        <f t="shared" si="415"/>
        <v>5880</v>
      </c>
      <c r="V255" s="89">
        <f t="shared" si="415"/>
        <v>6328</v>
      </c>
      <c r="W255" s="89">
        <f t="shared" si="415"/>
        <v>6877</v>
      </c>
      <c r="X255" s="89">
        <f>X248+X249+X250+X251+X252+X253+X254</f>
        <v>6857</v>
      </c>
      <c r="Y255" s="89">
        <f t="shared" si="415"/>
        <v>7347</v>
      </c>
      <c r="Z255" s="89">
        <f t="shared" si="415"/>
        <v>7497</v>
      </c>
      <c r="AA255" s="89">
        <f t="shared" ref="AA255:AH255" si="416">AA248+AA249+AA250+AA251+AA252+AA253+AA254</f>
        <v>8885</v>
      </c>
      <c r="AB255" s="89">
        <f t="shared" si="416"/>
        <v>8646.1</v>
      </c>
      <c r="AC255" s="89">
        <f t="shared" si="416"/>
        <v>8705.9337106417915</v>
      </c>
      <c r="AD255" s="89">
        <f t="shared" si="416"/>
        <v>8496.3051328810398</v>
      </c>
      <c r="AE255" s="89">
        <f t="shared" si="416"/>
        <v>8932.5729732486634</v>
      </c>
      <c r="AF255" s="89">
        <f t="shared" si="416"/>
        <v>9599.0161945100881</v>
      </c>
      <c r="AG255" s="89">
        <f t="shared" si="416"/>
        <v>11039.749027667873</v>
      </c>
      <c r="AH255" s="89">
        <f t="shared" si="416"/>
        <v>12727.587076907334</v>
      </c>
      <c r="AI255" s="89">
        <f t="shared" ref="AI255:AL255" si="417">AI248+AI249+AI250+AI251+AI252+AI253+AI254</f>
        <v>14487.864102704807</v>
      </c>
      <c r="AJ255" s="89">
        <f t="shared" si="417"/>
        <v>16401.971552521431</v>
      </c>
      <c r="AK255" s="89">
        <f t="shared" si="417"/>
        <v>18513.60301889883</v>
      </c>
      <c r="AL255" s="89">
        <f t="shared" si="417"/>
        <v>20865.748716605412</v>
      </c>
      <c r="AM255" s="8"/>
      <c r="AN255" s="8"/>
      <c r="AO255" s="8"/>
      <c r="AP255" s="8"/>
      <c r="AQ255" s="8"/>
      <c r="AR255" s="8"/>
      <c r="AS255" s="8"/>
      <c r="AT255" s="8"/>
      <c r="AU255" s="8"/>
      <c r="AV255" s="8"/>
    </row>
    <row r="256" spans="1:48" x14ac:dyDescent="0.2">
      <c r="A256" s="2"/>
      <c r="B256" s="8" t="s">
        <v>374</v>
      </c>
      <c r="C256" s="8"/>
      <c r="D256" s="8"/>
      <c r="E256" s="108"/>
      <c r="F256" s="108">
        <v>909</v>
      </c>
      <c r="G256" s="108">
        <v>1288</v>
      </c>
      <c r="H256" s="108">
        <v>2224</v>
      </c>
      <c r="I256" s="108">
        <v>3206</v>
      </c>
      <c r="J256" s="89">
        <f t="shared" ref="J256:O256" si="418">J255+J245</f>
        <v>3587.3740000000007</v>
      </c>
      <c r="K256" s="89">
        <f t="shared" si="418"/>
        <v>4018.46</v>
      </c>
      <c r="L256" s="89">
        <f t="shared" si="418"/>
        <v>4182.8770000000004</v>
      </c>
      <c r="M256" s="89">
        <f t="shared" si="418"/>
        <v>4260.8109999999997</v>
      </c>
      <c r="N256" s="89">
        <f t="shared" si="418"/>
        <v>4187.808</v>
      </c>
      <c r="O256" s="89">
        <f t="shared" si="418"/>
        <v>4433.8839999999991</v>
      </c>
      <c r="P256" s="89">
        <f t="shared" ref="P256:Z256" si="419">P255+P245</f>
        <v>5750</v>
      </c>
      <c r="Q256" s="89">
        <f t="shared" si="419"/>
        <v>8379.0030000000006</v>
      </c>
      <c r="R256" s="89">
        <f t="shared" si="419"/>
        <v>8325.0030000000006</v>
      </c>
      <c r="S256" s="89">
        <f t="shared" si="419"/>
        <v>9533</v>
      </c>
      <c r="T256" s="89">
        <f t="shared" si="419"/>
        <v>8875</v>
      </c>
      <c r="U256" s="89">
        <f t="shared" si="419"/>
        <v>10618</v>
      </c>
      <c r="V256" s="89">
        <f t="shared" si="419"/>
        <v>11237</v>
      </c>
      <c r="W256" s="89">
        <f t="shared" si="419"/>
        <v>11651</v>
      </c>
      <c r="X256" s="89">
        <f>X255+X245</f>
        <v>11599</v>
      </c>
      <c r="Y256" s="89">
        <f t="shared" si="419"/>
        <v>12417</v>
      </c>
      <c r="Z256" s="89">
        <f t="shared" si="419"/>
        <v>13343</v>
      </c>
      <c r="AA256" s="89">
        <f t="shared" ref="AA256:AH256" si="420">AA255+AA245</f>
        <v>15175</v>
      </c>
      <c r="AB256" s="89">
        <f t="shared" si="420"/>
        <v>14522.5</v>
      </c>
      <c r="AC256" s="89">
        <f t="shared" si="420"/>
        <v>15168.072333975606</v>
      </c>
      <c r="AD256" s="89">
        <f t="shared" si="420"/>
        <v>15544.992872032668</v>
      </c>
      <c r="AE256" s="89">
        <f t="shared" si="420"/>
        <v>16562.942982341607</v>
      </c>
      <c r="AF256" s="89">
        <f t="shared" si="420"/>
        <v>17798.747063093335</v>
      </c>
      <c r="AG256" s="89">
        <f t="shared" si="420"/>
        <v>19794.085191980903</v>
      </c>
      <c r="AH256" s="89">
        <f t="shared" si="420"/>
        <v>22081.901682350603</v>
      </c>
      <c r="AI256" s="89">
        <f t="shared" ref="AI256:AL256" si="421">AI255+AI245</f>
        <v>24483.628028796618</v>
      </c>
      <c r="AJ256" s="89">
        <f t="shared" si="421"/>
        <v>27083.395144052789</v>
      </c>
      <c r="AK256" s="89">
        <f t="shared" si="421"/>
        <v>29890.883116070017</v>
      </c>
      <c r="AL256" s="89">
        <f t="shared" si="421"/>
        <v>32948.743129331735</v>
      </c>
      <c r="AM256" s="8"/>
      <c r="AN256" s="8"/>
      <c r="AO256" s="8"/>
      <c r="AP256" s="8"/>
      <c r="AQ256" s="8"/>
      <c r="AR256" s="8"/>
      <c r="AS256" s="8"/>
      <c r="AT256" s="8"/>
      <c r="AU256" s="8"/>
      <c r="AV256" s="8"/>
    </row>
    <row r="257" spans="1:48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14"/>
      <c r="K257" s="14"/>
      <c r="L257" s="14"/>
      <c r="M257" s="14"/>
      <c r="N257" s="14"/>
      <c r="O257" s="14"/>
      <c r="P257" s="14"/>
      <c r="Q257" s="14"/>
      <c r="R257" s="123"/>
      <c r="S257" s="11"/>
      <c r="T257" s="11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O257" s="2"/>
      <c r="AP257" s="2"/>
      <c r="AQ257" s="2"/>
      <c r="AR257" s="2"/>
      <c r="AS257" s="2"/>
      <c r="AT257" s="2"/>
      <c r="AU257" s="2"/>
      <c r="AV257" s="2"/>
    </row>
    <row r="258" spans="1:48" x14ac:dyDescent="0.2">
      <c r="A258" s="2"/>
      <c r="B258" s="8" t="s">
        <v>375</v>
      </c>
      <c r="C258" s="2"/>
      <c r="D258" s="2"/>
      <c r="E258" s="2"/>
      <c r="F258" s="2"/>
      <c r="G258" s="2"/>
      <c r="H258" s="2"/>
      <c r="I258" s="2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O258" s="2"/>
      <c r="AP258" s="2"/>
      <c r="AQ258" s="2"/>
      <c r="AR258" s="2"/>
      <c r="AS258" s="2"/>
      <c r="AT258" s="2"/>
      <c r="AU258" s="2"/>
      <c r="AV258" s="2"/>
    </row>
    <row r="259" spans="1:48" x14ac:dyDescent="0.2">
      <c r="A259" s="2"/>
      <c r="B259" s="11" t="s">
        <v>215</v>
      </c>
      <c r="C259" s="11"/>
      <c r="D259" s="11"/>
      <c r="E259" s="11"/>
      <c r="F259" s="11"/>
      <c r="G259" s="11"/>
      <c r="H259" s="11"/>
      <c r="I259" s="11"/>
      <c r="J259" s="88">
        <v>177.08600000000001</v>
      </c>
      <c r="K259" s="88">
        <v>279.42200000000003</v>
      </c>
      <c r="L259" s="88">
        <v>196.03800000000001</v>
      </c>
      <c r="M259" s="88">
        <v>0</v>
      </c>
      <c r="N259" s="88">
        <v>0</v>
      </c>
      <c r="O259" s="88">
        <v>185.83699999999999</v>
      </c>
      <c r="P259" s="73">
        <v>0</v>
      </c>
      <c r="Q259" s="73">
        <v>0</v>
      </c>
      <c r="R259" s="73">
        <v>186</v>
      </c>
      <c r="S259" s="88">
        <f>404</f>
        <v>404</v>
      </c>
      <c r="T259" s="88">
        <v>198</v>
      </c>
      <c r="U259" s="73">
        <v>273</v>
      </c>
      <c r="V259" s="73">
        <v>289</v>
      </c>
      <c r="W259" s="73">
        <v>280</v>
      </c>
      <c r="X259" s="73">
        <v>681</v>
      </c>
      <c r="Y259" s="73">
        <v>288</v>
      </c>
      <c r="Z259" s="73">
        <v>366</v>
      </c>
      <c r="AA259" s="243">
        <v>636</v>
      </c>
      <c r="AB259" s="243">
        <v>137</v>
      </c>
      <c r="AC259" s="73">
        <f>AB259</f>
        <v>137</v>
      </c>
      <c r="AD259" s="73">
        <f>AC259</f>
        <v>137</v>
      </c>
      <c r="AE259" s="73">
        <f>AD259</f>
        <v>137</v>
      </c>
      <c r="AF259" s="73">
        <f t="shared" ref="AF259:AL260" si="422">AE259</f>
        <v>137</v>
      </c>
      <c r="AG259" s="73">
        <f t="shared" si="422"/>
        <v>137</v>
      </c>
      <c r="AH259" s="73">
        <f t="shared" si="422"/>
        <v>137</v>
      </c>
      <c r="AI259" s="73">
        <f t="shared" si="422"/>
        <v>137</v>
      </c>
      <c r="AJ259" s="73">
        <f t="shared" si="422"/>
        <v>137</v>
      </c>
      <c r="AK259" s="73">
        <f t="shared" si="422"/>
        <v>137</v>
      </c>
      <c r="AL259" s="73">
        <f t="shared" si="422"/>
        <v>137</v>
      </c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</row>
    <row r="260" spans="1:48" x14ac:dyDescent="0.2">
      <c r="A260" s="4"/>
      <c r="B260" s="58" t="s">
        <v>218</v>
      </c>
      <c r="C260" s="58"/>
      <c r="D260" s="58"/>
      <c r="E260" s="58"/>
      <c r="F260" s="58"/>
      <c r="G260" s="58"/>
      <c r="H260" s="58"/>
      <c r="I260" s="58"/>
      <c r="J260" s="88">
        <v>0</v>
      </c>
      <c r="K260" s="88">
        <v>0</v>
      </c>
      <c r="L260" s="88">
        <v>0</v>
      </c>
      <c r="M260" s="88">
        <v>0</v>
      </c>
      <c r="N260" s="88">
        <v>0</v>
      </c>
      <c r="O260" s="88">
        <v>0</v>
      </c>
      <c r="P260" s="88">
        <v>0</v>
      </c>
      <c r="Q260" s="88">
        <v>0</v>
      </c>
      <c r="R260" s="88">
        <v>0</v>
      </c>
      <c r="S260" s="88">
        <v>393</v>
      </c>
      <c r="T260" s="88">
        <v>0</v>
      </c>
      <c r="U260" s="88">
        <f t="shared" ref="U260:AC260" si="423">T260</f>
        <v>0</v>
      </c>
      <c r="V260" s="88">
        <f t="shared" si="423"/>
        <v>0</v>
      </c>
      <c r="W260" s="88">
        <f t="shared" si="423"/>
        <v>0</v>
      </c>
      <c r="X260" s="88">
        <f t="shared" si="423"/>
        <v>0</v>
      </c>
      <c r="Y260" s="88">
        <f t="shared" si="423"/>
        <v>0</v>
      </c>
      <c r="Z260" s="88">
        <f t="shared" si="423"/>
        <v>0</v>
      </c>
      <c r="AA260" s="88">
        <f t="shared" si="423"/>
        <v>0</v>
      </c>
      <c r="AB260" s="243">
        <f t="shared" si="423"/>
        <v>0</v>
      </c>
      <c r="AC260" s="88">
        <f t="shared" si="423"/>
        <v>0</v>
      </c>
      <c r="AD260" s="88">
        <f>AC260</f>
        <v>0</v>
      </c>
      <c r="AE260" s="88">
        <f>AD260</f>
        <v>0</v>
      </c>
      <c r="AF260" s="88">
        <f t="shared" si="422"/>
        <v>0</v>
      </c>
      <c r="AG260" s="88">
        <f t="shared" si="422"/>
        <v>0</v>
      </c>
      <c r="AH260" s="88">
        <f t="shared" si="422"/>
        <v>0</v>
      </c>
      <c r="AI260" s="88">
        <f t="shared" si="422"/>
        <v>0</v>
      </c>
      <c r="AJ260" s="88">
        <f t="shared" si="422"/>
        <v>0</v>
      </c>
      <c r="AK260" s="88">
        <f t="shared" si="422"/>
        <v>0</v>
      </c>
      <c r="AL260" s="88">
        <f t="shared" si="422"/>
        <v>0</v>
      </c>
      <c r="AM260" s="58"/>
      <c r="AN260" s="58"/>
      <c r="AO260" s="58"/>
      <c r="AP260" s="58"/>
      <c r="AQ260" s="58"/>
      <c r="AR260" s="58"/>
      <c r="AS260" s="58"/>
      <c r="AT260" s="58"/>
      <c r="AU260" s="58"/>
      <c r="AV260" s="58"/>
    </row>
    <row r="261" spans="1:48" x14ac:dyDescent="0.2">
      <c r="A261" s="2"/>
      <c r="B261" s="2" t="s">
        <v>76</v>
      </c>
      <c r="C261" s="2"/>
      <c r="D261" s="2"/>
      <c r="E261" s="2"/>
      <c r="F261" s="2"/>
      <c r="G261" s="2"/>
      <c r="H261" s="2"/>
      <c r="I261" s="2"/>
      <c r="J261" s="88">
        <v>487.80099999999999</v>
      </c>
      <c r="K261" s="88">
        <v>532.29899999999998</v>
      </c>
      <c r="L261" s="88">
        <v>629.70100000000002</v>
      </c>
      <c r="M261" s="88">
        <v>668.46100000000001</v>
      </c>
      <c r="N261" s="88">
        <v>592.27300000000002</v>
      </c>
      <c r="O261" s="88">
        <v>591.68899999999996</v>
      </c>
      <c r="P261" s="73">
        <v>684</v>
      </c>
      <c r="Q261" s="88">
        <v>752</v>
      </c>
      <c r="R261" s="73">
        <v>849</v>
      </c>
      <c r="S261" s="88">
        <v>1218</v>
      </c>
      <c r="T261" s="88">
        <v>1166</v>
      </c>
      <c r="U261" s="28">
        <v>1694</v>
      </c>
      <c r="V261" s="28">
        <v>1887</v>
      </c>
      <c r="W261" s="28">
        <v>1790</v>
      </c>
      <c r="X261" s="28">
        <v>1825</v>
      </c>
      <c r="Y261" s="28">
        <v>1652</v>
      </c>
      <c r="Z261" s="28">
        <v>2024</v>
      </c>
      <c r="AA261" s="244">
        <v>2496</v>
      </c>
      <c r="AB261" s="244">
        <v>1975</v>
      </c>
      <c r="AC261" s="28">
        <f t="shared" ref="AC261:AH261" si="424">AC482</f>
        <v>2629.8153348319374</v>
      </c>
      <c r="AD261" s="28">
        <f t="shared" si="424"/>
        <v>2862.6400640834427</v>
      </c>
      <c r="AE261" s="28">
        <f t="shared" si="424"/>
        <v>3080.9744850242237</v>
      </c>
      <c r="AF261" s="28">
        <f t="shared" si="424"/>
        <v>3287.1118057926838</v>
      </c>
      <c r="AG261" s="28">
        <f t="shared" si="424"/>
        <v>3534.4796125031312</v>
      </c>
      <c r="AH261" s="28">
        <f t="shared" si="424"/>
        <v>3834.8152666155656</v>
      </c>
      <c r="AI261" s="28">
        <f t="shared" ref="AI261:AL261" si="425">AI482</f>
        <v>4050.9479327314216</v>
      </c>
      <c r="AJ261" s="28">
        <f t="shared" si="425"/>
        <v>4297.0263126987438</v>
      </c>
      <c r="AK261" s="28">
        <f t="shared" si="425"/>
        <v>4541.6488069471925</v>
      </c>
      <c r="AL261" s="28">
        <f t="shared" si="425"/>
        <v>4795.1883647910754</v>
      </c>
      <c r="AO261" s="11"/>
      <c r="AP261" s="2"/>
      <c r="AQ261" s="2"/>
      <c r="AR261" s="2"/>
      <c r="AS261" s="2"/>
      <c r="AT261" s="2"/>
      <c r="AU261" s="2"/>
      <c r="AV261" s="2"/>
    </row>
    <row r="262" spans="1:48" x14ac:dyDescent="0.2">
      <c r="A262" s="2"/>
      <c r="B262" s="11" t="s">
        <v>75</v>
      </c>
      <c r="C262" s="11"/>
      <c r="D262" s="11"/>
      <c r="E262" s="11"/>
      <c r="F262" s="11"/>
      <c r="G262" s="11"/>
      <c r="H262" s="11"/>
      <c r="I262" s="11"/>
      <c r="J262" s="88">
        <v>98.212000000000003</v>
      </c>
      <c r="K262" s="88">
        <v>76.317999999999998</v>
      </c>
      <c r="L262" s="88">
        <v>111.02</v>
      </c>
      <c r="M262" s="88">
        <v>112.461</v>
      </c>
      <c r="N262" s="88">
        <v>157.76400000000001</v>
      </c>
      <c r="O262" s="88">
        <v>167.334</v>
      </c>
      <c r="P262" s="73">
        <v>283</v>
      </c>
      <c r="Q262" s="88">
        <v>283</v>
      </c>
      <c r="R262" s="73">
        <v>285</v>
      </c>
      <c r="S262" s="88">
        <v>321</v>
      </c>
      <c r="T262" s="88">
        <v>194</v>
      </c>
      <c r="U262" s="73">
        <v>265</v>
      </c>
      <c r="V262" s="73">
        <v>252</v>
      </c>
      <c r="W262" s="73">
        <v>275</v>
      </c>
      <c r="X262" s="73">
        <v>240</v>
      </c>
      <c r="Y262" s="73">
        <v>294</v>
      </c>
      <c r="Z262" s="73">
        <v>359</v>
      </c>
      <c r="AA262" s="243">
        <v>402</v>
      </c>
      <c r="AB262" s="243">
        <v>424</v>
      </c>
      <c r="AC262" s="73">
        <f t="shared" ref="AC262:AL262" si="426">+AB262</f>
        <v>424</v>
      </c>
      <c r="AD262" s="73">
        <f t="shared" si="426"/>
        <v>424</v>
      </c>
      <c r="AE262" s="73">
        <f t="shared" si="426"/>
        <v>424</v>
      </c>
      <c r="AF262" s="73">
        <f t="shared" si="426"/>
        <v>424</v>
      </c>
      <c r="AG262" s="73">
        <f t="shared" si="426"/>
        <v>424</v>
      </c>
      <c r="AH262" s="73">
        <f t="shared" si="426"/>
        <v>424</v>
      </c>
      <c r="AI262" s="73">
        <f t="shared" si="426"/>
        <v>424</v>
      </c>
      <c r="AJ262" s="73">
        <f t="shared" si="426"/>
        <v>424</v>
      </c>
      <c r="AK262" s="73">
        <f t="shared" si="426"/>
        <v>424</v>
      </c>
      <c r="AL262" s="73">
        <f t="shared" si="426"/>
        <v>424</v>
      </c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</row>
    <row r="263" spans="1:48" x14ac:dyDescent="0.2">
      <c r="A263" s="2"/>
      <c r="B263" s="11" t="s">
        <v>128</v>
      </c>
      <c r="C263" s="11"/>
      <c r="D263" s="11"/>
      <c r="E263" s="11"/>
      <c r="F263" s="11"/>
      <c r="G263" s="11"/>
      <c r="H263" s="11"/>
      <c r="I263" s="11"/>
      <c r="J263" s="88">
        <v>392.75099999999998</v>
      </c>
      <c r="K263" s="88">
        <v>390.25</v>
      </c>
      <c r="L263" s="88">
        <v>346.87599999999998</v>
      </c>
      <c r="M263" s="88">
        <v>450.74799999999999</v>
      </c>
      <c r="N263" s="88">
        <v>454.57299999999998</v>
      </c>
      <c r="O263" s="88">
        <v>558.12099999999998</v>
      </c>
      <c r="P263" s="73">
        <v>566</v>
      </c>
      <c r="Q263" s="88">
        <f>640-34</f>
        <v>606</v>
      </c>
      <c r="R263" s="73">
        <f>744-37</f>
        <v>707</v>
      </c>
      <c r="S263" s="88">
        <f>727-37</f>
        <v>690</v>
      </c>
      <c r="T263" s="88">
        <v>625</v>
      </c>
      <c r="U263" s="73">
        <v>842</v>
      </c>
      <c r="V263" s="73">
        <v>992</v>
      </c>
      <c r="W263" s="73">
        <v>1084</v>
      </c>
      <c r="X263" s="73">
        <v>1147</v>
      </c>
      <c r="Y263" s="73">
        <v>1249</v>
      </c>
      <c r="Z263" s="73">
        <v>1684</v>
      </c>
      <c r="AA263" s="243">
        <v>2023</v>
      </c>
      <c r="AB263" s="243">
        <v>2180</v>
      </c>
      <c r="AC263" s="73">
        <f t="shared" ref="AC263:AE264" si="427">AB263</f>
        <v>2180</v>
      </c>
      <c r="AD263" s="73">
        <f t="shared" si="427"/>
        <v>2180</v>
      </c>
      <c r="AE263" s="73">
        <f t="shared" si="427"/>
        <v>2180</v>
      </c>
      <c r="AF263" s="73">
        <f t="shared" ref="AF263:AL264" si="428">AE263</f>
        <v>2180</v>
      </c>
      <c r="AG263" s="73">
        <f t="shared" si="428"/>
        <v>2180</v>
      </c>
      <c r="AH263" s="73">
        <f t="shared" si="428"/>
        <v>2180</v>
      </c>
      <c r="AI263" s="73">
        <f t="shared" si="428"/>
        <v>2180</v>
      </c>
      <c r="AJ263" s="73">
        <f t="shared" si="428"/>
        <v>2180</v>
      </c>
      <c r="AK263" s="73">
        <f t="shared" si="428"/>
        <v>2180</v>
      </c>
      <c r="AL263" s="73">
        <f t="shared" si="428"/>
        <v>2180</v>
      </c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</row>
    <row r="264" spans="1:48" x14ac:dyDescent="0.2">
      <c r="A264" s="2"/>
      <c r="B264" s="11" t="s">
        <v>279</v>
      </c>
      <c r="C264" s="11"/>
      <c r="D264" s="11"/>
      <c r="E264" s="11"/>
      <c r="F264" s="11"/>
      <c r="G264" s="11"/>
      <c r="H264" s="11"/>
      <c r="I264" s="11"/>
      <c r="J264" s="88">
        <v>0</v>
      </c>
      <c r="K264" s="88">
        <v>0</v>
      </c>
      <c r="L264" s="88">
        <v>0</v>
      </c>
      <c r="M264" s="88">
        <v>0</v>
      </c>
      <c r="N264" s="88">
        <v>0</v>
      </c>
      <c r="O264" s="88">
        <v>0</v>
      </c>
      <c r="P264" s="88">
        <v>0</v>
      </c>
      <c r="Q264" s="88">
        <f>355-40</f>
        <v>315</v>
      </c>
      <c r="R264" s="73">
        <f>354-36</f>
        <v>318</v>
      </c>
      <c r="S264" s="88">
        <f>346-28</f>
        <v>318</v>
      </c>
      <c r="T264" s="88">
        <v>320</v>
      </c>
      <c r="U264" s="73">
        <v>470</v>
      </c>
      <c r="V264" s="73">
        <v>549</v>
      </c>
      <c r="W264" s="73">
        <v>563</v>
      </c>
      <c r="X264" s="73">
        <v>450</v>
      </c>
      <c r="Y264" s="73">
        <v>470.4</v>
      </c>
      <c r="Z264" s="73">
        <v>456</v>
      </c>
      <c r="AA264" s="243">
        <v>573</v>
      </c>
      <c r="AB264" s="243">
        <f>741-0.4</f>
        <v>740.6</v>
      </c>
      <c r="AC264" s="73">
        <f t="shared" si="427"/>
        <v>740.6</v>
      </c>
      <c r="AD264" s="73">
        <f t="shared" si="427"/>
        <v>740.6</v>
      </c>
      <c r="AE264" s="73">
        <f t="shared" si="427"/>
        <v>740.6</v>
      </c>
      <c r="AF264" s="73">
        <f t="shared" si="428"/>
        <v>740.6</v>
      </c>
      <c r="AG264" s="73">
        <f t="shared" si="428"/>
        <v>740.6</v>
      </c>
      <c r="AH264" s="73">
        <f t="shared" si="428"/>
        <v>740.6</v>
      </c>
      <c r="AI264" s="73">
        <f t="shared" si="428"/>
        <v>740.6</v>
      </c>
      <c r="AJ264" s="73">
        <f t="shared" si="428"/>
        <v>740.6</v>
      </c>
      <c r="AK264" s="73">
        <f t="shared" si="428"/>
        <v>740.6</v>
      </c>
      <c r="AL264" s="73">
        <f t="shared" si="428"/>
        <v>740.6</v>
      </c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</row>
    <row r="265" spans="1:48" x14ac:dyDescent="0.2">
      <c r="A265" s="2"/>
      <c r="B265" s="2" t="s">
        <v>299</v>
      </c>
      <c r="C265" s="2"/>
      <c r="D265" s="2"/>
      <c r="E265" s="2"/>
      <c r="F265" s="2"/>
      <c r="G265" s="2"/>
      <c r="H265" s="2"/>
      <c r="I265" s="2"/>
      <c r="J265" s="73">
        <v>96.478999999999999</v>
      </c>
      <c r="K265" s="73">
        <v>90.388000000000005</v>
      </c>
      <c r="L265" s="73">
        <v>110.04</v>
      </c>
      <c r="M265" s="73">
        <v>148.959</v>
      </c>
      <c r="N265" s="73">
        <v>139.095</v>
      </c>
      <c r="O265" s="73">
        <v>195.88399999999999</v>
      </c>
      <c r="P265" s="73">
        <v>190</v>
      </c>
      <c r="Q265" s="88">
        <v>232</v>
      </c>
      <c r="R265" s="73">
        <v>266</v>
      </c>
      <c r="S265" s="88">
        <v>295</v>
      </c>
      <c r="T265" s="88">
        <v>232</v>
      </c>
      <c r="U265" s="73">
        <v>241</v>
      </c>
      <c r="V265" s="73">
        <f>303+66</f>
        <v>369</v>
      </c>
      <c r="W265" s="73">
        <f>299+83</f>
        <v>382</v>
      </c>
      <c r="X265" s="73">
        <f>276+113</f>
        <v>389</v>
      </c>
      <c r="Y265" s="73">
        <f>287+91.4</f>
        <v>378.4</v>
      </c>
      <c r="Z265" s="73">
        <f>331+143</f>
        <v>474</v>
      </c>
      <c r="AA265" s="243">
        <f>434+201</f>
        <v>635</v>
      </c>
      <c r="AB265" s="243">
        <f>473+362-0.4</f>
        <v>834.6</v>
      </c>
      <c r="AC265" s="73">
        <f t="shared" ref="AA265:AE266" si="429">+AB265</f>
        <v>834.6</v>
      </c>
      <c r="AD265" s="73">
        <f t="shared" si="429"/>
        <v>834.6</v>
      </c>
      <c r="AE265" s="73">
        <f t="shared" si="429"/>
        <v>834.6</v>
      </c>
      <c r="AF265" s="73">
        <f t="shared" ref="AF265:AL266" si="430">+AE265</f>
        <v>834.6</v>
      </c>
      <c r="AG265" s="73">
        <f t="shared" si="430"/>
        <v>834.6</v>
      </c>
      <c r="AH265" s="73">
        <f t="shared" si="430"/>
        <v>834.6</v>
      </c>
      <c r="AI265" s="73">
        <f t="shared" si="430"/>
        <v>834.6</v>
      </c>
      <c r="AJ265" s="73">
        <f t="shared" si="430"/>
        <v>834.6</v>
      </c>
      <c r="AK265" s="73">
        <f t="shared" si="430"/>
        <v>834.6</v>
      </c>
      <c r="AL265" s="73">
        <f t="shared" si="430"/>
        <v>834.6</v>
      </c>
      <c r="AO265" s="11"/>
      <c r="AP265" s="2"/>
      <c r="AQ265" s="2"/>
      <c r="AR265" s="2"/>
      <c r="AS265" s="2"/>
      <c r="AT265" s="2"/>
      <c r="AU265" s="2"/>
      <c r="AV265" s="2"/>
    </row>
    <row r="266" spans="1:48" x14ac:dyDescent="0.2">
      <c r="A266" s="2"/>
      <c r="B266" s="2" t="s">
        <v>107</v>
      </c>
      <c r="C266" s="2"/>
      <c r="D266" s="2"/>
      <c r="E266" s="2"/>
      <c r="F266" s="2"/>
      <c r="G266" s="2"/>
      <c r="H266" s="2"/>
      <c r="I266" s="2"/>
      <c r="J266" s="73">
        <v>0</v>
      </c>
      <c r="K266" s="73">
        <v>0</v>
      </c>
      <c r="L266" s="73">
        <v>0</v>
      </c>
      <c r="M266" s="73">
        <v>0</v>
      </c>
      <c r="N266" s="73">
        <v>0</v>
      </c>
      <c r="O266" s="73">
        <v>0</v>
      </c>
      <c r="P266" s="73">
        <v>0</v>
      </c>
      <c r="Q266" s="88">
        <v>4</v>
      </c>
      <c r="R266" s="73">
        <v>4</v>
      </c>
      <c r="S266" s="73">
        <v>6</v>
      </c>
      <c r="T266" s="73">
        <v>101</v>
      </c>
      <c r="U266" s="73">
        <v>123</v>
      </c>
      <c r="V266" s="73">
        <v>0</v>
      </c>
      <c r="W266" s="73">
        <v>0</v>
      </c>
      <c r="X266" s="73">
        <f>+W266</f>
        <v>0</v>
      </c>
      <c r="Y266" s="73">
        <v>46</v>
      </c>
      <c r="Z266" s="73">
        <v>0</v>
      </c>
      <c r="AA266" s="73">
        <f t="shared" si="429"/>
        <v>0</v>
      </c>
      <c r="AB266" s="243">
        <f t="shared" si="429"/>
        <v>0</v>
      </c>
      <c r="AC266" s="73">
        <f t="shared" si="429"/>
        <v>0</v>
      </c>
      <c r="AD266" s="73">
        <f t="shared" si="429"/>
        <v>0</v>
      </c>
      <c r="AE266" s="73">
        <f t="shared" si="429"/>
        <v>0</v>
      </c>
      <c r="AF266" s="73">
        <f t="shared" si="430"/>
        <v>0</v>
      </c>
      <c r="AG266" s="73">
        <f t="shared" si="430"/>
        <v>0</v>
      </c>
      <c r="AH266" s="73">
        <f t="shared" si="430"/>
        <v>0</v>
      </c>
      <c r="AI266" s="73">
        <f t="shared" si="430"/>
        <v>0</v>
      </c>
      <c r="AJ266" s="73">
        <f t="shared" si="430"/>
        <v>0</v>
      </c>
      <c r="AK266" s="73">
        <f t="shared" si="430"/>
        <v>0</v>
      </c>
      <c r="AL266" s="73">
        <f t="shared" si="430"/>
        <v>0</v>
      </c>
      <c r="AO266" s="11"/>
      <c r="AP266" s="2"/>
      <c r="AQ266" s="2"/>
      <c r="AR266" s="2"/>
      <c r="AS266" s="2"/>
      <c r="AT266" s="2"/>
      <c r="AU266" s="2"/>
      <c r="AV266" s="2"/>
    </row>
    <row r="267" spans="1:48" x14ac:dyDescent="0.2">
      <c r="A267" s="2"/>
      <c r="B267" s="8" t="s">
        <v>376</v>
      </c>
      <c r="C267" s="8"/>
      <c r="D267" s="8"/>
      <c r="E267" s="8"/>
      <c r="F267" s="8"/>
      <c r="G267" s="8"/>
      <c r="H267" s="8"/>
      <c r="I267" s="8"/>
      <c r="J267" s="89">
        <f t="shared" ref="J267:Q267" si="431">J259+J261+J262+J263+J264+J265+J266</f>
        <v>1252.329</v>
      </c>
      <c r="K267" s="89">
        <f t="shared" si="431"/>
        <v>1368.6769999999999</v>
      </c>
      <c r="L267" s="89">
        <f t="shared" si="431"/>
        <v>1393.675</v>
      </c>
      <c r="M267" s="89">
        <f t="shared" si="431"/>
        <v>1380.6290000000001</v>
      </c>
      <c r="N267" s="89">
        <f t="shared" si="431"/>
        <v>1343.7050000000002</v>
      </c>
      <c r="O267" s="89">
        <f t="shared" si="431"/>
        <v>1698.8649999999998</v>
      </c>
      <c r="P267" s="89">
        <f t="shared" si="431"/>
        <v>1723</v>
      </c>
      <c r="Q267" s="89">
        <f t="shared" si="431"/>
        <v>2192</v>
      </c>
      <c r="R267" s="89">
        <f>R259+R261+R262+R263+R264+R265+R266+R260</f>
        <v>2615</v>
      </c>
      <c r="S267" s="89">
        <f t="shared" ref="S267:Z267" si="432">S259+S261+S262+S263+S264+S265+S266+S260</f>
        <v>3645</v>
      </c>
      <c r="T267" s="89">
        <f t="shared" si="432"/>
        <v>2836</v>
      </c>
      <c r="U267" s="89">
        <f t="shared" si="432"/>
        <v>3908</v>
      </c>
      <c r="V267" s="89">
        <f t="shared" si="432"/>
        <v>4338</v>
      </c>
      <c r="W267" s="89">
        <f t="shared" si="432"/>
        <v>4374</v>
      </c>
      <c r="X267" s="89">
        <f>X259+X261+X262+X263+X264+X265+X266+X260</f>
        <v>4732</v>
      </c>
      <c r="Y267" s="89">
        <f>Y259+Y261+Y262+Y263+Y264+Y265+Y266+Y260</f>
        <v>4377.8</v>
      </c>
      <c r="Z267" s="89">
        <f t="shared" si="432"/>
        <v>5363</v>
      </c>
      <c r="AA267" s="89">
        <f t="shared" ref="AA267:AH267" si="433">AA259+AA261+AA262+AA263+AA264+AA265+AA266+AA260</f>
        <v>6765</v>
      </c>
      <c r="AB267" s="89">
        <f t="shared" si="433"/>
        <v>6291.2000000000007</v>
      </c>
      <c r="AC267" s="89">
        <f t="shared" si="433"/>
        <v>6946.0153348319382</v>
      </c>
      <c r="AD267" s="89">
        <f t="shared" si="433"/>
        <v>7178.8400640834434</v>
      </c>
      <c r="AE267" s="89">
        <f t="shared" si="433"/>
        <v>7397.1744850242249</v>
      </c>
      <c r="AF267" s="89">
        <f t="shared" si="433"/>
        <v>7603.311805792684</v>
      </c>
      <c r="AG267" s="89">
        <f t="shared" si="433"/>
        <v>7850.6796125031324</v>
      </c>
      <c r="AH267" s="89">
        <f t="shared" si="433"/>
        <v>8151.0152666155664</v>
      </c>
      <c r="AI267" s="89">
        <f t="shared" ref="AI267:AL267" si="434">AI259+AI261+AI262+AI263+AI264+AI265+AI266+AI260</f>
        <v>8367.1479327314228</v>
      </c>
      <c r="AJ267" s="89">
        <f t="shared" si="434"/>
        <v>8613.2263126987436</v>
      </c>
      <c r="AK267" s="89">
        <f t="shared" si="434"/>
        <v>8857.8488069471932</v>
      </c>
      <c r="AL267" s="89">
        <f t="shared" si="434"/>
        <v>9111.3883647910752</v>
      </c>
      <c r="AM267" s="8"/>
      <c r="AN267" s="8"/>
      <c r="AO267" s="8"/>
      <c r="AP267" s="8"/>
      <c r="AQ267" s="8"/>
      <c r="AR267" s="8"/>
      <c r="AS267" s="8"/>
      <c r="AT267" s="8"/>
      <c r="AU267" s="8"/>
      <c r="AV267" s="8"/>
    </row>
    <row r="268" spans="1:48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>
        <f>+T267-2836</f>
        <v>0</v>
      </c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O268" s="2"/>
      <c r="AP268" s="2"/>
      <c r="AQ268" s="2"/>
      <c r="AR268" s="2"/>
      <c r="AS268" s="2"/>
      <c r="AT268" s="2"/>
      <c r="AU268" s="2"/>
      <c r="AV268" s="2"/>
    </row>
    <row r="269" spans="1:48" x14ac:dyDescent="0.2">
      <c r="A269" s="2"/>
      <c r="B269" s="8" t="s">
        <v>377</v>
      </c>
      <c r="C269" s="2"/>
      <c r="D269" s="2"/>
      <c r="E269" s="2"/>
      <c r="F269" s="2"/>
      <c r="G269" s="2"/>
      <c r="H269" s="2"/>
      <c r="I269" s="2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O269" s="2"/>
      <c r="AP269" s="2"/>
      <c r="AQ269" s="2"/>
      <c r="AR269" s="2"/>
      <c r="AS269" s="2"/>
      <c r="AT269" s="2"/>
      <c r="AU269" s="2"/>
      <c r="AV269" s="2"/>
    </row>
    <row r="270" spans="1:48" x14ac:dyDescent="0.2">
      <c r="A270" s="2"/>
      <c r="B270" s="11" t="s">
        <v>216</v>
      </c>
      <c r="C270" s="11"/>
      <c r="D270" s="11"/>
      <c r="E270" s="11"/>
      <c r="F270" s="11"/>
      <c r="G270" s="11"/>
      <c r="H270" s="11"/>
      <c r="I270" s="11"/>
      <c r="J270" s="88">
        <v>1484.402</v>
      </c>
      <c r="K270" s="88">
        <v>1617.37</v>
      </c>
      <c r="L270" s="88">
        <v>1569.7729999999999</v>
      </c>
      <c r="M270" s="88">
        <v>1574.046</v>
      </c>
      <c r="N270" s="88">
        <v>1225.385</v>
      </c>
      <c r="O270" s="88">
        <v>933.94899999999996</v>
      </c>
      <c r="P270" s="73">
        <v>1035</v>
      </c>
      <c r="Q270" s="73">
        <v>2578</v>
      </c>
      <c r="R270" s="73">
        <v>1960</v>
      </c>
      <c r="S270" s="73">
        <v>1776</v>
      </c>
      <c r="T270" s="73">
        <v>1569</v>
      </c>
      <c r="U270" s="73">
        <v>1337</v>
      </c>
      <c r="V270" s="73">
        <v>991</v>
      </c>
      <c r="W270" s="73">
        <f>1207-W271</f>
        <v>758</v>
      </c>
      <c r="X270" s="73">
        <f>653-X271</f>
        <v>193</v>
      </c>
      <c r="Y270" s="73">
        <f>1584-Y271</f>
        <v>1113</v>
      </c>
      <c r="Z270" s="73">
        <f>1463-Z271</f>
        <v>980</v>
      </c>
      <c r="AA270" s="243">
        <f>982-AA271</f>
        <v>725</v>
      </c>
      <c r="AB270" s="243">
        <f>983-AB271</f>
        <v>952</v>
      </c>
      <c r="AC270" s="73">
        <f t="shared" ref="AC270:AL270" si="435">+AB270+AC214</f>
        <v>952</v>
      </c>
      <c r="AD270" s="73">
        <f t="shared" si="435"/>
        <v>952</v>
      </c>
      <c r="AE270" s="73">
        <f t="shared" si="435"/>
        <v>952</v>
      </c>
      <c r="AF270" s="73">
        <f t="shared" si="435"/>
        <v>952</v>
      </c>
      <c r="AG270" s="73">
        <f t="shared" si="435"/>
        <v>952</v>
      </c>
      <c r="AH270" s="73">
        <f t="shared" si="435"/>
        <v>952</v>
      </c>
      <c r="AI270" s="73">
        <f t="shared" si="435"/>
        <v>952</v>
      </c>
      <c r="AJ270" s="73">
        <f t="shared" si="435"/>
        <v>952</v>
      </c>
      <c r="AK270" s="73">
        <f t="shared" si="435"/>
        <v>952</v>
      </c>
      <c r="AL270" s="73">
        <f t="shared" si="435"/>
        <v>952</v>
      </c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</row>
    <row r="271" spans="1:48" x14ac:dyDescent="0.2">
      <c r="A271" s="2"/>
      <c r="B271" s="11" t="s">
        <v>218</v>
      </c>
      <c r="C271" s="11"/>
      <c r="D271" s="11"/>
      <c r="E271" s="11"/>
      <c r="F271" s="11"/>
      <c r="G271" s="11"/>
      <c r="H271" s="11"/>
      <c r="I271" s="11"/>
      <c r="J271" s="88">
        <v>0</v>
      </c>
      <c r="K271" s="88">
        <v>0</v>
      </c>
      <c r="L271" s="88">
        <v>0</v>
      </c>
      <c r="M271" s="88">
        <v>0</v>
      </c>
      <c r="N271" s="88">
        <v>0</v>
      </c>
      <c r="O271" s="88">
        <v>0</v>
      </c>
      <c r="P271" s="88">
        <v>0</v>
      </c>
      <c r="Q271" s="88">
        <v>0</v>
      </c>
      <c r="R271" s="88">
        <v>0</v>
      </c>
      <c r="S271" s="88">
        <v>0</v>
      </c>
      <c r="T271" s="88">
        <v>0</v>
      </c>
      <c r="U271" s="88">
        <v>0</v>
      </c>
      <c r="V271" s="88">
        <v>0</v>
      </c>
      <c r="W271" s="73">
        <v>449</v>
      </c>
      <c r="X271" s="73">
        <v>460</v>
      </c>
      <c r="Y271" s="89">
        <v>471</v>
      </c>
      <c r="Z271" s="73">
        <v>483</v>
      </c>
      <c r="AA271" s="243">
        <v>257</v>
      </c>
      <c r="AB271" s="243">
        <v>31</v>
      </c>
      <c r="AC271" s="73">
        <f>AB271</f>
        <v>31</v>
      </c>
      <c r="AD271" s="73">
        <f>AC271</f>
        <v>31</v>
      </c>
      <c r="AE271" s="73">
        <f>AD271</f>
        <v>31</v>
      </c>
      <c r="AF271" s="73">
        <f t="shared" ref="AF271:AL272" si="436">AE271</f>
        <v>31</v>
      </c>
      <c r="AG271" s="73">
        <f t="shared" si="436"/>
        <v>31</v>
      </c>
      <c r="AH271" s="73">
        <f t="shared" si="436"/>
        <v>31</v>
      </c>
      <c r="AI271" s="73">
        <f t="shared" si="436"/>
        <v>31</v>
      </c>
      <c r="AJ271" s="73">
        <f t="shared" si="436"/>
        <v>31</v>
      </c>
      <c r="AK271" s="73">
        <f t="shared" si="436"/>
        <v>31</v>
      </c>
      <c r="AL271" s="73">
        <f t="shared" si="436"/>
        <v>31</v>
      </c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</row>
    <row r="272" spans="1:48" x14ac:dyDescent="0.2">
      <c r="A272" s="2"/>
      <c r="B272" s="2" t="s">
        <v>217</v>
      </c>
      <c r="C272" s="2"/>
      <c r="D272" s="2"/>
      <c r="E272" s="2"/>
      <c r="F272" s="2"/>
      <c r="G272" s="2"/>
      <c r="H272" s="2"/>
      <c r="I272" s="2"/>
      <c r="J272" s="88">
        <v>80.266999999999996</v>
      </c>
      <c r="K272" s="88">
        <v>85.021000000000001</v>
      </c>
      <c r="L272" s="88">
        <v>92.087999999999994</v>
      </c>
      <c r="M272" s="88">
        <v>98.959000000000003</v>
      </c>
      <c r="N272" s="88">
        <v>105.264</v>
      </c>
      <c r="O272" s="88">
        <v>128.67599999999999</v>
      </c>
      <c r="P272" s="73">
        <v>148</v>
      </c>
      <c r="Q272" s="73">
        <v>134</v>
      </c>
      <c r="R272" s="73">
        <v>124</v>
      </c>
      <c r="S272" s="73">
        <v>132</v>
      </c>
      <c r="T272" s="73">
        <v>157</v>
      </c>
      <c r="U272" s="28">
        <v>180</v>
      </c>
      <c r="V272" s="28">
        <v>205</v>
      </c>
      <c r="W272" s="28">
        <v>251</v>
      </c>
      <c r="X272" s="28">
        <v>255</v>
      </c>
      <c r="Y272" s="28">
        <v>284</v>
      </c>
      <c r="Z272" s="28">
        <v>273</v>
      </c>
      <c r="AA272" s="244">
        <v>355</v>
      </c>
      <c r="AB272" s="244">
        <v>298</v>
      </c>
      <c r="AC272" s="28">
        <f t="shared" ref="AC272:AC275" si="437">AB272</f>
        <v>298</v>
      </c>
      <c r="AD272" s="28">
        <f>AC272</f>
        <v>298</v>
      </c>
      <c r="AE272" s="28">
        <f>AD272</f>
        <v>298</v>
      </c>
      <c r="AF272" s="28">
        <f t="shared" si="436"/>
        <v>298</v>
      </c>
      <c r="AG272" s="28">
        <f t="shared" si="436"/>
        <v>298</v>
      </c>
      <c r="AH272" s="28">
        <f t="shared" si="436"/>
        <v>298</v>
      </c>
      <c r="AI272" s="28">
        <f t="shared" si="436"/>
        <v>298</v>
      </c>
      <c r="AJ272" s="28">
        <f t="shared" si="436"/>
        <v>298</v>
      </c>
      <c r="AK272" s="28">
        <f t="shared" si="436"/>
        <v>298</v>
      </c>
      <c r="AL272" s="28">
        <f t="shared" si="436"/>
        <v>298</v>
      </c>
      <c r="AO272" s="2"/>
      <c r="AP272" s="2"/>
      <c r="AQ272" s="2"/>
      <c r="AR272" s="2"/>
      <c r="AS272" s="2"/>
      <c r="AT272" s="2"/>
      <c r="AU272" s="2"/>
      <c r="AV272" s="2"/>
    </row>
    <row r="273" spans="1:48" x14ac:dyDescent="0.2">
      <c r="A273" s="2"/>
      <c r="B273" s="2" t="s">
        <v>378</v>
      </c>
      <c r="C273" s="2"/>
      <c r="D273" s="2"/>
      <c r="E273" s="2"/>
      <c r="F273" s="2"/>
      <c r="G273" s="2"/>
      <c r="H273" s="2"/>
      <c r="I273" s="2"/>
      <c r="J273" s="88">
        <v>11.894</v>
      </c>
      <c r="K273" s="88">
        <v>31.748000000000001</v>
      </c>
      <c r="L273" s="88">
        <v>41.552</v>
      </c>
      <c r="M273" s="88">
        <v>51.398000000000003</v>
      </c>
      <c r="N273" s="88">
        <v>65.807000000000002</v>
      </c>
      <c r="O273" s="88">
        <v>77.915000000000006</v>
      </c>
      <c r="P273" s="73">
        <v>42</v>
      </c>
      <c r="Q273" s="73">
        <v>522</v>
      </c>
      <c r="R273" s="73">
        <v>450</v>
      </c>
      <c r="S273" s="73">
        <v>463</v>
      </c>
      <c r="T273" s="73">
        <v>433</v>
      </c>
      <c r="U273" s="73">
        <v>451</v>
      </c>
      <c r="V273" s="73">
        <v>430</v>
      </c>
      <c r="W273" s="73">
        <v>368</v>
      </c>
      <c r="X273" s="73">
        <v>338</v>
      </c>
      <c r="Y273" s="73">
        <v>390</v>
      </c>
      <c r="Z273" s="73">
        <v>368</v>
      </c>
      <c r="AA273" s="243">
        <v>387</v>
      </c>
      <c r="AB273" s="243">
        <v>275</v>
      </c>
      <c r="AC273" s="73">
        <f t="shared" ref="AC273:AL273" si="438">AB273+(AC200-AC131)</f>
        <v>275</v>
      </c>
      <c r="AD273" s="73">
        <f t="shared" si="438"/>
        <v>275</v>
      </c>
      <c r="AE273" s="73">
        <f t="shared" si="438"/>
        <v>275</v>
      </c>
      <c r="AF273" s="73">
        <f t="shared" si="438"/>
        <v>275</v>
      </c>
      <c r="AG273" s="73">
        <f t="shared" si="438"/>
        <v>275</v>
      </c>
      <c r="AH273" s="73">
        <f t="shared" si="438"/>
        <v>275</v>
      </c>
      <c r="AI273" s="73">
        <f t="shared" si="438"/>
        <v>275</v>
      </c>
      <c r="AJ273" s="73">
        <f t="shared" si="438"/>
        <v>275</v>
      </c>
      <c r="AK273" s="73">
        <f t="shared" si="438"/>
        <v>275</v>
      </c>
      <c r="AL273" s="73">
        <f t="shared" si="438"/>
        <v>275</v>
      </c>
      <c r="AO273" s="2"/>
      <c r="AP273" s="2"/>
      <c r="AQ273" s="2"/>
      <c r="AR273" s="2"/>
      <c r="AS273" s="2"/>
      <c r="AT273" s="2"/>
      <c r="AU273" s="2"/>
      <c r="AV273" s="2"/>
    </row>
    <row r="274" spans="1:48" x14ac:dyDescent="0.2">
      <c r="A274" s="2"/>
      <c r="B274" s="11" t="s">
        <v>119</v>
      </c>
      <c r="C274" s="2"/>
      <c r="D274" s="2"/>
      <c r="E274" s="2"/>
      <c r="F274" s="2"/>
      <c r="G274" s="2"/>
      <c r="H274" s="2"/>
      <c r="I274" s="2"/>
      <c r="J274" s="88">
        <v>0</v>
      </c>
      <c r="K274" s="88">
        <v>0</v>
      </c>
      <c r="L274" s="88">
        <v>0</v>
      </c>
      <c r="M274" s="88">
        <v>0</v>
      </c>
      <c r="N274" s="88">
        <v>0</v>
      </c>
      <c r="O274" s="88">
        <v>0</v>
      </c>
      <c r="P274" s="73">
        <v>67</v>
      </c>
      <c r="Q274" s="73">
        <v>74</v>
      </c>
      <c r="R274" s="73">
        <v>73</v>
      </c>
      <c r="S274" s="88">
        <v>65</v>
      </c>
      <c r="T274" s="88">
        <f>29+22</f>
        <v>51</v>
      </c>
      <c r="U274" s="28">
        <f>29+39</f>
        <v>68</v>
      </c>
      <c r="V274" s="28">
        <f>55+45</f>
        <v>100</v>
      </c>
      <c r="W274" s="28">
        <f>69+40</f>
        <v>109</v>
      </c>
      <c r="X274" s="28">
        <f>25+64</f>
        <v>89</v>
      </c>
      <c r="Y274" s="28">
        <f>38+81.4</f>
        <v>119.4</v>
      </c>
      <c r="Z274" s="28">
        <f>50+120</f>
        <v>170</v>
      </c>
      <c r="AA274" s="244">
        <f>44+120</f>
        <v>164</v>
      </c>
      <c r="AB274" s="244">
        <f>80+85</f>
        <v>165</v>
      </c>
      <c r="AC274" s="28">
        <f t="shared" si="437"/>
        <v>165</v>
      </c>
      <c r="AD274" s="28">
        <f t="shared" ref="AD274:AL275" si="439">AC274</f>
        <v>165</v>
      </c>
      <c r="AE274" s="28">
        <f t="shared" si="439"/>
        <v>165</v>
      </c>
      <c r="AF274" s="28">
        <f t="shared" si="439"/>
        <v>165</v>
      </c>
      <c r="AG274" s="28">
        <f t="shared" si="439"/>
        <v>165</v>
      </c>
      <c r="AH274" s="28">
        <f t="shared" si="439"/>
        <v>165</v>
      </c>
      <c r="AI274" s="28">
        <f t="shared" si="439"/>
        <v>165</v>
      </c>
      <c r="AJ274" s="28">
        <f t="shared" si="439"/>
        <v>165</v>
      </c>
      <c r="AK274" s="28">
        <f t="shared" si="439"/>
        <v>165</v>
      </c>
      <c r="AL274" s="28">
        <f t="shared" si="439"/>
        <v>165</v>
      </c>
      <c r="AO274" s="2"/>
      <c r="AP274" s="2"/>
      <c r="AQ274" s="2"/>
      <c r="AR274" s="2"/>
      <c r="AS274" s="2"/>
      <c r="AT274" s="2"/>
      <c r="AU274" s="2"/>
      <c r="AV274" s="2"/>
    </row>
    <row r="275" spans="1:48" x14ac:dyDescent="0.2">
      <c r="A275" s="2"/>
      <c r="B275" s="2" t="s">
        <v>388</v>
      </c>
      <c r="C275" s="2"/>
      <c r="D275" s="2"/>
      <c r="E275" s="2"/>
      <c r="F275" s="2"/>
      <c r="G275" s="2"/>
      <c r="H275" s="2"/>
      <c r="I275" s="2"/>
      <c r="J275" s="73">
        <v>15.1</v>
      </c>
      <c r="K275" s="73">
        <v>10.57</v>
      </c>
      <c r="L275" s="73">
        <v>13.019</v>
      </c>
      <c r="M275" s="73">
        <v>18.907</v>
      </c>
      <c r="N275" s="73">
        <v>35.277999999999999</v>
      </c>
      <c r="O275" s="73">
        <v>30.783999999999999</v>
      </c>
      <c r="P275" s="73">
        <v>23</v>
      </c>
      <c r="Q275" s="73">
        <v>43</v>
      </c>
      <c r="R275" s="73">
        <v>69</v>
      </c>
      <c r="S275" s="73">
        <v>52</v>
      </c>
      <c r="T275" s="73">
        <f>25+28</f>
        <v>53</v>
      </c>
      <c r="U275" s="28">
        <f>15+36</f>
        <v>51</v>
      </c>
      <c r="V275" s="28">
        <f>9+36</f>
        <v>45</v>
      </c>
      <c r="W275" s="28">
        <f>17+34</f>
        <v>51</v>
      </c>
      <c r="X275" s="28">
        <f>22+29</f>
        <v>51</v>
      </c>
      <c r="Y275" s="28">
        <f>9+35.4</f>
        <v>44.4</v>
      </c>
      <c r="Z275" s="28">
        <f>18+40</f>
        <v>58</v>
      </c>
      <c r="AA275" s="244">
        <f>46+22</f>
        <v>68</v>
      </c>
      <c r="AB275" s="244">
        <f>53+22</f>
        <v>75</v>
      </c>
      <c r="AC275" s="28">
        <f t="shared" si="437"/>
        <v>75</v>
      </c>
      <c r="AD275" s="28">
        <f t="shared" si="439"/>
        <v>75</v>
      </c>
      <c r="AE275" s="28">
        <f t="shared" si="439"/>
        <v>75</v>
      </c>
      <c r="AF275" s="28">
        <f t="shared" si="439"/>
        <v>75</v>
      </c>
      <c r="AG275" s="28">
        <f t="shared" si="439"/>
        <v>75</v>
      </c>
      <c r="AH275" s="28">
        <f t="shared" si="439"/>
        <v>75</v>
      </c>
      <c r="AI275" s="28">
        <f t="shared" si="439"/>
        <v>75</v>
      </c>
      <c r="AJ275" s="28">
        <f t="shared" si="439"/>
        <v>75</v>
      </c>
      <c r="AK275" s="28">
        <f t="shared" si="439"/>
        <v>75</v>
      </c>
      <c r="AL275" s="28">
        <f t="shared" si="439"/>
        <v>75</v>
      </c>
      <c r="AO275" s="2"/>
      <c r="AP275" s="2"/>
      <c r="AQ275" s="2"/>
      <c r="AR275" s="2"/>
      <c r="AS275" s="2"/>
      <c r="AT275" s="2"/>
      <c r="AU275" s="2"/>
      <c r="AV275" s="2"/>
    </row>
    <row r="276" spans="1:48" x14ac:dyDescent="0.2">
      <c r="A276" s="2"/>
      <c r="B276" s="8" t="s">
        <v>379</v>
      </c>
      <c r="C276" s="8"/>
      <c r="D276" s="8"/>
      <c r="E276" s="8"/>
      <c r="F276" s="8"/>
      <c r="G276" s="8"/>
      <c r="H276" s="8"/>
      <c r="I276" s="8"/>
      <c r="J276" s="89">
        <f t="shared" ref="J276:V276" si="440">J270+J272+J273+J274+J275</f>
        <v>1591.663</v>
      </c>
      <c r="K276" s="89">
        <f t="shared" si="440"/>
        <v>1744.7089999999998</v>
      </c>
      <c r="L276" s="89">
        <f t="shared" si="440"/>
        <v>1716.4319999999998</v>
      </c>
      <c r="M276" s="89">
        <f t="shared" si="440"/>
        <v>1743.31</v>
      </c>
      <c r="N276" s="89">
        <f t="shared" si="440"/>
        <v>1431.7339999999999</v>
      </c>
      <c r="O276" s="89">
        <f t="shared" si="440"/>
        <v>1171.3240000000001</v>
      </c>
      <c r="P276" s="89">
        <f t="shared" si="440"/>
        <v>1315</v>
      </c>
      <c r="Q276" s="89">
        <f t="shared" si="440"/>
        <v>3351</v>
      </c>
      <c r="R276" s="89">
        <f t="shared" si="440"/>
        <v>2676</v>
      </c>
      <c r="S276" s="89">
        <f t="shared" si="440"/>
        <v>2488</v>
      </c>
      <c r="T276" s="89">
        <f t="shared" si="440"/>
        <v>2263</v>
      </c>
      <c r="U276" s="89">
        <f t="shared" si="440"/>
        <v>2087</v>
      </c>
      <c r="V276" s="89">
        <f t="shared" si="440"/>
        <v>1771</v>
      </c>
      <c r="W276" s="89">
        <f t="shared" ref="W276:Z276" si="441">W270+W272+W273+W274+W275+W271</f>
        <v>1986</v>
      </c>
      <c r="X276" s="89">
        <f t="shared" si="441"/>
        <v>1386</v>
      </c>
      <c r="Y276" s="89">
        <f t="shared" si="441"/>
        <v>2421.8000000000002</v>
      </c>
      <c r="Z276" s="89">
        <f t="shared" si="441"/>
        <v>2332</v>
      </c>
      <c r="AA276" s="89">
        <f t="shared" ref="AA276:AH276" si="442">AA270+AA272+AA273+AA274+AA275+AA271</f>
        <v>1956</v>
      </c>
      <c r="AB276" s="89">
        <f t="shared" si="442"/>
        <v>1796</v>
      </c>
      <c r="AC276" s="89">
        <f t="shared" si="442"/>
        <v>1796</v>
      </c>
      <c r="AD276" s="89">
        <f t="shared" si="442"/>
        <v>1796</v>
      </c>
      <c r="AE276" s="89">
        <f t="shared" si="442"/>
        <v>1796</v>
      </c>
      <c r="AF276" s="89">
        <f t="shared" si="442"/>
        <v>1796</v>
      </c>
      <c r="AG276" s="89">
        <f t="shared" si="442"/>
        <v>1796</v>
      </c>
      <c r="AH276" s="89">
        <f t="shared" si="442"/>
        <v>1796</v>
      </c>
      <c r="AI276" s="89">
        <f t="shared" ref="AI276:AL276" si="443">AI270+AI272+AI273+AI274+AI275+AI271</f>
        <v>1796</v>
      </c>
      <c r="AJ276" s="89">
        <f t="shared" si="443"/>
        <v>1796</v>
      </c>
      <c r="AK276" s="89">
        <f t="shared" si="443"/>
        <v>1796</v>
      </c>
      <c r="AL276" s="89">
        <f t="shared" si="443"/>
        <v>1796</v>
      </c>
      <c r="AM276" s="8"/>
      <c r="AN276" s="8"/>
      <c r="AO276" s="8"/>
      <c r="AP276" s="8"/>
      <c r="AQ276" s="8"/>
      <c r="AR276" s="8"/>
      <c r="AS276" s="8"/>
      <c r="AT276" s="8"/>
      <c r="AU276" s="8"/>
      <c r="AV276" s="8"/>
    </row>
    <row r="277" spans="1:48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O277" s="2"/>
      <c r="AP277" s="2"/>
      <c r="AQ277" s="2"/>
      <c r="AR277" s="2"/>
      <c r="AS277" s="2"/>
      <c r="AT277" s="2"/>
      <c r="AU277" s="2"/>
      <c r="AV277" s="2"/>
    </row>
    <row r="278" spans="1:48" x14ac:dyDescent="0.2">
      <c r="A278" s="2"/>
      <c r="B278" s="8" t="s">
        <v>380</v>
      </c>
      <c r="C278" s="2"/>
      <c r="D278" s="2"/>
      <c r="E278" s="2"/>
      <c r="F278" s="2"/>
      <c r="G278" s="2"/>
      <c r="H278" s="2"/>
      <c r="I278" s="2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O278" s="2"/>
      <c r="AP278" s="2"/>
      <c r="AQ278" s="2"/>
      <c r="AR278" s="2"/>
      <c r="AS278" s="2"/>
      <c r="AT278" s="2"/>
      <c r="AU278" s="2"/>
      <c r="AV278" s="2"/>
    </row>
    <row r="279" spans="1:48" x14ac:dyDescent="0.2">
      <c r="A279" s="2"/>
      <c r="B279" s="2" t="s">
        <v>381</v>
      </c>
      <c r="C279" s="2"/>
      <c r="D279" s="2"/>
      <c r="E279" s="2"/>
      <c r="F279" s="2"/>
      <c r="G279" s="2"/>
      <c r="H279" s="2"/>
      <c r="I279" s="2"/>
      <c r="J279" s="73">
        <v>116.09399999999999</v>
      </c>
      <c r="K279" s="73">
        <v>116.09399999999999</v>
      </c>
      <c r="L279" s="73">
        <v>116.09399999999999</v>
      </c>
      <c r="M279" s="73">
        <v>116.282</v>
      </c>
      <c r="N279" s="73">
        <v>116.36199999999999</v>
      </c>
      <c r="O279" s="73">
        <v>117.399</v>
      </c>
      <c r="P279" s="73">
        <v>130</v>
      </c>
      <c r="Q279" s="73">
        <v>204</v>
      </c>
      <c r="R279" s="73">
        <v>204</v>
      </c>
      <c r="S279" s="73">
        <v>194</v>
      </c>
      <c r="T279" s="73">
        <v>209</v>
      </c>
      <c r="U279" s="73">
        <f>T279</f>
        <v>209</v>
      </c>
      <c r="V279" s="73">
        <f t="shared" ref="V279:AC279" si="444">U279</f>
        <v>209</v>
      </c>
      <c r="W279" s="73">
        <v>209</v>
      </c>
      <c r="X279" s="73">
        <f t="shared" si="444"/>
        <v>209</v>
      </c>
      <c r="Y279" s="73">
        <v>204</v>
      </c>
      <c r="Z279" s="73">
        <v>200</v>
      </c>
      <c r="AA279" s="243">
        <v>201</v>
      </c>
      <c r="AB279" s="243">
        <v>204</v>
      </c>
      <c r="AC279" s="73">
        <f t="shared" si="444"/>
        <v>204</v>
      </c>
      <c r="AD279" s="73">
        <f t="shared" ref="AD279:AL279" si="445">AC279</f>
        <v>204</v>
      </c>
      <c r="AE279" s="73">
        <f t="shared" si="445"/>
        <v>204</v>
      </c>
      <c r="AF279" s="73">
        <f t="shared" si="445"/>
        <v>204</v>
      </c>
      <c r="AG279" s="73">
        <f t="shared" si="445"/>
        <v>204</v>
      </c>
      <c r="AH279" s="73">
        <f t="shared" si="445"/>
        <v>204</v>
      </c>
      <c r="AI279" s="73">
        <f t="shared" si="445"/>
        <v>204</v>
      </c>
      <c r="AJ279" s="73">
        <f t="shared" si="445"/>
        <v>204</v>
      </c>
      <c r="AK279" s="73">
        <f t="shared" si="445"/>
        <v>204</v>
      </c>
      <c r="AL279" s="73">
        <f t="shared" si="445"/>
        <v>204</v>
      </c>
      <c r="AO279" s="2"/>
      <c r="AP279" s="2"/>
      <c r="AQ279" s="2"/>
      <c r="AR279" s="2"/>
      <c r="AS279" s="2"/>
      <c r="AT279" s="2"/>
      <c r="AU279" s="2"/>
      <c r="AV279" s="2"/>
    </row>
    <row r="280" spans="1:48" x14ac:dyDescent="0.2">
      <c r="A280" s="2"/>
      <c r="B280" s="2" t="s">
        <v>382</v>
      </c>
      <c r="C280" s="2"/>
      <c r="D280" s="2"/>
      <c r="E280" s="2"/>
      <c r="F280" s="2"/>
      <c r="G280" s="2"/>
      <c r="H280" s="2"/>
      <c r="I280" s="2"/>
      <c r="J280" s="73">
        <f>7.557-0.572</f>
        <v>6.9850000000000003</v>
      </c>
      <c r="K280" s="73">
        <f>7.557-5.152</f>
        <v>2.4050000000000002</v>
      </c>
      <c r="L280" s="73">
        <f>7.557+9.638+17.727</f>
        <v>34.921999999999997</v>
      </c>
      <c r="M280" s="73">
        <f>11.903-56.743-40.53</f>
        <v>-85.37</v>
      </c>
      <c r="N280" s="73">
        <f>128.433-113.507-40.607</f>
        <v>-25.681000000000012</v>
      </c>
      <c r="O280" s="73">
        <v>-104.905</v>
      </c>
      <c r="P280" s="73">
        <v>700</v>
      </c>
      <c r="Q280" s="73">
        <v>425</v>
      </c>
      <c r="R280" s="73">
        <v>161</v>
      </c>
      <c r="S280" s="73">
        <v>-10</v>
      </c>
      <c r="T280" s="73">
        <v>212</v>
      </c>
      <c r="U280" s="28">
        <v>563</v>
      </c>
      <c r="V280" s="28">
        <v>791</v>
      </c>
      <c r="W280" s="28">
        <v>641</v>
      </c>
      <c r="X280" s="28">
        <v>321</v>
      </c>
      <c r="Y280" s="28">
        <v>581</v>
      </c>
      <c r="Z280" s="28">
        <v>592</v>
      </c>
      <c r="AA280" s="244">
        <v>749</v>
      </c>
      <c r="AB280" s="244">
        <v>-81.3</v>
      </c>
      <c r="AC280" s="28">
        <f t="shared" ref="AC280:AL280" si="446">AB280+AC217</f>
        <v>-81.3</v>
      </c>
      <c r="AD280" s="28">
        <f t="shared" si="446"/>
        <v>-81.3</v>
      </c>
      <c r="AE280" s="28">
        <f t="shared" si="446"/>
        <v>-81.3</v>
      </c>
      <c r="AF280" s="28">
        <f t="shared" si="446"/>
        <v>-80.3</v>
      </c>
      <c r="AG280" s="28">
        <f t="shared" si="446"/>
        <v>-78.3</v>
      </c>
      <c r="AH280" s="28">
        <f t="shared" si="446"/>
        <v>-75.3</v>
      </c>
      <c r="AI280" s="28">
        <f t="shared" si="446"/>
        <v>-72.3</v>
      </c>
      <c r="AJ280" s="28">
        <f t="shared" si="446"/>
        <v>-69.3</v>
      </c>
      <c r="AK280" s="28">
        <f t="shared" si="446"/>
        <v>-66.3</v>
      </c>
      <c r="AL280" s="28">
        <f t="shared" si="446"/>
        <v>-63.3</v>
      </c>
      <c r="AO280" s="2"/>
      <c r="AP280" s="2"/>
      <c r="AQ280" s="2"/>
      <c r="AR280" s="2"/>
      <c r="AS280" s="2"/>
      <c r="AT280" s="2"/>
      <c r="AU280" s="2"/>
      <c r="AV280" s="2"/>
    </row>
    <row r="281" spans="1:48" x14ac:dyDescent="0.2">
      <c r="A281" s="2"/>
      <c r="B281" s="2" t="s">
        <v>383</v>
      </c>
      <c r="C281" s="2"/>
      <c r="D281" s="2"/>
      <c r="E281" s="2"/>
      <c r="F281" s="2"/>
      <c r="G281" s="2"/>
      <c r="H281" s="2"/>
      <c r="I281" s="2"/>
      <c r="J281" s="73">
        <v>556.87800000000004</v>
      </c>
      <c r="K281" s="73">
        <v>696.82500000000005</v>
      </c>
      <c r="L281" s="73">
        <v>863.59699999999998</v>
      </c>
      <c r="M281" s="73">
        <v>1050.4469999999999</v>
      </c>
      <c r="N281" s="73">
        <v>1265.1089999999999</v>
      </c>
      <c r="O281" s="73">
        <v>1531.403</v>
      </c>
      <c r="P281" s="73">
        <v>1854</v>
      </c>
      <c r="Q281" s="73">
        <v>2199</v>
      </c>
      <c r="R281" s="73">
        <v>2658</v>
      </c>
      <c r="S281" s="73">
        <v>3202</v>
      </c>
      <c r="T281" s="73">
        <v>3350</v>
      </c>
      <c r="U281" s="73">
        <v>3844</v>
      </c>
      <c r="V281" s="73">
        <v>4137</v>
      </c>
      <c r="W281" s="73">
        <v>4454</v>
      </c>
      <c r="X281" s="73">
        <v>4959</v>
      </c>
      <c r="Y281" s="73">
        <v>4839</v>
      </c>
      <c r="Z281" s="73">
        <v>4874</v>
      </c>
      <c r="AA281" s="243">
        <v>5521</v>
      </c>
      <c r="AB281" s="243">
        <v>6327</v>
      </c>
      <c r="AC281" s="73">
        <f t="shared" ref="AC281:AL281" si="447">AB281+AC141+AC161+AC216</f>
        <v>6314.7184991436698</v>
      </c>
      <c r="AD281" s="73">
        <f t="shared" si="447"/>
        <v>6455.684652949225</v>
      </c>
      <c r="AE281" s="73">
        <f t="shared" si="447"/>
        <v>7252.076797667386</v>
      </c>
      <c r="AF281" s="73">
        <f t="shared" si="447"/>
        <v>8277.4233066611505</v>
      </c>
      <c r="AG281" s="73">
        <f t="shared" si="447"/>
        <v>10019.973770319088</v>
      </c>
      <c r="AH281" s="73">
        <f t="shared" si="447"/>
        <v>12000.932152301591</v>
      </c>
      <c r="AI281" s="73">
        <f t="shared" si="447"/>
        <v>14179.897704728748</v>
      </c>
      <c r="AJ281" s="73">
        <f t="shared" si="447"/>
        <v>16526.849468277502</v>
      </c>
      <c r="AK281" s="73">
        <f t="shared" si="447"/>
        <v>19082.865865153984</v>
      </c>
      <c r="AL281" s="73">
        <f t="shared" si="447"/>
        <v>21880.221767252751</v>
      </c>
      <c r="AO281" s="2"/>
      <c r="AP281" s="2"/>
      <c r="AQ281" s="2"/>
      <c r="AR281" s="2"/>
      <c r="AS281" s="2"/>
      <c r="AT281" s="2"/>
      <c r="AU281" s="2"/>
      <c r="AV281" s="2"/>
    </row>
    <row r="282" spans="1:48" x14ac:dyDescent="0.2">
      <c r="A282" s="2"/>
      <c r="B282" s="8" t="s">
        <v>380</v>
      </c>
      <c r="C282" s="8"/>
      <c r="D282" s="8"/>
      <c r="E282" s="8"/>
      <c r="F282" s="8">
        <v>295</v>
      </c>
      <c r="G282" s="8">
        <v>489</v>
      </c>
      <c r="H282" s="8">
        <v>717</v>
      </c>
      <c r="I282" s="8">
        <v>463</v>
      </c>
      <c r="J282" s="89">
        <f>J279+J280+J281</f>
        <v>679.95699999999999</v>
      </c>
      <c r="K282" s="89">
        <f t="shared" ref="K282:Z282" si="448">K279+K280+K281</f>
        <v>815.32400000000007</v>
      </c>
      <c r="L282" s="89">
        <f t="shared" si="448"/>
        <v>1014.6129999999999</v>
      </c>
      <c r="M282" s="89">
        <f t="shared" si="448"/>
        <v>1081.3589999999999</v>
      </c>
      <c r="N282" s="55">
        <f t="shared" si="448"/>
        <v>1355.79</v>
      </c>
      <c r="O282" s="89">
        <f t="shared" si="448"/>
        <v>1543.8969999999999</v>
      </c>
      <c r="P282" s="89">
        <f t="shared" si="448"/>
        <v>2684</v>
      </c>
      <c r="Q282" s="89">
        <f t="shared" si="448"/>
        <v>2828</v>
      </c>
      <c r="R282" s="89">
        <f t="shared" si="448"/>
        <v>3023</v>
      </c>
      <c r="S282" s="89">
        <f t="shared" si="448"/>
        <v>3386</v>
      </c>
      <c r="T282" s="89">
        <f t="shared" si="448"/>
        <v>3771</v>
      </c>
      <c r="U282" s="89">
        <f t="shared" si="448"/>
        <v>4616</v>
      </c>
      <c r="V282" s="89">
        <f t="shared" si="448"/>
        <v>5137</v>
      </c>
      <c r="W282" s="89">
        <f t="shared" si="448"/>
        <v>5304</v>
      </c>
      <c r="X282" s="89">
        <f>X279+X280+X281</f>
        <v>5489</v>
      </c>
      <c r="Y282" s="89">
        <f t="shared" si="448"/>
        <v>5624</v>
      </c>
      <c r="Z282" s="89">
        <f t="shared" si="448"/>
        <v>5666</v>
      </c>
      <c r="AA282" s="89">
        <f t="shared" ref="AA282:AH282" si="449">AA279+AA280+AA281</f>
        <v>6471</v>
      </c>
      <c r="AB282" s="89">
        <f t="shared" si="449"/>
        <v>6449.7</v>
      </c>
      <c r="AC282" s="89">
        <f t="shared" si="449"/>
        <v>6437.4184991436696</v>
      </c>
      <c r="AD282" s="89">
        <f t="shared" si="449"/>
        <v>6578.3846529492248</v>
      </c>
      <c r="AE282" s="89">
        <f t="shared" si="449"/>
        <v>7374.7767976673858</v>
      </c>
      <c r="AF282" s="89">
        <f t="shared" si="449"/>
        <v>8401.1233066611512</v>
      </c>
      <c r="AG282" s="89">
        <f t="shared" si="449"/>
        <v>10145.673770319088</v>
      </c>
      <c r="AH282" s="89">
        <f t="shared" si="449"/>
        <v>12129.632152301592</v>
      </c>
      <c r="AI282" s="89">
        <f t="shared" ref="AI282:AL282" si="450">AI279+AI280+AI281</f>
        <v>14311.597704728749</v>
      </c>
      <c r="AJ282" s="89">
        <f t="shared" si="450"/>
        <v>16661.549468277502</v>
      </c>
      <c r="AK282" s="89">
        <f t="shared" si="450"/>
        <v>19220.565865153985</v>
      </c>
      <c r="AL282" s="89">
        <f t="shared" si="450"/>
        <v>22020.921767252752</v>
      </c>
      <c r="AO282" s="2"/>
      <c r="AP282" s="2"/>
      <c r="AQ282" s="2"/>
      <c r="AR282" s="2"/>
      <c r="AS282" s="2"/>
      <c r="AT282" s="2"/>
      <c r="AU282" s="2"/>
      <c r="AV282" s="2"/>
    </row>
    <row r="283" spans="1:48" x14ac:dyDescent="0.2">
      <c r="A283" s="2"/>
      <c r="B283" s="2" t="s">
        <v>335</v>
      </c>
      <c r="C283" s="2"/>
      <c r="D283" s="2"/>
      <c r="E283" s="2"/>
      <c r="F283" s="2"/>
      <c r="G283" s="2"/>
      <c r="H283" s="2"/>
      <c r="I283" s="2"/>
      <c r="J283" s="73">
        <v>63.424999999999997</v>
      </c>
      <c r="K283" s="73">
        <v>89.75</v>
      </c>
      <c r="L283" s="73">
        <v>58.156999999999996</v>
      </c>
      <c r="M283" s="73">
        <v>55.512999999999998</v>
      </c>
      <c r="N283" s="73">
        <v>56.579000000000001</v>
      </c>
      <c r="O283" s="73">
        <v>19.797999999999998</v>
      </c>
      <c r="P283" s="73">
        <v>28</v>
      </c>
      <c r="Q283" s="73">
        <v>8</v>
      </c>
      <c r="R283" s="73">
        <v>11</v>
      </c>
      <c r="S283" s="73">
        <v>14</v>
      </c>
      <c r="T283" s="73">
        <v>5</v>
      </c>
      <c r="U283" s="73">
        <v>7</v>
      </c>
      <c r="V283" s="73">
        <v>-9</v>
      </c>
      <c r="W283" s="73">
        <v>-13</v>
      </c>
      <c r="X283" s="73">
        <v>-8</v>
      </c>
      <c r="Y283" s="73">
        <v>-6.6</v>
      </c>
      <c r="Z283" s="73">
        <v>-18</v>
      </c>
      <c r="AA283" s="243">
        <v>-17</v>
      </c>
      <c r="AB283" s="243">
        <v>-15.4</v>
      </c>
      <c r="AC283" s="73">
        <f t="shared" ref="AC283:AL283" si="451">AB283-AC139</f>
        <v>-12.361499999999999</v>
      </c>
      <c r="AD283" s="73">
        <f t="shared" si="451"/>
        <v>-9.2318449999999999</v>
      </c>
      <c r="AE283" s="73">
        <f t="shared" si="451"/>
        <v>-6.008300349999999</v>
      </c>
      <c r="AF283" s="73">
        <f t="shared" si="451"/>
        <v>-2.6880493604999982</v>
      </c>
      <c r="AG283" s="73">
        <f t="shared" si="451"/>
        <v>0.73180915868500263</v>
      </c>
      <c r="AH283" s="73">
        <f t="shared" si="451"/>
        <v>4.2542634334455531</v>
      </c>
      <c r="AI283" s="73">
        <f t="shared" si="451"/>
        <v>7.8823913364489204</v>
      </c>
      <c r="AJ283" s="73">
        <f t="shared" si="451"/>
        <v>11.619363076542388</v>
      </c>
      <c r="AK283" s="73">
        <f t="shared" si="451"/>
        <v>15.468443968838661</v>
      </c>
      <c r="AL283" s="73">
        <f t="shared" si="451"/>
        <v>19.432997287903824</v>
      </c>
      <c r="AO283" s="2"/>
      <c r="AP283" s="2"/>
      <c r="AQ283" s="2"/>
      <c r="AR283" s="2"/>
      <c r="AS283" s="2"/>
      <c r="AT283" s="2"/>
      <c r="AU283" s="2"/>
      <c r="AV283" s="2"/>
    </row>
    <row r="284" spans="1:48" x14ac:dyDescent="0.2">
      <c r="A284" s="2"/>
      <c r="B284" s="8" t="s">
        <v>384</v>
      </c>
      <c r="C284" s="8"/>
      <c r="D284" s="8"/>
      <c r="E284" s="8"/>
      <c r="F284" s="8"/>
      <c r="G284" s="8"/>
      <c r="H284" s="8"/>
      <c r="I284" s="8"/>
      <c r="J284" s="89">
        <f t="shared" ref="J284:O284" si="452">J282+J283</f>
        <v>743.38199999999995</v>
      </c>
      <c r="K284" s="89">
        <f t="shared" si="452"/>
        <v>905.07400000000007</v>
      </c>
      <c r="L284" s="89">
        <f t="shared" si="452"/>
        <v>1072.77</v>
      </c>
      <c r="M284" s="89">
        <f t="shared" si="452"/>
        <v>1136.8719999999998</v>
      </c>
      <c r="N284" s="89">
        <f t="shared" si="452"/>
        <v>1412.3689999999999</v>
      </c>
      <c r="O284" s="89">
        <f t="shared" si="452"/>
        <v>1563.6949999999999</v>
      </c>
      <c r="P284" s="89">
        <f t="shared" ref="P284:Z284" si="453">P282+P283</f>
        <v>2712</v>
      </c>
      <c r="Q284" s="89">
        <f t="shared" si="453"/>
        <v>2836</v>
      </c>
      <c r="R284" s="89">
        <f t="shared" si="453"/>
        <v>3034</v>
      </c>
      <c r="S284" s="89">
        <f t="shared" si="453"/>
        <v>3400</v>
      </c>
      <c r="T284" s="89">
        <f t="shared" si="453"/>
        <v>3776</v>
      </c>
      <c r="U284" s="108">
        <f t="shared" si="453"/>
        <v>4623</v>
      </c>
      <c r="V284" s="108">
        <f t="shared" si="453"/>
        <v>5128</v>
      </c>
      <c r="W284" s="108">
        <f t="shared" si="453"/>
        <v>5291</v>
      </c>
      <c r="X284" s="108">
        <f>X282+X283</f>
        <v>5481</v>
      </c>
      <c r="Y284" s="108">
        <f t="shared" si="453"/>
        <v>5617.4</v>
      </c>
      <c r="Z284" s="108">
        <f t="shared" si="453"/>
        <v>5648</v>
      </c>
      <c r="AA284" s="108">
        <f t="shared" ref="AA284:AH284" si="454">AA282+AA283</f>
        <v>6454</v>
      </c>
      <c r="AB284" s="108">
        <f t="shared" si="454"/>
        <v>6434.3</v>
      </c>
      <c r="AC284" s="108">
        <f t="shared" si="454"/>
        <v>6425.0569991436696</v>
      </c>
      <c r="AD284" s="108">
        <f t="shared" si="454"/>
        <v>6569.1528079492246</v>
      </c>
      <c r="AE284" s="108">
        <f t="shared" si="454"/>
        <v>7368.7684973173855</v>
      </c>
      <c r="AF284" s="108">
        <f t="shared" si="454"/>
        <v>8398.4352573006508</v>
      </c>
      <c r="AG284" s="108">
        <f t="shared" si="454"/>
        <v>10146.405579477774</v>
      </c>
      <c r="AH284" s="108">
        <f t="shared" si="454"/>
        <v>12133.886415735038</v>
      </c>
      <c r="AI284" s="108">
        <f t="shared" ref="AI284:AL284" si="455">AI282+AI283</f>
        <v>14319.480096065197</v>
      </c>
      <c r="AJ284" s="108">
        <f t="shared" si="455"/>
        <v>16673.168831354044</v>
      </c>
      <c r="AK284" s="108">
        <f t="shared" si="455"/>
        <v>19236.034309122824</v>
      </c>
      <c r="AL284" s="108">
        <f t="shared" si="455"/>
        <v>22040.354764540654</v>
      </c>
      <c r="AM284" s="8"/>
      <c r="AN284" s="8"/>
      <c r="AO284" s="8"/>
      <c r="AP284" s="8"/>
      <c r="AQ284" s="8"/>
      <c r="AR284" s="8"/>
      <c r="AS284" s="8"/>
      <c r="AT284" s="8"/>
      <c r="AU284" s="8"/>
      <c r="AV284" s="8"/>
    </row>
    <row r="285" spans="1:48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O285" s="2"/>
      <c r="AP285" s="2"/>
      <c r="AQ285" s="2"/>
      <c r="AR285" s="2"/>
      <c r="AS285" s="2"/>
      <c r="AT285" s="2"/>
      <c r="AU285" s="2"/>
      <c r="AV285" s="2"/>
    </row>
    <row r="286" spans="1:48" x14ac:dyDescent="0.2">
      <c r="A286" s="2"/>
      <c r="B286" s="29" t="s">
        <v>385</v>
      </c>
      <c r="C286" s="29"/>
      <c r="D286" s="29"/>
      <c r="E286" s="29"/>
      <c r="F286" s="29"/>
      <c r="G286" s="29"/>
      <c r="H286" s="29"/>
      <c r="I286" s="29"/>
      <c r="J286" s="125">
        <f t="shared" ref="J286:Z286" si="456">J284+J276+J267</f>
        <v>3587.3739999999998</v>
      </c>
      <c r="K286" s="125">
        <f t="shared" si="456"/>
        <v>4018.46</v>
      </c>
      <c r="L286" s="125">
        <f t="shared" si="456"/>
        <v>4182.8769999999995</v>
      </c>
      <c r="M286" s="125">
        <f t="shared" si="456"/>
        <v>4260.8109999999997</v>
      </c>
      <c r="N286" s="125">
        <f t="shared" si="456"/>
        <v>4187.808</v>
      </c>
      <c r="O286" s="125">
        <f t="shared" si="456"/>
        <v>4433.884</v>
      </c>
      <c r="P286" s="125">
        <f t="shared" si="456"/>
        <v>5750</v>
      </c>
      <c r="Q286" s="125">
        <f t="shared" si="456"/>
        <v>8379</v>
      </c>
      <c r="R286" s="125">
        <f t="shared" si="456"/>
        <v>8325</v>
      </c>
      <c r="S286" s="125">
        <f t="shared" si="456"/>
        <v>9533</v>
      </c>
      <c r="T286" s="125">
        <f t="shared" si="456"/>
        <v>8875</v>
      </c>
      <c r="U286" s="126">
        <f t="shared" si="456"/>
        <v>10618</v>
      </c>
      <c r="V286" s="126">
        <f t="shared" si="456"/>
        <v>11237</v>
      </c>
      <c r="W286" s="126">
        <f t="shared" si="456"/>
        <v>11651</v>
      </c>
      <c r="X286" s="126">
        <f>X284+X276+X267</f>
        <v>11599</v>
      </c>
      <c r="Y286" s="126">
        <f t="shared" si="456"/>
        <v>12417</v>
      </c>
      <c r="Z286" s="126">
        <f t="shared" si="456"/>
        <v>13343</v>
      </c>
      <c r="AA286" s="126">
        <f t="shared" ref="AA286:AH286" si="457">AA284+AA276+AA267</f>
        <v>15175</v>
      </c>
      <c r="AB286" s="126">
        <f t="shared" si="457"/>
        <v>14521.5</v>
      </c>
      <c r="AC286" s="126">
        <f t="shared" si="457"/>
        <v>15167.072333975608</v>
      </c>
      <c r="AD286" s="126">
        <f t="shared" si="457"/>
        <v>15543.992872032668</v>
      </c>
      <c r="AE286" s="126">
        <f t="shared" si="457"/>
        <v>16561.94298234161</v>
      </c>
      <c r="AF286" s="126">
        <f t="shared" si="457"/>
        <v>17797.747063093335</v>
      </c>
      <c r="AG286" s="126">
        <f t="shared" si="457"/>
        <v>19793.085191980907</v>
      </c>
      <c r="AH286" s="126">
        <f t="shared" si="457"/>
        <v>22080.901682350603</v>
      </c>
      <c r="AI286" s="126">
        <f t="shared" ref="AI286:AL286" si="458">AI284+AI276+AI267</f>
        <v>24482.628028796622</v>
      </c>
      <c r="AJ286" s="126">
        <f t="shared" si="458"/>
        <v>27082.395144052789</v>
      </c>
      <c r="AK286" s="126">
        <f t="shared" si="458"/>
        <v>29889.883116070017</v>
      </c>
      <c r="AL286" s="126">
        <f t="shared" si="458"/>
        <v>32947.743129331728</v>
      </c>
      <c r="AM286" s="8"/>
      <c r="AN286" s="8"/>
      <c r="AO286" s="8"/>
      <c r="AP286" s="8"/>
      <c r="AQ286" s="8"/>
      <c r="AR286" s="8"/>
      <c r="AS286" s="8"/>
      <c r="AT286" s="8"/>
      <c r="AU286" s="8"/>
      <c r="AV286" s="8"/>
    </row>
    <row r="287" spans="1:48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73"/>
      <c r="K287" s="73"/>
      <c r="L287" s="73"/>
      <c r="M287" s="73"/>
      <c r="N287" s="73"/>
      <c r="O287" s="73"/>
      <c r="P287" s="73"/>
      <c r="Q287" s="75"/>
      <c r="R287" s="73"/>
      <c r="S287" s="73"/>
      <c r="T287" s="73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O287" s="2"/>
      <c r="AP287" s="2"/>
      <c r="AQ287" s="2"/>
      <c r="AR287" s="2"/>
      <c r="AS287" s="2"/>
      <c r="AT287" s="2"/>
      <c r="AU287" s="2"/>
      <c r="AV287" s="2"/>
    </row>
    <row r="288" spans="1:48" x14ac:dyDescent="0.2">
      <c r="A288" s="2"/>
      <c r="B288" s="19" t="s">
        <v>386</v>
      </c>
      <c r="C288" s="52"/>
      <c r="D288" s="52"/>
      <c r="E288" s="52"/>
      <c r="F288" s="52"/>
      <c r="G288" s="52"/>
      <c r="H288" s="52"/>
      <c r="I288" s="52"/>
      <c r="J288" s="118">
        <f t="shared" ref="J288:R288" si="459">J259+J270-J253-J254</f>
        <v>1592.38</v>
      </c>
      <c r="K288" s="118">
        <f t="shared" si="459"/>
        <v>1792.086</v>
      </c>
      <c r="L288" s="118">
        <f t="shared" si="459"/>
        <v>1680.8159999999998</v>
      </c>
      <c r="M288" s="118">
        <f t="shared" si="459"/>
        <v>1498.0900000000001</v>
      </c>
      <c r="N288" s="118">
        <f t="shared" si="459"/>
        <v>946.471</v>
      </c>
      <c r="O288" s="118">
        <f t="shared" si="459"/>
        <v>664.83899999999994</v>
      </c>
      <c r="P288" s="118">
        <f t="shared" si="459"/>
        <v>-551</v>
      </c>
      <c r="Q288" s="118">
        <f t="shared" si="459"/>
        <v>2230.9969999999998</v>
      </c>
      <c r="R288" s="118">
        <f t="shared" si="459"/>
        <v>1765.9969999999998</v>
      </c>
      <c r="S288" s="118">
        <f>S259+S260+S270-S254-S253</f>
        <v>2188</v>
      </c>
      <c r="T288" s="118">
        <f>T259+T260+T270-T254-T253</f>
        <v>917</v>
      </c>
      <c r="U288" s="118">
        <f>U259+U260+U270-U254-U253</f>
        <v>221</v>
      </c>
      <c r="V288" s="118">
        <f>V259+V260+V270-V254-V253</f>
        <v>-91</v>
      </c>
      <c r="W288" s="118">
        <f t="shared" ref="W288:Y288" si="460">W259+W260+W270+W271-W254-W253</f>
        <v>-448</v>
      </c>
      <c r="X288" s="52">
        <f t="shared" si="460"/>
        <v>-294</v>
      </c>
      <c r="Y288" s="118">
        <f t="shared" si="460"/>
        <v>184</v>
      </c>
      <c r="Z288" s="118">
        <f t="shared" ref="Z288:AH288" si="461">Z259+Z260+Z270+Z271-Z254-Z253</f>
        <v>459</v>
      </c>
      <c r="AA288" s="118">
        <f t="shared" si="461"/>
        <v>103</v>
      </c>
      <c r="AB288" s="118">
        <f t="shared" si="461"/>
        <v>-483.50000000000045</v>
      </c>
      <c r="AC288" s="118">
        <f t="shared" si="461"/>
        <v>-103.95913337852699</v>
      </c>
      <c r="AD288" s="118">
        <f t="shared" si="461"/>
        <v>593.06448478098673</v>
      </c>
      <c r="AE288" s="118">
        <f t="shared" si="461"/>
        <v>523.19138570513314</v>
      </c>
      <c r="AF288" s="118">
        <f t="shared" si="461"/>
        <v>204.96224891971269</v>
      </c>
      <c r="AG288" s="118">
        <f t="shared" si="461"/>
        <v>-742.89348305345834</v>
      </c>
      <c r="AH288" s="118">
        <f t="shared" si="461"/>
        <v>-2007.9802351101116</v>
      </c>
      <c r="AI288" s="118">
        <f t="shared" ref="AI288:AL288" si="462">AI259+AI260+AI270+AI271-AI254-AI253</f>
        <v>-3279.9481934219675</v>
      </c>
      <c r="AJ288" s="118">
        <f t="shared" si="462"/>
        <v>-4654.8032424231906</v>
      </c>
      <c r="AK288" s="118">
        <f t="shared" si="462"/>
        <v>-6370.2062863667143</v>
      </c>
      <c r="AL288" s="118">
        <f t="shared" si="462"/>
        <v>-8212.0429077498648</v>
      </c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</row>
    <row r="289" spans="1:48" ht="13.5" thickBot="1" x14ac:dyDescent="0.25">
      <c r="A289" s="2"/>
      <c r="B289" s="148" t="s">
        <v>30</v>
      </c>
      <c r="C289" s="18"/>
      <c r="D289" s="18"/>
      <c r="E289" s="18"/>
      <c r="F289" s="18"/>
      <c r="G289" s="18"/>
      <c r="H289" s="18"/>
      <c r="I289" s="18"/>
      <c r="J289" s="127">
        <f t="shared" ref="J289:R289" si="463">J259+J270+J260+J272-J253-J254</f>
        <v>1672.6470000000002</v>
      </c>
      <c r="K289" s="127">
        <f t="shared" si="463"/>
        <v>1877.107</v>
      </c>
      <c r="L289" s="127">
        <f t="shared" si="463"/>
        <v>1772.904</v>
      </c>
      <c r="M289" s="127">
        <f t="shared" si="463"/>
        <v>1597.0490000000002</v>
      </c>
      <c r="N289" s="127">
        <f t="shared" si="463"/>
        <v>1051.7349999999999</v>
      </c>
      <c r="O289" s="127">
        <f t="shared" si="463"/>
        <v>793.51499999999987</v>
      </c>
      <c r="P289" s="127">
        <f t="shared" si="463"/>
        <v>-403</v>
      </c>
      <c r="Q289" s="127">
        <f t="shared" si="463"/>
        <v>2364.9969999999998</v>
      </c>
      <c r="R289" s="127">
        <f t="shared" si="463"/>
        <v>1889.9969999999998</v>
      </c>
      <c r="S289" s="127">
        <f>S259+S270+S260+S272-S253-S254</f>
        <v>2320</v>
      </c>
      <c r="T289" s="127">
        <f>T259+T270+T260+T272-T253-T254</f>
        <v>1074</v>
      </c>
      <c r="U289" s="127">
        <f>U259+U270+U260+U272-U253-U254</f>
        <v>401</v>
      </c>
      <c r="V289" s="127">
        <f>V259+V270+V260+V272-V253-V254</f>
        <v>114</v>
      </c>
      <c r="W289" s="127">
        <f t="shared" ref="W289:Z289" si="464">W259+W270+W260+W271+W272-W253-W254</f>
        <v>-197</v>
      </c>
      <c r="X289" s="127">
        <f t="shared" si="464"/>
        <v>-39</v>
      </c>
      <c r="Y289" s="127">
        <f t="shared" si="464"/>
        <v>468</v>
      </c>
      <c r="Z289" s="127">
        <f t="shared" si="464"/>
        <v>732</v>
      </c>
      <c r="AA289" s="127">
        <f t="shared" ref="AA289:AH289" si="465">AA259+AA270+AA260+AA271+AA272-AA253-AA254</f>
        <v>458</v>
      </c>
      <c r="AB289" s="127">
        <f t="shared" si="465"/>
        <v>-185.50000000000045</v>
      </c>
      <c r="AC289" s="127">
        <f t="shared" si="465"/>
        <v>194.04086662147301</v>
      </c>
      <c r="AD289" s="127">
        <f t="shared" si="465"/>
        <v>891.06448478098673</v>
      </c>
      <c r="AE289" s="127">
        <f t="shared" si="465"/>
        <v>821.19138570513314</v>
      </c>
      <c r="AF289" s="127">
        <f t="shared" si="465"/>
        <v>502.96224891971269</v>
      </c>
      <c r="AG289" s="127">
        <f t="shared" si="465"/>
        <v>-444.89348305345834</v>
      </c>
      <c r="AH289" s="127">
        <f t="shared" si="465"/>
        <v>-1709.9802351101116</v>
      </c>
      <c r="AI289" s="127">
        <f t="shared" ref="AI289:AL289" si="466">AI259+AI270+AI260+AI271+AI272-AI253-AI254</f>
        <v>-2981.9481934219675</v>
      </c>
      <c r="AJ289" s="127">
        <f t="shared" si="466"/>
        <v>-4356.8032424231906</v>
      </c>
      <c r="AK289" s="127">
        <f t="shared" si="466"/>
        <v>-6072.2062863667143</v>
      </c>
      <c r="AL289" s="127">
        <f t="shared" si="466"/>
        <v>-7914.0429077498648</v>
      </c>
      <c r="AM289" s="19"/>
      <c r="AN289" s="19"/>
      <c r="AO289" s="13"/>
      <c r="AP289" s="13"/>
      <c r="AQ289" s="19"/>
      <c r="AR289" s="19"/>
      <c r="AS289" s="19"/>
      <c r="AT289" s="19"/>
      <c r="AU289" s="19"/>
      <c r="AV289" s="19"/>
    </row>
    <row r="290" spans="1:48" ht="13.5" thickTop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11"/>
      <c r="K290" s="11"/>
      <c r="L290" s="11"/>
      <c r="M290" s="11"/>
      <c r="N290" s="73"/>
      <c r="O290" s="11"/>
      <c r="P290" s="11"/>
      <c r="Q290" s="11"/>
      <c r="R290" s="11"/>
      <c r="S290" s="11"/>
      <c r="T290" s="11"/>
      <c r="U290" s="2"/>
      <c r="V290" s="2"/>
      <c r="W290" s="28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O290" s="2"/>
      <c r="AP290" s="2"/>
      <c r="AQ290" s="2"/>
      <c r="AR290" s="2"/>
      <c r="AS290" s="2"/>
      <c r="AT290" s="2"/>
      <c r="AU290" s="2"/>
      <c r="AV290" s="2"/>
    </row>
    <row r="291" spans="1:48" x14ac:dyDescent="0.2">
      <c r="A291" s="2"/>
      <c r="B291" s="2" t="s">
        <v>387</v>
      </c>
      <c r="C291" s="2"/>
      <c r="D291" s="2"/>
      <c r="E291" s="2"/>
      <c r="F291" s="2"/>
      <c r="G291" s="2"/>
      <c r="H291" s="2"/>
      <c r="I291" s="2"/>
      <c r="J291" s="103">
        <f t="shared" ref="J291:Z291" si="467">J256-J286</f>
        <v>0</v>
      </c>
      <c r="K291" s="103">
        <f t="shared" si="467"/>
        <v>0</v>
      </c>
      <c r="L291" s="103">
        <f t="shared" si="467"/>
        <v>0</v>
      </c>
      <c r="M291" s="103">
        <f t="shared" si="467"/>
        <v>0</v>
      </c>
      <c r="N291" s="103">
        <f t="shared" si="467"/>
        <v>0</v>
      </c>
      <c r="O291" s="103">
        <f t="shared" si="467"/>
        <v>0</v>
      </c>
      <c r="P291" s="90">
        <f t="shared" si="467"/>
        <v>0</v>
      </c>
      <c r="Q291" s="90">
        <f t="shared" si="467"/>
        <v>3.0000000006111804E-3</v>
      </c>
      <c r="R291" s="137">
        <f t="shared" si="467"/>
        <v>3.0000000006111804E-3</v>
      </c>
      <c r="S291" s="103">
        <f t="shared" si="467"/>
        <v>0</v>
      </c>
      <c r="T291" s="103">
        <f>T256-T286</f>
        <v>0</v>
      </c>
      <c r="U291" s="90">
        <f t="shared" si="467"/>
        <v>0</v>
      </c>
      <c r="V291" s="90">
        <f t="shared" si="467"/>
        <v>0</v>
      </c>
      <c r="W291" s="90">
        <f t="shared" si="467"/>
        <v>0</v>
      </c>
      <c r="X291" s="90">
        <f>X256-X286</f>
        <v>0</v>
      </c>
      <c r="Y291" s="189">
        <f t="shared" si="467"/>
        <v>0</v>
      </c>
      <c r="Z291" s="90">
        <f t="shared" si="467"/>
        <v>0</v>
      </c>
      <c r="AA291" s="90">
        <f>AA256-AA286</f>
        <v>0</v>
      </c>
      <c r="AB291" s="90">
        <f t="shared" ref="AB291:AH291" si="468">AB256-AB286</f>
        <v>1</v>
      </c>
      <c r="AC291" s="90">
        <f t="shared" si="468"/>
        <v>0.99999999999818101</v>
      </c>
      <c r="AD291" s="90">
        <f t="shared" si="468"/>
        <v>1</v>
      </c>
      <c r="AE291" s="90">
        <f t="shared" si="468"/>
        <v>0.99999999999636202</v>
      </c>
      <c r="AF291" s="90">
        <f t="shared" si="468"/>
        <v>1</v>
      </c>
      <c r="AG291" s="90">
        <f t="shared" si="468"/>
        <v>0.99999999999636202</v>
      </c>
      <c r="AH291" s="90">
        <f t="shared" si="468"/>
        <v>1</v>
      </c>
      <c r="AI291" s="90">
        <f t="shared" ref="AI291:AL291" si="469">AI256-AI286</f>
        <v>0.99999999999636202</v>
      </c>
      <c r="AJ291" s="90">
        <f t="shared" si="469"/>
        <v>1</v>
      </c>
      <c r="AK291" s="90">
        <f t="shared" si="469"/>
        <v>1</v>
      </c>
      <c r="AL291" s="90">
        <f t="shared" si="469"/>
        <v>1.000000000007276</v>
      </c>
      <c r="AO291" s="2"/>
      <c r="AP291" s="2"/>
      <c r="AQ291" s="2"/>
      <c r="AR291" s="2"/>
      <c r="AS291" s="2"/>
      <c r="AT291" s="2"/>
      <c r="AU291" s="2"/>
      <c r="AV291" s="2"/>
    </row>
    <row r="292" spans="1:48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6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O292" s="2"/>
      <c r="AP292" s="2"/>
      <c r="AQ292" s="2"/>
      <c r="AR292" s="2"/>
      <c r="AS292" s="2"/>
      <c r="AT292" s="2"/>
      <c r="AU292" s="2"/>
      <c r="AV292" s="2"/>
    </row>
    <row r="293" spans="1:48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O293" s="2"/>
      <c r="AP293" s="2"/>
      <c r="AQ293" s="2"/>
      <c r="AR293" s="2"/>
      <c r="AS293" s="2"/>
      <c r="AT293" s="2"/>
      <c r="AU293" s="2"/>
      <c r="AV293" s="2"/>
    </row>
    <row r="294" spans="1:48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O294" s="2"/>
      <c r="AP294" s="2"/>
      <c r="AQ294" s="2"/>
      <c r="AR294" s="2"/>
      <c r="AS294" s="2"/>
      <c r="AT294" s="2"/>
      <c r="AU294" s="2"/>
      <c r="AV294" s="2"/>
    </row>
    <row r="295" spans="1:48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O295" s="2"/>
      <c r="AP295" s="2"/>
      <c r="AQ295" s="2"/>
      <c r="AR295" s="2"/>
      <c r="AS295" s="2"/>
      <c r="AT295" s="2"/>
      <c r="AU295" s="2"/>
      <c r="AV295" s="2"/>
    </row>
    <row r="296" spans="1:48" x14ac:dyDescent="0.2">
      <c r="A296" s="2"/>
      <c r="B296" s="3" t="s">
        <v>396</v>
      </c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O296" s="2"/>
      <c r="AP296" s="2"/>
      <c r="AQ296" s="2"/>
      <c r="AR296" s="2"/>
      <c r="AS296" s="2"/>
      <c r="AT296" s="2"/>
      <c r="AU296" s="2"/>
      <c r="AV296" s="2"/>
    </row>
    <row r="297" spans="1:48" x14ac:dyDescent="0.2">
      <c r="A297" s="2"/>
      <c r="B297" s="3" t="str">
        <f>+$B$5</f>
        <v>€ Millions, Yr end December</v>
      </c>
      <c r="C297" s="3">
        <f t="shared" ref="C297:Q297" si="470">C5</f>
        <v>1992</v>
      </c>
      <c r="D297" s="3">
        <f t="shared" si="470"/>
        <v>1993</v>
      </c>
      <c r="E297" s="3">
        <f t="shared" si="470"/>
        <v>1994</v>
      </c>
      <c r="F297" s="3">
        <f t="shared" si="470"/>
        <v>1995</v>
      </c>
      <c r="G297" s="3">
        <f t="shared" si="470"/>
        <v>1996</v>
      </c>
      <c r="H297" s="3">
        <f t="shared" si="470"/>
        <v>1997</v>
      </c>
      <c r="I297" s="3">
        <f t="shared" si="470"/>
        <v>1998</v>
      </c>
      <c r="J297" s="3">
        <f t="shared" si="470"/>
        <v>1999</v>
      </c>
      <c r="K297" s="3">
        <f t="shared" si="470"/>
        <v>2000</v>
      </c>
      <c r="L297" s="3">
        <f t="shared" si="470"/>
        <v>2001</v>
      </c>
      <c r="M297" s="3">
        <f t="shared" si="470"/>
        <v>2002</v>
      </c>
      <c r="N297" s="3">
        <f t="shared" si="470"/>
        <v>2003</v>
      </c>
      <c r="O297" s="3">
        <f t="shared" si="470"/>
        <v>2004</v>
      </c>
      <c r="P297" s="3">
        <f t="shared" si="470"/>
        <v>2005</v>
      </c>
      <c r="Q297" s="3">
        <f t="shared" si="470"/>
        <v>2006</v>
      </c>
      <c r="R297" s="84">
        <f>Q297+1</f>
        <v>2007</v>
      </c>
      <c r="S297" s="84">
        <f>R297+1</f>
        <v>2008</v>
      </c>
      <c r="T297" s="84">
        <f>S297+1</f>
        <v>2009</v>
      </c>
      <c r="U297" s="84">
        <f t="shared" ref="U297:AH297" si="471">U5</f>
        <v>2010</v>
      </c>
      <c r="V297" s="84">
        <f t="shared" si="471"/>
        <v>2011</v>
      </c>
      <c r="W297" s="84">
        <f t="shared" si="471"/>
        <v>2012</v>
      </c>
      <c r="X297" s="84">
        <f t="shared" si="471"/>
        <v>2013</v>
      </c>
      <c r="Y297" s="84">
        <f t="shared" si="471"/>
        <v>2014</v>
      </c>
      <c r="Z297" s="84">
        <f t="shared" si="471"/>
        <v>2015</v>
      </c>
      <c r="AA297" s="84">
        <f t="shared" si="471"/>
        <v>2016</v>
      </c>
      <c r="AB297" s="84">
        <f t="shared" si="471"/>
        <v>2017</v>
      </c>
      <c r="AC297" s="49">
        <f t="shared" si="471"/>
        <v>2018</v>
      </c>
      <c r="AD297" s="49">
        <f t="shared" si="471"/>
        <v>2019</v>
      </c>
      <c r="AE297" s="49">
        <f t="shared" si="471"/>
        <v>2020</v>
      </c>
      <c r="AF297" s="49">
        <f t="shared" si="471"/>
        <v>2021</v>
      </c>
      <c r="AG297" s="49">
        <f t="shared" si="471"/>
        <v>2022</v>
      </c>
      <c r="AH297" s="49">
        <f t="shared" si="471"/>
        <v>2023</v>
      </c>
      <c r="AI297" s="49">
        <f t="shared" ref="AI297:AL297" si="472">AI5</f>
        <v>2024</v>
      </c>
      <c r="AJ297" s="49">
        <f t="shared" si="472"/>
        <v>2025</v>
      </c>
      <c r="AK297" s="49">
        <f t="shared" si="472"/>
        <v>2026</v>
      </c>
      <c r="AL297" s="49">
        <f t="shared" si="472"/>
        <v>2027</v>
      </c>
      <c r="AO297" s="2"/>
      <c r="AP297" s="2"/>
      <c r="AQ297" s="2"/>
      <c r="AR297" s="2"/>
      <c r="AS297" s="2"/>
      <c r="AT297" s="2"/>
      <c r="AU297" s="2"/>
      <c r="AV297" s="2"/>
    </row>
    <row r="298" spans="1:48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O298" s="2"/>
      <c r="AP298" s="2"/>
      <c r="AQ298" s="2"/>
      <c r="AR298" s="2"/>
      <c r="AS298" s="2"/>
      <c r="AT298" s="2"/>
      <c r="AU298" s="2"/>
      <c r="AV298" s="2"/>
    </row>
    <row r="299" spans="1:48" x14ac:dyDescent="0.2">
      <c r="A299" s="2"/>
      <c r="B299" s="25" t="s">
        <v>389</v>
      </c>
      <c r="C299" s="26">
        <f t="shared" ref="C299:AH299" si="473">C5</f>
        <v>1992</v>
      </c>
      <c r="D299" s="26">
        <f t="shared" si="473"/>
        <v>1993</v>
      </c>
      <c r="E299" s="26">
        <f t="shared" si="473"/>
        <v>1994</v>
      </c>
      <c r="F299" s="26">
        <f t="shared" si="473"/>
        <v>1995</v>
      </c>
      <c r="G299" s="26">
        <f t="shared" si="473"/>
        <v>1996</v>
      </c>
      <c r="H299" s="26">
        <f t="shared" si="473"/>
        <v>1997</v>
      </c>
      <c r="I299" s="26">
        <f t="shared" si="473"/>
        <v>1998</v>
      </c>
      <c r="J299" s="26">
        <f t="shared" si="473"/>
        <v>1999</v>
      </c>
      <c r="K299" s="26">
        <f t="shared" si="473"/>
        <v>2000</v>
      </c>
      <c r="L299" s="26">
        <f t="shared" si="473"/>
        <v>2001</v>
      </c>
      <c r="M299" s="26">
        <f t="shared" si="473"/>
        <v>2002</v>
      </c>
      <c r="N299" s="26">
        <f t="shared" si="473"/>
        <v>2003</v>
      </c>
      <c r="O299" s="26">
        <f t="shared" si="473"/>
        <v>2004</v>
      </c>
      <c r="P299" s="26">
        <f t="shared" si="473"/>
        <v>2005</v>
      </c>
      <c r="Q299" s="26">
        <f t="shared" si="473"/>
        <v>2006</v>
      </c>
      <c r="R299" s="99">
        <f t="shared" si="473"/>
        <v>2007</v>
      </c>
      <c r="S299" s="99">
        <f t="shared" si="473"/>
        <v>2008</v>
      </c>
      <c r="T299" s="99">
        <f t="shared" si="473"/>
        <v>2009</v>
      </c>
      <c r="U299" s="26">
        <f t="shared" si="473"/>
        <v>2010</v>
      </c>
      <c r="V299" s="26">
        <f t="shared" si="473"/>
        <v>2011</v>
      </c>
      <c r="W299" s="26">
        <f t="shared" si="473"/>
        <v>2012</v>
      </c>
      <c r="X299" s="26">
        <f t="shared" si="473"/>
        <v>2013</v>
      </c>
      <c r="Y299" s="26">
        <f t="shared" si="473"/>
        <v>2014</v>
      </c>
      <c r="Z299" s="26">
        <f t="shared" si="473"/>
        <v>2015</v>
      </c>
      <c r="AA299" s="26">
        <f t="shared" si="473"/>
        <v>2016</v>
      </c>
      <c r="AB299" s="50">
        <f t="shared" si="473"/>
        <v>2017</v>
      </c>
      <c r="AC299" s="50">
        <f t="shared" si="473"/>
        <v>2018</v>
      </c>
      <c r="AD299" s="50">
        <f t="shared" si="473"/>
        <v>2019</v>
      </c>
      <c r="AE299" s="50">
        <f t="shared" si="473"/>
        <v>2020</v>
      </c>
      <c r="AF299" s="50">
        <f t="shared" si="473"/>
        <v>2021</v>
      </c>
      <c r="AG299" s="50">
        <f t="shared" si="473"/>
        <v>2022</v>
      </c>
      <c r="AH299" s="50">
        <f t="shared" si="473"/>
        <v>2023</v>
      </c>
      <c r="AI299" s="50">
        <f t="shared" ref="AI299:AL299" si="474">AI5</f>
        <v>2024</v>
      </c>
      <c r="AJ299" s="50">
        <f t="shared" si="474"/>
        <v>2025</v>
      </c>
      <c r="AK299" s="50">
        <f t="shared" si="474"/>
        <v>2026</v>
      </c>
      <c r="AL299" s="50">
        <f t="shared" si="474"/>
        <v>2027</v>
      </c>
      <c r="AO299" s="2"/>
      <c r="AP299" s="2"/>
      <c r="AQ299" s="2"/>
      <c r="AR299" s="2"/>
      <c r="AS299" s="2"/>
      <c r="AT299" s="2"/>
      <c r="AU299" s="2"/>
      <c r="AV299" s="2"/>
    </row>
    <row r="300" spans="1:48" x14ac:dyDescent="0.2">
      <c r="A300" s="2"/>
      <c r="B300" s="2" t="s">
        <v>390</v>
      </c>
      <c r="C300" s="2"/>
      <c r="D300" s="2"/>
      <c r="E300" s="2"/>
      <c r="F300" s="2"/>
      <c r="G300" s="2"/>
      <c r="H300" s="2"/>
      <c r="I300" s="2"/>
      <c r="J300" s="6">
        <f>J254</f>
        <v>69.108000000000004</v>
      </c>
      <c r="K300" s="6">
        <f>K254</f>
        <v>104.706</v>
      </c>
      <c r="L300" s="6">
        <f>L254</f>
        <v>84.995000000000005</v>
      </c>
      <c r="M300" s="6">
        <f>M254</f>
        <v>67.454999999999998</v>
      </c>
      <c r="N300" s="6">
        <f>N254</f>
        <v>189.50299999999999</v>
      </c>
      <c r="O300" s="6">
        <f t="shared" ref="O300:Z300" si="475">O254</f>
        <v>195.99700000000001</v>
      </c>
      <c r="P300" s="6">
        <f t="shared" si="475"/>
        <v>1525</v>
      </c>
      <c r="Q300" s="6">
        <f t="shared" si="475"/>
        <v>311</v>
      </c>
      <c r="R300" s="14">
        <f t="shared" si="475"/>
        <v>295</v>
      </c>
      <c r="S300" s="14">
        <f>S254</f>
        <v>244</v>
      </c>
      <c r="T300" s="14">
        <f t="shared" si="475"/>
        <v>775</v>
      </c>
      <c r="U300" s="14">
        <f t="shared" si="475"/>
        <v>1156</v>
      </c>
      <c r="V300" s="14">
        <f t="shared" si="475"/>
        <v>906</v>
      </c>
      <c r="W300" s="14">
        <f t="shared" si="475"/>
        <v>1670</v>
      </c>
      <c r="X300" s="14">
        <f t="shared" si="475"/>
        <v>1587</v>
      </c>
      <c r="Y300" s="14">
        <f t="shared" si="475"/>
        <v>1683</v>
      </c>
      <c r="Z300" s="14">
        <f t="shared" si="475"/>
        <v>1365</v>
      </c>
      <c r="AA300" s="14">
        <f t="shared" ref="AA300:AH300" si="476">AA254</f>
        <v>1510</v>
      </c>
      <c r="AB300" s="14">
        <f t="shared" si="476"/>
        <v>1598.5000000000005</v>
      </c>
      <c r="AC300" s="14">
        <f t="shared" si="476"/>
        <v>1218.959133378527</v>
      </c>
      <c r="AD300" s="14">
        <f t="shared" si="476"/>
        <v>521.93551521901327</v>
      </c>
      <c r="AE300" s="14">
        <f t="shared" si="476"/>
        <v>591.80861429486686</v>
      </c>
      <c r="AF300" s="14">
        <f t="shared" si="476"/>
        <v>910.03775108028731</v>
      </c>
      <c r="AG300" s="14">
        <f t="shared" si="476"/>
        <v>1857.8934830534583</v>
      </c>
      <c r="AH300" s="14">
        <f t="shared" si="476"/>
        <v>3122.9802351101116</v>
      </c>
      <c r="AI300" s="14">
        <f t="shared" ref="AI300:AL300" si="477">AI254</f>
        <v>4394.9481934219675</v>
      </c>
      <c r="AJ300" s="14">
        <f t="shared" si="477"/>
        <v>5769.8032424231906</v>
      </c>
      <c r="AK300" s="14">
        <f t="shared" si="477"/>
        <v>7485.2062863667143</v>
      </c>
      <c r="AL300" s="14">
        <f t="shared" si="477"/>
        <v>9327.0429077498648</v>
      </c>
      <c r="AO300" s="2"/>
      <c r="AP300" s="2"/>
      <c r="AQ300" s="2"/>
      <c r="AR300" s="2"/>
      <c r="AS300" s="2"/>
      <c r="AT300" s="2"/>
      <c r="AU300" s="2"/>
      <c r="AV300" s="2"/>
    </row>
    <row r="301" spans="1:48" x14ac:dyDescent="0.2">
      <c r="A301" s="2"/>
      <c r="B301" s="2" t="s">
        <v>360</v>
      </c>
      <c r="C301" s="2"/>
      <c r="D301" s="2"/>
      <c r="E301" s="2"/>
      <c r="F301" s="2"/>
      <c r="G301" s="2"/>
      <c r="H301" s="2"/>
      <c r="I301" s="2"/>
      <c r="J301" s="6">
        <f t="shared" ref="J301:R301" si="478">J259+J270</f>
        <v>1661.4880000000001</v>
      </c>
      <c r="K301" s="6">
        <f t="shared" si="478"/>
        <v>1896.7919999999999</v>
      </c>
      <c r="L301" s="6">
        <f t="shared" si="478"/>
        <v>1765.8109999999999</v>
      </c>
      <c r="M301" s="6">
        <f t="shared" si="478"/>
        <v>1574.046</v>
      </c>
      <c r="N301" s="6">
        <f t="shared" si="478"/>
        <v>1225.385</v>
      </c>
      <c r="O301" s="6">
        <f t="shared" si="478"/>
        <v>1119.7860000000001</v>
      </c>
      <c r="P301" s="6">
        <f t="shared" si="478"/>
        <v>1035</v>
      </c>
      <c r="Q301" s="6">
        <f t="shared" si="478"/>
        <v>2578</v>
      </c>
      <c r="R301" s="6">
        <f t="shared" si="478"/>
        <v>2146</v>
      </c>
      <c r="S301" s="6">
        <f>S259+S260+S270</f>
        <v>2573</v>
      </c>
      <c r="T301" s="6">
        <f>T259+T260+T270</f>
        <v>1767</v>
      </c>
      <c r="U301" s="6">
        <f>U259+U260+U270</f>
        <v>1610</v>
      </c>
      <c r="V301" s="6">
        <f>V259+V260+V270</f>
        <v>1280</v>
      </c>
      <c r="W301" s="6">
        <f t="shared" ref="W301:AC301" si="479">W259+W260+W270+W271</f>
        <v>1487</v>
      </c>
      <c r="X301" s="6">
        <f t="shared" si="479"/>
        <v>1334</v>
      </c>
      <c r="Y301" s="6">
        <f t="shared" si="479"/>
        <v>1872</v>
      </c>
      <c r="Z301" s="6">
        <f t="shared" si="479"/>
        <v>1829</v>
      </c>
      <c r="AA301" s="6">
        <f t="shared" si="479"/>
        <v>1618</v>
      </c>
      <c r="AB301" s="6">
        <f t="shared" si="479"/>
        <v>1120</v>
      </c>
      <c r="AC301" s="6">
        <f t="shared" si="479"/>
        <v>1120</v>
      </c>
      <c r="AD301" s="6">
        <f t="shared" ref="AD301:AL301" si="480">AD259+AD260+AD270+AD271</f>
        <v>1120</v>
      </c>
      <c r="AE301" s="6">
        <f t="shared" si="480"/>
        <v>1120</v>
      </c>
      <c r="AF301" s="6">
        <f t="shared" si="480"/>
        <v>1120</v>
      </c>
      <c r="AG301" s="6">
        <f t="shared" si="480"/>
        <v>1120</v>
      </c>
      <c r="AH301" s="6">
        <f t="shared" si="480"/>
        <v>1120</v>
      </c>
      <c r="AI301" s="6">
        <f t="shared" si="480"/>
        <v>1120</v>
      </c>
      <c r="AJ301" s="6">
        <f t="shared" si="480"/>
        <v>1120</v>
      </c>
      <c r="AK301" s="6">
        <f t="shared" si="480"/>
        <v>1120</v>
      </c>
      <c r="AL301" s="6">
        <f t="shared" si="480"/>
        <v>1120</v>
      </c>
      <c r="AO301" s="2"/>
      <c r="AP301" s="2"/>
      <c r="AQ301" s="2"/>
      <c r="AR301" s="2"/>
      <c r="AS301" s="2"/>
      <c r="AT301" s="2"/>
      <c r="AU301" s="2"/>
      <c r="AV301" s="2"/>
    </row>
    <row r="302" spans="1:48" x14ac:dyDescent="0.2">
      <c r="A302" s="2"/>
      <c r="B302" s="2" t="s">
        <v>391</v>
      </c>
      <c r="C302" s="2"/>
      <c r="D302" s="2"/>
      <c r="E302" s="2"/>
      <c r="F302" s="2"/>
      <c r="G302" s="2"/>
      <c r="H302" s="2"/>
      <c r="I302" s="2"/>
      <c r="J302" s="6">
        <f>J301-J300</f>
        <v>1592.38</v>
      </c>
      <c r="K302" s="6">
        <f>K301-K300</f>
        <v>1792.086</v>
      </c>
      <c r="L302" s="6">
        <f t="shared" ref="L302:X302" si="481">L301-L300</f>
        <v>1680.8159999999998</v>
      </c>
      <c r="M302" s="6">
        <f t="shared" si="481"/>
        <v>1506.5910000000001</v>
      </c>
      <c r="N302" s="6">
        <f t="shared" si="481"/>
        <v>1035.8820000000001</v>
      </c>
      <c r="O302" s="6">
        <f t="shared" si="481"/>
        <v>923.78899999999999</v>
      </c>
      <c r="P302" s="6">
        <f t="shared" si="481"/>
        <v>-490</v>
      </c>
      <c r="Q302" s="6">
        <f t="shared" si="481"/>
        <v>2267</v>
      </c>
      <c r="R302" s="6">
        <f>R301-R300</f>
        <v>1851</v>
      </c>
      <c r="S302" s="6">
        <f t="shared" si="481"/>
        <v>2329</v>
      </c>
      <c r="T302" s="6">
        <f t="shared" si="481"/>
        <v>992</v>
      </c>
      <c r="U302" s="6">
        <f t="shared" si="481"/>
        <v>454</v>
      </c>
      <c r="V302" s="6">
        <f t="shared" si="481"/>
        <v>374</v>
      </c>
      <c r="W302" s="6">
        <f>W301-W300</f>
        <v>-183</v>
      </c>
      <c r="X302" s="6">
        <f t="shared" si="481"/>
        <v>-253</v>
      </c>
      <c r="Y302" s="6">
        <f t="shared" ref="Y302:AH302" si="482">Y301-Y300</f>
        <v>189</v>
      </c>
      <c r="Z302" s="6">
        <f t="shared" si="482"/>
        <v>464</v>
      </c>
      <c r="AA302" s="6">
        <f t="shared" si="482"/>
        <v>108</v>
      </c>
      <c r="AB302" s="6">
        <f t="shared" si="482"/>
        <v>-478.50000000000045</v>
      </c>
      <c r="AC302" s="6">
        <f t="shared" si="482"/>
        <v>-98.959133378526985</v>
      </c>
      <c r="AD302" s="6">
        <f t="shared" si="482"/>
        <v>598.06448478098673</v>
      </c>
      <c r="AE302" s="6">
        <f t="shared" si="482"/>
        <v>528.19138570513314</v>
      </c>
      <c r="AF302" s="6">
        <f t="shared" si="482"/>
        <v>209.96224891971269</v>
      </c>
      <c r="AG302" s="6">
        <f t="shared" si="482"/>
        <v>-737.89348305345834</v>
      </c>
      <c r="AH302" s="6">
        <f t="shared" si="482"/>
        <v>-2002.9802351101116</v>
      </c>
      <c r="AI302" s="6">
        <f t="shared" ref="AI302:AL302" si="483">AI301-AI300</f>
        <v>-3274.9481934219675</v>
      </c>
      <c r="AJ302" s="6">
        <f t="shared" si="483"/>
        <v>-4649.8032424231906</v>
      </c>
      <c r="AK302" s="6">
        <f t="shared" si="483"/>
        <v>-6365.2062863667143</v>
      </c>
      <c r="AL302" s="6">
        <f t="shared" si="483"/>
        <v>-8207.0429077498648</v>
      </c>
      <c r="AO302" s="2"/>
      <c r="AP302" s="2"/>
      <c r="AQ302" s="2"/>
      <c r="AR302" s="2"/>
      <c r="AS302" s="2"/>
      <c r="AT302" s="2"/>
      <c r="AU302" s="2"/>
      <c r="AV302" s="2"/>
    </row>
    <row r="303" spans="1:48" x14ac:dyDescent="0.2">
      <c r="A303" s="2"/>
      <c r="B303" s="2" t="s">
        <v>332</v>
      </c>
      <c r="C303" s="2"/>
      <c r="D303" s="2"/>
      <c r="E303" s="2"/>
      <c r="F303" s="2"/>
      <c r="G303" s="2"/>
      <c r="H303" s="2"/>
      <c r="I303" s="2"/>
      <c r="J303" s="6">
        <f t="shared" ref="J303:AA303" si="484">+J119</f>
        <v>7.2839999999999998</v>
      </c>
      <c r="K303" s="6">
        <f t="shared" si="484"/>
        <v>12.612</v>
      </c>
      <c r="L303" s="6">
        <f t="shared" si="484"/>
        <v>11.727</v>
      </c>
      <c r="M303" s="6">
        <f t="shared" si="484"/>
        <v>8.7910000000000004</v>
      </c>
      <c r="N303" s="6">
        <f t="shared" si="484"/>
        <v>9.06</v>
      </c>
      <c r="O303" s="6">
        <f t="shared" si="484"/>
        <v>13.285</v>
      </c>
      <c r="P303" s="6">
        <f t="shared" si="484"/>
        <v>36</v>
      </c>
      <c r="Q303" s="6">
        <f t="shared" si="484"/>
        <v>37</v>
      </c>
      <c r="R303" s="6">
        <f t="shared" si="484"/>
        <v>27</v>
      </c>
      <c r="S303" s="6">
        <f t="shared" si="484"/>
        <v>37</v>
      </c>
      <c r="T303" s="6">
        <f t="shared" si="484"/>
        <v>19</v>
      </c>
      <c r="U303" s="6">
        <f t="shared" si="484"/>
        <v>25</v>
      </c>
      <c r="V303" s="6">
        <f t="shared" si="484"/>
        <v>31</v>
      </c>
      <c r="W303" s="6">
        <f t="shared" si="484"/>
        <v>36</v>
      </c>
      <c r="X303" s="6">
        <f t="shared" si="484"/>
        <v>26</v>
      </c>
      <c r="Y303" s="6">
        <f t="shared" si="484"/>
        <v>19</v>
      </c>
      <c r="Z303" s="6">
        <f t="shared" si="484"/>
        <v>46</v>
      </c>
      <c r="AA303" s="6">
        <f t="shared" si="484"/>
        <v>28</v>
      </c>
      <c r="AB303" s="6">
        <f t="shared" ref="AB303:AL303" ca="1" si="485">AA300*(AB304/100)</f>
        <v>2.0069505512248906E-92</v>
      </c>
      <c r="AC303" s="6">
        <f t="shared" si="485"/>
        <v>47.955000000000013</v>
      </c>
      <c r="AD303" s="6">
        <f t="shared" si="485"/>
        <v>24.379182667570539</v>
      </c>
      <c r="AE303" s="6">
        <f t="shared" si="485"/>
        <v>10.438710304380265</v>
      </c>
      <c r="AF303" s="6">
        <f t="shared" si="485"/>
        <v>11.836172285897337</v>
      </c>
      <c r="AG303" s="6">
        <f t="shared" si="485"/>
        <v>18.200755021605747</v>
      </c>
      <c r="AH303" s="6">
        <f t="shared" si="485"/>
        <v>37.157869661069171</v>
      </c>
      <c r="AI303" s="6">
        <f t="shared" si="485"/>
        <v>62.459604702202235</v>
      </c>
      <c r="AJ303" s="6">
        <f t="shared" si="485"/>
        <v>87.898963868439353</v>
      </c>
      <c r="AK303" s="6">
        <f t="shared" si="485"/>
        <v>115.39606484846381</v>
      </c>
      <c r="AL303" s="6">
        <f t="shared" si="485"/>
        <v>149.70412572733429</v>
      </c>
      <c r="AO303" s="2"/>
      <c r="AP303" s="2"/>
      <c r="AQ303" s="2"/>
      <c r="AR303" s="2"/>
      <c r="AS303" s="2"/>
      <c r="AT303" s="2"/>
      <c r="AU303" s="2"/>
      <c r="AV303" s="2"/>
    </row>
    <row r="304" spans="1:48" x14ac:dyDescent="0.2">
      <c r="A304" s="2"/>
      <c r="B304" s="2" t="s">
        <v>392</v>
      </c>
      <c r="C304" s="2"/>
      <c r="D304" s="2"/>
      <c r="E304" s="2"/>
      <c r="F304" s="2"/>
      <c r="G304" s="2"/>
      <c r="H304" s="2"/>
      <c r="I304" s="2"/>
      <c r="J304" s="6">
        <f t="shared" ref="J304:W304" si="486">J303/AVERAGE(I300:J300%)</f>
        <v>10.540024309776003</v>
      </c>
      <c r="K304" s="6">
        <f t="shared" si="486"/>
        <v>12.045155005443814</v>
      </c>
      <c r="L304" s="6">
        <f t="shared" si="486"/>
        <v>13.797282193070179</v>
      </c>
      <c r="M304" s="6">
        <f t="shared" si="486"/>
        <v>13.032391965013714</v>
      </c>
      <c r="N304" s="6">
        <f t="shared" si="486"/>
        <v>4.7809269510245231</v>
      </c>
      <c r="O304" s="6">
        <f t="shared" si="486"/>
        <v>6.778164971912835</v>
      </c>
      <c r="P304" s="6">
        <f t="shared" si="486"/>
        <v>2.360655737704918</v>
      </c>
      <c r="Q304" s="6">
        <f t="shared" si="486"/>
        <v>11.89710610932476</v>
      </c>
      <c r="R304" s="6">
        <f t="shared" si="486"/>
        <v>9.1525423728813546</v>
      </c>
      <c r="S304" s="6">
        <f t="shared" si="486"/>
        <v>15.163934426229508</v>
      </c>
      <c r="T304" s="6">
        <f t="shared" si="486"/>
        <v>2.4516129032258065</v>
      </c>
      <c r="U304" s="6">
        <f t="shared" si="486"/>
        <v>2.1626297577854672</v>
      </c>
      <c r="V304" s="6">
        <f t="shared" si="486"/>
        <v>3.4216335540838849</v>
      </c>
      <c r="W304" s="6">
        <f t="shared" si="486"/>
        <v>2.1556886227544911</v>
      </c>
      <c r="X304" s="6">
        <f>X303/AVERAGE(W300:X300%)</f>
        <v>1.6383112791430372</v>
      </c>
      <c r="Y304" s="6">
        <f>Y303/AVERAGE(X300:Y300%)</f>
        <v>1.1289364230540702</v>
      </c>
      <c r="Z304" s="6">
        <f>Z303/AVERAGE(Y300:Z300%)</f>
        <v>3.36996336996337</v>
      </c>
      <c r="AA304" s="6">
        <f>AA303/AVERAGE(Z300:AA300%)</f>
        <v>1.8543046357615895</v>
      </c>
      <c r="AB304" s="6">
        <f ca="1">AB303/AVERAGE(AA300:AB300%)</f>
        <v>1.2555211455895465E-93</v>
      </c>
      <c r="AC304" s="24">
        <v>3</v>
      </c>
      <c r="AD304" s="24">
        <v>2</v>
      </c>
      <c r="AE304" s="24">
        <f t="shared" ref="AE304:AL304" si="487">AD304</f>
        <v>2</v>
      </c>
      <c r="AF304" s="24">
        <f t="shared" si="487"/>
        <v>2</v>
      </c>
      <c r="AG304" s="24">
        <f t="shared" si="487"/>
        <v>2</v>
      </c>
      <c r="AH304" s="24">
        <f t="shared" si="487"/>
        <v>2</v>
      </c>
      <c r="AI304" s="24">
        <f t="shared" si="487"/>
        <v>2</v>
      </c>
      <c r="AJ304" s="24">
        <f t="shared" si="487"/>
        <v>2</v>
      </c>
      <c r="AK304" s="24">
        <f t="shared" si="487"/>
        <v>2</v>
      </c>
      <c r="AL304" s="24">
        <f t="shared" si="487"/>
        <v>2</v>
      </c>
      <c r="AO304" s="2"/>
      <c r="AP304" s="2"/>
      <c r="AQ304" s="2"/>
      <c r="AR304" s="2"/>
      <c r="AS304" s="2"/>
      <c r="AT304" s="2"/>
      <c r="AU304" s="2"/>
      <c r="AV304" s="2"/>
    </row>
    <row r="305" spans="1:48" x14ac:dyDescent="0.2">
      <c r="A305" s="2"/>
      <c r="B305" s="2" t="s">
        <v>333</v>
      </c>
      <c r="C305" s="2"/>
      <c r="D305" s="2"/>
      <c r="E305" s="2"/>
      <c r="F305" s="2"/>
      <c r="G305" s="2"/>
      <c r="H305" s="2"/>
      <c r="I305" s="2"/>
      <c r="J305" s="6">
        <f t="shared" ref="J305:AA305" si="488">+J120</f>
        <v>-84.933000000000007</v>
      </c>
      <c r="K305" s="6">
        <f t="shared" si="488"/>
        <v>-108.517</v>
      </c>
      <c r="L305" s="6">
        <f t="shared" si="488"/>
        <v>-107.77200000000001</v>
      </c>
      <c r="M305" s="6">
        <f t="shared" si="488"/>
        <v>-81.567999999999998</v>
      </c>
      <c r="N305" s="6">
        <f t="shared" si="488"/>
        <v>-67.884</v>
      </c>
      <c r="O305" s="6">
        <f t="shared" si="488"/>
        <v>-70.563999999999993</v>
      </c>
      <c r="P305" s="6">
        <f t="shared" si="488"/>
        <v>-74</v>
      </c>
      <c r="Q305" s="6">
        <f t="shared" si="488"/>
        <v>-184</v>
      </c>
      <c r="R305" s="6">
        <f t="shared" si="488"/>
        <v>-164</v>
      </c>
      <c r="S305" s="6">
        <f t="shared" si="488"/>
        <v>-178</v>
      </c>
      <c r="T305" s="6">
        <f t="shared" si="488"/>
        <v>-138</v>
      </c>
      <c r="U305" s="6">
        <f t="shared" si="488"/>
        <v>-112</v>
      </c>
      <c r="V305" s="6">
        <f t="shared" si="488"/>
        <v>-108</v>
      </c>
      <c r="W305" s="6">
        <f t="shared" si="488"/>
        <v>-105</v>
      </c>
      <c r="X305" s="6">
        <f t="shared" si="488"/>
        <v>-94</v>
      </c>
      <c r="Y305" s="6">
        <f t="shared" si="488"/>
        <v>-67</v>
      </c>
      <c r="Z305" s="6">
        <f t="shared" si="488"/>
        <v>-67</v>
      </c>
      <c r="AA305" s="6">
        <f t="shared" si="488"/>
        <v>-74</v>
      </c>
      <c r="AB305" s="6">
        <f t="shared" ref="AB305" si="489">+AB120</f>
        <v>-93</v>
      </c>
      <c r="AC305" s="14">
        <f t="shared" ref="AC305:AL305" si="490">-(AC306/100)*AVERAGE(AB301:AC301)</f>
        <v>-52.64</v>
      </c>
      <c r="AD305" s="14">
        <f t="shared" si="490"/>
        <v>-51.52000000000001</v>
      </c>
      <c r="AE305" s="14">
        <f t="shared" si="490"/>
        <v>-50.400000000000013</v>
      </c>
      <c r="AF305" s="14">
        <f t="shared" si="490"/>
        <v>-50.400000000000013</v>
      </c>
      <c r="AG305" s="14">
        <f t="shared" si="490"/>
        <v>-50.400000000000013</v>
      </c>
      <c r="AH305" s="14">
        <f t="shared" si="490"/>
        <v>-50.400000000000013</v>
      </c>
      <c r="AI305" s="14">
        <f t="shared" si="490"/>
        <v>-50.400000000000013</v>
      </c>
      <c r="AJ305" s="14">
        <f t="shared" si="490"/>
        <v>-50.400000000000013</v>
      </c>
      <c r="AK305" s="14">
        <f t="shared" si="490"/>
        <v>-50.400000000000013</v>
      </c>
      <c r="AL305" s="14">
        <f t="shared" si="490"/>
        <v>-50.400000000000013</v>
      </c>
      <c r="AO305" s="2"/>
      <c r="AP305" s="2"/>
      <c r="AQ305" s="2"/>
      <c r="AR305" s="2"/>
      <c r="AS305" s="2"/>
      <c r="AT305" s="2"/>
      <c r="AU305" s="2"/>
      <c r="AV305" s="2"/>
    </row>
    <row r="306" spans="1:48" x14ac:dyDescent="0.2">
      <c r="A306" s="2"/>
      <c r="B306" s="2" t="s">
        <v>393</v>
      </c>
      <c r="C306" s="2"/>
      <c r="D306" s="2"/>
      <c r="E306" s="2"/>
      <c r="F306" s="2"/>
      <c r="G306" s="2"/>
      <c r="H306" s="2"/>
      <c r="I306" s="2"/>
      <c r="J306" s="6">
        <f t="shared" ref="J306:W306" si="491">-J305/AVERAGE(I301:J301)%</f>
        <v>5.1118635825236183</v>
      </c>
      <c r="K306" s="6">
        <f t="shared" si="491"/>
        <v>6.0994075789426354</v>
      </c>
      <c r="L306" s="6">
        <f t="shared" si="491"/>
        <v>5.8849949066278819</v>
      </c>
      <c r="M306" s="6">
        <f t="shared" si="491"/>
        <v>4.8845205049198217</v>
      </c>
      <c r="N306" s="6">
        <f t="shared" si="491"/>
        <v>4.8498427001772866</v>
      </c>
      <c r="O306" s="6">
        <f t="shared" si="491"/>
        <v>6.0178127735674698</v>
      </c>
      <c r="P306" s="6">
        <f t="shared" si="491"/>
        <v>6.8684314822910491</v>
      </c>
      <c r="Q306" s="6">
        <f t="shared" si="491"/>
        <v>10.185441461389427</v>
      </c>
      <c r="R306" s="14">
        <f t="shared" si="491"/>
        <v>6.9432684165961049</v>
      </c>
      <c r="S306" s="14">
        <f t="shared" si="491"/>
        <v>7.5439711803348173</v>
      </c>
      <c r="T306" s="14">
        <f t="shared" si="491"/>
        <v>6.3594470046082954</v>
      </c>
      <c r="U306" s="14">
        <f t="shared" si="491"/>
        <v>6.6331063073734073</v>
      </c>
      <c r="V306" s="14">
        <f t="shared" si="491"/>
        <v>7.4740484429065743</v>
      </c>
      <c r="W306" s="14">
        <f t="shared" si="491"/>
        <v>7.5894470545717381</v>
      </c>
      <c r="X306" s="14">
        <f>-X305/AVERAGE(W301:X301)%</f>
        <v>6.6643034384969866</v>
      </c>
      <c r="Y306" s="14">
        <f>-Y305/AVERAGE(X301:Y301)%</f>
        <v>4.1796631316281969</v>
      </c>
      <c r="Z306" s="14">
        <f>-Z305/AVERAGE(Y301:Z301)%</f>
        <v>3.6206430694406917</v>
      </c>
      <c r="AA306" s="14">
        <f>-AA305/AVERAGE(Z301:AA301)%</f>
        <v>4.2935886277922837</v>
      </c>
      <c r="AB306" s="14">
        <f>-AB305/AVERAGE(AA301:AB301)%</f>
        <v>6.7932797662527395</v>
      </c>
      <c r="AC306" s="24">
        <v>4.7</v>
      </c>
      <c r="AD306" s="24">
        <f t="shared" ref="AD306:AE306" si="492">AC306-0.1</f>
        <v>4.6000000000000005</v>
      </c>
      <c r="AE306" s="24">
        <f t="shared" si="492"/>
        <v>4.5000000000000009</v>
      </c>
      <c r="AF306" s="24">
        <f>AE306</f>
        <v>4.5000000000000009</v>
      </c>
      <c r="AG306" s="24">
        <f t="shared" ref="AG306:AL306" si="493">AF306</f>
        <v>4.5000000000000009</v>
      </c>
      <c r="AH306" s="24">
        <f t="shared" si="493"/>
        <v>4.5000000000000009</v>
      </c>
      <c r="AI306" s="24">
        <f t="shared" si="493"/>
        <v>4.5000000000000009</v>
      </c>
      <c r="AJ306" s="24">
        <f t="shared" si="493"/>
        <v>4.5000000000000009</v>
      </c>
      <c r="AK306" s="24">
        <f t="shared" si="493"/>
        <v>4.5000000000000009</v>
      </c>
      <c r="AL306" s="24">
        <f t="shared" si="493"/>
        <v>4.5000000000000009</v>
      </c>
      <c r="AO306" s="2"/>
      <c r="AP306" s="2"/>
      <c r="AQ306" s="2"/>
      <c r="AR306" s="2"/>
      <c r="AS306" s="2"/>
      <c r="AT306" s="2"/>
      <c r="AU306" s="2"/>
      <c r="AV306" s="2"/>
    </row>
    <row r="307" spans="1:48" ht="13.5" thickBot="1" x14ac:dyDescent="0.25">
      <c r="A307" s="2"/>
      <c r="B307" s="21" t="s">
        <v>394</v>
      </c>
      <c r="C307" s="22"/>
      <c r="D307" s="22"/>
      <c r="E307" s="22"/>
      <c r="F307" s="22"/>
      <c r="G307" s="22"/>
      <c r="H307" s="22"/>
      <c r="I307" s="22"/>
      <c r="J307" s="23">
        <f>J303+J305</f>
        <v>-77.649000000000001</v>
      </c>
      <c r="K307" s="23">
        <f>K303+K305</f>
        <v>-95.905000000000001</v>
      </c>
      <c r="L307" s="23">
        <f>L303+L305</f>
        <v>-96.045000000000002</v>
      </c>
      <c r="M307" s="23">
        <f>M303+M305</f>
        <v>-72.777000000000001</v>
      </c>
      <c r="N307" s="23">
        <f>N303+N305</f>
        <v>-58.823999999999998</v>
      </c>
      <c r="O307" s="23">
        <f t="shared" ref="O307:AA307" si="494">O303+O305</f>
        <v>-57.278999999999996</v>
      </c>
      <c r="P307" s="23">
        <f t="shared" si="494"/>
        <v>-38</v>
      </c>
      <c r="Q307" s="23">
        <f t="shared" si="494"/>
        <v>-147</v>
      </c>
      <c r="R307" s="23">
        <f>R303+R305</f>
        <v>-137</v>
      </c>
      <c r="S307" s="23">
        <f>S303+S305</f>
        <v>-141</v>
      </c>
      <c r="T307" s="23">
        <f t="shared" si="494"/>
        <v>-119</v>
      </c>
      <c r="U307" s="23">
        <f t="shared" si="494"/>
        <v>-87</v>
      </c>
      <c r="V307" s="23">
        <f t="shared" si="494"/>
        <v>-77</v>
      </c>
      <c r="W307" s="23">
        <f t="shared" si="494"/>
        <v>-69</v>
      </c>
      <c r="X307" s="23">
        <f t="shared" si="494"/>
        <v>-68</v>
      </c>
      <c r="Y307" s="23">
        <f t="shared" si="494"/>
        <v>-48</v>
      </c>
      <c r="Z307" s="23">
        <f>Z303+Z305</f>
        <v>-21</v>
      </c>
      <c r="AA307" s="23">
        <f t="shared" si="494"/>
        <v>-46</v>
      </c>
      <c r="AB307" s="23">
        <f t="shared" ref="AB307:AH307" ca="1" si="495">AB303+AB305</f>
        <v>-93</v>
      </c>
      <c r="AC307" s="23">
        <f t="shared" si="495"/>
        <v>-4.6849999999999881</v>
      </c>
      <c r="AD307" s="23">
        <f t="shared" si="495"/>
        <v>-27.140817332429471</v>
      </c>
      <c r="AE307" s="23">
        <f t="shared" si="495"/>
        <v>-39.961289695619747</v>
      </c>
      <c r="AF307" s="23">
        <f t="shared" si="495"/>
        <v>-38.563827714102672</v>
      </c>
      <c r="AG307" s="23">
        <f t="shared" si="495"/>
        <v>-32.199244978394262</v>
      </c>
      <c r="AH307" s="23">
        <f t="shared" si="495"/>
        <v>-13.242130338930842</v>
      </c>
      <c r="AI307" s="23">
        <f t="shared" ref="AI307:AL307" si="496">AI303+AI305</f>
        <v>12.059604702202222</v>
      </c>
      <c r="AJ307" s="23">
        <f t="shared" si="496"/>
        <v>37.49896386843934</v>
      </c>
      <c r="AK307" s="23">
        <f t="shared" si="496"/>
        <v>64.996064848463789</v>
      </c>
      <c r="AL307" s="23">
        <f t="shared" si="496"/>
        <v>99.304125727334281</v>
      </c>
      <c r="AO307" s="2"/>
      <c r="AP307" s="2"/>
      <c r="AQ307" s="2"/>
      <c r="AR307" s="2"/>
      <c r="AS307" s="2"/>
      <c r="AT307" s="2"/>
      <c r="AU307" s="2"/>
      <c r="AV307" s="2"/>
    </row>
    <row r="308" spans="1:48" ht="13.5" thickTop="1" x14ac:dyDescent="0.2">
      <c r="A308" s="2"/>
      <c r="B308" s="2" t="s">
        <v>395</v>
      </c>
      <c r="C308" s="2"/>
      <c r="D308" s="2"/>
      <c r="E308" s="2"/>
      <c r="F308" s="2"/>
      <c r="G308" s="2"/>
      <c r="H308" s="2"/>
      <c r="I308" s="2"/>
      <c r="J308" s="6">
        <f>-J307/AVERAGE(I302:J302)%</f>
        <v>4.8762858111757241</v>
      </c>
      <c r="K308" s="6">
        <f>-K307/AVERAGE(J302:K302)%</f>
        <v>5.6673637731919886</v>
      </c>
      <c r="L308" s="6">
        <f t="shared" ref="L308:X308" si="497">-L307/AVERAGE(K302:L302)%</f>
        <v>5.5311091415766986</v>
      </c>
      <c r="M308" s="6">
        <f t="shared" si="497"/>
        <v>4.5665332353226304</v>
      </c>
      <c r="N308" s="6">
        <f t="shared" si="497"/>
        <v>4.6273057766985133</v>
      </c>
      <c r="O308" s="6">
        <f t="shared" si="497"/>
        <v>5.8457771738215234</v>
      </c>
      <c r="P308" s="6">
        <f t="shared" si="497"/>
        <v>17.520038544084798</v>
      </c>
      <c r="Q308" s="6">
        <f t="shared" si="497"/>
        <v>16.544738323016318</v>
      </c>
      <c r="R308" s="6">
        <f>-R307/AVERAGE(Q302:R302)%</f>
        <v>6.6537153958232151</v>
      </c>
      <c r="S308" s="6">
        <f t="shared" si="497"/>
        <v>6.7464114832535893</v>
      </c>
      <c r="T308" s="6">
        <f t="shared" si="497"/>
        <v>7.1665161096055403</v>
      </c>
      <c r="U308" s="6">
        <f t="shared" si="497"/>
        <v>12.033195020746888</v>
      </c>
      <c r="V308" s="6">
        <f t="shared" si="497"/>
        <v>18.599033816425123</v>
      </c>
      <c r="W308" s="6">
        <f t="shared" si="497"/>
        <v>72.251308900523568</v>
      </c>
      <c r="X308" s="6">
        <f t="shared" si="497"/>
        <v>-31.192660550458712</v>
      </c>
      <c r="Y308" s="6">
        <f t="shared" ref="Y308:AL308" si="498">-Y307/AVERAGE(X302:Y302)%</f>
        <v>-150</v>
      </c>
      <c r="Z308" s="6">
        <f t="shared" si="498"/>
        <v>6.431852986217458</v>
      </c>
      <c r="AA308" s="6">
        <f t="shared" si="498"/>
        <v>16.083916083916083</v>
      </c>
      <c r="AB308" s="6">
        <f t="shared" ca="1" si="498"/>
        <v>-50.20242914979751</v>
      </c>
      <c r="AC308" s="6">
        <f t="shared" si="498"/>
        <v>-1.6226256471482448</v>
      </c>
      <c r="AD308" s="6">
        <f t="shared" si="498"/>
        <v>10.875786948052232</v>
      </c>
      <c r="AE308" s="6">
        <f t="shared" si="498"/>
        <v>7.0963074631293983</v>
      </c>
      <c r="AF308" s="6">
        <f t="shared" si="498"/>
        <v>10.448726634991669</v>
      </c>
      <c r="AG308" s="6">
        <f t="shared" si="498"/>
        <v>-12.198272387209027</v>
      </c>
      <c r="AH308" s="6">
        <f t="shared" si="498"/>
        <v>-0.96627073704098165</v>
      </c>
      <c r="AI308" s="6">
        <f t="shared" si="498"/>
        <v>0.45698250233970272</v>
      </c>
      <c r="AJ308" s="6">
        <f t="shared" si="498"/>
        <v>0.94637577397883788</v>
      </c>
      <c r="AK308" s="6">
        <f t="shared" si="498"/>
        <v>1.1801363344912905</v>
      </c>
      <c r="AL308" s="6">
        <f t="shared" si="498"/>
        <v>1.3629210481444067</v>
      </c>
      <c r="AO308" s="2"/>
      <c r="AP308" s="2"/>
      <c r="AQ308" s="2"/>
      <c r="AR308" s="2"/>
      <c r="AS308" s="2"/>
      <c r="AT308" s="2"/>
      <c r="AU308" s="2"/>
      <c r="AV308" s="2"/>
    </row>
    <row r="309" spans="1:48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O309" s="2"/>
      <c r="AP309" s="2"/>
      <c r="AQ309" s="2"/>
      <c r="AR309" s="2"/>
      <c r="AS309" s="2"/>
      <c r="AT309" s="2"/>
      <c r="AU309" s="2"/>
      <c r="AV309" s="2"/>
    </row>
    <row r="310" spans="1:48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O310" s="2"/>
      <c r="AP310" s="2"/>
      <c r="AQ310" s="2"/>
      <c r="AR310" s="2"/>
      <c r="AS310" s="2"/>
      <c r="AT310" s="2"/>
      <c r="AU310" s="2"/>
      <c r="AV310" s="2"/>
    </row>
    <row r="311" spans="1:48" x14ac:dyDescent="0.2">
      <c r="A311" s="2"/>
      <c r="B311" s="25" t="s">
        <v>400</v>
      </c>
      <c r="C311" s="26">
        <f t="shared" ref="C311:AA311" si="499">C297</f>
        <v>1992</v>
      </c>
      <c r="D311" s="26">
        <f t="shared" si="499"/>
        <v>1993</v>
      </c>
      <c r="E311" s="26">
        <f t="shared" si="499"/>
        <v>1994</v>
      </c>
      <c r="F311" s="26">
        <f t="shared" si="499"/>
        <v>1995</v>
      </c>
      <c r="G311" s="26">
        <f t="shared" si="499"/>
        <v>1996</v>
      </c>
      <c r="H311" s="26">
        <f t="shared" si="499"/>
        <v>1997</v>
      </c>
      <c r="I311" s="26">
        <f t="shared" si="499"/>
        <v>1998</v>
      </c>
      <c r="J311" s="26">
        <f t="shared" si="499"/>
        <v>1999</v>
      </c>
      <c r="K311" s="26">
        <f t="shared" si="499"/>
        <v>2000</v>
      </c>
      <c r="L311" s="26">
        <f t="shared" si="499"/>
        <v>2001</v>
      </c>
      <c r="M311" s="26">
        <f t="shared" si="499"/>
        <v>2002</v>
      </c>
      <c r="N311" s="26">
        <f t="shared" si="499"/>
        <v>2003</v>
      </c>
      <c r="O311" s="26">
        <f t="shared" si="499"/>
        <v>2004</v>
      </c>
      <c r="P311" s="26">
        <f t="shared" si="499"/>
        <v>2005</v>
      </c>
      <c r="Q311" s="26">
        <f t="shared" si="499"/>
        <v>2006</v>
      </c>
      <c r="R311" s="99">
        <f>R297</f>
        <v>2007</v>
      </c>
      <c r="S311" s="26">
        <f>S297</f>
        <v>2008</v>
      </c>
      <c r="T311" s="26">
        <f>T297</f>
        <v>2009</v>
      </c>
      <c r="U311" s="26">
        <f t="shared" si="499"/>
        <v>2010</v>
      </c>
      <c r="V311" s="26">
        <f t="shared" si="499"/>
        <v>2011</v>
      </c>
      <c r="W311" s="26">
        <f t="shared" si="499"/>
        <v>2012</v>
      </c>
      <c r="X311" s="26">
        <f t="shared" si="499"/>
        <v>2013</v>
      </c>
      <c r="Y311" s="26">
        <f t="shared" si="499"/>
        <v>2014</v>
      </c>
      <c r="Z311" s="26">
        <f t="shared" si="499"/>
        <v>2015</v>
      </c>
      <c r="AA311" s="26">
        <f t="shared" si="499"/>
        <v>2016</v>
      </c>
      <c r="AB311" s="26">
        <f t="shared" ref="AB311:AH311" si="500">AB297</f>
        <v>2017</v>
      </c>
      <c r="AC311" s="50">
        <f t="shared" si="500"/>
        <v>2018</v>
      </c>
      <c r="AD311" s="50">
        <f t="shared" si="500"/>
        <v>2019</v>
      </c>
      <c r="AE311" s="50">
        <f t="shared" si="500"/>
        <v>2020</v>
      </c>
      <c r="AF311" s="50">
        <f t="shared" si="500"/>
        <v>2021</v>
      </c>
      <c r="AG311" s="50">
        <f t="shared" si="500"/>
        <v>2022</v>
      </c>
      <c r="AH311" s="50">
        <f t="shared" si="500"/>
        <v>2023</v>
      </c>
      <c r="AI311" s="50">
        <f t="shared" ref="AI311:AL311" si="501">AI297</f>
        <v>2024</v>
      </c>
      <c r="AJ311" s="50">
        <f t="shared" si="501"/>
        <v>2025</v>
      </c>
      <c r="AK311" s="50">
        <f t="shared" si="501"/>
        <v>2026</v>
      </c>
      <c r="AL311" s="50">
        <f t="shared" si="501"/>
        <v>2027</v>
      </c>
      <c r="AO311" s="2"/>
      <c r="AP311" s="2"/>
      <c r="AQ311" s="2"/>
      <c r="AR311" s="2"/>
      <c r="AS311" s="2"/>
      <c r="AT311" s="2"/>
      <c r="AU311" s="2"/>
      <c r="AV311" s="2"/>
    </row>
    <row r="312" spans="1:48" x14ac:dyDescent="0.2">
      <c r="A312" s="11"/>
      <c r="B312" s="13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28"/>
      <c r="S312" s="129"/>
      <c r="T312" s="129"/>
      <c r="U312" s="20"/>
      <c r="V312" s="20"/>
      <c r="W312" s="20"/>
      <c r="X312" s="20"/>
      <c r="Y312" s="14" t="s">
        <v>428</v>
      </c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</row>
    <row r="313" spans="1:48" x14ac:dyDescent="0.2">
      <c r="A313" s="2"/>
      <c r="B313" s="111" t="s">
        <v>398</v>
      </c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112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13"/>
      <c r="AF313" s="113"/>
      <c r="AG313" s="113"/>
      <c r="AH313" s="113"/>
      <c r="AI313" s="113"/>
      <c r="AJ313" s="113"/>
      <c r="AK313" s="113"/>
      <c r="AL313" s="113"/>
      <c r="AO313" s="2"/>
      <c r="AP313" s="2"/>
      <c r="AQ313" s="2"/>
      <c r="AR313" s="2"/>
      <c r="AS313" s="2"/>
      <c r="AT313" s="2"/>
      <c r="AU313" s="2"/>
      <c r="AV313" s="2"/>
    </row>
    <row r="314" spans="1:48" x14ac:dyDescent="0.2">
      <c r="A314" s="11"/>
      <c r="B314" s="13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28"/>
      <c r="S314" s="129"/>
      <c r="T314" s="129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188"/>
      <c r="AN314" s="188"/>
      <c r="AO314" s="11"/>
      <c r="AP314" s="11"/>
      <c r="AQ314" s="11"/>
      <c r="AR314" s="11"/>
      <c r="AS314" s="11"/>
      <c r="AT314" s="11"/>
      <c r="AU314" s="11"/>
      <c r="AV314" s="11"/>
    </row>
    <row r="315" spans="1:48" x14ac:dyDescent="0.2">
      <c r="A315" s="2"/>
      <c r="B315" s="2" t="s">
        <v>301</v>
      </c>
      <c r="C315" s="2"/>
      <c r="D315" s="2"/>
      <c r="E315" s="2"/>
      <c r="F315" s="2"/>
      <c r="G315" s="2"/>
      <c r="H315" s="2"/>
      <c r="I315" s="2"/>
      <c r="J315" s="6">
        <f t="shared" ref="J315:AH315" si="502">J84</f>
        <v>5353.9489999999996</v>
      </c>
      <c r="K315" s="6">
        <f t="shared" si="502"/>
        <v>5834.8050000000003</v>
      </c>
      <c r="L315" s="6">
        <f t="shared" si="502"/>
        <v>6112.3469999999998</v>
      </c>
      <c r="M315" s="6">
        <f t="shared" si="502"/>
        <v>6523.4189999999999</v>
      </c>
      <c r="N315" s="6">
        <f t="shared" si="502"/>
        <v>6266.8</v>
      </c>
      <c r="O315" s="6">
        <f t="shared" si="502"/>
        <v>5860.0079999999998</v>
      </c>
      <c r="P315" s="6">
        <f t="shared" si="502"/>
        <v>6636</v>
      </c>
      <c r="Q315" s="6">
        <f t="shared" si="502"/>
        <v>10084</v>
      </c>
      <c r="R315" s="6">
        <f t="shared" si="502"/>
        <v>10299</v>
      </c>
      <c r="S315" s="6">
        <f t="shared" si="502"/>
        <v>10799</v>
      </c>
      <c r="T315" s="6">
        <f t="shared" si="502"/>
        <v>10381</v>
      </c>
      <c r="U315" s="6">
        <f t="shared" si="502"/>
        <v>11990</v>
      </c>
      <c r="V315" s="6">
        <f t="shared" si="502"/>
        <v>13322</v>
      </c>
      <c r="W315" s="6">
        <f t="shared" si="502"/>
        <v>14883</v>
      </c>
      <c r="X315" s="6">
        <f t="shared" si="502"/>
        <v>14203</v>
      </c>
      <c r="Y315" s="6">
        <f t="shared" si="502"/>
        <v>14533.9</v>
      </c>
      <c r="Z315" s="6">
        <f t="shared" si="502"/>
        <v>16915.049641526937</v>
      </c>
      <c r="AA315" s="6">
        <f t="shared" si="502"/>
        <v>18483</v>
      </c>
      <c r="AB315" s="6">
        <f t="shared" si="502"/>
        <v>21217</v>
      </c>
      <c r="AC315" s="6">
        <f t="shared" si="502"/>
        <v>22404.229955568389</v>
      </c>
      <c r="AD315" s="6">
        <f t="shared" si="502"/>
        <v>24520.882672427644</v>
      </c>
      <c r="AE315" s="6">
        <f t="shared" si="502"/>
        <v>26517.6356799444</v>
      </c>
      <c r="AF315" s="6">
        <f t="shared" si="502"/>
        <v>28386.247294431065</v>
      </c>
      <c r="AG315" s="6">
        <f t="shared" si="502"/>
        <v>30268.657278039078</v>
      </c>
      <c r="AH315" s="6">
        <f t="shared" si="502"/>
        <v>32218.84696009658</v>
      </c>
      <c r="AI315" s="6">
        <f t="shared" ref="AI315:AL315" si="503">AI84</f>
        <v>34083.310618779593</v>
      </c>
      <c r="AJ315" s="6">
        <f t="shared" si="503"/>
        <v>36060.855586066784</v>
      </c>
      <c r="AK315" s="6">
        <f t="shared" si="503"/>
        <v>38158.56304096018</v>
      </c>
      <c r="AL315" s="6">
        <f t="shared" si="503"/>
        <v>40341.939151286075</v>
      </c>
      <c r="AM315" s="6"/>
      <c r="AN315" s="6"/>
      <c r="AO315" s="2"/>
      <c r="AP315" s="2"/>
      <c r="AQ315" s="2"/>
      <c r="AR315" s="2"/>
      <c r="AS315" s="2"/>
      <c r="AT315" s="2"/>
      <c r="AU315" s="2"/>
      <c r="AV315" s="2"/>
    </row>
    <row r="317" spans="1:48" x14ac:dyDescent="0.2">
      <c r="A317" s="2"/>
      <c r="B317" s="2" t="s">
        <v>159</v>
      </c>
      <c r="C317" s="2"/>
      <c r="D317" s="2"/>
      <c r="E317" s="2"/>
      <c r="F317" s="2"/>
      <c r="G317" s="2"/>
      <c r="H317" s="2"/>
      <c r="I317" s="2"/>
      <c r="J317" s="6">
        <f t="shared" ref="J317:Z317" si="504">J88</f>
        <v>-3001.8829999999998</v>
      </c>
      <c r="K317" s="6">
        <f t="shared" si="504"/>
        <v>-3306.886</v>
      </c>
      <c r="L317" s="6">
        <f t="shared" si="504"/>
        <v>-3511.1640000000002</v>
      </c>
      <c r="M317" s="6">
        <f t="shared" si="504"/>
        <v>-3704.2689999999998</v>
      </c>
      <c r="N317" s="6">
        <f t="shared" si="504"/>
        <v>-3453.1320000000001</v>
      </c>
      <c r="O317" s="6">
        <f t="shared" si="504"/>
        <v>-3046.6060000000002</v>
      </c>
      <c r="P317" s="6">
        <f t="shared" si="504"/>
        <v>-3439</v>
      </c>
      <c r="Q317" s="6">
        <f t="shared" si="504"/>
        <v>-5589</v>
      </c>
      <c r="R317" s="6">
        <f t="shared" si="504"/>
        <v>-5417</v>
      </c>
      <c r="S317" s="6">
        <f t="shared" si="504"/>
        <v>-5543</v>
      </c>
      <c r="T317" s="6">
        <f t="shared" si="504"/>
        <v>-5669</v>
      </c>
      <c r="U317" s="6">
        <f t="shared" si="504"/>
        <v>-6260</v>
      </c>
      <c r="V317" s="6">
        <f t="shared" si="504"/>
        <v>-6993</v>
      </c>
      <c r="W317" s="6">
        <f t="shared" si="504"/>
        <v>-7780</v>
      </c>
      <c r="X317" s="6">
        <f t="shared" si="504"/>
        <v>-7202</v>
      </c>
      <c r="Y317" s="6">
        <f t="shared" si="504"/>
        <v>-7610</v>
      </c>
      <c r="Z317" s="6">
        <f t="shared" si="504"/>
        <v>-8748</v>
      </c>
      <c r="AA317" s="6">
        <f>AA319-AA315</f>
        <v>-9383</v>
      </c>
      <c r="AB317" s="6">
        <f t="shared" ref="AB317:AH317" si="505">AB319-AB315</f>
        <v>-10513</v>
      </c>
      <c r="AC317" s="6">
        <f t="shared" si="505"/>
        <v>-11033.133301306407</v>
      </c>
      <c r="AD317" s="6">
        <f t="shared" si="505"/>
        <v>-12009.926705637432</v>
      </c>
      <c r="AE317" s="6">
        <f t="shared" si="505"/>
        <v>-12925.927437170594</v>
      </c>
      <c r="AF317" s="6">
        <f t="shared" si="505"/>
        <v>-13790.756426601489</v>
      </c>
      <c r="AG317" s="6">
        <f t="shared" si="505"/>
        <v>-14660.05748367776</v>
      </c>
      <c r="AH317" s="6">
        <f t="shared" si="505"/>
        <v>-15552.306359052021</v>
      </c>
      <c r="AI317" s="6">
        <f t="shared" ref="AI317:AL317" si="506">AI319-AI315</f>
        <v>-16428.844393855208</v>
      </c>
      <c r="AJ317" s="6">
        <f t="shared" si="506"/>
        <v>-17426.8289348338</v>
      </c>
      <c r="AK317" s="6">
        <f t="shared" si="506"/>
        <v>-18418.909050396946</v>
      </c>
      <c r="AL317" s="6">
        <f t="shared" si="506"/>
        <v>-19447.152812763808</v>
      </c>
      <c r="AO317" s="2"/>
      <c r="AP317" s="2"/>
      <c r="AQ317" s="2"/>
      <c r="AR317" s="2"/>
      <c r="AS317" s="2"/>
      <c r="AT317" s="2"/>
      <c r="AU317" s="2"/>
      <c r="AV317" s="2"/>
    </row>
    <row r="318" spans="1:48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6"/>
      <c r="K318" s="6"/>
      <c r="L318" s="6"/>
      <c r="M318" s="6"/>
      <c r="N318" s="6"/>
      <c r="O318" s="6"/>
      <c r="P318" s="6"/>
      <c r="Q318" s="6"/>
      <c r="R318" s="6"/>
      <c r="S318" s="151">
        <f t="shared" ref="S318:AA318" si="507">S317/R317-1</f>
        <v>2.3260107070334213E-2</v>
      </c>
      <c r="T318" s="151">
        <f t="shared" si="507"/>
        <v>2.2731372902760283E-2</v>
      </c>
      <c r="U318" s="151">
        <f t="shared" si="507"/>
        <v>0.10425119068618804</v>
      </c>
      <c r="V318" s="151">
        <f t="shared" si="507"/>
        <v>0.11709265175718842</v>
      </c>
      <c r="W318" s="151">
        <f t="shared" si="507"/>
        <v>0.11254111254111243</v>
      </c>
      <c r="X318" s="151">
        <f t="shared" si="507"/>
        <v>-7.4293059125963956E-2</v>
      </c>
      <c r="Y318" s="151">
        <f t="shared" si="507"/>
        <v>5.6650930297139634E-2</v>
      </c>
      <c r="Z318" s="151">
        <f t="shared" si="507"/>
        <v>0.14954007884362674</v>
      </c>
      <c r="AA318" s="151">
        <f t="shared" si="507"/>
        <v>7.2588020118884211E-2</v>
      </c>
      <c r="AB318" s="151">
        <f t="shared" ref="AB318:AL318" si="508">AB317/AA317-1</f>
        <v>0.12043056591708412</v>
      </c>
      <c r="AC318" s="151">
        <f t="shared" si="508"/>
        <v>4.9475249815124744E-2</v>
      </c>
      <c r="AD318" s="151">
        <f t="shared" si="508"/>
        <v>8.8532729339485527E-2</v>
      </c>
      <c r="AE318" s="151">
        <f t="shared" si="508"/>
        <v>7.6270301558392761E-2</v>
      </c>
      <c r="AF318" s="151">
        <f t="shared" si="508"/>
        <v>6.6906532907181404E-2</v>
      </c>
      <c r="AG318" s="151">
        <f t="shared" si="508"/>
        <v>6.3035052624049293E-2</v>
      </c>
      <c r="AH318" s="151">
        <f t="shared" si="508"/>
        <v>6.086257686013008E-2</v>
      </c>
      <c r="AI318" s="151">
        <f t="shared" si="508"/>
        <v>5.6360646103978507E-2</v>
      </c>
      <c r="AJ318" s="151">
        <f t="shared" si="508"/>
        <v>6.0745875793422277E-2</v>
      </c>
      <c r="AK318" s="151">
        <f t="shared" si="508"/>
        <v>5.6928321226595413E-2</v>
      </c>
      <c r="AL318" s="151">
        <f t="shared" si="508"/>
        <v>5.5825443274269526E-2</v>
      </c>
      <c r="AO318" s="2"/>
      <c r="AP318" s="2"/>
      <c r="AQ318" s="2"/>
      <c r="AR318" s="2"/>
      <c r="AS318" s="2"/>
      <c r="AT318" s="2"/>
      <c r="AU318" s="2"/>
      <c r="AV318" s="2"/>
    </row>
    <row r="319" spans="1:48" x14ac:dyDescent="0.2">
      <c r="A319" s="2"/>
      <c r="B319" s="2" t="s">
        <v>325</v>
      </c>
      <c r="C319" s="2"/>
      <c r="D319" s="2"/>
      <c r="E319" s="2"/>
      <c r="F319" s="2"/>
      <c r="G319" s="2"/>
      <c r="H319" s="2"/>
      <c r="I319" s="2"/>
      <c r="J319" s="6"/>
      <c r="K319" s="6"/>
      <c r="L319" s="6"/>
      <c r="M319" s="6"/>
      <c r="N319" s="6"/>
      <c r="O319" s="28">
        <f t="shared" ref="O319:X319" si="509">O315+O317</f>
        <v>2813.4019999999996</v>
      </c>
      <c r="P319" s="28">
        <f t="shared" si="509"/>
        <v>3197</v>
      </c>
      <c r="Q319" s="28">
        <f t="shared" si="509"/>
        <v>4495</v>
      </c>
      <c r="R319" s="28">
        <f t="shared" si="509"/>
        <v>4882</v>
      </c>
      <c r="S319" s="28">
        <f t="shared" si="509"/>
        <v>5256</v>
      </c>
      <c r="T319" s="28">
        <f t="shared" si="509"/>
        <v>4712</v>
      </c>
      <c r="U319" s="28">
        <f t="shared" si="509"/>
        <v>5730</v>
      </c>
      <c r="V319" s="28">
        <f t="shared" si="509"/>
        <v>6329</v>
      </c>
      <c r="W319" s="28">
        <f>W315+W317</f>
        <v>7103</v>
      </c>
      <c r="X319" s="28">
        <f t="shared" si="509"/>
        <v>7001</v>
      </c>
      <c r="Y319" s="28">
        <f>Y315+Y317</f>
        <v>6923.9</v>
      </c>
      <c r="Z319" s="28">
        <f>Z315+Z317</f>
        <v>8167.0496415269372</v>
      </c>
      <c r="AA319" s="28">
        <v>9100</v>
      </c>
      <c r="AB319" s="28">
        <f>Revs!J170</f>
        <v>10704</v>
      </c>
      <c r="AC319" s="28">
        <f>Revs!R170</f>
        <v>11371.096654261983</v>
      </c>
      <c r="AD319" s="28">
        <f>Revs!S170</f>
        <v>12510.955966790212</v>
      </c>
      <c r="AE319" s="28">
        <f>Revs!T170</f>
        <v>13591.708242773806</v>
      </c>
      <c r="AF319" s="28">
        <f>Revs!U170</f>
        <v>14595.490867829576</v>
      </c>
      <c r="AG319" s="28">
        <f>Revs!V170</f>
        <v>15608.599794361318</v>
      </c>
      <c r="AH319" s="28">
        <f>Revs!W170</f>
        <v>16666.540601044559</v>
      </c>
      <c r="AI319" s="28">
        <f>Revs!X170</f>
        <v>17654.466224924385</v>
      </c>
      <c r="AJ319" s="28">
        <f>Revs!Y170</f>
        <v>18634.026651232984</v>
      </c>
      <c r="AK319" s="28">
        <f>Revs!Z170</f>
        <v>19739.653990563234</v>
      </c>
      <c r="AL319" s="28">
        <f>Revs!AA170</f>
        <v>20894.786338522266</v>
      </c>
      <c r="AO319" s="2"/>
      <c r="AP319" s="2"/>
      <c r="AQ319" s="2"/>
      <c r="AR319" s="2"/>
      <c r="AS319" s="2"/>
      <c r="AT319" s="2"/>
      <c r="AU319" s="2"/>
      <c r="AV319" s="2"/>
    </row>
    <row r="320" spans="1:48" x14ac:dyDescent="0.2">
      <c r="A320" s="2"/>
      <c r="B320" s="2" t="s">
        <v>246</v>
      </c>
      <c r="C320" s="2"/>
      <c r="D320" s="2"/>
      <c r="E320" s="2"/>
      <c r="F320" s="2"/>
      <c r="G320" s="2"/>
      <c r="H320" s="2"/>
      <c r="I320" s="2"/>
      <c r="J320" s="6"/>
      <c r="K320" s="6"/>
      <c r="L320" s="6"/>
      <c r="M320" s="6"/>
      <c r="N320" s="6"/>
      <c r="O320" s="6">
        <f t="shared" ref="O320:Y320" si="510">O319/O315%</f>
        <v>48.010207494597275</v>
      </c>
      <c r="P320" s="6">
        <f t="shared" si="510"/>
        <v>48.176612417118747</v>
      </c>
      <c r="Q320" s="6">
        <f t="shared" si="510"/>
        <v>44.575565251884171</v>
      </c>
      <c r="R320" s="6">
        <f t="shared" si="510"/>
        <v>47.402660452471117</v>
      </c>
      <c r="S320" s="6">
        <f t="shared" si="510"/>
        <v>48.671173256783035</v>
      </c>
      <c r="T320" s="6">
        <f t="shared" si="510"/>
        <v>45.390617474231767</v>
      </c>
      <c r="U320" s="14">
        <f t="shared" si="510"/>
        <v>47.789824854045037</v>
      </c>
      <c r="V320" s="14">
        <f t="shared" si="510"/>
        <v>47.507881699444525</v>
      </c>
      <c r="W320" s="14">
        <f>W319/W315%</f>
        <v>47.725592958408917</v>
      </c>
      <c r="X320" s="55">
        <f t="shared" si="510"/>
        <v>49.29240301344786</v>
      </c>
      <c r="Y320" s="55">
        <f t="shared" si="510"/>
        <v>47.639656251935129</v>
      </c>
      <c r="Z320" s="55">
        <f t="shared" ref="Z320:AH320" si="511">Z319/Z315%</f>
        <v>48.282741195607215</v>
      </c>
      <c r="AA320" s="55">
        <f t="shared" si="511"/>
        <v>49.234431639885294</v>
      </c>
      <c r="AB320" s="55">
        <f t="shared" si="511"/>
        <v>50.450110760239433</v>
      </c>
      <c r="AC320" s="55">
        <f t="shared" si="511"/>
        <v>50.75424005561856</v>
      </c>
      <c r="AD320" s="55">
        <f t="shared" si="511"/>
        <v>51.021637899104178</v>
      </c>
      <c r="AE320" s="55">
        <f t="shared" si="511"/>
        <v>51.25535476397458</v>
      </c>
      <c r="AF320" s="55">
        <f t="shared" si="511"/>
        <v>51.417472399364961</v>
      </c>
      <c r="AG320" s="55">
        <f t="shared" si="511"/>
        <v>51.566872131080217</v>
      </c>
      <c r="AH320" s="55">
        <f t="shared" si="511"/>
        <v>51.729165297834108</v>
      </c>
      <c r="AI320" s="55">
        <f t="shared" ref="AI320:AL320" si="512">AI319/AI315%</f>
        <v>51.797979434535726</v>
      </c>
      <c r="AJ320" s="55">
        <f t="shared" si="512"/>
        <v>51.673833990874058</v>
      </c>
      <c r="AK320" s="55">
        <f t="shared" si="512"/>
        <v>51.730600990855677</v>
      </c>
      <c r="AL320" s="55">
        <f t="shared" si="512"/>
        <v>51.794204190742661</v>
      </c>
      <c r="AO320" s="2"/>
      <c r="AP320" s="2"/>
      <c r="AQ320" s="2"/>
      <c r="AR320" s="2"/>
      <c r="AS320" s="2"/>
      <c r="AT320" s="2"/>
      <c r="AU320" s="2"/>
      <c r="AV320" s="2"/>
    </row>
    <row r="321" spans="1:48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6"/>
      <c r="K321" s="6"/>
      <c r="L321" s="6"/>
      <c r="M321" s="6"/>
      <c r="N321" s="6"/>
      <c r="O321" s="6"/>
      <c r="P321" s="6"/>
      <c r="Q321" s="6"/>
      <c r="R321" s="6">
        <f t="shared" ref="R321:V321" si="513">R320-Q320</f>
        <v>2.8270952005869461</v>
      </c>
      <c r="S321" s="6">
        <f t="shared" si="513"/>
        <v>1.2685128043119178</v>
      </c>
      <c r="T321" s="6">
        <f t="shared" si="513"/>
        <v>-3.2805557825512679</v>
      </c>
      <c r="U321" s="6">
        <f t="shared" si="513"/>
        <v>2.3992073798132694</v>
      </c>
      <c r="V321" s="6">
        <f t="shared" si="513"/>
        <v>-0.281943154600512</v>
      </c>
      <c r="W321" s="6">
        <f>W320-V320</f>
        <v>0.21771125896439258</v>
      </c>
      <c r="X321" s="6">
        <f>X320-W320</f>
        <v>1.5668100550389426</v>
      </c>
      <c r="Y321" s="6">
        <f t="shared" ref="Y321" si="514">Y320-X320</f>
        <v>-1.6527467615127307</v>
      </c>
      <c r="Z321" s="6">
        <f t="shared" ref="Z321:AL321" si="515">Z320-Y320</f>
        <v>0.64308494367208624</v>
      </c>
      <c r="AA321" s="6">
        <f t="shared" si="515"/>
        <v>0.95169044427807847</v>
      </c>
      <c r="AB321" s="6">
        <f t="shared" si="515"/>
        <v>1.2156791203541388</v>
      </c>
      <c r="AC321" s="6">
        <f t="shared" si="515"/>
        <v>0.30412929537912703</v>
      </c>
      <c r="AD321" s="6">
        <f t="shared" si="515"/>
        <v>0.26739784348561813</v>
      </c>
      <c r="AE321" s="6">
        <f t="shared" si="515"/>
        <v>0.23371686487040222</v>
      </c>
      <c r="AF321" s="6">
        <f t="shared" si="515"/>
        <v>0.1621176353903806</v>
      </c>
      <c r="AG321" s="6">
        <f t="shared" si="515"/>
        <v>0.14939973171525622</v>
      </c>
      <c r="AH321" s="6">
        <f t="shared" si="515"/>
        <v>0.16229316675389072</v>
      </c>
      <c r="AI321" s="6">
        <f t="shared" si="515"/>
        <v>6.8814136701618622E-2</v>
      </c>
      <c r="AJ321" s="6">
        <f t="shared" si="515"/>
        <v>-0.1241454436616678</v>
      </c>
      <c r="AK321" s="6">
        <f t="shared" si="515"/>
        <v>5.6766999981618937E-2</v>
      </c>
      <c r="AL321" s="6">
        <f t="shared" si="515"/>
        <v>6.360319988698393E-2</v>
      </c>
      <c r="AO321" s="2"/>
      <c r="AP321" s="2"/>
      <c r="AQ321" s="2"/>
      <c r="AR321" s="2"/>
      <c r="AS321" s="2"/>
      <c r="AT321" s="2"/>
      <c r="AU321" s="2"/>
      <c r="AV321" s="2"/>
    </row>
    <row r="322" spans="1:48" x14ac:dyDescent="0.2">
      <c r="A322" s="11"/>
      <c r="B322" s="13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28"/>
      <c r="S322" s="129"/>
      <c r="T322" s="129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1"/>
      <c r="AN322" s="11"/>
      <c r="AO322" s="161"/>
      <c r="AP322" s="11"/>
      <c r="AQ322" s="11"/>
      <c r="AR322" s="11"/>
      <c r="AS322" s="11"/>
      <c r="AT322" s="11"/>
      <c r="AU322" s="11"/>
      <c r="AV322" s="11"/>
    </row>
    <row r="323" spans="1:48" x14ac:dyDescent="0.2">
      <c r="A323" s="2"/>
      <c r="B323" s="130" t="str">
        <f>+B95</f>
        <v>Royalty and commission income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O323" s="2"/>
      <c r="AP323" s="2"/>
      <c r="AQ323" s="2"/>
      <c r="AR323" s="2"/>
      <c r="AS323" s="2"/>
      <c r="AT323" s="2"/>
      <c r="AU323" s="2"/>
      <c r="AV323" s="2"/>
    </row>
    <row r="324" spans="1:48" x14ac:dyDescent="0.2">
      <c r="A324" s="2"/>
      <c r="B324" s="2" t="s">
        <v>301</v>
      </c>
      <c r="C324" s="2"/>
      <c r="D324" s="6"/>
      <c r="E324" s="6"/>
      <c r="F324" s="6">
        <f t="shared" ref="F324:AH324" si="516">F84</f>
        <v>1790</v>
      </c>
      <c r="G324" s="6">
        <f t="shared" si="516"/>
        <v>2408</v>
      </c>
      <c r="H324" s="6">
        <f t="shared" si="516"/>
        <v>3425</v>
      </c>
      <c r="I324" s="6">
        <f t="shared" si="516"/>
        <v>5065</v>
      </c>
      <c r="J324" s="6">
        <f t="shared" si="516"/>
        <v>5353.9489999999996</v>
      </c>
      <c r="K324" s="6">
        <f t="shared" si="516"/>
        <v>5834.8050000000003</v>
      </c>
      <c r="L324" s="6">
        <f t="shared" si="516"/>
        <v>6112.3469999999998</v>
      </c>
      <c r="M324" s="6">
        <f t="shared" si="516"/>
        <v>6523.4189999999999</v>
      </c>
      <c r="N324" s="6">
        <f t="shared" si="516"/>
        <v>6266.8</v>
      </c>
      <c r="O324" s="6">
        <f t="shared" si="516"/>
        <v>5860.0079999999998</v>
      </c>
      <c r="P324" s="6">
        <f t="shared" si="516"/>
        <v>6636</v>
      </c>
      <c r="Q324" s="6">
        <f t="shared" si="516"/>
        <v>10084</v>
      </c>
      <c r="R324" s="6">
        <f t="shared" si="516"/>
        <v>10299</v>
      </c>
      <c r="S324" s="6">
        <f t="shared" si="516"/>
        <v>10799</v>
      </c>
      <c r="T324" s="6">
        <f t="shared" si="516"/>
        <v>10381</v>
      </c>
      <c r="U324" s="6">
        <f t="shared" si="516"/>
        <v>11990</v>
      </c>
      <c r="V324" s="6">
        <f t="shared" si="516"/>
        <v>13322</v>
      </c>
      <c r="W324" s="6">
        <f t="shared" si="516"/>
        <v>14883</v>
      </c>
      <c r="X324" s="6">
        <f t="shared" si="516"/>
        <v>14203</v>
      </c>
      <c r="Y324" s="6">
        <f t="shared" si="516"/>
        <v>14533.9</v>
      </c>
      <c r="Z324" s="6">
        <f t="shared" si="516"/>
        <v>16915.049641526937</v>
      </c>
      <c r="AA324" s="6">
        <f t="shared" si="516"/>
        <v>18483</v>
      </c>
      <c r="AB324" s="6">
        <f t="shared" ref="AB324" si="517">AB84</f>
        <v>21217</v>
      </c>
      <c r="AC324" s="6">
        <f t="shared" si="516"/>
        <v>22404.229955568389</v>
      </c>
      <c r="AD324" s="6">
        <f t="shared" si="516"/>
        <v>24520.882672427644</v>
      </c>
      <c r="AE324" s="6">
        <f t="shared" si="516"/>
        <v>26517.6356799444</v>
      </c>
      <c r="AF324" s="6">
        <f t="shared" si="516"/>
        <v>28386.247294431065</v>
      </c>
      <c r="AG324" s="6">
        <f t="shared" si="516"/>
        <v>30268.657278039078</v>
      </c>
      <c r="AH324" s="6">
        <f t="shared" si="516"/>
        <v>32218.84696009658</v>
      </c>
      <c r="AI324" s="6">
        <f t="shared" ref="AI324:AL324" si="518">AI84</f>
        <v>34083.310618779593</v>
      </c>
      <c r="AJ324" s="6">
        <f t="shared" si="518"/>
        <v>36060.855586066784</v>
      </c>
      <c r="AK324" s="6">
        <f t="shared" si="518"/>
        <v>38158.56304096018</v>
      </c>
      <c r="AL324" s="6">
        <f t="shared" si="518"/>
        <v>40341.939151286075</v>
      </c>
      <c r="AM324" s="6"/>
      <c r="AN324" s="6"/>
      <c r="AO324" s="2"/>
      <c r="AP324" s="2"/>
      <c r="AQ324" s="2"/>
      <c r="AR324" s="2"/>
      <c r="AS324" s="2"/>
      <c r="AT324" s="2"/>
      <c r="AU324" s="2"/>
      <c r="AV324" s="2"/>
    </row>
    <row r="325" spans="1:48" x14ac:dyDescent="0.2">
      <c r="A325" s="2"/>
      <c r="B325" s="4" t="s">
        <v>86</v>
      </c>
      <c r="C325" s="2"/>
      <c r="D325" s="6"/>
      <c r="E325" s="6"/>
      <c r="F325" s="6">
        <f t="shared" ref="F325:AA325" si="519">F95</f>
        <v>51</v>
      </c>
      <c r="G325" s="6">
        <f t="shared" si="519"/>
        <v>49</v>
      </c>
      <c r="H325" s="6">
        <f t="shared" si="519"/>
        <v>44</v>
      </c>
      <c r="I325" s="6">
        <f t="shared" si="519"/>
        <v>45</v>
      </c>
      <c r="J325" s="6">
        <f t="shared" si="519"/>
        <v>34.689</v>
      </c>
      <c r="K325" s="6">
        <f t="shared" si="519"/>
        <v>43.073</v>
      </c>
      <c r="L325" s="6">
        <f t="shared" si="519"/>
        <v>42.085000000000001</v>
      </c>
      <c r="M325" s="6">
        <f t="shared" si="519"/>
        <v>46.006</v>
      </c>
      <c r="N325" s="6">
        <f t="shared" si="519"/>
        <v>42.152999999999999</v>
      </c>
      <c r="O325" s="6">
        <f t="shared" si="519"/>
        <v>42.457999999999998</v>
      </c>
      <c r="P325" s="6">
        <f t="shared" si="519"/>
        <v>47.207000000000001</v>
      </c>
      <c r="Q325" s="6">
        <f t="shared" si="519"/>
        <v>90</v>
      </c>
      <c r="R325" s="6">
        <f t="shared" si="519"/>
        <v>102</v>
      </c>
      <c r="S325" s="6">
        <f t="shared" si="519"/>
        <v>89</v>
      </c>
      <c r="T325" s="6">
        <f t="shared" si="519"/>
        <v>86</v>
      </c>
      <c r="U325" s="6">
        <f t="shared" si="519"/>
        <v>100</v>
      </c>
      <c r="V325" s="6">
        <f t="shared" si="519"/>
        <v>93</v>
      </c>
      <c r="W325" s="6">
        <f t="shared" si="519"/>
        <v>105</v>
      </c>
      <c r="X325" s="6">
        <f t="shared" si="519"/>
        <v>103</v>
      </c>
      <c r="Y325" s="6">
        <f t="shared" si="519"/>
        <v>102</v>
      </c>
      <c r="Z325" s="6">
        <f t="shared" si="519"/>
        <v>119</v>
      </c>
      <c r="AA325" s="6">
        <f t="shared" si="519"/>
        <v>105</v>
      </c>
      <c r="AB325" s="6">
        <f t="shared" ref="AB325" si="520">AB95</f>
        <v>115</v>
      </c>
      <c r="AC325" s="6">
        <f t="shared" ref="AC325:AH325" si="521">AC324*(AC326/100)</f>
        <v>112.02114977784196</v>
      </c>
      <c r="AD325" s="6">
        <f t="shared" si="521"/>
        <v>122.60441336213822</v>
      </c>
      <c r="AE325" s="6">
        <f t="shared" si="521"/>
        <v>132.58817839972201</v>
      </c>
      <c r="AF325" s="6">
        <f t="shared" si="521"/>
        <v>141.93123647215532</v>
      </c>
      <c r="AG325" s="6">
        <f t="shared" si="521"/>
        <v>151.3432863901954</v>
      </c>
      <c r="AH325" s="6">
        <f t="shared" si="521"/>
        <v>161.09423480048289</v>
      </c>
      <c r="AI325" s="6">
        <f t="shared" ref="AI325:AL325" si="522">AI324*(AI326/100)</f>
        <v>170.41655309389796</v>
      </c>
      <c r="AJ325" s="6">
        <f t="shared" si="522"/>
        <v>180.30427793033391</v>
      </c>
      <c r="AK325" s="6">
        <f t="shared" si="522"/>
        <v>190.79281520480092</v>
      </c>
      <c r="AL325" s="6">
        <f t="shared" si="522"/>
        <v>201.70969575643039</v>
      </c>
      <c r="AO325" s="2"/>
      <c r="AP325" s="2"/>
      <c r="AQ325" s="8"/>
      <c r="AR325" s="2"/>
      <c r="AS325" s="2"/>
      <c r="AT325" s="2"/>
      <c r="AU325" s="2"/>
      <c r="AV325" s="2"/>
    </row>
    <row r="326" spans="1:48" x14ac:dyDescent="0.2">
      <c r="A326" s="2"/>
      <c r="B326" s="66" t="s">
        <v>248</v>
      </c>
      <c r="C326" s="2"/>
      <c r="D326" s="6"/>
      <c r="E326" s="6"/>
      <c r="F326" s="6">
        <f>F325/F324%</f>
        <v>2.8491620111731848</v>
      </c>
      <c r="G326" s="6">
        <f>G325/G324%</f>
        <v>2.0348837209302326</v>
      </c>
      <c r="H326" s="6">
        <f>H325/H324%</f>
        <v>1.2846715328467153</v>
      </c>
      <c r="I326" s="6">
        <f>I325/I324%</f>
        <v>0.88845014807502476</v>
      </c>
      <c r="J326" s="6">
        <f t="shared" ref="J326:Y326" si="523">J325/J324%</f>
        <v>0.64791427785359934</v>
      </c>
      <c r="K326" s="6">
        <f t="shared" si="523"/>
        <v>0.7382080463700158</v>
      </c>
      <c r="L326" s="6">
        <f t="shared" si="523"/>
        <v>0.68852439169438517</v>
      </c>
      <c r="M326" s="6">
        <f t="shared" si="523"/>
        <v>0.70524367666709742</v>
      </c>
      <c r="N326" s="6">
        <f t="shared" si="523"/>
        <v>0.67263994383098236</v>
      </c>
      <c r="O326" s="6">
        <f t="shared" si="523"/>
        <v>0.72453826001602728</v>
      </c>
      <c r="P326" s="6">
        <f t="shared" si="523"/>
        <v>0.71137733574442441</v>
      </c>
      <c r="Q326" s="6">
        <f t="shared" si="523"/>
        <v>0.89250297500991671</v>
      </c>
      <c r="R326" s="6">
        <f t="shared" si="523"/>
        <v>0.99038741625400528</v>
      </c>
      <c r="S326" s="6">
        <f t="shared" si="523"/>
        <v>0.82415038429484211</v>
      </c>
      <c r="T326" s="6">
        <f t="shared" si="523"/>
        <v>0.82843656680473943</v>
      </c>
      <c r="U326" s="6">
        <f t="shared" si="523"/>
        <v>0.83402835696413669</v>
      </c>
      <c r="V326" s="6">
        <f t="shared" si="523"/>
        <v>0.69809337937246663</v>
      </c>
      <c r="W326" s="6">
        <f>W325/W324%</f>
        <v>0.70550292279782301</v>
      </c>
      <c r="X326" s="6">
        <f t="shared" si="523"/>
        <v>0.72519890164049849</v>
      </c>
      <c r="Y326" s="6">
        <f t="shared" si="523"/>
        <v>0.70180749833148703</v>
      </c>
      <c r="Z326" s="6">
        <f>Z325/Z324%</f>
        <v>0.703515523287922</v>
      </c>
      <c r="AA326" s="6">
        <f>AA325/AA324%</f>
        <v>0.56808959584483032</v>
      </c>
      <c r="AB326" s="6">
        <f>AB325/AB324%</f>
        <v>0.54201819295847675</v>
      </c>
      <c r="AC326" s="24">
        <v>0.5</v>
      </c>
      <c r="AD326" s="24">
        <v>0.5</v>
      </c>
      <c r="AE326" s="24">
        <v>0.5</v>
      </c>
      <c r="AF326" s="24">
        <v>0.5</v>
      </c>
      <c r="AG326" s="24">
        <v>0.5</v>
      </c>
      <c r="AH326" s="24">
        <v>0.5</v>
      </c>
      <c r="AI326" s="24">
        <v>0.5</v>
      </c>
      <c r="AJ326" s="24">
        <v>0.5</v>
      </c>
      <c r="AK326" s="24">
        <v>0.5</v>
      </c>
      <c r="AL326" s="24">
        <v>0.5</v>
      </c>
      <c r="AO326" s="2"/>
      <c r="AP326" s="2"/>
      <c r="AQ326" s="8"/>
      <c r="AR326" s="2"/>
      <c r="AS326" s="2"/>
      <c r="AT326" s="2"/>
      <c r="AU326" s="2"/>
      <c r="AV326" s="2"/>
    </row>
    <row r="327" spans="1:48" x14ac:dyDescent="0.2">
      <c r="A327" s="2"/>
      <c r="B327" s="66" t="s">
        <v>247</v>
      </c>
      <c r="C327" s="2"/>
      <c r="D327" s="6"/>
      <c r="E327" s="6"/>
      <c r="F327" s="6"/>
      <c r="G327" s="6">
        <f>(G325-F325)/F325%</f>
        <v>-3.9215686274509802</v>
      </c>
      <c r="H327" s="6">
        <f t="shared" ref="H327:Z327" si="524">(H325-G325)/G325%</f>
        <v>-10.204081632653061</v>
      </c>
      <c r="I327" s="6">
        <f t="shared" si="524"/>
        <v>2.2727272727272729</v>
      </c>
      <c r="J327" s="6">
        <f t="shared" si="524"/>
        <v>-22.913333333333334</v>
      </c>
      <c r="K327" s="6">
        <f t="shared" si="524"/>
        <v>24.169044942200699</v>
      </c>
      <c r="L327" s="6">
        <f t="shared" si="524"/>
        <v>-2.293780326422584</v>
      </c>
      <c r="M327" s="6">
        <f t="shared" si="524"/>
        <v>9.3168587382677899</v>
      </c>
      <c r="N327" s="6">
        <f t="shared" si="524"/>
        <v>-8.3749945659261869</v>
      </c>
      <c r="O327" s="6">
        <f t="shared" si="524"/>
        <v>0.72355466989300821</v>
      </c>
      <c r="P327" s="6">
        <f t="shared" si="524"/>
        <v>11.185171228037126</v>
      </c>
      <c r="Q327" s="6">
        <f t="shared" si="524"/>
        <v>90.649691782998289</v>
      </c>
      <c r="R327" s="6">
        <f t="shared" si="524"/>
        <v>13.333333333333332</v>
      </c>
      <c r="S327" s="6">
        <f t="shared" si="524"/>
        <v>-12.745098039215685</v>
      </c>
      <c r="T327" s="6">
        <f t="shared" si="524"/>
        <v>-3.3707865168539324</v>
      </c>
      <c r="U327" s="6">
        <f t="shared" si="524"/>
        <v>16.279069767441861</v>
      </c>
      <c r="V327" s="6">
        <f t="shared" si="524"/>
        <v>-7</v>
      </c>
      <c r="W327" s="6">
        <f t="shared" si="524"/>
        <v>12.903225806451612</v>
      </c>
      <c r="X327" s="6">
        <f t="shared" si="524"/>
        <v>-1.9047619047619047</v>
      </c>
      <c r="Y327" s="6">
        <f t="shared" si="524"/>
        <v>-0.970873786407767</v>
      </c>
      <c r="Z327" s="6">
        <f t="shared" si="524"/>
        <v>16.666666666666668</v>
      </c>
      <c r="AA327" s="6">
        <f t="shared" ref="AA327:AL327" si="525">(AA325-Z325)/Z325%</f>
        <v>-11.764705882352942</v>
      </c>
      <c r="AB327" s="6">
        <f t="shared" si="525"/>
        <v>9.5238095238095237</v>
      </c>
      <c r="AC327" s="6">
        <f t="shared" si="525"/>
        <v>-2.5903045410069954</v>
      </c>
      <c r="AD327" s="6">
        <f t="shared" si="525"/>
        <v>9.4475584345320254</v>
      </c>
      <c r="AE327" s="6">
        <f t="shared" si="525"/>
        <v>8.1430714962067636</v>
      </c>
      <c r="AF327" s="6">
        <f t="shared" si="525"/>
        <v>7.046675039358484</v>
      </c>
      <c r="AG327" s="6">
        <f t="shared" si="525"/>
        <v>6.6314154318570884</v>
      </c>
      <c r="AH327" s="6">
        <f t="shared" si="525"/>
        <v>6.4429342343917781</v>
      </c>
      <c r="AI327" s="6">
        <f t="shared" si="525"/>
        <v>5.7868726990515</v>
      </c>
      <c r="AJ327" s="6">
        <f t="shared" si="525"/>
        <v>5.8020917903367666</v>
      </c>
      <c r="AK327" s="6">
        <f t="shared" si="525"/>
        <v>5.817131681434411</v>
      </c>
      <c r="AL327" s="6">
        <f t="shared" si="525"/>
        <v>5.7218509721716053</v>
      </c>
      <c r="AO327" s="2"/>
      <c r="AP327" s="2"/>
      <c r="AQ327" s="8"/>
      <c r="AR327" s="2"/>
      <c r="AS327" s="2"/>
      <c r="AT327" s="2"/>
      <c r="AU327" s="2"/>
      <c r="AV327" s="2"/>
    </row>
    <row r="328" spans="1:48" x14ac:dyDescent="0.2">
      <c r="A328" s="2"/>
      <c r="B328" s="43"/>
      <c r="C328" s="2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O328" s="2"/>
      <c r="AP328" s="2"/>
      <c r="AQ328" s="8"/>
      <c r="AR328" s="2"/>
      <c r="AS328" s="2"/>
      <c r="AT328" s="2"/>
      <c r="AU328" s="2"/>
      <c r="AV328" s="2"/>
    </row>
    <row r="329" spans="1:48" x14ac:dyDescent="0.2">
      <c r="A329" s="2"/>
      <c r="B329" s="130" t="s">
        <v>145</v>
      </c>
      <c r="C329" s="2"/>
      <c r="D329" s="2"/>
      <c r="E329" s="2"/>
      <c r="F329" s="2"/>
      <c r="G329" s="2"/>
      <c r="H329" s="2"/>
      <c r="I329" s="2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138"/>
      <c r="Y329" s="138"/>
      <c r="Z329" s="138"/>
      <c r="AA329" s="138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O329" s="2"/>
      <c r="AP329" s="2"/>
      <c r="AQ329" s="2"/>
      <c r="AR329" s="2"/>
      <c r="AS329" s="2"/>
      <c r="AT329" s="2"/>
      <c r="AU329" s="2"/>
      <c r="AV329" s="2"/>
    </row>
    <row r="330" spans="1:48" outlineLevel="1" x14ac:dyDescent="0.2">
      <c r="A330" s="2"/>
      <c r="B330" s="2" t="s">
        <v>152</v>
      </c>
      <c r="C330" s="2"/>
      <c r="D330" s="2"/>
      <c r="E330" s="2"/>
      <c r="F330" s="2"/>
      <c r="G330" s="2"/>
      <c r="H330" s="2"/>
      <c r="I330" s="2"/>
      <c r="J330" s="97"/>
      <c r="K330" s="97"/>
      <c r="L330" s="97"/>
      <c r="M330" s="97"/>
      <c r="N330" s="97"/>
      <c r="O330" s="97"/>
      <c r="P330" s="97">
        <v>2</v>
      </c>
      <c r="Q330" s="97">
        <v>3</v>
      </c>
      <c r="R330" s="97">
        <v>1</v>
      </c>
      <c r="S330" s="97">
        <v>2</v>
      </c>
      <c r="T330" s="97">
        <v>2</v>
      </c>
      <c r="U330" s="138">
        <v>2</v>
      </c>
      <c r="V330" s="138">
        <v>4</v>
      </c>
      <c r="W330" s="138">
        <v>0</v>
      </c>
      <c r="X330" s="138">
        <v>0</v>
      </c>
      <c r="Y330" s="138">
        <v>0</v>
      </c>
      <c r="Z330" s="138">
        <v>4</v>
      </c>
      <c r="AA330" s="237">
        <v>3</v>
      </c>
      <c r="AB330" s="237">
        <v>2</v>
      </c>
      <c r="AC330" s="138">
        <v>0</v>
      </c>
      <c r="AD330" s="138">
        <v>0</v>
      </c>
      <c r="AE330" s="138">
        <v>0</v>
      </c>
      <c r="AF330" s="138">
        <v>1</v>
      </c>
      <c r="AG330" s="138">
        <v>2</v>
      </c>
      <c r="AH330" s="138">
        <v>3</v>
      </c>
      <c r="AI330" s="138">
        <v>3</v>
      </c>
      <c r="AJ330" s="138">
        <v>3</v>
      </c>
      <c r="AK330" s="138">
        <v>3</v>
      </c>
      <c r="AL330" s="138">
        <v>3</v>
      </c>
      <c r="AO330" s="2"/>
      <c r="AP330" s="2"/>
      <c r="AQ330" s="2"/>
      <c r="AR330" s="2"/>
      <c r="AS330" s="2"/>
      <c r="AT330" s="2"/>
      <c r="AU330" s="2"/>
      <c r="AV330" s="2"/>
    </row>
    <row r="331" spans="1:48" outlineLevel="1" x14ac:dyDescent="0.2">
      <c r="A331" s="2"/>
      <c r="B331" s="2" t="s">
        <v>153</v>
      </c>
      <c r="C331" s="2"/>
      <c r="D331" s="2"/>
      <c r="E331" s="2"/>
      <c r="F331" s="2"/>
      <c r="G331" s="2"/>
      <c r="H331" s="2"/>
      <c r="I331" s="2"/>
      <c r="J331" s="97"/>
      <c r="K331" s="97"/>
      <c r="L331" s="97"/>
      <c r="M331" s="97"/>
      <c r="N331" s="97"/>
      <c r="O331" s="97"/>
      <c r="P331" s="97">
        <v>8</v>
      </c>
      <c r="Q331" s="97">
        <v>16</v>
      </c>
      <c r="R331" s="97">
        <v>20</v>
      </c>
      <c r="S331" s="97">
        <v>28</v>
      </c>
      <c r="T331" s="97">
        <v>31</v>
      </c>
      <c r="U331" s="138">
        <v>19</v>
      </c>
      <c r="V331" s="138">
        <v>27</v>
      </c>
      <c r="W331" s="138">
        <v>30</v>
      </c>
      <c r="X331" s="138">
        <v>30</v>
      </c>
      <c r="Y331" s="138">
        <v>30</v>
      </c>
      <c r="Z331" s="138">
        <v>50</v>
      </c>
      <c r="AA331" s="237">
        <v>55</v>
      </c>
      <c r="AB331" s="237">
        <v>60</v>
      </c>
      <c r="AC331" s="138">
        <v>30</v>
      </c>
      <c r="AD331" s="138">
        <v>30</v>
      </c>
      <c r="AE331" s="138">
        <v>30</v>
      </c>
      <c r="AF331" s="138">
        <v>31</v>
      </c>
      <c r="AG331" s="138">
        <v>32</v>
      </c>
      <c r="AH331" s="138">
        <v>33</v>
      </c>
      <c r="AI331" s="138">
        <v>33</v>
      </c>
      <c r="AJ331" s="138">
        <v>33</v>
      </c>
      <c r="AK331" s="138">
        <v>33</v>
      </c>
      <c r="AL331" s="138">
        <v>33</v>
      </c>
      <c r="AO331" s="2"/>
      <c r="AP331" s="2"/>
      <c r="AQ331" s="2"/>
      <c r="AR331" s="2"/>
      <c r="AS331" s="2"/>
      <c r="AT331" s="2"/>
      <c r="AU331" s="2"/>
      <c r="AV331" s="2"/>
    </row>
    <row r="332" spans="1:48" outlineLevel="1" x14ac:dyDescent="0.2">
      <c r="A332" s="2"/>
      <c r="B332" s="2" t="s">
        <v>175</v>
      </c>
      <c r="C332" s="2"/>
      <c r="D332" s="2"/>
      <c r="E332" s="2"/>
      <c r="F332" s="2"/>
      <c r="G332" s="2"/>
      <c r="H332" s="2"/>
      <c r="I332" s="2"/>
      <c r="J332" s="97"/>
      <c r="K332" s="97"/>
      <c r="L332" s="97"/>
      <c r="M332" s="97"/>
      <c r="N332" s="97"/>
      <c r="O332" s="97"/>
      <c r="P332" s="97">
        <v>2</v>
      </c>
      <c r="Q332" s="97">
        <v>1</v>
      </c>
      <c r="R332" s="97">
        <v>21</v>
      </c>
      <c r="S332" s="97">
        <v>10</v>
      </c>
      <c r="T332" s="97">
        <v>3</v>
      </c>
      <c r="U332" s="138">
        <v>16</v>
      </c>
      <c r="V332" s="138">
        <v>0</v>
      </c>
      <c r="W332" s="138">
        <v>0</v>
      </c>
      <c r="X332" s="138">
        <v>0</v>
      </c>
      <c r="Y332" s="138">
        <v>0</v>
      </c>
      <c r="Z332" s="138">
        <v>1</v>
      </c>
      <c r="AA332" s="237">
        <v>4</v>
      </c>
      <c r="AB332" s="237">
        <v>3</v>
      </c>
      <c r="AC332" s="138">
        <v>0</v>
      </c>
      <c r="AD332" s="138">
        <v>0</v>
      </c>
      <c r="AE332" s="138">
        <v>0</v>
      </c>
      <c r="AF332" s="138">
        <v>1</v>
      </c>
      <c r="AG332" s="138">
        <v>2</v>
      </c>
      <c r="AH332" s="138">
        <v>3</v>
      </c>
      <c r="AI332" s="138">
        <v>3</v>
      </c>
      <c r="AJ332" s="138">
        <v>3</v>
      </c>
      <c r="AK332" s="138">
        <v>3</v>
      </c>
      <c r="AL332" s="138">
        <v>3</v>
      </c>
      <c r="AO332" s="2"/>
      <c r="AP332" s="2"/>
      <c r="AQ332" s="2"/>
      <c r="AR332" s="2"/>
      <c r="AS332" s="2"/>
      <c r="AT332" s="2"/>
      <c r="AU332" s="2"/>
      <c r="AV332" s="2"/>
    </row>
    <row r="333" spans="1:48" outlineLevel="1" x14ac:dyDescent="0.2">
      <c r="A333" s="2"/>
      <c r="B333" s="2" t="s">
        <v>157</v>
      </c>
      <c r="C333" s="2"/>
      <c r="D333" s="2"/>
      <c r="E333" s="2"/>
      <c r="F333" s="2"/>
      <c r="G333" s="2"/>
      <c r="H333" s="2"/>
      <c r="I333" s="2"/>
      <c r="J333" s="97"/>
      <c r="K333" s="97"/>
      <c r="L333" s="97"/>
      <c r="M333" s="97"/>
      <c r="N333" s="97"/>
      <c r="O333" s="97"/>
      <c r="P333" s="97">
        <v>0</v>
      </c>
      <c r="Q333" s="97">
        <v>0</v>
      </c>
      <c r="R333" s="97">
        <v>0</v>
      </c>
      <c r="S333" s="97">
        <v>21</v>
      </c>
      <c r="T333" s="97">
        <v>0</v>
      </c>
      <c r="U333" s="97">
        <v>7</v>
      </c>
      <c r="V333" s="97">
        <v>1</v>
      </c>
      <c r="W333" s="97">
        <v>0</v>
      </c>
      <c r="X333" s="97">
        <v>0</v>
      </c>
      <c r="Y333" s="97">
        <v>0</v>
      </c>
      <c r="Z333" s="97">
        <v>1</v>
      </c>
      <c r="AA333" s="226">
        <v>2</v>
      </c>
      <c r="AB333" s="226">
        <v>0</v>
      </c>
      <c r="AC333" s="97">
        <v>0</v>
      </c>
      <c r="AD333" s="97">
        <v>0</v>
      </c>
      <c r="AE333" s="97">
        <v>0</v>
      </c>
      <c r="AF333" s="97">
        <v>1</v>
      </c>
      <c r="AG333" s="97">
        <v>2</v>
      </c>
      <c r="AH333" s="97">
        <v>3</v>
      </c>
      <c r="AI333" s="97">
        <v>3</v>
      </c>
      <c r="AJ333" s="97">
        <v>3</v>
      </c>
      <c r="AK333" s="97">
        <v>3</v>
      </c>
      <c r="AL333" s="97">
        <v>3</v>
      </c>
      <c r="AO333" s="2"/>
      <c r="AP333" s="2"/>
      <c r="AQ333" s="2"/>
      <c r="AR333" s="2"/>
      <c r="AS333" s="2"/>
      <c r="AT333" s="2"/>
      <c r="AU333" s="2"/>
      <c r="AV333" s="2"/>
    </row>
    <row r="334" spans="1:48" outlineLevel="1" x14ac:dyDescent="0.2">
      <c r="A334" s="2"/>
      <c r="B334" s="2" t="s">
        <v>158</v>
      </c>
      <c r="C334" s="2"/>
      <c r="D334" s="2"/>
      <c r="E334" s="2"/>
      <c r="F334" s="2"/>
      <c r="G334" s="2"/>
      <c r="H334" s="2"/>
      <c r="I334" s="2"/>
      <c r="J334" s="97"/>
      <c r="K334" s="97"/>
      <c r="L334" s="97"/>
      <c r="M334" s="97"/>
      <c r="N334" s="97"/>
      <c r="O334" s="97"/>
      <c r="P334" s="97">
        <v>24</v>
      </c>
      <c r="Q334" s="97">
        <v>35</v>
      </c>
      <c r="R334" s="97">
        <v>38</v>
      </c>
      <c r="S334" s="97">
        <v>42</v>
      </c>
      <c r="T334" s="97">
        <f t="shared" ref="T334:Z334" si="526">T335-SUM(T330:T333)</f>
        <v>64</v>
      </c>
      <c r="U334" s="138">
        <f t="shared" si="526"/>
        <v>66</v>
      </c>
      <c r="V334" s="138">
        <f t="shared" si="526"/>
        <v>66</v>
      </c>
      <c r="W334" s="138">
        <f t="shared" si="526"/>
        <v>97</v>
      </c>
      <c r="X334" s="138">
        <f t="shared" si="526"/>
        <v>112</v>
      </c>
      <c r="Y334" s="138">
        <f t="shared" si="526"/>
        <v>108</v>
      </c>
      <c r="Z334" s="138">
        <f t="shared" si="526"/>
        <v>40</v>
      </c>
      <c r="AA334" s="237">
        <f>69+39+94-4</f>
        <v>198</v>
      </c>
      <c r="AB334" s="237">
        <f>1+2+65</f>
        <v>68</v>
      </c>
      <c r="AC334" s="138">
        <f t="shared" ref="AC334:AL334" si="527">AB334*1.02</f>
        <v>69.36</v>
      </c>
      <c r="AD334" s="138">
        <f t="shared" si="527"/>
        <v>70.747200000000007</v>
      </c>
      <c r="AE334" s="138">
        <f t="shared" si="527"/>
        <v>72.162144000000012</v>
      </c>
      <c r="AF334" s="138">
        <f t="shared" si="527"/>
        <v>73.605386880000012</v>
      </c>
      <c r="AG334" s="138">
        <f t="shared" si="527"/>
        <v>75.07749461760001</v>
      </c>
      <c r="AH334" s="138">
        <f t="shared" si="527"/>
        <v>76.579044509952013</v>
      </c>
      <c r="AI334" s="138">
        <f t="shared" si="527"/>
        <v>78.110625400151051</v>
      </c>
      <c r="AJ334" s="138">
        <f t="shared" si="527"/>
        <v>79.672837908154079</v>
      </c>
      <c r="AK334" s="138">
        <f t="shared" si="527"/>
        <v>81.266294666317165</v>
      </c>
      <c r="AL334" s="138">
        <f t="shared" si="527"/>
        <v>82.891620559643513</v>
      </c>
      <c r="AO334" s="2"/>
      <c r="AP334" s="2"/>
      <c r="AQ334" s="2"/>
      <c r="AR334" s="2"/>
      <c r="AS334" s="2"/>
      <c r="AT334" s="2"/>
      <c r="AU334" s="2"/>
      <c r="AV334" s="2"/>
    </row>
    <row r="335" spans="1:48" x14ac:dyDescent="0.2">
      <c r="A335" s="4"/>
      <c r="B335" s="4" t="s">
        <v>331</v>
      </c>
      <c r="C335" s="4"/>
      <c r="D335" s="4"/>
      <c r="E335" s="4"/>
      <c r="F335" s="4"/>
      <c r="G335" s="4"/>
      <c r="H335" s="4"/>
      <c r="I335" s="4"/>
      <c r="J335" s="97"/>
      <c r="K335" s="97"/>
      <c r="L335" s="97"/>
      <c r="M335" s="97"/>
      <c r="N335" s="97"/>
      <c r="O335" s="97"/>
      <c r="P335" s="100">
        <f>P330+P331+P332+P333+P334</f>
        <v>36</v>
      </c>
      <c r="Q335" s="100">
        <f>Q330+Q331+Q332+Q333+Q334</f>
        <v>55</v>
      </c>
      <c r="R335" s="100">
        <f>R330+R331+R332+R333+R334</f>
        <v>80</v>
      </c>
      <c r="S335" s="100">
        <f>S330+S331+S332+S333+S334</f>
        <v>103</v>
      </c>
      <c r="T335" s="100">
        <v>100</v>
      </c>
      <c r="U335" s="100">
        <v>110</v>
      </c>
      <c r="V335" s="100">
        <v>98</v>
      </c>
      <c r="W335" s="100">
        <f>W96</f>
        <v>127</v>
      </c>
      <c r="X335" s="100">
        <f>X96</f>
        <v>142</v>
      </c>
      <c r="Y335" s="100">
        <f>Y96</f>
        <v>138</v>
      </c>
      <c r="Z335" s="100">
        <f>Z96</f>
        <v>96</v>
      </c>
      <c r="AA335" s="100">
        <f t="shared" ref="AA335:AH335" si="528">AA330+AA331+AA332+AA333+AA334</f>
        <v>262</v>
      </c>
      <c r="AB335" s="100">
        <f t="shared" si="528"/>
        <v>133</v>
      </c>
      <c r="AC335" s="100">
        <f t="shared" si="528"/>
        <v>99.36</v>
      </c>
      <c r="AD335" s="100">
        <f t="shared" si="528"/>
        <v>100.74720000000001</v>
      </c>
      <c r="AE335" s="100">
        <f t="shared" si="528"/>
        <v>102.16214400000001</v>
      </c>
      <c r="AF335" s="100">
        <f t="shared" si="528"/>
        <v>107.60538688000001</v>
      </c>
      <c r="AG335" s="100">
        <f t="shared" si="528"/>
        <v>113.07749461760001</v>
      </c>
      <c r="AH335" s="100">
        <f t="shared" si="528"/>
        <v>118.57904450995201</v>
      </c>
      <c r="AI335" s="100">
        <f t="shared" ref="AI335:AL335" si="529">AI330+AI331+AI332+AI333+AI334</f>
        <v>120.11062540015105</v>
      </c>
      <c r="AJ335" s="100">
        <f t="shared" si="529"/>
        <v>121.67283790815408</v>
      </c>
      <c r="AK335" s="100">
        <f t="shared" si="529"/>
        <v>123.26629466631717</v>
      </c>
      <c r="AL335" s="100">
        <f t="shared" si="529"/>
        <v>124.89162055964351</v>
      </c>
      <c r="AM335" s="4"/>
      <c r="AN335" s="4"/>
      <c r="AO335" s="4"/>
      <c r="AP335" s="4"/>
      <c r="AQ335" s="4"/>
      <c r="AR335" s="4"/>
      <c r="AS335" s="4"/>
      <c r="AT335" s="4"/>
      <c r="AU335" s="4"/>
      <c r="AV335" s="4"/>
    </row>
    <row r="336" spans="1:48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O336" s="2"/>
      <c r="AP336" s="2"/>
      <c r="AQ336" s="8"/>
      <c r="AR336" s="2"/>
      <c r="AS336" s="2"/>
      <c r="AT336" s="2"/>
      <c r="AU336" s="2"/>
      <c r="AV336" s="2"/>
    </row>
    <row r="337" spans="1:48" x14ac:dyDescent="0.2">
      <c r="A337" s="2"/>
      <c r="B337" s="130" t="s">
        <v>112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O337" s="2"/>
      <c r="AP337" s="2"/>
      <c r="AQ337" s="2"/>
      <c r="AR337" s="2"/>
      <c r="AS337" s="2"/>
      <c r="AT337" s="2"/>
      <c r="AU337" s="2"/>
      <c r="AV337" s="2"/>
    </row>
    <row r="338" spans="1:48" x14ac:dyDescent="0.2">
      <c r="A338" s="2"/>
      <c r="B338" s="2" t="s">
        <v>301</v>
      </c>
      <c r="C338" s="2"/>
      <c r="D338" s="6"/>
      <c r="E338" s="6"/>
      <c r="F338" s="6"/>
      <c r="G338" s="6"/>
      <c r="H338" s="36"/>
      <c r="I338" s="36"/>
      <c r="J338" s="36"/>
      <c r="K338" s="36"/>
      <c r="L338" s="36"/>
      <c r="M338" s="36"/>
      <c r="N338" s="6">
        <f t="shared" ref="N338:S338" si="530">+N324</f>
        <v>6266.8</v>
      </c>
      <c r="O338" s="6">
        <f t="shared" si="530"/>
        <v>5860.0079999999998</v>
      </c>
      <c r="P338" s="6">
        <f t="shared" si="530"/>
        <v>6636</v>
      </c>
      <c r="Q338" s="6">
        <f t="shared" si="530"/>
        <v>10084</v>
      </c>
      <c r="R338" s="6">
        <f t="shared" si="530"/>
        <v>10299</v>
      </c>
      <c r="S338" s="6">
        <f t="shared" si="530"/>
        <v>10799</v>
      </c>
      <c r="T338" s="6">
        <f t="shared" ref="T338:Y338" si="531">+T324</f>
        <v>10381</v>
      </c>
      <c r="U338" s="6">
        <f t="shared" si="531"/>
        <v>11990</v>
      </c>
      <c r="V338" s="6">
        <f t="shared" si="531"/>
        <v>13322</v>
      </c>
      <c r="W338" s="6">
        <f>+W324</f>
        <v>14883</v>
      </c>
      <c r="X338" s="6">
        <f t="shared" si="531"/>
        <v>14203</v>
      </c>
      <c r="Y338" s="6">
        <f t="shared" si="531"/>
        <v>14533.9</v>
      </c>
      <c r="Z338" s="6">
        <f t="shared" ref="Z338:AH338" si="532">+Z324</f>
        <v>16915.049641526937</v>
      </c>
      <c r="AA338" s="6">
        <f t="shared" si="532"/>
        <v>18483</v>
      </c>
      <c r="AB338" s="6">
        <f t="shared" ref="AB338" si="533">+AB324</f>
        <v>21217</v>
      </c>
      <c r="AC338" s="6">
        <f t="shared" si="532"/>
        <v>22404.229955568389</v>
      </c>
      <c r="AD338" s="6">
        <f t="shared" si="532"/>
        <v>24520.882672427644</v>
      </c>
      <c r="AE338" s="6">
        <f t="shared" si="532"/>
        <v>26517.6356799444</v>
      </c>
      <c r="AF338" s="6">
        <f t="shared" si="532"/>
        <v>28386.247294431065</v>
      </c>
      <c r="AG338" s="6">
        <f t="shared" si="532"/>
        <v>30268.657278039078</v>
      </c>
      <c r="AH338" s="6">
        <f t="shared" si="532"/>
        <v>32218.84696009658</v>
      </c>
      <c r="AI338" s="6">
        <f t="shared" ref="AI338:AL338" si="534">+AI324</f>
        <v>34083.310618779593</v>
      </c>
      <c r="AJ338" s="6">
        <f t="shared" si="534"/>
        <v>36060.855586066784</v>
      </c>
      <c r="AK338" s="6">
        <f t="shared" si="534"/>
        <v>38158.56304096018</v>
      </c>
      <c r="AL338" s="6">
        <f t="shared" si="534"/>
        <v>40341.939151286075</v>
      </c>
      <c r="AO338" s="2"/>
      <c r="AP338" s="2"/>
      <c r="AQ338" s="2"/>
      <c r="AR338" s="2"/>
      <c r="AS338" s="2"/>
      <c r="AT338" s="2"/>
      <c r="AU338" s="2"/>
      <c r="AV338" s="2"/>
    </row>
    <row r="339" spans="1:48" hidden="1" x14ac:dyDescent="0.2">
      <c r="A339" s="2"/>
      <c r="B339" s="2"/>
      <c r="C339" s="2"/>
      <c r="D339" s="6"/>
      <c r="E339" s="6"/>
      <c r="F339" s="6"/>
      <c r="G339" s="6"/>
      <c r="H339" s="36"/>
      <c r="I339" s="36"/>
      <c r="J339" s="36"/>
      <c r="K339" s="36"/>
      <c r="L339" s="36"/>
      <c r="M339" s="36"/>
      <c r="N339" s="6"/>
      <c r="O339" s="6"/>
      <c r="P339" s="6"/>
      <c r="Q339" s="6"/>
      <c r="R339" s="6"/>
      <c r="S339" s="6"/>
      <c r="T339" s="6"/>
      <c r="U339" s="74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O339" s="2"/>
      <c r="AP339" s="2"/>
      <c r="AQ339" s="2"/>
      <c r="AR339" s="2"/>
      <c r="AS339" s="2"/>
      <c r="AT339" s="2"/>
      <c r="AU339" s="2"/>
      <c r="AV339" s="2"/>
    </row>
    <row r="340" spans="1:48" hidden="1" x14ac:dyDescent="0.2">
      <c r="A340" s="2"/>
      <c r="B340" s="2" t="s">
        <v>235</v>
      </c>
      <c r="C340" s="2"/>
      <c r="D340" s="6"/>
      <c r="E340" s="6"/>
      <c r="F340" s="6"/>
      <c r="G340" s="6"/>
      <c r="H340" s="36"/>
      <c r="I340" s="36"/>
      <c r="J340" s="36"/>
      <c r="K340" s="36"/>
      <c r="L340" s="36"/>
      <c r="M340" s="36"/>
      <c r="N340" s="6"/>
      <c r="O340" s="6"/>
      <c r="P340" s="6"/>
      <c r="Q340" s="6"/>
      <c r="R340" s="6"/>
      <c r="S340" s="6"/>
      <c r="T340" s="6"/>
      <c r="U340" s="74"/>
      <c r="V340" s="6">
        <v>1250</v>
      </c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O340" s="2"/>
      <c r="AP340" s="2"/>
      <c r="AQ340" s="2"/>
      <c r="AR340" s="2"/>
      <c r="AS340" s="2"/>
      <c r="AT340" s="2"/>
      <c r="AU340" s="2"/>
      <c r="AV340" s="2"/>
    </row>
    <row r="341" spans="1:48" hidden="1" x14ac:dyDescent="0.2">
      <c r="A341" s="2"/>
      <c r="B341" s="2" t="s">
        <v>236</v>
      </c>
      <c r="C341" s="2"/>
      <c r="D341" s="6"/>
      <c r="E341" s="6"/>
      <c r="F341" s="6"/>
      <c r="G341" s="6"/>
      <c r="H341" s="36"/>
      <c r="I341" s="36"/>
      <c r="J341" s="36"/>
      <c r="K341" s="36"/>
      <c r="L341" s="36"/>
      <c r="M341" s="36"/>
      <c r="N341" s="6"/>
      <c r="O341" s="6"/>
      <c r="P341" s="6"/>
      <c r="Q341" s="6"/>
      <c r="R341" s="6"/>
      <c r="S341" s="6"/>
      <c r="T341" s="6"/>
      <c r="U341" s="74"/>
      <c r="V341" s="6">
        <v>12.798198013719668</v>
      </c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O341" s="2"/>
      <c r="AP341" s="2"/>
      <c r="AQ341" s="2"/>
      <c r="AR341" s="2"/>
      <c r="AS341" s="2"/>
      <c r="AT341" s="2"/>
      <c r="AU341" s="2"/>
      <c r="AV341" s="2"/>
    </row>
    <row r="342" spans="1:48" hidden="1" x14ac:dyDescent="0.2">
      <c r="A342" s="2"/>
      <c r="B342" s="2"/>
      <c r="C342" s="2"/>
      <c r="D342" s="6"/>
      <c r="E342" s="6"/>
      <c r="F342" s="6"/>
      <c r="G342" s="6"/>
      <c r="H342" s="36"/>
      <c r="I342" s="36"/>
      <c r="J342" s="36"/>
      <c r="K342" s="36"/>
      <c r="L342" s="36"/>
      <c r="M342" s="36"/>
      <c r="N342" s="6"/>
      <c r="O342" s="6"/>
      <c r="P342" s="6"/>
      <c r="Q342" s="6"/>
      <c r="R342" s="6"/>
      <c r="S342" s="6"/>
      <c r="T342" s="6"/>
      <c r="U342" s="74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O342" s="2"/>
      <c r="AP342" s="2"/>
      <c r="AQ342" s="2"/>
      <c r="AR342" s="2"/>
      <c r="AS342" s="2"/>
      <c r="AT342" s="2"/>
      <c r="AU342" s="2"/>
      <c r="AV342" s="2"/>
    </row>
    <row r="343" spans="1:48" hidden="1" x14ac:dyDescent="0.2">
      <c r="A343" s="2"/>
      <c r="B343" s="2" t="s">
        <v>237</v>
      </c>
      <c r="C343" s="2"/>
      <c r="D343" s="6"/>
      <c r="E343" s="6"/>
      <c r="F343" s="6"/>
      <c r="G343" s="6"/>
      <c r="H343" s="36"/>
      <c r="I343" s="36"/>
      <c r="J343" s="36"/>
      <c r="K343" s="36"/>
      <c r="L343" s="36"/>
      <c r="M343" s="36"/>
      <c r="N343" s="6"/>
      <c r="O343" s="6"/>
      <c r="P343" s="6"/>
      <c r="Q343" s="6"/>
      <c r="R343" s="6"/>
      <c r="S343" s="6"/>
      <c r="T343" s="6"/>
      <c r="U343" s="74"/>
      <c r="V343" s="6">
        <v>286</v>
      </c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O343" s="2"/>
      <c r="AP343" s="2"/>
      <c r="AQ343" s="2"/>
      <c r="AR343" s="2"/>
      <c r="AS343" s="2"/>
      <c r="AT343" s="2"/>
      <c r="AU343" s="2"/>
      <c r="AV343" s="2"/>
    </row>
    <row r="344" spans="1:48" hidden="1" x14ac:dyDescent="0.2">
      <c r="A344" s="2"/>
      <c r="B344" s="2" t="s">
        <v>236</v>
      </c>
      <c r="C344" s="2"/>
      <c r="D344" s="6"/>
      <c r="E344" s="6"/>
      <c r="F344" s="6"/>
      <c r="G344" s="6"/>
      <c r="H344" s="36"/>
      <c r="I344" s="36"/>
      <c r="J344" s="36"/>
      <c r="K344" s="36"/>
      <c r="L344" s="36"/>
      <c r="M344" s="36"/>
      <c r="N344" s="6"/>
      <c r="O344" s="6"/>
      <c r="P344" s="6"/>
      <c r="Q344" s="6"/>
      <c r="R344" s="6"/>
      <c r="S344" s="6"/>
      <c r="T344" s="6"/>
      <c r="U344" s="74"/>
      <c r="V344" s="6">
        <v>14.749871067560598</v>
      </c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O344" s="2"/>
      <c r="AP344" s="2"/>
      <c r="AQ344" s="2"/>
      <c r="AR344" s="2"/>
      <c r="AS344" s="2"/>
      <c r="AT344" s="2"/>
      <c r="AU344" s="2"/>
      <c r="AV344" s="2"/>
    </row>
    <row r="345" spans="1:48" hidden="1" x14ac:dyDescent="0.2">
      <c r="A345" s="2"/>
      <c r="B345" s="2"/>
      <c r="C345" s="2"/>
      <c r="D345" s="6"/>
      <c r="E345" s="6"/>
      <c r="F345" s="6"/>
      <c r="G345" s="6"/>
      <c r="H345" s="36"/>
      <c r="I345" s="36"/>
      <c r="J345" s="36"/>
      <c r="K345" s="36"/>
      <c r="L345" s="36"/>
      <c r="M345" s="36"/>
      <c r="N345" s="6"/>
      <c r="O345" s="6"/>
      <c r="P345" s="6"/>
      <c r="Q345" s="6"/>
      <c r="R345" s="6"/>
      <c r="S345" s="6"/>
      <c r="T345" s="6"/>
      <c r="U345" s="74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O345" s="2"/>
      <c r="AP345" s="2"/>
      <c r="AQ345" s="2"/>
      <c r="AR345" s="2"/>
      <c r="AS345" s="2"/>
      <c r="AT345" s="2"/>
      <c r="AU345" s="2"/>
      <c r="AV345" s="2"/>
    </row>
    <row r="346" spans="1:48" hidden="1" x14ac:dyDescent="0.2">
      <c r="A346" s="2"/>
      <c r="B346" s="2" t="s">
        <v>238</v>
      </c>
      <c r="C346" s="2"/>
      <c r="D346" s="6"/>
      <c r="E346" s="6"/>
      <c r="F346" s="6"/>
      <c r="G346" s="6"/>
      <c r="H346" s="36"/>
      <c r="I346" s="36"/>
      <c r="J346" s="36"/>
      <c r="K346" s="36"/>
      <c r="L346" s="36"/>
      <c r="M346" s="36"/>
      <c r="N346" s="6"/>
      <c r="O346" s="6"/>
      <c r="P346" s="6"/>
      <c r="Q346" s="6"/>
      <c r="R346" s="6"/>
      <c r="S346" s="6"/>
      <c r="T346" s="6"/>
      <c r="U346" s="74"/>
      <c r="V346" s="6">
        <f>V348-V340-V343</f>
        <v>164</v>
      </c>
      <c r="W346" s="151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O346" s="2"/>
      <c r="AP346" s="2"/>
      <c r="AQ346" s="6"/>
      <c r="AR346" s="2"/>
      <c r="AS346" s="2"/>
      <c r="AT346" s="2"/>
      <c r="AU346" s="2"/>
      <c r="AV346" s="2"/>
    </row>
    <row r="347" spans="1:48" hidden="1" x14ac:dyDescent="0.2">
      <c r="A347" s="2"/>
      <c r="B347" s="2" t="s">
        <v>236</v>
      </c>
      <c r="C347" s="2"/>
      <c r="D347" s="6"/>
      <c r="E347" s="6"/>
      <c r="F347" s="6"/>
      <c r="G347" s="6"/>
      <c r="H347" s="36"/>
      <c r="I347" s="36"/>
      <c r="J347" s="36"/>
      <c r="K347" s="36"/>
      <c r="L347" s="36"/>
      <c r="M347" s="36"/>
      <c r="N347" s="6"/>
      <c r="O347" s="6"/>
      <c r="P347" s="6"/>
      <c r="Q347" s="6"/>
      <c r="R347" s="6"/>
      <c r="S347" s="6"/>
      <c r="T347" s="6"/>
      <c r="U347" s="74"/>
      <c r="V347" s="6">
        <v>10.379746835443038</v>
      </c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O347" s="2"/>
      <c r="AP347" s="2"/>
      <c r="AQ347" s="6"/>
      <c r="AR347" s="2"/>
      <c r="AS347" s="2"/>
      <c r="AT347" s="2"/>
      <c r="AU347" s="2"/>
      <c r="AV347" s="2"/>
    </row>
    <row r="348" spans="1:48" x14ac:dyDescent="0.2">
      <c r="A348" s="8"/>
      <c r="B348" s="8" t="s">
        <v>142</v>
      </c>
      <c r="C348" s="8"/>
      <c r="D348" s="9"/>
      <c r="E348" s="9"/>
      <c r="F348" s="9"/>
      <c r="G348" s="9"/>
      <c r="H348" s="37"/>
      <c r="I348" s="37"/>
      <c r="J348" s="37"/>
      <c r="K348" s="37"/>
      <c r="L348" s="37"/>
      <c r="M348" s="37"/>
      <c r="N348" s="9">
        <f t="shared" ref="N348:AA348" si="535">+-N98</f>
        <v>807</v>
      </c>
      <c r="O348" s="9">
        <f t="shared" si="535"/>
        <v>833</v>
      </c>
      <c r="P348" s="9">
        <f t="shared" si="535"/>
        <v>942</v>
      </c>
      <c r="Q348" s="9">
        <f t="shared" si="535"/>
        <v>1301</v>
      </c>
      <c r="R348" s="9">
        <f t="shared" si="535"/>
        <v>1378</v>
      </c>
      <c r="S348" s="9">
        <f t="shared" si="535"/>
        <v>1429</v>
      </c>
      <c r="T348" s="9">
        <f t="shared" si="535"/>
        <v>1269</v>
      </c>
      <c r="U348" s="9">
        <f t="shared" si="535"/>
        <v>1596</v>
      </c>
      <c r="V348" s="9">
        <f t="shared" si="535"/>
        <v>1700</v>
      </c>
      <c r="W348" s="9">
        <f t="shared" si="535"/>
        <v>1806</v>
      </c>
      <c r="X348" s="9">
        <f t="shared" si="535"/>
        <v>1787</v>
      </c>
      <c r="Y348" s="9">
        <f t="shared" si="535"/>
        <v>1923</v>
      </c>
      <c r="Z348" s="9">
        <f t="shared" si="535"/>
        <v>2348</v>
      </c>
      <c r="AA348" s="9">
        <f t="shared" si="535"/>
        <v>2486</v>
      </c>
      <c r="AB348" s="9">
        <f t="shared" ref="AB348" si="536">+-AB98</f>
        <v>2733</v>
      </c>
      <c r="AC348" s="9">
        <f t="shared" ref="AC348:AH348" si="537">AC338*(AC349/100)</f>
        <v>2912.5498942238905</v>
      </c>
      <c r="AD348" s="9">
        <f t="shared" si="537"/>
        <v>3310.3191607777321</v>
      </c>
      <c r="AE348" s="9">
        <f t="shared" si="537"/>
        <v>3632.9160881523821</v>
      </c>
      <c r="AF348" s="9">
        <f t="shared" si="537"/>
        <v>3860.5296320426251</v>
      </c>
      <c r="AG348" s="9">
        <f t="shared" si="537"/>
        <v>4116.5373898133148</v>
      </c>
      <c r="AH348" s="9">
        <f t="shared" si="537"/>
        <v>4381.7631865731355</v>
      </c>
      <c r="AI348" s="9">
        <f t="shared" ref="AI348:AL348" si="538">AI338*(AI349/100)</f>
        <v>4635.3302441540254</v>
      </c>
      <c r="AJ348" s="9">
        <f t="shared" si="538"/>
        <v>4904.2763597050825</v>
      </c>
      <c r="AK348" s="9">
        <f t="shared" si="538"/>
        <v>5189.5645735705848</v>
      </c>
      <c r="AL348" s="9">
        <f t="shared" si="538"/>
        <v>5486.5037245749063</v>
      </c>
      <c r="AM348" s="8"/>
      <c r="AN348" s="8"/>
      <c r="AO348" s="8"/>
      <c r="AP348" s="8"/>
      <c r="AQ348" s="8"/>
      <c r="AR348" s="8"/>
      <c r="AS348" s="8"/>
      <c r="AT348" s="8"/>
      <c r="AU348" s="8"/>
      <c r="AV348" s="8"/>
    </row>
    <row r="349" spans="1:48" x14ac:dyDescent="0.2">
      <c r="A349" s="35"/>
      <c r="B349" s="66" t="s">
        <v>248</v>
      </c>
      <c r="C349" s="35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>
        <f t="shared" ref="N349:Y349" si="539">N348/N338%</f>
        <v>12.87738558754069</v>
      </c>
      <c r="O349" s="36">
        <f t="shared" si="539"/>
        <v>14.214997658706269</v>
      </c>
      <c r="P349" s="36">
        <f t="shared" si="539"/>
        <v>14.195298372513562</v>
      </c>
      <c r="Q349" s="36">
        <f t="shared" si="539"/>
        <v>12.901626338754463</v>
      </c>
      <c r="R349" s="36">
        <f t="shared" si="539"/>
        <v>13.379939799980582</v>
      </c>
      <c r="S349" s="36">
        <f t="shared" si="539"/>
        <v>13.232706732104825</v>
      </c>
      <c r="T349" s="36">
        <f t="shared" si="539"/>
        <v>12.224255852037375</v>
      </c>
      <c r="U349" s="36">
        <f t="shared" si="539"/>
        <v>13.311092577147623</v>
      </c>
      <c r="V349" s="36">
        <f t="shared" si="539"/>
        <v>12.760846719711756</v>
      </c>
      <c r="W349" s="36">
        <f>W348/W338%</f>
        <v>12.134650272122554</v>
      </c>
      <c r="X349" s="36">
        <f t="shared" si="539"/>
        <v>12.581848905160882</v>
      </c>
      <c r="Y349" s="36">
        <f t="shared" si="539"/>
        <v>13.231135483249506</v>
      </c>
      <c r="Z349" s="36">
        <f>Z348/Z338%</f>
        <v>13.881129820840679</v>
      </c>
      <c r="AA349" s="36">
        <f>AA348/AA338%</f>
        <v>13.450197478764268</v>
      </c>
      <c r="AB349" s="36">
        <f>AB348/AB338%</f>
        <v>12.881180185700147</v>
      </c>
      <c r="AC349" s="114">
        <v>13</v>
      </c>
      <c r="AD349" s="114">
        <v>13.5</v>
      </c>
      <c r="AE349" s="114">
        <v>13.7</v>
      </c>
      <c r="AF349" s="114">
        <v>13.6</v>
      </c>
      <c r="AG349" s="114">
        <v>13.6</v>
      </c>
      <c r="AH349" s="114">
        <v>13.6</v>
      </c>
      <c r="AI349" s="114">
        <v>13.6</v>
      </c>
      <c r="AJ349" s="114">
        <v>13.6</v>
      </c>
      <c r="AK349" s="114">
        <v>13.6</v>
      </c>
      <c r="AL349" s="114">
        <v>13.6</v>
      </c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</row>
    <row r="350" spans="1:48" x14ac:dyDescent="0.2">
      <c r="A350" s="2"/>
      <c r="B350" s="66" t="s">
        <v>247</v>
      </c>
      <c r="C350" s="2"/>
      <c r="D350" s="6"/>
      <c r="E350" s="6"/>
      <c r="F350" s="6"/>
      <c r="G350" s="6"/>
      <c r="H350" s="36"/>
      <c r="I350" s="36"/>
      <c r="J350" s="36"/>
      <c r="K350" s="36"/>
      <c r="L350" s="36"/>
      <c r="M350" s="36"/>
      <c r="N350" s="6"/>
      <c r="O350" s="6">
        <f>(O348-N348)/N348%</f>
        <v>3.2218091697645601</v>
      </c>
      <c r="P350" s="6">
        <f t="shared" ref="P350:Z350" si="540">(P348-O348)/O348%</f>
        <v>13.085234093637455</v>
      </c>
      <c r="Q350" s="6">
        <f t="shared" si="540"/>
        <v>38.110403397027603</v>
      </c>
      <c r="R350" s="6">
        <f t="shared" si="540"/>
        <v>5.9185242121445043</v>
      </c>
      <c r="S350" s="6">
        <f t="shared" si="540"/>
        <v>3.7010159651669086</v>
      </c>
      <c r="T350" s="6">
        <f t="shared" si="540"/>
        <v>-11.196641007697691</v>
      </c>
      <c r="U350" s="6">
        <f t="shared" si="540"/>
        <v>25.768321513002366</v>
      </c>
      <c r="V350" s="6">
        <f t="shared" si="540"/>
        <v>6.5162907268170427</v>
      </c>
      <c r="W350" s="6">
        <f t="shared" si="540"/>
        <v>6.2352941176470589</v>
      </c>
      <c r="X350" s="6">
        <f t="shared" si="540"/>
        <v>-1.0520487264673313</v>
      </c>
      <c r="Y350" s="6">
        <f t="shared" si="540"/>
        <v>7.6105204252937879</v>
      </c>
      <c r="Z350" s="6">
        <f t="shared" si="540"/>
        <v>22.100884035361414</v>
      </c>
      <c r="AA350" s="6">
        <f t="shared" ref="AA350:AL350" si="541">(AA348-Z348)/Z348%</f>
        <v>5.877342419080068</v>
      </c>
      <c r="AB350" s="6">
        <f t="shared" si="541"/>
        <v>9.9356395816572807</v>
      </c>
      <c r="AC350" s="6">
        <f t="shared" si="541"/>
        <v>6.56969975206332</v>
      </c>
      <c r="AD350" s="6">
        <f t="shared" si="541"/>
        <v>13.657079912783278</v>
      </c>
      <c r="AE350" s="6">
        <f t="shared" si="541"/>
        <v>9.745191073928309</v>
      </c>
      <c r="AF350" s="6">
        <f t="shared" si="541"/>
        <v>6.2653124478303583</v>
      </c>
      <c r="AG350" s="6">
        <f t="shared" si="541"/>
        <v>6.6314154318570742</v>
      </c>
      <c r="AH350" s="6">
        <f t="shared" si="541"/>
        <v>6.4429342343918004</v>
      </c>
      <c r="AI350" s="6">
        <f t="shared" si="541"/>
        <v>5.7868726990515018</v>
      </c>
      <c r="AJ350" s="6">
        <f t="shared" si="541"/>
        <v>5.8020917903367497</v>
      </c>
      <c r="AK350" s="6">
        <f t="shared" si="541"/>
        <v>5.8171316814344047</v>
      </c>
      <c r="AL350" s="6">
        <f t="shared" si="541"/>
        <v>5.7218509721716009</v>
      </c>
      <c r="AO350" s="2"/>
      <c r="AP350" s="2"/>
      <c r="AQ350" s="2"/>
      <c r="AR350" s="2"/>
      <c r="AS350" s="2"/>
      <c r="AT350" s="2"/>
      <c r="AU350" s="2"/>
      <c r="AV350" s="2"/>
    </row>
    <row r="351" spans="1:48" x14ac:dyDescent="0.2">
      <c r="A351" s="2"/>
      <c r="B351" s="66"/>
      <c r="C351" s="2"/>
      <c r="D351" s="6"/>
      <c r="E351" s="6"/>
      <c r="F351" s="6"/>
      <c r="G351" s="6"/>
      <c r="H351" s="36"/>
      <c r="I351" s="36"/>
      <c r="J351" s="36"/>
      <c r="K351" s="36"/>
      <c r="L351" s="36"/>
      <c r="M351" s="3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219"/>
      <c r="AA351" s="219"/>
      <c r="AB351" s="219"/>
      <c r="AC351" s="219"/>
      <c r="AD351" s="219"/>
      <c r="AE351" s="219"/>
      <c r="AF351" s="219"/>
      <c r="AG351" s="219"/>
      <c r="AH351" s="219"/>
      <c r="AI351" s="219"/>
      <c r="AJ351" s="219"/>
      <c r="AK351" s="219"/>
      <c r="AL351" s="219"/>
      <c r="AO351" s="2"/>
      <c r="AP351" s="2"/>
      <c r="AQ351" s="2"/>
      <c r="AR351" s="2"/>
      <c r="AS351" s="2"/>
      <c r="AT351" s="2"/>
      <c r="AU351" s="2"/>
      <c r="AV351" s="2"/>
    </row>
    <row r="352" spans="1:48" hidden="1" x14ac:dyDescent="0.2">
      <c r="A352" s="2"/>
      <c r="B352" s="35" t="s">
        <v>155</v>
      </c>
      <c r="C352" s="2"/>
      <c r="D352" s="6"/>
      <c r="E352" s="6"/>
      <c r="F352" s="6"/>
      <c r="G352" s="6"/>
      <c r="H352" s="36"/>
      <c r="I352" s="36"/>
      <c r="J352" s="36"/>
      <c r="K352" s="36"/>
      <c r="L352" s="36"/>
      <c r="M352" s="3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14">
        <v>0</v>
      </c>
      <c r="AA352" s="221">
        <v>0</v>
      </c>
      <c r="AB352" s="221">
        <v>0</v>
      </c>
      <c r="AC352" s="221">
        <v>0</v>
      </c>
      <c r="AD352" s="14">
        <f t="shared" ref="AD352:AE354" si="542">AC352</f>
        <v>0</v>
      </c>
      <c r="AE352" s="14">
        <f t="shared" si="542"/>
        <v>0</v>
      </c>
      <c r="AF352" s="14">
        <f t="shared" ref="AF352:AL354" si="543">AE352</f>
        <v>0</v>
      </c>
      <c r="AG352" s="14">
        <f t="shared" si="543"/>
        <v>0</v>
      </c>
      <c r="AH352" s="14">
        <f t="shared" si="543"/>
        <v>0</v>
      </c>
      <c r="AI352" s="14">
        <f t="shared" si="543"/>
        <v>0</v>
      </c>
      <c r="AJ352" s="14">
        <f t="shared" si="543"/>
        <v>0</v>
      </c>
      <c r="AK352" s="14">
        <f t="shared" si="543"/>
        <v>0</v>
      </c>
      <c r="AL352" s="14">
        <f t="shared" si="543"/>
        <v>0</v>
      </c>
      <c r="AO352" s="2"/>
      <c r="AP352" s="2"/>
      <c r="AQ352" s="2"/>
      <c r="AR352" s="2"/>
      <c r="AS352" s="2"/>
      <c r="AT352" s="2"/>
      <c r="AU352" s="2"/>
      <c r="AV352" s="2"/>
    </row>
    <row r="353" spans="1:48" hidden="1" x14ac:dyDescent="0.2">
      <c r="A353" s="2"/>
      <c r="B353" s="35" t="s">
        <v>418</v>
      </c>
      <c r="C353" s="2"/>
      <c r="D353" s="6"/>
      <c r="E353" s="6"/>
      <c r="F353" s="6"/>
      <c r="G353" s="6"/>
      <c r="H353" s="36"/>
      <c r="I353" s="36"/>
      <c r="J353" s="36"/>
      <c r="K353" s="36"/>
      <c r="L353" s="36"/>
      <c r="M353" s="3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14">
        <v>0</v>
      </c>
      <c r="AA353" s="221">
        <v>0</v>
      </c>
      <c r="AB353" s="221">
        <v>0</v>
      </c>
      <c r="AC353" s="221">
        <v>0</v>
      </c>
      <c r="AD353" s="14">
        <f t="shared" si="542"/>
        <v>0</v>
      </c>
      <c r="AE353" s="14">
        <f t="shared" si="542"/>
        <v>0</v>
      </c>
      <c r="AF353" s="14">
        <f t="shared" si="543"/>
        <v>0</v>
      </c>
      <c r="AG353" s="14">
        <f t="shared" si="543"/>
        <v>0</v>
      </c>
      <c r="AH353" s="14">
        <f t="shared" si="543"/>
        <v>0</v>
      </c>
      <c r="AI353" s="14">
        <f t="shared" si="543"/>
        <v>0</v>
      </c>
      <c r="AJ353" s="14">
        <f t="shared" si="543"/>
        <v>0</v>
      </c>
      <c r="AK353" s="14">
        <f t="shared" si="543"/>
        <v>0</v>
      </c>
      <c r="AL353" s="14">
        <f t="shared" si="543"/>
        <v>0</v>
      </c>
      <c r="AO353" s="2"/>
      <c r="AP353" s="2"/>
      <c r="AQ353" s="2"/>
      <c r="AR353" s="2"/>
      <c r="AS353" s="2"/>
      <c r="AT353" s="2"/>
      <c r="AU353" s="2"/>
      <c r="AV353" s="2"/>
    </row>
    <row r="354" spans="1:48" hidden="1" x14ac:dyDescent="0.2">
      <c r="A354" s="2"/>
      <c r="B354" s="35" t="s">
        <v>419</v>
      </c>
      <c r="C354" s="2"/>
      <c r="D354" s="6"/>
      <c r="E354" s="6"/>
      <c r="F354" s="6"/>
      <c r="G354" s="6"/>
      <c r="H354" s="36"/>
      <c r="I354" s="36"/>
      <c r="J354" s="36"/>
      <c r="K354" s="36"/>
      <c r="L354" s="36"/>
      <c r="M354" s="3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14">
        <v>0</v>
      </c>
      <c r="AA354" s="221">
        <v>0</v>
      </c>
      <c r="AB354" s="221">
        <v>0</v>
      </c>
      <c r="AC354" s="221">
        <v>0</v>
      </c>
      <c r="AD354" s="14">
        <f t="shared" si="542"/>
        <v>0</v>
      </c>
      <c r="AE354" s="14">
        <f t="shared" si="542"/>
        <v>0</v>
      </c>
      <c r="AF354" s="14">
        <f t="shared" si="543"/>
        <v>0</v>
      </c>
      <c r="AG354" s="14">
        <f t="shared" si="543"/>
        <v>0</v>
      </c>
      <c r="AH354" s="14">
        <f t="shared" si="543"/>
        <v>0</v>
      </c>
      <c r="AI354" s="14">
        <f t="shared" si="543"/>
        <v>0</v>
      </c>
      <c r="AJ354" s="14">
        <f t="shared" si="543"/>
        <v>0</v>
      </c>
      <c r="AK354" s="14">
        <f t="shared" si="543"/>
        <v>0</v>
      </c>
      <c r="AL354" s="14">
        <f t="shared" si="543"/>
        <v>0</v>
      </c>
      <c r="AO354" s="2"/>
      <c r="AP354" s="2"/>
      <c r="AQ354" s="2"/>
      <c r="AR354" s="2"/>
      <c r="AS354" s="2"/>
      <c r="AT354" s="2"/>
      <c r="AU354" s="2"/>
      <c r="AV354" s="2"/>
    </row>
    <row r="355" spans="1:48" x14ac:dyDescent="0.2">
      <c r="A355" s="8"/>
      <c r="B355" s="31" t="s">
        <v>417</v>
      </c>
      <c r="C355" s="8"/>
      <c r="D355" s="9"/>
      <c r="E355" s="9"/>
      <c r="F355" s="9"/>
      <c r="G355" s="9"/>
      <c r="H355" s="37"/>
      <c r="I355" s="37"/>
      <c r="J355" s="37"/>
      <c r="K355" s="37"/>
      <c r="L355" s="37"/>
      <c r="M355" s="37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>
        <v>0</v>
      </c>
      <c r="Z355" s="55">
        <v>0</v>
      </c>
      <c r="AA355" s="55">
        <f t="shared" ref="AA355:AH355" si="544">AA352+AA353+AA354</f>
        <v>0</v>
      </c>
      <c r="AB355" s="55">
        <f t="shared" si="544"/>
        <v>0</v>
      </c>
      <c r="AC355" s="55">
        <f t="shared" si="544"/>
        <v>0</v>
      </c>
      <c r="AD355" s="55">
        <f t="shared" si="544"/>
        <v>0</v>
      </c>
      <c r="AE355" s="55">
        <f t="shared" si="544"/>
        <v>0</v>
      </c>
      <c r="AF355" s="55">
        <f t="shared" si="544"/>
        <v>0</v>
      </c>
      <c r="AG355" s="55">
        <f t="shared" si="544"/>
        <v>0</v>
      </c>
      <c r="AH355" s="55">
        <f t="shared" si="544"/>
        <v>0</v>
      </c>
      <c r="AI355" s="55">
        <f t="shared" ref="AI355:AL355" si="545">AI352+AI353+AI354</f>
        <v>0</v>
      </c>
      <c r="AJ355" s="55">
        <f t="shared" si="545"/>
        <v>0</v>
      </c>
      <c r="AK355" s="55">
        <f t="shared" si="545"/>
        <v>0</v>
      </c>
      <c r="AL355" s="55">
        <f t="shared" si="545"/>
        <v>0</v>
      </c>
      <c r="AM355" s="53"/>
      <c r="AN355" s="53"/>
      <c r="AO355" s="8"/>
      <c r="AP355" s="8"/>
      <c r="AQ355" s="8"/>
      <c r="AR355" s="8"/>
      <c r="AS355" s="8"/>
      <c r="AT355" s="8"/>
      <c r="AU355" s="8"/>
      <c r="AV355" s="8"/>
    </row>
    <row r="356" spans="1:48" x14ac:dyDescent="0.2">
      <c r="A356" s="2"/>
      <c r="B356" s="2"/>
      <c r="C356" s="2"/>
      <c r="D356" s="6"/>
      <c r="E356" s="6"/>
      <c r="F356" s="6"/>
      <c r="G356" s="6"/>
      <c r="H356" s="36"/>
      <c r="I356" s="36"/>
      <c r="J356" s="36"/>
      <c r="K356" s="36"/>
      <c r="L356" s="36"/>
      <c r="M356" s="3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190"/>
      <c r="AA356" s="190"/>
      <c r="AB356" s="190"/>
      <c r="AC356" s="190"/>
      <c r="AD356" s="190"/>
      <c r="AE356" s="190"/>
      <c r="AF356" s="190"/>
      <c r="AG356" s="190"/>
      <c r="AH356" s="190"/>
      <c r="AI356" s="190"/>
      <c r="AJ356" s="190"/>
      <c r="AK356" s="190"/>
      <c r="AL356" s="190"/>
      <c r="AO356" s="2"/>
      <c r="AP356" s="2"/>
      <c r="AQ356" s="2"/>
      <c r="AR356" s="2"/>
      <c r="AS356" s="2"/>
      <c r="AT356" s="2"/>
      <c r="AU356" s="2"/>
      <c r="AV356" s="2"/>
    </row>
    <row r="357" spans="1:48" x14ac:dyDescent="0.2">
      <c r="A357" s="8"/>
      <c r="B357" s="8" t="s">
        <v>142</v>
      </c>
      <c r="C357" s="8"/>
      <c r="D357" s="9"/>
      <c r="E357" s="9"/>
      <c r="F357" s="9"/>
      <c r="G357" s="9"/>
      <c r="H357" s="37"/>
      <c r="I357" s="37"/>
      <c r="J357" s="37"/>
      <c r="K357" s="37"/>
      <c r="L357" s="37"/>
      <c r="M357" s="37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>
        <f t="shared" ref="Y357:Z357" si="546">Y348+Y355</f>
        <v>1923</v>
      </c>
      <c r="Z357" s="9">
        <f t="shared" si="546"/>
        <v>2348</v>
      </c>
      <c r="AA357" s="9">
        <f t="shared" ref="AA357:AH357" si="547">AA348+AA355</f>
        <v>2486</v>
      </c>
      <c r="AB357" s="9">
        <f t="shared" si="547"/>
        <v>2733</v>
      </c>
      <c r="AC357" s="9">
        <f t="shared" si="547"/>
        <v>2912.5498942238905</v>
      </c>
      <c r="AD357" s="9">
        <f t="shared" si="547"/>
        <v>3310.3191607777321</v>
      </c>
      <c r="AE357" s="9">
        <f t="shared" si="547"/>
        <v>3632.9160881523821</v>
      </c>
      <c r="AF357" s="9">
        <f t="shared" si="547"/>
        <v>3860.5296320426251</v>
      </c>
      <c r="AG357" s="9">
        <f t="shared" si="547"/>
        <v>4116.5373898133148</v>
      </c>
      <c r="AH357" s="9">
        <f t="shared" si="547"/>
        <v>4381.7631865731355</v>
      </c>
      <c r="AI357" s="9">
        <f t="shared" ref="AI357:AL357" si="548">AI348+AI355</f>
        <v>4635.3302441540254</v>
      </c>
      <c r="AJ357" s="9">
        <f t="shared" si="548"/>
        <v>4904.2763597050825</v>
      </c>
      <c r="AK357" s="9">
        <f t="shared" si="548"/>
        <v>5189.5645735705848</v>
      </c>
      <c r="AL357" s="9">
        <f t="shared" si="548"/>
        <v>5486.5037245749063</v>
      </c>
      <c r="AM357" s="53"/>
      <c r="AN357" s="53"/>
      <c r="AO357" s="8"/>
      <c r="AP357" s="8"/>
      <c r="AQ357" s="8"/>
      <c r="AR357" s="8"/>
      <c r="AS357" s="8"/>
      <c r="AT357" s="8"/>
      <c r="AU357" s="8"/>
      <c r="AV357" s="8"/>
    </row>
    <row r="358" spans="1:48" x14ac:dyDescent="0.2">
      <c r="A358" s="13"/>
      <c r="B358" s="214" t="s">
        <v>443</v>
      </c>
      <c r="C358" s="13"/>
      <c r="D358" s="55"/>
      <c r="E358" s="55"/>
      <c r="F358" s="55"/>
      <c r="G358" s="55"/>
      <c r="H358" s="178"/>
      <c r="I358" s="178"/>
      <c r="J358" s="178"/>
      <c r="K358" s="178"/>
      <c r="L358" s="178"/>
      <c r="M358" s="178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>
        <f t="shared" ref="Y358" si="549">Y357/Y338%</f>
        <v>13.231135483249506</v>
      </c>
      <c r="Z358" s="55">
        <f t="shared" ref="Z358:AH358" si="550">Z357/Z338%</f>
        <v>13.881129820840679</v>
      </c>
      <c r="AA358" s="55">
        <f t="shared" si="550"/>
        <v>13.450197478764268</v>
      </c>
      <c r="AB358" s="55">
        <f t="shared" si="550"/>
        <v>12.881180185700147</v>
      </c>
      <c r="AC358" s="55">
        <f t="shared" si="550"/>
        <v>13</v>
      </c>
      <c r="AD358" s="55">
        <f t="shared" si="550"/>
        <v>13.500000000000002</v>
      </c>
      <c r="AE358" s="55">
        <f t="shared" si="550"/>
        <v>13.699999999999996</v>
      </c>
      <c r="AF358" s="55">
        <f t="shared" si="550"/>
        <v>13.600000000000001</v>
      </c>
      <c r="AG358" s="55">
        <f t="shared" si="550"/>
        <v>13.6</v>
      </c>
      <c r="AH358" s="55">
        <f t="shared" si="550"/>
        <v>13.600000000000003</v>
      </c>
      <c r="AI358" s="55">
        <f t="shared" ref="AI358:AL358" si="551">AI357/AI338%</f>
        <v>13.600000000000003</v>
      </c>
      <c r="AJ358" s="55">
        <f t="shared" si="551"/>
        <v>13.6</v>
      </c>
      <c r="AK358" s="55">
        <f t="shared" si="551"/>
        <v>13.600000000000001</v>
      </c>
      <c r="AL358" s="55">
        <f t="shared" si="551"/>
        <v>13.600000000000001</v>
      </c>
      <c r="AM358" s="215"/>
      <c r="AN358" s="215"/>
      <c r="AO358" s="13"/>
      <c r="AP358" s="13"/>
      <c r="AQ358" s="13"/>
      <c r="AR358" s="13"/>
      <c r="AS358" s="13"/>
      <c r="AT358" s="13"/>
      <c r="AU358" s="13"/>
      <c r="AV358" s="13"/>
    </row>
    <row r="359" spans="1:48" x14ac:dyDescent="0.2">
      <c r="A359" s="2"/>
      <c r="B359" s="35"/>
      <c r="C359" s="2"/>
      <c r="D359" s="6"/>
      <c r="E359" s="6"/>
      <c r="F359" s="6"/>
      <c r="G359" s="6"/>
      <c r="H359" s="36"/>
      <c r="I359" s="36"/>
      <c r="J359" s="36"/>
      <c r="K359" s="36"/>
      <c r="L359" s="36"/>
      <c r="M359" s="3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151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O359" s="2"/>
      <c r="AP359" s="2"/>
      <c r="AQ359" s="2"/>
      <c r="AR359" s="2"/>
      <c r="AS359" s="2"/>
      <c r="AT359" s="2"/>
      <c r="AU359" s="2"/>
      <c r="AV359" s="2"/>
    </row>
    <row r="360" spans="1:48" x14ac:dyDescent="0.2">
      <c r="A360" s="2"/>
      <c r="B360" s="66"/>
      <c r="C360" s="2"/>
      <c r="D360" s="6"/>
      <c r="E360" s="6"/>
      <c r="F360" s="6"/>
      <c r="G360" s="6"/>
      <c r="H360" s="36"/>
      <c r="I360" s="36"/>
      <c r="J360" s="36"/>
      <c r="K360" s="36"/>
      <c r="L360" s="36"/>
      <c r="M360" s="3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O360" s="2"/>
      <c r="AP360" s="2"/>
      <c r="AQ360" s="2"/>
      <c r="AR360" s="2"/>
      <c r="AS360" s="2"/>
      <c r="AT360" s="2"/>
      <c r="AU360" s="2"/>
      <c r="AV360" s="2"/>
    </row>
    <row r="361" spans="1:48" x14ac:dyDescent="0.2">
      <c r="A361" s="4"/>
      <c r="B361" s="4" t="s">
        <v>143</v>
      </c>
      <c r="C361" s="4"/>
      <c r="D361" s="15"/>
      <c r="E361" s="15"/>
      <c r="F361" s="15"/>
      <c r="G361" s="15"/>
      <c r="H361" s="36"/>
      <c r="I361" s="36"/>
      <c r="J361" s="36"/>
      <c r="K361" s="36"/>
      <c r="L361" s="36"/>
      <c r="M361" s="36"/>
      <c r="N361" s="15">
        <f t="shared" ref="N361:AA361" si="552">+-N99</f>
        <v>194</v>
      </c>
      <c r="O361" s="15">
        <f t="shared" si="552"/>
        <v>183</v>
      </c>
      <c r="P361" s="15">
        <f t="shared" si="552"/>
        <v>207</v>
      </c>
      <c r="Q361" s="15">
        <f t="shared" si="552"/>
        <v>291</v>
      </c>
      <c r="R361" s="15">
        <f t="shared" si="552"/>
        <v>327</v>
      </c>
      <c r="S361" s="15">
        <f t="shared" si="552"/>
        <v>376</v>
      </c>
      <c r="T361" s="15">
        <f t="shared" si="552"/>
        <v>348</v>
      </c>
      <c r="U361" s="15">
        <f t="shared" si="552"/>
        <v>380</v>
      </c>
      <c r="V361" s="15">
        <f t="shared" si="552"/>
        <v>402</v>
      </c>
      <c r="W361" s="15">
        <f t="shared" si="552"/>
        <v>445</v>
      </c>
      <c r="X361" s="15">
        <f t="shared" si="552"/>
        <v>420</v>
      </c>
      <c r="Y361" s="15">
        <f t="shared" si="552"/>
        <v>427</v>
      </c>
      <c r="Z361" s="15">
        <f t="shared" si="552"/>
        <v>554</v>
      </c>
      <c r="AA361" s="15">
        <f t="shared" si="552"/>
        <v>652</v>
      </c>
      <c r="AB361" s="15">
        <f t="shared" ref="AB361" si="553">+-AB99</f>
        <v>748</v>
      </c>
      <c r="AC361" s="15">
        <f t="shared" ref="AC361:AH361" si="554">AC338*(AC362/100)</f>
        <v>784.14804844489367</v>
      </c>
      <c r="AD361" s="15">
        <f t="shared" si="554"/>
        <v>858.23089353496766</v>
      </c>
      <c r="AE361" s="15">
        <f t="shared" si="554"/>
        <v>928.11724879805411</v>
      </c>
      <c r="AF361" s="15">
        <f t="shared" si="554"/>
        <v>993.51865530508735</v>
      </c>
      <c r="AG361" s="15">
        <f t="shared" si="554"/>
        <v>1059.4030047313679</v>
      </c>
      <c r="AH361" s="15">
        <f t="shared" si="554"/>
        <v>1127.6596436033803</v>
      </c>
      <c r="AI361" s="15">
        <f t="shared" ref="AI361:AL361" si="555">AI338*(AI362/100)</f>
        <v>1192.9158716572858</v>
      </c>
      <c r="AJ361" s="15">
        <f t="shared" si="555"/>
        <v>1262.1299455123376</v>
      </c>
      <c r="AK361" s="15">
        <f t="shared" si="555"/>
        <v>1335.5497064336064</v>
      </c>
      <c r="AL361" s="15">
        <f t="shared" si="555"/>
        <v>1411.9678702950127</v>
      </c>
      <c r="AM361" s="4"/>
      <c r="AN361" s="4"/>
      <c r="AO361" s="4"/>
      <c r="AP361" s="4"/>
      <c r="AQ361" s="4"/>
      <c r="AR361" s="4"/>
      <c r="AS361" s="4"/>
      <c r="AT361" s="4"/>
      <c r="AU361" s="4"/>
      <c r="AV361" s="4"/>
    </row>
    <row r="362" spans="1:48" x14ac:dyDescent="0.2">
      <c r="A362" s="2"/>
      <c r="B362" s="66" t="s">
        <v>248</v>
      </c>
      <c r="C362" s="2"/>
      <c r="D362" s="6"/>
      <c r="E362" s="6"/>
      <c r="F362" s="6"/>
      <c r="G362" s="6"/>
      <c r="H362" s="36"/>
      <c r="I362" s="36"/>
      <c r="J362" s="36"/>
      <c r="K362" s="36"/>
      <c r="L362" s="36"/>
      <c r="M362" s="36"/>
      <c r="N362" s="6">
        <f t="shared" ref="N362:Y362" si="556">N361/N338%</f>
        <v>3.0956788153443546</v>
      </c>
      <c r="O362" s="6">
        <f t="shared" si="556"/>
        <v>3.1228626309042582</v>
      </c>
      <c r="P362" s="6">
        <f t="shared" si="556"/>
        <v>3.1193490054249549</v>
      </c>
      <c r="Q362" s="6">
        <f t="shared" si="556"/>
        <v>2.8857596191987307</v>
      </c>
      <c r="R362" s="6">
        <f t="shared" si="556"/>
        <v>3.1750655403437227</v>
      </c>
      <c r="S362" s="6">
        <f t="shared" si="556"/>
        <v>3.4818038707287715</v>
      </c>
      <c r="T362" s="6">
        <f t="shared" si="556"/>
        <v>3.3522782005587128</v>
      </c>
      <c r="U362" s="6">
        <f t="shared" si="556"/>
        <v>3.1693077564637195</v>
      </c>
      <c r="V362" s="6">
        <f t="shared" si="556"/>
        <v>3.017564930190662</v>
      </c>
      <c r="W362" s="6">
        <f>W361/W338%</f>
        <v>2.9899885775717259</v>
      </c>
      <c r="X362" s="6">
        <f t="shared" si="556"/>
        <v>2.9571217348447512</v>
      </c>
      <c r="Y362" s="6">
        <f t="shared" si="556"/>
        <v>2.9379588410543627</v>
      </c>
      <c r="Z362" s="6">
        <f>Z361/Z338%</f>
        <v>3.2751899151387289</v>
      </c>
      <c r="AA362" s="6">
        <f>AA361/AA338%</f>
        <v>3.5275658713412321</v>
      </c>
      <c r="AB362" s="6">
        <f>AB361/AB338%</f>
        <v>3.5254748550690485</v>
      </c>
      <c r="AC362" s="24">
        <v>3.5</v>
      </c>
      <c r="AD362" s="24">
        <v>3.5</v>
      </c>
      <c r="AE362" s="24">
        <v>3.5</v>
      </c>
      <c r="AF362" s="24">
        <v>3.5</v>
      </c>
      <c r="AG362" s="24">
        <v>3.5</v>
      </c>
      <c r="AH362" s="24">
        <v>3.5</v>
      </c>
      <c r="AI362" s="24">
        <v>3.5</v>
      </c>
      <c r="AJ362" s="24">
        <v>3.5</v>
      </c>
      <c r="AK362" s="24">
        <v>3.5</v>
      </c>
      <c r="AL362" s="24">
        <v>3.5</v>
      </c>
      <c r="AO362" s="2"/>
      <c r="AP362" s="2"/>
      <c r="AQ362" s="2"/>
      <c r="AR362" s="2"/>
      <c r="AS362" s="2"/>
      <c r="AT362" s="2"/>
      <c r="AU362" s="2"/>
      <c r="AV362" s="2"/>
    </row>
    <row r="363" spans="1:48" x14ac:dyDescent="0.2">
      <c r="A363" s="2"/>
      <c r="B363" s="66" t="s">
        <v>247</v>
      </c>
      <c r="C363" s="2"/>
      <c r="D363" s="6"/>
      <c r="E363" s="6"/>
      <c r="F363" s="6"/>
      <c r="G363" s="6"/>
      <c r="H363" s="36"/>
      <c r="I363" s="36"/>
      <c r="J363" s="36"/>
      <c r="K363" s="36"/>
      <c r="L363" s="36"/>
      <c r="M363" s="36"/>
      <c r="N363" s="6"/>
      <c r="O363" s="6">
        <f>(O361-N361)/N361%</f>
        <v>-5.6701030927835054</v>
      </c>
      <c r="P363" s="6">
        <f t="shared" ref="P363:Z363" si="557">(P361-O361)/O361%</f>
        <v>13.114754098360656</v>
      </c>
      <c r="Q363" s="6">
        <f t="shared" si="557"/>
        <v>40.579710144927539</v>
      </c>
      <c r="R363" s="6">
        <f t="shared" si="557"/>
        <v>12.371134020618555</v>
      </c>
      <c r="S363" s="6">
        <f t="shared" si="557"/>
        <v>14.984709480122325</v>
      </c>
      <c r="T363" s="6">
        <f t="shared" si="557"/>
        <v>-7.4468085106382986</v>
      </c>
      <c r="U363" s="6">
        <f t="shared" si="557"/>
        <v>9.1954022988505741</v>
      </c>
      <c r="V363" s="6">
        <f t="shared" si="557"/>
        <v>5.7894736842105265</v>
      </c>
      <c r="W363" s="6">
        <f t="shared" si="557"/>
        <v>10.696517412935325</v>
      </c>
      <c r="X363" s="6">
        <f t="shared" si="557"/>
        <v>-5.6179775280898872</v>
      </c>
      <c r="Y363" s="6">
        <f t="shared" si="557"/>
        <v>1.6666666666666665</v>
      </c>
      <c r="Z363" s="6">
        <f t="shared" si="557"/>
        <v>29.742388758782205</v>
      </c>
      <c r="AA363" s="6">
        <f t="shared" ref="AA363:AL363" si="558">(AA361-Z361)/Z361%</f>
        <v>17.689530685920577</v>
      </c>
      <c r="AB363" s="6">
        <f t="shared" si="558"/>
        <v>14.723926380368098</v>
      </c>
      <c r="AC363" s="6">
        <f t="shared" si="558"/>
        <v>4.8326267974456778</v>
      </c>
      <c r="AD363" s="6">
        <f t="shared" si="558"/>
        <v>9.4475584345320467</v>
      </c>
      <c r="AE363" s="6">
        <f t="shared" si="558"/>
        <v>8.1430714962067494</v>
      </c>
      <c r="AF363" s="6">
        <f t="shared" si="558"/>
        <v>7.0466750393584929</v>
      </c>
      <c r="AG363" s="6">
        <f t="shared" si="558"/>
        <v>6.631415431857083</v>
      </c>
      <c r="AH363" s="6">
        <f t="shared" si="558"/>
        <v>6.4429342343917781</v>
      </c>
      <c r="AI363" s="6">
        <f t="shared" si="558"/>
        <v>5.7868726990515018</v>
      </c>
      <c r="AJ363" s="6">
        <f t="shared" si="558"/>
        <v>5.8020917903367755</v>
      </c>
      <c r="AK363" s="6">
        <f t="shared" si="558"/>
        <v>5.8171316814343896</v>
      </c>
      <c r="AL363" s="6">
        <f t="shared" si="558"/>
        <v>5.721850972171608</v>
      </c>
      <c r="AO363" s="2"/>
      <c r="AP363" s="2"/>
      <c r="AQ363" s="2"/>
      <c r="AR363" s="2"/>
      <c r="AS363" s="2"/>
      <c r="AT363" s="2"/>
      <c r="AU363" s="2"/>
      <c r="AV363" s="2"/>
    </row>
    <row r="364" spans="1:48" x14ac:dyDescent="0.2">
      <c r="A364" s="2"/>
      <c r="B364" s="66"/>
      <c r="C364" s="2"/>
      <c r="D364" s="6"/>
      <c r="E364" s="6"/>
      <c r="F364" s="6"/>
      <c r="G364" s="6"/>
      <c r="H364" s="36"/>
      <c r="I364" s="36"/>
      <c r="J364" s="36"/>
      <c r="K364" s="36"/>
      <c r="L364" s="36"/>
      <c r="M364" s="3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182"/>
      <c r="Z364" s="182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O364" s="2"/>
      <c r="AP364" s="2"/>
      <c r="AQ364" s="2"/>
      <c r="AR364" s="2"/>
      <c r="AS364" s="2"/>
      <c r="AT364" s="2"/>
      <c r="AU364" s="2"/>
      <c r="AV364" s="2"/>
    </row>
    <row r="365" spans="1:48" x14ac:dyDescent="0.2">
      <c r="A365" s="8"/>
      <c r="B365" s="8" t="s">
        <v>154</v>
      </c>
      <c r="C365" s="8"/>
      <c r="D365" s="9"/>
      <c r="E365" s="9"/>
      <c r="F365" s="9"/>
      <c r="G365" s="9"/>
      <c r="H365" s="37"/>
      <c r="I365" s="37"/>
      <c r="J365" s="37"/>
      <c r="K365" s="37"/>
      <c r="L365" s="37"/>
      <c r="M365" s="37"/>
      <c r="N365" s="9">
        <f t="shared" ref="N365:X365" si="559">N361+N348</f>
        <v>1001</v>
      </c>
      <c r="O365" s="9">
        <f t="shared" si="559"/>
        <v>1016</v>
      </c>
      <c r="P365" s="9">
        <f t="shared" si="559"/>
        <v>1149</v>
      </c>
      <c r="Q365" s="9">
        <f t="shared" si="559"/>
        <v>1592</v>
      </c>
      <c r="R365" s="9">
        <f t="shared" si="559"/>
        <v>1705</v>
      </c>
      <c r="S365" s="9">
        <f t="shared" si="559"/>
        <v>1805</v>
      </c>
      <c r="T365" s="9">
        <f t="shared" si="559"/>
        <v>1617</v>
      </c>
      <c r="U365" s="9">
        <f t="shared" si="559"/>
        <v>1976</v>
      </c>
      <c r="V365" s="9">
        <f t="shared" si="559"/>
        <v>2102</v>
      </c>
      <c r="W365" s="9">
        <f t="shared" si="559"/>
        <v>2251</v>
      </c>
      <c r="X365" s="9">
        <f t="shared" si="559"/>
        <v>2207</v>
      </c>
      <c r="Y365" s="9">
        <f>Y361+Y348</f>
        <v>2350</v>
      </c>
      <c r="Z365" s="9">
        <f>Z361+Z348</f>
        <v>2902</v>
      </c>
      <c r="AA365" s="9">
        <f t="shared" ref="AA365:AH365" si="560">AA361+AA348+AA355</f>
        <v>3138</v>
      </c>
      <c r="AB365" s="9">
        <f t="shared" si="560"/>
        <v>3481</v>
      </c>
      <c r="AC365" s="9">
        <f t="shared" si="560"/>
        <v>3696.697942668784</v>
      </c>
      <c r="AD365" s="9">
        <f t="shared" si="560"/>
        <v>4168.5500543127</v>
      </c>
      <c r="AE365" s="9">
        <f t="shared" si="560"/>
        <v>4561.033336950436</v>
      </c>
      <c r="AF365" s="9">
        <f t="shared" si="560"/>
        <v>4854.0482873477122</v>
      </c>
      <c r="AG365" s="9">
        <f t="shared" si="560"/>
        <v>5175.9403945446829</v>
      </c>
      <c r="AH365" s="9">
        <f t="shared" si="560"/>
        <v>5509.4228301765161</v>
      </c>
      <c r="AI365" s="9">
        <f t="shared" ref="AI365:AL365" si="561">AI361+AI348+AI355</f>
        <v>5828.246115811311</v>
      </c>
      <c r="AJ365" s="9">
        <f t="shared" si="561"/>
        <v>6166.4063052174206</v>
      </c>
      <c r="AK365" s="9">
        <f t="shared" si="561"/>
        <v>6525.1142800041907</v>
      </c>
      <c r="AL365" s="9">
        <f t="shared" si="561"/>
        <v>6898.4715948699195</v>
      </c>
      <c r="AM365" s="53"/>
      <c r="AN365" s="53"/>
      <c r="AO365" s="8"/>
      <c r="AP365" s="8"/>
      <c r="AQ365" s="8"/>
      <c r="AR365" s="8"/>
      <c r="AS365" s="8"/>
      <c r="AT365" s="8"/>
      <c r="AU365" s="8"/>
      <c r="AV365" s="8"/>
    </row>
    <row r="366" spans="1:48" x14ac:dyDescent="0.2">
      <c r="A366" s="2"/>
      <c r="B366" s="66" t="s">
        <v>248</v>
      </c>
      <c r="C366" s="2"/>
      <c r="D366" s="2"/>
      <c r="E366" s="2"/>
      <c r="F366" s="2"/>
      <c r="G366" s="2"/>
      <c r="H366" s="35"/>
      <c r="I366" s="35"/>
      <c r="J366" s="35"/>
      <c r="K366" s="35"/>
      <c r="L366" s="35"/>
      <c r="M366" s="35"/>
      <c r="N366" s="6">
        <f t="shared" ref="N366:Y366" si="562">N365/N338%</f>
        <v>15.973064402885045</v>
      </c>
      <c r="O366" s="6">
        <f t="shared" si="562"/>
        <v>17.337860289610525</v>
      </c>
      <c r="P366" s="6">
        <f t="shared" si="562"/>
        <v>17.314647377938517</v>
      </c>
      <c r="Q366" s="6">
        <f t="shared" si="562"/>
        <v>15.787385957953193</v>
      </c>
      <c r="R366" s="6">
        <f t="shared" si="562"/>
        <v>16.555005340324303</v>
      </c>
      <c r="S366" s="6">
        <f t="shared" si="562"/>
        <v>16.714510602833595</v>
      </c>
      <c r="T366" s="6">
        <f t="shared" si="562"/>
        <v>15.576534052596088</v>
      </c>
      <c r="U366" s="6">
        <f t="shared" si="562"/>
        <v>16.480400333611342</v>
      </c>
      <c r="V366" s="6">
        <f t="shared" si="562"/>
        <v>15.778411649902417</v>
      </c>
      <c r="W366" s="6">
        <f>W365/W338%</f>
        <v>15.12463884969428</v>
      </c>
      <c r="X366" s="6">
        <f t="shared" si="562"/>
        <v>15.538970640005633</v>
      </c>
      <c r="Y366" s="6">
        <f t="shared" si="562"/>
        <v>16.16909432430387</v>
      </c>
      <c r="Z366" s="6">
        <f t="shared" ref="Z366:AH366" si="563">Z365/Z338%</f>
        <v>17.156319735979409</v>
      </c>
      <c r="AA366" s="6">
        <f t="shared" si="563"/>
        <v>16.977763350105501</v>
      </c>
      <c r="AB366" s="6">
        <f t="shared" si="563"/>
        <v>16.406655040769195</v>
      </c>
      <c r="AC366" s="6">
        <f t="shared" si="563"/>
        <v>16.5</v>
      </c>
      <c r="AD366" s="6">
        <f t="shared" si="563"/>
        <v>17.000000000000004</v>
      </c>
      <c r="AE366" s="6">
        <f t="shared" si="563"/>
        <v>17.199999999999996</v>
      </c>
      <c r="AF366" s="6">
        <f t="shared" si="563"/>
        <v>17.100000000000001</v>
      </c>
      <c r="AG366" s="6">
        <f t="shared" si="563"/>
        <v>17.100000000000001</v>
      </c>
      <c r="AH366" s="6">
        <f t="shared" si="563"/>
        <v>17.100000000000005</v>
      </c>
      <c r="AI366" s="6">
        <f t="shared" ref="AI366:AL366" si="564">AI365/AI338%</f>
        <v>17.100000000000001</v>
      </c>
      <c r="AJ366" s="6">
        <f t="shared" si="564"/>
        <v>17.100000000000001</v>
      </c>
      <c r="AK366" s="6">
        <f t="shared" si="564"/>
        <v>17.100000000000001</v>
      </c>
      <c r="AL366" s="6">
        <f t="shared" si="564"/>
        <v>17.100000000000001</v>
      </c>
      <c r="AO366" s="2"/>
      <c r="AP366" s="2"/>
      <c r="AQ366" s="2"/>
      <c r="AR366" s="2"/>
      <c r="AS366" s="2"/>
      <c r="AT366" s="2"/>
      <c r="AU366" s="2"/>
      <c r="AV366" s="2"/>
    </row>
    <row r="367" spans="1:48" x14ac:dyDescent="0.2">
      <c r="A367" s="2"/>
      <c r="B367" s="66" t="s">
        <v>247</v>
      </c>
      <c r="C367" s="2"/>
      <c r="D367" s="2"/>
      <c r="E367" s="2"/>
      <c r="F367" s="2"/>
      <c r="G367" s="2"/>
      <c r="H367" s="35"/>
      <c r="I367" s="35"/>
      <c r="J367" s="35"/>
      <c r="K367" s="35"/>
      <c r="L367" s="35"/>
      <c r="M367" s="35"/>
      <c r="N367" s="6"/>
      <c r="O367" s="6"/>
      <c r="P367" s="6"/>
      <c r="Q367" s="6"/>
      <c r="R367" s="6">
        <f t="shared" ref="R367:Y367" si="565">(R365-Q365)/Q365%</f>
        <v>7.0979899497487438</v>
      </c>
      <c r="S367" s="6">
        <f t="shared" si="565"/>
        <v>5.8651026392961878</v>
      </c>
      <c r="T367" s="6">
        <f t="shared" si="565"/>
        <v>-10.415512465373961</v>
      </c>
      <c r="U367" s="6">
        <f t="shared" si="565"/>
        <v>22.201607915893629</v>
      </c>
      <c r="V367" s="6">
        <f t="shared" si="565"/>
        <v>6.376518218623481</v>
      </c>
      <c r="W367" s="6">
        <f t="shared" si="565"/>
        <v>7.0884871550903901</v>
      </c>
      <c r="X367" s="6">
        <f t="shared" si="565"/>
        <v>-1.9546868058640603</v>
      </c>
      <c r="Y367" s="6">
        <f t="shared" si="565"/>
        <v>6.4793837788853645</v>
      </c>
      <c r="Z367" s="6">
        <f t="shared" ref="Z367" si="566">(Z365-Y365)/Y365%</f>
        <v>23.48936170212766</v>
      </c>
      <c r="AA367" s="6">
        <f t="shared" ref="AA367:AL367" si="567">(AA365-Z365)/Z365%</f>
        <v>8.1323225361819436</v>
      </c>
      <c r="AB367" s="6">
        <f t="shared" si="567"/>
        <v>10.930528999362652</v>
      </c>
      <c r="AC367" s="6">
        <f t="shared" si="567"/>
        <v>6.196436158252915</v>
      </c>
      <c r="AD367" s="6">
        <f t="shared" si="567"/>
        <v>12.764151114366364</v>
      </c>
      <c r="AE367" s="6">
        <f t="shared" si="567"/>
        <v>9.4153429255738583</v>
      </c>
      <c r="AF367" s="6">
        <f t="shared" si="567"/>
        <v>6.4243106495948048</v>
      </c>
      <c r="AG367" s="6">
        <f t="shared" si="567"/>
        <v>6.6314154318570857</v>
      </c>
      <c r="AH367" s="6">
        <f t="shared" si="567"/>
        <v>6.4429342343917959</v>
      </c>
      <c r="AI367" s="6">
        <f t="shared" si="567"/>
        <v>5.7868726990514938</v>
      </c>
      <c r="AJ367" s="6">
        <f t="shared" si="567"/>
        <v>5.8020917903367666</v>
      </c>
      <c r="AK367" s="6">
        <f t="shared" si="567"/>
        <v>5.8171316814343861</v>
      </c>
      <c r="AL367" s="6">
        <f t="shared" si="567"/>
        <v>5.7218509721716169</v>
      </c>
      <c r="AO367" s="2"/>
      <c r="AP367" s="2"/>
      <c r="AQ367" s="2"/>
      <c r="AR367" s="2"/>
      <c r="AS367" s="2"/>
      <c r="AT367" s="2"/>
      <c r="AU367" s="2"/>
      <c r="AV367" s="2"/>
    </row>
    <row r="368" spans="1:48" x14ac:dyDescent="0.2">
      <c r="A368" s="2"/>
      <c r="B368" s="66" t="s">
        <v>156</v>
      </c>
      <c r="C368" s="2"/>
      <c r="D368" s="2"/>
      <c r="E368" s="2"/>
      <c r="F368" s="2"/>
      <c r="G368" s="2"/>
      <c r="H368" s="35"/>
      <c r="I368" s="35"/>
      <c r="J368" s="35"/>
      <c r="K368" s="35"/>
      <c r="L368" s="35"/>
      <c r="M368" s="35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>
        <f t="shared" ref="X368:Y368" si="568">(X365-X355)/X338%</f>
        <v>15.538970640005633</v>
      </c>
      <c r="Y368" s="6">
        <f t="shared" si="568"/>
        <v>16.16909432430387</v>
      </c>
      <c r="Z368" s="6">
        <f t="shared" ref="Z368:AH368" si="569">(Z365-Z355)/Z338%</f>
        <v>17.156319735979409</v>
      </c>
      <c r="AA368" s="6">
        <f t="shared" si="569"/>
        <v>16.977763350105501</v>
      </c>
      <c r="AB368" s="6">
        <f t="shared" si="569"/>
        <v>16.406655040769195</v>
      </c>
      <c r="AC368" s="6">
        <f t="shared" si="569"/>
        <v>16.5</v>
      </c>
      <c r="AD368" s="6">
        <f t="shared" si="569"/>
        <v>17.000000000000004</v>
      </c>
      <c r="AE368" s="6">
        <f t="shared" si="569"/>
        <v>17.199999999999996</v>
      </c>
      <c r="AF368" s="6">
        <f t="shared" si="569"/>
        <v>17.100000000000001</v>
      </c>
      <c r="AG368" s="6">
        <f t="shared" si="569"/>
        <v>17.100000000000001</v>
      </c>
      <c r="AH368" s="6">
        <f t="shared" si="569"/>
        <v>17.100000000000005</v>
      </c>
      <c r="AI368" s="6">
        <f t="shared" ref="AI368:AL368" si="570">(AI365-AI355)/AI338%</f>
        <v>17.100000000000001</v>
      </c>
      <c r="AJ368" s="6">
        <f t="shared" si="570"/>
        <v>17.100000000000001</v>
      </c>
      <c r="AK368" s="6">
        <f t="shared" si="570"/>
        <v>17.100000000000001</v>
      </c>
      <c r="AL368" s="6">
        <f t="shared" si="570"/>
        <v>17.100000000000001</v>
      </c>
      <c r="AO368" s="2"/>
      <c r="AP368" s="2"/>
      <c r="AQ368" s="2"/>
      <c r="AR368" s="2"/>
      <c r="AS368" s="2"/>
      <c r="AT368" s="2"/>
      <c r="AU368" s="2"/>
      <c r="AV368" s="2"/>
    </row>
    <row r="369" spans="1:48" x14ac:dyDescent="0.2">
      <c r="A369" s="2"/>
      <c r="B369" s="66"/>
      <c r="C369" s="2"/>
      <c r="D369" s="2"/>
      <c r="E369" s="2"/>
      <c r="F369" s="2"/>
      <c r="G369" s="2"/>
      <c r="H369" s="35"/>
      <c r="I369" s="35"/>
      <c r="J369" s="35"/>
      <c r="K369" s="35"/>
      <c r="L369" s="35"/>
      <c r="M369" s="35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O369" s="2"/>
      <c r="AP369" s="2"/>
      <c r="AQ369" s="2"/>
      <c r="AR369" s="2"/>
      <c r="AS369" s="2"/>
      <c r="AT369" s="2"/>
      <c r="AU369" s="2"/>
      <c r="AV369" s="2"/>
    </row>
    <row r="370" spans="1:48" x14ac:dyDescent="0.2">
      <c r="A370" s="2"/>
      <c r="B370" s="130" t="s">
        <v>113</v>
      </c>
      <c r="C370" s="2"/>
      <c r="D370" s="2"/>
      <c r="E370" s="2"/>
      <c r="F370" s="2"/>
      <c r="G370" s="2"/>
      <c r="H370" s="35"/>
      <c r="I370" s="35"/>
      <c r="J370" s="35"/>
      <c r="K370" s="35"/>
      <c r="L370" s="35"/>
      <c r="M370" s="35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O370" s="2"/>
      <c r="AP370" s="2"/>
      <c r="AQ370" s="2"/>
      <c r="AR370" s="2"/>
      <c r="AS370" s="2"/>
      <c r="AT370" s="2"/>
      <c r="AU370" s="2"/>
      <c r="AV370" s="2"/>
    </row>
    <row r="371" spans="1:48" x14ac:dyDescent="0.2">
      <c r="A371" s="2"/>
      <c r="B371" s="2" t="s">
        <v>301</v>
      </c>
      <c r="C371" s="2"/>
      <c r="D371" s="6"/>
      <c r="E371" s="6"/>
      <c r="F371" s="6"/>
      <c r="G371" s="6"/>
      <c r="H371" s="36"/>
      <c r="I371" s="36"/>
      <c r="J371" s="36"/>
      <c r="K371" s="36"/>
      <c r="L371" s="36"/>
      <c r="M371" s="36"/>
      <c r="N371" s="6">
        <f t="shared" ref="N371:Y371" si="571">+N338</f>
        <v>6266.8</v>
      </c>
      <c r="O371" s="6">
        <f t="shared" si="571"/>
        <v>5860.0079999999998</v>
      </c>
      <c r="P371" s="6">
        <f t="shared" si="571"/>
        <v>6636</v>
      </c>
      <c r="Q371" s="6">
        <f t="shared" si="571"/>
        <v>10084</v>
      </c>
      <c r="R371" s="6">
        <f t="shared" si="571"/>
        <v>10299</v>
      </c>
      <c r="S371" s="6">
        <f t="shared" si="571"/>
        <v>10799</v>
      </c>
      <c r="T371" s="6">
        <f t="shared" si="571"/>
        <v>10381</v>
      </c>
      <c r="U371" s="6">
        <f t="shared" si="571"/>
        <v>11990</v>
      </c>
      <c r="V371" s="6">
        <f t="shared" si="571"/>
        <v>13322</v>
      </c>
      <c r="W371" s="6">
        <f>+W338</f>
        <v>14883</v>
      </c>
      <c r="X371" s="6">
        <f t="shared" si="571"/>
        <v>14203</v>
      </c>
      <c r="Y371" s="6">
        <f t="shared" si="571"/>
        <v>14533.9</v>
      </c>
      <c r="Z371" s="6">
        <f t="shared" ref="Z371:AH371" si="572">+Z338</f>
        <v>16915.049641526937</v>
      </c>
      <c r="AA371" s="6">
        <f t="shared" si="572"/>
        <v>18483</v>
      </c>
      <c r="AB371" s="6">
        <f t="shared" ref="AB371" si="573">+AB338</f>
        <v>21217</v>
      </c>
      <c r="AC371" s="6">
        <f t="shared" si="572"/>
        <v>22404.229955568389</v>
      </c>
      <c r="AD371" s="6">
        <f t="shared" si="572"/>
        <v>24520.882672427644</v>
      </c>
      <c r="AE371" s="6">
        <f t="shared" si="572"/>
        <v>26517.6356799444</v>
      </c>
      <c r="AF371" s="6">
        <f t="shared" si="572"/>
        <v>28386.247294431065</v>
      </c>
      <c r="AG371" s="6">
        <f t="shared" si="572"/>
        <v>30268.657278039078</v>
      </c>
      <c r="AH371" s="6">
        <f t="shared" si="572"/>
        <v>32218.84696009658</v>
      </c>
      <c r="AI371" s="6">
        <f t="shared" ref="AI371:AL371" si="574">+AI338</f>
        <v>34083.310618779593</v>
      </c>
      <c r="AJ371" s="6">
        <f t="shared" si="574"/>
        <v>36060.855586066784</v>
      </c>
      <c r="AK371" s="6">
        <f t="shared" si="574"/>
        <v>38158.56304096018</v>
      </c>
      <c r="AL371" s="6">
        <f t="shared" si="574"/>
        <v>40341.939151286075</v>
      </c>
      <c r="AO371" s="2"/>
      <c r="AP371" s="2"/>
      <c r="AQ371" s="2"/>
      <c r="AR371" s="2"/>
      <c r="AS371" s="2"/>
      <c r="AT371" s="2"/>
      <c r="AU371" s="2"/>
      <c r="AV371" s="2"/>
    </row>
    <row r="372" spans="1:48" x14ac:dyDescent="0.2">
      <c r="A372" s="4"/>
      <c r="B372" s="4" t="s">
        <v>249</v>
      </c>
      <c r="C372" s="4"/>
      <c r="D372" s="15"/>
      <c r="E372" s="15"/>
      <c r="F372" s="15"/>
      <c r="G372" s="15"/>
      <c r="H372" s="36"/>
      <c r="I372" s="36"/>
      <c r="J372" s="36"/>
      <c r="K372" s="36"/>
      <c r="L372" s="36"/>
      <c r="M372" s="36"/>
      <c r="N372" s="15">
        <f t="shared" ref="N372:AA372" si="575">+-N100</f>
        <v>466</v>
      </c>
      <c r="O372" s="15">
        <f t="shared" si="575"/>
        <v>454</v>
      </c>
      <c r="P372" s="15">
        <f t="shared" si="575"/>
        <v>534</v>
      </c>
      <c r="Q372" s="15">
        <f t="shared" si="575"/>
        <v>904</v>
      </c>
      <c r="R372" s="15">
        <f t="shared" si="575"/>
        <v>1045</v>
      </c>
      <c r="S372" s="15">
        <f t="shared" si="575"/>
        <v>1179</v>
      </c>
      <c r="T372" s="15">
        <f t="shared" si="575"/>
        <v>1296</v>
      </c>
      <c r="U372" s="15">
        <f t="shared" si="575"/>
        <v>1496</v>
      </c>
      <c r="V372" s="15">
        <f t="shared" si="575"/>
        <v>1673</v>
      </c>
      <c r="W372" s="15">
        <f t="shared" si="575"/>
        <v>1885</v>
      </c>
      <c r="X372" s="15">
        <f t="shared" si="575"/>
        <v>1815</v>
      </c>
      <c r="Y372" s="15">
        <f t="shared" si="575"/>
        <v>1915</v>
      </c>
      <c r="Z372" s="15">
        <f t="shared" si="575"/>
        <v>2040</v>
      </c>
      <c r="AA372" s="15">
        <f t="shared" si="575"/>
        <v>2137</v>
      </c>
      <c r="AB372" s="15">
        <f t="shared" ref="AB372" si="576">+-AB100</f>
        <v>2351.6</v>
      </c>
      <c r="AC372" s="15">
        <f t="shared" ref="AC372:AL372" si="577">AB372*(1+AC373/100)*(1+AC374/100)</f>
        <v>2398.8671599999998</v>
      </c>
      <c r="AD372" s="15">
        <f t="shared" si="577"/>
        <v>2447.084389916</v>
      </c>
      <c r="AE372" s="15">
        <f t="shared" si="577"/>
        <v>2496.2707861533117</v>
      </c>
      <c r="AF372" s="15">
        <f t="shared" si="577"/>
        <v>2546.4458289549934</v>
      </c>
      <c r="AG372" s="15">
        <f t="shared" si="577"/>
        <v>2597.6293901169888</v>
      </c>
      <c r="AH372" s="15">
        <f t="shared" si="577"/>
        <v>2649.84174085834</v>
      </c>
      <c r="AI372" s="15">
        <f t="shared" si="577"/>
        <v>2729.8669614322621</v>
      </c>
      <c r="AJ372" s="15">
        <f t="shared" si="577"/>
        <v>2812.3089436675164</v>
      </c>
      <c r="AK372" s="15">
        <f t="shared" si="577"/>
        <v>2897.2406737662754</v>
      </c>
      <c r="AL372" s="15">
        <f t="shared" si="577"/>
        <v>2984.7373421140173</v>
      </c>
      <c r="AM372" s="4"/>
      <c r="AN372" s="4"/>
      <c r="AO372" s="4"/>
      <c r="AP372" s="4"/>
      <c r="AQ372" s="4"/>
      <c r="AR372" s="4"/>
      <c r="AS372" s="4"/>
      <c r="AT372" s="4"/>
      <c r="AU372" s="4"/>
      <c r="AV372" s="4"/>
    </row>
    <row r="373" spans="1:48" x14ac:dyDescent="0.2">
      <c r="A373" s="4"/>
      <c r="B373" s="66" t="s">
        <v>203</v>
      </c>
      <c r="C373" s="4"/>
      <c r="D373" s="15"/>
      <c r="E373" s="15"/>
      <c r="F373" s="15"/>
      <c r="G373" s="15"/>
      <c r="H373" s="36"/>
      <c r="I373" s="36"/>
      <c r="J373" s="36"/>
      <c r="K373" s="36"/>
      <c r="L373" s="36"/>
      <c r="M373" s="36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24">
        <v>1</v>
      </c>
      <c r="AD373" s="24">
        <f>AC373</f>
        <v>1</v>
      </c>
      <c r="AE373" s="24">
        <f t="shared" ref="AE373:AL373" si="578">AD373</f>
        <v>1</v>
      </c>
      <c r="AF373" s="24">
        <f t="shared" si="578"/>
        <v>1</v>
      </c>
      <c r="AG373" s="24">
        <f t="shared" si="578"/>
        <v>1</v>
      </c>
      <c r="AH373" s="24">
        <f t="shared" si="578"/>
        <v>1</v>
      </c>
      <c r="AI373" s="24">
        <v>2</v>
      </c>
      <c r="AJ373" s="24">
        <f t="shared" si="578"/>
        <v>2</v>
      </c>
      <c r="AK373" s="24">
        <f t="shared" si="578"/>
        <v>2</v>
      </c>
      <c r="AL373" s="24">
        <f t="shared" si="578"/>
        <v>2</v>
      </c>
      <c r="AM373" s="4"/>
      <c r="AN373" s="4"/>
      <c r="AO373" s="4"/>
      <c r="AP373" s="4"/>
      <c r="AQ373" s="4"/>
      <c r="AR373" s="4"/>
      <c r="AS373" s="4"/>
      <c r="AT373" s="4"/>
      <c r="AU373" s="4"/>
      <c r="AV373" s="4"/>
    </row>
    <row r="374" spans="1:48" x14ac:dyDescent="0.2">
      <c r="A374" s="4"/>
      <c r="B374" s="66" t="s">
        <v>247</v>
      </c>
      <c r="C374" s="4"/>
      <c r="D374" s="15"/>
      <c r="E374" s="15"/>
      <c r="F374" s="15"/>
      <c r="G374" s="15"/>
      <c r="H374" s="36"/>
      <c r="I374" s="36"/>
      <c r="J374" s="36"/>
      <c r="K374" s="36"/>
      <c r="L374" s="36"/>
      <c r="M374" s="36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24">
        <v>1</v>
      </c>
      <c r="AD374" s="24">
        <f>AC374</f>
        <v>1</v>
      </c>
      <c r="AE374" s="24">
        <f t="shared" ref="AE374:AL374" si="579">AD374</f>
        <v>1</v>
      </c>
      <c r="AF374" s="24">
        <f t="shared" si="579"/>
        <v>1</v>
      </c>
      <c r="AG374" s="24">
        <f t="shared" si="579"/>
        <v>1</v>
      </c>
      <c r="AH374" s="24">
        <f t="shared" si="579"/>
        <v>1</v>
      </c>
      <c r="AI374" s="24">
        <f t="shared" si="579"/>
        <v>1</v>
      </c>
      <c r="AJ374" s="24">
        <f t="shared" si="579"/>
        <v>1</v>
      </c>
      <c r="AK374" s="24">
        <f t="shared" si="579"/>
        <v>1</v>
      </c>
      <c r="AL374" s="24">
        <f t="shared" si="579"/>
        <v>1</v>
      </c>
      <c r="AM374" s="4"/>
      <c r="AN374" s="4"/>
      <c r="AO374" s="4"/>
      <c r="AP374" s="4"/>
      <c r="AQ374" s="4"/>
      <c r="AR374" s="4"/>
      <c r="AS374" s="4"/>
      <c r="AT374" s="4"/>
      <c r="AU374" s="4"/>
      <c r="AV374" s="4"/>
    </row>
    <row r="375" spans="1:48" x14ac:dyDescent="0.2">
      <c r="A375" s="2"/>
      <c r="B375" s="66" t="s">
        <v>204</v>
      </c>
      <c r="C375" s="2"/>
      <c r="D375" s="6"/>
      <c r="E375" s="6"/>
      <c r="F375" s="6"/>
      <c r="G375" s="6"/>
      <c r="H375" s="36"/>
      <c r="I375" s="36"/>
      <c r="J375" s="36"/>
      <c r="K375" s="36"/>
      <c r="L375" s="36"/>
      <c r="M375" s="36"/>
      <c r="N375" s="6"/>
      <c r="O375" s="6">
        <f t="shared" ref="O375:AC375" si="580">(O372-N372)/N372%</f>
        <v>-2.5751072961373391</v>
      </c>
      <c r="P375" s="6">
        <f t="shared" si="580"/>
        <v>17.621145374449338</v>
      </c>
      <c r="Q375" s="6">
        <f t="shared" si="580"/>
        <v>69.288389513108612</v>
      </c>
      <c r="R375" s="6">
        <f t="shared" si="580"/>
        <v>15.597345132743364</v>
      </c>
      <c r="S375" s="6">
        <f t="shared" si="580"/>
        <v>12.822966507177034</v>
      </c>
      <c r="T375" s="6">
        <f t="shared" si="580"/>
        <v>9.9236641221374047</v>
      </c>
      <c r="U375" s="6">
        <f t="shared" si="580"/>
        <v>15.432098765432098</v>
      </c>
      <c r="V375" s="6">
        <f t="shared" si="580"/>
        <v>11.831550802139036</v>
      </c>
      <c r="W375" s="6">
        <f t="shared" si="580"/>
        <v>12.671846981470413</v>
      </c>
      <c r="X375" s="6">
        <f t="shared" si="580"/>
        <v>-3.7135278514588856</v>
      </c>
      <c r="Y375" s="6">
        <f t="shared" si="580"/>
        <v>5.5096418732782375</v>
      </c>
      <c r="Z375" s="6">
        <f t="shared" si="580"/>
        <v>6.5274151436031334</v>
      </c>
      <c r="AA375" s="6">
        <f t="shared" si="580"/>
        <v>4.7549019607843137</v>
      </c>
      <c r="AB375" s="6">
        <f t="shared" si="580"/>
        <v>10.042115114646696</v>
      </c>
      <c r="AC375" s="6">
        <f t="shared" si="580"/>
        <v>2.0099999999999949</v>
      </c>
      <c r="AD375" s="6">
        <f t="shared" ref="AD375:AL375" si="581">(AD372-AC372)/AC372%</f>
        <v>2.0100000000000078</v>
      </c>
      <c r="AE375" s="6">
        <f t="shared" si="581"/>
        <v>2.0100000000000078</v>
      </c>
      <c r="AF375" s="6">
        <f t="shared" si="581"/>
        <v>2.0100000000000047</v>
      </c>
      <c r="AG375" s="6">
        <f t="shared" si="581"/>
        <v>2.0100000000000007</v>
      </c>
      <c r="AH375" s="6">
        <f t="shared" si="581"/>
        <v>2.0099999999999896</v>
      </c>
      <c r="AI375" s="6">
        <f t="shared" si="581"/>
        <v>3.0200000000000076</v>
      </c>
      <c r="AJ375" s="6">
        <f t="shared" si="581"/>
        <v>3.0199999999999987</v>
      </c>
      <c r="AK375" s="6">
        <f t="shared" si="581"/>
        <v>3.0200000000000036</v>
      </c>
      <c r="AL375" s="6">
        <f t="shared" si="581"/>
        <v>3.0200000000000129</v>
      </c>
      <c r="AO375" s="2"/>
      <c r="AP375" s="2"/>
      <c r="AQ375" s="2"/>
      <c r="AR375" s="2"/>
      <c r="AS375" s="2"/>
      <c r="AT375" s="2"/>
      <c r="AU375" s="2"/>
      <c r="AV375" s="2"/>
    </row>
    <row r="376" spans="1:48" x14ac:dyDescent="0.2">
      <c r="A376" s="2"/>
      <c r="B376" s="66" t="s">
        <v>248</v>
      </c>
      <c r="C376" s="2"/>
      <c r="D376" s="6"/>
      <c r="E376" s="6"/>
      <c r="F376" s="6"/>
      <c r="G376" s="6"/>
      <c r="H376" s="36"/>
      <c r="I376" s="36"/>
      <c r="J376" s="36"/>
      <c r="K376" s="36"/>
      <c r="L376" s="36"/>
      <c r="M376" s="36"/>
      <c r="N376" s="6">
        <f t="shared" ref="N376:S376" si="582">N372/N371%</f>
        <v>7.4360119997446867</v>
      </c>
      <c r="O376" s="6">
        <f t="shared" si="582"/>
        <v>7.7474296963417117</v>
      </c>
      <c r="P376" s="6">
        <f t="shared" si="582"/>
        <v>8.0470162748643759</v>
      </c>
      <c r="Q376" s="6">
        <f t="shared" si="582"/>
        <v>8.9646965489884956</v>
      </c>
      <c r="R376" s="6">
        <f t="shared" si="582"/>
        <v>10.146616176327798</v>
      </c>
      <c r="S376" s="6">
        <f t="shared" si="582"/>
        <v>10.917677562737291</v>
      </c>
      <c r="T376" s="6">
        <f t="shared" ref="T376:Y376" si="583">T372/T371%</f>
        <v>12.484346402080725</v>
      </c>
      <c r="U376" s="6">
        <f t="shared" si="583"/>
        <v>12.477064220183486</v>
      </c>
      <c r="V376" s="6">
        <f t="shared" si="583"/>
        <v>12.558174448281038</v>
      </c>
      <c r="W376" s="6">
        <f>W372/W371%</f>
        <v>12.665457233084727</v>
      </c>
      <c r="X376" s="6">
        <f t="shared" si="583"/>
        <v>12.778990354150531</v>
      </c>
      <c r="Y376" s="6">
        <f t="shared" si="583"/>
        <v>13.176091757890173</v>
      </c>
      <c r="Z376" s="6">
        <f t="shared" ref="Z376:AH376" si="584">Z372/Z371%</f>
        <v>12.060266113507234</v>
      </c>
      <c r="AA376" s="6">
        <f t="shared" si="584"/>
        <v>11.561975869718118</v>
      </c>
      <c r="AB376" s="6">
        <f t="shared" si="584"/>
        <v>11.083565065749164</v>
      </c>
      <c r="AC376" s="6">
        <f t="shared" si="584"/>
        <v>10.707206472873132</v>
      </c>
      <c r="AD376" s="6">
        <f t="shared" si="584"/>
        <v>9.9795934045539436</v>
      </c>
      <c r="AE376" s="6">
        <f t="shared" si="584"/>
        <v>9.4136250165065452</v>
      </c>
      <c r="AF376" s="6">
        <f t="shared" si="584"/>
        <v>8.9707026171598461</v>
      </c>
      <c r="AG376" s="6">
        <f t="shared" si="584"/>
        <v>8.5819115339538214</v>
      </c>
      <c r="AH376" s="6">
        <f t="shared" si="584"/>
        <v>8.2245082952229804</v>
      </c>
      <c r="AI376" s="6">
        <f t="shared" ref="AI376:AL376" si="585">AI372/AI371%</f>
        <v>8.0093949556887534</v>
      </c>
      <c r="AJ376" s="6">
        <f t="shared" si="585"/>
        <v>7.7987859632319383</v>
      </c>
      <c r="AK376" s="6">
        <f t="shared" si="585"/>
        <v>7.5926356835196289</v>
      </c>
      <c r="AL376" s="6">
        <f t="shared" si="585"/>
        <v>7.3985966091539899</v>
      </c>
      <c r="AO376" s="2"/>
      <c r="AP376" s="2"/>
      <c r="AQ376" s="2"/>
      <c r="AR376" s="2"/>
      <c r="AS376" s="2"/>
      <c r="AT376" s="2"/>
      <c r="AU376" s="2"/>
      <c r="AV376" s="2"/>
    </row>
    <row r="377" spans="1:48" x14ac:dyDescent="0.2">
      <c r="A377" s="2"/>
      <c r="B377" s="2"/>
      <c r="C377" s="2"/>
      <c r="D377" s="6"/>
      <c r="E377" s="6"/>
      <c r="F377" s="6"/>
      <c r="G377" s="6"/>
      <c r="H377" s="36"/>
      <c r="I377" s="36"/>
      <c r="J377" s="36"/>
      <c r="K377" s="36"/>
      <c r="L377" s="36"/>
      <c r="M377" s="3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O377" s="2"/>
      <c r="AP377" s="2"/>
      <c r="AQ377" s="2"/>
      <c r="AR377" s="2"/>
      <c r="AS377" s="2"/>
      <c r="AT377" s="2"/>
      <c r="AU377" s="2"/>
      <c r="AV377" s="2"/>
    </row>
    <row r="378" spans="1:48" x14ac:dyDescent="0.2">
      <c r="A378" s="2"/>
      <c r="B378" s="132" t="s">
        <v>90</v>
      </c>
      <c r="C378" s="2"/>
      <c r="D378" s="2"/>
      <c r="E378" s="2"/>
      <c r="F378" s="2"/>
      <c r="G378" s="2"/>
      <c r="H378" s="35"/>
      <c r="I378" s="35"/>
      <c r="J378" s="35"/>
      <c r="K378" s="35"/>
      <c r="L378" s="35"/>
      <c r="M378" s="35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O378" s="2"/>
      <c r="AP378" s="2"/>
      <c r="AQ378" s="2"/>
      <c r="AR378" s="2"/>
      <c r="AS378" s="2"/>
      <c r="AT378" s="2"/>
      <c r="AU378" s="2"/>
      <c r="AV378" s="2"/>
    </row>
    <row r="379" spans="1:48" x14ac:dyDescent="0.2">
      <c r="A379" s="2"/>
      <c r="B379" s="2" t="s">
        <v>399</v>
      </c>
      <c r="C379" s="2"/>
      <c r="D379" s="2"/>
      <c r="E379" s="2"/>
      <c r="F379" s="2"/>
      <c r="G379" s="2"/>
      <c r="H379" s="35"/>
      <c r="I379" s="35"/>
      <c r="J379" s="36"/>
      <c r="K379" s="36"/>
      <c r="L379" s="36"/>
      <c r="M379" s="36"/>
      <c r="N379" s="6">
        <f t="shared" ref="N379:AH379" si="586">N84</f>
        <v>6266.8</v>
      </c>
      <c r="O379" s="6">
        <f t="shared" si="586"/>
        <v>5860.0079999999998</v>
      </c>
      <c r="P379" s="6">
        <f t="shared" si="586"/>
        <v>6636</v>
      </c>
      <c r="Q379" s="6">
        <f t="shared" si="586"/>
        <v>10084</v>
      </c>
      <c r="R379" s="6">
        <f t="shared" si="586"/>
        <v>10299</v>
      </c>
      <c r="S379" s="6">
        <f t="shared" si="586"/>
        <v>10799</v>
      </c>
      <c r="T379" s="6">
        <f t="shared" si="586"/>
        <v>10381</v>
      </c>
      <c r="U379" s="6">
        <f t="shared" si="586"/>
        <v>11990</v>
      </c>
      <c r="V379" s="6">
        <f t="shared" si="586"/>
        <v>13322</v>
      </c>
      <c r="W379" s="6">
        <f t="shared" si="586"/>
        <v>14883</v>
      </c>
      <c r="X379" s="6">
        <f t="shared" si="586"/>
        <v>14203</v>
      </c>
      <c r="Y379" s="6">
        <f t="shared" si="586"/>
        <v>14533.9</v>
      </c>
      <c r="Z379" s="6">
        <f t="shared" si="586"/>
        <v>16915.049641526937</v>
      </c>
      <c r="AA379" s="6">
        <f t="shared" si="586"/>
        <v>18483</v>
      </c>
      <c r="AB379" s="6">
        <f t="shared" ref="AB379" si="587">AB84</f>
        <v>21217</v>
      </c>
      <c r="AC379" s="6">
        <f t="shared" si="586"/>
        <v>22404.229955568389</v>
      </c>
      <c r="AD379" s="6">
        <f t="shared" si="586"/>
        <v>24520.882672427644</v>
      </c>
      <c r="AE379" s="6">
        <f t="shared" si="586"/>
        <v>26517.6356799444</v>
      </c>
      <c r="AF379" s="6">
        <f t="shared" si="586"/>
        <v>28386.247294431065</v>
      </c>
      <c r="AG379" s="6">
        <f t="shared" si="586"/>
        <v>30268.657278039078</v>
      </c>
      <c r="AH379" s="6">
        <f t="shared" si="586"/>
        <v>32218.84696009658</v>
      </c>
      <c r="AI379" s="6">
        <f t="shared" ref="AI379:AL379" si="588">AI84</f>
        <v>34083.310618779593</v>
      </c>
      <c r="AJ379" s="6">
        <f t="shared" si="588"/>
        <v>36060.855586066784</v>
      </c>
      <c r="AK379" s="6">
        <f t="shared" si="588"/>
        <v>38158.56304096018</v>
      </c>
      <c r="AL379" s="6">
        <f t="shared" si="588"/>
        <v>40341.939151286075</v>
      </c>
      <c r="AO379" s="2"/>
      <c r="AP379" s="2"/>
      <c r="AQ379" s="2"/>
      <c r="AR379" s="2"/>
      <c r="AS379" s="2"/>
      <c r="AT379" s="2"/>
      <c r="AU379" s="2"/>
      <c r="AV379" s="2"/>
    </row>
    <row r="380" spans="1:48" x14ac:dyDescent="0.2">
      <c r="A380" s="8"/>
      <c r="B380" s="4" t="s">
        <v>250</v>
      </c>
      <c r="C380" s="8"/>
      <c r="D380" s="8"/>
      <c r="E380" s="8"/>
      <c r="F380" s="8"/>
      <c r="G380" s="8"/>
      <c r="H380" s="31"/>
      <c r="I380" s="31"/>
      <c r="J380" s="37"/>
      <c r="K380" s="37"/>
      <c r="L380" s="37"/>
      <c r="M380" s="37"/>
      <c r="N380" s="9">
        <f t="shared" ref="N380:AA380" si="589">-N101</f>
        <v>349</v>
      </c>
      <c r="O380" s="9">
        <f t="shared" si="589"/>
        <v>325</v>
      </c>
      <c r="P380" s="9">
        <f t="shared" si="589"/>
        <v>347</v>
      </c>
      <c r="Q380" s="9">
        <f t="shared" si="589"/>
        <v>491</v>
      </c>
      <c r="R380" s="9">
        <f t="shared" si="589"/>
        <v>535</v>
      </c>
      <c r="S380" s="9">
        <f t="shared" si="589"/>
        <v>565</v>
      </c>
      <c r="T380" s="9">
        <f t="shared" si="589"/>
        <v>582</v>
      </c>
      <c r="U380" s="9">
        <f t="shared" si="589"/>
        <v>617</v>
      </c>
      <c r="V380" s="9">
        <f t="shared" si="589"/>
        <v>678</v>
      </c>
      <c r="W380" s="9">
        <f t="shared" si="589"/>
        <v>750</v>
      </c>
      <c r="X380" s="9">
        <f t="shared" si="589"/>
        <v>753</v>
      </c>
      <c r="Y380" s="9">
        <f t="shared" si="589"/>
        <v>763</v>
      </c>
      <c r="Z380" s="9">
        <f t="shared" si="589"/>
        <v>859</v>
      </c>
      <c r="AA380" s="9">
        <f t="shared" si="589"/>
        <v>917</v>
      </c>
      <c r="AB380" s="9">
        <f t="shared" ref="AB380" si="590">-AB101</f>
        <v>1097.5999999999999</v>
      </c>
      <c r="AC380" s="9">
        <f t="shared" ref="AC380:AH380" si="591">AC379*(AC381/100)</f>
        <v>1120.2114977784195</v>
      </c>
      <c r="AD380" s="9">
        <f t="shared" si="591"/>
        <v>1201.5232509489547</v>
      </c>
      <c r="AE380" s="9">
        <f t="shared" si="591"/>
        <v>1299.3641483172757</v>
      </c>
      <c r="AF380" s="9">
        <f t="shared" si="591"/>
        <v>1362.5398701326912</v>
      </c>
      <c r="AG380" s="9">
        <f t="shared" si="591"/>
        <v>1422.6268920678372</v>
      </c>
      <c r="AH380" s="9">
        <f t="shared" si="591"/>
        <v>1482.0669601644431</v>
      </c>
      <c r="AI380" s="9">
        <f t="shared" ref="AI380:AL380" si="592">AI379*(AI381/100)</f>
        <v>1533.7489778450824</v>
      </c>
      <c r="AJ380" s="9">
        <f t="shared" si="592"/>
        <v>1586.6776457869391</v>
      </c>
      <c r="AK380" s="9">
        <f t="shared" si="592"/>
        <v>1640.8182107612886</v>
      </c>
      <c r="AL380" s="9">
        <f t="shared" si="592"/>
        <v>1694.3614443540164</v>
      </c>
      <c r="AM380" s="8"/>
      <c r="AN380" s="8"/>
      <c r="AO380" s="8"/>
      <c r="AP380" s="8"/>
      <c r="AQ380" s="8"/>
      <c r="AR380" s="8"/>
      <c r="AS380" s="8"/>
      <c r="AT380" s="8"/>
      <c r="AU380" s="8"/>
      <c r="AV380" s="8"/>
    </row>
    <row r="381" spans="1:48" x14ac:dyDescent="0.2">
      <c r="A381" s="2"/>
      <c r="B381" s="66" t="s">
        <v>248</v>
      </c>
      <c r="C381" s="2"/>
      <c r="D381" s="2"/>
      <c r="E381" s="2"/>
      <c r="F381" s="2"/>
      <c r="G381" s="2"/>
      <c r="H381" s="35"/>
      <c r="I381" s="35"/>
      <c r="J381" s="36"/>
      <c r="K381" s="36"/>
      <c r="L381" s="36"/>
      <c r="M381" s="36"/>
      <c r="N381" s="6">
        <f t="shared" ref="N381:Y381" si="593">N380/N379%</f>
        <v>5.5690304461607196</v>
      </c>
      <c r="O381" s="6">
        <f t="shared" si="593"/>
        <v>5.5460675139010052</v>
      </c>
      <c r="P381" s="6">
        <f t="shared" si="593"/>
        <v>5.2290536467751654</v>
      </c>
      <c r="Q381" s="6">
        <f t="shared" si="593"/>
        <v>4.8690995636652117</v>
      </c>
      <c r="R381" s="6">
        <f t="shared" si="593"/>
        <v>5.194679095057773</v>
      </c>
      <c r="S381" s="6">
        <f t="shared" si="593"/>
        <v>5.2319659227706268</v>
      </c>
      <c r="T381" s="6">
        <f t="shared" si="593"/>
        <v>5.6063963009343993</v>
      </c>
      <c r="U381" s="6">
        <f t="shared" si="593"/>
        <v>5.145954962468724</v>
      </c>
      <c r="V381" s="6">
        <f t="shared" si="593"/>
        <v>5.089325927037982</v>
      </c>
      <c r="W381" s="6">
        <f>W380/W379%</f>
        <v>5.0393065914130215</v>
      </c>
      <c r="X381" s="6">
        <f t="shared" si="593"/>
        <v>5.3016968246145177</v>
      </c>
      <c r="Y381" s="6">
        <f t="shared" si="593"/>
        <v>5.2497953061463196</v>
      </c>
      <c r="Z381" s="6">
        <f>Z380/Z379%</f>
        <v>5.0783179370111338</v>
      </c>
      <c r="AA381" s="6">
        <f>AA380/AA379%</f>
        <v>4.9613158037115186</v>
      </c>
      <c r="AB381" s="6">
        <f>AB380/AB379%</f>
        <v>5.1732101616628174</v>
      </c>
      <c r="AC381" s="27">
        <v>5</v>
      </c>
      <c r="AD381" s="27">
        <v>4.9000000000000004</v>
      </c>
      <c r="AE381" s="27">
        <v>4.9000000000000004</v>
      </c>
      <c r="AF381" s="27">
        <f>AE381-0.1</f>
        <v>4.8000000000000007</v>
      </c>
      <c r="AG381" s="27">
        <f>AF381-0.1</f>
        <v>4.7000000000000011</v>
      </c>
      <c r="AH381" s="27">
        <f t="shared" ref="AH381:AL381" si="594">AG381-0.1</f>
        <v>4.6000000000000014</v>
      </c>
      <c r="AI381" s="27">
        <f t="shared" si="594"/>
        <v>4.5000000000000018</v>
      </c>
      <c r="AJ381" s="27">
        <f t="shared" si="594"/>
        <v>4.4000000000000021</v>
      </c>
      <c r="AK381" s="27">
        <f t="shared" si="594"/>
        <v>4.3000000000000025</v>
      </c>
      <c r="AL381" s="27">
        <f t="shared" si="594"/>
        <v>4.2000000000000028</v>
      </c>
      <c r="AO381" s="2"/>
      <c r="AP381" s="2"/>
      <c r="AQ381" s="2"/>
      <c r="AR381" s="2"/>
      <c r="AS381" s="2"/>
      <c r="AT381" s="2"/>
      <c r="AU381" s="2"/>
      <c r="AV381" s="2"/>
    </row>
    <row r="382" spans="1:48" x14ac:dyDescent="0.2">
      <c r="A382" s="2"/>
      <c r="B382" s="66" t="s">
        <v>247</v>
      </c>
      <c r="C382" s="2"/>
      <c r="D382" s="6"/>
      <c r="E382" s="6"/>
      <c r="F382" s="6"/>
      <c r="G382" s="6"/>
      <c r="H382" s="36"/>
      <c r="I382" s="36"/>
      <c r="J382" s="36"/>
      <c r="K382" s="36"/>
      <c r="L382" s="36"/>
      <c r="M382" s="36"/>
      <c r="N382" s="6"/>
      <c r="O382" s="6">
        <f>(O380-N380)/N380%</f>
        <v>-6.8767908309455583</v>
      </c>
      <c r="P382" s="6">
        <f t="shared" ref="P382:Y382" si="595">(P380-O380)/O380%</f>
        <v>6.7692307692307692</v>
      </c>
      <c r="Q382" s="6">
        <f t="shared" si="595"/>
        <v>41.498559077809794</v>
      </c>
      <c r="R382" s="6">
        <f t="shared" si="595"/>
        <v>8.9613034623217924</v>
      </c>
      <c r="S382" s="6">
        <f t="shared" si="595"/>
        <v>5.6074766355140193</v>
      </c>
      <c r="T382" s="6">
        <f t="shared" si="595"/>
        <v>3.0088495575221237</v>
      </c>
      <c r="U382" s="6">
        <f t="shared" si="595"/>
        <v>6.0137457044673539</v>
      </c>
      <c r="V382" s="6">
        <f t="shared" si="595"/>
        <v>9.886547811993518</v>
      </c>
      <c r="W382" s="6">
        <f t="shared" si="595"/>
        <v>10.619469026548671</v>
      </c>
      <c r="X382" s="6">
        <f t="shared" si="595"/>
        <v>0.4</v>
      </c>
      <c r="Y382" s="6">
        <f t="shared" si="595"/>
        <v>1.3280212483399734</v>
      </c>
      <c r="Z382" s="6">
        <f t="shared" ref="Z382:AL382" si="596">(Z380-Y380)/Y380%</f>
        <v>12.581913499344692</v>
      </c>
      <c r="AA382" s="6">
        <f t="shared" si="596"/>
        <v>6.7520372526193251</v>
      </c>
      <c r="AB382" s="6">
        <f t="shared" si="596"/>
        <v>19.694656488549608</v>
      </c>
      <c r="AC382" s="6">
        <f t="shared" si="596"/>
        <v>2.0600854389959515</v>
      </c>
      <c r="AD382" s="6">
        <f t="shared" si="596"/>
        <v>7.2586072658414071</v>
      </c>
      <c r="AE382" s="6">
        <f t="shared" si="596"/>
        <v>8.143071496206753</v>
      </c>
      <c r="AF382" s="6">
        <f t="shared" si="596"/>
        <v>4.8620490181470979</v>
      </c>
      <c r="AG382" s="6">
        <f t="shared" si="596"/>
        <v>4.4099276103600786</v>
      </c>
      <c r="AH382" s="6">
        <f t="shared" si="596"/>
        <v>4.1781909528089809</v>
      </c>
      <c r="AI382" s="6">
        <f t="shared" si="596"/>
        <v>3.4871580751590958</v>
      </c>
      <c r="AJ382" s="6">
        <f t="shared" si="596"/>
        <v>3.4509341949959431</v>
      </c>
      <c r="AK382" s="6">
        <f t="shared" si="596"/>
        <v>3.4121968704927164</v>
      </c>
      <c r="AL382" s="6">
        <f t="shared" si="596"/>
        <v>3.2632032751443809</v>
      </c>
      <c r="AO382" s="2"/>
      <c r="AP382" s="2"/>
      <c r="AQ382" s="2"/>
      <c r="AR382" s="2"/>
      <c r="AS382" s="2"/>
      <c r="AT382" s="2"/>
      <c r="AU382" s="2"/>
      <c r="AV382" s="2"/>
    </row>
    <row r="383" spans="1:48" x14ac:dyDescent="0.2">
      <c r="A383" s="2"/>
      <c r="B383" s="66"/>
      <c r="C383" s="2"/>
      <c r="D383" s="6"/>
      <c r="E383" s="6"/>
      <c r="F383" s="6"/>
      <c r="G383" s="6"/>
      <c r="H383" s="36"/>
      <c r="I383" s="36"/>
      <c r="J383" s="36"/>
      <c r="K383" s="36"/>
      <c r="L383" s="36"/>
      <c r="M383" s="3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O383" s="2"/>
      <c r="AP383" s="2"/>
      <c r="AQ383" s="2"/>
      <c r="AR383" s="2"/>
      <c r="AS383" s="2"/>
      <c r="AT383" s="2"/>
      <c r="AU383" s="2"/>
      <c r="AV383" s="2"/>
    </row>
    <row r="384" spans="1:48" x14ac:dyDescent="0.2">
      <c r="A384" s="2"/>
      <c r="B384" s="130" t="s">
        <v>114</v>
      </c>
      <c r="C384" s="2"/>
      <c r="D384" s="6"/>
      <c r="E384" s="6"/>
      <c r="F384" s="6"/>
      <c r="G384" s="6"/>
      <c r="H384" s="36"/>
      <c r="I384" s="36"/>
      <c r="J384" s="36"/>
      <c r="K384" s="36"/>
      <c r="L384" s="36"/>
      <c r="M384" s="3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O384" s="2"/>
      <c r="AP384" s="2"/>
      <c r="AQ384" s="2"/>
      <c r="AR384" s="2"/>
      <c r="AS384" s="2"/>
      <c r="AT384" s="2"/>
      <c r="AU384" s="2"/>
      <c r="AV384" s="2"/>
    </row>
    <row r="385" spans="1:48" x14ac:dyDescent="0.2">
      <c r="A385" s="2"/>
      <c r="B385" s="2" t="s">
        <v>301</v>
      </c>
      <c r="C385" s="2"/>
      <c r="D385" s="6"/>
      <c r="E385" s="6"/>
      <c r="F385" s="6"/>
      <c r="G385" s="6"/>
      <c r="H385" s="36"/>
      <c r="I385" s="36"/>
      <c r="J385" s="36">
        <f t="shared" ref="J385:R385" si="597">+J416</f>
        <v>5353.9489999999996</v>
      </c>
      <c r="K385" s="36">
        <f t="shared" si="597"/>
        <v>5834.8050000000003</v>
      </c>
      <c r="L385" s="36">
        <f t="shared" si="597"/>
        <v>6112.3469999999998</v>
      </c>
      <c r="M385" s="36">
        <f t="shared" si="597"/>
        <v>6523.4189999999999</v>
      </c>
      <c r="N385" s="6">
        <f t="shared" si="597"/>
        <v>6266.8</v>
      </c>
      <c r="O385" s="6">
        <f t="shared" si="597"/>
        <v>5860.0079999999998</v>
      </c>
      <c r="P385" s="6">
        <f t="shared" si="597"/>
        <v>6636</v>
      </c>
      <c r="Q385" s="6">
        <f t="shared" si="597"/>
        <v>10084</v>
      </c>
      <c r="R385" s="6">
        <f t="shared" si="597"/>
        <v>10299</v>
      </c>
      <c r="S385" s="6">
        <f t="shared" ref="S385:Y385" si="598">+S338</f>
        <v>10799</v>
      </c>
      <c r="T385" s="6">
        <f t="shared" si="598"/>
        <v>10381</v>
      </c>
      <c r="U385" s="6">
        <f t="shared" si="598"/>
        <v>11990</v>
      </c>
      <c r="V385" s="6">
        <f t="shared" si="598"/>
        <v>13322</v>
      </c>
      <c r="W385" s="6">
        <f>+W338</f>
        <v>14883</v>
      </c>
      <c r="X385" s="6">
        <f t="shared" si="598"/>
        <v>14203</v>
      </c>
      <c r="Y385" s="6">
        <f t="shared" si="598"/>
        <v>14533.9</v>
      </c>
      <c r="Z385" s="6">
        <f t="shared" ref="Z385:AH385" si="599">+Z338</f>
        <v>16915.049641526937</v>
      </c>
      <c r="AA385" s="6">
        <f t="shared" si="599"/>
        <v>18483</v>
      </c>
      <c r="AB385" s="6">
        <f t="shared" ref="AB385" si="600">+AB338</f>
        <v>21217</v>
      </c>
      <c r="AC385" s="6">
        <f t="shared" si="599"/>
        <v>22404.229955568389</v>
      </c>
      <c r="AD385" s="6">
        <f t="shared" si="599"/>
        <v>24520.882672427644</v>
      </c>
      <c r="AE385" s="6">
        <f t="shared" si="599"/>
        <v>26517.6356799444</v>
      </c>
      <c r="AF385" s="6">
        <f t="shared" si="599"/>
        <v>28386.247294431065</v>
      </c>
      <c r="AG385" s="6">
        <f t="shared" si="599"/>
        <v>30268.657278039078</v>
      </c>
      <c r="AH385" s="6">
        <f t="shared" si="599"/>
        <v>32218.84696009658</v>
      </c>
      <c r="AI385" s="6">
        <f t="shared" ref="AI385:AL385" si="601">+AI338</f>
        <v>34083.310618779593</v>
      </c>
      <c r="AJ385" s="6">
        <f t="shared" si="601"/>
        <v>36060.855586066784</v>
      </c>
      <c r="AK385" s="6">
        <f t="shared" si="601"/>
        <v>38158.56304096018</v>
      </c>
      <c r="AL385" s="6">
        <f t="shared" si="601"/>
        <v>40341.939151286075</v>
      </c>
      <c r="AO385" s="2"/>
      <c r="AP385" s="2"/>
      <c r="AQ385" s="2"/>
      <c r="AR385" s="2"/>
      <c r="AS385" s="2"/>
      <c r="AT385" s="2"/>
      <c r="AU385" s="2"/>
      <c r="AV385" s="2"/>
    </row>
    <row r="386" spans="1:48" x14ac:dyDescent="0.2">
      <c r="A386" s="8"/>
      <c r="B386" s="8" t="s">
        <v>115</v>
      </c>
      <c r="C386" s="8"/>
      <c r="D386" s="9"/>
      <c r="E386" s="9"/>
      <c r="F386" s="9"/>
      <c r="G386" s="9"/>
      <c r="H386" s="37"/>
      <c r="I386" s="37"/>
      <c r="J386" s="37"/>
      <c r="K386" s="37">
        <f t="shared" ref="K386:AA386" si="602">+-K102</f>
        <v>91</v>
      </c>
      <c r="L386" s="37">
        <f t="shared" si="602"/>
        <v>86</v>
      </c>
      <c r="M386" s="37">
        <f t="shared" si="602"/>
        <v>85</v>
      </c>
      <c r="N386" s="9">
        <f t="shared" si="602"/>
        <v>86</v>
      </c>
      <c r="O386" s="9">
        <f t="shared" si="602"/>
        <v>59</v>
      </c>
      <c r="P386" s="9">
        <f t="shared" si="602"/>
        <v>63</v>
      </c>
      <c r="Q386" s="9">
        <f t="shared" si="602"/>
        <v>98</v>
      </c>
      <c r="R386" s="9">
        <f t="shared" si="602"/>
        <v>84</v>
      </c>
      <c r="S386" s="9">
        <f t="shared" si="602"/>
        <v>81</v>
      </c>
      <c r="T386" s="9">
        <f t="shared" si="602"/>
        <v>86</v>
      </c>
      <c r="U386" s="9">
        <f t="shared" si="602"/>
        <v>102</v>
      </c>
      <c r="V386" s="9">
        <f t="shared" si="602"/>
        <v>115</v>
      </c>
      <c r="W386" s="9">
        <f t="shared" si="602"/>
        <v>128</v>
      </c>
      <c r="X386" s="9">
        <f t="shared" si="602"/>
        <v>124</v>
      </c>
      <c r="Y386" s="9">
        <f t="shared" si="602"/>
        <v>126</v>
      </c>
      <c r="Z386" s="9">
        <f t="shared" si="602"/>
        <v>139</v>
      </c>
      <c r="AA386" s="9">
        <f t="shared" si="602"/>
        <v>164</v>
      </c>
      <c r="AB386" s="9">
        <f t="shared" ref="AB386" si="603">+-AB102</f>
        <v>186.6</v>
      </c>
      <c r="AC386" s="9">
        <f t="shared" ref="AC386:AH386" si="604">AC385*(AC387/100)</f>
        <v>201.63806960011553</v>
      </c>
      <c r="AD386" s="9">
        <f t="shared" si="604"/>
        <v>220.68794405184883</v>
      </c>
      <c r="AE386" s="9">
        <f t="shared" si="604"/>
        <v>238.65872111949963</v>
      </c>
      <c r="AF386" s="9">
        <f t="shared" si="604"/>
        <v>255.47622564987961</v>
      </c>
      <c r="AG386" s="9">
        <f t="shared" si="604"/>
        <v>272.41791550235172</v>
      </c>
      <c r="AH386" s="9">
        <f t="shared" si="604"/>
        <v>289.96962264086926</v>
      </c>
      <c r="AI386" s="9">
        <f t="shared" ref="AI386:AL386" si="605">AI385*(AI387/100)</f>
        <v>306.74979556901638</v>
      </c>
      <c r="AJ386" s="9">
        <f t="shared" si="605"/>
        <v>324.54770027460108</v>
      </c>
      <c r="AK386" s="9">
        <f t="shared" si="605"/>
        <v>343.42706736864164</v>
      </c>
      <c r="AL386" s="9">
        <f t="shared" si="605"/>
        <v>363.07745236157473</v>
      </c>
      <c r="AM386" s="8"/>
      <c r="AN386" s="8"/>
      <c r="AO386" s="8"/>
      <c r="AP386" s="8"/>
      <c r="AQ386" s="8"/>
      <c r="AR386" s="8"/>
      <c r="AS386" s="8"/>
      <c r="AT386" s="8"/>
      <c r="AU386" s="8"/>
      <c r="AV386" s="8"/>
    </row>
    <row r="387" spans="1:48" x14ac:dyDescent="0.2">
      <c r="A387" s="2"/>
      <c r="B387" s="66" t="s">
        <v>248</v>
      </c>
      <c r="C387" s="2"/>
      <c r="D387" s="6"/>
      <c r="E387" s="6"/>
      <c r="F387" s="6"/>
      <c r="G387" s="6"/>
      <c r="H387" s="36"/>
      <c r="I387" s="36"/>
      <c r="J387" s="36"/>
      <c r="K387" s="36">
        <f t="shared" ref="K387:AA387" si="606">K386/K385%</f>
        <v>1.5596065335516782</v>
      </c>
      <c r="L387" s="36">
        <f t="shared" si="606"/>
        <v>1.4069881830988982</v>
      </c>
      <c r="M387" s="36">
        <f t="shared" si="606"/>
        <v>1.3029977071839169</v>
      </c>
      <c r="N387" s="6">
        <f t="shared" si="606"/>
        <v>1.3723112274206932</v>
      </c>
      <c r="O387" s="6">
        <f t="shared" si="606"/>
        <v>1.0068245640620286</v>
      </c>
      <c r="P387" s="6">
        <f t="shared" si="606"/>
        <v>0.949367088607595</v>
      </c>
      <c r="Q387" s="6">
        <f t="shared" si="606"/>
        <v>0.97183657278857594</v>
      </c>
      <c r="R387" s="6">
        <f t="shared" si="606"/>
        <v>0.8156131663268279</v>
      </c>
      <c r="S387" s="6">
        <f t="shared" si="606"/>
        <v>0.75006945087508103</v>
      </c>
      <c r="T387" s="6">
        <f t="shared" si="606"/>
        <v>0.82843656680473943</v>
      </c>
      <c r="U387" s="6">
        <f t="shared" si="606"/>
        <v>0.85070892410341947</v>
      </c>
      <c r="V387" s="6">
        <f t="shared" si="606"/>
        <v>0.86323374868638347</v>
      </c>
      <c r="W387" s="6">
        <f>W386/W385%</f>
        <v>0.86004165826782231</v>
      </c>
      <c r="X387" s="6">
        <f t="shared" si="606"/>
        <v>0.87305498838273599</v>
      </c>
      <c r="Y387" s="6">
        <f t="shared" si="606"/>
        <v>0.86693867440948402</v>
      </c>
      <c r="Z387" s="6">
        <f>Z386/Z385%</f>
        <v>0.82175342636152227</v>
      </c>
      <c r="AA387" s="6">
        <f t="shared" si="606"/>
        <v>0.88730184493859221</v>
      </c>
      <c r="AB387" s="6">
        <f t="shared" ref="AB387" si="607">AB386/AB385%</f>
        <v>0.87948343309610222</v>
      </c>
      <c r="AC387" s="24">
        <v>0.9</v>
      </c>
      <c r="AD387" s="24">
        <f t="shared" ref="AD387:AL387" si="608">AC387</f>
        <v>0.9</v>
      </c>
      <c r="AE387" s="24">
        <f t="shared" si="608"/>
        <v>0.9</v>
      </c>
      <c r="AF387" s="24">
        <f t="shared" si="608"/>
        <v>0.9</v>
      </c>
      <c r="AG387" s="24">
        <f t="shared" si="608"/>
        <v>0.9</v>
      </c>
      <c r="AH387" s="24">
        <f t="shared" si="608"/>
        <v>0.9</v>
      </c>
      <c r="AI387" s="24">
        <f t="shared" si="608"/>
        <v>0.9</v>
      </c>
      <c r="AJ387" s="24">
        <f t="shared" si="608"/>
        <v>0.9</v>
      </c>
      <c r="AK387" s="24">
        <f t="shared" si="608"/>
        <v>0.9</v>
      </c>
      <c r="AL387" s="24">
        <f t="shared" si="608"/>
        <v>0.9</v>
      </c>
      <c r="AO387" s="2"/>
      <c r="AP387" s="2"/>
      <c r="AQ387" s="2"/>
      <c r="AR387" s="2"/>
      <c r="AS387" s="2"/>
      <c r="AT387" s="2"/>
      <c r="AU387" s="2"/>
      <c r="AV387" s="2"/>
    </row>
    <row r="388" spans="1:48" x14ac:dyDescent="0.2">
      <c r="A388" s="2"/>
      <c r="B388" s="66" t="s">
        <v>247</v>
      </c>
      <c r="C388" s="2"/>
      <c r="D388" s="6"/>
      <c r="E388" s="6"/>
      <c r="F388" s="6"/>
      <c r="G388" s="6"/>
      <c r="H388" s="36"/>
      <c r="I388" s="36"/>
      <c r="J388" s="36"/>
      <c r="K388" s="36"/>
      <c r="L388" s="36">
        <f>(L386-K386)/K386%</f>
        <v>-5.4945054945054945</v>
      </c>
      <c r="M388" s="36">
        <f t="shared" ref="M388:X388" si="609">(M386-L386)/L386%</f>
        <v>-1.1627906976744187</v>
      </c>
      <c r="N388" s="36">
        <f t="shared" si="609"/>
        <v>1.1764705882352942</v>
      </c>
      <c r="O388" s="36">
        <f t="shared" si="609"/>
        <v>-31.395348837209301</v>
      </c>
      <c r="P388" s="36">
        <f t="shared" si="609"/>
        <v>6.7796610169491531</v>
      </c>
      <c r="Q388" s="36">
        <f t="shared" si="609"/>
        <v>55.555555555555557</v>
      </c>
      <c r="R388" s="36">
        <f t="shared" si="609"/>
        <v>-14.285714285714286</v>
      </c>
      <c r="S388" s="36">
        <f t="shared" si="609"/>
        <v>-3.5714285714285716</v>
      </c>
      <c r="T388" s="36">
        <f t="shared" si="609"/>
        <v>6.1728395061728394</v>
      </c>
      <c r="U388" s="36">
        <f t="shared" si="609"/>
        <v>18.604651162790699</v>
      </c>
      <c r="V388" s="36">
        <f t="shared" si="609"/>
        <v>12.745098039215685</v>
      </c>
      <c r="W388" s="36">
        <f t="shared" si="609"/>
        <v>11.304347826086957</v>
      </c>
      <c r="X388" s="36">
        <f t="shared" si="609"/>
        <v>-3.125</v>
      </c>
      <c r="Y388" s="36">
        <f t="shared" ref="Y388:AL388" si="610">(Y386-X386)/X386%</f>
        <v>1.6129032258064517</v>
      </c>
      <c r="Z388" s="36">
        <f t="shared" si="610"/>
        <v>10.317460317460318</v>
      </c>
      <c r="AA388" s="36">
        <f t="shared" si="610"/>
        <v>17.985611510791369</v>
      </c>
      <c r="AB388" s="36">
        <f t="shared" si="610"/>
        <v>13.780487804878046</v>
      </c>
      <c r="AC388" s="36">
        <f t="shared" si="610"/>
        <v>8.0589869239633085</v>
      </c>
      <c r="AD388" s="36">
        <f t="shared" si="610"/>
        <v>9.4475584345320414</v>
      </c>
      <c r="AE388" s="36">
        <f t="shared" si="610"/>
        <v>8.1430714962067494</v>
      </c>
      <c r="AF388" s="36">
        <f t="shared" si="610"/>
        <v>7.0466750393584938</v>
      </c>
      <c r="AG388" s="36">
        <f t="shared" si="610"/>
        <v>6.6314154318570706</v>
      </c>
      <c r="AH388" s="36">
        <f t="shared" si="610"/>
        <v>6.4429342343917995</v>
      </c>
      <c r="AI388" s="36">
        <f t="shared" si="610"/>
        <v>5.7868726990515009</v>
      </c>
      <c r="AJ388" s="36">
        <f t="shared" si="610"/>
        <v>5.8020917903367613</v>
      </c>
      <c r="AK388" s="36">
        <f t="shared" si="610"/>
        <v>5.817131681434395</v>
      </c>
      <c r="AL388" s="36">
        <f t="shared" si="610"/>
        <v>5.7218509721716133</v>
      </c>
      <c r="AO388" s="2"/>
      <c r="AP388" s="2"/>
      <c r="AQ388" s="2"/>
      <c r="AR388" s="2"/>
      <c r="AS388" s="2"/>
      <c r="AT388" s="2"/>
      <c r="AU388" s="2"/>
      <c r="AV388" s="2"/>
    </row>
    <row r="389" spans="1:48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O389" s="2"/>
      <c r="AP389" s="2"/>
      <c r="AQ389" s="2"/>
      <c r="AR389" s="2"/>
      <c r="AS389" s="2"/>
      <c r="AT389" s="2"/>
      <c r="AU389" s="2"/>
      <c r="AV389" s="2"/>
    </row>
    <row r="390" spans="1:48" x14ac:dyDescent="0.2">
      <c r="A390" s="2"/>
      <c r="B390" s="2"/>
      <c r="C390" s="2"/>
      <c r="D390" s="2"/>
      <c r="E390" s="2"/>
      <c r="F390" s="2"/>
      <c r="G390" s="2"/>
      <c r="H390" s="35"/>
      <c r="I390" s="35"/>
      <c r="J390" s="93"/>
      <c r="K390" s="93"/>
      <c r="L390" s="93"/>
      <c r="M390" s="93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O390" s="2"/>
      <c r="AP390" s="2"/>
      <c r="AQ390" s="2"/>
      <c r="AR390" s="2"/>
      <c r="AS390" s="2"/>
      <c r="AT390" s="2"/>
      <c r="AU390" s="2"/>
      <c r="AV390" s="2"/>
    </row>
    <row r="391" spans="1:48" x14ac:dyDescent="0.2">
      <c r="A391" s="2"/>
      <c r="B391" s="132" t="s">
        <v>135</v>
      </c>
      <c r="C391" s="2"/>
      <c r="D391" s="2"/>
      <c r="E391" s="2"/>
      <c r="F391" s="2"/>
      <c r="G391" s="2"/>
      <c r="H391" s="35"/>
      <c r="I391" s="35"/>
      <c r="J391" s="93"/>
      <c r="K391" s="93"/>
      <c r="L391" s="93"/>
      <c r="M391" s="11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O391" s="2"/>
      <c r="AP391" s="2"/>
      <c r="AQ391" s="2"/>
      <c r="AR391" s="2"/>
      <c r="AS391" s="2"/>
      <c r="AT391" s="2"/>
      <c r="AU391" s="2"/>
      <c r="AV391" s="2"/>
    </row>
    <row r="392" spans="1:48" x14ac:dyDescent="0.2">
      <c r="A392" s="2"/>
      <c r="B392" s="2" t="s">
        <v>399</v>
      </c>
      <c r="C392" s="2"/>
      <c r="D392" s="2"/>
      <c r="E392" s="2"/>
      <c r="F392" s="2"/>
      <c r="G392" s="2"/>
      <c r="H392" s="35"/>
      <c r="I392" s="35"/>
      <c r="J392" s="93"/>
      <c r="K392" s="93"/>
      <c r="L392" s="93"/>
      <c r="M392" s="46"/>
      <c r="N392" s="6">
        <f t="shared" ref="N392:AH392" si="611">N84</f>
        <v>6266.8</v>
      </c>
      <c r="O392" s="6">
        <f t="shared" si="611"/>
        <v>5860.0079999999998</v>
      </c>
      <c r="P392" s="6">
        <f t="shared" si="611"/>
        <v>6636</v>
      </c>
      <c r="Q392" s="6">
        <f t="shared" si="611"/>
        <v>10084</v>
      </c>
      <c r="R392" s="6">
        <f t="shared" si="611"/>
        <v>10299</v>
      </c>
      <c r="S392" s="20">
        <f t="shared" si="611"/>
        <v>10799</v>
      </c>
      <c r="T392" s="20">
        <f t="shared" si="611"/>
        <v>10381</v>
      </c>
      <c r="U392" s="15">
        <f t="shared" si="611"/>
        <v>11990</v>
      </c>
      <c r="V392" s="15">
        <f t="shared" si="611"/>
        <v>13322</v>
      </c>
      <c r="W392" s="15">
        <f t="shared" si="611"/>
        <v>14883</v>
      </c>
      <c r="X392" s="15">
        <f t="shared" si="611"/>
        <v>14203</v>
      </c>
      <c r="Y392" s="20">
        <f t="shared" si="611"/>
        <v>14533.9</v>
      </c>
      <c r="Z392" s="15">
        <f t="shared" si="611"/>
        <v>16915.049641526937</v>
      </c>
      <c r="AA392" s="15">
        <f t="shared" si="611"/>
        <v>18483</v>
      </c>
      <c r="AB392" s="15">
        <f t="shared" ref="AB392" si="612">AB84</f>
        <v>21217</v>
      </c>
      <c r="AC392" s="15">
        <f t="shared" si="611"/>
        <v>22404.229955568389</v>
      </c>
      <c r="AD392" s="15">
        <f t="shared" si="611"/>
        <v>24520.882672427644</v>
      </c>
      <c r="AE392" s="15">
        <f t="shared" si="611"/>
        <v>26517.6356799444</v>
      </c>
      <c r="AF392" s="15">
        <f t="shared" si="611"/>
        <v>28386.247294431065</v>
      </c>
      <c r="AG392" s="15">
        <f t="shared" si="611"/>
        <v>30268.657278039078</v>
      </c>
      <c r="AH392" s="15">
        <f t="shared" si="611"/>
        <v>32218.84696009658</v>
      </c>
      <c r="AI392" s="15">
        <f t="shared" ref="AI392:AL392" si="613">AI84</f>
        <v>34083.310618779593</v>
      </c>
      <c r="AJ392" s="15">
        <f t="shared" si="613"/>
        <v>36060.855586066784</v>
      </c>
      <c r="AK392" s="15">
        <f t="shared" si="613"/>
        <v>38158.56304096018</v>
      </c>
      <c r="AL392" s="15">
        <f t="shared" si="613"/>
        <v>40341.939151286075</v>
      </c>
      <c r="AO392" s="2"/>
      <c r="AP392" s="2"/>
      <c r="AQ392" s="2"/>
      <c r="AR392" s="2"/>
      <c r="AS392" s="2"/>
      <c r="AT392" s="2"/>
      <c r="AU392" s="2"/>
      <c r="AV392" s="2"/>
    </row>
    <row r="393" spans="1:48" x14ac:dyDescent="0.2">
      <c r="A393" s="2"/>
      <c r="B393" s="2" t="s">
        <v>224</v>
      </c>
      <c r="C393" s="2"/>
      <c r="D393" s="2"/>
      <c r="E393" s="2"/>
      <c r="F393" s="2"/>
      <c r="G393" s="2"/>
      <c r="H393" s="35"/>
      <c r="I393" s="35"/>
      <c r="J393" s="93"/>
      <c r="K393" s="93"/>
      <c r="L393" s="93"/>
      <c r="M393" s="46"/>
      <c r="N393" s="6"/>
      <c r="O393" s="6"/>
      <c r="P393" s="6"/>
      <c r="Q393" s="6"/>
      <c r="R393" s="6"/>
      <c r="S393" s="20"/>
      <c r="T393" s="20"/>
      <c r="U393" s="15">
        <v>-25</v>
      </c>
      <c r="V393" s="15">
        <v>0</v>
      </c>
      <c r="W393" s="15">
        <v>0</v>
      </c>
      <c r="X393" s="15">
        <v>0</v>
      </c>
      <c r="Y393" s="15">
        <v>0</v>
      </c>
      <c r="Z393" s="15">
        <v>0</v>
      </c>
      <c r="AA393" s="15">
        <v>0</v>
      </c>
      <c r="AB393" s="15">
        <v>0</v>
      </c>
      <c r="AC393" s="15">
        <v>0</v>
      </c>
      <c r="AD393" s="15">
        <v>1</v>
      </c>
      <c r="AE393" s="15">
        <v>2</v>
      </c>
      <c r="AF393" s="15">
        <v>3</v>
      </c>
      <c r="AG393" s="15">
        <v>4</v>
      </c>
      <c r="AH393" s="15">
        <v>5</v>
      </c>
      <c r="AI393" s="15">
        <v>5</v>
      </c>
      <c r="AJ393" s="15">
        <v>5</v>
      </c>
      <c r="AK393" s="15">
        <v>5</v>
      </c>
      <c r="AL393" s="15">
        <v>5</v>
      </c>
      <c r="AO393" s="2"/>
      <c r="AP393" s="2"/>
      <c r="AQ393" s="2"/>
      <c r="AR393" s="2"/>
      <c r="AS393" s="2"/>
      <c r="AT393" s="2"/>
      <c r="AU393" s="2"/>
      <c r="AV393" s="2"/>
    </row>
    <row r="394" spans="1:48" x14ac:dyDescent="0.2">
      <c r="A394" s="2"/>
      <c r="B394" s="2" t="s">
        <v>144</v>
      </c>
      <c r="C394" s="2"/>
      <c r="D394" s="2"/>
      <c r="E394" s="2"/>
      <c r="F394" s="2"/>
      <c r="G394" s="2"/>
      <c r="H394" s="35"/>
      <c r="I394" s="35"/>
      <c r="J394" s="93"/>
      <c r="K394" s="93"/>
      <c r="L394" s="93"/>
      <c r="M394" s="93"/>
      <c r="N394" s="6">
        <f t="shared" ref="N394:AA394" si="614">-N103</f>
        <v>326</v>
      </c>
      <c r="O394" s="6">
        <f t="shared" si="614"/>
        <v>287</v>
      </c>
      <c r="P394" s="6">
        <f t="shared" si="614"/>
        <v>368</v>
      </c>
      <c r="Q394" s="6">
        <f t="shared" si="614"/>
        <v>481</v>
      </c>
      <c r="R394" s="6">
        <f t="shared" si="614"/>
        <v>542</v>
      </c>
      <c r="S394" s="6">
        <f t="shared" si="614"/>
        <v>520</v>
      </c>
      <c r="T394" s="6">
        <f t="shared" si="614"/>
        <v>455</v>
      </c>
      <c r="U394" s="6">
        <f t="shared" si="614"/>
        <v>595</v>
      </c>
      <c r="V394" s="6">
        <f t="shared" si="614"/>
        <v>750</v>
      </c>
      <c r="W394" s="6">
        <f t="shared" si="614"/>
        <v>873</v>
      </c>
      <c r="X394" s="6">
        <f t="shared" si="614"/>
        <v>832</v>
      </c>
      <c r="Y394" s="6">
        <f t="shared" si="614"/>
        <v>727</v>
      </c>
      <c r="Z394" s="6">
        <f t="shared" si="614"/>
        <v>996</v>
      </c>
      <c r="AA394" s="6">
        <f t="shared" si="614"/>
        <v>1152</v>
      </c>
      <c r="AB394" s="6">
        <f t="shared" ref="AB394" si="615">-AB103</f>
        <v>1764.6</v>
      </c>
      <c r="AC394" s="15">
        <f t="shared" ref="AC394:AH394" si="616">AC392*(AC395/100)</f>
        <v>1433.8707171563769</v>
      </c>
      <c r="AD394" s="15">
        <f t="shared" si="616"/>
        <v>1544.8156083629417</v>
      </c>
      <c r="AE394" s="15">
        <f t="shared" si="616"/>
        <v>1670.6110478364972</v>
      </c>
      <c r="AF394" s="15">
        <f t="shared" si="616"/>
        <v>1703.1748376658638</v>
      </c>
      <c r="AG394" s="15">
        <f t="shared" si="616"/>
        <v>1755.5821221262663</v>
      </c>
      <c r="AH394" s="15">
        <f t="shared" si="616"/>
        <v>1804.2554297654083</v>
      </c>
      <c r="AI394" s="15">
        <f t="shared" ref="AI394:AL394" si="617">AI392*(AI395/100)</f>
        <v>1874.5820840328777</v>
      </c>
      <c r="AJ394" s="15">
        <f t="shared" si="617"/>
        <v>1983.347057233673</v>
      </c>
      <c r="AK394" s="15">
        <f t="shared" si="617"/>
        <v>2098.7209672528097</v>
      </c>
      <c r="AL394" s="15">
        <f t="shared" si="617"/>
        <v>2178.4647141694481</v>
      </c>
      <c r="AO394" s="2"/>
      <c r="AP394" s="2"/>
      <c r="AQ394" s="2"/>
      <c r="AR394" s="2"/>
      <c r="AS394" s="2"/>
      <c r="AT394" s="2"/>
      <c r="AU394" s="2"/>
      <c r="AV394" s="2"/>
    </row>
    <row r="395" spans="1:48" x14ac:dyDescent="0.2">
      <c r="A395" s="2"/>
      <c r="B395" s="66" t="s">
        <v>248</v>
      </c>
      <c r="C395" s="2"/>
      <c r="D395" s="2"/>
      <c r="E395" s="2"/>
      <c r="F395" s="2"/>
      <c r="G395" s="2"/>
      <c r="H395" s="35"/>
      <c r="I395" s="35"/>
      <c r="J395" s="93"/>
      <c r="K395" s="93"/>
      <c r="L395" s="93"/>
      <c r="M395" s="36"/>
      <c r="N395" s="6">
        <f t="shared" ref="N395:X395" si="618">N394/N392%</f>
        <v>5.2020169783621624</v>
      </c>
      <c r="O395" s="6">
        <f t="shared" si="618"/>
        <v>4.8976042353525795</v>
      </c>
      <c r="P395" s="6">
        <f t="shared" si="618"/>
        <v>5.5455093429776978</v>
      </c>
      <c r="Q395" s="6">
        <f t="shared" si="618"/>
        <v>4.7699325664418879</v>
      </c>
      <c r="R395" s="6">
        <f t="shared" si="618"/>
        <v>5.2626468589183419</v>
      </c>
      <c r="S395" s="6">
        <f t="shared" si="618"/>
        <v>4.8152606722844711</v>
      </c>
      <c r="T395" s="6">
        <f t="shared" si="618"/>
        <v>4.3830074173971676</v>
      </c>
      <c r="U395" s="6">
        <f t="shared" si="618"/>
        <v>4.9624687239366132</v>
      </c>
      <c r="V395" s="6">
        <f t="shared" si="618"/>
        <v>5.6297853175198922</v>
      </c>
      <c r="W395" s="6">
        <f>W394/W392%</f>
        <v>5.865752872404757</v>
      </c>
      <c r="X395" s="6">
        <f t="shared" si="618"/>
        <v>5.8579173414067451</v>
      </c>
      <c r="Y395" s="6">
        <f>Y394/Y392%</f>
        <v>5.0020985420293247</v>
      </c>
      <c r="Z395" s="6">
        <f>Z394/Z392%</f>
        <v>5.8882475730652963</v>
      </c>
      <c r="AA395" s="6">
        <f>AA394/AA392%</f>
        <v>6.2327544229832812</v>
      </c>
      <c r="AB395" s="6">
        <f>AB394/AB392%</f>
        <v>8.3169156808219817</v>
      </c>
      <c r="AC395" s="27">
        <v>6.4</v>
      </c>
      <c r="AD395" s="27">
        <v>6.3</v>
      </c>
      <c r="AE395" s="27">
        <v>6.3</v>
      </c>
      <c r="AF395" s="27">
        <v>6</v>
      </c>
      <c r="AG395" s="27">
        <v>5.8</v>
      </c>
      <c r="AH395" s="27">
        <v>5.6</v>
      </c>
      <c r="AI395" s="27">
        <v>5.5</v>
      </c>
      <c r="AJ395" s="27">
        <v>5.5</v>
      </c>
      <c r="AK395" s="27">
        <v>5.5</v>
      </c>
      <c r="AL395" s="27">
        <v>5.4</v>
      </c>
      <c r="AO395" s="2"/>
      <c r="AP395" s="2"/>
      <c r="AQ395" s="2"/>
      <c r="AR395" s="2"/>
      <c r="AS395" s="2"/>
      <c r="AT395" s="2"/>
      <c r="AU395" s="2"/>
      <c r="AV395" s="2"/>
    </row>
    <row r="396" spans="1:48" x14ac:dyDescent="0.2">
      <c r="A396" s="2"/>
      <c r="B396" s="66" t="s">
        <v>247</v>
      </c>
      <c r="C396" s="2"/>
      <c r="D396" s="2"/>
      <c r="E396" s="2"/>
      <c r="F396" s="2"/>
      <c r="G396" s="2"/>
      <c r="H396" s="35"/>
      <c r="I396" s="35"/>
      <c r="J396" s="93"/>
      <c r="K396" s="93"/>
      <c r="L396" s="93"/>
      <c r="M396" s="36"/>
      <c r="N396" s="6"/>
      <c r="O396" s="6">
        <f>(O394-N394)/N394%</f>
        <v>-11.963190184049081</v>
      </c>
      <c r="P396" s="6">
        <f t="shared" ref="P396:Z396" si="619">(P394-O394)/O394%</f>
        <v>28.222996515679441</v>
      </c>
      <c r="Q396" s="6">
        <f t="shared" si="619"/>
        <v>30.706521739130434</v>
      </c>
      <c r="R396" s="6">
        <f t="shared" si="619"/>
        <v>12.681912681912683</v>
      </c>
      <c r="S396" s="6">
        <f t="shared" si="619"/>
        <v>-4.0590405904059041</v>
      </c>
      <c r="T396" s="6">
        <f t="shared" si="619"/>
        <v>-12.5</v>
      </c>
      <c r="U396" s="6">
        <f t="shared" si="619"/>
        <v>30.76923076923077</v>
      </c>
      <c r="V396" s="6">
        <f t="shared" si="619"/>
        <v>26.050420168067227</v>
      </c>
      <c r="W396" s="6">
        <f t="shared" si="619"/>
        <v>16.399999999999999</v>
      </c>
      <c r="X396" s="6">
        <f t="shared" si="619"/>
        <v>-4.6964490263459338</v>
      </c>
      <c r="Y396" s="6">
        <f t="shared" si="619"/>
        <v>-12.620192307692307</v>
      </c>
      <c r="Z396" s="6">
        <f t="shared" si="619"/>
        <v>37.001375515818431</v>
      </c>
      <c r="AA396" s="6">
        <f t="shared" ref="AA396:AL396" si="620">(AA394-Z394)/Z394%</f>
        <v>15.662650602409638</v>
      </c>
      <c r="AB396" s="6">
        <f t="shared" si="620"/>
        <v>53.177083333333329</v>
      </c>
      <c r="AC396" s="6">
        <f t="shared" si="620"/>
        <v>-18.74245057483979</v>
      </c>
      <c r="AD396" s="6">
        <f t="shared" si="620"/>
        <v>7.737440333992482</v>
      </c>
      <c r="AE396" s="6">
        <f t="shared" si="620"/>
        <v>8.1430714962067405</v>
      </c>
      <c r="AF396" s="6">
        <f t="shared" si="620"/>
        <v>1.949214323198567</v>
      </c>
      <c r="AG396" s="6">
        <f t="shared" si="620"/>
        <v>3.0770349174618308</v>
      </c>
      <c r="AH396" s="6">
        <f t="shared" si="620"/>
        <v>2.7724882263093162</v>
      </c>
      <c r="AI396" s="6">
        <f t="shared" si="620"/>
        <v>3.8978214008541663</v>
      </c>
      <c r="AJ396" s="6">
        <f t="shared" si="620"/>
        <v>5.8020917903367604</v>
      </c>
      <c r="AK396" s="6">
        <f t="shared" si="620"/>
        <v>5.8171316814343923</v>
      </c>
      <c r="AL396" s="6">
        <f t="shared" si="620"/>
        <v>3.7996354999503175</v>
      </c>
      <c r="AO396" s="2"/>
      <c r="AP396" s="2"/>
      <c r="AQ396" s="2"/>
      <c r="AR396" s="2"/>
      <c r="AS396" s="2"/>
      <c r="AT396" s="2"/>
      <c r="AU396" s="2"/>
      <c r="AV396" s="2"/>
    </row>
    <row r="397" spans="1:48" x14ac:dyDescent="0.2">
      <c r="A397" s="2"/>
      <c r="B397" s="66"/>
      <c r="C397" s="2"/>
      <c r="D397" s="2"/>
      <c r="E397" s="2"/>
      <c r="F397" s="2"/>
      <c r="G397" s="2"/>
      <c r="H397" s="35"/>
      <c r="I397" s="35"/>
      <c r="J397" s="93"/>
      <c r="K397" s="93"/>
      <c r="L397" s="93"/>
      <c r="M397" s="3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O397" s="2"/>
      <c r="AP397" s="2"/>
      <c r="AQ397" s="2"/>
      <c r="AR397" s="2"/>
      <c r="AS397" s="2"/>
      <c r="AT397" s="2"/>
      <c r="AU397" s="2"/>
      <c r="AV397" s="2"/>
    </row>
    <row r="398" spans="1:48" x14ac:dyDescent="0.2">
      <c r="A398" s="2"/>
      <c r="B398" s="35" t="s">
        <v>208</v>
      </c>
      <c r="C398" s="2"/>
      <c r="D398" s="2"/>
      <c r="E398" s="2"/>
      <c r="F398" s="2"/>
      <c r="G398" s="2"/>
      <c r="H398" s="35"/>
      <c r="I398" s="35"/>
      <c r="J398" s="93"/>
      <c r="K398" s="93"/>
      <c r="L398" s="93"/>
      <c r="M398" s="36"/>
      <c r="N398" s="6"/>
      <c r="O398" s="6"/>
      <c r="P398" s="6"/>
      <c r="Q398" s="6"/>
      <c r="R398" s="6">
        <f t="shared" ref="R398:Z398" si="621">R365+R372+R380+R386+R394</f>
        <v>3911</v>
      </c>
      <c r="S398" s="6">
        <f t="shared" si="621"/>
        <v>4150</v>
      </c>
      <c r="T398" s="6">
        <f t="shared" si="621"/>
        <v>4036</v>
      </c>
      <c r="U398" s="6">
        <f t="shared" si="621"/>
        <v>4786</v>
      </c>
      <c r="V398" s="6">
        <f t="shared" si="621"/>
        <v>5318</v>
      </c>
      <c r="W398" s="6">
        <f t="shared" si="621"/>
        <v>5887</v>
      </c>
      <c r="X398" s="6">
        <f t="shared" si="621"/>
        <v>5731</v>
      </c>
      <c r="Y398" s="6">
        <f t="shared" si="621"/>
        <v>5881</v>
      </c>
      <c r="Z398" s="6">
        <f t="shared" si="621"/>
        <v>6936</v>
      </c>
      <c r="AA398" s="6">
        <f t="shared" ref="AA398:AH398" si="622">AA365+AA372+AA380+AA386+AA394</f>
        <v>7508</v>
      </c>
      <c r="AB398" s="6">
        <f t="shared" si="622"/>
        <v>8881.4000000000015</v>
      </c>
      <c r="AC398" s="6">
        <f t="shared" si="622"/>
        <v>8851.2853872036958</v>
      </c>
      <c r="AD398" s="6">
        <f t="shared" si="622"/>
        <v>9582.6612475924449</v>
      </c>
      <c r="AE398" s="6">
        <f t="shared" si="622"/>
        <v>10265.938040377021</v>
      </c>
      <c r="AF398" s="6">
        <f t="shared" si="622"/>
        <v>10721.685049751139</v>
      </c>
      <c r="AG398" s="6">
        <f t="shared" si="622"/>
        <v>11224.196714358128</v>
      </c>
      <c r="AH398" s="6">
        <f t="shared" si="622"/>
        <v>11735.556583605576</v>
      </c>
      <c r="AI398" s="6">
        <f t="shared" ref="AI398:AL398" si="623">AI365+AI372+AI380+AI386+AI394</f>
        <v>12273.193934690549</v>
      </c>
      <c r="AJ398" s="6">
        <f t="shared" si="623"/>
        <v>12873.287652180152</v>
      </c>
      <c r="AK398" s="6">
        <f t="shared" si="623"/>
        <v>13505.321199153206</v>
      </c>
      <c r="AL398" s="6">
        <f t="shared" si="623"/>
        <v>14119.112547868977</v>
      </c>
      <c r="AO398" s="2"/>
      <c r="AP398" s="2"/>
      <c r="AQ398" s="2"/>
      <c r="AR398" s="2"/>
      <c r="AS398" s="2"/>
      <c r="AT398" s="2"/>
      <c r="AU398" s="2"/>
      <c r="AV398" s="2"/>
    </row>
    <row r="399" spans="1:48" x14ac:dyDescent="0.2">
      <c r="A399" s="2"/>
      <c r="B399" s="66"/>
      <c r="C399" s="2"/>
      <c r="D399" s="2"/>
      <c r="E399" s="2"/>
      <c r="F399" s="2"/>
      <c r="G399" s="2"/>
      <c r="H399" s="35"/>
      <c r="I399" s="35"/>
      <c r="J399" s="93"/>
      <c r="K399" s="93"/>
      <c r="L399" s="93"/>
      <c r="M399" s="36"/>
      <c r="N399" s="6"/>
      <c r="O399" s="6"/>
      <c r="P399" s="6"/>
      <c r="Q399" s="6"/>
      <c r="R399" s="6">
        <f t="shared" ref="R399:AH399" si="624">R398/R84%</f>
        <v>37.974560636955047</v>
      </c>
      <c r="S399" s="6">
        <f t="shared" si="624"/>
        <v>38.42948421150107</v>
      </c>
      <c r="T399" s="6">
        <f t="shared" si="624"/>
        <v>38.878720739813119</v>
      </c>
      <c r="U399" s="6">
        <f t="shared" si="624"/>
        <v>39.916597164303582</v>
      </c>
      <c r="V399" s="6">
        <f t="shared" si="624"/>
        <v>39.918931091427716</v>
      </c>
      <c r="W399" s="6">
        <f t="shared" si="624"/>
        <v>39.555197204864605</v>
      </c>
      <c r="X399" s="6">
        <f t="shared" si="624"/>
        <v>40.350630148560164</v>
      </c>
      <c r="Y399" s="6">
        <f t="shared" si="624"/>
        <v>40.46401860477917</v>
      </c>
      <c r="Z399" s="6">
        <f t="shared" si="624"/>
        <v>41.004904785924595</v>
      </c>
      <c r="AA399" s="6">
        <f t="shared" si="624"/>
        <v>40.621111291457012</v>
      </c>
      <c r="AB399" s="6">
        <f t="shared" si="624"/>
        <v>41.859829382099271</v>
      </c>
      <c r="AC399" s="6">
        <f t="shared" si="624"/>
        <v>39.507206472873136</v>
      </c>
      <c r="AD399" s="6">
        <f t="shared" si="624"/>
        <v>39.079593404553947</v>
      </c>
      <c r="AE399" s="6">
        <f t="shared" si="624"/>
        <v>38.713625016506541</v>
      </c>
      <c r="AF399" s="6">
        <f t="shared" si="624"/>
        <v>37.770702617159841</v>
      </c>
      <c r="AG399" s="6">
        <f t="shared" si="624"/>
        <v>37.081911533953829</v>
      </c>
      <c r="AH399" s="6">
        <f t="shared" si="624"/>
        <v>36.424508295222978</v>
      </c>
      <c r="AI399" s="6">
        <f t="shared" ref="AI399:AL399" si="625">AI398/AI84%</f>
        <v>36.009394955688755</v>
      </c>
      <c r="AJ399" s="6">
        <f t="shared" si="625"/>
        <v>35.698785963231948</v>
      </c>
      <c r="AK399" s="6">
        <f t="shared" si="625"/>
        <v>35.392635683519636</v>
      </c>
      <c r="AL399" s="6">
        <f t="shared" si="625"/>
        <v>34.998596609153999</v>
      </c>
      <c r="AO399" s="2"/>
      <c r="AP399" s="2"/>
      <c r="AQ399" s="2"/>
      <c r="AR399" s="2"/>
      <c r="AS399" s="2"/>
      <c r="AT399" s="2"/>
      <c r="AU399" s="2"/>
      <c r="AV399" s="2"/>
    </row>
    <row r="400" spans="1:48" x14ac:dyDescent="0.2">
      <c r="A400" s="2"/>
      <c r="B400" s="66"/>
      <c r="C400" s="2"/>
      <c r="D400" s="2"/>
      <c r="E400" s="2"/>
      <c r="F400" s="2"/>
      <c r="G400" s="2"/>
      <c r="H400" s="35"/>
      <c r="I400" s="35"/>
      <c r="J400" s="93"/>
      <c r="K400" s="93"/>
      <c r="L400" s="93"/>
      <c r="M400" s="3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O400" s="2"/>
      <c r="AP400" s="2"/>
      <c r="AQ400" s="2"/>
      <c r="AR400" s="2"/>
      <c r="AS400" s="2"/>
      <c r="AT400" s="2"/>
      <c r="AU400" s="2"/>
      <c r="AV400" s="2"/>
    </row>
    <row r="401" spans="1:48" x14ac:dyDescent="0.2">
      <c r="A401" s="2"/>
      <c r="B401" s="13" t="s">
        <v>221</v>
      </c>
      <c r="C401" s="2"/>
      <c r="D401" s="2"/>
      <c r="E401" s="2"/>
      <c r="F401" s="2"/>
      <c r="G401" s="2"/>
      <c r="H401" s="35"/>
      <c r="I401" s="35"/>
      <c r="J401" s="93"/>
      <c r="K401" s="93"/>
      <c r="L401" s="93"/>
      <c r="M401" s="36"/>
      <c r="N401" s="55">
        <f>N365+N372+N380+N386+N394</f>
        <v>2228</v>
      </c>
      <c r="O401" s="55">
        <f>O365+O372+O380+O386+O394</f>
        <v>2141</v>
      </c>
      <c r="P401" s="55">
        <f>P365+P372+P380+P386+P394</f>
        <v>2461</v>
      </c>
      <c r="Q401" s="55">
        <f>Q365+Q372+Q380+Q386+Q394</f>
        <v>3566</v>
      </c>
      <c r="R401" s="55">
        <f>R365+R372+R380+R386+R394</f>
        <v>3911</v>
      </c>
      <c r="S401" s="55">
        <f>S365+S372+S380+S386+S394-S431-S446-S456</f>
        <v>4378</v>
      </c>
      <c r="T401" s="55">
        <f>T365+T372+T380+T386+T394-T431-T446-T456+60</f>
        <v>4390</v>
      </c>
      <c r="U401" s="55">
        <f>U365+U372+U380+U386+U394-U431-U446-U456</f>
        <v>5056</v>
      </c>
      <c r="V401" s="55">
        <f>V365+V372+V380+V386+V394-V431-V446-V456</f>
        <v>5571</v>
      </c>
      <c r="W401" s="55">
        <f>W365+W372+W380+W386+W394-W431-W446-8</f>
        <v>6150</v>
      </c>
      <c r="X401" s="55">
        <f>X365+X372+X380+X386+X394-X431-X446-6</f>
        <v>6013</v>
      </c>
      <c r="Y401" s="55">
        <f t="shared" ref="Y401:Z401" si="626">Y365+Y372+Y380+Y386+Y394-Y431-Y446-Y456</f>
        <v>6286</v>
      </c>
      <c r="Z401" s="55">
        <f t="shared" si="626"/>
        <v>7329</v>
      </c>
      <c r="AA401" s="55">
        <f t="shared" ref="AA401:AH401" si="627">AA365+AA372+AA380+AA386+AA394-AA431-AA446-AA456</f>
        <v>7905</v>
      </c>
      <c r="AB401" s="55">
        <f t="shared" si="627"/>
        <v>9333.4000000000015</v>
      </c>
      <c r="AC401" s="55">
        <f t="shared" si="627"/>
        <v>9238.4509620926183</v>
      </c>
      <c r="AD401" s="55">
        <f t="shared" si="627"/>
        <v>10005.408023326883</v>
      </c>
      <c r="AE401" s="55">
        <f t="shared" si="627"/>
        <v>10717.168028413704</v>
      </c>
      <c r="AF401" s="55">
        <f t="shared" si="627"/>
        <v>11195.733971771493</v>
      </c>
      <c r="AG401" s="55">
        <f t="shared" si="627"/>
        <v>11716.465825025594</v>
      </c>
      <c r="AH401" s="55">
        <f t="shared" si="627"/>
        <v>12244.858618698427</v>
      </c>
      <c r="AI401" s="55">
        <f t="shared" ref="AI401:AL401" si="628">AI365+AI372+AI380+AI386+AI394-AI431-AI446-AI456</f>
        <v>12800.687927342953</v>
      </c>
      <c r="AJ401" s="55">
        <f t="shared" si="628"/>
        <v>13419.852738994745</v>
      </c>
      <c r="AK401" s="55">
        <f t="shared" si="628"/>
        <v>14070.657521283143</v>
      </c>
      <c r="AL401" s="55">
        <f t="shared" si="628"/>
        <v>14701.933780352427</v>
      </c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:48" x14ac:dyDescent="0.2">
      <c r="A402" s="2"/>
      <c r="B402" s="13" t="s">
        <v>336</v>
      </c>
      <c r="C402" s="2"/>
      <c r="D402" s="2"/>
      <c r="E402" s="2"/>
      <c r="F402" s="2"/>
      <c r="G402" s="2"/>
      <c r="H402" s="35"/>
      <c r="I402" s="35"/>
      <c r="J402" s="93"/>
      <c r="K402" s="93"/>
      <c r="L402" s="93"/>
      <c r="M402" s="36"/>
      <c r="N402" s="6"/>
      <c r="O402" s="55">
        <f>(O401-N401)/N401%</f>
        <v>-3.9048473967684019</v>
      </c>
      <c r="P402" s="55">
        <f>(P401-O401)/O401%</f>
        <v>14.946286781877626</v>
      </c>
      <c r="Q402" s="55">
        <f>(Q401-P401)/P401%</f>
        <v>44.900446972775299</v>
      </c>
      <c r="R402" s="55">
        <f>(R401-Q401)/Q401%</f>
        <v>9.6747055524397094</v>
      </c>
      <c r="S402" s="55">
        <f t="shared" ref="S402:Z402" si="629">(S401-R401)/R401%</f>
        <v>11.940680132958322</v>
      </c>
      <c r="T402" s="55">
        <f t="shared" si="629"/>
        <v>0.27409776153494747</v>
      </c>
      <c r="U402" s="55">
        <f t="shared" si="629"/>
        <v>15.170842824601367</v>
      </c>
      <c r="V402" s="55">
        <f t="shared" si="629"/>
        <v>10.185917721518987</v>
      </c>
      <c r="W402" s="55">
        <f t="shared" si="629"/>
        <v>10.393107162089391</v>
      </c>
      <c r="X402" s="55">
        <f t="shared" si="629"/>
        <v>-2.2276422764227641</v>
      </c>
      <c r="Y402" s="55">
        <f t="shared" si="629"/>
        <v>4.540162980209546</v>
      </c>
      <c r="Z402" s="55">
        <f t="shared" si="629"/>
        <v>16.592427616926503</v>
      </c>
      <c r="AA402" s="55">
        <f t="shared" ref="AA402:AL402" si="630">(AA401-Z401)/Z401%</f>
        <v>7.859189521080638</v>
      </c>
      <c r="AB402" s="55">
        <f t="shared" si="630"/>
        <v>18.069576217583826</v>
      </c>
      <c r="AC402" s="55">
        <f t="shared" si="630"/>
        <v>-1.0173038539801482</v>
      </c>
      <c r="AD402" s="55">
        <f t="shared" si="630"/>
        <v>8.3017928479704803</v>
      </c>
      <c r="AE402" s="55">
        <f t="shared" si="630"/>
        <v>7.1137529166966864</v>
      </c>
      <c r="AF402" s="55">
        <f t="shared" si="630"/>
        <v>4.4654142035377236</v>
      </c>
      <c r="AG402" s="55">
        <f t="shared" si="630"/>
        <v>4.6511631534569791</v>
      </c>
      <c r="AH402" s="55">
        <f t="shared" si="630"/>
        <v>4.5098308787298329</v>
      </c>
      <c r="AI402" s="55">
        <f t="shared" si="630"/>
        <v>4.539287271114353</v>
      </c>
      <c r="AJ402" s="55">
        <f t="shared" si="630"/>
        <v>4.8369651316100182</v>
      </c>
      <c r="AK402" s="55">
        <f t="shared" si="630"/>
        <v>4.8495672415042366</v>
      </c>
      <c r="AL402" s="55">
        <f t="shared" si="630"/>
        <v>4.4864730600856513</v>
      </c>
      <c r="AO402" s="2"/>
      <c r="AP402" s="2"/>
      <c r="AQ402" s="2"/>
      <c r="AR402" s="2"/>
      <c r="AS402" s="2"/>
      <c r="AT402" s="2"/>
      <c r="AU402" s="2"/>
      <c r="AV402" s="2"/>
    </row>
    <row r="403" spans="1:48" x14ac:dyDescent="0.2">
      <c r="A403" s="2"/>
      <c r="B403" s="13" t="s">
        <v>239</v>
      </c>
      <c r="C403" s="2"/>
      <c r="D403" s="2"/>
      <c r="E403" s="2"/>
      <c r="F403" s="2"/>
      <c r="G403" s="2"/>
      <c r="H403" s="35"/>
      <c r="I403" s="35"/>
      <c r="J403" s="93"/>
      <c r="K403" s="93"/>
      <c r="L403" s="93"/>
      <c r="M403" s="36"/>
      <c r="N403" s="6"/>
      <c r="O403" s="6"/>
      <c r="P403" s="6"/>
      <c r="Q403" s="6"/>
      <c r="R403" s="9">
        <f t="shared" ref="R403:Y403" si="631">R401/R315%</f>
        <v>37.974560636955047</v>
      </c>
      <c r="S403" s="9">
        <f t="shared" si="631"/>
        <v>40.540790813964257</v>
      </c>
      <c r="T403" s="9">
        <f t="shared" si="631"/>
        <v>42.288796840381465</v>
      </c>
      <c r="U403" s="55">
        <f t="shared" si="631"/>
        <v>42.168473728106754</v>
      </c>
      <c r="V403" s="55">
        <f t="shared" si="631"/>
        <v>41.818045338537758</v>
      </c>
      <c r="W403" s="55">
        <f>W401/W315%</f>
        <v>41.322314049586772</v>
      </c>
      <c r="X403" s="55">
        <f t="shared" si="631"/>
        <v>42.336126170527351</v>
      </c>
      <c r="Y403" s="55">
        <f t="shared" si="631"/>
        <v>43.25060720109537</v>
      </c>
      <c r="Z403" s="55">
        <f t="shared" ref="Z403:AH403" si="632">Z401/Z315%</f>
        <v>43.328279581320842</v>
      </c>
      <c r="AA403" s="55">
        <f t="shared" si="632"/>
        <v>42.769031001460796</v>
      </c>
      <c r="AB403" s="55">
        <f t="shared" si="632"/>
        <v>43.990196540509977</v>
      </c>
      <c r="AC403" s="55">
        <f t="shared" si="632"/>
        <v>41.235297889791909</v>
      </c>
      <c r="AD403" s="55">
        <f t="shared" si="632"/>
        <v>40.803620966619619</v>
      </c>
      <c r="AE403" s="55">
        <f t="shared" si="632"/>
        <v>40.415247263236303</v>
      </c>
      <c r="AF403" s="55">
        <f t="shared" si="632"/>
        <v>39.440697657727796</v>
      </c>
      <c r="AG403" s="55">
        <f t="shared" si="632"/>
        <v>38.708244364464363</v>
      </c>
      <c r="AH403" s="55">
        <f t="shared" si="632"/>
        <v>38.005266401568711</v>
      </c>
      <c r="AI403" s="55">
        <f t="shared" ref="AI403:AL403" si="633">AI401/AI315%</f>
        <v>37.5570556232583</v>
      </c>
      <c r="AJ403" s="55">
        <f t="shared" si="633"/>
        <v>37.214460169879928</v>
      </c>
      <c r="AK403" s="55">
        <f t="shared" si="633"/>
        <v>36.874180786575778</v>
      </c>
      <c r="AL403" s="55">
        <f t="shared" si="633"/>
        <v>36.443299676841981</v>
      </c>
      <c r="AO403" s="2"/>
      <c r="AP403" s="2"/>
      <c r="AQ403" s="2"/>
      <c r="AR403" s="2"/>
      <c r="AS403" s="2"/>
      <c r="AT403" s="2"/>
      <c r="AU403" s="2"/>
      <c r="AV403" s="2"/>
    </row>
    <row r="404" spans="1:48" x14ac:dyDescent="0.2">
      <c r="A404" s="2"/>
      <c r="B404" s="13"/>
      <c r="C404" s="2"/>
      <c r="D404" s="2"/>
      <c r="E404" s="2"/>
      <c r="F404" s="2"/>
      <c r="G404" s="2"/>
      <c r="H404" s="35"/>
      <c r="I404" s="35"/>
      <c r="J404" s="93"/>
      <c r="K404" s="93"/>
      <c r="L404" s="93"/>
      <c r="M404" s="36"/>
      <c r="N404" s="6"/>
      <c r="O404" s="6"/>
      <c r="P404" s="6"/>
      <c r="Q404" s="6"/>
      <c r="R404" s="6"/>
      <c r="S404" s="6"/>
      <c r="T404" s="6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  <c r="AJ404" s="55"/>
      <c r="AK404" s="55"/>
      <c r="AL404" s="55"/>
      <c r="AO404" s="2"/>
      <c r="AP404" s="2"/>
      <c r="AQ404" s="2"/>
      <c r="AR404" s="2"/>
      <c r="AS404" s="2"/>
      <c r="AT404" s="2"/>
      <c r="AU404" s="2"/>
      <c r="AV404" s="2"/>
    </row>
    <row r="405" spans="1:48" x14ac:dyDescent="0.2">
      <c r="A405" s="2"/>
      <c r="B405" s="13"/>
      <c r="C405" s="2"/>
      <c r="D405" s="2"/>
      <c r="E405" s="2"/>
      <c r="F405" s="2"/>
      <c r="G405" s="2"/>
      <c r="H405" s="35"/>
      <c r="I405" s="35"/>
      <c r="J405" s="93"/>
      <c r="K405" s="93"/>
      <c r="L405" s="93"/>
      <c r="M405" s="36"/>
      <c r="N405" s="6"/>
      <c r="O405" s="6"/>
      <c r="P405" s="6"/>
      <c r="Q405" s="6"/>
      <c r="R405" s="6"/>
      <c r="S405" s="6"/>
      <c r="T405" s="6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  <c r="AJ405" s="55"/>
      <c r="AK405" s="55"/>
      <c r="AL405" s="55"/>
      <c r="AO405" s="2"/>
      <c r="AP405" s="2"/>
      <c r="AQ405" s="2"/>
      <c r="AR405" s="2"/>
      <c r="AS405" s="2"/>
      <c r="AT405" s="2"/>
      <c r="AU405" s="2"/>
      <c r="AV405" s="2"/>
    </row>
    <row r="406" spans="1:48" x14ac:dyDescent="0.2">
      <c r="A406" s="2"/>
      <c r="B406" s="13" t="s">
        <v>205</v>
      </c>
      <c r="C406" s="2"/>
      <c r="D406" s="2"/>
      <c r="E406" s="2"/>
      <c r="F406" s="2"/>
      <c r="G406" s="2"/>
      <c r="H406" s="35"/>
      <c r="I406" s="35"/>
      <c r="J406" s="35"/>
      <c r="K406" s="35"/>
      <c r="L406" s="35"/>
      <c r="M406" s="35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O406" s="2"/>
      <c r="AP406" s="2"/>
      <c r="AQ406" s="2"/>
      <c r="AR406" s="2"/>
      <c r="AS406" s="2"/>
      <c r="AT406" s="2"/>
      <c r="AU406" s="2"/>
      <c r="AV406" s="2"/>
    </row>
    <row r="407" spans="1:48" x14ac:dyDescent="0.2">
      <c r="A407" s="2"/>
      <c r="B407" s="11" t="s">
        <v>301</v>
      </c>
      <c r="C407" s="2"/>
      <c r="D407" s="2"/>
      <c r="E407" s="2"/>
      <c r="F407" s="2"/>
      <c r="G407" s="2"/>
      <c r="H407" s="35"/>
      <c r="I407" s="35"/>
      <c r="J407" s="15">
        <f t="shared" ref="J407:AH407" si="634">J84</f>
        <v>5353.9489999999996</v>
      </c>
      <c r="K407" s="15">
        <f t="shared" si="634"/>
        <v>5834.8050000000003</v>
      </c>
      <c r="L407" s="15">
        <f t="shared" si="634"/>
        <v>6112.3469999999998</v>
      </c>
      <c r="M407" s="15">
        <f t="shared" si="634"/>
        <v>6523.4189999999999</v>
      </c>
      <c r="N407" s="15">
        <f t="shared" si="634"/>
        <v>6266.8</v>
      </c>
      <c r="O407" s="6">
        <f t="shared" si="634"/>
        <v>5860.0079999999998</v>
      </c>
      <c r="P407" s="6">
        <f t="shared" si="634"/>
        <v>6636</v>
      </c>
      <c r="Q407" s="6">
        <f t="shared" si="634"/>
        <v>10084</v>
      </c>
      <c r="R407" s="6">
        <f t="shared" si="634"/>
        <v>10299</v>
      </c>
      <c r="S407" s="6">
        <f t="shared" si="634"/>
        <v>10799</v>
      </c>
      <c r="T407" s="6">
        <f t="shared" si="634"/>
        <v>10381</v>
      </c>
      <c r="U407" s="6">
        <f t="shared" si="634"/>
        <v>11990</v>
      </c>
      <c r="V407" s="6">
        <f t="shared" si="634"/>
        <v>13322</v>
      </c>
      <c r="W407" s="6">
        <f t="shared" si="634"/>
        <v>14883</v>
      </c>
      <c r="X407" s="6">
        <f t="shared" si="634"/>
        <v>14203</v>
      </c>
      <c r="Y407" s="6">
        <f t="shared" si="634"/>
        <v>14533.9</v>
      </c>
      <c r="Z407" s="6">
        <f t="shared" si="634"/>
        <v>16915.049641526937</v>
      </c>
      <c r="AA407" s="6">
        <f t="shared" si="634"/>
        <v>18483</v>
      </c>
      <c r="AB407" s="6">
        <f t="shared" ref="AB407" si="635">AB84</f>
        <v>21217</v>
      </c>
      <c r="AC407" s="6">
        <f t="shared" si="634"/>
        <v>22404.229955568389</v>
      </c>
      <c r="AD407" s="6">
        <f t="shared" si="634"/>
        <v>24520.882672427644</v>
      </c>
      <c r="AE407" s="6">
        <f t="shared" si="634"/>
        <v>26517.6356799444</v>
      </c>
      <c r="AF407" s="6">
        <f t="shared" si="634"/>
        <v>28386.247294431065</v>
      </c>
      <c r="AG407" s="6">
        <f t="shared" si="634"/>
        <v>30268.657278039078</v>
      </c>
      <c r="AH407" s="6">
        <f t="shared" si="634"/>
        <v>32218.84696009658</v>
      </c>
      <c r="AI407" s="6">
        <f t="shared" ref="AI407:AL407" si="636">AI84</f>
        <v>34083.310618779593</v>
      </c>
      <c r="AJ407" s="6">
        <f t="shared" si="636"/>
        <v>36060.855586066784</v>
      </c>
      <c r="AK407" s="6">
        <f t="shared" si="636"/>
        <v>38158.56304096018</v>
      </c>
      <c r="AL407" s="6">
        <f t="shared" si="636"/>
        <v>40341.939151286075</v>
      </c>
      <c r="AO407" s="2"/>
      <c r="AP407" s="2"/>
      <c r="AQ407" s="2"/>
      <c r="AR407" s="2"/>
      <c r="AS407" s="2"/>
      <c r="AT407" s="2"/>
      <c r="AU407" s="2"/>
      <c r="AV407" s="2"/>
    </row>
    <row r="408" spans="1:48" x14ac:dyDescent="0.2">
      <c r="A408" s="2"/>
      <c r="B408" s="11" t="s">
        <v>397</v>
      </c>
      <c r="C408" s="2"/>
      <c r="D408" s="2"/>
      <c r="E408" s="2"/>
      <c r="F408" s="2"/>
      <c r="G408" s="2"/>
      <c r="H408" s="35"/>
      <c r="I408" s="35"/>
      <c r="J408" s="15">
        <v>-77</v>
      </c>
      <c r="K408" s="15">
        <v>-99</v>
      </c>
      <c r="L408" s="15">
        <v>-108</v>
      </c>
      <c r="M408" s="15">
        <v>-128</v>
      </c>
      <c r="N408" s="6">
        <v>-129</v>
      </c>
      <c r="O408" s="14">
        <v>-128</v>
      </c>
      <c r="P408" s="6">
        <v>-171</v>
      </c>
      <c r="Q408" s="6">
        <v>-278</v>
      </c>
      <c r="R408" s="6">
        <v>-337</v>
      </c>
      <c r="S408" s="6">
        <v>-422</v>
      </c>
      <c r="T408" s="6">
        <v>-480</v>
      </c>
      <c r="U408" s="6">
        <v>-544</v>
      </c>
      <c r="V408" s="6">
        <v>-548</v>
      </c>
      <c r="W408" s="6">
        <v>-637</v>
      </c>
      <c r="X408" s="6">
        <v>-672</v>
      </c>
      <c r="Y408" s="6">
        <v>-643</v>
      </c>
      <c r="Z408" s="6">
        <v>-680</v>
      </c>
      <c r="AA408" s="6">
        <v>-729</v>
      </c>
      <c r="AB408" s="6">
        <v>-729</v>
      </c>
      <c r="AC408" s="6">
        <f t="shared" ref="AC408:AL408" si="637">AB408*(1+AC409/100)*(1+AC410/100)</f>
        <v>-758.4516000000001</v>
      </c>
      <c r="AD408" s="6">
        <f t="shared" si="637"/>
        <v>-789.09304464000013</v>
      </c>
      <c r="AE408" s="6">
        <f t="shared" si="637"/>
        <v>-820.97240364345623</v>
      </c>
      <c r="AF408" s="6">
        <f t="shared" si="637"/>
        <v>-854.13968875065189</v>
      </c>
      <c r="AG408" s="6">
        <f t="shared" si="637"/>
        <v>-888.64693217617832</v>
      </c>
      <c r="AH408" s="6">
        <f t="shared" si="637"/>
        <v>-924.54826823609596</v>
      </c>
      <c r="AI408" s="6">
        <f t="shared" si="637"/>
        <v>-961.90001827283425</v>
      </c>
      <c r="AJ408" s="6">
        <f t="shared" si="637"/>
        <v>-1000.7607790110568</v>
      </c>
      <c r="AK408" s="6">
        <f t="shared" si="637"/>
        <v>-1041.1915144831034</v>
      </c>
      <c r="AL408" s="6">
        <f t="shared" si="637"/>
        <v>-1083.2556516682209</v>
      </c>
      <c r="AO408" s="48"/>
      <c r="AP408" s="11"/>
      <c r="AQ408" s="2"/>
      <c r="AR408" s="2"/>
      <c r="AS408" s="2"/>
      <c r="AT408" s="2"/>
      <c r="AU408" s="2"/>
      <c r="AV408" s="2"/>
    </row>
    <row r="409" spans="1:48" x14ac:dyDescent="0.2">
      <c r="A409" s="2"/>
      <c r="B409" s="11" t="s">
        <v>62</v>
      </c>
      <c r="C409" s="2"/>
      <c r="D409" s="2"/>
      <c r="E409" s="2"/>
      <c r="F409" s="2"/>
      <c r="G409" s="2"/>
      <c r="H409" s="35"/>
      <c r="I409" s="35"/>
      <c r="J409" s="35"/>
      <c r="K409" s="35"/>
      <c r="L409" s="35"/>
      <c r="M409" s="35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4">
        <v>2</v>
      </c>
      <c r="AD409" s="24">
        <f>AC409</f>
        <v>2</v>
      </c>
      <c r="AE409" s="24">
        <f t="shared" ref="AE409:AL409" si="638">AD409</f>
        <v>2</v>
      </c>
      <c r="AF409" s="24">
        <f t="shared" si="638"/>
        <v>2</v>
      </c>
      <c r="AG409" s="24">
        <f t="shared" si="638"/>
        <v>2</v>
      </c>
      <c r="AH409" s="24">
        <f t="shared" si="638"/>
        <v>2</v>
      </c>
      <c r="AI409" s="24">
        <f t="shared" si="638"/>
        <v>2</v>
      </c>
      <c r="AJ409" s="24">
        <f t="shared" si="638"/>
        <v>2</v>
      </c>
      <c r="AK409" s="24">
        <f t="shared" si="638"/>
        <v>2</v>
      </c>
      <c r="AL409" s="24">
        <f t="shared" si="638"/>
        <v>2</v>
      </c>
      <c r="AO409" s="2"/>
      <c r="AP409" s="2"/>
      <c r="AQ409" s="2"/>
      <c r="AR409" s="2"/>
      <c r="AS409" s="2"/>
      <c r="AT409" s="2"/>
      <c r="AU409" s="2"/>
      <c r="AV409" s="2"/>
    </row>
    <row r="410" spans="1:48" x14ac:dyDescent="0.2">
      <c r="A410" s="2"/>
      <c r="B410" s="11" t="s">
        <v>63</v>
      </c>
      <c r="C410" s="2"/>
      <c r="D410" s="2"/>
      <c r="E410" s="2"/>
      <c r="F410" s="2"/>
      <c r="G410" s="2"/>
      <c r="H410" s="35"/>
      <c r="I410" s="35"/>
      <c r="J410" s="36"/>
      <c r="K410" s="36"/>
      <c r="L410" s="36"/>
      <c r="M410" s="3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24">
        <v>2</v>
      </c>
      <c r="AD410" s="24">
        <f>AC410</f>
        <v>2</v>
      </c>
      <c r="AE410" s="24">
        <f t="shared" ref="AE410:AL410" si="639">AD410</f>
        <v>2</v>
      </c>
      <c r="AF410" s="24">
        <f t="shared" si="639"/>
        <v>2</v>
      </c>
      <c r="AG410" s="24">
        <f t="shared" si="639"/>
        <v>2</v>
      </c>
      <c r="AH410" s="24">
        <f t="shared" si="639"/>
        <v>2</v>
      </c>
      <c r="AI410" s="24">
        <f t="shared" si="639"/>
        <v>2</v>
      </c>
      <c r="AJ410" s="24">
        <f t="shared" si="639"/>
        <v>2</v>
      </c>
      <c r="AK410" s="24">
        <f t="shared" si="639"/>
        <v>2</v>
      </c>
      <c r="AL410" s="24">
        <f t="shared" si="639"/>
        <v>2</v>
      </c>
      <c r="AO410" s="2"/>
      <c r="AP410" s="2"/>
      <c r="AQ410" s="2"/>
      <c r="AR410" s="2"/>
      <c r="AS410" s="2"/>
      <c r="AT410" s="2"/>
      <c r="AU410" s="2"/>
      <c r="AV410" s="2"/>
    </row>
    <row r="411" spans="1:48" x14ac:dyDescent="0.2">
      <c r="A411" s="2"/>
      <c r="B411" s="141" t="s">
        <v>248</v>
      </c>
      <c r="C411" s="2"/>
      <c r="D411" s="2"/>
      <c r="E411" s="2"/>
      <c r="F411" s="2"/>
      <c r="G411" s="2"/>
      <c r="H411" s="35"/>
      <c r="I411" s="35"/>
      <c r="J411" s="36">
        <f t="shared" ref="J411:S411" si="640">J408/J407%</f>
        <v>-1.4381907634906499</v>
      </c>
      <c r="K411" s="36">
        <f t="shared" si="640"/>
        <v>-1.6967148002375401</v>
      </c>
      <c r="L411" s="36">
        <f t="shared" si="640"/>
        <v>-1.7669153927288488</v>
      </c>
      <c r="M411" s="36">
        <f t="shared" si="640"/>
        <v>-1.9621612531710748</v>
      </c>
      <c r="N411" s="36">
        <f t="shared" si="640"/>
        <v>-2.0584668411310396</v>
      </c>
      <c r="O411" s="36">
        <f t="shared" si="640"/>
        <v>-2.1842973593210111</v>
      </c>
      <c r="P411" s="36">
        <f t="shared" si="640"/>
        <v>-2.5768535262206149</v>
      </c>
      <c r="Q411" s="36">
        <f t="shared" si="640"/>
        <v>-2.7568425228084092</v>
      </c>
      <c r="R411" s="36">
        <f t="shared" si="640"/>
        <v>-3.2721623458588214</v>
      </c>
      <c r="S411" s="36">
        <f t="shared" si="640"/>
        <v>-3.9077692378923978</v>
      </c>
      <c r="T411" s="36">
        <f t="shared" ref="T411:Y411" si="641">T408/T407%</f>
        <v>-4.6238320007706388</v>
      </c>
      <c r="U411" s="36">
        <f t="shared" si="641"/>
        <v>-4.5371142618849039</v>
      </c>
      <c r="V411" s="36">
        <f t="shared" si="641"/>
        <v>-4.1134964720012013</v>
      </c>
      <c r="W411" s="36">
        <f>W408/W407%</f>
        <v>-4.2800510649734589</v>
      </c>
      <c r="X411" s="36">
        <f t="shared" si="641"/>
        <v>-4.7313947757516015</v>
      </c>
      <c r="Y411" s="36">
        <f t="shared" si="641"/>
        <v>-4.4241394257563353</v>
      </c>
      <c r="Z411" s="36">
        <f t="shared" ref="Z411:AH411" si="642">Z408/Z407%</f>
        <v>-4.0200887045024114</v>
      </c>
      <c r="AA411" s="36">
        <f t="shared" si="642"/>
        <v>-3.9441649082941077</v>
      </c>
      <c r="AB411" s="36">
        <f t="shared" ref="AB411" si="643">AB408/AB407%</f>
        <v>-3.4359240231889525</v>
      </c>
      <c r="AC411" s="36">
        <f t="shared" si="642"/>
        <v>-3.3853053709239096</v>
      </c>
      <c r="AD411" s="36">
        <f t="shared" si="642"/>
        <v>-3.2180450238330569</v>
      </c>
      <c r="AE411" s="36">
        <f t="shared" si="642"/>
        <v>-3.0959487246608766</v>
      </c>
      <c r="AF411" s="36">
        <f t="shared" si="642"/>
        <v>-3.0089912199074678</v>
      </c>
      <c r="AG411" s="36">
        <f t="shared" si="642"/>
        <v>-2.9358650567592943</v>
      </c>
      <c r="AH411" s="36">
        <f t="shared" si="642"/>
        <v>-2.8695883169908591</v>
      </c>
      <c r="AI411" s="36">
        <f t="shared" ref="AI411:AL411" si="644">AI408/AI407%</f>
        <v>-2.8222024234430916</v>
      </c>
      <c r="AJ411" s="36">
        <f t="shared" si="644"/>
        <v>-2.7751997636953778</v>
      </c>
      <c r="AK411" s="36">
        <f t="shared" si="644"/>
        <v>-2.7285920420154901</v>
      </c>
      <c r="AL411" s="36">
        <f t="shared" si="644"/>
        <v>-2.6851848831706135</v>
      </c>
      <c r="AO411" s="2"/>
      <c r="AP411" s="2"/>
      <c r="AQ411" s="2"/>
      <c r="AR411" s="2"/>
      <c r="AS411" s="2"/>
      <c r="AT411" s="2"/>
      <c r="AU411" s="2"/>
      <c r="AV411" s="2"/>
    </row>
    <row r="412" spans="1:48" x14ac:dyDescent="0.2">
      <c r="A412" s="2"/>
      <c r="B412" s="141" t="s">
        <v>247</v>
      </c>
      <c r="C412" s="2"/>
      <c r="D412" s="2"/>
      <c r="E412" s="2"/>
      <c r="F412" s="2"/>
      <c r="G412" s="2"/>
      <c r="H412" s="35"/>
      <c r="I412" s="35"/>
      <c r="J412" s="93"/>
      <c r="K412" s="93">
        <f>(K408-J408)/J408%</f>
        <v>28.571428571428569</v>
      </c>
      <c r="L412" s="93">
        <f t="shared" ref="L412:AC412" si="645">(L408-K408)/K408%</f>
        <v>9.0909090909090917</v>
      </c>
      <c r="M412" s="93">
        <f t="shared" si="645"/>
        <v>18.518518518518519</v>
      </c>
      <c r="N412" s="93">
        <f t="shared" si="645"/>
        <v>0.78125</v>
      </c>
      <c r="O412" s="93">
        <f t="shared" si="645"/>
        <v>-0.77519379844961234</v>
      </c>
      <c r="P412" s="93">
        <f t="shared" si="645"/>
        <v>33.59375</v>
      </c>
      <c r="Q412" s="93">
        <f t="shared" si="645"/>
        <v>62.57309941520468</v>
      </c>
      <c r="R412" s="93">
        <f t="shared" si="645"/>
        <v>21.223021582733814</v>
      </c>
      <c r="S412" s="93">
        <f t="shared" si="645"/>
        <v>25.222551928783382</v>
      </c>
      <c r="T412" s="93">
        <f t="shared" si="645"/>
        <v>13.744075829383887</v>
      </c>
      <c r="U412" s="93">
        <f t="shared" si="645"/>
        <v>13.333333333333334</v>
      </c>
      <c r="V412" s="93">
        <f t="shared" si="645"/>
        <v>0.73529411764705876</v>
      </c>
      <c r="W412" s="93">
        <f t="shared" si="645"/>
        <v>16.240875912408757</v>
      </c>
      <c r="X412" s="93">
        <f t="shared" si="645"/>
        <v>5.4945054945054945</v>
      </c>
      <c r="Y412" s="93">
        <f t="shared" si="645"/>
        <v>-4.3154761904761907</v>
      </c>
      <c r="Z412" s="93">
        <f>(Z408-Y408)/Y408%</f>
        <v>5.7542768273716955</v>
      </c>
      <c r="AA412" s="93">
        <f t="shared" si="645"/>
        <v>7.2058823529411766</v>
      </c>
      <c r="AB412" s="93">
        <f t="shared" si="645"/>
        <v>0</v>
      </c>
      <c r="AC412" s="93">
        <f t="shared" si="645"/>
        <v>4.0400000000000134</v>
      </c>
      <c r="AD412" s="93">
        <f t="shared" ref="AD412:AL412" si="646">(AD408-AC408)/AC408%</f>
        <v>4.0400000000000036</v>
      </c>
      <c r="AE412" s="93">
        <f t="shared" si="646"/>
        <v>4.0400000000000125</v>
      </c>
      <c r="AF412" s="93">
        <f t="shared" si="646"/>
        <v>4.0400000000000027</v>
      </c>
      <c r="AG412" s="93">
        <f t="shared" si="646"/>
        <v>4.0400000000000125</v>
      </c>
      <c r="AH412" s="93">
        <f t="shared" si="646"/>
        <v>4.0400000000000036</v>
      </c>
      <c r="AI412" s="93">
        <f t="shared" si="646"/>
        <v>4.04</v>
      </c>
      <c r="AJ412" s="93">
        <f t="shared" si="646"/>
        <v>4.0400000000000054</v>
      </c>
      <c r="AK412" s="93">
        <f t="shared" si="646"/>
        <v>4.0399999999999956</v>
      </c>
      <c r="AL412" s="93">
        <f t="shared" si="646"/>
        <v>4.0400000000000107</v>
      </c>
      <c r="AO412" s="2"/>
      <c r="AP412" s="2"/>
      <c r="AQ412" s="2"/>
      <c r="AR412" s="2"/>
      <c r="AS412" s="2"/>
      <c r="AT412" s="2"/>
      <c r="AU412" s="2"/>
      <c r="AV412" s="2"/>
    </row>
    <row r="413" spans="1:48" x14ac:dyDescent="0.2">
      <c r="A413" s="2"/>
      <c r="B413" s="141"/>
      <c r="C413" s="2"/>
      <c r="D413" s="2"/>
      <c r="E413" s="2"/>
      <c r="F413" s="2"/>
      <c r="G413" s="2"/>
      <c r="H413" s="35"/>
      <c r="I413" s="35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O413" s="2"/>
      <c r="AP413" s="2"/>
      <c r="AQ413" s="2"/>
      <c r="AR413" s="2"/>
      <c r="AS413" s="2"/>
      <c r="AT413" s="2"/>
      <c r="AU413" s="2"/>
      <c r="AV413" s="2"/>
    </row>
    <row r="414" spans="1:48" x14ac:dyDescent="0.2">
      <c r="A414" s="2"/>
      <c r="B414" s="141"/>
      <c r="C414" s="2"/>
      <c r="D414" s="2"/>
      <c r="E414" s="2"/>
      <c r="F414" s="2"/>
      <c r="G414" s="2"/>
      <c r="H414" s="35"/>
      <c r="I414" s="35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3"/>
      <c r="AF414" s="93"/>
      <c r="AG414" s="93"/>
      <c r="AH414" s="93"/>
      <c r="AI414" s="93"/>
      <c r="AJ414" s="93"/>
      <c r="AK414" s="93"/>
      <c r="AL414" s="93"/>
      <c r="AO414" s="2"/>
      <c r="AP414" s="2"/>
      <c r="AQ414" s="2"/>
      <c r="AR414" s="2"/>
      <c r="AS414" s="2"/>
      <c r="AT414" s="2"/>
      <c r="AU414" s="2"/>
      <c r="AV414" s="2"/>
    </row>
    <row r="415" spans="1:48" x14ac:dyDescent="0.2">
      <c r="A415" s="2"/>
      <c r="B415" s="132" t="s">
        <v>206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O415" s="2"/>
      <c r="AP415" s="2"/>
      <c r="AQ415" s="2"/>
      <c r="AR415" s="2"/>
      <c r="AS415" s="2"/>
      <c r="AT415" s="2"/>
      <c r="AU415" s="2"/>
      <c r="AV415" s="2"/>
    </row>
    <row r="416" spans="1:48" x14ac:dyDescent="0.2">
      <c r="A416" s="2"/>
      <c r="B416" s="11" t="s">
        <v>301</v>
      </c>
      <c r="C416" s="2"/>
      <c r="D416" s="6"/>
      <c r="E416" s="6"/>
      <c r="F416" s="6"/>
      <c r="G416" s="6"/>
      <c r="H416" s="6"/>
      <c r="I416" s="6"/>
      <c r="J416" s="6">
        <f t="shared" ref="J416:AH416" si="647">J84</f>
        <v>5353.9489999999996</v>
      </c>
      <c r="K416" s="6">
        <f t="shared" si="647"/>
        <v>5834.8050000000003</v>
      </c>
      <c r="L416" s="6">
        <f t="shared" si="647"/>
        <v>6112.3469999999998</v>
      </c>
      <c r="M416" s="6">
        <f t="shared" si="647"/>
        <v>6523.4189999999999</v>
      </c>
      <c r="N416" s="6">
        <f t="shared" si="647"/>
        <v>6266.8</v>
      </c>
      <c r="O416" s="6">
        <f t="shared" si="647"/>
        <v>5860.0079999999998</v>
      </c>
      <c r="P416" s="6">
        <f t="shared" si="647"/>
        <v>6636</v>
      </c>
      <c r="Q416" s="6">
        <f t="shared" si="647"/>
        <v>10084</v>
      </c>
      <c r="R416" s="6">
        <f t="shared" si="647"/>
        <v>10299</v>
      </c>
      <c r="S416" s="6">
        <f t="shared" si="647"/>
        <v>10799</v>
      </c>
      <c r="T416" s="6">
        <f t="shared" si="647"/>
        <v>10381</v>
      </c>
      <c r="U416" s="6">
        <f t="shared" si="647"/>
        <v>11990</v>
      </c>
      <c r="V416" s="6">
        <f t="shared" si="647"/>
        <v>13322</v>
      </c>
      <c r="W416" s="6">
        <f t="shared" si="647"/>
        <v>14883</v>
      </c>
      <c r="X416" s="6">
        <f t="shared" si="647"/>
        <v>14203</v>
      </c>
      <c r="Y416" s="6">
        <f t="shared" si="647"/>
        <v>14533.9</v>
      </c>
      <c r="Z416" s="6">
        <f t="shared" si="647"/>
        <v>16915.049641526937</v>
      </c>
      <c r="AA416" s="6">
        <f t="shared" si="647"/>
        <v>18483</v>
      </c>
      <c r="AB416" s="6">
        <f t="shared" ref="AB416" si="648">AB84</f>
        <v>21217</v>
      </c>
      <c r="AC416" s="6">
        <f t="shared" si="647"/>
        <v>22404.229955568389</v>
      </c>
      <c r="AD416" s="6">
        <f t="shared" si="647"/>
        <v>24520.882672427644</v>
      </c>
      <c r="AE416" s="6">
        <f t="shared" si="647"/>
        <v>26517.6356799444</v>
      </c>
      <c r="AF416" s="6">
        <f t="shared" si="647"/>
        <v>28386.247294431065</v>
      </c>
      <c r="AG416" s="6">
        <f t="shared" si="647"/>
        <v>30268.657278039078</v>
      </c>
      <c r="AH416" s="6">
        <f t="shared" si="647"/>
        <v>32218.84696009658</v>
      </c>
      <c r="AI416" s="6">
        <f t="shared" ref="AI416:AL416" si="649">AI84</f>
        <v>34083.310618779593</v>
      </c>
      <c r="AJ416" s="6">
        <f t="shared" si="649"/>
        <v>36060.855586066784</v>
      </c>
      <c r="AK416" s="6">
        <f t="shared" si="649"/>
        <v>38158.56304096018</v>
      </c>
      <c r="AL416" s="6">
        <f t="shared" si="649"/>
        <v>40341.939151286075</v>
      </c>
      <c r="AO416" s="2"/>
      <c r="AP416" s="2"/>
      <c r="AQ416" s="2"/>
      <c r="AR416" s="2"/>
      <c r="AS416" s="2"/>
      <c r="AT416" s="2"/>
      <c r="AU416" s="2"/>
      <c r="AV416" s="2"/>
    </row>
    <row r="417" spans="1:48" x14ac:dyDescent="0.2">
      <c r="A417" s="2"/>
      <c r="B417" s="11"/>
      <c r="C417" s="2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O417" s="2"/>
      <c r="AP417" s="2"/>
      <c r="AQ417" s="2"/>
      <c r="AR417" s="2"/>
      <c r="AS417" s="2"/>
      <c r="AT417" s="2"/>
      <c r="AU417" s="2"/>
      <c r="AV417" s="2"/>
    </row>
    <row r="418" spans="1:48" x14ac:dyDescent="0.2">
      <c r="A418" s="2"/>
      <c r="B418" s="2" t="s">
        <v>327</v>
      </c>
      <c r="C418" s="2"/>
      <c r="D418" s="2"/>
      <c r="E418" s="2"/>
      <c r="F418" s="2"/>
      <c r="G418" s="2"/>
      <c r="H418" s="2"/>
      <c r="I418" s="2"/>
      <c r="J418" s="14">
        <v>580</v>
      </c>
      <c r="K418" s="14">
        <v>630</v>
      </c>
      <c r="L418" s="14">
        <v>695</v>
      </c>
      <c r="M418" s="14">
        <v>758</v>
      </c>
      <c r="N418" s="14">
        <v>709</v>
      </c>
      <c r="O418" s="14">
        <v>637</v>
      </c>
      <c r="P418" s="6">
        <v>706</v>
      </c>
      <c r="Q418" s="6">
        <v>1087</v>
      </c>
      <c r="R418" s="15">
        <v>1186</v>
      </c>
      <c r="S418" s="20">
        <v>1283</v>
      </c>
      <c r="T418" s="20">
        <v>1352</v>
      </c>
      <c r="U418" s="14">
        <v>1521</v>
      </c>
      <c r="V418" s="14">
        <v>1646</v>
      </c>
      <c r="W418" s="14">
        <v>1872</v>
      </c>
      <c r="X418" s="14">
        <v>1833</v>
      </c>
      <c r="Y418" s="14">
        <v>1842</v>
      </c>
      <c r="Z418" s="14">
        <v>2184</v>
      </c>
      <c r="AA418" s="14">
        <v>2532</v>
      </c>
      <c r="AB418" s="14">
        <v>2532</v>
      </c>
      <c r="AC418" s="14">
        <f t="shared" ref="AC418:AH418" si="650">(AC419*AC421)/1000</f>
        <v>2634.0396000000001</v>
      </c>
      <c r="AD418" s="14">
        <f t="shared" si="650"/>
        <v>2767.3220037599999</v>
      </c>
      <c r="AE418" s="14">
        <f t="shared" si="650"/>
        <v>2907.3484971502558</v>
      </c>
      <c r="AF418" s="14">
        <f t="shared" si="650"/>
        <v>3054.4603311060591</v>
      </c>
      <c r="AG418" s="14">
        <f t="shared" si="650"/>
        <v>3209.0160238600261</v>
      </c>
      <c r="AH418" s="14">
        <f t="shared" si="650"/>
        <v>3371.3922346673435</v>
      </c>
      <c r="AI418" s="14">
        <f t="shared" ref="AI418:AL418" si="651">(AI419*AI421)/1000</f>
        <v>3541.9846817415109</v>
      </c>
      <c r="AJ418" s="14">
        <f t="shared" si="651"/>
        <v>3721.2091066376315</v>
      </c>
      <c r="AK418" s="14">
        <f t="shared" si="651"/>
        <v>3909.5022874334959</v>
      </c>
      <c r="AL418" s="14">
        <f t="shared" si="651"/>
        <v>4107.3231031776304</v>
      </c>
      <c r="AO418" s="2"/>
      <c r="AP418" s="2"/>
      <c r="AQ418" s="2"/>
      <c r="AR418" s="2"/>
      <c r="AS418" s="2"/>
      <c r="AT418" s="2"/>
      <c r="AU418" s="2"/>
      <c r="AV418" s="2"/>
    </row>
    <row r="419" spans="1:48" x14ac:dyDescent="0.2">
      <c r="A419" s="2"/>
      <c r="B419" s="2" t="s">
        <v>38</v>
      </c>
      <c r="C419" s="2"/>
      <c r="D419" s="2"/>
      <c r="E419" s="2"/>
      <c r="F419" s="2"/>
      <c r="G419" s="2"/>
      <c r="H419" s="2"/>
      <c r="I419" s="2"/>
      <c r="J419" s="11">
        <v>12829</v>
      </c>
      <c r="K419" s="11">
        <v>13362</v>
      </c>
      <c r="L419" s="11">
        <v>13941</v>
      </c>
      <c r="M419" s="11">
        <v>14716</v>
      </c>
      <c r="N419" s="11">
        <v>15686</v>
      </c>
      <c r="O419" s="11">
        <v>14219</v>
      </c>
      <c r="P419" s="2">
        <v>15935</v>
      </c>
      <c r="Q419" s="2">
        <v>26376</v>
      </c>
      <c r="R419" s="6">
        <v>31344</v>
      </c>
      <c r="S419" s="6">
        <v>38982</v>
      </c>
      <c r="T419" s="6">
        <v>39071</v>
      </c>
      <c r="U419" s="6">
        <v>41287</v>
      </c>
      <c r="V419" s="6">
        <v>46522</v>
      </c>
      <c r="W419" s="6">
        <v>46623</v>
      </c>
      <c r="X419" s="6">
        <v>48518</v>
      </c>
      <c r="Y419" s="6">
        <v>53125</v>
      </c>
      <c r="Z419" s="6">
        <v>54921</v>
      </c>
      <c r="AA419" s="6">
        <v>57876</v>
      </c>
      <c r="AB419" s="6">
        <v>57876</v>
      </c>
      <c r="AC419" s="6">
        <f t="shared" ref="AC419:AL419" si="652">AB419*(1+AC420/100)</f>
        <v>59612.28</v>
      </c>
      <c r="AD419" s="6">
        <f t="shared" si="652"/>
        <v>61400.648399999998</v>
      </c>
      <c r="AE419" s="6">
        <f t="shared" si="652"/>
        <v>63242.667851999999</v>
      </c>
      <c r="AF419" s="6">
        <f t="shared" si="652"/>
        <v>65139.947887560003</v>
      </c>
      <c r="AG419" s="6">
        <f t="shared" si="652"/>
        <v>67094.146324186804</v>
      </c>
      <c r="AH419" s="6">
        <f t="shared" si="652"/>
        <v>69106.970713912408</v>
      </c>
      <c r="AI419" s="6">
        <f t="shared" si="652"/>
        <v>71180.179835329778</v>
      </c>
      <c r="AJ419" s="6">
        <f t="shared" si="652"/>
        <v>73315.585230389668</v>
      </c>
      <c r="AK419" s="6">
        <f t="shared" si="652"/>
        <v>75515.052787301363</v>
      </c>
      <c r="AL419" s="6">
        <f t="shared" si="652"/>
        <v>77780.504370920404</v>
      </c>
      <c r="AO419" s="2"/>
      <c r="AP419" s="2"/>
      <c r="AQ419" s="2"/>
      <c r="AR419" s="2"/>
      <c r="AS419" s="2"/>
      <c r="AT419" s="2"/>
      <c r="AU419" s="2"/>
      <c r="AV419" s="2"/>
    </row>
    <row r="420" spans="1:48" x14ac:dyDescent="0.2">
      <c r="A420" s="2"/>
      <c r="B420" s="2" t="s">
        <v>40</v>
      </c>
      <c r="C420" s="2"/>
      <c r="D420" s="6"/>
      <c r="E420" s="6"/>
      <c r="F420" s="97"/>
      <c r="G420" s="97"/>
      <c r="H420" s="97"/>
      <c r="I420" s="97"/>
      <c r="J420" s="97" t="str">
        <f t="shared" ref="J420:O420" si="653">IF(ISERROR((J419-I419)/I419%),"na",(J419-I419)/I419%)</f>
        <v>na</v>
      </c>
      <c r="K420" s="97">
        <f t="shared" si="653"/>
        <v>4.1546496219502691</v>
      </c>
      <c r="L420" s="97">
        <f t="shared" si="653"/>
        <v>4.333183655141446</v>
      </c>
      <c r="M420" s="97">
        <f t="shared" si="653"/>
        <v>5.5591420988451334</v>
      </c>
      <c r="N420" s="97">
        <f t="shared" si="653"/>
        <v>6.5914650720304433</v>
      </c>
      <c r="O420" s="97">
        <f t="shared" si="653"/>
        <v>-9.3522886650516384</v>
      </c>
      <c r="P420" s="6">
        <f t="shared" ref="P420:Y420" si="654">(P419-O419)/O419%</f>
        <v>12.068359237639777</v>
      </c>
      <c r="Q420" s="6">
        <f t="shared" si="654"/>
        <v>65.522434891747722</v>
      </c>
      <c r="R420" s="6">
        <f t="shared" si="654"/>
        <v>18.83530482256597</v>
      </c>
      <c r="S420" s="6">
        <f t="shared" si="654"/>
        <v>24.368300153139359</v>
      </c>
      <c r="T420" s="6">
        <f t="shared" si="654"/>
        <v>0.22831050228310504</v>
      </c>
      <c r="U420" s="6">
        <f t="shared" si="654"/>
        <v>5.6717258324588569</v>
      </c>
      <c r="V420" s="6">
        <f t="shared" si="654"/>
        <v>12.67953593140698</v>
      </c>
      <c r="W420" s="6">
        <f t="shared" si="654"/>
        <v>0.21710158634624477</v>
      </c>
      <c r="X420" s="6">
        <f t="shared" si="654"/>
        <v>4.0645175128155628</v>
      </c>
      <c r="Y420" s="6">
        <f t="shared" si="654"/>
        <v>9.495444989488437</v>
      </c>
      <c r="Z420" s="6">
        <f>(Z419-Y419)/Y419%</f>
        <v>3.3807058823529412</v>
      </c>
      <c r="AA420" s="6">
        <f>(AA419-Z419)/Z419%</f>
        <v>5.3804555634456763</v>
      </c>
      <c r="AB420" s="6">
        <f>(AB419-AA419)/AA419%</f>
        <v>0</v>
      </c>
      <c r="AC420" s="24">
        <v>3</v>
      </c>
      <c r="AD420" s="24">
        <v>3</v>
      </c>
      <c r="AE420" s="24">
        <v>3</v>
      </c>
      <c r="AF420" s="24">
        <v>3</v>
      </c>
      <c r="AG420" s="24">
        <v>3</v>
      </c>
      <c r="AH420" s="24">
        <v>3</v>
      </c>
      <c r="AI420" s="24">
        <v>3</v>
      </c>
      <c r="AJ420" s="24">
        <v>3</v>
      </c>
      <c r="AK420" s="24">
        <v>3</v>
      </c>
      <c r="AL420" s="24">
        <v>3</v>
      </c>
      <c r="AO420" s="2"/>
      <c r="AP420" s="2"/>
      <c r="AQ420" s="2"/>
      <c r="AR420" s="2"/>
      <c r="AS420" s="2"/>
      <c r="AT420" s="2"/>
      <c r="AU420" s="2"/>
      <c r="AV420" s="2"/>
    </row>
    <row r="421" spans="1:48" x14ac:dyDescent="0.2">
      <c r="A421" s="2"/>
      <c r="B421" s="2" t="s">
        <v>37</v>
      </c>
      <c r="C421" s="2"/>
      <c r="D421" s="2"/>
      <c r="E421" s="2"/>
      <c r="F421" s="6"/>
      <c r="G421" s="6"/>
      <c r="H421" s="6"/>
      <c r="I421" s="6"/>
      <c r="J421" s="6">
        <f t="shared" ref="J421:Y421" si="655">(J418*1000)/J419</f>
        <v>45.210070933042324</v>
      </c>
      <c r="K421" s="6">
        <f t="shared" si="655"/>
        <v>47.148630444544231</v>
      </c>
      <c r="L421" s="6">
        <f t="shared" si="655"/>
        <v>49.852951725127319</v>
      </c>
      <c r="M421" s="6">
        <f t="shared" si="655"/>
        <v>51.508562109268823</v>
      </c>
      <c r="N421" s="6">
        <f t="shared" si="655"/>
        <v>45.199540991967361</v>
      </c>
      <c r="O421" s="6">
        <f t="shared" si="655"/>
        <v>44.799212321541596</v>
      </c>
      <c r="P421" s="6">
        <f t="shared" si="655"/>
        <v>44.304989017885156</v>
      </c>
      <c r="Q421" s="6">
        <f t="shared" si="655"/>
        <v>41.211707612981499</v>
      </c>
      <c r="R421" s="6">
        <f t="shared" si="655"/>
        <v>37.838182746299132</v>
      </c>
      <c r="S421" s="6">
        <f t="shared" si="655"/>
        <v>32.912626340362216</v>
      </c>
      <c r="T421" s="6">
        <f t="shared" si="655"/>
        <v>34.603670241355481</v>
      </c>
      <c r="U421" s="6">
        <f t="shared" si="655"/>
        <v>36.83968319325696</v>
      </c>
      <c r="V421" s="6">
        <f t="shared" si="655"/>
        <v>35.381110012467218</v>
      </c>
      <c r="W421" s="6">
        <f t="shared" si="655"/>
        <v>40.151856379898334</v>
      </c>
      <c r="X421" s="6">
        <f t="shared" si="655"/>
        <v>37.779793066490789</v>
      </c>
      <c r="Y421" s="6">
        <f t="shared" si="655"/>
        <v>34.672941176470587</v>
      </c>
      <c r="Z421" s="6">
        <f>(Z418*1000)/Z419</f>
        <v>39.766209646583278</v>
      </c>
      <c r="AA421" s="6">
        <f>(AA418*1000)/AA419</f>
        <v>43.74870412606262</v>
      </c>
      <c r="AB421" s="6">
        <f>(AB418*1000)/AB419</f>
        <v>43.74870412606262</v>
      </c>
      <c r="AC421" s="6">
        <f t="shared" ref="AC421:AL421" si="656">AB421*(1+AC422/100)</f>
        <v>44.186191167323244</v>
      </c>
      <c r="AD421" s="6">
        <f t="shared" si="656"/>
        <v>45.069914990669709</v>
      </c>
      <c r="AE421" s="6">
        <f t="shared" si="656"/>
        <v>45.971313290483103</v>
      </c>
      <c r="AF421" s="6">
        <f t="shared" si="656"/>
        <v>46.890739556292765</v>
      </c>
      <c r="AG421" s="6">
        <f t="shared" si="656"/>
        <v>47.828554347418624</v>
      </c>
      <c r="AH421" s="6">
        <f t="shared" si="656"/>
        <v>48.785125434366996</v>
      </c>
      <c r="AI421" s="6">
        <f t="shared" si="656"/>
        <v>49.760827943054338</v>
      </c>
      <c r="AJ421" s="6">
        <f t="shared" si="656"/>
        <v>50.756044501915426</v>
      </c>
      <c r="AK421" s="6">
        <f t="shared" si="656"/>
        <v>51.771165391953737</v>
      </c>
      <c r="AL421" s="6">
        <f t="shared" si="656"/>
        <v>52.806588699792812</v>
      </c>
      <c r="AO421" s="2"/>
      <c r="AP421" s="2"/>
      <c r="AQ421" s="2"/>
      <c r="AR421" s="2"/>
      <c r="AS421" s="2"/>
      <c r="AT421" s="2"/>
      <c r="AU421" s="2"/>
      <c r="AV421" s="2"/>
    </row>
    <row r="422" spans="1:48" x14ac:dyDescent="0.2">
      <c r="A422" s="2"/>
      <c r="B422" s="2" t="s">
        <v>39</v>
      </c>
      <c r="C422" s="2"/>
      <c r="D422" s="2"/>
      <c r="E422" s="2"/>
      <c r="F422" s="97"/>
      <c r="G422" s="97"/>
      <c r="H422" s="97"/>
      <c r="I422" s="97"/>
      <c r="J422" s="97"/>
      <c r="K422" s="97">
        <f>(K421-J421)/J421%</f>
        <v>4.2878930988030977</v>
      </c>
      <c r="L422" s="97">
        <f t="shared" ref="L422:X422" si="657">(L421-K421)/K421%</f>
        <v>5.7357366589128915</v>
      </c>
      <c r="M422" s="97">
        <f t="shared" si="657"/>
        <v>3.3209876784628354</v>
      </c>
      <c r="N422" s="97">
        <f t="shared" si="657"/>
        <v>-12.248490074169965</v>
      </c>
      <c r="O422" s="97">
        <f t="shared" si="657"/>
        <v>-0.88569189341305288</v>
      </c>
      <c r="P422" s="97">
        <f t="shared" si="657"/>
        <v>-1.1031964136092502</v>
      </c>
      <c r="Q422" s="97">
        <f t="shared" si="657"/>
        <v>-6.9817902531359453</v>
      </c>
      <c r="R422" s="97">
        <f t="shared" si="657"/>
        <v>-8.1858410196517113</v>
      </c>
      <c r="S422" s="97">
        <f t="shared" si="657"/>
        <v>-13.017423270462624</v>
      </c>
      <c r="T422" s="97">
        <f t="shared" si="657"/>
        <v>5.1379792165642586</v>
      </c>
      <c r="U422" s="97">
        <f t="shared" si="657"/>
        <v>6.4617797369632166</v>
      </c>
      <c r="V422" s="97">
        <f t="shared" si="657"/>
        <v>-3.9592446361121669</v>
      </c>
      <c r="W422" s="97">
        <f t="shared" si="657"/>
        <v>13.483879860609377</v>
      </c>
      <c r="X422" s="97">
        <f t="shared" si="657"/>
        <v>-5.9077301207799113</v>
      </c>
      <c r="Y422" s="97">
        <f>(Y421-X421)/X421%</f>
        <v>-8.2235810147299588</v>
      </c>
      <c r="Z422" s="97">
        <f>(Z421-Y421)/Y421%</f>
        <v>14.689461860734889</v>
      </c>
      <c r="AA422" s="97">
        <f>(AA421-Z421)/Z421%</f>
        <v>10.014770114811581</v>
      </c>
      <c r="AB422" s="97">
        <f>(AB421-AA421)/AA421%</f>
        <v>0</v>
      </c>
      <c r="AC422" s="24">
        <v>1</v>
      </c>
      <c r="AD422" s="24">
        <v>2</v>
      </c>
      <c r="AE422" s="24">
        <f>AD422</f>
        <v>2</v>
      </c>
      <c r="AF422" s="24">
        <f t="shared" ref="AF422:AL422" si="658">AE422</f>
        <v>2</v>
      </c>
      <c r="AG422" s="24">
        <f t="shared" si="658"/>
        <v>2</v>
      </c>
      <c r="AH422" s="24">
        <f t="shared" si="658"/>
        <v>2</v>
      </c>
      <c r="AI422" s="24">
        <f t="shared" si="658"/>
        <v>2</v>
      </c>
      <c r="AJ422" s="24">
        <f t="shared" si="658"/>
        <v>2</v>
      </c>
      <c r="AK422" s="24">
        <f t="shared" si="658"/>
        <v>2</v>
      </c>
      <c r="AL422" s="24">
        <f t="shared" si="658"/>
        <v>2</v>
      </c>
      <c r="AO422" s="2"/>
      <c r="AP422" s="2"/>
      <c r="AQ422" s="2"/>
      <c r="AR422" s="2"/>
      <c r="AS422" s="2"/>
      <c r="AT422" s="2"/>
      <c r="AU422" s="2"/>
      <c r="AV422" s="2"/>
    </row>
    <row r="423" spans="1:48" x14ac:dyDescent="0.2">
      <c r="A423" s="2"/>
      <c r="B423" s="2"/>
      <c r="C423" s="2"/>
      <c r="D423" s="2"/>
      <c r="E423" s="2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5"/>
      <c r="AH423" s="45"/>
      <c r="AI423" s="45"/>
      <c r="AJ423" s="45"/>
      <c r="AK423" s="45"/>
      <c r="AL423" s="45"/>
      <c r="AO423" s="2"/>
      <c r="AP423" s="2"/>
      <c r="AQ423" s="2"/>
      <c r="AR423" s="2"/>
      <c r="AS423" s="2"/>
      <c r="AT423" s="2"/>
      <c r="AU423" s="2"/>
      <c r="AV423" s="2"/>
    </row>
    <row r="424" spans="1:48" x14ac:dyDescent="0.2">
      <c r="A424" s="35"/>
      <c r="B424" s="66" t="s">
        <v>248</v>
      </c>
      <c r="C424" s="35"/>
      <c r="D424" s="35"/>
      <c r="E424" s="35"/>
      <c r="F424" s="36"/>
      <c r="G424" s="36"/>
      <c r="H424" s="36"/>
      <c r="I424" s="36"/>
      <c r="J424" s="36">
        <f>J418/J416%</f>
        <v>10.833125231488012</v>
      </c>
      <c r="K424" s="36">
        <f>K418/K416%</f>
        <v>10.797276001511619</v>
      </c>
      <c r="L424" s="36">
        <f>L418/L416%</f>
        <v>11.37042775876435</v>
      </c>
      <c r="M424" s="36">
        <f>M418/M416%</f>
        <v>11.61967367112246</v>
      </c>
      <c r="N424" s="36">
        <f>N418/N416%</f>
        <v>11.313589072572924</v>
      </c>
      <c r="O424" s="36">
        <f t="shared" ref="O424:Y424" si="659">O418/O416%</f>
        <v>10.87029232724597</v>
      </c>
      <c r="P424" s="36">
        <f t="shared" si="659"/>
        <v>10.638939119951779</v>
      </c>
      <c r="Q424" s="36">
        <f t="shared" si="659"/>
        <v>10.779452598175327</v>
      </c>
      <c r="R424" s="36">
        <f>R418/R416%</f>
        <v>11.515681134090689</v>
      </c>
      <c r="S424" s="36">
        <f t="shared" si="659"/>
        <v>11.880729697194186</v>
      </c>
      <c r="T424" s="36">
        <f t="shared" si="659"/>
        <v>13.023793468837299</v>
      </c>
      <c r="U424" s="36">
        <f t="shared" si="659"/>
        <v>12.685571309424519</v>
      </c>
      <c r="V424" s="36">
        <f t="shared" si="659"/>
        <v>12.355502176850322</v>
      </c>
      <c r="W424" s="36">
        <f>W418/W416%</f>
        <v>12.5781092521669</v>
      </c>
      <c r="X424" s="36">
        <f t="shared" si="659"/>
        <v>12.905724142786735</v>
      </c>
      <c r="Y424" s="36">
        <f t="shared" si="659"/>
        <v>12.673817763986266</v>
      </c>
      <c r="Z424" s="36">
        <f t="shared" ref="Z424:AH424" si="660">Z418/Z416%</f>
        <v>12.911579015637155</v>
      </c>
      <c r="AA424" s="36">
        <f t="shared" si="660"/>
        <v>13.699074825515337</v>
      </c>
      <c r="AB424" s="36">
        <f t="shared" si="660"/>
        <v>11.933826648442288</v>
      </c>
      <c r="AC424" s="36">
        <f t="shared" si="660"/>
        <v>11.756885218656359</v>
      </c>
      <c r="AD424" s="36">
        <f t="shared" si="660"/>
        <v>11.285572549440474</v>
      </c>
      <c r="AE424" s="36">
        <f t="shared" si="660"/>
        <v>10.963830004456685</v>
      </c>
      <c r="AF424" s="36">
        <f t="shared" si="660"/>
        <v>10.7603527138485</v>
      </c>
      <c r="AG424" s="36">
        <f t="shared" si="660"/>
        <v>10.60177858034117</v>
      </c>
      <c r="AH424" s="36">
        <f t="shared" si="660"/>
        <v>10.464037520780469</v>
      </c>
      <c r="AI424" s="36">
        <f t="shared" ref="AI424:AL424" si="661">AI418/AI416%</f>
        <v>10.39213802132798</v>
      </c>
      <c r="AJ424" s="36">
        <f t="shared" si="661"/>
        <v>10.319247966139313</v>
      </c>
      <c r="AK424" s="36">
        <f t="shared" si="661"/>
        <v>10.245412761578461</v>
      </c>
      <c r="AL424" s="36">
        <f t="shared" si="661"/>
        <v>10.181273358662263</v>
      </c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</row>
    <row r="425" spans="1:48" x14ac:dyDescent="0.2">
      <c r="A425" s="35"/>
      <c r="B425" s="66" t="s">
        <v>247</v>
      </c>
      <c r="C425" s="35"/>
      <c r="D425" s="35"/>
      <c r="E425" s="35"/>
      <c r="F425" s="36"/>
      <c r="G425" s="36"/>
      <c r="H425" s="36"/>
      <c r="I425" s="36"/>
      <c r="J425" s="36"/>
      <c r="K425" s="36">
        <f>(K418-J418)/J418%</f>
        <v>8.6206896551724146</v>
      </c>
      <c r="L425" s="36">
        <f t="shared" ref="L425:AC425" si="662">(L418-K418)/K418%</f>
        <v>10.317460317460318</v>
      </c>
      <c r="M425" s="36">
        <f t="shared" si="662"/>
        <v>9.0647482014388494</v>
      </c>
      <c r="N425" s="36">
        <f t="shared" si="662"/>
        <v>-6.4643799472295518</v>
      </c>
      <c r="O425" s="36">
        <f t="shared" si="662"/>
        <v>-10.155148095909732</v>
      </c>
      <c r="P425" s="36">
        <f t="shared" si="662"/>
        <v>10.832025117739404</v>
      </c>
      <c r="Q425" s="36">
        <f t="shared" si="662"/>
        <v>53.966005665722385</v>
      </c>
      <c r="R425" s="36">
        <f t="shared" si="662"/>
        <v>9.1076356945722186</v>
      </c>
      <c r="S425" s="36">
        <f t="shared" si="662"/>
        <v>8.178752107925801</v>
      </c>
      <c r="T425" s="36">
        <f t="shared" si="662"/>
        <v>5.3780202650038973</v>
      </c>
      <c r="U425" s="36">
        <f t="shared" si="662"/>
        <v>12.5</v>
      </c>
      <c r="V425" s="36">
        <f t="shared" si="662"/>
        <v>8.2182774490466795</v>
      </c>
      <c r="W425" s="36">
        <f t="shared" si="662"/>
        <v>13.730255164034022</v>
      </c>
      <c r="X425" s="36">
        <f t="shared" si="662"/>
        <v>-2.0833333333333335</v>
      </c>
      <c r="Y425" s="36">
        <f t="shared" si="662"/>
        <v>0.49099836333878893</v>
      </c>
      <c r="Z425" s="36">
        <f>(Z418-Y418)/Y418%</f>
        <v>18.566775244299674</v>
      </c>
      <c r="AA425" s="36">
        <f t="shared" si="662"/>
        <v>15.934065934065934</v>
      </c>
      <c r="AB425" s="36">
        <f t="shared" si="662"/>
        <v>0</v>
      </c>
      <c r="AC425" s="36">
        <f t="shared" si="662"/>
        <v>4.0300000000000029</v>
      </c>
      <c r="AD425" s="36">
        <f t="shared" ref="AD425:AL425" si="663">(AD418-AC418)/AC418%</f>
        <v>5.0599999999999943</v>
      </c>
      <c r="AE425" s="36">
        <f t="shared" si="663"/>
        <v>5.0599999999999943</v>
      </c>
      <c r="AF425" s="36">
        <f t="shared" si="663"/>
        <v>5.0600000000000147</v>
      </c>
      <c r="AG425" s="36">
        <f t="shared" si="663"/>
        <v>5.0600000000000112</v>
      </c>
      <c r="AH425" s="36">
        <f t="shared" si="663"/>
        <v>5.0600000000000032</v>
      </c>
      <c r="AI425" s="36">
        <f t="shared" si="663"/>
        <v>5.0599999999999969</v>
      </c>
      <c r="AJ425" s="36">
        <f t="shared" si="663"/>
        <v>5.0600000000000041</v>
      </c>
      <c r="AK425" s="36">
        <f t="shared" si="663"/>
        <v>5.0600000000000058</v>
      </c>
      <c r="AL425" s="36">
        <f t="shared" si="663"/>
        <v>5.0599999999999898</v>
      </c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</row>
    <row r="426" spans="1:48" x14ac:dyDescent="0.2">
      <c r="A426" s="2"/>
      <c r="B426" s="66"/>
      <c r="C426" s="2"/>
      <c r="D426" s="2"/>
      <c r="E426" s="2"/>
      <c r="F426" s="2"/>
      <c r="G426" s="2"/>
      <c r="H426" s="35"/>
      <c r="I426" s="35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3"/>
      <c r="AF426" s="93"/>
      <c r="AG426" s="93"/>
      <c r="AH426" s="93"/>
      <c r="AI426" s="93"/>
      <c r="AJ426" s="93"/>
      <c r="AK426" s="93"/>
      <c r="AL426" s="93"/>
      <c r="AO426" s="2"/>
      <c r="AP426" s="2"/>
      <c r="AQ426" s="2"/>
      <c r="AR426" s="2"/>
      <c r="AS426" s="2"/>
      <c r="AT426" s="2"/>
      <c r="AU426" s="2"/>
      <c r="AV426" s="2"/>
    </row>
    <row r="427" spans="1:48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97"/>
      <c r="K427" s="97"/>
      <c r="L427" s="97"/>
      <c r="M427" s="97"/>
      <c r="N427" s="97"/>
      <c r="O427" s="97"/>
      <c r="P427" s="97"/>
      <c r="Q427" s="97"/>
      <c r="R427" s="97"/>
      <c r="S427" s="100">
        <f>+S111+S104</f>
        <v>-4378</v>
      </c>
      <c r="T427" s="100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O427" s="2"/>
      <c r="AP427" s="2"/>
      <c r="AQ427" s="2"/>
      <c r="AR427" s="2"/>
      <c r="AS427" s="2"/>
      <c r="AT427" s="2"/>
      <c r="AU427" s="2"/>
      <c r="AV427" s="2"/>
    </row>
    <row r="428" spans="1:48" x14ac:dyDescent="0.2">
      <c r="A428" s="2"/>
      <c r="B428" s="25" t="s">
        <v>328</v>
      </c>
      <c r="C428" s="26"/>
      <c r="D428" s="26"/>
      <c r="E428" s="26"/>
      <c r="F428" s="26"/>
      <c r="G428" s="26"/>
      <c r="H428" s="26"/>
      <c r="I428" s="26">
        <f t="shared" ref="I428:AH428" si="664">I5</f>
        <v>1998</v>
      </c>
      <c r="J428" s="26">
        <f t="shared" si="664"/>
        <v>1999</v>
      </c>
      <c r="K428" s="26">
        <f t="shared" si="664"/>
        <v>2000</v>
      </c>
      <c r="L428" s="26">
        <f t="shared" si="664"/>
        <v>2001</v>
      </c>
      <c r="M428" s="26">
        <f t="shared" si="664"/>
        <v>2002</v>
      </c>
      <c r="N428" s="26">
        <f t="shared" si="664"/>
        <v>2003</v>
      </c>
      <c r="O428" s="26">
        <f t="shared" si="664"/>
        <v>2004</v>
      </c>
      <c r="P428" s="26">
        <f t="shared" si="664"/>
        <v>2005</v>
      </c>
      <c r="Q428" s="26">
        <f t="shared" si="664"/>
        <v>2006</v>
      </c>
      <c r="R428" s="26">
        <f t="shared" si="664"/>
        <v>2007</v>
      </c>
      <c r="S428" s="26">
        <f t="shared" si="664"/>
        <v>2008</v>
      </c>
      <c r="T428" s="26">
        <f t="shared" si="664"/>
        <v>2009</v>
      </c>
      <c r="U428" s="26">
        <f t="shared" si="664"/>
        <v>2010</v>
      </c>
      <c r="V428" s="26">
        <f t="shared" si="664"/>
        <v>2011</v>
      </c>
      <c r="W428" s="26">
        <f t="shared" si="664"/>
        <v>2012</v>
      </c>
      <c r="X428" s="26">
        <f t="shared" si="664"/>
        <v>2013</v>
      </c>
      <c r="Y428" s="26">
        <f t="shared" si="664"/>
        <v>2014</v>
      </c>
      <c r="Z428" s="26">
        <f t="shared" si="664"/>
        <v>2015</v>
      </c>
      <c r="AA428" s="26">
        <f t="shared" si="664"/>
        <v>2016</v>
      </c>
      <c r="AB428" s="26">
        <f t="shared" si="664"/>
        <v>2017</v>
      </c>
      <c r="AC428" s="26">
        <f t="shared" si="664"/>
        <v>2018</v>
      </c>
      <c r="AD428" s="26">
        <f t="shared" si="664"/>
        <v>2019</v>
      </c>
      <c r="AE428" s="26">
        <f t="shared" si="664"/>
        <v>2020</v>
      </c>
      <c r="AF428" s="26">
        <f t="shared" si="664"/>
        <v>2021</v>
      </c>
      <c r="AG428" s="26">
        <f t="shared" si="664"/>
        <v>2022</v>
      </c>
      <c r="AH428" s="26">
        <f t="shared" si="664"/>
        <v>2023</v>
      </c>
      <c r="AI428" s="26">
        <f t="shared" ref="AI428:AL428" si="665">AI5</f>
        <v>2024</v>
      </c>
      <c r="AJ428" s="26">
        <f t="shared" si="665"/>
        <v>2025</v>
      </c>
      <c r="AK428" s="26">
        <f t="shared" si="665"/>
        <v>2026</v>
      </c>
      <c r="AL428" s="26">
        <f t="shared" si="665"/>
        <v>2027</v>
      </c>
      <c r="AO428" s="2"/>
      <c r="AP428" s="2"/>
      <c r="AQ428" s="2"/>
      <c r="AR428" s="2"/>
      <c r="AS428" s="2"/>
      <c r="AT428" s="2"/>
      <c r="AU428" s="2"/>
      <c r="AV428" s="2"/>
    </row>
    <row r="429" spans="1:48" x14ac:dyDescent="0.2">
      <c r="A429" s="2"/>
      <c r="B429" s="2" t="s">
        <v>402</v>
      </c>
      <c r="C429" s="2"/>
      <c r="D429" s="2"/>
      <c r="E429" s="2"/>
      <c r="F429" s="2"/>
      <c r="G429" s="2"/>
      <c r="H429" s="2"/>
      <c r="I429" s="2"/>
      <c r="J429" s="97"/>
      <c r="K429" s="97">
        <f t="shared" ref="K429:Q429" si="666">J433</f>
        <v>284.19600000000003</v>
      </c>
      <c r="L429" s="97">
        <f t="shared" si="666"/>
        <v>310.06799999999998</v>
      </c>
      <c r="M429" s="97">
        <f t="shared" si="666"/>
        <v>377.86500000000001</v>
      </c>
      <c r="N429" s="97">
        <f t="shared" si="666"/>
        <v>365.75599999999997</v>
      </c>
      <c r="O429" s="97">
        <f t="shared" si="666"/>
        <v>344.55399999999997</v>
      </c>
      <c r="P429" s="97">
        <f t="shared" si="666"/>
        <v>368</v>
      </c>
      <c r="Q429" s="97">
        <f t="shared" si="666"/>
        <v>424</v>
      </c>
      <c r="R429" s="97">
        <f>Q433</f>
        <v>689</v>
      </c>
      <c r="S429" s="97">
        <f>R433</f>
        <v>702</v>
      </c>
      <c r="T429" s="97">
        <f>S433</f>
        <v>886</v>
      </c>
      <c r="U429" s="97">
        <f>T433</f>
        <v>723</v>
      </c>
      <c r="V429" s="138">
        <f t="shared" ref="V429:AA429" si="667">U433</f>
        <v>855</v>
      </c>
      <c r="W429" s="97">
        <f t="shared" si="667"/>
        <v>963</v>
      </c>
      <c r="X429" s="97">
        <f t="shared" si="667"/>
        <v>1095</v>
      </c>
      <c r="Y429" s="97">
        <f t="shared" si="667"/>
        <v>1238</v>
      </c>
      <c r="Z429" s="97">
        <f t="shared" si="667"/>
        <v>1454</v>
      </c>
      <c r="AA429" s="97">
        <f t="shared" si="667"/>
        <v>1638</v>
      </c>
      <c r="AB429" s="97">
        <f t="shared" ref="AB429:AL429" si="668">AA433</f>
        <v>1915</v>
      </c>
      <c r="AC429" s="97">
        <f t="shared" si="668"/>
        <v>2000</v>
      </c>
      <c r="AD429" s="97">
        <f t="shared" si="668"/>
        <v>2590.1586233338148</v>
      </c>
      <c r="AE429" s="97">
        <f t="shared" si="668"/>
        <v>3182.3904544294055</v>
      </c>
      <c r="AF429" s="97">
        <f t="shared" si="668"/>
        <v>3771.0545492405636</v>
      </c>
      <c r="AG429" s="97">
        <f t="shared" si="668"/>
        <v>4349.4941615015932</v>
      </c>
      <c r="AH429" s="97">
        <f t="shared" si="668"/>
        <v>4915.2751379029924</v>
      </c>
      <c r="AI429" s="97">
        <f t="shared" si="668"/>
        <v>5528.5261876057339</v>
      </c>
      <c r="AJ429" s="97">
        <f t="shared" si="668"/>
        <v>6185.3450447276664</v>
      </c>
      <c r="AK429" s="97">
        <f t="shared" si="668"/>
        <v>6888.4711745414879</v>
      </c>
      <c r="AL429" s="97">
        <f t="shared" si="668"/>
        <v>7603.8910724564803</v>
      </c>
      <c r="AO429" s="2"/>
      <c r="AP429" s="2"/>
      <c r="AQ429" s="2"/>
      <c r="AR429" s="2"/>
      <c r="AS429" s="2"/>
      <c r="AT429" s="2"/>
      <c r="AU429" s="2"/>
      <c r="AV429" s="2"/>
    </row>
    <row r="430" spans="1:48" x14ac:dyDescent="0.2">
      <c r="A430" s="2"/>
      <c r="B430" s="2" t="s">
        <v>245</v>
      </c>
      <c r="C430" s="2"/>
      <c r="D430" s="2"/>
      <c r="E430" s="2"/>
      <c r="F430" s="2"/>
      <c r="G430" s="2"/>
      <c r="H430" s="2"/>
      <c r="I430" s="97"/>
      <c r="J430" s="97">
        <f t="shared" ref="J430:S430" si="669">-J205</f>
        <v>101.349</v>
      </c>
      <c r="K430" s="97">
        <f t="shared" si="669"/>
        <v>124.815</v>
      </c>
      <c r="L430" s="97">
        <f t="shared" si="669"/>
        <v>159.733</v>
      </c>
      <c r="M430" s="97">
        <f t="shared" si="669"/>
        <v>114.133</v>
      </c>
      <c r="N430" s="97">
        <f t="shared" si="669"/>
        <v>109.673</v>
      </c>
      <c r="O430" s="97">
        <f t="shared" si="669"/>
        <v>116.76300000000001</v>
      </c>
      <c r="P430" s="97">
        <f t="shared" si="669"/>
        <v>188</v>
      </c>
      <c r="Q430" s="97">
        <f t="shared" si="669"/>
        <v>202</v>
      </c>
      <c r="R430" s="97">
        <f t="shared" si="669"/>
        <v>230</v>
      </c>
      <c r="S430" s="97">
        <f t="shared" si="669"/>
        <v>316</v>
      </c>
      <c r="T430" s="97">
        <f>T503</f>
        <v>195</v>
      </c>
      <c r="U430" s="97">
        <f>U503</f>
        <v>227</v>
      </c>
      <c r="V430" s="138">
        <f t="shared" ref="V430:AA430" si="670">V503</f>
        <v>318</v>
      </c>
      <c r="W430" s="97">
        <f t="shared" si="670"/>
        <v>376</v>
      </c>
      <c r="X430" s="97">
        <f t="shared" si="670"/>
        <v>428.4</v>
      </c>
      <c r="Y430" s="97">
        <f>Y503</f>
        <v>506</v>
      </c>
      <c r="Z430" s="97">
        <f t="shared" si="670"/>
        <v>464</v>
      </c>
      <c r="AA430" s="97">
        <f t="shared" si="670"/>
        <v>586</v>
      </c>
      <c r="AB430" s="97">
        <f t="shared" ref="AB430:AH430" si="671">AB503</f>
        <v>680.5</v>
      </c>
      <c r="AC430" s="97">
        <f t="shared" si="671"/>
        <v>896.16919822273564</v>
      </c>
      <c r="AD430" s="97">
        <f t="shared" si="671"/>
        <v>931.79354155225042</v>
      </c>
      <c r="AE430" s="97">
        <f t="shared" si="671"/>
        <v>954.63488447799853</v>
      </c>
      <c r="AF430" s="97">
        <f t="shared" si="671"/>
        <v>965.13240801065626</v>
      </c>
      <c r="AG430" s="97">
        <f t="shared" si="671"/>
        <v>968.59703289725053</v>
      </c>
      <c r="AH430" s="97">
        <f t="shared" si="671"/>
        <v>1031.0031027230905</v>
      </c>
      <c r="AI430" s="97">
        <f t="shared" ref="AI430:AL430" si="672">AI503</f>
        <v>1090.6659398009469</v>
      </c>
      <c r="AJ430" s="97">
        <f t="shared" si="672"/>
        <v>1153.9473787541372</v>
      </c>
      <c r="AK430" s="97">
        <f t="shared" si="672"/>
        <v>1182.9154542697656</v>
      </c>
      <c r="AL430" s="97">
        <f t="shared" si="672"/>
        <v>1210.2581745385821</v>
      </c>
      <c r="AO430" s="2"/>
      <c r="AP430" s="2"/>
      <c r="AQ430" s="2"/>
      <c r="AR430" s="2"/>
      <c r="AS430" s="2"/>
      <c r="AT430" s="2"/>
      <c r="AU430" s="2"/>
      <c r="AV430" s="2"/>
    </row>
    <row r="431" spans="1:48" x14ac:dyDescent="0.2">
      <c r="A431" s="2"/>
      <c r="B431" s="2" t="s">
        <v>328</v>
      </c>
      <c r="C431" s="2"/>
      <c r="D431" s="2"/>
      <c r="E431" s="2"/>
      <c r="F431" s="2"/>
      <c r="G431" s="2"/>
      <c r="H431" s="2"/>
      <c r="I431" s="2"/>
      <c r="J431" s="156">
        <v>-65.463999999999999</v>
      </c>
      <c r="K431" s="156">
        <v>-74</v>
      </c>
      <c r="L431" s="156">
        <v>-79.831000000000003</v>
      </c>
      <c r="M431" s="156">
        <v>-83.647999999999996</v>
      </c>
      <c r="N431" s="20">
        <v>-82.843999999999994</v>
      </c>
      <c r="O431" s="20">
        <v>-83</v>
      </c>
      <c r="P431" s="20">
        <v>-92</v>
      </c>
      <c r="Q431" s="138">
        <f>-(129-11)</f>
        <v>-118</v>
      </c>
      <c r="R431" s="97">
        <f>-(145-3)</f>
        <v>-142</v>
      </c>
      <c r="S431" s="97">
        <f>-(165-6)</f>
        <v>-159</v>
      </c>
      <c r="T431" s="97">
        <f>-198+16</f>
        <v>-182</v>
      </c>
      <c r="U431" s="97">
        <f>-194+10</f>
        <v>-184</v>
      </c>
      <c r="V431" s="138">
        <f>-205</f>
        <v>-205</v>
      </c>
      <c r="W431" s="69">
        <v>-214</v>
      </c>
      <c r="X431" s="156">
        <v>-234</v>
      </c>
      <c r="Y431" s="138">
        <v>-258</v>
      </c>
      <c r="Z431" s="138">
        <v>-279</v>
      </c>
      <c r="AA431" s="237">
        <v>-303</v>
      </c>
      <c r="AB431" s="226">
        <v>-358</v>
      </c>
      <c r="AC431" s="138">
        <f t="shared" ref="AC431:AH431" si="673">-(AC429+AC430*0.5)/AC435</f>
        <v>-306.01057488892098</v>
      </c>
      <c r="AD431" s="138">
        <f t="shared" si="673"/>
        <v>-339.56171045666002</v>
      </c>
      <c r="AE431" s="138">
        <f t="shared" si="673"/>
        <v>-365.97078966684046</v>
      </c>
      <c r="AF431" s="138">
        <f t="shared" si="673"/>
        <v>-386.69279574962655</v>
      </c>
      <c r="AG431" s="138">
        <f t="shared" si="673"/>
        <v>-402.81605649585157</v>
      </c>
      <c r="AH431" s="138">
        <f t="shared" si="673"/>
        <v>-417.75205302034908</v>
      </c>
      <c r="AI431" s="138">
        <f t="shared" ref="AI431:AL431" si="674">-(AI429+AI430*0.5)/AI435</f>
        <v>-433.84708267901482</v>
      </c>
      <c r="AJ431" s="138">
        <f t="shared" si="674"/>
        <v>-450.82124894031568</v>
      </c>
      <c r="AK431" s="138">
        <f t="shared" si="674"/>
        <v>-467.49555635477316</v>
      </c>
      <c r="AL431" s="138">
        <f t="shared" si="674"/>
        <v>-482.88353880739828</v>
      </c>
      <c r="AO431" s="2"/>
      <c r="AP431" s="2"/>
      <c r="AQ431" s="2"/>
      <c r="AR431" s="2"/>
      <c r="AS431" s="2"/>
      <c r="AT431" s="2"/>
      <c r="AU431" s="2"/>
      <c r="AV431" s="2"/>
    </row>
    <row r="432" spans="1:48" x14ac:dyDescent="0.2">
      <c r="A432" s="2"/>
      <c r="B432" s="2" t="s">
        <v>324</v>
      </c>
      <c r="C432" s="2"/>
      <c r="D432" s="2"/>
      <c r="E432" s="2"/>
      <c r="F432" s="2"/>
      <c r="G432" s="2"/>
      <c r="H432" s="2"/>
      <c r="I432" s="2"/>
      <c r="J432" s="97">
        <f t="shared" ref="J432:Q432" si="675">J433-J431-J430-J429</f>
        <v>248.31100000000004</v>
      </c>
      <c r="K432" s="97">
        <f t="shared" si="675"/>
        <v>-24.94300000000004</v>
      </c>
      <c r="L432" s="97">
        <f t="shared" si="675"/>
        <v>-12.104999999999961</v>
      </c>
      <c r="M432" s="97">
        <f t="shared" si="675"/>
        <v>-42.593999999999994</v>
      </c>
      <c r="N432" s="97">
        <f t="shared" si="675"/>
        <v>-48.031000000000006</v>
      </c>
      <c r="O432" s="97">
        <f t="shared" si="675"/>
        <v>-10.317000000000007</v>
      </c>
      <c r="P432" s="97">
        <f t="shared" si="675"/>
        <v>-40</v>
      </c>
      <c r="Q432" s="97">
        <f t="shared" si="675"/>
        <v>181</v>
      </c>
      <c r="R432" s="97">
        <f t="shared" ref="R432:W432" si="676">R433-R431-R430-R429</f>
        <v>-75</v>
      </c>
      <c r="S432" s="97">
        <f t="shared" si="676"/>
        <v>27</v>
      </c>
      <c r="T432" s="97">
        <f t="shared" si="676"/>
        <v>-176</v>
      </c>
      <c r="U432" s="97">
        <f t="shared" si="676"/>
        <v>89</v>
      </c>
      <c r="V432" s="138">
        <f t="shared" si="676"/>
        <v>-5</v>
      </c>
      <c r="W432" s="138">
        <f t="shared" si="676"/>
        <v>-30</v>
      </c>
      <c r="X432" s="138">
        <f>X433-X431-X430-X429</f>
        <v>-51.400000000000091</v>
      </c>
      <c r="Y432" s="138">
        <f>Y433-Y431-Y430-Y429</f>
        <v>-32</v>
      </c>
      <c r="Z432" s="138">
        <f>Z433-Z431-Z430-Z429</f>
        <v>-1</v>
      </c>
      <c r="AA432" s="138">
        <f>AA433-AA431-AA430-AA429</f>
        <v>-6</v>
      </c>
      <c r="AB432" s="138">
        <f>AB433-AB431-AB430-AB429</f>
        <v>-237.5</v>
      </c>
      <c r="AC432" s="138">
        <v>0</v>
      </c>
      <c r="AD432" s="138">
        <v>0</v>
      </c>
      <c r="AE432" s="138">
        <v>0</v>
      </c>
      <c r="AF432" s="138">
        <v>0</v>
      </c>
      <c r="AG432" s="138">
        <v>0</v>
      </c>
      <c r="AH432" s="138">
        <v>0</v>
      </c>
      <c r="AI432" s="138">
        <v>0</v>
      </c>
      <c r="AJ432" s="138">
        <v>0</v>
      </c>
      <c r="AK432" s="138">
        <v>0</v>
      </c>
      <c r="AL432" s="138">
        <v>0</v>
      </c>
      <c r="AO432" s="2"/>
      <c r="AP432" s="2"/>
      <c r="AQ432" s="2"/>
      <c r="AR432" s="2"/>
      <c r="AS432" s="2"/>
      <c r="AT432" s="2"/>
      <c r="AU432" s="2"/>
      <c r="AV432" s="2"/>
    </row>
    <row r="433" spans="1:48" x14ac:dyDescent="0.2">
      <c r="A433" s="2"/>
      <c r="B433" s="11" t="s">
        <v>404</v>
      </c>
      <c r="C433" s="2"/>
      <c r="D433" s="2"/>
      <c r="E433" s="2"/>
      <c r="F433" s="2"/>
      <c r="G433" s="2"/>
      <c r="H433" s="2"/>
      <c r="I433" s="2"/>
      <c r="J433" s="69">
        <v>284.19600000000003</v>
      </c>
      <c r="K433" s="69">
        <v>310.06799999999998</v>
      </c>
      <c r="L433" s="69">
        <v>377.86500000000001</v>
      </c>
      <c r="M433" s="69">
        <v>365.75599999999997</v>
      </c>
      <c r="N433" s="15">
        <v>344.55399999999997</v>
      </c>
      <c r="O433" s="20">
        <v>368</v>
      </c>
      <c r="P433" s="15">
        <v>424</v>
      </c>
      <c r="Q433" s="97">
        <v>689</v>
      </c>
      <c r="R433" s="97">
        <v>702</v>
      </c>
      <c r="S433" s="97">
        <v>886</v>
      </c>
      <c r="T433" s="97">
        <v>723</v>
      </c>
      <c r="U433" s="97">
        <v>855</v>
      </c>
      <c r="V433" s="138">
        <v>963</v>
      </c>
      <c r="W433" s="97">
        <v>1095</v>
      </c>
      <c r="X433" s="97">
        <v>1238</v>
      </c>
      <c r="Y433" s="97">
        <v>1454</v>
      </c>
      <c r="Z433" s="97">
        <v>1638</v>
      </c>
      <c r="AA433" s="226">
        <v>1915</v>
      </c>
      <c r="AB433" s="226">
        <v>2000</v>
      </c>
      <c r="AC433" s="97">
        <f t="shared" ref="AC433:AH433" si="677">AC429+AC430+AC431+AC432</f>
        <v>2590.1586233338148</v>
      </c>
      <c r="AD433" s="97">
        <f t="shared" si="677"/>
        <v>3182.3904544294055</v>
      </c>
      <c r="AE433" s="97">
        <f t="shared" si="677"/>
        <v>3771.0545492405636</v>
      </c>
      <c r="AF433" s="97">
        <f t="shared" si="677"/>
        <v>4349.4941615015932</v>
      </c>
      <c r="AG433" s="97">
        <f t="shared" si="677"/>
        <v>4915.2751379029924</v>
      </c>
      <c r="AH433" s="97">
        <f t="shared" si="677"/>
        <v>5528.5261876057339</v>
      </c>
      <c r="AI433" s="97">
        <f t="shared" ref="AI433:AL433" si="678">AI429+AI430+AI431+AI432</f>
        <v>6185.3450447276664</v>
      </c>
      <c r="AJ433" s="97">
        <f t="shared" si="678"/>
        <v>6888.4711745414879</v>
      </c>
      <c r="AK433" s="97">
        <f t="shared" si="678"/>
        <v>7603.8910724564803</v>
      </c>
      <c r="AL433" s="97">
        <f t="shared" si="678"/>
        <v>8331.2657081876641</v>
      </c>
      <c r="AO433" s="2"/>
      <c r="AP433" s="2"/>
      <c r="AQ433" s="2"/>
      <c r="AR433" s="2"/>
      <c r="AS433" s="2"/>
      <c r="AT433" s="2"/>
      <c r="AU433" s="2"/>
      <c r="AV433" s="2"/>
    </row>
    <row r="434" spans="1:48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>
        <f>Z431-Y431</f>
        <v>-21</v>
      </c>
      <c r="AA434" s="97">
        <f>AA431-Z431</f>
        <v>-24</v>
      </c>
      <c r="AB434" s="97">
        <f t="shared" ref="AB434:AL434" si="679">AB431-AA431</f>
        <v>-55</v>
      </c>
      <c r="AC434" s="97">
        <f t="shared" si="679"/>
        <v>51.989425111079015</v>
      </c>
      <c r="AD434" s="97">
        <f t="shared" si="679"/>
        <v>-33.551135567739038</v>
      </c>
      <c r="AE434" s="97">
        <f t="shared" si="679"/>
        <v>-26.409079210180437</v>
      </c>
      <c r="AF434" s="97">
        <f t="shared" si="679"/>
        <v>-20.722006082786095</v>
      </c>
      <c r="AG434" s="97">
        <f t="shared" si="679"/>
        <v>-16.123260746225014</v>
      </c>
      <c r="AH434" s="97">
        <f t="shared" si="679"/>
        <v>-14.935996524497511</v>
      </c>
      <c r="AI434" s="97">
        <f t="shared" si="679"/>
        <v>-16.095029658665737</v>
      </c>
      <c r="AJ434" s="97">
        <f t="shared" si="679"/>
        <v>-16.974166261300866</v>
      </c>
      <c r="AK434" s="97">
        <f t="shared" si="679"/>
        <v>-16.674307414457473</v>
      </c>
      <c r="AL434" s="97">
        <f t="shared" si="679"/>
        <v>-15.387982452625124</v>
      </c>
      <c r="AM434" s="97"/>
      <c r="AN434" s="97"/>
      <c r="AO434" s="2"/>
      <c r="AP434" s="2"/>
      <c r="AQ434" s="2"/>
      <c r="AR434" s="2"/>
      <c r="AS434" s="2"/>
      <c r="AT434" s="2"/>
      <c r="AU434" s="2"/>
      <c r="AV434" s="2"/>
    </row>
    <row r="435" spans="1:48" x14ac:dyDescent="0.2">
      <c r="A435" s="2"/>
      <c r="B435" s="2" t="s">
        <v>405</v>
      </c>
      <c r="C435" s="2"/>
      <c r="D435" s="2"/>
      <c r="E435" s="2"/>
      <c r="F435" s="2"/>
      <c r="G435" s="2"/>
      <c r="H435" s="2"/>
      <c r="I435" s="2"/>
      <c r="J435" s="97"/>
      <c r="K435" s="97">
        <f>-1/(K431/(K429+K430*0.5))</f>
        <v>4.6838310810810819</v>
      </c>
      <c r="L435" s="97">
        <f t="shared" ref="L435:V435" si="680">-1/(L431/(L429+L430*0.5))</f>
        <v>4.8844997557339873</v>
      </c>
      <c r="M435" s="97">
        <f t="shared" si="680"/>
        <v>5.1995445198928856</v>
      </c>
      <c r="N435" s="97">
        <f t="shared" si="680"/>
        <v>5.0769216841292071</v>
      </c>
      <c r="O435" s="97">
        <f t="shared" si="680"/>
        <v>4.8546445783132528</v>
      </c>
      <c r="P435" s="97">
        <f t="shared" si="680"/>
        <v>5.0217391304347823</v>
      </c>
      <c r="Q435" s="97">
        <f t="shared" si="680"/>
        <v>4.4491525423728815</v>
      </c>
      <c r="R435" s="97">
        <f t="shared" si="680"/>
        <v>5.6619718309859151</v>
      </c>
      <c r="S435" s="97">
        <f t="shared" si="680"/>
        <v>5.4088050314465406</v>
      </c>
      <c r="T435" s="97">
        <f t="shared" si="680"/>
        <v>5.4038461538461542</v>
      </c>
      <c r="U435" s="97">
        <f t="shared" si="680"/>
        <v>4.5461956521739131</v>
      </c>
      <c r="V435" s="97">
        <f t="shared" si="680"/>
        <v>4.9463414634146341</v>
      </c>
      <c r="W435" s="97">
        <f t="shared" ref="W435:AB435" si="681">-1/(W431/(W429+W430*0.5))</f>
        <v>5.3785046728971961</v>
      </c>
      <c r="X435" s="97">
        <f t="shared" si="681"/>
        <v>5.5948717948717945</v>
      </c>
      <c r="Y435" s="97">
        <f t="shared" si="681"/>
        <v>5.779069767441861</v>
      </c>
      <c r="Z435" s="97">
        <f t="shared" si="681"/>
        <v>6.043010752688172</v>
      </c>
      <c r="AA435" s="97">
        <f t="shared" si="681"/>
        <v>6.3729372937293727</v>
      </c>
      <c r="AB435" s="97">
        <f t="shared" si="681"/>
        <v>6.2995810055865915</v>
      </c>
      <c r="AC435" s="133">
        <v>8</v>
      </c>
      <c r="AD435" s="133">
        <v>9</v>
      </c>
      <c r="AE435" s="133">
        <v>10</v>
      </c>
      <c r="AF435" s="133">
        <v>11</v>
      </c>
      <c r="AG435" s="133">
        <v>12</v>
      </c>
      <c r="AH435" s="133">
        <v>13</v>
      </c>
      <c r="AI435" s="133">
        <v>14</v>
      </c>
      <c r="AJ435" s="133">
        <v>15</v>
      </c>
      <c r="AK435" s="133">
        <v>16</v>
      </c>
      <c r="AL435" s="133">
        <v>17</v>
      </c>
      <c r="AO435" s="2"/>
      <c r="AP435" s="2"/>
      <c r="AQ435" s="2"/>
      <c r="AR435" s="2"/>
      <c r="AS435" s="2"/>
      <c r="AT435" s="2"/>
      <c r="AU435" s="2"/>
      <c r="AV435" s="2"/>
    </row>
    <row r="436" spans="1:48" x14ac:dyDescent="0.2">
      <c r="A436" s="2"/>
      <c r="B436" s="11"/>
      <c r="C436" s="2"/>
      <c r="D436" s="2"/>
      <c r="E436" s="2"/>
      <c r="F436" s="2"/>
      <c r="G436" s="2"/>
      <c r="H436" s="2"/>
      <c r="I436" s="2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O436" s="2"/>
      <c r="AP436" s="2"/>
      <c r="AQ436" s="2"/>
      <c r="AR436" s="2"/>
      <c r="AS436" s="2"/>
      <c r="AT436" s="2"/>
      <c r="AU436" s="2"/>
      <c r="AV436" s="2"/>
    </row>
    <row r="437" spans="1:48" x14ac:dyDescent="0.2">
      <c r="A437" s="2"/>
      <c r="B437" s="2" t="s">
        <v>7</v>
      </c>
      <c r="C437" s="2"/>
      <c r="D437" s="2"/>
      <c r="E437" s="2"/>
      <c r="F437" s="2"/>
      <c r="G437" s="2"/>
      <c r="H437" s="2"/>
      <c r="I437" s="2"/>
      <c r="J437" s="97"/>
      <c r="K437" s="97">
        <f t="shared" ref="K437:Y437" si="682">-K431/K511%</f>
        <v>49.539085669145848</v>
      </c>
      <c r="L437" s="97">
        <f t="shared" si="682"/>
        <v>39.505629098107136</v>
      </c>
      <c r="M437" s="97">
        <f t="shared" si="682"/>
        <v>27.318717279624291</v>
      </c>
      <c r="N437" s="97">
        <f t="shared" si="682"/>
        <v>57.250267786185688</v>
      </c>
      <c r="O437" s="97">
        <f t="shared" si="682"/>
        <v>51.441604482237153</v>
      </c>
      <c r="P437" s="97">
        <f t="shared" si="682"/>
        <v>44.019138755980862</v>
      </c>
      <c r="Q437" s="97">
        <f t="shared" si="682"/>
        <v>43.065693430656928</v>
      </c>
      <c r="R437" s="97">
        <f t="shared" si="682"/>
        <v>51.636363636363633</v>
      </c>
      <c r="S437" s="97">
        <f t="shared" si="682"/>
        <v>43.20652173913043</v>
      </c>
      <c r="T437" s="97">
        <f t="shared" si="682"/>
        <v>78.787878787878782</v>
      </c>
      <c r="U437" s="97">
        <f t="shared" si="682"/>
        <v>73.015873015873012</v>
      </c>
      <c r="V437" s="97">
        <f t="shared" si="682"/>
        <v>54.521276595744681</v>
      </c>
      <c r="W437" s="97">
        <f t="shared" si="682"/>
        <v>49.422632794457272</v>
      </c>
      <c r="X437" s="97">
        <f t="shared" si="682"/>
        <v>48.851774530271399</v>
      </c>
      <c r="Y437" s="97">
        <f t="shared" si="682"/>
        <v>46.570397111913358</v>
      </c>
      <c r="Z437" s="97">
        <f t="shared" ref="Z437:AH437" si="683">-Z431/Z511%</f>
        <v>54.385964912280706</v>
      </c>
      <c r="AA437" s="97">
        <f t="shared" si="683"/>
        <v>46.543778801843317</v>
      </c>
      <c r="AB437" s="97">
        <f t="shared" si="683"/>
        <v>47.41721854304636</v>
      </c>
      <c r="AC437" s="97">
        <f t="shared" si="683"/>
        <v>31.453310145842671</v>
      </c>
      <c r="AD437" s="97">
        <f t="shared" si="683"/>
        <v>33.643425411593604</v>
      </c>
      <c r="AE437" s="97">
        <f t="shared" si="683"/>
        <v>35.430965877320034</v>
      </c>
      <c r="AF437" s="97">
        <f t="shared" si="683"/>
        <v>37.060491726440389</v>
      </c>
      <c r="AG437" s="97">
        <f t="shared" si="683"/>
        <v>38.477973483191406</v>
      </c>
      <c r="AH437" s="97">
        <f t="shared" si="683"/>
        <v>37.659731868960954</v>
      </c>
      <c r="AI437" s="97">
        <f t="shared" ref="AI437:AL437" si="684">-AI431/AI511%</f>
        <v>37.114467206616368</v>
      </c>
      <c r="AJ437" s="97">
        <f t="shared" si="684"/>
        <v>36.585959510683253</v>
      </c>
      <c r="AK437" s="97">
        <f t="shared" si="684"/>
        <v>37.0677303312508</v>
      </c>
      <c r="AL437" s="97">
        <f t="shared" si="684"/>
        <v>37.475375789394946</v>
      </c>
      <c r="AO437" s="2"/>
      <c r="AP437" s="2"/>
      <c r="AQ437" s="2"/>
      <c r="AR437" s="2"/>
      <c r="AS437" s="2"/>
      <c r="AT437" s="2"/>
      <c r="AU437" s="2"/>
      <c r="AV437" s="2"/>
    </row>
    <row r="438" spans="1:48" x14ac:dyDescent="0.2">
      <c r="A438" s="2"/>
      <c r="B438" s="2" t="s">
        <v>28</v>
      </c>
      <c r="C438" s="2"/>
      <c r="D438" s="2"/>
      <c r="E438" s="2"/>
      <c r="F438" s="2"/>
      <c r="G438" s="2"/>
      <c r="H438" s="2"/>
      <c r="I438" s="2"/>
      <c r="J438" s="97"/>
      <c r="K438" s="97">
        <f t="shared" ref="K438:Y438" si="685">-K431/K416%</f>
        <v>1.268251466844222</v>
      </c>
      <c r="L438" s="97">
        <f t="shared" si="685"/>
        <v>1.3060613214531178</v>
      </c>
      <c r="M438" s="97">
        <f t="shared" si="685"/>
        <v>1.2822723789472974</v>
      </c>
      <c r="N438" s="97">
        <f t="shared" si="685"/>
        <v>1.3219505967958127</v>
      </c>
      <c r="O438" s="97">
        <f t="shared" si="685"/>
        <v>1.4163803189347182</v>
      </c>
      <c r="P438" s="97">
        <f t="shared" si="685"/>
        <v>1.3863773357444245</v>
      </c>
      <c r="Q438" s="97">
        <f t="shared" si="685"/>
        <v>1.1701705672352241</v>
      </c>
      <c r="R438" s="97">
        <f t="shared" si="685"/>
        <v>1.3787746383143995</v>
      </c>
      <c r="S438" s="97">
        <f t="shared" si="685"/>
        <v>1.4723585517177518</v>
      </c>
      <c r="T438" s="97">
        <f t="shared" si="685"/>
        <v>1.7532029669588671</v>
      </c>
      <c r="U438" s="97">
        <f t="shared" si="685"/>
        <v>1.5346121768140115</v>
      </c>
      <c r="V438" s="138">
        <f t="shared" si="685"/>
        <v>1.5388079867887705</v>
      </c>
      <c r="W438" s="138">
        <f>-W431/W416%</f>
        <v>1.4378821474165153</v>
      </c>
      <c r="X438" s="138">
        <f t="shared" si="685"/>
        <v>1.6475392522706471</v>
      </c>
      <c r="Y438" s="138">
        <f t="shared" si="685"/>
        <v>1.7751601428384673</v>
      </c>
      <c r="Z438" s="138">
        <f t="shared" ref="Z438:AH438" si="686">-Z431/Z416%</f>
        <v>1.6494187478767246</v>
      </c>
      <c r="AA438" s="138">
        <f t="shared" si="686"/>
        <v>1.6393442622950818</v>
      </c>
      <c r="AB438" s="138">
        <f t="shared" si="686"/>
        <v>1.6873262006881276</v>
      </c>
      <c r="AC438" s="138">
        <f t="shared" si="686"/>
        <v>1.365860712444904</v>
      </c>
      <c r="AD438" s="138">
        <f t="shared" si="686"/>
        <v>1.3847858374139121</v>
      </c>
      <c r="AE438" s="138">
        <f t="shared" si="686"/>
        <v>1.3801033926400477</v>
      </c>
      <c r="AF438" s="138">
        <f t="shared" si="686"/>
        <v>1.3622540230088449</v>
      </c>
      <c r="AG438" s="138">
        <f t="shared" si="686"/>
        <v>1.3308025288194996</v>
      </c>
      <c r="AH438" s="138">
        <f t="shared" si="686"/>
        <v>1.29660770771139</v>
      </c>
      <c r="AI438" s="138">
        <f t="shared" ref="AI438:AL438" si="687">-AI431/AI416%</f>
        <v>1.2729018243901724</v>
      </c>
      <c r="AJ438" s="138">
        <f t="shared" si="687"/>
        <v>1.2501679220126556</v>
      </c>
      <c r="AK438" s="138">
        <f t="shared" si="687"/>
        <v>1.2251393110714204</v>
      </c>
      <c r="AL438" s="138">
        <f t="shared" si="687"/>
        <v>1.1969765186461154</v>
      </c>
      <c r="AO438" s="2"/>
      <c r="AP438" s="2"/>
      <c r="AQ438" s="2"/>
      <c r="AR438" s="2"/>
      <c r="AS438" s="2"/>
      <c r="AT438" s="2"/>
      <c r="AU438" s="2"/>
      <c r="AV438" s="2"/>
    </row>
    <row r="439" spans="1:48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O439" s="2"/>
      <c r="AP439" s="2"/>
      <c r="AQ439" s="2"/>
      <c r="AR439" s="2"/>
      <c r="AS439" s="2"/>
      <c r="AT439" s="2"/>
      <c r="AU439" s="2"/>
      <c r="AV439" s="2"/>
    </row>
    <row r="440" spans="1:48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O440" s="2"/>
      <c r="AP440" s="2"/>
      <c r="AQ440" s="2"/>
      <c r="AR440" s="2"/>
      <c r="AS440" s="2"/>
      <c r="AT440" s="2"/>
      <c r="AU440" s="2"/>
      <c r="AV440" s="2"/>
    </row>
    <row r="441" spans="1:48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O441" s="2"/>
      <c r="AP441" s="2"/>
      <c r="AQ441" s="2"/>
      <c r="AR441" s="2"/>
      <c r="AS441" s="2"/>
      <c r="AT441" s="2"/>
      <c r="AU441" s="2"/>
      <c r="AV441" s="2"/>
    </row>
    <row r="442" spans="1:48" x14ac:dyDescent="0.2">
      <c r="A442" s="2"/>
      <c r="B442" s="25" t="s">
        <v>329</v>
      </c>
      <c r="C442" s="38"/>
      <c r="D442" s="38"/>
      <c r="E442" s="38"/>
      <c r="F442" s="38"/>
      <c r="G442" s="38"/>
      <c r="H442" s="38"/>
      <c r="I442" s="38">
        <f>I428</f>
        <v>1998</v>
      </c>
      <c r="J442" s="38">
        <f t="shared" ref="J442:AC442" si="688">J428</f>
        <v>1999</v>
      </c>
      <c r="K442" s="38">
        <f t="shared" si="688"/>
        <v>2000</v>
      </c>
      <c r="L442" s="38">
        <f t="shared" si="688"/>
        <v>2001</v>
      </c>
      <c r="M442" s="38">
        <f t="shared" si="688"/>
        <v>2002</v>
      </c>
      <c r="N442" s="38">
        <f t="shared" si="688"/>
        <v>2003</v>
      </c>
      <c r="O442" s="38">
        <f t="shared" si="688"/>
        <v>2004</v>
      </c>
      <c r="P442" s="38">
        <f t="shared" si="688"/>
        <v>2005</v>
      </c>
      <c r="Q442" s="38">
        <f t="shared" si="688"/>
        <v>2006</v>
      </c>
      <c r="R442" s="38">
        <f t="shared" si="688"/>
        <v>2007</v>
      </c>
      <c r="S442" s="38">
        <f t="shared" si="688"/>
        <v>2008</v>
      </c>
      <c r="T442" s="38">
        <f t="shared" si="688"/>
        <v>2009</v>
      </c>
      <c r="U442" s="38">
        <f t="shared" si="688"/>
        <v>2010</v>
      </c>
      <c r="V442" s="38">
        <f t="shared" si="688"/>
        <v>2011</v>
      </c>
      <c r="W442" s="38">
        <f t="shared" si="688"/>
        <v>2012</v>
      </c>
      <c r="X442" s="38">
        <f t="shared" si="688"/>
        <v>2013</v>
      </c>
      <c r="Y442" s="38">
        <f t="shared" si="688"/>
        <v>2014</v>
      </c>
      <c r="Z442" s="38">
        <f t="shared" si="688"/>
        <v>2015</v>
      </c>
      <c r="AA442" s="38">
        <f t="shared" si="688"/>
        <v>2016</v>
      </c>
      <c r="AB442" s="38">
        <f t="shared" si="688"/>
        <v>2017</v>
      </c>
      <c r="AC442" s="38">
        <f t="shared" si="688"/>
        <v>2018</v>
      </c>
      <c r="AD442" s="38">
        <f t="shared" ref="AD442:AL442" si="689">AD428</f>
        <v>2019</v>
      </c>
      <c r="AE442" s="38">
        <f t="shared" si="689"/>
        <v>2020</v>
      </c>
      <c r="AF442" s="38">
        <f t="shared" si="689"/>
        <v>2021</v>
      </c>
      <c r="AG442" s="38">
        <f t="shared" si="689"/>
        <v>2022</v>
      </c>
      <c r="AH442" s="38">
        <f t="shared" si="689"/>
        <v>2023</v>
      </c>
      <c r="AI442" s="38">
        <f t="shared" si="689"/>
        <v>2024</v>
      </c>
      <c r="AJ442" s="38">
        <f t="shared" si="689"/>
        <v>2025</v>
      </c>
      <c r="AK442" s="38">
        <f t="shared" si="689"/>
        <v>2026</v>
      </c>
      <c r="AL442" s="38">
        <f t="shared" si="689"/>
        <v>2027</v>
      </c>
      <c r="AO442" s="2"/>
      <c r="AP442" s="2"/>
      <c r="AQ442" s="2"/>
      <c r="AR442" s="2"/>
      <c r="AS442" s="2"/>
      <c r="AT442" s="2"/>
      <c r="AU442" s="2"/>
      <c r="AV442" s="2"/>
    </row>
    <row r="443" spans="1:48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O443" s="2"/>
      <c r="AP443" s="2"/>
      <c r="AQ443" s="2"/>
      <c r="AR443" s="2"/>
      <c r="AS443" s="2"/>
      <c r="AT443" s="2"/>
      <c r="AU443" s="2"/>
      <c r="AV443" s="2"/>
    </row>
    <row r="444" spans="1:48" x14ac:dyDescent="0.2">
      <c r="A444" s="2"/>
      <c r="B444" s="2" t="s">
        <v>31</v>
      </c>
      <c r="C444" s="2"/>
      <c r="D444" s="2"/>
      <c r="E444" s="2"/>
      <c r="F444" s="2"/>
      <c r="G444" s="2"/>
      <c r="H444" s="2"/>
      <c r="I444" s="2"/>
      <c r="J444" s="97"/>
      <c r="K444" s="97">
        <f t="shared" ref="K444:Q444" si="690">J448</f>
        <v>73.399000000000001</v>
      </c>
      <c r="L444" s="97">
        <f t="shared" si="690"/>
        <v>77.632999999999996</v>
      </c>
      <c r="M444" s="97">
        <f t="shared" si="690"/>
        <v>91.131</v>
      </c>
      <c r="N444" s="97">
        <f t="shared" si="690"/>
        <v>155.495</v>
      </c>
      <c r="O444" s="97">
        <f t="shared" si="690"/>
        <v>103.79700000000001</v>
      </c>
      <c r="P444" s="97">
        <f t="shared" si="690"/>
        <v>96</v>
      </c>
      <c r="Q444" s="97">
        <f t="shared" si="690"/>
        <v>91</v>
      </c>
      <c r="R444" s="97">
        <f>Q448</f>
        <v>1677</v>
      </c>
      <c r="S444" s="97">
        <f t="shared" ref="S444:AC444" si="691">R448</f>
        <v>1485</v>
      </c>
      <c r="T444" s="97">
        <f t="shared" si="691"/>
        <v>1594</v>
      </c>
      <c r="U444" s="97">
        <f t="shared" si="691"/>
        <v>1502</v>
      </c>
      <c r="V444" s="97">
        <f t="shared" si="691"/>
        <v>1589</v>
      </c>
      <c r="W444" s="97">
        <f t="shared" si="691"/>
        <v>1663</v>
      </c>
      <c r="X444" s="97">
        <f t="shared" si="691"/>
        <v>1651</v>
      </c>
      <c r="Y444" s="97">
        <f t="shared" si="691"/>
        <v>1583</v>
      </c>
      <c r="Z444" s="97">
        <f t="shared" si="691"/>
        <v>1594</v>
      </c>
      <c r="AA444" s="97">
        <f t="shared" si="691"/>
        <v>1816</v>
      </c>
      <c r="AB444" s="97">
        <f t="shared" si="691"/>
        <v>1847</v>
      </c>
      <c r="AC444" s="97">
        <f t="shared" si="691"/>
        <v>1463</v>
      </c>
      <c r="AD444" s="97">
        <f t="shared" ref="AD444:AL444" si="692">AC448</f>
        <v>1458.58</v>
      </c>
      <c r="AE444" s="97">
        <f t="shared" si="692"/>
        <v>1452.8972847222221</v>
      </c>
      <c r="AF444" s="97">
        <f t="shared" si="692"/>
        <v>1445.915459852381</v>
      </c>
      <c r="AG444" s="97">
        <f t="shared" si="692"/>
        <v>1436.8367070816528</v>
      </c>
      <c r="AH444" s="97">
        <f t="shared" si="692"/>
        <v>1425.6610264100375</v>
      </c>
      <c r="AI444" s="97">
        <f t="shared" si="692"/>
        <v>1412.3884178375351</v>
      </c>
      <c r="AJ444" s="97">
        <f t="shared" si="692"/>
        <v>1397.0188813641457</v>
      </c>
      <c r="AK444" s="97">
        <f t="shared" si="692"/>
        <v>1379.5524169898695</v>
      </c>
      <c r="AL444" s="97">
        <f t="shared" si="692"/>
        <v>1359.9890247147061</v>
      </c>
      <c r="AO444" s="2"/>
      <c r="AP444" s="2"/>
      <c r="AQ444" s="2"/>
      <c r="AR444" s="2"/>
      <c r="AS444" s="2"/>
      <c r="AT444" s="2"/>
      <c r="AU444" s="2"/>
      <c r="AV444" s="2"/>
    </row>
    <row r="445" spans="1:48" x14ac:dyDescent="0.2">
      <c r="A445" s="2"/>
      <c r="B445" s="2" t="s">
        <v>33</v>
      </c>
      <c r="C445" s="2"/>
      <c r="D445" s="2"/>
      <c r="E445" s="2"/>
      <c r="F445" s="2"/>
      <c r="G445" s="2"/>
      <c r="H445" s="2"/>
      <c r="I445" s="2"/>
      <c r="J445" s="138">
        <f t="shared" ref="J445:S445" si="693">-J204</f>
        <v>31.187000000000001</v>
      </c>
      <c r="K445" s="138">
        <f t="shared" si="693"/>
        <v>24.562000000000001</v>
      </c>
      <c r="L445" s="138">
        <f t="shared" si="693"/>
        <v>42.338000000000001</v>
      </c>
      <c r="M445" s="138">
        <f t="shared" si="693"/>
        <v>150.64699999999999</v>
      </c>
      <c r="N445" s="138">
        <f t="shared" si="693"/>
        <v>35.031999999999996</v>
      </c>
      <c r="O445" s="138">
        <f t="shared" si="693"/>
        <v>43.148000000000003</v>
      </c>
      <c r="P445" s="138">
        <f t="shared" si="693"/>
        <v>21</v>
      </c>
      <c r="Q445" s="138">
        <f t="shared" si="693"/>
        <v>56</v>
      </c>
      <c r="R445" s="97">
        <f t="shared" si="693"/>
        <v>45</v>
      </c>
      <c r="S445" s="97">
        <f t="shared" si="693"/>
        <v>52</v>
      </c>
      <c r="T445" s="97">
        <f t="shared" ref="T445:AC445" si="694">T507</f>
        <v>36</v>
      </c>
      <c r="U445" s="97">
        <f t="shared" si="694"/>
        <v>25</v>
      </c>
      <c r="V445" s="97">
        <f t="shared" si="694"/>
        <v>58</v>
      </c>
      <c r="W445" s="97">
        <f t="shared" si="694"/>
        <v>57</v>
      </c>
      <c r="X445" s="97">
        <f t="shared" si="694"/>
        <v>50.6</v>
      </c>
      <c r="Y445" s="97">
        <f t="shared" si="694"/>
        <v>48</v>
      </c>
      <c r="Z445" s="97">
        <f t="shared" si="694"/>
        <v>49</v>
      </c>
      <c r="AA445" s="97">
        <f t="shared" si="694"/>
        <v>65</v>
      </c>
      <c r="AB445" s="97">
        <f t="shared" si="694"/>
        <v>74.5</v>
      </c>
      <c r="AC445" s="97">
        <f t="shared" si="694"/>
        <v>76.734999999999999</v>
      </c>
      <c r="AD445" s="97">
        <f t="shared" ref="AD445:AL445" si="695">AD507</f>
        <v>77.502350000000007</v>
      </c>
      <c r="AE445" s="97">
        <f t="shared" si="695"/>
        <v>78.27737350000001</v>
      </c>
      <c r="AF445" s="97">
        <f t="shared" si="695"/>
        <v>78.27737350000001</v>
      </c>
      <c r="AG445" s="97">
        <f t="shared" si="695"/>
        <v>78.27737350000001</v>
      </c>
      <c r="AH445" s="97">
        <f t="shared" si="695"/>
        <v>78.27737350000001</v>
      </c>
      <c r="AI445" s="97">
        <f t="shared" si="695"/>
        <v>78.27737350000001</v>
      </c>
      <c r="AJ445" s="97">
        <f t="shared" si="695"/>
        <v>78.27737350000001</v>
      </c>
      <c r="AK445" s="97">
        <f t="shared" si="695"/>
        <v>78.27737350000001</v>
      </c>
      <c r="AL445" s="97">
        <f t="shared" si="695"/>
        <v>78.27737350000001</v>
      </c>
      <c r="AO445" s="2"/>
      <c r="AP445" s="2"/>
      <c r="AQ445" s="2"/>
      <c r="AR445" s="2"/>
      <c r="AS445" s="2"/>
      <c r="AT445" s="2"/>
      <c r="AU445" s="2"/>
      <c r="AV445" s="2"/>
    </row>
    <row r="446" spans="1:48" x14ac:dyDescent="0.2">
      <c r="A446" s="4"/>
      <c r="B446" s="4" t="s">
        <v>329</v>
      </c>
      <c r="C446" s="4"/>
      <c r="D446" s="4"/>
      <c r="E446" s="4"/>
      <c r="F446" s="4"/>
      <c r="G446" s="4"/>
      <c r="H446" s="4"/>
      <c r="I446" s="4"/>
      <c r="J446" s="20">
        <v>-14.711</v>
      </c>
      <c r="K446" s="156">
        <v>-22</v>
      </c>
      <c r="L446" s="156">
        <f>+-27.77</f>
        <v>-27.77</v>
      </c>
      <c r="M446" s="156">
        <f>+-30.491</f>
        <v>-30.491</v>
      </c>
      <c r="N446" s="20">
        <v>-27.527000000000001</v>
      </c>
      <c r="O446" s="20">
        <v>-33</v>
      </c>
      <c r="P446" s="20">
        <v>-35</v>
      </c>
      <c r="Q446" s="20">
        <v>-69</v>
      </c>
      <c r="R446" s="69">
        <v>-64</v>
      </c>
      <c r="S446" s="69">
        <v>-61</v>
      </c>
      <c r="T446" s="69">
        <v>-66</v>
      </c>
      <c r="U446" s="69">
        <v>-55</v>
      </c>
      <c r="V446" s="69">
        <v>-48</v>
      </c>
      <c r="W446" s="100">
        <f t="shared" ref="W446:AB446" si="696">W458-W456-W431</f>
        <v>-57</v>
      </c>
      <c r="X446" s="100">
        <f t="shared" si="696"/>
        <v>-54</v>
      </c>
      <c r="Y446" s="100">
        <f t="shared" si="696"/>
        <v>-69</v>
      </c>
      <c r="Z446" s="100">
        <f t="shared" si="696"/>
        <v>-80</v>
      </c>
      <c r="AA446" s="100">
        <f t="shared" si="696"/>
        <v>-94</v>
      </c>
      <c r="AB446" s="100">
        <f t="shared" si="696"/>
        <v>-94</v>
      </c>
      <c r="AC446" s="156">
        <f t="shared" ref="AC446:AH446" si="697">-(AC444+AC445*0.5)/AC450</f>
        <v>-81.155000000000001</v>
      </c>
      <c r="AD446" s="156">
        <f t="shared" si="697"/>
        <v>-83.185065277777781</v>
      </c>
      <c r="AE446" s="156">
        <f t="shared" si="697"/>
        <v>-85.259198369841272</v>
      </c>
      <c r="AF446" s="156">
        <f t="shared" si="697"/>
        <v>-87.356126270728296</v>
      </c>
      <c r="AG446" s="156">
        <f t="shared" si="697"/>
        <v>-89.453054171615321</v>
      </c>
      <c r="AH446" s="156">
        <f t="shared" si="697"/>
        <v>-91.549982072502345</v>
      </c>
      <c r="AI446" s="156">
        <f t="shared" ref="AI446:AL446" si="698">-(AI444+AI445*0.5)/AI450</f>
        <v>-93.64690997338937</v>
      </c>
      <c r="AJ446" s="156">
        <f t="shared" si="698"/>
        <v>-95.74383787427638</v>
      </c>
      <c r="AK446" s="156">
        <f t="shared" si="698"/>
        <v>-97.840765775163419</v>
      </c>
      <c r="AL446" s="156">
        <f t="shared" si="698"/>
        <v>-99.937693676050444</v>
      </c>
      <c r="AM446" s="4"/>
      <c r="AN446" s="4"/>
      <c r="AO446" s="4"/>
      <c r="AP446" s="4"/>
      <c r="AQ446" s="4"/>
      <c r="AR446" s="4"/>
      <c r="AS446" s="4"/>
      <c r="AT446" s="4"/>
      <c r="AU446" s="4"/>
      <c r="AV446" s="4"/>
    </row>
    <row r="447" spans="1:48" x14ac:dyDescent="0.2">
      <c r="A447" s="2"/>
      <c r="B447" s="11" t="s">
        <v>324</v>
      </c>
      <c r="C447" s="2"/>
      <c r="D447" s="2"/>
      <c r="E447" s="2"/>
      <c r="F447" s="2"/>
      <c r="G447" s="2"/>
      <c r="H447" s="2"/>
      <c r="I447" s="2"/>
      <c r="J447" s="138">
        <f t="shared" ref="J447:R447" si="699">J448-J446-J445-J444</f>
        <v>56.923000000000002</v>
      </c>
      <c r="K447" s="138">
        <f t="shared" si="699"/>
        <v>1.671999999999997</v>
      </c>
      <c r="L447" s="138">
        <f t="shared" si="699"/>
        <v>-1.0700000000000074</v>
      </c>
      <c r="M447" s="138">
        <f t="shared" si="699"/>
        <v>-55.792000000000002</v>
      </c>
      <c r="N447" s="138">
        <f t="shared" si="699"/>
        <v>-59.202999999999989</v>
      </c>
      <c r="O447" s="138">
        <f t="shared" si="699"/>
        <v>-17.945000000000007</v>
      </c>
      <c r="P447" s="138">
        <f t="shared" si="699"/>
        <v>9</v>
      </c>
      <c r="Q447" s="138">
        <f t="shared" si="699"/>
        <v>1599</v>
      </c>
      <c r="R447" s="97">
        <f t="shared" si="699"/>
        <v>-173</v>
      </c>
      <c r="S447" s="97">
        <f t="shared" ref="S447:AB447" si="700">S448-S446-S445-S444</f>
        <v>118</v>
      </c>
      <c r="T447" s="97">
        <f t="shared" si="700"/>
        <v>-62</v>
      </c>
      <c r="U447" s="97">
        <f t="shared" si="700"/>
        <v>117</v>
      </c>
      <c r="V447" s="97">
        <f t="shared" si="700"/>
        <v>64</v>
      </c>
      <c r="W447" s="97">
        <f t="shared" si="700"/>
        <v>-12</v>
      </c>
      <c r="X447" s="97">
        <f t="shared" si="700"/>
        <v>-64.599999999999909</v>
      </c>
      <c r="Y447" s="97">
        <f t="shared" si="700"/>
        <v>32</v>
      </c>
      <c r="Z447" s="97">
        <f t="shared" si="700"/>
        <v>253</v>
      </c>
      <c r="AA447" s="97">
        <f t="shared" si="700"/>
        <v>60</v>
      </c>
      <c r="AB447" s="97">
        <f t="shared" si="700"/>
        <v>-364.5</v>
      </c>
      <c r="AC447" s="138">
        <v>0</v>
      </c>
      <c r="AD447" s="138">
        <v>0</v>
      </c>
      <c r="AE447" s="138">
        <v>0</v>
      </c>
      <c r="AF447" s="138">
        <v>0</v>
      </c>
      <c r="AG447" s="138">
        <v>0</v>
      </c>
      <c r="AH447" s="138">
        <v>0</v>
      </c>
      <c r="AI447" s="138">
        <v>0</v>
      </c>
      <c r="AJ447" s="138">
        <v>0</v>
      </c>
      <c r="AK447" s="138">
        <v>0</v>
      </c>
      <c r="AL447" s="138">
        <v>0</v>
      </c>
      <c r="AO447" s="2"/>
      <c r="AP447" s="2"/>
      <c r="AQ447" s="2"/>
      <c r="AR447" s="2"/>
      <c r="AS447" s="2"/>
      <c r="AT447" s="2"/>
      <c r="AU447" s="2"/>
      <c r="AV447" s="2"/>
    </row>
    <row r="448" spans="1:48" x14ac:dyDescent="0.2">
      <c r="A448" s="2"/>
      <c r="B448" s="2" t="s">
        <v>32</v>
      </c>
      <c r="C448" s="2"/>
      <c r="D448" s="2"/>
      <c r="E448" s="2"/>
      <c r="F448" s="2"/>
      <c r="G448" s="2"/>
      <c r="H448" s="2"/>
      <c r="I448" s="2"/>
      <c r="J448" s="14">
        <f>64.466+8.933</f>
        <v>73.399000000000001</v>
      </c>
      <c r="K448" s="138">
        <v>77.632999999999996</v>
      </c>
      <c r="L448" s="138">
        <f>91.002+0.129</f>
        <v>91.131</v>
      </c>
      <c r="M448" s="138">
        <f>155.377+0.118</f>
        <v>155.495</v>
      </c>
      <c r="N448" s="14">
        <f>103.683+0.114</f>
        <v>103.79700000000001</v>
      </c>
      <c r="O448" s="14">
        <v>96</v>
      </c>
      <c r="P448" s="14">
        <v>91</v>
      </c>
      <c r="Q448" s="138">
        <v>1677</v>
      </c>
      <c r="R448" s="97">
        <v>1485</v>
      </c>
      <c r="S448" s="97">
        <v>1594</v>
      </c>
      <c r="T448" s="97">
        <v>1502</v>
      </c>
      <c r="U448" s="97">
        <v>1589</v>
      </c>
      <c r="V448" s="97">
        <v>1663</v>
      </c>
      <c r="W448" s="97">
        <v>1651</v>
      </c>
      <c r="X448" s="97">
        <v>1583</v>
      </c>
      <c r="Y448" s="97">
        <v>1594</v>
      </c>
      <c r="Z448" s="97">
        <v>1816</v>
      </c>
      <c r="AA448" s="226">
        <v>1847</v>
      </c>
      <c r="AB448" s="226">
        <v>1463</v>
      </c>
      <c r="AC448" s="97">
        <f t="shared" ref="AC448:AH448" si="701">AC444+AC445+AC446+AC447</f>
        <v>1458.58</v>
      </c>
      <c r="AD448" s="97">
        <f t="shared" si="701"/>
        <v>1452.8972847222221</v>
      </c>
      <c r="AE448" s="97">
        <f t="shared" si="701"/>
        <v>1445.915459852381</v>
      </c>
      <c r="AF448" s="97">
        <f t="shared" si="701"/>
        <v>1436.8367070816528</v>
      </c>
      <c r="AG448" s="97">
        <f t="shared" si="701"/>
        <v>1425.6610264100375</v>
      </c>
      <c r="AH448" s="97">
        <f t="shared" si="701"/>
        <v>1412.3884178375351</v>
      </c>
      <c r="AI448" s="97">
        <f t="shared" ref="AI448:AL448" si="702">AI444+AI445+AI446+AI447</f>
        <v>1397.0188813641457</v>
      </c>
      <c r="AJ448" s="97">
        <f t="shared" si="702"/>
        <v>1379.5524169898695</v>
      </c>
      <c r="AK448" s="97">
        <f t="shared" si="702"/>
        <v>1359.9890247147061</v>
      </c>
      <c r="AL448" s="97">
        <f t="shared" si="702"/>
        <v>1338.3287045386558</v>
      </c>
      <c r="AO448" s="2"/>
      <c r="AP448" s="2"/>
      <c r="AQ448" s="2"/>
      <c r="AR448" s="2"/>
      <c r="AS448" s="2"/>
      <c r="AT448" s="2"/>
      <c r="AU448" s="2"/>
      <c r="AV448" s="2"/>
    </row>
    <row r="449" spans="1:48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138"/>
      <c r="K449" s="138"/>
      <c r="L449" s="138"/>
      <c r="M449" s="138"/>
      <c r="N449" s="138"/>
      <c r="O449" s="138"/>
      <c r="P449" s="138"/>
      <c r="Q449" s="138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>
        <f t="shared" ref="AC449:AE449" si="703">AC446-AB446</f>
        <v>12.844999999999999</v>
      </c>
      <c r="AD449" s="97">
        <f t="shared" si="703"/>
        <v>-2.0300652777777799</v>
      </c>
      <c r="AE449" s="97">
        <f t="shared" si="703"/>
        <v>-2.0741330920634908</v>
      </c>
      <c r="AF449" s="97">
        <f>AF446-AE446</f>
        <v>-2.0969279008870245</v>
      </c>
      <c r="AG449" s="97">
        <f t="shared" ref="AG449:AL449" si="704">AG446-AF446</f>
        <v>-2.0969279008870245</v>
      </c>
      <c r="AH449" s="97">
        <f t="shared" si="704"/>
        <v>-2.0969279008870245</v>
      </c>
      <c r="AI449" s="97">
        <f t="shared" si="704"/>
        <v>-2.0969279008870245</v>
      </c>
      <c r="AJ449" s="97">
        <f t="shared" si="704"/>
        <v>-2.0969279008870103</v>
      </c>
      <c r="AK449" s="97">
        <f t="shared" si="704"/>
        <v>-2.0969279008870387</v>
      </c>
      <c r="AL449" s="97">
        <f t="shared" si="704"/>
        <v>-2.0969279008870245</v>
      </c>
      <c r="AO449" s="2"/>
      <c r="AP449" s="2"/>
      <c r="AQ449" s="2"/>
      <c r="AR449" s="2"/>
      <c r="AS449" s="2"/>
      <c r="AT449" s="2"/>
      <c r="AU449" s="2"/>
      <c r="AV449" s="2"/>
    </row>
    <row r="450" spans="1:48" x14ac:dyDescent="0.2">
      <c r="A450" s="2"/>
      <c r="B450" s="2" t="s">
        <v>405</v>
      </c>
      <c r="C450" s="2"/>
      <c r="D450" s="2"/>
      <c r="E450" s="2"/>
      <c r="F450" s="2"/>
      <c r="G450" s="2"/>
      <c r="H450" s="2"/>
      <c r="I450" s="2"/>
      <c r="J450" s="138"/>
      <c r="K450" s="138">
        <f>-1/(K446/(K444+K445*0.5))</f>
        <v>3.894545454545455</v>
      </c>
      <c r="L450" s="138">
        <f t="shared" ref="L450:V450" si="705">-1/(L446/(L444+L445*0.5))</f>
        <v>3.5578682030968665</v>
      </c>
      <c r="M450" s="138">
        <f t="shared" si="705"/>
        <v>5.4591354826014227</v>
      </c>
      <c r="N450" s="138">
        <f t="shared" si="705"/>
        <v>6.285138227921677</v>
      </c>
      <c r="O450" s="138">
        <f t="shared" si="705"/>
        <v>3.7991212121212126</v>
      </c>
      <c r="P450" s="138">
        <f t="shared" si="705"/>
        <v>3.0428571428571427</v>
      </c>
      <c r="Q450" s="138">
        <f t="shared" si="705"/>
        <v>1.7246376811594202</v>
      </c>
      <c r="R450" s="97">
        <f t="shared" si="705"/>
        <v>26.554687500000004</v>
      </c>
      <c r="S450" s="97">
        <f t="shared" si="705"/>
        <v>24.770491803278691</v>
      </c>
      <c r="T450" s="97">
        <f t="shared" si="705"/>
        <v>24.424242424242426</v>
      </c>
      <c r="U450" s="97">
        <f t="shared" si="705"/>
        <v>27.536363636363635</v>
      </c>
      <c r="V450" s="97">
        <f t="shared" si="705"/>
        <v>33.708333333333336</v>
      </c>
      <c r="W450" s="97">
        <f t="shared" ref="W450:AB450" si="706">-1/(W446/(W444+W445*0.5))</f>
        <v>29.675438596491226</v>
      </c>
      <c r="X450" s="97">
        <f t="shared" si="706"/>
        <v>31.042592592592587</v>
      </c>
      <c r="Y450" s="97">
        <f t="shared" si="706"/>
        <v>23.289855072463766</v>
      </c>
      <c r="Z450" s="97">
        <f t="shared" si="706"/>
        <v>20.231249999999999</v>
      </c>
      <c r="AA450" s="97">
        <f t="shared" si="706"/>
        <v>19.664893617021278</v>
      </c>
      <c r="AB450" s="97">
        <f t="shared" si="706"/>
        <v>20.045212765957448</v>
      </c>
      <c r="AC450" s="133">
        <v>18.5</v>
      </c>
      <c r="AD450" s="133">
        <v>18</v>
      </c>
      <c r="AE450" s="133">
        <v>17.5</v>
      </c>
      <c r="AF450" s="133">
        <v>17</v>
      </c>
      <c r="AG450" s="133">
        <v>16.5</v>
      </c>
      <c r="AH450" s="133">
        <v>16</v>
      </c>
      <c r="AI450" s="133">
        <v>15.5</v>
      </c>
      <c r="AJ450" s="133">
        <v>15</v>
      </c>
      <c r="AK450" s="133">
        <v>14.5</v>
      </c>
      <c r="AL450" s="133">
        <v>14</v>
      </c>
      <c r="AO450" s="2"/>
      <c r="AP450" s="2"/>
      <c r="AQ450" s="2"/>
      <c r="AR450" s="2"/>
      <c r="AS450" s="2"/>
      <c r="AT450" s="2"/>
      <c r="AU450" s="2"/>
      <c r="AV450" s="2"/>
    </row>
    <row r="451" spans="1:48" x14ac:dyDescent="0.2">
      <c r="A451" s="2"/>
      <c r="B451" s="11"/>
      <c r="C451" s="2"/>
      <c r="D451" s="2"/>
      <c r="E451" s="2"/>
      <c r="F451" s="2"/>
      <c r="G451" s="2"/>
      <c r="H451" s="2"/>
      <c r="I451" s="2"/>
      <c r="J451" s="138"/>
      <c r="K451" s="138"/>
      <c r="L451" s="138"/>
      <c r="M451" s="138"/>
      <c r="N451" s="138"/>
      <c r="O451" s="138"/>
      <c r="P451" s="138"/>
      <c r="Q451" s="138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O451" s="2"/>
      <c r="AP451" s="2"/>
      <c r="AQ451" s="2"/>
      <c r="AR451" s="2"/>
      <c r="AS451" s="2"/>
      <c r="AT451" s="2"/>
      <c r="AU451" s="2"/>
      <c r="AV451" s="2"/>
    </row>
    <row r="452" spans="1:48" x14ac:dyDescent="0.2">
      <c r="A452" s="2"/>
      <c r="B452" s="2" t="s">
        <v>242</v>
      </c>
      <c r="C452" s="2"/>
      <c r="D452" s="2"/>
      <c r="E452" s="2"/>
      <c r="F452" s="2"/>
      <c r="G452" s="2"/>
      <c r="H452" s="2"/>
      <c r="I452" s="2"/>
      <c r="J452" s="97"/>
      <c r="K452" s="97">
        <f t="shared" ref="K452:Z452" si="707">-K446/K511%</f>
        <v>14.727836280016334</v>
      </c>
      <c r="L452" s="97">
        <f t="shared" si="707"/>
        <v>13.742422367932697</v>
      </c>
      <c r="M452" s="97">
        <f t="shared" si="707"/>
        <v>9.9580983236063538</v>
      </c>
      <c r="N452" s="97">
        <f t="shared" si="707"/>
        <v>19.022839570159981</v>
      </c>
      <c r="O452" s="97">
        <f t="shared" si="707"/>
        <v>20.452686119443687</v>
      </c>
      <c r="P452" s="97">
        <f t="shared" si="707"/>
        <v>16.746411483253588</v>
      </c>
      <c r="Q452" s="97">
        <f t="shared" si="707"/>
        <v>25.182481751824817</v>
      </c>
      <c r="R452" s="97">
        <f t="shared" si="707"/>
        <v>23.272727272727273</v>
      </c>
      <c r="S452" s="97">
        <f t="shared" si="707"/>
        <v>16.576086956521738</v>
      </c>
      <c r="T452" s="97">
        <f t="shared" si="707"/>
        <v>28.571428571428569</v>
      </c>
      <c r="U452" s="97">
        <f t="shared" si="707"/>
        <v>21.825396825396826</v>
      </c>
      <c r="V452" s="97">
        <f t="shared" si="707"/>
        <v>12.765957446808512</v>
      </c>
      <c r="W452" s="97">
        <f t="shared" si="707"/>
        <v>13.163972286374134</v>
      </c>
      <c r="X452" s="97">
        <f t="shared" si="707"/>
        <v>11.273486430062631</v>
      </c>
      <c r="Y452" s="97">
        <f t="shared" si="707"/>
        <v>12.454873646209386</v>
      </c>
      <c r="Z452" s="97">
        <f t="shared" si="707"/>
        <v>15.594541910331385</v>
      </c>
      <c r="AA452" s="97">
        <f t="shared" ref="AA452:AH452" si="708">-AA446/AA511%</f>
        <v>14.439324116743473</v>
      </c>
      <c r="AB452" s="97">
        <f t="shared" si="708"/>
        <v>12.450331125827814</v>
      </c>
      <c r="AC452" s="97">
        <f t="shared" si="708"/>
        <v>8.3415201772436447</v>
      </c>
      <c r="AD452" s="97">
        <f t="shared" si="708"/>
        <v>8.2418908046720567</v>
      </c>
      <c r="AE452" s="97">
        <f t="shared" si="708"/>
        <v>8.2542537094818123</v>
      </c>
      <c r="AF452" s="97">
        <f t="shared" si="708"/>
        <v>8.3721782006158172</v>
      </c>
      <c r="AG452" s="97">
        <f t="shared" si="708"/>
        <v>8.5447741987944976</v>
      </c>
      <c r="AH452" s="97">
        <f t="shared" si="708"/>
        <v>8.2530959513696942</v>
      </c>
      <c r="AI452" s="97">
        <f t="shared" ref="AI452:AL452" si="709">-AI446/AI511%</f>
        <v>8.0112447633531882</v>
      </c>
      <c r="AJ452" s="97">
        <f t="shared" si="709"/>
        <v>7.7699979406459709</v>
      </c>
      <c r="AK452" s="97">
        <f t="shared" si="709"/>
        <v>7.7577959231008666</v>
      </c>
      <c r="AL452" s="97">
        <f t="shared" si="709"/>
        <v>7.7559128134397453</v>
      </c>
      <c r="AO452" s="2"/>
      <c r="AP452" s="2"/>
      <c r="AQ452" s="2"/>
      <c r="AR452" s="2"/>
      <c r="AS452" s="2"/>
      <c r="AT452" s="2"/>
      <c r="AU452" s="2"/>
      <c r="AV452" s="2"/>
    </row>
    <row r="453" spans="1:48" x14ac:dyDescent="0.2">
      <c r="A453" s="2"/>
      <c r="B453" s="2" t="s">
        <v>243</v>
      </c>
      <c r="C453" s="2"/>
      <c r="D453" s="2"/>
      <c r="E453" s="2"/>
      <c r="F453" s="2"/>
      <c r="G453" s="2"/>
      <c r="H453" s="2"/>
      <c r="I453" s="2"/>
      <c r="J453" s="97"/>
      <c r="K453" s="97">
        <f t="shared" ref="K453:Y453" si="710">-K446/K416%</f>
        <v>0.37704773338612002</v>
      </c>
      <c r="L453" s="97">
        <f t="shared" si="710"/>
        <v>0.45432630051926043</v>
      </c>
      <c r="M453" s="97">
        <f t="shared" si="710"/>
        <v>0.46740827164405657</v>
      </c>
      <c r="N453" s="97">
        <f t="shared" si="710"/>
        <v>0.43925129252569095</v>
      </c>
      <c r="O453" s="97">
        <f t="shared" si="710"/>
        <v>0.56313916294994826</v>
      </c>
      <c r="P453" s="97">
        <f t="shared" si="710"/>
        <v>0.52742616033755274</v>
      </c>
      <c r="Q453" s="97">
        <f t="shared" si="710"/>
        <v>0.68425228084093614</v>
      </c>
      <c r="R453" s="97">
        <f t="shared" si="710"/>
        <v>0.62141955529663073</v>
      </c>
      <c r="S453" s="97">
        <f t="shared" si="710"/>
        <v>0.56486711732567829</v>
      </c>
      <c r="T453" s="97">
        <f t="shared" si="710"/>
        <v>0.63577690010596277</v>
      </c>
      <c r="U453" s="97">
        <f t="shared" si="710"/>
        <v>0.4587155963302752</v>
      </c>
      <c r="V453" s="97">
        <f t="shared" si="710"/>
        <v>0.36030626032127311</v>
      </c>
      <c r="W453" s="97">
        <f>-W446/W416%</f>
        <v>0.38298730094738959</v>
      </c>
      <c r="X453" s="97">
        <f t="shared" si="710"/>
        <v>0.38020136590861087</v>
      </c>
      <c r="Y453" s="97">
        <f t="shared" si="710"/>
        <v>0.47475213122424126</v>
      </c>
      <c r="Z453" s="97">
        <f t="shared" ref="Z453:AH453" si="711">-Z446/Z416%</f>
        <v>0.4729516122944013</v>
      </c>
      <c r="AA453" s="97">
        <f t="shared" si="711"/>
        <v>0.50857544770870522</v>
      </c>
      <c r="AB453" s="97">
        <f t="shared" si="711"/>
        <v>0.44304095772258095</v>
      </c>
      <c r="AC453" s="97">
        <f t="shared" si="711"/>
        <v>0.36223070447386474</v>
      </c>
      <c r="AD453" s="97">
        <f t="shared" si="711"/>
        <v>0.33924172465175861</v>
      </c>
      <c r="AE453" s="97">
        <f t="shared" si="711"/>
        <v>0.32151885408970982</v>
      </c>
      <c r="AF453" s="97">
        <f t="shared" si="711"/>
        <v>0.30774101755911287</v>
      </c>
      <c r="AG453" s="97">
        <f t="shared" si="711"/>
        <v>0.29553030169103833</v>
      </c>
      <c r="AH453" s="97">
        <f t="shared" si="711"/>
        <v>0.28415039863433994</v>
      </c>
      <c r="AI453" s="97">
        <f t="shared" ref="AI453:AL453" si="712">-AI446/AI416%</f>
        <v>0.27475884317936761</v>
      </c>
      <c r="AJ453" s="97">
        <f t="shared" si="712"/>
        <v>0.26550628463532616</v>
      </c>
      <c r="AK453" s="97">
        <f t="shared" si="712"/>
        <v>0.25640579198472213</v>
      </c>
      <c r="AL453" s="97">
        <f t="shared" si="712"/>
        <v>0.24772654904186603</v>
      </c>
      <c r="AO453" s="2"/>
      <c r="AP453" s="2"/>
      <c r="AQ453" s="2"/>
      <c r="AR453" s="2"/>
      <c r="AS453" s="2"/>
      <c r="AT453" s="2"/>
      <c r="AU453" s="2"/>
      <c r="AV453" s="2"/>
    </row>
    <row r="454" spans="1:48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O454" s="2"/>
      <c r="AP454" s="2"/>
      <c r="AQ454" s="2"/>
      <c r="AR454" s="2"/>
      <c r="AS454" s="2"/>
      <c r="AT454" s="2"/>
      <c r="AU454" s="2"/>
      <c r="AV454" s="2"/>
    </row>
    <row r="455" spans="1:48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O455" s="2"/>
      <c r="AP455" s="2"/>
      <c r="AQ455" s="2"/>
      <c r="AR455" s="2"/>
      <c r="AS455" s="2"/>
      <c r="AT455" s="2"/>
      <c r="AU455" s="2"/>
      <c r="AV455" s="2"/>
    </row>
    <row r="456" spans="1:48" x14ac:dyDescent="0.2">
      <c r="A456" s="2"/>
      <c r="B456" s="2" t="s">
        <v>160</v>
      </c>
      <c r="C456" s="2"/>
      <c r="D456" s="2"/>
      <c r="E456" s="2"/>
      <c r="F456" s="2"/>
      <c r="G456" s="2"/>
      <c r="H456" s="2"/>
      <c r="I456" s="2"/>
      <c r="J456" s="97"/>
      <c r="K456" s="97"/>
      <c r="L456" s="97"/>
      <c r="M456" s="97"/>
      <c r="N456" s="97"/>
      <c r="O456" s="97"/>
      <c r="P456" s="97"/>
      <c r="Q456" s="97">
        <f t="shared" ref="Q456:V456" si="713">Q458-Q446-Q431</f>
        <v>-30</v>
      </c>
      <c r="R456" s="97">
        <f t="shared" si="713"/>
        <v>2</v>
      </c>
      <c r="S456" s="97">
        <f t="shared" si="713"/>
        <v>-8</v>
      </c>
      <c r="T456" s="97">
        <f t="shared" si="713"/>
        <v>-46</v>
      </c>
      <c r="U456" s="97">
        <f t="shared" si="713"/>
        <v>-31</v>
      </c>
      <c r="V456" s="97">
        <f t="shared" si="713"/>
        <v>0</v>
      </c>
      <c r="W456" s="100">
        <v>-265</v>
      </c>
      <c r="X456" s="100">
        <v>-52</v>
      </c>
      <c r="Y456" s="100">
        <v>-78</v>
      </c>
      <c r="Z456" s="100">
        <v>-34</v>
      </c>
      <c r="AA456" s="226">
        <v>0</v>
      </c>
      <c r="AB456" s="226">
        <v>0</v>
      </c>
      <c r="AC456" s="97">
        <v>0</v>
      </c>
      <c r="AD456" s="97">
        <v>0</v>
      </c>
      <c r="AE456" s="97">
        <v>0</v>
      </c>
      <c r="AF456" s="97">
        <v>0</v>
      </c>
      <c r="AG456" s="97">
        <v>0</v>
      </c>
      <c r="AH456" s="97">
        <v>0</v>
      </c>
      <c r="AI456" s="97">
        <v>0</v>
      </c>
      <c r="AJ456" s="97">
        <v>0</v>
      </c>
      <c r="AK456" s="97">
        <v>0</v>
      </c>
      <c r="AL456" s="97">
        <v>0</v>
      </c>
      <c r="AO456" s="2"/>
      <c r="AP456" s="2"/>
      <c r="AQ456" s="2"/>
      <c r="AR456" s="2"/>
      <c r="AS456" s="2"/>
      <c r="AT456" s="2"/>
      <c r="AU456" s="2"/>
      <c r="AV456" s="2"/>
    </row>
    <row r="457" spans="1:48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O457" s="2"/>
      <c r="AP457" s="2"/>
      <c r="AQ457" s="2"/>
      <c r="AR457" s="2"/>
      <c r="AS457" s="2"/>
      <c r="AT457" s="2"/>
      <c r="AU457" s="2"/>
      <c r="AV457" s="2"/>
    </row>
    <row r="458" spans="1:48" ht="13.5" thickBot="1" x14ac:dyDescent="0.25">
      <c r="A458" s="2"/>
      <c r="B458" s="22" t="s">
        <v>56</v>
      </c>
      <c r="C458" s="2"/>
      <c r="D458" s="2"/>
      <c r="E458" s="2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57">
        <v>-217</v>
      </c>
      <c r="R458" s="136">
        <v>-204</v>
      </c>
      <c r="S458" s="136">
        <v>-228</v>
      </c>
      <c r="T458" s="136">
        <v>-294</v>
      </c>
      <c r="U458" s="136">
        <v>-270</v>
      </c>
      <c r="V458" s="136">
        <v>-253</v>
      </c>
      <c r="W458" s="180">
        <v>-536</v>
      </c>
      <c r="X458" s="180">
        <v>-340</v>
      </c>
      <c r="Y458" s="136">
        <v>-405</v>
      </c>
      <c r="Z458" s="136">
        <v>-393</v>
      </c>
      <c r="AA458" s="238">
        <v>-397</v>
      </c>
      <c r="AB458" s="238">
        <v>-452</v>
      </c>
      <c r="AC458" s="136">
        <f t="shared" ref="AC458:AH458" si="714">AC431+AC446+AC456</f>
        <v>-387.16557488892101</v>
      </c>
      <c r="AD458" s="136">
        <f t="shared" si="714"/>
        <v>-422.74677573443779</v>
      </c>
      <c r="AE458" s="136">
        <f t="shared" si="714"/>
        <v>-451.22998803668173</v>
      </c>
      <c r="AF458" s="136">
        <f t="shared" si="714"/>
        <v>-474.04892202035484</v>
      </c>
      <c r="AG458" s="136">
        <f t="shared" si="714"/>
        <v>-492.26911066746686</v>
      </c>
      <c r="AH458" s="136">
        <f t="shared" si="714"/>
        <v>-509.30203509285144</v>
      </c>
      <c r="AI458" s="136">
        <f t="shared" ref="AI458:AL458" si="715">AI431+AI446+AI456</f>
        <v>-527.49399265240413</v>
      </c>
      <c r="AJ458" s="136">
        <f t="shared" si="715"/>
        <v>-546.56508681459206</v>
      </c>
      <c r="AK458" s="136">
        <f t="shared" si="715"/>
        <v>-565.33632212993655</v>
      </c>
      <c r="AL458" s="136">
        <f t="shared" si="715"/>
        <v>-582.82123248344874</v>
      </c>
      <c r="AO458" s="2"/>
      <c r="AP458" s="2"/>
      <c r="AQ458" s="2"/>
      <c r="AR458" s="2"/>
      <c r="AS458" s="2"/>
      <c r="AT458" s="2"/>
      <c r="AU458" s="2"/>
      <c r="AV458" s="2"/>
    </row>
    <row r="459" spans="1:48" ht="13.5" thickTop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O459" s="2"/>
      <c r="AP459" s="2"/>
      <c r="AQ459" s="2"/>
      <c r="AR459" s="2"/>
      <c r="AS459" s="2"/>
      <c r="AT459" s="2"/>
      <c r="AU459" s="2"/>
      <c r="AV459" s="2"/>
    </row>
    <row r="460" spans="1:48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O460" s="2"/>
      <c r="AP460" s="2"/>
      <c r="AQ460" s="2"/>
      <c r="AR460" s="2"/>
      <c r="AS460" s="2"/>
      <c r="AT460" s="2"/>
      <c r="AU460" s="2"/>
      <c r="AV460" s="2"/>
    </row>
    <row r="461" spans="1:48" x14ac:dyDescent="0.2">
      <c r="A461" s="2"/>
      <c r="B461" s="8" t="s">
        <v>146</v>
      </c>
      <c r="C461" s="2"/>
      <c r="D461" s="2"/>
      <c r="E461" s="2"/>
      <c r="F461" s="2"/>
      <c r="G461" s="2"/>
      <c r="H461" s="2"/>
      <c r="I461" s="2"/>
      <c r="J461" s="6"/>
      <c r="K461" s="97"/>
      <c r="L461" s="97"/>
      <c r="M461" s="97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O461" s="2"/>
      <c r="AP461" s="2"/>
      <c r="AQ461" s="2"/>
      <c r="AR461" s="2"/>
      <c r="AS461" s="2"/>
      <c r="AT461" s="2"/>
      <c r="AU461" s="2"/>
      <c r="AV461" s="2"/>
    </row>
    <row r="462" spans="1:48" x14ac:dyDescent="0.2">
      <c r="A462" s="2"/>
      <c r="B462" s="4" t="s">
        <v>122</v>
      </c>
      <c r="C462" s="2"/>
      <c r="D462" s="2"/>
      <c r="E462" s="2"/>
      <c r="F462" s="2"/>
      <c r="G462" s="2"/>
      <c r="H462" s="2"/>
      <c r="I462" s="2"/>
      <c r="J462" s="6"/>
      <c r="K462" s="97"/>
      <c r="L462" s="97"/>
      <c r="M462" s="97"/>
      <c r="N462" s="6"/>
      <c r="O462" s="6"/>
      <c r="P462" s="6"/>
      <c r="Q462" s="6"/>
      <c r="R462" s="6">
        <v>748</v>
      </c>
      <c r="S462" s="6">
        <v>790</v>
      </c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O462" s="2"/>
      <c r="AP462" s="2"/>
      <c r="AQ462" s="2"/>
      <c r="AR462" s="2"/>
      <c r="AS462" s="2"/>
      <c r="AT462" s="2"/>
      <c r="AU462" s="2"/>
      <c r="AV462" s="2"/>
    </row>
    <row r="463" spans="1:48" x14ac:dyDescent="0.2">
      <c r="A463" s="2"/>
      <c r="B463" s="4" t="s">
        <v>123</v>
      </c>
      <c r="C463" s="2"/>
      <c r="D463" s="2"/>
      <c r="E463" s="2"/>
      <c r="F463" s="2"/>
      <c r="G463" s="2"/>
      <c r="H463" s="2"/>
      <c r="I463" s="2"/>
      <c r="J463" s="6"/>
      <c r="K463" s="97"/>
      <c r="L463" s="97"/>
      <c r="M463" s="97"/>
      <c r="N463" s="6"/>
      <c r="O463" s="6"/>
      <c r="P463" s="6"/>
      <c r="Q463" s="6"/>
      <c r="R463" s="6">
        <v>406</v>
      </c>
      <c r="S463" s="6">
        <v>425</v>
      </c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O463" s="2"/>
      <c r="AP463" s="2"/>
      <c r="AQ463" s="2"/>
      <c r="AR463" s="2"/>
      <c r="AS463" s="2"/>
      <c r="AT463" s="2"/>
      <c r="AU463" s="2"/>
      <c r="AV463" s="2"/>
    </row>
    <row r="464" spans="1:48" x14ac:dyDescent="0.2">
      <c r="A464" s="2"/>
      <c r="B464" s="4" t="s">
        <v>147</v>
      </c>
      <c r="C464" s="2"/>
      <c r="D464" s="2"/>
      <c r="E464" s="2"/>
      <c r="F464" s="2"/>
      <c r="G464" s="2"/>
      <c r="H464" s="2"/>
      <c r="I464" s="2"/>
      <c r="J464" s="6"/>
      <c r="K464" s="97"/>
      <c r="L464" s="97"/>
      <c r="M464" s="97"/>
      <c r="N464" s="6"/>
      <c r="O464" s="6"/>
      <c r="P464" s="6"/>
      <c r="Q464" s="6"/>
      <c r="R464" s="6">
        <v>282</v>
      </c>
      <c r="S464" s="6">
        <v>284</v>
      </c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O464" s="2"/>
      <c r="AP464" s="2"/>
      <c r="AQ464" s="2"/>
      <c r="AR464" s="2"/>
      <c r="AS464" s="2"/>
      <c r="AT464" s="2"/>
      <c r="AU464" s="2"/>
      <c r="AV464" s="2"/>
    </row>
    <row r="465" spans="1:48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O465" s="2"/>
      <c r="AP465" s="2"/>
      <c r="AQ465" s="2"/>
      <c r="AR465" s="2"/>
      <c r="AS465" s="2"/>
      <c r="AT465" s="2"/>
      <c r="AU465" s="2"/>
      <c r="AV465" s="2"/>
    </row>
    <row r="466" spans="1:48" x14ac:dyDescent="0.2">
      <c r="A466" s="2"/>
      <c r="B466" s="25" t="s">
        <v>408</v>
      </c>
      <c r="C466" s="26">
        <f t="shared" ref="C466:AH466" si="716">C5</f>
        <v>1992</v>
      </c>
      <c r="D466" s="26">
        <f t="shared" si="716"/>
        <v>1993</v>
      </c>
      <c r="E466" s="26">
        <f t="shared" si="716"/>
        <v>1994</v>
      </c>
      <c r="F466" s="26">
        <f t="shared" si="716"/>
        <v>1995</v>
      </c>
      <c r="G466" s="26">
        <f t="shared" si="716"/>
        <v>1996</v>
      </c>
      <c r="H466" s="26">
        <f t="shared" si="716"/>
        <v>1997</v>
      </c>
      <c r="I466" s="26">
        <f t="shared" si="716"/>
        <v>1998</v>
      </c>
      <c r="J466" s="26">
        <f t="shared" si="716"/>
        <v>1999</v>
      </c>
      <c r="K466" s="26">
        <f t="shared" si="716"/>
        <v>2000</v>
      </c>
      <c r="L466" s="26">
        <f t="shared" si="716"/>
        <v>2001</v>
      </c>
      <c r="M466" s="26">
        <f t="shared" si="716"/>
        <v>2002</v>
      </c>
      <c r="N466" s="26">
        <f t="shared" si="716"/>
        <v>2003</v>
      </c>
      <c r="O466" s="26">
        <f t="shared" si="716"/>
        <v>2004</v>
      </c>
      <c r="P466" s="26">
        <f t="shared" si="716"/>
        <v>2005</v>
      </c>
      <c r="Q466" s="26">
        <f t="shared" si="716"/>
        <v>2006</v>
      </c>
      <c r="R466" s="26">
        <f t="shared" si="716"/>
        <v>2007</v>
      </c>
      <c r="S466" s="26">
        <f t="shared" si="716"/>
        <v>2008</v>
      </c>
      <c r="T466" s="26">
        <f t="shared" si="716"/>
        <v>2009</v>
      </c>
      <c r="U466" s="26">
        <f t="shared" si="716"/>
        <v>2010</v>
      </c>
      <c r="V466" s="26">
        <f t="shared" si="716"/>
        <v>2011</v>
      </c>
      <c r="W466" s="26">
        <f t="shared" si="716"/>
        <v>2012</v>
      </c>
      <c r="X466" s="26">
        <f t="shared" si="716"/>
        <v>2013</v>
      </c>
      <c r="Y466" s="26">
        <f t="shared" si="716"/>
        <v>2014</v>
      </c>
      <c r="Z466" s="26">
        <f t="shared" si="716"/>
        <v>2015</v>
      </c>
      <c r="AA466" s="26">
        <f t="shared" si="716"/>
        <v>2016</v>
      </c>
      <c r="AB466" s="26">
        <f t="shared" si="716"/>
        <v>2017</v>
      </c>
      <c r="AC466" s="50">
        <f t="shared" si="716"/>
        <v>2018</v>
      </c>
      <c r="AD466" s="50">
        <f t="shared" si="716"/>
        <v>2019</v>
      </c>
      <c r="AE466" s="50">
        <f t="shared" si="716"/>
        <v>2020</v>
      </c>
      <c r="AF466" s="50">
        <f t="shared" si="716"/>
        <v>2021</v>
      </c>
      <c r="AG466" s="50">
        <f t="shared" si="716"/>
        <v>2022</v>
      </c>
      <c r="AH466" s="50">
        <f t="shared" si="716"/>
        <v>2023</v>
      </c>
      <c r="AI466" s="50">
        <f t="shared" ref="AI466:AL466" si="717">AI5</f>
        <v>2024</v>
      </c>
      <c r="AJ466" s="50">
        <f t="shared" si="717"/>
        <v>2025</v>
      </c>
      <c r="AK466" s="50">
        <f t="shared" si="717"/>
        <v>2026</v>
      </c>
      <c r="AL466" s="50">
        <f t="shared" si="717"/>
        <v>2027</v>
      </c>
      <c r="AO466" s="2"/>
      <c r="AP466" s="2"/>
      <c r="AQ466" s="2"/>
      <c r="AR466" s="2"/>
      <c r="AS466" s="2"/>
      <c r="AT466" s="2"/>
      <c r="AU466" s="2"/>
      <c r="AV466" s="2"/>
    </row>
    <row r="467" spans="1:48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:48" x14ac:dyDescent="0.2">
      <c r="A468" s="2"/>
      <c r="B468" s="8" t="s">
        <v>371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6"/>
      <c r="X468" s="2"/>
      <c r="Y468" s="2"/>
      <c r="Z468" s="2"/>
      <c r="AA468" s="220"/>
      <c r="AB468" s="220"/>
      <c r="AC468" s="220"/>
      <c r="AD468" s="220"/>
      <c r="AE468" s="220"/>
      <c r="AF468" s="220"/>
      <c r="AG468" s="220"/>
      <c r="AH468" s="220"/>
      <c r="AI468" s="220"/>
      <c r="AJ468" s="220"/>
      <c r="AK468" s="220"/>
      <c r="AL468" s="220"/>
      <c r="AO468" s="2"/>
      <c r="AP468" s="2"/>
      <c r="AQ468" s="2"/>
      <c r="AR468" s="2"/>
      <c r="AS468" s="2"/>
      <c r="AT468" s="2"/>
      <c r="AU468" s="2"/>
      <c r="AV468" s="2"/>
    </row>
    <row r="469" spans="1:48" x14ac:dyDescent="0.2">
      <c r="A469" s="2"/>
      <c r="B469" s="2" t="s">
        <v>409</v>
      </c>
      <c r="C469" s="2"/>
      <c r="D469" s="2"/>
      <c r="E469" s="2"/>
      <c r="F469" s="2"/>
      <c r="G469" s="2"/>
      <c r="H469" s="2"/>
      <c r="I469" s="2"/>
      <c r="J469" s="6">
        <f t="shared" ref="J469:AH469" si="718">J88</f>
        <v>-3001.8829999999998</v>
      </c>
      <c r="K469" s="6">
        <f t="shared" si="718"/>
        <v>-3306.886</v>
      </c>
      <c r="L469" s="6">
        <f t="shared" si="718"/>
        <v>-3511.1640000000002</v>
      </c>
      <c r="M469" s="6">
        <f t="shared" si="718"/>
        <v>-3704.2689999999998</v>
      </c>
      <c r="N469" s="6">
        <f t="shared" si="718"/>
        <v>-3453.1320000000001</v>
      </c>
      <c r="O469" s="6">
        <f t="shared" si="718"/>
        <v>-3046.6060000000002</v>
      </c>
      <c r="P469" s="6">
        <f t="shared" si="718"/>
        <v>-3439</v>
      </c>
      <c r="Q469" s="6">
        <f t="shared" si="718"/>
        <v>-5589</v>
      </c>
      <c r="R469" s="6">
        <f t="shared" si="718"/>
        <v>-5417</v>
      </c>
      <c r="S469" s="6">
        <f t="shared" si="718"/>
        <v>-5543</v>
      </c>
      <c r="T469" s="6">
        <f t="shared" si="718"/>
        <v>-5669</v>
      </c>
      <c r="U469" s="6">
        <f t="shared" si="718"/>
        <v>-6260</v>
      </c>
      <c r="V469" s="6">
        <f t="shared" si="718"/>
        <v>-6993</v>
      </c>
      <c r="W469" s="6">
        <f t="shared" si="718"/>
        <v>-7780</v>
      </c>
      <c r="X469" s="6">
        <f t="shared" si="718"/>
        <v>-7202</v>
      </c>
      <c r="Y469" s="6">
        <f t="shared" si="718"/>
        <v>-7610</v>
      </c>
      <c r="Z469" s="6">
        <f t="shared" si="718"/>
        <v>-8748</v>
      </c>
      <c r="AA469" s="6">
        <f t="shared" si="718"/>
        <v>-9383</v>
      </c>
      <c r="AB469" s="6">
        <f t="shared" ref="AB469" si="719">AB88</f>
        <v>-10513</v>
      </c>
      <c r="AC469" s="6">
        <f t="shared" si="718"/>
        <v>-11033.133301306405</v>
      </c>
      <c r="AD469" s="6">
        <f t="shared" si="718"/>
        <v>-12009.926705637432</v>
      </c>
      <c r="AE469" s="6">
        <f t="shared" si="718"/>
        <v>-12925.927437170594</v>
      </c>
      <c r="AF469" s="6">
        <f t="shared" si="718"/>
        <v>-13790.756426601489</v>
      </c>
      <c r="AG469" s="6">
        <f t="shared" si="718"/>
        <v>-14660.05748367776</v>
      </c>
      <c r="AH469" s="6">
        <f t="shared" si="718"/>
        <v>-15552.306359052018</v>
      </c>
      <c r="AI469" s="6">
        <f t="shared" ref="AI469:AL469" si="720">AI88</f>
        <v>-16428.844393855208</v>
      </c>
      <c r="AJ469" s="6">
        <f t="shared" si="720"/>
        <v>-17426.828934833797</v>
      </c>
      <c r="AK469" s="6">
        <f t="shared" si="720"/>
        <v>-18418.909050396946</v>
      </c>
      <c r="AL469" s="6">
        <f t="shared" si="720"/>
        <v>-19447.152812763805</v>
      </c>
      <c r="AO469" s="2"/>
      <c r="AP469" s="2"/>
      <c r="AQ469" s="2"/>
      <c r="AR469" s="2"/>
      <c r="AS469" s="2"/>
      <c r="AT469" s="2"/>
      <c r="AU469" s="2"/>
      <c r="AV469" s="2"/>
    </row>
    <row r="470" spans="1:48" x14ac:dyDescent="0.2">
      <c r="A470" s="2"/>
      <c r="B470" s="2" t="s">
        <v>410</v>
      </c>
      <c r="C470" s="2"/>
      <c r="D470" s="2"/>
      <c r="E470" s="2"/>
      <c r="F470" s="2"/>
      <c r="G470" s="2"/>
      <c r="H470" s="2"/>
      <c r="I470" s="2"/>
      <c r="J470" s="6">
        <f t="shared" ref="J470:AA470" si="721">J248</f>
        <v>1045.2439999999999</v>
      </c>
      <c r="K470" s="6">
        <f t="shared" si="721"/>
        <v>1294.0329999999999</v>
      </c>
      <c r="L470" s="6">
        <f t="shared" si="721"/>
        <v>1273.0619999999999</v>
      </c>
      <c r="M470" s="6">
        <f t="shared" si="721"/>
        <v>1189.933</v>
      </c>
      <c r="N470" s="6">
        <f t="shared" si="721"/>
        <v>1163.518</v>
      </c>
      <c r="O470" s="6">
        <f t="shared" si="721"/>
        <v>1155.374</v>
      </c>
      <c r="P470" s="6">
        <f t="shared" si="721"/>
        <v>1230</v>
      </c>
      <c r="Q470" s="6">
        <f t="shared" si="721"/>
        <v>1607</v>
      </c>
      <c r="R470" s="6">
        <f t="shared" si="721"/>
        <v>1629</v>
      </c>
      <c r="S470" s="6">
        <f t="shared" si="721"/>
        <v>1995</v>
      </c>
      <c r="T470" s="6">
        <f t="shared" si="721"/>
        <v>1471</v>
      </c>
      <c r="U470" s="6">
        <f t="shared" si="721"/>
        <v>2119</v>
      </c>
      <c r="V470" s="6">
        <f t="shared" si="721"/>
        <v>2502</v>
      </c>
      <c r="W470" s="6">
        <f t="shared" si="721"/>
        <v>2486</v>
      </c>
      <c r="X470" s="6">
        <f t="shared" si="721"/>
        <v>2634</v>
      </c>
      <c r="Y470" s="6">
        <f t="shared" si="721"/>
        <v>2526</v>
      </c>
      <c r="Z470" s="6">
        <f t="shared" si="721"/>
        <v>3113</v>
      </c>
      <c r="AA470" s="6">
        <f t="shared" si="721"/>
        <v>3763</v>
      </c>
      <c r="AB470" s="6">
        <f t="shared" ref="AB470" si="722">AB248</f>
        <v>3692.4</v>
      </c>
      <c r="AC470" s="6">
        <f t="shared" ref="AC470:AH470" si="723">AC471*-AC469/365</f>
        <v>3869.153596074575</v>
      </c>
      <c r="AD470" s="6">
        <f t="shared" si="723"/>
        <v>4112.9885978210386</v>
      </c>
      <c r="AE470" s="6">
        <f t="shared" si="723"/>
        <v>4249.6199793437572</v>
      </c>
      <c r="AF470" s="6">
        <f t="shared" si="723"/>
        <v>4382.8157410569111</v>
      </c>
      <c r="AG470" s="6">
        <f t="shared" si="723"/>
        <v>4659.086761935946</v>
      </c>
      <c r="AH470" s="6">
        <f t="shared" si="723"/>
        <v>4857.4326710463829</v>
      </c>
      <c r="AI470" s="6">
        <f t="shared" ref="AI470:AL470" si="724">AI471*-AI469/365</f>
        <v>5131.2007147931336</v>
      </c>
      <c r="AJ470" s="6">
        <f t="shared" si="724"/>
        <v>5442.8999960850761</v>
      </c>
      <c r="AK470" s="6">
        <f t="shared" si="724"/>
        <v>5702.2923909448082</v>
      </c>
      <c r="AL470" s="6">
        <f t="shared" si="724"/>
        <v>5967.3455206288927</v>
      </c>
      <c r="AO470" s="2"/>
      <c r="AP470" s="2"/>
      <c r="AQ470" s="2"/>
      <c r="AR470" s="2"/>
      <c r="AS470" s="2"/>
      <c r="AT470" s="2"/>
      <c r="AU470" s="2"/>
      <c r="AV470" s="2"/>
    </row>
    <row r="471" spans="1:48" x14ac:dyDescent="0.2">
      <c r="A471" s="2"/>
      <c r="B471" s="2" t="s">
        <v>411</v>
      </c>
      <c r="C471" s="2"/>
      <c r="D471" s="2"/>
      <c r="E471" s="2"/>
      <c r="F471" s="2"/>
      <c r="G471" s="2"/>
      <c r="H471" s="2"/>
      <c r="I471" s="2"/>
      <c r="J471" s="6">
        <f t="shared" ref="J471:W471" si="725">365*(J470/-J469)</f>
        <v>127.09158218358276</v>
      </c>
      <c r="K471" s="6">
        <f t="shared" si="725"/>
        <v>142.82985412862735</v>
      </c>
      <c r="L471" s="6">
        <f t="shared" si="725"/>
        <v>132.34005304223896</v>
      </c>
      <c r="M471" s="6">
        <f t="shared" si="725"/>
        <v>117.25000128230428</v>
      </c>
      <c r="N471" s="6">
        <f t="shared" si="725"/>
        <v>122.9851827268694</v>
      </c>
      <c r="O471" s="6">
        <f t="shared" si="725"/>
        <v>138.42010092542324</v>
      </c>
      <c r="P471" s="6">
        <f t="shared" si="725"/>
        <v>130.54667054376273</v>
      </c>
      <c r="Q471" s="6">
        <f t="shared" si="725"/>
        <v>104.94811236357131</v>
      </c>
      <c r="R471" s="6">
        <f t="shared" si="725"/>
        <v>109.76278382868746</v>
      </c>
      <c r="S471" s="6">
        <f t="shared" si="725"/>
        <v>131.36839256720188</v>
      </c>
      <c r="T471" s="6">
        <f t="shared" si="725"/>
        <v>94.710707355794682</v>
      </c>
      <c r="U471" s="6">
        <f t="shared" si="725"/>
        <v>123.55191693290733</v>
      </c>
      <c r="V471" s="6">
        <f t="shared" si="725"/>
        <v>130.59202059202059</v>
      </c>
      <c r="W471" s="6">
        <f t="shared" si="725"/>
        <v>116.63110539845759</v>
      </c>
      <c r="X471" s="6">
        <f>365*(X470/-X469)</f>
        <v>133.49208553179673</v>
      </c>
      <c r="Y471" s="6">
        <f>365*(Y470/-Y469)</f>
        <v>121.1550591327201</v>
      </c>
      <c r="Z471" s="6">
        <f>365*(Z470/-Z469)</f>
        <v>129.88625971650663</v>
      </c>
      <c r="AA471" s="6">
        <f>365*(AA470/-AA469)</f>
        <v>146.38122135777471</v>
      </c>
      <c r="AB471" s="6">
        <f>365*(AB470/-AB469)</f>
        <v>128.19613811471513</v>
      </c>
      <c r="AC471" s="24">
        <v>128</v>
      </c>
      <c r="AD471" s="24">
        <v>125</v>
      </c>
      <c r="AE471" s="24">
        <v>120</v>
      </c>
      <c r="AF471" s="24">
        <v>116</v>
      </c>
      <c r="AG471" s="24">
        <v>116</v>
      </c>
      <c r="AH471" s="24">
        <v>114</v>
      </c>
      <c r="AI471" s="24">
        <v>114</v>
      </c>
      <c r="AJ471" s="24">
        <v>114</v>
      </c>
      <c r="AK471" s="24">
        <v>113</v>
      </c>
      <c r="AL471" s="24">
        <v>112</v>
      </c>
      <c r="AO471" s="2"/>
      <c r="AP471" s="2"/>
      <c r="AQ471" s="2"/>
      <c r="AR471" s="2"/>
      <c r="AS471" s="2"/>
      <c r="AT471" s="2"/>
      <c r="AU471" s="2"/>
      <c r="AV471" s="2"/>
    </row>
    <row r="472" spans="1:48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6"/>
      <c r="K472" s="6"/>
      <c r="L472" s="6"/>
      <c r="M472" s="6"/>
      <c r="N472" s="6"/>
      <c r="O472" s="6"/>
      <c r="P472" s="6"/>
      <c r="Q472" s="6"/>
      <c r="R472" s="45"/>
      <c r="S472" s="45"/>
      <c r="T472" s="45">
        <f>+T470/S470-1</f>
        <v>-0.26265664160401003</v>
      </c>
      <c r="U472" s="107">
        <f>+U470/T470-1</f>
        <v>0.44051665533650586</v>
      </c>
      <c r="V472" s="107">
        <f>+V470/U470-1</f>
        <v>0.18074563473336469</v>
      </c>
      <c r="W472" s="107">
        <f t="shared" ref="W472:Z472" si="726">+W470/V470-1</f>
        <v>-6.3948840927258166E-3</v>
      </c>
      <c r="X472" s="107">
        <f t="shared" si="726"/>
        <v>5.9533386967015378E-2</v>
      </c>
      <c r="Y472" s="107">
        <f t="shared" si="726"/>
        <v>-4.1002277904327977E-2</v>
      </c>
      <c r="Z472" s="107">
        <f t="shared" si="726"/>
        <v>0.23238321456848765</v>
      </c>
      <c r="AA472" s="183">
        <f t="shared" ref="AA472:AL472" si="727">+AA470/Z470-1</f>
        <v>0.20880179890780592</v>
      </c>
      <c r="AB472" s="183">
        <f t="shared" si="727"/>
        <v>-1.8761626361945227E-2</v>
      </c>
      <c r="AC472" s="107">
        <f t="shared" si="727"/>
        <v>4.7869568864309153E-2</v>
      </c>
      <c r="AD472" s="107">
        <f t="shared" si="727"/>
        <v>6.3020243495591544E-2</v>
      </c>
      <c r="AE472" s="107">
        <f t="shared" si="727"/>
        <v>3.3219489496057131E-2</v>
      </c>
      <c r="AF472" s="107">
        <f t="shared" si="727"/>
        <v>3.1342981810275283E-2</v>
      </c>
      <c r="AG472" s="107">
        <f t="shared" si="727"/>
        <v>6.3035052624049515E-2</v>
      </c>
      <c r="AH472" s="107">
        <f t="shared" si="727"/>
        <v>4.257184277633419E-2</v>
      </c>
      <c r="AI472" s="107">
        <f t="shared" si="727"/>
        <v>5.6360646103978951E-2</v>
      </c>
      <c r="AJ472" s="107">
        <f t="shared" si="727"/>
        <v>6.0745875793422055E-2</v>
      </c>
      <c r="AK472" s="107">
        <f t="shared" si="727"/>
        <v>4.76570201632045E-2</v>
      </c>
      <c r="AL472" s="107">
        <f t="shared" si="727"/>
        <v>4.6481855280691375E-2</v>
      </c>
      <c r="AO472" s="2"/>
      <c r="AP472" s="2"/>
      <c r="AQ472" s="2"/>
      <c r="AR472" s="2"/>
      <c r="AS472" s="2"/>
      <c r="AT472" s="2"/>
      <c r="AU472" s="2"/>
      <c r="AV472" s="2"/>
    </row>
    <row r="473" spans="1:48" x14ac:dyDescent="0.2">
      <c r="A473" s="2"/>
      <c r="B473" s="2" t="s">
        <v>20</v>
      </c>
      <c r="C473" s="2"/>
      <c r="D473" s="2"/>
      <c r="E473" s="2"/>
      <c r="F473" s="2"/>
      <c r="G473" s="2"/>
      <c r="H473" s="2"/>
      <c r="I473" s="2"/>
      <c r="J473" s="6">
        <f>(J470/J476)*365</f>
        <v>71.25844119919708</v>
      </c>
      <c r="K473" s="6">
        <f>(K470/K476)*365</f>
        <v>80.949071134339519</v>
      </c>
      <c r="L473" s="6">
        <f>(L470/L476)*365</f>
        <v>76.02114703239198</v>
      </c>
      <c r="M473" s="6">
        <f>(M470/M476)*365</f>
        <v>66.579434036047672</v>
      </c>
      <c r="N473" s="6">
        <f>(N470/N476)*365</f>
        <v>67.767292717176232</v>
      </c>
      <c r="O473" s="6">
        <f t="shared" ref="O473:Y473" si="728">(O470/O476)*365</f>
        <v>71.964323256896577</v>
      </c>
      <c r="P473" s="6">
        <f t="shared" si="728"/>
        <v>67.65370705244122</v>
      </c>
      <c r="Q473" s="6">
        <f t="shared" si="728"/>
        <v>58.166898056326858</v>
      </c>
      <c r="R473" s="6">
        <f>(R470/R476)*365</f>
        <v>57.732304107194871</v>
      </c>
      <c r="S473" s="6">
        <f t="shared" si="728"/>
        <v>67.429854616168171</v>
      </c>
      <c r="T473" s="6">
        <f t="shared" si="728"/>
        <v>51.720932472786821</v>
      </c>
      <c r="U473" s="6">
        <f t="shared" si="728"/>
        <v>64.506672226855713</v>
      </c>
      <c r="V473" s="6">
        <f t="shared" si="728"/>
        <v>68.550517940249208</v>
      </c>
      <c r="W473" s="6">
        <f>(W470/W476)*365</f>
        <v>60.968218773096815</v>
      </c>
      <c r="X473" s="6">
        <f t="shared" si="728"/>
        <v>67.69062874040695</v>
      </c>
      <c r="Y473" s="6">
        <f t="shared" si="728"/>
        <v>63.437205430063507</v>
      </c>
      <c r="Z473" s="6">
        <f t="shared" ref="Z473:AH473" si="729">(Z470/Z476)*365</f>
        <v>67.173613088931504</v>
      </c>
      <c r="AA473" s="6">
        <f t="shared" si="729"/>
        <v>74.311258994751938</v>
      </c>
      <c r="AB473" s="6">
        <f t="shared" ref="AB473" si="730">(AB470/AB476)*365</f>
        <v>63.521044445491825</v>
      </c>
      <c r="AC473" s="6">
        <f t="shared" si="729"/>
        <v>63.034572728808243</v>
      </c>
      <c r="AD473" s="6">
        <f t="shared" si="729"/>
        <v>61.222952626119778</v>
      </c>
      <c r="AE473" s="6">
        <f t="shared" si="729"/>
        <v>58.493574283230501</v>
      </c>
      <c r="AF473" s="6">
        <f t="shared" si="729"/>
        <v>56.355732016736638</v>
      </c>
      <c r="AG473" s="6">
        <f t="shared" si="729"/>
        <v>56.182428327946951</v>
      </c>
      <c r="AH473" s="6">
        <f t="shared" si="729"/>
        <v>55.028751560469097</v>
      </c>
      <c r="AI473" s="6">
        <f t="shared" ref="AI473:AL473" si="731">(AI470/AI476)*365</f>
        <v>54.950303444629277</v>
      </c>
      <c r="AJ473" s="6">
        <f t="shared" si="731"/>
        <v>55.09182925040357</v>
      </c>
      <c r="AK473" s="6">
        <f t="shared" si="731"/>
        <v>54.544420880333092</v>
      </c>
      <c r="AL473" s="6">
        <f t="shared" si="731"/>
        <v>53.990491306368199</v>
      </c>
      <c r="AO473" s="2"/>
      <c r="AP473" s="2"/>
      <c r="AQ473" s="2"/>
      <c r="AR473" s="2"/>
      <c r="AS473" s="2"/>
      <c r="AT473" s="2"/>
      <c r="AU473" s="2"/>
      <c r="AV473" s="2"/>
    </row>
    <row r="474" spans="1:48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6"/>
      <c r="K474" s="6"/>
      <c r="L474" s="6"/>
      <c r="M474" s="6"/>
      <c r="N474" s="6"/>
      <c r="O474" s="6"/>
      <c r="P474" s="6"/>
      <c r="Q474" s="6"/>
      <c r="R474" s="45"/>
      <c r="S474" s="45"/>
      <c r="T474" s="45"/>
      <c r="U474" s="45"/>
      <c r="V474" s="45"/>
      <c r="W474" s="45"/>
      <c r="X474" s="45"/>
      <c r="Y474" s="107"/>
      <c r="Z474" s="107"/>
      <c r="AA474" s="107"/>
      <c r="AB474" s="107"/>
      <c r="AC474" s="107"/>
      <c r="AD474" s="107"/>
      <c r="AE474" s="107"/>
      <c r="AF474" s="107"/>
      <c r="AG474" s="107"/>
      <c r="AH474" s="107"/>
      <c r="AI474" s="107"/>
      <c r="AJ474" s="107"/>
      <c r="AK474" s="107"/>
      <c r="AL474" s="107"/>
      <c r="AO474" s="2"/>
      <c r="AP474" s="2"/>
      <c r="AQ474" s="2"/>
      <c r="AR474" s="2"/>
      <c r="AS474" s="2"/>
      <c r="AT474" s="2"/>
      <c r="AU474" s="2"/>
      <c r="AV474" s="2"/>
    </row>
    <row r="475" spans="1:48" x14ac:dyDescent="0.2">
      <c r="A475" s="2"/>
      <c r="B475" s="8" t="s">
        <v>77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O475" s="2"/>
      <c r="AP475" s="2"/>
      <c r="AQ475" s="2"/>
      <c r="AR475" s="2"/>
      <c r="AS475" s="2"/>
      <c r="AT475" s="2"/>
      <c r="AU475" s="2"/>
      <c r="AV475" s="2"/>
    </row>
    <row r="476" spans="1:48" x14ac:dyDescent="0.2">
      <c r="A476" s="2"/>
      <c r="B476" s="58" t="s">
        <v>59</v>
      </c>
      <c r="C476" s="2"/>
      <c r="D476" s="2"/>
      <c r="E476" s="2"/>
      <c r="F476" s="2"/>
      <c r="G476" s="2"/>
      <c r="H476" s="2"/>
      <c r="I476" s="2"/>
      <c r="J476" s="6">
        <f t="shared" ref="J476:AH476" si="732">J84</f>
        <v>5353.9489999999996</v>
      </c>
      <c r="K476" s="6">
        <f t="shared" si="732"/>
        <v>5834.8050000000003</v>
      </c>
      <c r="L476" s="6">
        <f t="shared" si="732"/>
        <v>6112.3469999999998</v>
      </c>
      <c r="M476" s="6">
        <f t="shared" si="732"/>
        <v>6523.4189999999999</v>
      </c>
      <c r="N476" s="6">
        <f t="shared" si="732"/>
        <v>6266.8</v>
      </c>
      <c r="O476" s="6">
        <f t="shared" si="732"/>
        <v>5860.0079999999998</v>
      </c>
      <c r="P476" s="6">
        <f t="shared" si="732"/>
        <v>6636</v>
      </c>
      <c r="Q476" s="6">
        <f t="shared" si="732"/>
        <v>10084</v>
      </c>
      <c r="R476" s="6">
        <f t="shared" si="732"/>
        <v>10299</v>
      </c>
      <c r="S476" s="6">
        <f t="shared" si="732"/>
        <v>10799</v>
      </c>
      <c r="T476" s="6">
        <f t="shared" si="732"/>
        <v>10381</v>
      </c>
      <c r="U476" s="6">
        <f t="shared" si="732"/>
        <v>11990</v>
      </c>
      <c r="V476" s="6">
        <f t="shared" si="732"/>
        <v>13322</v>
      </c>
      <c r="W476" s="6">
        <f t="shared" si="732"/>
        <v>14883</v>
      </c>
      <c r="X476" s="6">
        <f t="shared" si="732"/>
        <v>14203</v>
      </c>
      <c r="Y476" s="6">
        <f t="shared" si="732"/>
        <v>14533.9</v>
      </c>
      <c r="Z476" s="6">
        <f t="shared" si="732"/>
        <v>16915.049641526937</v>
      </c>
      <c r="AA476" s="6">
        <f t="shared" si="732"/>
        <v>18483</v>
      </c>
      <c r="AB476" s="6">
        <f t="shared" ref="AB476" si="733">AB84</f>
        <v>21217</v>
      </c>
      <c r="AC476" s="6">
        <f t="shared" si="732"/>
        <v>22404.229955568389</v>
      </c>
      <c r="AD476" s="6">
        <f t="shared" si="732"/>
        <v>24520.882672427644</v>
      </c>
      <c r="AE476" s="6">
        <f t="shared" si="732"/>
        <v>26517.6356799444</v>
      </c>
      <c r="AF476" s="6">
        <f t="shared" si="732"/>
        <v>28386.247294431065</v>
      </c>
      <c r="AG476" s="6">
        <f t="shared" si="732"/>
        <v>30268.657278039078</v>
      </c>
      <c r="AH476" s="6">
        <f t="shared" si="732"/>
        <v>32218.84696009658</v>
      </c>
      <c r="AI476" s="6">
        <f t="shared" ref="AI476:AL476" si="734">AI84</f>
        <v>34083.310618779593</v>
      </c>
      <c r="AJ476" s="6">
        <f t="shared" si="734"/>
        <v>36060.855586066784</v>
      </c>
      <c r="AK476" s="6">
        <f t="shared" si="734"/>
        <v>38158.56304096018</v>
      </c>
      <c r="AL476" s="6">
        <f t="shared" si="734"/>
        <v>40341.939151286075</v>
      </c>
      <c r="AO476" s="2"/>
      <c r="AP476" s="2"/>
      <c r="AQ476" s="2"/>
      <c r="AR476" s="2"/>
      <c r="AS476" s="2"/>
      <c r="AT476" s="2"/>
      <c r="AU476" s="2"/>
      <c r="AV476" s="2"/>
    </row>
    <row r="477" spans="1:48" x14ac:dyDescent="0.2">
      <c r="A477" s="2"/>
      <c r="B477" s="2" t="s">
        <v>78</v>
      </c>
      <c r="C477" s="2"/>
      <c r="D477" s="2"/>
      <c r="E477" s="2"/>
      <c r="F477" s="2"/>
      <c r="G477" s="2"/>
      <c r="H477" s="2"/>
      <c r="I477" s="2"/>
      <c r="J477" s="6">
        <f t="shared" ref="J477:AA477" si="735">J249</f>
        <v>1032.877</v>
      </c>
      <c r="K477" s="6">
        <f t="shared" si="735"/>
        <v>1133.1030000000001</v>
      </c>
      <c r="L477" s="6">
        <f t="shared" si="735"/>
        <v>1253.193</v>
      </c>
      <c r="M477" s="6">
        <f t="shared" si="735"/>
        <v>1292.6669999999999</v>
      </c>
      <c r="N477" s="6">
        <f t="shared" si="735"/>
        <v>1075.0920000000001</v>
      </c>
      <c r="O477" s="6">
        <f t="shared" si="735"/>
        <v>1046.3219999999999</v>
      </c>
      <c r="P477" s="6">
        <f t="shared" si="735"/>
        <v>965</v>
      </c>
      <c r="Q477" s="6">
        <f t="shared" si="735"/>
        <v>1415</v>
      </c>
      <c r="R477" s="6">
        <f t="shared" si="735"/>
        <v>1459</v>
      </c>
      <c r="S477" s="6">
        <f t="shared" si="735"/>
        <v>1624</v>
      </c>
      <c r="T477" s="6">
        <f t="shared" si="735"/>
        <v>1429</v>
      </c>
      <c r="U477" s="6">
        <f t="shared" si="735"/>
        <v>1667</v>
      </c>
      <c r="V477" s="6">
        <f t="shared" si="735"/>
        <v>1595</v>
      </c>
      <c r="W477" s="6">
        <f t="shared" si="735"/>
        <v>1688</v>
      </c>
      <c r="X477" s="6">
        <f t="shared" si="735"/>
        <v>1809</v>
      </c>
      <c r="Y477" s="6">
        <f t="shared" si="735"/>
        <v>1946</v>
      </c>
      <c r="Z477" s="6">
        <f t="shared" si="735"/>
        <v>2049</v>
      </c>
      <c r="AA477" s="6">
        <f t="shared" si="735"/>
        <v>2200</v>
      </c>
      <c r="AB477" s="6">
        <f t="shared" ref="AB477" si="736">AB249</f>
        <v>2315.4</v>
      </c>
      <c r="AC477" s="6">
        <f t="shared" ref="AC477:AH477" si="737">AC478*AC476/365</f>
        <v>2578.0209811886912</v>
      </c>
      <c r="AD477" s="6">
        <f t="shared" si="737"/>
        <v>2821.581019840989</v>
      </c>
      <c r="AE477" s="6">
        <f t="shared" si="737"/>
        <v>3051.344379610041</v>
      </c>
      <c r="AF477" s="6">
        <f t="shared" si="737"/>
        <v>3266.3627023728895</v>
      </c>
      <c r="AG477" s="6">
        <f t="shared" si="737"/>
        <v>3482.9687826784693</v>
      </c>
      <c r="AH477" s="6">
        <f t="shared" si="737"/>
        <v>3707.3741707508393</v>
      </c>
      <c r="AI477" s="6">
        <f t="shared" ref="AI477:AJ477" si="738">AI478*AI476/365</f>
        <v>3921.9151944897067</v>
      </c>
      <c r="AJ477" s="6">
        <f t="shared" si="738"/>
        <v>4149.4683140131647</v>
      </c>
      <c r="AK477" s="6">
        <f>AK478*AK476/365</f>
        <v>4286.304341587308</v>
      </c>
      <c r="AL477" s="6">
        <f>AL478*AL476/365</f>
        <v>4531.5602882266548</v>
      </c>
      <c r="AO477" s="2"/>
      <c r="AP477" s="2"/>
      <c r="AQ477" s="2"/>
      <c r="AR477" s="2"/>
      <c r="AS477" s="2"/>
      <c r="AT477" s="2"/>
      <c r="AU477" s="2"/>
      <c r="AV477" s="2"/>
    </row>
    <row r="478" spans="1:48" x14ac:dyDescent="0.2">
      <c r="A478" s="2"/>
      <c r="B478" s="2" t="s">
        <v>57</v>
      </c>
      <c r="C478" s="2"/>
      <c r="D478" s="2"/>
      <c r="E478" s="2"/>
      <c r="F478" s="2"/>
      <c r="G478" s="2"/>
      <c r="H478" s="2"/>
      <c r="I478" s="2"/>
      <c r="J478" s="6">
        <f t="shared" ref="J478:V478" si="739">J477/J476*365</f>
        <v>70.415333616364293</v>
      </c>
      <c r="K478" s="6">
        <f t="shared" si="739"/>
        <v>70.881990914863479</v>
      </c>
      <c r="L478" s="6">
        <f t="shared" si="739"/>
        <v>74.834665800223718</v>
      </c>
      <c r="M478" s="6">
        <f t="shared" si="739"/>
        <v>72.327632948305165</v>
      </c>
      <c r="N478" s="6">
        <f t="shared" si="739"/>
        <v>62.617058147698991</v>
      </c>
      <c r="O478" s="6">
        <f t="shared" si="739"/>
        <v>65.171844475297647</v>
      </c>
      <c r="P478" s="6">
        <f t="shared" si="739"/>
        <v>53.077908378541295</v>
      </c>
      <c r="Q478" s="6">
        <f t="shared" si="739"/>
        <v>51.217274890916308</v>
      </c>
      <c r="R478" s="6">
        <f t="shared" si="739"/>
        <v>51.707447324983008</v>
      </c>
      <c r="S478" s="6">
        <f t="shared" si="739"/>
        <v>54.890267617371983</v>
      </c>
      <c r="T478" s="6">
        <f t="shared" si="739"/>
        <v>50.244196127540697</v>
      </c>
      <c r="U478" s="6">
        <f t="shared" si="739"/>
        <v>50.746872393661384</v>
      </c>
      <c r="V478" s="6">
        <f t="shared" si="739"/>
        <v>43.700270229695242</v>
      </c>
      <c r="W478" s="6">
        <f t="shared" ref="W478:AB478" si="740">W477/W476*365</f>
        <v>41.397567694685215</v>
      </c>
      <c r="X478" s="6">
        <f t="shared" si="740"/>
        <v>46.489122016475392</v>
      </c>
      <c r="Y478" s="6">
        <f t="shared" si="740"/>
        <v>48.871259606850195</v>
      </c>
      <c r="Z478" s="6">
        <f t="shared" si="740"/>
        <v>44.214177070099794</v>
      </c>
      <c r="AA478" s="6">
        <f t="shared" si="740"/>
        <v>43.445328139371313</v>
      </c>
      <c r="AB478" s="6">
        <f t="shared" si="740"/>
        <v>39.832257152283546</v>
      </c>
      <c r="AC478" s="24">
        <v>42</v>
      </c>
      <c r="AD478" s="24">
        <f t="shared" ref="AD478:AG478" si="741">AC478</f>
        <v>42</v>
      </c>
      <c r="AE478" s="24">
        <f t="shared" si="741"/>
        <v>42</v>
      </c>
      <c r="AF478" s="24">
        <f t="shared" si="741"/>
        <v>42</v>
      </c>
      <c r="AG478" s="24">
        <f t="shared" si="741"/>
        <v>42</v>
      </c>
      <c r="AH478" s="24">
        <v>42</v>
      </c>
      <c r="AI478" s="24">
        <v>42</v>
      </c>
      <c r="AJ478" s="24">
        <v>42</v>
      </c>
      <c r="AK478" s="24">
        <v>41</v>
      </c>
      <c r="AL478" s="24">
        <v>41</v>
      </c>
      <c r="AO478" s="2"/>
      <c r="AP478" s="2"/>
      <c r="AQ478" s="2"/>
      <c r="AR478" s="2"/>
      <c r="AS478" s="2"/>
      <c r="AT478" s="2"/>
      <c r="AU478" s="2"/>
      <c r="AV478" s="2"/>
    </row>
    <row r="479" spans="1:48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>
        <f>T477/S477-1</f>
        <v>-0.12007389162561577</v>
      </c>
      <c r="U479" s="152">
        <f>U477/T477-1</f>
        <v>0.16655003498950305</v>
      </c>
      <c r="V479" s="152">
        <f t="shared" ref="V479:Z479" si="742">V477/U477-1</f>
        <v>-4.3191361727654476E-2</v>
      </c>
      <c r="W479" s="152">
        <f t="shared" si="742"/>
        <v>5.8307210031347978E-2</v>
      </c>
      <c r="X479" s="152">
        <f t="shared" si="742"/>
        <v>7.168246445497628E-2</v>
      </c>
      <c r="Y479" s="152">
        <f t="shared" si="742"/>
        <v>7.5732448866777213E-2</v>
      </c>
      <c r="Z479" s="152">
        <f t="shared" si="742"/>
        <v>5.2929085303186074E-2</v>
      </c>
      <c r="AA479" s="152">
        <f t="shared" ref="AA479:AL479" si="743">AA477/Z477-1</f>
        <v>7.3694485114690123E-2</v>
      </c>
      <c r="AB479" s="152">
        <f t="shared" si="743"/>
        <v>5.2454545454545531E-2</v>
      </c>
      <c r="AC479" s="152">
        <f t="shared" si="743"/>
        <v>0.11342359038986394</v>
      </c>
      <c r="AD479" s="152">
        <f t="shared" si="743"/>
        <v>9.447558434532044E-2</v>
      </c>
      <c r="AE479" s="152">
        <f t="shared" si="743"/>
        <v>8.1430714962067663E-2</v>
      </c>
      <c r="AF479" s="152">
        <f t="shared" si="743"/>
        <v>7.0466750393584743E-2</v>
      </c>
      <c r="AG479" s="152">
        <f t="shared" si="743"/>
        <v>6.6314154318570795E-2</v>
      </c>
      <c r="AH479" s="152">
        <f t="shared" si="743"/>
        <v>6.442934234391795E-2</v>
      </c>
      <c r="AI479" s="152">
        <f t="shared" si="743"/>
        <v>5.7868726990514929E-2</v>
      </c>
      <c r="AJ479" s="152">
        <f t="shared" si="743"/>
        <v>5.8020917903367719E-2</v>
      </c>
      <c r="AK479" s="152">
        <f t="shared" si="743"/>
        <v>3.2976761652097508E-2</v>
      </c>
      <c r="AL479" s="152">
        <f t="shared" si="743"/>
        <v>5.7218509721715938E-2</v>
      </c>
      <c r="AO479" s="2"/>
      <c r="AP479" s="2"/>
      <c r="AQ479" s="2"/>
      <c r="AR479" s="2"/>
      <c r="AS479" s="2"/>
      <c r="AT479" s="2"/>
      <c r="AU479" s="2"/>
      <c r="AV479" s="2"/>
    </row>
    <row r="480" spans="1:48" x14ac:dyDescent="0.2">
      <c r="A480" s="2"/>
      <c r="B480" s="8" t="s">
        <v>79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O480" s="2"/>
      <c r="AP480" s="2"/>
      <c r="AQ480" s="2"/>
      <c r="AR480" s="2"/>
      <c r="AS480" s="2"/>
      <c r="AT480" s="2"/>
      <c r="AU480" s="2"/>
      <c r="AV480" s="2"/>
    </row>
    <row r="481" spans="1:48" x14ac:dyDescent="0.2">
      <c r="A481" s="2"/>
      <c r="B481" s="2" t="s">
        <v>409</v>
      </c>
      <c r="C481" s="2"/>
      <c r="D481" s="2"/>
      <c r="E481" s="2"/>
      <c r="F481" s="2"/>
      <c r="G481" s="2"/>
      <c r="H481" s="2"/>
      <c r="I481" s="2"/>
      <c r="J481" s="6">
        <f t="shared" ref="J481:AH481" si="744">J88</f>
        <v>-3001.8829999999998</v>
      </c>
      <c r="K481" s="6">
        <f t="shared" si="744"/>
        <v>-3306.886</v>
      </c>
      <c r="L481" s="6">
        <f t="shared" si="744"/>
        <v>-3511.1640000000002</v>
      </c>
      <c r="M481" s="6">
        <f t="shared" si="744"/>
        <v>-3704.2689999999998</v>
      </c>
      <c r="N481" s="6">
        <f t="shared" si="744"/>
        <v>-3453.1320000000001</v>
      </c>
      <c r="O481" s="6">
        <f t="shared" si="744"/>
        <v>-3046.6060000000002</v>
      </c>
      <c r="P481" s="6">
        <f t="shared" si="744"/>
        <v>-3439</v>
      </c>
      <c r="Q481" s="6">
        <f t="shared" si="744"/>
        <v>-5589</v>
      </c>
      <c r="R481" s="6">
        <f t="shared" si="744"/>
        <v>-5417</v>
      </c>
      <c r="S481" s="6">
        <f t="shared" si="744"/>
        <v>-5543</v>
      </c>
      <c r="T481" s="6">
        <f t="shared" si="744"/>
        <v>-5669</v>
      </c>
      <c r="U481" s="6">
        <f t="shared" si="744"/>
        <v>-6260</v>
      </c>
      <c r="V481" s="6">
        <f t="shared" si="744"/>
        <v>-6993</v>
      </c>
      <c r="W481" s="6">
        <f t="shared" si="744"/>
        <v>-7780</v>
      </c>
      <c r="X481" s="6">
        <f t="shared" si="744"/>
        <v>-7202</v>
      </c>
      <c r="Y481" s="6">
        <f t="shared" si="744"/>
        <v>-7610</v>
      </c>
      <c r="Z481" s="6">
        <f t="shared" si="744"/>
        <v>-8748</v>
      </c>
      <c r="AA481" s="6">
        <f t="shared" si="744"/>
        <v>-9383</v>
      </c>
      <c r="AB481" s="6">
        <f t="shared" ref="AB481" si="745">AB88</f>
        <v>-10513</v>
      </c>
      <c r="AC481" s="6">
        <f t="shared" si="744"/>
        <v>-11033.133301306405</v>
      </c>
      <c r="AD481" s="6">
        <f t="shared" si="744"/>
        <v>-12009.926705637432</v>
      </c>
      <c r="AE481" s="6">
        <f t="shared" si="744"/>
        <v>-12925.927437170594</v>
      </c>
      <c r="AF481" s="6">
        <f t="shared" si="744"/>
        <v>-13790.756426601489</v>
      </c>
      <c r="AG481" s="6">
        <f t="shared" si="744"/>
        <v>-14660.05748367776</v>
      </c>
      <c r="AH481" s="6">
        <f t="shared" si="744"/>
        <v>-15552.306359052018</v>
      </c>
      <c r="AI481" s="6">
        <f t="shared" ref="AI481:AL481" si="746">AI88</f>
        <v>-16428.844393855208</v>
      </c>
      <c r="AJ481" s="6">
        <f t="shared" si="746"/>
        <v>-17426.828934833797</v>
      </c>
      <c r="AK481" s="6">
        <f t="shared" si="746"/>
        <v>-18418.909050396946</v>
      </c>
      <c r="AL481" s="6">
        <f t="shared" si="746"/>
        <v>-19447.152812763805</v>
      </c>
      <c r="AO481" s="2"/>
      <c r="AP481" s="2"/>
      <c r="AQ481" s="2"/>
      <c r="AR481" s="2"/>
      <c r="AS481" s="2"/>
      <c r="AT481" s="2"/>
      <c r="AU481" s="2"/>
      <c r="AV481" s="2"/>
    </row>
    <row r="482" spans="1:48" x14ac:dyDescent="0.2">
      <c r="A482" s="2"/>
      <c r="B482" s="2" t="s">
        <v>412</v>
      </c>
      <c r="C482" s="2"/>
      <c r="D482" s="2"/>
      <c r="E482" s="2"/>
      <c r="F482" s="2"/>
      <c r="G482" s="2"/>
      <c r="H482" s="2"/>
      <c r="I482" s="2"/>
      <c r="J482" s="6">
        <f t="shared" ref="J482:AA482" si="747">J261</f>
        <v>487.80099999999999</v>
      </c>
      <c r="K482" s="6">
        <f t="shared" si="747"/>
        <v>532.29899999999998</v>
      </c>
      <c r="L482" s="6">
        <f t="shared" si="747"/>
        <v>629.70100000000002</v>
      </c>
      <c r="M482" s="6">
        <f t="shared" si="747"/>
        <v>668.46100000000001</v>
      </c>
      <c r="N482" s="6">
        <f t="shared" si="747"/>
        <v>592.27300000000002</v>
      </c>
      <c r="O482" s="6">
        <f t="shared" si="747"/>
        <v>591.68899999999996</v>
      </c>
      <c r="P482" s="6">
        <f t="shared" si="747"/>
        <v>684</v>
      </c>
      <c r="Q482" s="6">
        <f t="shared" si="747"/>
        <v>752</v>
      </c>
      <c r="R482" s="6">
        <f t="shared" si="747"/>
        <v>849</v>
      </c>
      <c r="S482" s="6">
        <f t="shared" si="747"/>
        <v>1218</v>
      </c>
      <c r="T482" s="6">
        <f t="shared" si="747"/>
        <v>1166</v>
      </c>
      <c r="U482" s="6">
        <f t="shared" si="747"/>
        <v>1694</v>
      </c>
      <c r="V482" s="6">
        <f t="shared" si="747"/>
        <v>1887</v>
      </c>
      <c r="W482" s="6">
        <f t="shared" si="747"/>
        <v>1790</v>
      </c>
      <c r="X482" s="6">
        <f t="shared" si="747"/>
        <v>1825</v>
      </c>
      <c r="Y482" s="6">
        <f t="shared" si="747"/>
        <v>1652</v>
      </c>
      <c r="Z482" s="6">
        <f t="shared" si="747"/>
        <v>2024</v>
      </c>
      <c r="AA482" s="6">
        <f t="shared" si="747"/>
        <v>2496</v>
      </c>
      <c r="AB482" s="6">
        <f t="shared" ref="AB482" si="748">AB261</f>
        <v>1975</v>
      </c>
      <c r="AC482" s="6">
        <f t="shared" ref="AC482:AH482" si="749">AC483*-AC481/365</f>
        <v>2629.8153348319374</v>
      </c>
      <c r="AD482" s="6">
        <f t="shared" si="749"/>
        <v>2862.6400640834427</v>
      </c>
      <c r="AE482" s="6">
        <f t="shared" si="749"/>
        <v>3080.9744850242237</v>
      </c>
      <c r="AF482" s="6">
        <f t="shared" si="749"/>
        <v>3287.1118057926838</v>
      </c>
      <c r="AG482" s="6">
        <f t="shared" si="749"/>
        <v>3534.4796125031312</v>
      </c>
      <c r="AH482" s="6">
        <f t="shared" si="749"/>
        <v>3834.8152666155656</v>
      </c>
      <c r="AI482" s="6">
        <f t="shared" ref="AI482:AL482" si="750">AI483*-AI481/365</f>
        <v>4050.9479327314216</v>
      </c>
      <c r="AJ482" s="6">
        <f t="shared" si="750"/>
        <v>4297.0263126987438</v>
      </c>
      <c r="AK482" s="6">
        <f t="shared" si="750"/>
        <v>4541.6488069471925</v>
      </c>
      <c r="AL482" s="6">
        <f t="shared" si="750"/>
        <v>4795.1883647910754</v>
      </c>
      <c r="AO482" s="2"/>
      <c r="AP482" s="2"/>
      <c r="AQ482" s="2"/>
      <c r="AR482" s="2"/>
      <c r="AS482" s="2"/>
      <c r="AT482" s="2"/>
      <c r="AU482" s="2"/>
      <c r="AV482" s="2"/>
    </row>
    <row r="483" spans="1:48" x14ac:dyDescent="0.2">
      <c r="A483" s="2"/>
      <c r="B483" s="2" t="s">
        <v>413</v>
      </c>
      <c r="C483" s="2"/>
      <c r="D483" s="2"/>
      <c r="E483" s="2"/>
      <c r="F483" s="2"/>
      <c r="G483" s="2"/>
      <c r="H483" s="2"/>
      <c r="I483" s="2"/>
      <c r="J483" s="6">
        <f t="shared" ref="J483:W483" si="751">J482/-J481*365</f>
        <v>59.311893568137073</v>
      </c>
      <c r="K483" s="6">
        <f t="shared" si="751"/>
        <v>58.752897741258693</v>
      </c>
      <c r="L483" s="6">
        <f t="shared" si="751"/>
        <v>65.460019811093986</v>
      </c>
      <c r="M483" s="6">
        <f>M482/-M481*365</f>
        <v>65.866778303627527</v>
      </c>
      <c r="N483" s="6">
        <f t="shared" si="751"/>
        <v>62.60393318297708</v>
      </c>
      <c r="O483" s="6">
        <f t="shared" si="751"/>
        <v>70.887566360730588</v>
      </c>
      <c r="P483" s="6">
        <f>P482/-P481*365</f>
        <v>72.596685082872924</v>
      </c>
      <c r="Q483" s="6">
        <f t="shared" si="751"/>
        <v>49.110753265342638</v>
      </c>
      <c r="R483" s="6">
        <f t="shared" si="751"/>
        <v>57.206018091194387</v>
      </c>
      <c r="S483" s="6">
        <f t="shared" si="751"/>
        <v>80.203860725239039</v>
      </c>
      <c r="T483" s="6">
        <f t="shared" si="751"/>
        <v>75.073205150820257</v>
      </c>
      <c r="U483" s="6">
        <f t="shared" si="751"/>
        <v>98.771565495207668</v>
      </c>
      <c r="V483" s="6">
        <f t="shared" si="751"/>
        <v>98.49206349206348</v>
      </c>
      <c r="W483" s="6">
        <f t="shared" si="751"/>
        <v>83.97814910025707</v>
      </c>
      <c r="X483" s="6">
        <f>X482/-X481*365</f>
        <v>92.491668980838668</v>
      </c>
      <c r="Y483" s="6">
        <f>Y482/-Y481*365</f>
        <v>79.235216819973729</v>
      </c>
      <c r="Z483" s="6">
        <f>Z482/-Z481*365</f>
        <v>84.449016918152722</v>
      </c>
      <c r="AA483" s="6">
        <f>AA482/-AA481*365</f>
        <v>97.094745816902901</v>
      </c>
      <c r="AB483" s="6">
        <f>AB482/-AB481*365</f>
        <v>68.569865880338625</v>
      </c>
      <c r="AC483" s="24">
        <v>87</v>
      </c>
      <c r="AD483" s="24">
        <v>87</v>
      </c>
      <c r="AE483" s="24">
        <v>87</v>
      </c>
      <c r="AF483" s="24">
        <v>87</v>
      </c>
      <c r="AG483" s="24">
        <v>88</v>
      </c>
      <c r="AH483" s="24">
        <v>90</v>
      </c>
      <c r="AI483" s="24">
        <v>90</v>
      </c>
      <c r="AJ483" s="24">
        <v>90</v>
      </c>
      <c r="AK483" s="24">
        <v>90</v>
      </c>
      <c r="AL483" s="24">
        <v>90</v>
      </c>
      <c r="AO483" s="2"/>
      <c r="AP483" s="2"/>
      <c r="AQ483" s="2"/>
      <c r="AR483" s="2"/>
      <c r="AS483" s="2"/>
      <c r="AT483" s="2"/>
      <c r="AU483" s="2"/>
      <c r="AV483" s="2"/>
    </row>
    <row r="484" spans="1:48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6"/>
      <c r="K484" s="6"/>
      <c r="L484" s="6"/>
      <c r="M484" s="6"/>
      <c r="N484" s="6"/>
      <c r="O484" s="6"/>
      <c r="P484" s="6"/>
      <c r="Q484" s="6"/>
      <c r="R484" s="6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5"/>
      <c r="AH484" s="45"/>
      <c r="AI484" s="45"/>
      <c r="AJ484" s="45"/>
      <c r="AK484" s="45"/>
      <c r="AL484" s="45"/>
      <c r="AO484" s="2"/>
      <c r="AP484" s="2"/>
      <c r="AQ484" s="2"/>
      <c r="AR484" s="2"/>
      <c r="AS484" s="2"/>
      <c r="AT484" s="2"/>
      <c r="AU484" s="2"/>
      <c r="AV484" s="2"/>
    </row>
    <row r="485" spans="1:48" x14ac:dyDescent="0.2">
      <c r="A485" s="2"/>
      <c r="B485" s="56" t="s">
        <v>41</v>
      </c>
      <c r="C485" s="56"/>
      <c r="D485" s="61"/>
      <c r="E485" s="62"/>
      <c r="F485" s="62"/>
      <c r="G485" s="62"/>
      <c r="H485" s="62"/>
      <c r="I485" s="62"/>
      <c r="J485" s="62">
        <f>+J470+J477-J482</f>
        <v>1590.3200000000002</v>
      </c>
      <c r="K485" s="62">
        <f t="shared" ref="K485:Z485" si="752">+K470+K477-K482</f>
        <v>1894.837</v>
      </c>
      <c r="L485" s="62">
        <f t="shared" si="752"/>
        <v>1896.5540000000001</v>
      </c>
      <c r="M485" s="62">
        <f t="shared" si="752"/>
        <v>1814.1389999999999</v>
      </c>
      <c r="N485" s="62">
        <f t="shared" si="752"/>
        <v>1646.337</v>
      </c>
      <c r="O485" s="62">
        <f t="shared" si="752"/>
        <v>1610.0070000000001</v>
      </c>
      <c r="P485" s="62">
        <f t="shared" si="752"/>
        <v>1511</v>
      </c>
      <c r="Q485" s="62">
        <f t="shared" si="752"/>
        <v>2270</v>
      </c>
      <c r="R485" s="62">
        <f t="shared" si="752"/>
        <v>2239</v>
      </c>
      <c r="S485" s="62">
        <f t="shared" si="752"/>
        <v>2401</v>
      </c>
      <c r="T485" s="62">
        <f t="shared" si="752"/>
        <v>1734</v>
      </c>
      <c r="U485" s="62">
        <f>+U470+U477-U482</f>
        <v>2092</v>
      </c>
      <c r="V485" s="62">
        <f t="shared" si="752"/>
        <v>2210</v>
      </c>
      <c r="W485" s="62">
        <f t="shared" si="752"/>
        <v>2384</v>
      </c>
      <c r="X485" s="62">
        <f t="shared" si="752"/>
        <v>2618</v>
      </c>
      <c r="Y485" s="62">
        <f t="shared" si="752"/>
        <v>2820</v>
      </c>
      <c r="Z485" s="62">
        <f t="shared" si="752"/>
        <v>3138</v>
      </c>
      <c r="AA485" s="62">
        <f t="shared" ref="AA485:AH485" si="753">+AA470+AA477-AA482</f>
        <v>3467</v>
      </c>
      <c r="AB485" s="62">
        <f t="shared" si="753"/>
        <v>4032.8</v>
      </c>
      <c r="AC485" s="62">
        <f t="shared" si="753"/>
        <v>3817.3592424313283</v>
      </c>
      <c r="AD485" s="62">
        <f t="shared" si="753"/>
        <v>4071.929553578585</v>
      </c>
      <c r="AE485" s="62">
        <f t="shared" si="753"/>
        <v>4219.989873929575</v>
      </c>
      <c r="AF485" s="62">
        <f t="shared" si="753"/>
        <v>4362.0666376371173</v>
      </c>
      <c r="AG485" s="62">
        <f t="shared" si="753"/>
        <v>4607.5759321112837</v>
      </c>
      <c r="AH485" s="62">
        <f t="shared" si="753"/>
        <v>4729.991575181657</v>
      </c>
      <c r="AI485" s="62">
        <f t="shared" ref="AI485:AL485" si="754">+AI470+AI477-AI482</f>
        <v>5002.1679765514182</v>
      </c>
      <c r="AJ485" s="62">
        <f t="shared" si="754"/>
        <v>5295.3419973994978</v>
      </c>
      <c r="AK485" s="62">
        <f t="shared" si="754"/>
        <v>5446.9479255849237</v>
      </c>
      <c r="AL485" s="62">
        <f t="shared" si="754"/>
        <v>5703.7174440644712</v>
      </c>
      <c r="AO485" s="2"/>
      <c r="AP485" s="2"/>
      <c r="AQ485" s="2"/>
      <c r="AR485" s="2"/>
      <c r="AS485" s="2"/>
      <c r="AT485" s="2"/>
      <c r="AU485" s="2"/>
      <c r="AV485" s="2"/>
    </row>
    <row r="486" spans="1:48" x14ac:dyDescent="0.2">
      <c r="A486" s="2"/>
      <c r="B486" s="29" t="s">
        <v>42</v>
      </c>
      <c r="C486" s="29"/>
      <c r="D486" s="29"/>
      <c r="E486" s="29"/>
      <c r="F486" s="29"/>
      <c r="G486" s="29"/>
      <c r="H486" s="29"/>
      <c r="I486" s="29"/>
      <c r="J486" s="30">
        <f t="shared" ref="J486:AH486" si="755">J485/J84%</f>
        <v>29.7036822726552</v>
      </c>
      <c r="K486" s="30">
        <f t="shared" si="755"/>
        <v>32.474727090279792</v>
      </c>
      <c r="L486" s="30">
        <f t="shared" si="755"/>
        <v>31.028244960569157</v>
      </c>
      <c r="M486" s="30">
        <f t="shared" si="755"/>
        <v>27.809634794269691</v>
      </c>
      <c r="N486" s="30">
        <f t="shared" si="755"/>
        <v>26.270776153698858</v>
      </c>
      <c r="O486" s="30">
        <f t="shared" si="755"/>
        <v>27.474484676471434</v>
      </c>
      <c r="P486" s="30">
        <f t="shared" si="755"/>
        <v>22.76974080771549</v>
      </c>
      <c r="Q486" s="30">
        <f t="shared" si="755"/>
        <v>22.510908369694565</v>
      </c>
      <c r="R486" s="30">
        <f t="shared" si="755"/>
        <v>21.739974754830566</v>
      </c>
      <c r="S486" s="30">
        <f t="shared" si="755"/>
        <v>22.233540142605797</v>
      </c>
      <c r="T486" s="30">
        <f t="shared" si="755"/>
        <v>16.70359310278393</v>
      </c>
      <c r="U486" s="30">
        <f t="shared" si="755"/>
        <v>17.44787322768974</v>
      </c>
      <c r="V486" s="30">
        <f t="shared" si="755"/>
        <v>16.58910073562528</v>
      </c>
      <c r="W486" s="30">
        <f t="shared" si="755"/>
        <v>16.018275885238189</v>
      </c>
      <c r="X486" s="30">
        <f t="shared" si="755"/>
        <v>18.43272548053228</v>
      </c>
      <c r="Y486" s="30">
        <f t="shared" si="755"/>
        <v>19.402913189164643</v>
      </c>
      <c r="Z486" s="30">
        <f t="shared" si="755"/>
        <v>18.55152699224789</v>
      </c>
      <c r="AA486" s="30">
        <f t="shared" si="755"/>
        <v>18.757777417085968</v>
      </c>
      <c r="AB486" s="30">
        <f t="shared" si="755"/>
        <v>19.007399726634304</v>
      </c>
      <c r="AC486" s="30">
        <f t="shared" si="755"/>
        <v>17.038564815670242</v>
      </c>
      <c r="AD486" s="79">
        <f t="shared" si="755"/>
        <v>16.605966465298746</v>
      </c>
      <c r="AE486" s="79">
        <f t="shared" si="755"/>
        <v>15.913899432298193</v>
      </c>
      <c r="AF486" s="79">
        <f t="shared" si="755"/>
        <v>15.366830960050455</v>
      </c>
      <c r="AG486" s="79">
        <f t="shared" si="755"/>
        <v>15.222267343369188</v>
      </c>
      <c r="AH486" s="79">
        <f t="shared" si="755"/>
        <v>14.680822007813648</v>
      </c>
      <c r="AI486" s="79">
        <f t="shared" ref="AI486:AL486" si="756">AI485/AI84%</f>
        <v>14.676297242660663</v>
      </c>
      <c r="AJ486" s="79">
        <f t="shared" si="756"/>
        <v>14.684460230737054</v>
      </c>
      <c r="AK486" s="79">
        <f t="shared" si="756"/>
        <v>14.274510074548822</v>
      </c>
      <c r="AL486" s="79">
        <f t="shared" si="756"/>
        <v>14.138431528229205</v>
      </c>
      <c r="AM486" s="181"/>
      <c r="AN486" s="181"/>
      <c r="AO486" s="2"/>
      <c r="AP486" s="2"/>
      <c r="AQ486" s="2"/>
      <c r="AR486" s="2"/>
      <c r="AS486" s="2"/>
      <c r="AT486" s="2"/>
      <c r="AU486" s="2"/>
      <c r="AV486" s="2"/>
    </row>
    <row r="487" spans="1:48" x14ac:dyDescent="0.2">
      <c r="A487" s="2"/>
      <c r="B487" s="2" t="s">
        <v>346</v>
      </c>
      <c r="C487" s="2"/>
      <c r="D487" s="2"/>
      <c r="E487" s="2"/>
      <c r="F487" s="2"/>
      <c r="G487" s="2"/>
      <c r="H487" s="2"/>
      <c r="I487" s="6"/>
      <c r="J487" s="6">
        <f t="shared" ref="J487:X487" si="757">J195</f>
        <v>-9.8190000000000026</v>
      </c>
      <c r="K487" s="6">
        <f t="shared" si="757"/>
        <v>-338.14699999999999</v>
      </c>
      <c r="L487" s="6">
        <f t="shared" si="757"/>
        <v>-24.831000000000017</v>
      </c>
      <c r="M487" s="6">
        <f t="shared" si="757"/>
        <v>99.501000000000033</v>
      </c>
      <c r="N487" s="6">
        <f t="shared" si="757"/>
        <v>158.62100000000001</v>
      </c>
      <c r="O487" s="6">
        <f t="shared" si="757"/>
        <v>86.966999999999999</v>
      </c>
      <c r="P487" s="6">
        <f t="shared" si="757"/>
        <v>-184</v>
      </c>
      <c r="Q487" s="6">
        <f t="shared" si="757"/>
        <v>52</v>
      </c>
      <c r="R487" s="6">
        <f t="shared" si="757"/>
        <v>57</v>
      </c>
      <c r="S487" s="6">
        <f t="shared" si="757"/>
        <v>-186</v>
      </c>
      <c r="T487" s="6">
        <f t="shared" si="757"/>
        <v>769</v>
      </c>
      <c r="U487" s="14">
        <f t="shared" si="757"/>
        <v>96</v>
      </c>
      <c r="V487" s="14">
        <f t="shared" si="757"/>
        <v>55</v>
      </c>
      <c r="W487" s="14">
        <f t="shared" si="757"/>
        <v>-18</v>
      </c>
      <c r="X487" s="14">
        <f t="shared" si="757"/>
        <v>-450</v>
      </c>
      <c r="Y487" s="14">
        <f t="shared" ref="Y487:AH487" si="758">Y195</f>
        <v>-229</v>
      </c>
      <c r="Z487" s="14">
        <f t="shared" si="758"/>
        <v>1</v>
      </c>
      <c r="AA487" s="14">
        <f t="shared" si="758"/>
        <v>-26</v>
      </c>
      <c r="AB487" s="14">
        <f t="shared" si="758"/>
        <v>-271</v>
      </c>
      <c r="AC487" s="14">
        <f t="shared" si="758"/>
        <v>215.44075756867142</v>
      </c>
      <c r="AD487" s="14">
        <f t="shared" si="758"/>
        <v>-254.57031114725623</v>
      </c>
      <c r="AE487" s="14">
        <f t="shared" si="758"/>
        <v>-148.06032035098951</v>
      </c>
      <c r="AF487" s="14">
        <f t="shared" si="758"/>
        <v>-142.07676370754234</v>
      </c>
      <c r="AG487" s="14">
        <f t="shared" si="758"/>
        <v>-245.50929447416729</v>
      </c>
      <c r="AH487" s="14">
        <f t="shared" si="758"/>
        <v>-122.41564307037243</v>
      </c>
      <c r="AI487" s="14">
        <f t="shared" ref="AI487:AL487" si="759">AI195</f>
        <v>-272.17640136976206</v>
      </c>
      <c r="AJ487" s="14">
        <f t="shared" si="759"/>
        <v>-293.17402084807827</v>
      </c>
      <c r="AK487" s="14">
        <f t="shared" si="759"/>
        <v>-151.60592818542682</v>
      </c>
      <c r="AL487" s="14">
        <f t="shared" si="759"/>
        <v>-256.76951847954842</v>
      </c>
      <c r="AO487" s="2"/>
      <c r="AP487" s="2"/>
      <c r="AQ487" s="2"/>
      <c r="AR487" s="2"/>
      <c r="AS487" s="2"/>
      <c r="AT487" s="2"/>
      <c r="AU487" s="2"/>
      <c r="AV487" s="2"/>
    </row>
    <row r="488" spans="1:48" x14ac:dyDescent="0.2">
      <c r="A488" s="2"/>
      <c r="B488" s="19"/>
      <c r="C488" s="19"/>
      <c r="D488" s="19"/>
      <c r="E488" s="19"/>
      <c r="F488" s="19"/>
      <c r="G488" s="19"/>
      <c r="H488" s="19"/>
      <c r="I488" s="19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O488" s="2"/>
      <c r="AP488" s="2"/>
      <c r="AQ488" s="2"/>
      <c r="AR488" s="2"/>
      <c r="AS488" s="2"/>
      <c r="AT488" s="2"/>
      <c r="AU488" s="2"/>
      <c r="AV488" s="2"/>
    </row>
    <row r="489" spans="1:48" x14ac:dyDescent="0.2">
      <c r="A489" s="2"/>
      <c r="B489" s="2"/>
      <c r="C489" s="2"/>
      <c r="D489" s="2"/>
      <c r="E489" s="2"/>
      <c r="F489" s="2"/>
      <c r="G489" s="2"/>
      <c r="H489" s="2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O489" s="2"/>
      <c r="AP489" s="2"/>
      <c r="AQ489" s="2"/>
      <c r="AR489" s="2"/>
      <c r="AS489" s="2"/>
      <c r="AT489" s="2"/>
      <c r="AU489" s="2"/>
      <c r="AV489" s="2"/>
    </row>
    <row r="490" spans="1:48" x14ac:dyDescent="0.2">
      <c r="A490" s="2"/>
      <c r="B490" s="25" t="s">
        <v>129</v>
      </c>
      <c r="C490" s="26">
        <v>1992</v>
      </c>
      <c r="D490" s="26">
        <v>1993</v>
      </c>
      <c r="E490" s="26">
        <v>1994</v>
      </c>
      <c r="F490" s="26">
        <v>1995</v>
      </c>
      <c r="G490" s="26">
        <v>1996</v>
      </c>
      <c r="H490" s="26">
        <v>1997</v>
      </c>
      <c r="I490" s="26">
        <v>1998</v>
      </c>
      <c r="J490" s="26">
        <v>1999</v>
      </c>
      <c r="K490" s="26">
        <v>2000</v>
      </c>
      <c r="L490" s="26">
        <v>2001</v>
      </c>
      <c r="M490" s="26">
        <v>2002</v>
      </c>
      <c r="N490" s="26">
        <v>2003</v>
      </c>
      <c r="O490" s="26">
        <v>2004</v>
      </c>
      <c r="P490" s="26">
        <v>2005</v>
      </c>
      <c r="Q490" s="26">
        <v>2006</v>
      </c>
      <c r="R490" s="26">
        <v>2007</v>
      </c>
      <c r="S490" s="26">
        <v>2008</v>
      </c>
      <c r="T490" s="26">
        <v>2009</v>
      </c>
      <c r="U490" s="26">
        <v>2010</v>
      </c>
      <c r="V490" s="26">
        <v>2011</v>
      </c>
      <c r="W490" s="26">
        <v>2012</v>
      </c>
      <c r="X490" s="26">
        <v>2013</v>
      </c>
      <c r="Y490" s="26">
        <v>2014</v>
      </c>
      <c r="Z490" s="26">
        <v>2015</v>
      </c>
      <c r="AA490" s="26">
        <v>2016</v>
      </c>
      <c r="AB490" s="26">
        <v>2017</v>
      </c>
      <c r="AC490" s="50">
        <v>2018</v>
      </c>
      <c r="AD490" s="50">
        <v>2019</v>
      </c>
      <c r="AE490" s="50">
        <v>2020</v>
      </c>
      <c r="AF490" s="50">
        <v>2021</v>
      </c>
      <c r="AG490" s="50">
        <v>2022</v>
      </c>
      <c r="AH490" s="50">
        <v>2023</v>
      </c>
      <c r="AI490" s="50">
        <v>2023</v>
      </c>
      <c r="AJ490" s="50">
        <v>2023</v>
      </c>
      <c r="AK490" s="50">
        <v>2023</v>
      </c>
      <c r="AL490" s="50">
        <v>2023</v>
      </c>
      <c r="AO490" s="2"/>
      <c r="AP490" s="2"/>
      <c r="AQ490" s="2"/>
      <c r="AR490" s="2"/>
      <c r="AS490" s="2"/>
      <c r="AT490" s="2"/>
      <c r="AU490" s="2"/>
      <c r="AV490" s="2"/>
    </row>
    <row r="491" spans="1:48" x14ac:dyDescent="0.2">
      <c r="A491" s="2"/>
      <c r="B491" s="8"/>
      <c r="C491" s="2"/>
      <c r="D491" s="2"/>
      <c r="E491" s="2"/>
      <c r="F491" s="2"/>
      <c r="G491" s="2"/>
      <c r="H491" s="2"/>
      <c r="I491" s="2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O491" s="2"/>
      <c r="AP491" s="2"/>
      <c r="AQ491" s="2"/>
      <c r="AR491" s="2"/>
      <c r="AS491" s="2"/>
      <c r="AT491" s="2"/>
      <c r="AU491" s="2"/>
      <c r="AV491" s="2"/>
    </row>
    <row r="492" spans="1:48" x14ac:dyDescent="0.2">
      <c r="A492" s="2"/>
      <c r="B492" s="2" t="s">
        <v>409</v>
      </c>
      <c r="C492" s="2"/>
      <c r="D492" s="2"/>
      <c r="E492" s="2"/>
      <c r="F492" s="2"/>
      <c r="G492" s="2"/>
      <c r="H492" s="2"/>
      <c r="I492" s="2"/>
      <c r="J492" s="97">
        <f t="shared" ref="J492:AH492" si="760">J88</f>
        <v>-3001.8829999999998</v>
      </c>
      <c r="K492" s="97">
        <f t="shared" si="760"/>
        <v>-3306.886</v>
      </c>
      <c r="L492" s="97">
        <f t="shared" si="760"/>
        <v>-3511.1640000000002</v>
      </c>
      <c r="M492" s="97">
        <f t="shared" si="760"/>
        <v>-3704.2689999999998</v>
      </c>
      <c r="N492" s="97">
        <f t="shared" si="760"/>
        <v>-3453.1320000000001</v>
      </c>
      <c r="O492" s="97">
        <f t="shared" si="760"/>
        <v>-3046.6060000000002</v>
      </c>
      <c r="P492" s="97">
        <f t="shared" si="760"/>
        <v>-3439</v>
      </c>
      <c r="Q492" s="97">
        <f t="shared" si="760"/>
        <v>-5589</v>
      </c>
      <c r="R492" s="97">
        <f t="shared" si="760"/>
        <v>-5417</v>
      </c>
      <c r="S492" s="97">
        <f t="shared" si="760"/>
        <v>-5543</v>
      </c>
      <c r="T492" s="97">
        <f t="shared" si="760"/>
        <v>-5669</v>
      </c>
      <c r="U492" s="97">
        <f t="shared" si="760"/>
        <v>-6260</v>
      </c>
      <c r="V492" s="97">
        <f t="shared" si="760"/>
        <v>-6993</v>
      </c>
      <c r="W492" s="97">
        <f t="shared" si="760"/>
        <v>-7780</v>
      </c>
      <c r="X492" s="97">
        <f t="shared" si="760"/>
        <v>-7202</v>
      </c>
      <c r="Y492" s="97">
        <f t="shared" si="760"/>
        <v>-7610</v>
      </c>
      <c r="Z492" s="97">
        <f t="shared" si="760"/>
        <v>-8748</v>
      </c>
      <c r="AA492" s="97">
        <f t="shared" si="760"/>
        <v>-9383</v>
      </c>
      <c r="AB492" s="97">
        <f t="shared" ref="AB492" si="761">AB88</f>
        <v>-10513</v>
      </c>
      <c r="AC492" s="97">
        <f t="shared" si="760"/>
        <v>-11033.133301306405</v>
      </c>
      <c r="AD492" s="97">
        <f t="shared" si="760"/>
        <v>-12009.926705637432</v>
      </c>
      <c r="AE492" s="97">
        <f t="shared" si="760"/>
        <v>-12925.927437170594</v>
      </c>
      <c r="AF492" s="97">
        <f t="shared" si="760"/>
        <v>-13790.756426601489</v>
      </c>
      <c r="AG492" s="97">
        <f t="shared" si="760"/>
        <v>-14660.05748367776</v>
      </c>
      <c r="AH492" s="97">
        <f t="shared" si="760"/>
        <v>-15552.306359052018</v>
      </c>
      <c r="AI492" s="97">
        <f t="shared" ref="AI492:AL492" si="762">AI88</f>
        <v>-16428.844393855208</v>
      </c>
      <c r="AJ492" s="97">
        <f t="shared" si="762"/>
        <v>-17426.828934833797</v>
      </c>
      <c r="AK492" s="97">
        <f t="shared" si="762"/>
        <v>-18418.909050396946</v>
      </c>
      <c r="AL492" s="97">
        <f t="shared" si="762"/>
        <v>-19447.152812763805</v>
      </c>
      <c r="AO492" s="2"/>
      <c r="AP492" s="2"/>
      <c r="AQ492" s="2"/>
      <c r="AR492" s="2"/>
      <c r="AS492" s="2"/>
      <c r="AT492" s="2"/>
      <c r="AU492" s="2"/>
      <c r="AV492" s="2"/>
    </row>
    <row r="493" spans="1:48" x14ac:dyDescent="0.2">
      <c r="A493" s="2"/>
      <c r="B493" s="2" t="s">
        <v>131</v>
      </c>
      <c r="C493" s="2"/>
      <c r="D493" s="2"/>
      <c r="E493" s="2"/>
      <c r="F493" s="2"/>
      <c r="G493" s="2"/>
      <c r="H493" s="2"/>
      <c r="I493" s="2"/>
      <c r="J493" s="97">
        <f t="shared" ref="J493:AH493" si="763">J98+J99</f>
        <v>-1807.2550000000001</v>
      </c>
      <c r="K493" s="97">
        <f t="shared" si="763"/>
        <v>-1921.3209999999999</v>
      </c>
      <c r="L493" s="97">
        <f t="shared" si="763"/>
        <v>-1950.47</v>
      </c>
      <c r="M493" s="97">
        <f t="shared" si="763"/>
        <v>-2160.3829999999998</v>
      </c>
      <c r="N493" s="97">
        <f t="shared" si="763"/>
        <v>-1001</v>
      </c>
      <c r="O493" s="97">
        <f t="shared" si="763"/>
        <v>-1016</v>
      </c>
      <c r="P493" s="97">
        <f t="shared" si="763"/>
        <v>-1149</v>
      </c>
      <c r="Q493" s="97">
        <f t="shared" si="763"/>
        <v>-1592</v>
      </c>
      <c r="R493" s="97">
        <f t="shared" si="763"/>
        <v>-1705</v>
      </c>
      <c r="S493" s="97">
        <f t="shared" si="763"/>
        <v>-1805</v>
      </c>
      <c r="T493" s="97">
        <f t="shared" si="763"/>
        <v>-1617</v>
      </c>
      <c r="U493" s="97">
        <f t="shared" si="763"/>
        <v>-1976</v>
      </c>
      <c r="V493" s="97">
        <f t="shared" si="763"/>
        <v>-2102</v>
      </c>
      <c r="W493" s="97">
        <f t="shared" si="763"/>
        <v>-2251</v>
      </c>
      <c r="X493" s="97">
        <f t="shared" si="763"/>
        <v>-2207</v>
      </c>
      <c r="Y493" s="97">
        <f t="shared" si="763"/>
        <v>-2350</v>
      </c>
      <c r="Z493" s="97">
        <f t="shared" si="763"/>
        <v>-2902</v>
      </c>
      <c r="AA493" s="97">
        <f t="shared" si="763"/>
        <v>-3138</v>
      </c>
      <c r="AB493" s="97">
        <f t="shared" ref="AB493" si="764">AB98+AB99</f>
        <v>-3481</v>
      </c>
      <c r="AC493" s="97">
        <f t="shared" si="763"/>
        <v>-3696.697942668784</v>
      </c>
      <c r="AD493" s="97">
        <f t="shared" si="763"/>
        <v>-4168.5500543127</v>
      </c>
      <c r="AE493" s="97">
        <f t="shared" si="763"/>
        <v>-4561.033336950436</v>
      </c>
      <c r="AF493" s="97">
        <f t="shared" si="763"/>
        <v>-4854.0482873477122</v>
      </c>
      <c r="AG493" s="97">
        <f t="shared" si="763"/>
        <v>-5175.9403945446829</v>
      </c>
      <c r="AH493" s="97">
        <f t="shared" si="763"/>
        <v>-5509.4228301765161</v>
      </c>
      <c r="AI493" s="97">
        <f t="shared" ref="AI493:AL493" si="765">AI98+AI99</f>
        <v>-5828.246115811311</v>
      </c>
      <c r="AJ493" s="97">
        <f t="shared" si="765"/>
        <v>-6166.4063052174206</v>
      </c>
      <c r="AK493" s="97">
        <f t="shared" si="765"/>
        <v>-6525.1142800041907</v>
      </c>
      <c r="AL493" s="97">
        <f t="shared" si="765"/>
        <v>-6898.4715948699195</v>
      </c>
      <c r="AO493" s="2"/>
      <c r="AP493" s="2"/>
      <c r="AQ493" s="2"/>
      <c r="AR493" s="2"/>
      <c r="AS493" s="2"/>
      <c r="AT493" s="2"/>
      <c r="AU493" s="2"/>
      <c r="AV493" s="2"/>
    </row>
    <row r="494" spans="1:48" x14ac:dyDescent="0.2">
      <c r="A494" s="2"/>
      <c r="B494" s="2" t="s">
        <v>89</v>
      </c>
      <c r="C494" s="2"/>
      <c r="D494" s="2"/>
      <c r="E494" s="2"/>
      <c r="F494" s="2"/>
      <c r="G494" s="2"/>
      <c r="H494" s="2"/>
      <c r="I494" s="2"/>
      <c r="J494" s="97">
        <f t="shared" ref="J494:AH494" si="766">J100</f>
        <v>0</v>
      </c>
      <c r="K494" s="97">
        <f t="shared" si="766"/>
        <v>0</v>
      </c>
      <c r="L494" s="97">
        <f t="shared" si="766"/>
        <v>0</v>
      </c>
      <c r="M494" s="97">
        <f t="shared" si="766"/>
        <v>0</v>
      </c>
      <c r="N494" s="97">
        <f t="shared" si="766"/>
        <v>-466</v>
      </c>
      <c r="O494" s="97">
        <f t="shared" si="766"/>
        <v>-454</v>
      </c>
      <c r="P494" s="97">
        <f t="shared" si="766"/>
        <v>-534</v>
      </c>
      <c r="Q494" s="97">
        <f t="shared" si="766"/>
        <v>-904</v>
      </c>
      <c r="R494" s="97">
        <f t="shared" si="766"/>
        <v>-1045</v>
      </c>
      <c r="S494" s="97">
        <f t="shared" si="766"/>
        <v>-1179</v>
      </c>
      <c r="T494" s="97">
        <f t="shared" si="766"/>
        <v>-1296</v>
      </c>
      <c r="U494" s="97">
        <f t="shared" si="766"/>
        <v>-1496</v>
      </c>
      <c r="V494" s="97">
        <f t="shared" si="766"/>
        <v>-1673</v>
      </c>
      <c r="W494" s="97">
        <f t="shared" si="766"/>
        <v>-1885</v>
      </c>
      <c r="X494" s="97">
        <f t="shared" si="766"/>
        <v>-1815</v>
      </c>
      <c r="Y494" s="97">
        <f t="shared" si="766"/>
        <v>-1915</v>
      </c>
      <c r="Z494" s="97">
        <f t="shared" si="766"/>
        <v>-2040</v>
      </c>
      <c r="AA494" s="97">
        <f t="shared" si="766"/>
        <v>-2137</v>
      </c>
      <c r="AB494" s="97">
        <f t="shared" ref="AB494" si="767">AB100</f>
        <v>-2351.6</v>
      </c>
      <c r="AC494" s="97">
        <f t="shared" si="766"/>
        <v>-2398.8671599999998</v>
      </c>
      <c r="AD494" s="97">
        <f t="shared" si="766"/>
        <v>-2447.084389916</v>
      </c>
      <c r="AE494" s="97">
        <f t="shared" si="766"/>
        <v>-2496.2707861533117</v>
      </c>
      <c r="AF494" s="97">
        <f t="shared" si="766"/>
        <v>-2546.4458289549934</v>
      </c>
      <c r="AG494" s="97">
        <f t="shared" si="766"/>
        <v>-2597.6293901169888</v>
      </c>
      <c r="AH494" s="97">
        <f t="shared" si="766"/>
        <v>-2649.84174085834</v>
      </c>
      <c r="AI494" s="97">
        <f t="shared" ref="AI494:AL494" si="768">AI100</f>
        <v>-2729.8669614322621</v>
      </c>
      <c r="AJ494" s="97">
        <f t="shared" si="768"/>
        <v>-2812.3089436675164</v>
      </c>
      <c r="AK494" s="97">
        <f t="shared" si="768"/>
        <v>-2897.2406737662754</v>
      </c>
      <c r="AL494" s="97">
        <f t="shared" si="768"/>
        <v>-2984.7373421140173</v>
      </c>
      <c r="AO494" s="2"/>
      <c r="AP494" s="2"/>
      <c r="AQ494" s="2"/>
      <c r="AR494" s="2"/>
      <c r="AS494" s="2"/>
      <c r="AT494" s="2"/>
      <c r="AU494" s="2"/>
      <c r="AV494" s="2"/>
    </row>
    <row r="495" spans="1:48" x14ac:dyDescent="0.2">
      <c r="A495" s="2"/>
      <c r="B495" s="2" t="s">
        <v>132</v>
      </c>
      <c r="C495" s="2"/>
      <c r="D495" s="2"/>
      <c r="E495" s="2"/>
      <c r="F495" s="2"/>
      <c r="G495" s="2"/>
      <c r="H495" s="2"/>
      <c r="I495" s="2"/>
      <c r="J495" s="97">
        <f t="shared" ref="J495:AA495" si="769">J263</f>
        <v>392.75099999999998</v>
      </c>
      <c r="K495" s="97">
        <f t="shared" si="769"/>
        <v>390.25</v>
      </c>
      <c r="L495" s="97">
        <f t="shared" si="769"/>
        <v>346.87599999999998</v>
      </c>
      <c r="M495" s="97">
        <f t="shared" si="769"/>
        <v>450.74799999999999</v>
      </c>
      <c r="N495" s="97">
        <f t="shared" si="769"/>
        <v>454.57299999999998</v>
      </c>
      <c r="O495" s="97">
        <f t="shared" si="769"/>
        <v>558.12099999999998</v>
      </c>
      <c r="P495" s="97">
        <f t="shared" si="769"/>
        <v>566</v>
      </c>
      <c r="Q495" s="97">
        <f t="shared" si="769"/>
        <v>606</v>
      </c>
      <c r="R495" s="97">
        <f t="shared" si="769"/>
        <v>707</v>
      </c>
      <c r="S495" s="97">
        <f t="shared" si="769"/>
        <v>690</v>
      </c>
      <c r="T495" s="97">
        <f t="shared" si="769"/>
        <v>625</v>
      </c>
      <c r="U495" s="97">
        <f t="shared" si="769"/>
        <v>842</v>
      </c>
      <c r="V495" s="97">
        <f t="shared" si="769"/>
        <v>992</v>
      </c>
      <c r="W495" s="97">
        <f t="shared" si="769"/>
        <v>1084</v>
      </c>
      <c r="X495" s="97">
        <f t="shared" si="769"/>
        <v>1147</v>
      </c>
      <c r="Y495" s="97">
        <f t="shared" si="769"/>
        <v>1249</v>
      </c>
      <c r="Z495" s="97">
        <f t="shared" si="769"/>
        <v>1684</v>
      </c>
      <c r="AA495" s="97">
        <f t="shared" si="769"/>
        <v>2023</v>
      </c>
      <c r="AB495" s="97">
        <f t="shared" ref="AB495" si="770">AB263</f>
        <v>2180</v>
      </c>
      <c r="AC495" s="97">
        <f t="shared" ref="AC495:AH495" si="771">(AC492*0.5+AC493*0.25+AC494*0.25)*-AC496</f>
        <v>2285.7778557897236</v>
      </c>
      <c r="AD495" s="97">
        <f t="shared" si="771"/>
        <v>2486.5541586306722</v>
      </c>
      <c r="AE495" s="97">
        <f t="shared" si="771"/>
        <v>2671.0985164688395</v>
      </c>
      <c r="AF495" s="97">
        <f t="shared" si="771"/>
        <v>2839.3428992398112</v>
      </c>
      <c r="AG495" s="97">
        <f t="shared" si="771"/>
        <v>3010.7389349927953</v>
      </c>
      <c r="AH495" s="97">
        <f t="shared" si="771"/>
        <v>3186.8843681473641</v>
      </c>
      <c r="AI495" s="97">
        <f t="shared" ref="AI495:AL495" si="772">(AI492*0.5+AI493*0.25+AI494*0.25)*-AI496</f>
        <v>3361.5470674420753</v>
      </c>
      <c r="AJ495" s="97">
        <f t="shared" si="772"/>
        <v>3557.6900284618159</v>
      </c>
      <c r="AK495" s="97">
        <f t="shared" si="772"/>
        <v>3754.7443745746359</v>
      </c>
      <c r="AL495" s="97">
        <f t="shared" si="772"/>
        <v>3959.0664348206974</v>
      </c>
      <c r="AO495" s="2"/>
      <c r="AP495" s="2"/>
      <c r="AQ495" s="2"/>
      <c r="AR495" s="2"/>
      <c r="AS495" s="2"/>
      <c r="AT495" s="2"/>
      <c r="AU495" s="2"/>
      <c r="AV495" s="2"/>
    </row>
    <row r="496" spans="1:48" x14ac:dyDescent="0.2">
      <c r="A496" s="2"/>
      <c r="B496" s="2" t="s">
        <v>133</v>
      </c>
      <c r="C496" s="2"/>
      <c r="D496" s="2"/>
      <c r="E496" s="2"/>
      <c r="F496" s="2"/>
      <c r="G496" s="2"/>
      <c r="H496" s="2"/>
      <c r="I496" s="2"/>
      <c r="J496" s="97">
        <f>J495/-((0.5*J492)+(0.25*J493)+(0.25*J494))</f>
        <v>0.20112658767656622</v>
      </c>
      <c r="K496" s="97">
        <f t="shared" ref="K496:AA496" si="773">K495/-((0.5*K492)+(0.25*K493)+(0.25*K494))</f>
        <v>0.18289197317475039</v>
      </c>
      <c r="L496" s="97">
        <f t="shared" si="773"/>
        <v>0.15463448525198045</v>
      </c>
      <c r="M496" s="97">
        <f t="shared" si="773"/>
        <v>0.18842166217068781</v>
      </c>
      <c r="N496" s="97">
        <f t="shared" si="773"/>
        <v>0.21715450510099765</v>
      </c>
      <c r="O496" s="97">
        <f t="shared" si="773"/>
        <v>0.29517670534688167</v>
      </c>
      <c r="P496" s="97">
        <f t="shared" si="773"/>
        <v>0.26445508702254411</v>
      </c>
      <c r="Q496" s="97">
        <f t="shared" si="773"/>
        <v>0.177270732777534</v>
      </c>
      <c r="R496" s="97">
        <f t="shared" si="773"/>
        <v>0.20818610129564194</v>
      </c>
      <c r="S496" s="97">
        <f t="shared" si="773"/>
        <v>0.19616204690831557</v>
      </c>
      <c r="T496" s="97">
        <f t="shared" si="773"/>
        <v>0.17542628587467546</v>
      </c>
      <c r="U496" s="97">
        <f t="shared" si="773"/>
        <v>0.21060530265132565</v>
      </c>
      <c r="V496" s="97">
        <f t="shared" si="773"/>
        <v>0.2234108439840099</v>
      </c>
      <c r="W496" s="97">
        <f t="shared" si="773"/>
        <v>0.22014622258326563</v>
      </c>
      <c r="X496" s="97">
        <f t="shared" si="773"/>
        <v>0.24899598393574296</v>
      </c>
      <c r="Y496" s="97">
        <f t="shared" si="773"/>
        <v>0.25640236079035156</v>
      </c>
      <c r="Z496" s="97">
        <f t="shared" si="773"/>
        <v>0.30020500935912292</v>
      </c>
      <c r="AA496" s="97">
        <f t="shared" si="773"/>
        <v>0.33659165592113471</v>
      </c>
      <c r="AB496" s="97">
        <f t="shared" ref="AB496" si="774">AB495/-((0.5*AB492)+(0.25*AB493)+(0.25*AB494))</f>
        <v>0.32466323635632538</v>
      </c>
      <c r="AC496" s="24">
        <f t="shared" ref="AC496:AL496" si="775">AB496</f>
        <v>0.32466323635632538</v>
      </c>
      <c r="AD496" s="24">
        <f t="shared" si="775"/>
        <v>0.32466323635632538</v>
      </c>
      <c r="AE496" s="24">
        <f t="shared" si="775"/>
        <v>0.32466323635632538</v>
      </c>
      <c r="AF496" s="24">
        <f t="shared" si="775"/>
        <v>0.32466323635632538</v>
      </c>
      <c r="AG496" s="24">
        <f t="shared" si="775"/>
        <v>0.32466323635632538</v>
      </c>
      <c r="AH496" s="24">
        <f t="shared" si="775"/>
        <v>0.32466323635632538</v>
      </c>
      <c r="AI496" s="24">
        <f t="shared" si="775"/>
        <v>0.32466323635632538</v>
      </c>
      <c r="AJ496" s="24">
        <f t="shared" si="775"/>
        <v>0.32466323635632538</v>
      </c>
      <c r="AK496" s="24">
        <f t="shared" si="775"/>
        <v>0.32466323635632538</v>
      </c>
      <c r="AL496" s="24">
        <f t="shared" si="775"/>
        <v>0.32466323635632538</v>
      </c>
      <c r="AO496" s="2"/>
      <c r="AP496" s="2"/>
      <c r="AQ496" s="2"/>
      <c r="AR496" s="2"/>
      <c r="AS496" s="2"/>
      <c r="AT496" s="2"/>
      <c r="AU496" s="2"/>
      <c r="AV496" s="2"/>
    </row>
    <row r="497" spans="1:48" x14ac:dyDescent="0.2">
      <c r="A497" s="2"/>
      <c r="B497" s="2" t="s">
        <v>130</v>
      </c>
      <c r="C497" s="2"/>
      <c r="D497" s="2"/>
      <c r="E497" s="2"/>
      <c r="F497" s="2"/>
      <c r="G497" s="2"/>
      <c r="H497" s="2"/>
      <c r="I497" s="2"/>
      <c r="J497" s="97">
        <f>-(J495/((0.5*J492)+(0.25*J493)+(0.25*J494)))*365</f>
        <v>73.411204501946671</v>
      </c>
      <c r="K497" s="97">
        <f t="shared" ref="K497:Z497" si="776">-(K495/((0.5*K492)+(0.25*K493)+(0.25*K494)))*365</f>
        <v>66.755570208783894</v>
      </c>
      <c r="L497" s="97">
        <f t="shared" si="776"/>
        <v>56.441587116972862</v>
      </c>
      <c r="M497" s="97">
        <f t="shared" si="776"/>
        <v>68.773906692301054</v>
      </c>
      <c r="N497" s="97">
        <f t="shared" si="776"/>
        <v>79.261394361864149</v>
      </c>
      <c r="O497" s="97">
        <f t="shared" si="776"/>
        <v>107.73949745161181</v>
      </c>
      <c r="P497" s="97">
        <f t="shared" si="776"/>
        <v>96.526106763228597</v>
      </c>
      <c r="Q497" s="97">
        <f t="shared" si="776"/>
        <v>64.703817463799908</v>
      </c>
      <c r="R497" s="97">
        <f>-(R495/((0.5*R492)+(0.25*R493)+(0.25*R494)))*365</f>
        <v>75.987926972909307</v>
      </c>
      <c r="S497" s="97">
        <f>-(S495/((0.5*S492)+(0.25*S493)+(0.25*S494)))*365</f>
        <v>71.599147121535182</v>
      </c>
      <c r="T497" s="97">
        <f t="shared" si="776"/>
        <v>64.030594344256542</v>
      </c>
      <c r="U497" s="97">
        <f t="shared" si="776"/>
        <v>76.870935467733858</v>
      </c>
      <c r="V497" s="97">
        <f t="shared" si="776"/>
        <v>81.544958054163615</v>
      </c>
      <c r="W497" s="97">
        <f t="shared" si="776"/>
        <v>80.353371242891953</v>
      </c>
      <c r="X497" s="97">
        <f t="shared" si="776"/>
        <v>90.883534136546174</v>
      </c>
      <c r="Y497" s="97">
        <f t="shared" si="776"/>
        <v>93.586861688478322</v>
      </c>
      <c r="Z497" s="97">
        <f t="shared" si="776"/>
        <v>109.57482841607987</v>
      </c>
      <c r="AA497" s="97">
        <f t="shared" ref="AA497:AH497" si="777">-(AA495/((0.5*AA492)+(0.25*AA493)+(0.25*AA494)))*365</f>
        <v>122.85595441121417</v>
      </c>
      <c r="AB497" s="97">
        <f t="shared" ref="AB497" si="778">-(AB495/((0.5*AB492)+(0.25*AB493)+(0.25*AB494)))*365</f>
        <v>118.50208127005877</v>
      </c>
      <c r="AC497" s="97">
        <f t="shared" si="777"/>
        <v>118.50208127005877</v>
      </c>
      <c r="AD497" s="97">
        <f t="shared" si="777"/>
        <v>118.50208127005877</v>
      </c>
      <c r="AE497" s="97">
        <f t="shared" si="777"/>
        <v>118.50208127005877</v>
      </c>
      <c r="AF497" s="97">
        <f t="shared" si="777"/>
        <v>118.50208127005877</v>
      </c>
      <c r="AG497" s="97">
        <f t="shared" si="777"/>
        <v>118.50208127005877</v>
      </c>
      <c r="AH497" s="97">
        <f t="shared" si="777"/>
        <v>118.50208127005877</v>
      </c>
      <c r="AI497" s="97">
        <f t="shared" ref="AI497:AL497" si="779">-(AI495/((0.5*AI492)+(0.25*AI493)+(0.25*AI494)))*365</f>
        <v>118.50208127005877</v>
      </c>
      <c r="AJ497" s="97">
        <f t="shared" si="779"/>
        <v>118.50208127005877</v>
      </c>
      <c r="AK497" s="97">
        <f t="shared" si="779"/>
        <v>118.50208127005877</v>
      </c>
      <c r="AL497" s="97">
        <f t="shared" si="779"/>
        <v>118.50208127005877</v>
      </c>
      <c r="AO497" s="97"/>
      <c r="AP497" s="97"/>
      <c r="AQ497" s="97"/>
      <c r="AR497" s="97"/>
      <c r="AS497" s="97"/>
      <c r="AT497" s="97"/>
      <c r="AU497" s="97"/>
      <c r="AV497" s="97"/>
    </row>
    <row r="498" spans="1:48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6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O498" s="2"/>
      <c r="AP498" s="2"/>
      <c r="AQ498" s="2"/>
      <c r="AR498" s="2"/>
      <c r="AS498" s="2"/>
      <c r="AT498" s="2"/>
      <c r="AU498" s="2"/>
      <c r="AV498" s="2"/>
    </row>
    <row r="499" spans="1:48" x14ac:dyDescent="0.2">
      <c r="A499" s="2"/>
      <c r="B499" s="25" t="s">
        <v>403</v>
      </c>
      <c r="C499" s="26">
        <f t="shared" ref="C499:AH499" si="780">C5</f>
        <v>1992</v>
      </c>
      <c r="D499" s="26">
        <f t="shared" si="780"/>
        <v>1993</v>
      </c>
      <c r="E499" s="26">
        <f t="shared" si="780"/>
        <v>1994</v>
      </c>
      <c r="F499" s="26">
        <f t="shared" si="780"/>
        <v>1995</v>
      </c>
      <c r="G499" s="26">
        <f t="shared" si="780"/>
        <v>1996</v>
      </c>
      <c r="H499" s="26">
        <f t="shared" si="780"/>
        <v>1997</v>
      </c>
      <c r="I499" s="26">
        <f t="shared" si="780"/>
        <v>1998</v>
      </c>
      <c r="J499" s="26">
        <f t="shared" si="780"/>
        <v>1999</v>
      </c>
      <c r="K499" s="26">
        <f t="shared" si="780"/>
        <v>2000</v>
      </c>
      <c r="L499" s="26">
        <f t="shared" si="780"/>
        <v>2001</v>
      </c>
      <c r="M499" s="26">
        <f t="shared" si="780"/>
        <v>2002</v>
      </c>
      <c r="N499" s="26">
        <f t="shared" si="780"/>
        <v>2003</v>
      </c>
      <c r="O499" s="26">
        <f t="shared" si="780"/>
        <v>2004</v>
      </c>
      <c r="P499" s="26">
        <f t="shared" si="780"/>
        <v>2005</v>
      </c>
      <c r="Q499" s="26">
        <f t="shared" si="780"/>
        <v>2006</v>
      </c>
      <c r="R499" s="26">
        <f t="shared" si="780"/>
        <v>2007</v>
      </c>
      <c r="S499" s="26">
        <f t="shared" si="780"/>
        <v>2008</v>
      </c>
      <c r="T499" s="26">
        <f t="shared" si="780"/>
        <v>2009</v>
      </c>
      <c r="U499" s="26">
        <f t="shared" si="780"/>
        <v>2010</v>
      </c>
      <c r="V499" s="26">
        <f t="shared" si="780"/>
        <v>2011</v>
      </c>
      <c r="W499" s="26">
        <f t="shared" si="780"/>
        <v>2012</v>
      </c>
      <c r="X499" s="26">
        <f t="shared" si="780"/>
        <v>2013</v>
      </c>
      <c r="Y499" s="26">
        <f t="shared" si="780"/>
        <v>2014</v>
      </c>
      <c r="Z499" s="26">
        <f t="shared" si="780"/>
        <v>2015</v>
      </c>
      <c r="AA499" s="26">
        <f t="shared" si="780"/>
        <v>2016</v>
      </c>
      <c r="AB499" s="26">
        <f t="shared" si="780"/>
        <v>2017</v>
      </c>
      <c r="AC499" s="50">
        <f t="shared" si="780"/>
        <v>2018</v>
      </c>
      <c r="AD499" s="50">
        <f t="shared" si="780"/>
        <v>2019</v>
      </c>
      <c r="AE499" s="50">
        <f t="shared" si="780"/>
        <v>2020</v>
      </c>
      <c r="AF499" s="50">
        <f t="shared" si="780"/>
        <v>2021</v>
      </c>
      <c r="AG499" s="50">
        <f t="shared" si="780"/>
        <v>2022</v>
      </c>
      <c r="AH499" s="50">
        <f t="shared" si="780"/>
        <v>2023</v>
      </c>
      <c r="AI499" s="50">
        <f t="shared" ref="AI499:AL499" si="781">AI5</f>
        <v>2024</v>
      </c>
      <c r="AJ499" s="50">
        <f t="shared" si="781"/>
        <v>2025</v>
      </c>
      <c r="AK499" s="50">
        <f t="shared" si="781"/>
        <v>2026</v>
      </c>
      <c r="AL499" s="50">
        <f t="shared" si="781"/>
        <v>2027</v>
      </c>
      <c r="AO499" s="2"/>
      <c r="AP499" s="2"/>
      <c r="AQ499" s="2"/>
      <c r="AR499" s="2"/>
      <c r="AS499" s="2"/>
      <c r="AT499" s="2"/>
      <c r="AU499" s="2"/>
      <c r="AV499" s="2"/>
    </row>
    <row r="500" spans="1:48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O500" s="2"/>
      <c r="AP500" s="2"/>
      <c r="AQ500" s="2"/>
      <c r="AR500" s="2"/>
      <c r="AS500" s="2"/>
      <c r="AT500" s="2"/>
      <c r="AU500" s="2"/>
      <c r="AV500" s="2"/>
    </row>
    <row r="501" spans="1:48" x14ac:dyDescent="0.2">
      <c r="A501" s="2"/>
      <c r="B501" s="2" t="s">
        <v>406</v>
      </c>
      <c r="C501" s="2"/>
      <c r="D501" s="2"/>
      <c r="E501" s="2"/>
      <c r="F501" s="2"/>
      <c r="G501" s="2"/>
      <c r="H501" s="2"/>
      <c r="I501" s="2"/>
      <c r="J501" s="6">
        <f t="shared" ref="J501:AH501" si="782">J84</f>
        <v>5353.9489999999996</v>
      </c>
      <c r="K501" s="6">
        <f t="shared" si="782"/>
        <v>5834.8050000000003</v>
      </c>
      <c r="L501" s="6">
        <f t="shared" si="782"/>
        <v>6112.3469999999998</v>
      </c>
      <c r="M501" s="6">
        <f t="shared" si="782"/>
        <v>6523.4189999999999</v>
      </c>
      <c r="N501" s="6">
        <f t="shared" si="782"/>
        <v>6266.8</v>
      </c>
      <c r="O501" s="6">
        <f t="shared" si="782"/>
        <v>5860.0079999999998</v>
      </c>
      <c r="P501" s="6">
        <f t="shared" si="782"/>
        <v>6636</v>
      </c>
      <c r="Q501" s="6">
        <f t="shared" si="782"/>
        <v>10084</v>
      </c>
      <c r="R501" s="6">
        <f t="shared" si="782"/>
        <v>10299</v>
      </c>
      <c r="S501" s="6">
        <f t="shared" si="782"/>
        <v>10799</v>
      </c>
      <c r="T501" s="6">
        <f t="shared" si="782"/>
        <v>10381</v>
      </c>
      <c r="U501" s="6">
        <f t="shared" si="782"/>
        <v>11990</v>
      </c>
      <c r="V501" s="6">
        <f t="shared" si="782"/>
        <v>13322</v>
      </c>
      <c r="W501" s="6">
        <f t="shared" si="782"/>
        <v>14883</v>
      </c>
      <c r="X501" s="6">
        <f t="shared" si="782"/>
        <v>14203</v>
      </c>
      <c r="Y501" s="6">
        <f t="shared" si="782"/>
        <v>14533.9</v>
      </c>
      <c r="Z501" s="6">
        <f t="shared" si="782"/>
        <v>16915.049641526937</v>
      </c>
      <c r="AA501" s="6">
        <f t="shared" si="782"/>
        <v>18483</v>
      </c>
      <c r="AB501" s="6">
        <f t="shared" si="782"/>
        <v>21217</v>
      </c>
      <c r="AC501" s="6">
        <f t="shared" si="782"/>
        <v>22404.229955568389</v>
      </c>
      <c r="AD501" s="6">
        <f t="shared" si="782"/>
        <v>24520.882672427644</v>
      </c>
      <c r="AE501" s="6">
        <f t="shared" si="782"/>
        <v>26517.6356799444</v>
      </c>
      <c r="AF501" s="6">
        <f t="shared" si="782"/>
        <v>28386.247294431065</v>
      </c>
      <c r="AG501" s="6">
        <f t="shared" si="782"/>
        <v>30268.657278039078</v>
      </c>
      <c r="AH501" s="6">
        <f t="shared" si="782"/>
        <v>32218.84696009658</v>
      </c>
      <c r="AI501" s="6">
        <f t="shared" ref="AI501:AL501" si="783">AI84</f>
        <v>34083.310618779593</v>
      </c>
      <c r="AJ501" s="6">
        <f t="shared" si="783"/>
        <v>36060.855586066784</v>
      </c>
      <c r="AK501" s="6">
        <f t="shared" si="783"/>
        <v>38158.56304096018</v>
      </c>
      <c r="AL501" s="6">
        <f t="shared" si="783"/>
        <v>40341.939151286075</v>
      </c>
      <c r="AO501" s="2"/>
      <c r="AP501" s="2"/>
      <c r="AQ501" s="2"/>
      <c r="AR501" s="2"/>
      <c r="AS501" s="2"/>
      <c r="AT501" s="2"/>
      <c r="AU501" s="2"/>
      <c r="AV501" s="2"/>
    </row>
    <row r="502" spans="1:48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O502" s="2"/>
      <c r="AP502" s="2"/>
      <c r="AQ502" s="2"/>
      <c r="AR502" s="2"/>
      <c r="AS502" s="2"/>
      <c r="AT502" s="2"/>
      <c r="AU502" s="2"/>
      <c r="AV502" s="2"/>
    </row>
    <row r="503" spans="1:48" x14ac:dyDescent="0.2">
      <c r="A503" s="2"/>
      <c r="B503" s="2" t="s">
        <v>127</v>
      </c>
      <c r="C503" s="2"/>
      <c r="D503" s="2"/>
      <c r="E503" s="2"/>
      <c r="F503" s="2"/>
      <c r="G503" s="2"/>
      <c r="H503" s="2"/>
      <c r="I503" s="2"/>
      <c r="J503" s="6">
        <v>101.349</v>
      </c>
      <c r="K503" s="6">
        <v>124.815</v>
      </c>
      <c r="L503" s="6">
        <v>159.73699999999999</v>
      </c>
      <c r="M503" s="6">
        <v>155.54599999999999</v>
      </c>
      <c r="N503" s="6">
        <v>109.673</v>
      </c>
      <c r="O503" s="6">
        <v>118.2</v>
      </c>
      <c r="P503" s="6">
        <v>188</v>
      </c>
      <c r="Q503" s="6">
        <v>218</v>
      </c>
      <c r="R503" s="6">
        <v>230</v>
      </c>
      <c r="S503" s="6">
        <v>316</v>
      </c>
      <c r="T503" s="6">
        <v>195</v>
      </c>
      <c r="U503" s="6">
        <v>227</v>
      </c>
      <c r="V503" s="6">
        <v>318</v>
      </c>
      <c r="W503" s="6">
        <v>376</v>
      </c>
      <c r="X503" s="6">
        <f>X511-X507</f>
        <v>428.4</v>
      </c>
      <c r="Y503" s="6">
        <f>Y511-Y507</f>
        <v>506</v>
      </c>
      <c r="Z503" s="6">
        <f>Z511-Z507</f>
        <v>464</v>
      </c>
      <c r="AA503" s="6">
        <f>AA511-AA507</f>
        <v>586</v>
      </c>
      <c r="AB503" s="6">
        <f>AB511-AB507</f>
        <v>680.5</v>
      </c>
      <c r="AC503" s="6">
        <f t="shared" ref="AC503:AH503" si="784">(AC504/100)*AC501</f>
        <v>896.16919822273564</v>
      </c>
      <c r="AD503" s="6">
        <f t="shared" si="784"/>
        <v>931.79354155225042</v>
      </c>
      <c r="AE503" s="6">
        <f t="shared" si="784"/>
        <v>954.63488447799853</v>
      </c>
      <c r="AF503" s="6">
        <f t="shared" si="784"/>
        <v>965.13240801065626</v>
      </c>
      <c r="AG503" s="6">
        <f t="shared" si="784"/>
        <v>968.59703289725053</v>
      </c>
      <c r="AH503" s="6">
        <f t="shared" si="784"/>
        <v>1031.0031027230905</v>
      </c>
      <c r="AI503" s="6">
        <f t="shared" ref="AI503:AL503" si="785">(AI504/100)*AI501</f>
        <v>1090.6659398009469</v>
      </c>
      <c r="AJ503" s="6">
        <f t="shared" si="785"/>
        <v>1153.9473787541372</v>
      </c>
      <c r="AK503" s="6">
        <f t="shared" si="785"/>
        <v>1182.9154542697656</v>
      </c>
      <c r="AL503" s="6">
        <f t="shared" si="785"/>
        <v>1210.2581745385821</v>
      </c>
      <c r="AO503" s="2"/>
      <c r="AP503" s="2"/>
      <c r="AQ503" s="2"/>
      <c r="AR503" s="2"/>
      <c r="AS503" s="2"/>
      <c r="AT503" s="2"/>
      <c r="AU503" s="2"/>
      <c r="AV503" s="2"/>
    </row>
    <row r="504" spans="1:48" x14ac:dyDescent="0.2">
      <c r="A504" s="2"/>
      <c r="B504" s="2" t="s">
        <v>407</v>
      </c>
      <c r="C504" s="2"/>
      <c r="D504" s="2"/>
      <c r="E504" s="2"/>
      <c r="F504" s="2"/>
      <c r="G504" s="2"/>
      <c r="H504" s="2"/>
      <c r="I504" s="2"/>
      <c r="J504" s="6">
        <f t="shared" ref="J504:AB504" si="786">J503/J501%</f>
        <v>1.8929765673897905</v>
      </c>
      <c r="K504" s="6">
        <f t="shared" si="786"/>
        <v>2.1391460382994802</v>
      </c>
      <c r="L504" s="6">
        <f t="shared" si="786"/>
        <v>2.6133496674845196</v>
      </c>
      <c r="M504" s="6">
        <f t="shared" si="786"/>
        <v>2.3844244866074065</v>
      </c>
      <c r="N504" s="6">
        <f t="shared" si="786"/>
        <v>1.7500638284291825</v>
      </c>
      <c r="O504" s="6">
        <f t="shared" si="786"/>
        <v>2.0170620927479965</v>
      </c>
      <c r="P504" s="6">
        <f t="shared" si="786"/>
        <v>2.8330319469559977</v>
      </c>
      <c r="Q504" s="6">
        <f t="shared" si="786"/>
        <v>2.1618405394684648</v>
      </c>
      <c r="R504" s="6">
        <f t="shared" si="786"/>
        <v>2.2332265268472669</v>
      </c>
      <c r="S504" s="6">
        <f t="shared" si="786"/>
        <v>2.9261968700805632</v>
      </c>
      <c r="T504" s="6">
        <f t="shared" si="786"/>
        <v>1.8784317503130719</v>
      </c>
      <c r="U504" s="6">
        <f t="shared" si="786"/>
        <v>1.8932443703085904</v>
      </c>
      <c r="V504" s="6">
        <f t="shared" si="786"/>
        <v>2.3870289746284343</v>
      </c>
      <c r="W504" s="6">
        <f>W503/W501%</f>
        <v>2.5263723711617279</v>
      </c>
      <c r="X504" s="6">
        <f t="shared" si="786"/>
        <v>3.0162641695416461</v>
      </c>
      <c r="Y504" s="6">
        <f t="shared" si="786"/>
        <v>3.4815156289777693</v>
      </c>
      <c r="Z504" s="6">
        <f>Z503/Z501%</f>
        <v>2.7431193513075276</v>
      </c>
      <c r="AA504" s="6">
        <f t="shared" si="786"/>
        <v>3.1704809825244817</v>
      </c>
      <c r="AB504" s="6">
        <f t="shared" si="786"/>
        <v>3.2073337418108121</v>
      </c>
      <c r="AC504" s="24">
        <v>4</v>
      </c>
      <c r="AD504" s="24">
        <v>3.8</v>
      </c>
      <c r="AE504" s="24">
        <v>3.6</v>
      </c>
      <c r="AF504" s="24">
        <v>3.4</v>
      </c>
      <c r="AG504" s="24">
        <v>3.2</v>
      </c>
      <c r="AH504" s="24">
        <v>3.2</v>
      </c>
      <c r="AI504" s="24">
        <v>3.2</v>
      </c>
      <c r="AJ504" s="24">
        <v>3.2</v>
      </c>
      <c r="AK504" s="24">
        <v>3.1</v>
      </c>
      <c r="AL504" s="24">
        <v>3</v>
      </c>
      <c r="AO504" s="2"/>
      <c r="AP504" s="2"/>
      <c r="AQ504" s="2"/>
      <c r="AR504" s="2"/>
      <c r="AS504" s="2"/>
      <c r="AT504" s="2"/>
      <c r="AU504" s="2"/>
      <c r="AV504" s="2"/>
    </row>
    <row r="505" spans="1:48" x14ac:dyDescent="0.2">
      <c r="A505" s="35"/>
      <c r="B505" s="35" t="s">
        <v>306</v>
      </c>
      <c r="C505" s="36"/>
      <c r="D505" s="36"/>
      <c r="E505" s="36"/>
      <c r="F505" s="93"/>
      <c r="G505" s="93"/>
      <c r="H505" s="93"/>
      <c r="I505" s="93"/>
      <c r="J505" s="93" t="str">
        <f t="shared" ref="J505:Z505" si="787">IF(ISERROR((J503-I503)/I503%),"na",(J503-I503)/I503%)</f>
        <v>na</v>
      </c>
      <c r="K505" s="93">
        <f t="shared" si="787"/>
        <v>23.153657164846219</v>
      </c>
      <c r="L505" s="93">
        <f t="shared" si="787"/>
        <v>27.979008933221166</v>
      </c>
      <c r="M505" s="93">
        <f t="shared" si="787"/>
        <v>-2.6236876866349079</v>
      </c>
      <c r="N505" s="93">
        <f t="shared" si="787"/>
        <v>-29.491597340979514</v>
      </c>
      <c r="O505" s="93">
        <f t="shared" si="787"/>
        <v>7.7749309310404575</v>
      </c>
      <c r="P505" s="93">
        <f t="shared" si="787"/>
        <v>59.052453468697124</v>
      </c>
      <c r="Q505" s="93">
        <f t="shared" si="787"/>
        <v>15.957446808510639</v>
      </c>
      <c r="R505" s="93">
        <f t="shared" si="787"/>
        <v>5.5045871559633026</v>
      </c>
      <c r="S505" s="93">
        <f t="shared" si="787"/>
        <v>37.391304347826093</v>
      </c>
      <c r="T505" s="93">
        <f t="shared" si="787"/>
        <v>-38.291139240506325</v>
      </c>
      <c r="U505" s="93">
        <f t="shared" si="787"/>
        <v>16.410256410256412</v>
      </c>
      <c r="V505" s="93">
        <f t="shared" si="787"/>
        <v>40.088105726872243</v>
      </c>
      <c r="W505" s="93">
        <f t="shared" si="787"/>
        <v>18.238993710691823</v>
      </c>
      <c r="X505" s="93">
        <f t="shared" si="787"/>
        <v>13.936170212765953</v>
      </c>
      <c r="Y505" s="93">
        <f t="shared" si="787"/>
        <v>18.113912231559297</v>
      </c>
      <c r="Z505" s="93">
        <f t="shared" si="787"/>
        <v>-8.3003952569169961</v>
      </c>
      <c r="AA505" s="93">
        <f t="shared" ref="AA505:AL505" si="788">IF(ISERROR((AA503-Z503)/Z503%),"na",(AA503-Z503)/Z503%)</f>
        <v>26.293103448275865</v>
      </c>
      <c r="AB505" s="93">
        <f t="shared" si="788"/>
        <v>16.126279863481226</v>
      </c>
      <c r="AC505" s="93">
        <f t="shared" si="788"/>
        <v>31.692755065795101</v>
      </c>
      <c r="AD505" s="93">
        <f t="shared" si="788"/>
        <v>3.9751805128054207</v>
      </c>
      <c r="AE505" s="93">
        <f t="shared" si="788"/>
        <v>2.4513308911432588</v>
      </c>
      <c r="AF505" s="93">
        <f t="shared" si="788"/>
        <v>1.0996375371719065</v>
      </c>
      <c r="AG505" s="93">
        <f t="shared" si="788"/>
        <v>0.35897922998312704</v>
      </c>
      <c r="AH505" s="93">
        <f t="shared" si="788"/>
        <v>6.4429342343917781</v>
      </c>
      <c r="AI505" s="93">
        <f t="shared" si="788"/>
        <v>5.7868726990515054</v>
      </c>
      <c r="AJ505" s="93">
        <f t="shared" si="788"/>
        <v>5.8020917903367781</v>
      </c>
      <c r="AK505" s="93">
        <f t="shared" si="788"/>
        <v>2.510346316389569</v>
      </c>
      <c r="AL505" s="93">
        <f t="shared" si="788"/>
        <v>2.3114686827466997</v>
      </c>
      <c r="AM505" s="35"/>
      <c r="AN505" s="35"/>
      <c r="AO505" s="35"/>
      <c r="AP505" s="35"/>
      <c r="AQ505" s="35"/>
      <c r="AR505" s="35"/>
      <c r="AS505" s="35"/>
      <c r="AT505" s="35"/>
      <c r="AU505" s="35"/>
      <c r="AV505" s="35"/>
    </row>
    <row r="506" spans="1:48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O506" s="2"/>
      <c r="AP506" s="2"/>
      <c r="AQ506" s="2"/>
      <c r="AR506" s="2"/>
      <c r="AS506" s="2"/>
      <c r="AT506" s="2"/>
      <c r="AU506" s="2"/>
      <c r="AV506" s="2"/>
    </row>
    <row r="507" spans="1:48" x14ac:dyDescent="0.2">
      <c r="A507" s="2"/>
      <c r="B507" s="2" t="s">
        <v>34</v>
      </c>
      <c r="C507" s="2"/>
      <c r="D507" s="2"/>
      <c r="E507" s="2"/>
      <c r="F507" s="2"/>
      <c r="G507" s="2"/>
      <c r="H507" s="2"/>
      <c r="I507" s="2"/>
      <c r="J507" s="6">
        <f t="shared" ref="J507:AA507" si="789">-J204</f>
        <v>31.187000000000001</v>
      </c>
      <c r="K507" s="6">
        <f t="shared" si="789"/>
        <v>24.562000000000001</v>
      </c>
      <c r="L507" s="6">
        <f t="shared" si="789"/>
        <v>42.338000000000001</v>
      </c>
      <c r="M507" s="6">
        <f t="shared" si="789"/>
        <v>150.64699999999999</v>
      </c>
      <c r="N507" s="6">
        <f t="shared" si="789"/>
        <v>35.031999999999996</v>
      </c>
      <c r="O507" s="6">
        <f t="shared" si="789"/>
        <v>43.148000000000003</v>
      </c>
      <c r="P507" s="6">
        <f t="shared" si="789"/>
        <v>21</v>
      </c>
      <c r="Q507" s="6">
        <f t="shared" si="789"/>
        <v>56</v>
      </c>
      <c r="R507" s="6">
        <f t="shared" si="789"/>
        <v>45</v>
      </c>
      <c r="S507" s="6">
        <f t="shared" si="789"/>
        <v>52</v>
      </c>
      <c r="T507" s="6">
        <f t="shared" si="789"/>
        <v>36</v>
      </c>
      <c r="U507" s="6">
        <f t="shared" si="789"/>
        <v>25</v>
      </c>
      <c r="V507" s="6">
        <f t="shared" si="789"/>
        <v>58</v>
      </c>
      <c r="W507" s="6">
        <f t="shared" si="789"/>
        <v>57</v>
      </c>
      <c r="X507" s="6">
        <f t="shared" si="789"/>
        <v>50.6</v>
      </c>
      <c r="Y507" s="6">
        <f t="shared" si="789"/>
        <v>48</v>
      </c>
      <c r="Z507" s="6">
        <f t="shared" si="789"/>
        <v>49</v>
      </c>
      <c r="AA507" s="6">
        <f t="shared" si="789"/>
        <v>65</v>
      </c>
      <c r="AB507" s="6">
        <f t="shared" ref="AB507" si="790">-AB204</f>
        <v>74.5</v>
      </c>
      <c r="AC507" s="6">
        <f t="shared" ref="AC507:AL507" si="791">AB507*(1+AC509/100)</f>
        <v>76.734999999999999</v>
      </c>
      <c r="AD507" s="6">
        <f t="shared" si="791"/>
        <v>77.502350000000007</v>
      </c>
      <c r="AE507" s="6">
        <f t="shared" si="791"/>
        <v>78.27737350000001</v>
      </c>
      <c r="AF507" s="6">
        <f t="shared" si="791"/>
        <v>78.27737350000001</v>
      </c>
      <c r="AG507" s="6">
        <f t="shared" si="791"/>
        <v>78.27737350000001</v>
      </c>
      <c r="AH507" s="6">
        <f t="shared" si="791"/>
        <v>78.27737350000001</v>
      </c>
      <c r="AI507" s="6">
        <f t="shared" si="791"/>
        <v>78.27737350000001</v>
      </c>
      <c r="AJ507" s="6">
        <f t="shared" si="791"/>
        <v>78.27737350000001</v>
      </c>
      <c r="AK507" s="6">
        <f t="shared" si="791"/>
        <v>78.27737350000001</v>
      </c>
      <c r="AL507" s="6">
        <f t="shared" si="791"/>
        <v>78.27737350000001</v>
      </c>
      <c r="AO507" s="2"/>
      <c r="AP507" s="2"/>
      <c r="AQ507" s="2"/>
      <c r="AR507" s="2"/>
      <c r="AS507" s="2"/>
      <c r="AT507" s="2"/>
      <c r="AU507" s="2"/>
      <c r="AV507" s="2"/>
    </row>
    <row r="508" spans="1:48" x14ac:dyDescent="0.2">
      <c r="A508" s="2"/>
      <c r="B508" s="2" t="s">
        <v>407</v>
      </c>
      <c r="C508" s="2"/>
      <c r="D508" s="2"/>
      <c r="E508" s="2"/>
      <c r="F508" s="2"/>
      <c r="G508" s="2"/>
      <c r="H508" s="2"/>
      <c r="I508" s="2"/>
      <c r="J508" s="6">
        <f t="shared" ref="J508:R508" si="792">J507/J501%</f>
        <v>0.58250461481795968</v>
      </c>
      <c r="K508" s="6">
        <f t="shared" si="792"/>
        <v>0.42095665579226726</v>
      </c>
      <c r="L508" s="6">
        <f t="shared" si="792"/>
        <v>0.69266355460512963</v>
      </c>
      <c r="M508" s="6">
        <f t="shared" si="792"/>
        <v>2.3093258305192417</v>
      </c>
      <c r="N508" s="6">
        <f t="shared" si="792"/>
        <v>0.55900938277908974</v>
      </c>
      <c r="O508" s="6">
        <f t="shared" si="792"/>
        <v>0.73631298796861722</v>
      </c>
      <c r="P508" s="6">
        <f t="shared" si="792"/>
        <v>0.31645569620253167</v>
      </c>
      <c r="Q508" s="6">
        <f t="shared" si="792"/>
        <v>0.5553351844506148</v>
      </c>
      <c r="R508" s="6">
        <f t="shared" si="792"/>
        <v>0.43693562481794351</v>
      </c>
      <c r="S508" s="6">
        <f>S507/S501%</f>
        <v>0.4815260672284471</v>
      </c>
      <c r="T508" s="6">
        <f>T507/T501%</f>
        <v>0.3467874000577979</v>
      </c>
      <c r="U508" s="6">
        <f>U507/U501%</f>
        <v>0.20850708924103417</v>
      </c>
      <c r="V508" s="6">
        <f t="shared" ref="V508:Y508" si="793">V507/V501%</f>
        <v>0.43537006455487165</v>
      </c>
      <c r="W508" s="6">
        <f>W507/W501%</f>
        <v>0.38298730094738959</v>
      </c>
      <c r="X508" s="6">
        <f t="shared" si="793"/>
        <v>0.35626276138843904</v>
      </c>
      <c r="Y508" s="6">
        <f t="shared" si="793"/>
        <v>0.33026235215599392</v>
      </c>
      <c r="Z508" s="6">
        <f t="shared" ref="Z508:AH508" si="794">Z507/Z501%</f>
        <v>0.28968286253032083</v>
      </c>
      <c r="AA508" s="6">
        <f t="shared" si="794"/>
        <v>0.35167451171346642</v>
      </c>
      <c r="AB508" s="6">
        <f t="shared" ref="AB508" si="795">AB507/AB501%</f>
        <v>0.3511335250035349</v>
      </c>
      <c r="AC508" s="6">
        <f t="shared" si="794"/>
        <v>0.34250228707783881</v>
      </c>
      <c r="AD508" s="6">
        <f t="shared" si="794"/>
        <v>0.31606672172183692</v>
      </c>
      <c r="AE508" s="6">
        <f t="shared" si="794"/>
        <v>0.29518986701820515</v>
      </c>
      <c r="AF508" s="6">
        <f t="shared" si="794"/>
        <v>0.27575809048685629</v>
      </c>
      <c r="AG508" s="6">
        <f t="shared" si="794"/>
        <v>0.25860867491070655</v>
      </c>
      <c r="AH508" s="6">
        <f t="shared" si="794"/>
        <v>0.24295522926983532</v>
      </c>
      <c r="AI508" s="6">
        <f t="shared" ref="AI508:AL508" si="796">AI507/AI501%</f>
        <v>0.22966481858387869</v>
      </c>
      <c r="AJ508" s="6">
        <f t="shared" si="796"/>
        <v>0.21707020598325702</v>
      </c>
      <c r="AK508" s="6">
        <f t="shared" si="796"/>
        <v>0.2051371101578838</v>
      </c>
      <c r="AL508" s="6">
        <f t="shared" si="796"/>
        <v>0.19403473196083235</v>
      </c>
      <c r="AO508" s="2"/>
      <c r="AP508" s="2"/>
      <c r="AQ508" s="2"/>
      <c r="AR508" s="2"/>
      <c r="AS508" s="2"/>
      <c r="AT508" s="2"/>
      <c r="AU508" s="2"/>
      <c r="AV508" s="2"/>
    </row>
    <row r="509" spans="1:48" x14ac:dyDescent="0.2">
      <c r="A509" s="35"/>
      <c r="B509" s="35" t="s">
        <v>306</v>
      </c>
      <c r="C509" s="36"/>
      <c r="D509" s="36"/>
      <c r="E509" s="36"/>
      <c r="F509" s="93"/>
      <c r="G509" s="93"/>
      <c r="H509" s="93"/>
      <c r="I509" s="93"/>
      <c r="J509" s="93" t="str">
        <f t="shared" ref="J509:W509" si="797">IF(ISERROR((J507-I507)/I507%),"na",(J507-I507)/I507%)</f>
        <v>na</v>
      </c>
      <c r="K509" s="93">
        <f t="shared" si="797"/>
        <v>-21.242825536281142</v>
      </c>
      <c r="L509" s="93">
        <f t="shared" si="797"/>
        <v>72.371956681052026</v>
      </c>
      <c r="M509" s="93">
        <f t="shared" si="797"/>
        <v>255.81983088478432</v>
      </c>
      <c r="N509" s="93">
        <f t="shared" si="797"/>
        <v>-76.745637151752106</v>
      </c>
      <c r="O509" s="93">
        <f t="shared" si="797"/>
        <v>23.167389815026283</v>
      </c>
      <c r="P509" s="93">
        <f t="shared" si="797"/>
        <v>-51.330304996755359</v>
      </c>
      <c r="Q509" s="93">
        <f t="shared" si="797"/>
        <v>166.66666666666669</v>
      </c>
      <c r="R509" s="93">
        <f t="shared" si="797"/>
        <v>-19.642857142857142</v>
      </c>
      <c r="S509" s="93">
        <f t="shared" si="797"/>
        <v>15.555555555555555</v>
      </c>
      <c r="T509" s="93">
        <f t="shared" si="797"/>
        <v>-30.769230769230766</v>
      </c>
      <c r="U509" s="93">
        <f t="shared" si="797"/>
        <v>-30.555555555555557</v>
      </c>
      <c r="V509" s="93">
        <f t="shared" si="797"/>
        <v>132</v>
      </c>
      <c r="W509" s="93">
        <f t="shared" si="797"/>
        <v>-1.7241379310344829</v>
      </c>
      <c r="X509" s="93">
        <f>IF(ISERROR((X507-W507)/W507%),"na",(X507-W507)/W507%)</f>
        <v>-11.228070175438594</v>
      </c>
      <c r="Y509" s="93">
        <f>IF(ISERROR((Y507-X507)/X507%),"na",(Y507-X507)/X507%)</f>
        <v>-5.1383399209486198</v>
      </c>
      <c r="Z509" s="93">
        <f>IF(ISERROR((Z507-Y507)/Y507%),"na",(Z507-Y507)/Y507%)</f>
        <v>2.0833333333333335</v>
      </c>
      <c r="AA509" s="93">
        <f>IF(ISERROR((AA507-Z507)/Z507%),"na",(AA507-Z507)/Z507%)</f>
        <v>32.653061224489797</v>
      </c>
      <c r="AB509" s="93">
        <f>IF(ISERROR((AB507-AA507)/AA507%),"na",(AB507-AA507)/AA507%)</f>
        <v>14.615384615384615</v>
      </c>
      <c r="AC509" s="24">
        <v>3</v>
      </c>
      <c r="AD509" s="24">
        <v>1</v>
      </c>
      <c r="AE509" s="24">
        <v>1</v>
      </c>
      <c r="AF509" s="24">
        <v>0</v>
      </c>
      <c r="AG509" s="24">
        <v>0</v>
      </c>
      <c r="AH509" s="24">
        <v>0</v>
      </c>
      <c r="AI509" s="24">
        <v>0</v>
      </c>
      <c r="AJ509" s="24">
        <v>0</v>
      </c>
      <c r="AK509" s="24">
        <v>0</v>
      </c>
      <c r="AL509" s="24">
        <v>0</v>
      </c>
      <c r="AM509" s="35"/>
      <c r="AN509" s="35"/>
      <c r="AO509" s="35"/>
      <c r="AP509" s="35"/>
      <c r="AQ509" s="35"/>
      <c r="AR509" s="35"/>
      <c r="AS509" s="35"/>
      <c r="AT509" s="35"/>
      <c r="AU509" s="35"/>
      <c r="AV509" s="35"/>
    </row>
    <row r="510" spans="1:48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O510" s="2"/>
      <c r="AP510" s="2"/>
      <c r="AQ510" s="2"/>
      <c r="AR510" s="2"/>
      <c r="AS510" s="2"/>
      <c r="AT510" s="2"/>
      <c r="AU510" s="2"/>
      <c r="AV510" s="2"/>
    </row>
    <row r="511" spans="1:48" x14ac:dyDescent="0.2">
      <c r="A511" s="2"/>
      <c r="B511" s="2" t="s">
        <v>36</v>
      </c>
      <c r="C511" s="2"/>
      <c r="D511" s="2"/>
      <c r="E511" s="2"/>
      <c r="F511" s="2"/>
      <c r="G511" s="2"/>
      <c r="H511" s="2"/>
      <c r="I511" s="2"/>
      <c r="J511" s="14">
        <f t="shared" ref="J511:W511" si="798">J503+J507</f>
        <v>132.536</v>
      </c>
      <c r="K511" s="14">
        <f t="shared" si="798"/>
        <v>149.37700000000001</v>
      </c>
      <c r="L511" s="14">
        <f t="shared" si="798"/>
        <v>202.07499999999999</v>
      </c>
      <c r="M511" s="14">
        <f t="shared" si="798"/>
        <v>306.19299999999998</v>
      </c>
      <c r="N511" s="14">
        <f t="shared" si="798"/>
        <v>144.70499999999998</v>
      </c>
      <c r="O511" s="14">
        <f t="shared" si="798"/>
        <v>161.34800000000001</v>
      </c>
      <c r="P511" s="14">
        <f t="shared" si="798"/>
        <v>209</v>
      </c>
      <c r="Q511" s="14">
        <f t="shared" si="798"/>
        <v>274</v>
      </c>
      <c r="R511" s="14">
        <f t="shared" si="798"/>
        <v>275</v>
      </c>
      <c r="S511" s="14">
        <f t="shared" si="798"/>
        <v>368</v>
      </c>
      <c r="T511" s="14">
        <f t="shared" si="798"/>
        <v>231</v>
      </c>
      <c r="U511" s="14">
        <f t="shared" si="798"/>
        <v>252</v>
      </c>
      <c r="V511" s="14">
        <f t="shared" si="798"/>
        <v>376</v>
      </c>
      <c r="W511" s="14">
        <f t="shared" si="798"/>
        <v>433</v>
      </c>
      <c r="X511" s="14">
        <v>479</v>
      </c>
      <c r="Y511" s="14">
        <v>554</v>
      </c>
      <c r="Z511" s="14">
        <v>513</v>
      </c>
      <c r="AA511" s="241">
        <v>651</v>
      </c>
      <c r="AB511" s="241">
        <v>755</v>
      </c>
      <c r="AC511" s="14">
        <f t="shared" ref="AC511:AH511" si="799">AC503+AC507</f>
        <v>972.90419822273566</v>
      </c>
      <c r="AD511" s="14">
        <f t="shared" si="799"/>
        <v>1009.2958915522504</v>
      </c>
      <c r="AE511" s="14">
        <f t="shared" si="799"/>
        <v>1032.9122579779985</v>
      </c>
      <c r="AF511" s="14">
        <f t="shared" si="799"/>
        <v>1043.4097815106563</v>
      </c>
      <c r="AG511" s="14">
        <f t="shared" si="799"/>
        <v>1046.8744063972506</v>
      </c>
      <c r="AH511" s="14">
        <f t="shared" si="799"/>
        <v>1109.2804762230905</v>
      </c>
      <c r="AI511" s="14">
        <f t="shared" ref="AI511:AL511" si="800">AI503+AI507</f>
        <v>1168.943313300947</v>
      </c>
      <c r="AJ511" s="14">
        <f t="shared" si="800"/>
        <v>1232.2247522541372</v>
      </c>
      <c r="AK511" s="14">
        <f t="shared" si="800"/>
        <v>1261.1928277697657</v>
      </c>
      <c r="AL511" s="14">
        <f t="shared" si="800"/>
        <v>1288.5355480385822</v>
      </c>
      <c r="AO511" s="2"/>
      <c r="AP511" s="2"/>
      <c r="AQ511" s="2"/>
      <c r="AR511" s="2"/>
      <c r="AS511" s="2"/>
      <c r="AT511" s="2"/>
      <c r="AU511" s="2"/>
      <c r="AV511" s="2"/>
    </row>
    <row r="512" spans="1:48" x14ac:dyDescent="0.2">
      <c r="A512" s="2"/>
      <c r="B512" s="2" t="s">
        <v>407</v>
      </c>
      <c r="C512" s="2"/>
      <c r="D512" s="2"/>
      <c r="E512" s="2"/>
      <c r="F512" s="2"/>
      <c r="G512" s="2"/>
      <c r="H512" s="2"/>
      <c r="I512" s="2"/>
      <c r="J512" s="6">
        <f t="shared" ref="J512:Y512" si="801">J511/J501%</f>
        <v>2.47548118220775</v>
      </c>
      <c r="K512" s="6">
        <f t="shared" si="801"/>
        <v>2.5601026940917477</v>
      </c>
      <c r="L512" s="6">
        <f t="shared" si="801"/>
        <v>3.306013222089649</v>
      </c>
      <c r="M512" s="6">
        <f t="shared" si="801"/>
        <v>4.6937503171266481</v>
      </c>
      <c r="N512" s="6">
        <f t="shared" si="801"/>
        <v>2.3090732112082719</v>
      </c>
      <c r="O512" s="6">
        <f t="shared" si="801"/>
        <v>2.7533750807166135</v>
      </c>
      <c r="P512" s="6">
        <f t="shared" si="801"/>
        <v>3.1494876431585292</v>
      </c>
      <c r="Q512" s="6">
        <f t="shared" si="801"/>
        <v>2.7171757239190795</v>
      </c>
      <c r="R512" s="6">
        <f t="shared" si="801"/>
        <v>2.6701621516652105</v>
      </c>
      <c r="S512" s="6">
        <f t="shared" si="801"/>
        <v>3.4077229373090101</v>
      </c>
      <c r="T512" s="6">
        <f t="shared" si="801"/>
        <v>2.2252191503708696</v>
      </c>
      <c r="U512" s="14">
        <f t="shared" si="801"/>
        <v>2.1017514595496247</v>
      </c>
      <c r="V512" s="14">
        <f t="shared" si="801"/>
        <v>2.8223990391833058</v>
      </c>
      <c r="W512" s="14">
        <f>W511/W501%</f>
        <v>2.9093596721091175</v>
      </c>
      <c r="X512" s="14">
        <f t="shared" si="801"/>
        <v>3.3725269309300852</v>
      </c>
      <c r="Y512" s="14">
        <f t="shared" si="801"/>
        <v>3.8117779811337633</v>
      </c>
      <c r="Z512" s="14">
        <f t="shared" ref="Z512:AH512" si="802">Z511/Z501%</f>
        <v>3.0328022138378485</v>
      </c>
      <c r="AA512" s="14">
        <f t="shared" si="802"/>
        <v>3.522155494237948</v>
      </c>
      <c r="AB512" s="14">
        <f t="shared" ref="AB512" si="803">AB511/AB501%</f>
        <v>3.5584672668143473</v>
      </c>
      <c r="AC512" s="14">
        <f t="shared" si="802"/>
        <v>4.3425022870778394</v>
      </c>
      <c r="AD512" s="14">
        <f t="shared" si="802"/>
        <v>4.116066721721837</v>
      </c>
      <c r="AE512" s="14">
        <f t="shared" si="802"/>
        <v>3.895189867018205</v>
      </c>
      <c r="AF512" s="14">
        <f t="shared" si="802"/>
        <v>3.6757580904868568</v>
      </c>
      <c r="AG512" s="14">
        <f t="shared" si="802"/>
        <v>3.4586086749107068</v>
      </c>
      <c r="AH512" s="14">
        <f t="shared" si="802"/>
        <v>3.4429552292698355</v>
      </c>
      <c r="AI512" s="14">
        <f t="shared" ref="AI512:AL512" si="804">AI511/AI501%</f>
        <v>3.4296648185838787</v>
      </c>
      <c r="AJ512" s="14">
        <f t="shared" si="804"/>
        <v>3.4170702059832574</v>
      </c>
      <c r="AK512" s="14">
        <f t="shared" si="804"/>
        <v>3.3051371101578844</v>
      </c>
      <c r="AL512" s="14">
        <f t="shared" si="804"/>
        <v>3.1940347319608322</v>
      </c>
      <c r="AO512" s="2"/>
      <c r="AP512" s="2"/>
      <c r="AQ512" s="2"/>
      <c r="AR512" s="2"/>
      <c r="AS512" s="2"/>
      <c r="AT512" s="2"/>
      <c r="AU512" s="2"/>
      <c r="AV512" s="2"/>
    </row>
    <row r="513" spans="1:48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6">
        <f t="shared" ref="K513:T513" si="805">(K511-J511)/J511%</f>
        <v>12.706736282972178</v>
      </c>
      <c r="L513" s="6">
        <f t="shared" si="805"/>
        <v>35.278523467468204</v>
      </c>
      <c r="M513" s="6">
        <f t="shared" si="805"/>
        <v>51.524433997278237</v>
      </c>
      <c r="N513" s="6">
        <f t="shared" si="805"/>
        <v>-52.740591718295327</v>
      </c>
      <c r="O513" s="6">
        <f t="shared" si="805"/>
        <v>11.501330292664406</v>
      </c>
      <c r="P513" s="6">
        <f t="shared" si="805"/>
        <v>29.533678756476675</v>
      </c>
      <c r="Q513" s="6">
        <f t="shared" si="805"/>
        <v>31.100478468899524</v>
      </c>
      <c r="R513" s="6">
        <f t="shared" si="805"/>
        <v>0.36496350364963503</v>
      </c>
      <c r="S513" s="6">
        <f t="shared" si="805"/>
        <v>33.81818181818182</v>
      </c>
      <c r="T513" s="6">
        <f t="shared" si="805"/>
        <v>-37.228260869565219</v>
      </c>
      <c r="U513" s="6">
        <f>(U511-T511)/T511%</f>
        <v>9.0909090909090899</v>
      </c>
      <c r="V513" s="6">
        <f t="shared" ref="V513:Z513" si="806">(V511-U511)/U511%</f>
        <v>49.206349206349209</v>
      </c>
      <c r="W513" s="6">
        <f t="shared" si="806"/>
        <v>15.159574468085108</v>
      </c>
      <c r="X513" s="6">
        <f t="shared" si="806"/>
        <v>10.623556581986143</v>
      </c>
      <c r="Y513" s="6">
        <f t="shared" si="806"/>
        <v>15.657620041753653</v>
      </c>
      <c r="Z513" s="6">
        <f t="shared" si="806"/>
        <v>-7.4007220216606502</v>
      </c>
      <c r="AA513" s="6">
        <f t="shared" ref="AA513:AL513" si="807">(AA511-Z511)/Z511%</f>
        <v>26.900584795321638</v>
      </c>
      <c r="AB513" s="6">
        <f t="shared" si="807"/>
        <v>15.975422427035332</v>
      </c>
      <c r="AC513" s="6">
        <f t="shared" si="807"/>
        <v>28.861483208309359</v>
      </c>
      <c r="AD513" s="6">
        <f t="shared" si="807"/>
        <v>3.7405217693575277</v>
      </c>
      <c r="AE513" s="6">
        <f t="shared" si="807"/>
        <v>2.3398853223733234</v>
      </c>
      <c r="AF513" s="6">
        <f t="shared" si="807"/>
        <v>1.0163035099619715</v>
      </c>
      <c r="AG513" s="6">
        <f t="shared" si="807"/>
        <v>0.33204834265384747</v>
      </c>
      <c r="AH513" s="6">
        <f t="shared" si="807"/>
        <v>5.9611801993141018</v>
      </c>
      <c r="AI513" s="6">
        <f t="shared" si="807"/>
        <v>5.3785168275022901</v>
      </c>
      <c r="AJ513" s="6">
        <f t="shared" si="807"/>
        <v>5.4135592575906442</v>
      </c>
      <c r="AK513" s="6">
        <f t="shared" si="807"/>
        <v>2.3508759633854539</v>
      </c>
      <c r="AL513" s="6">
        <f t="shared" si="807"/>
        <v>2.1680047385908527</v>
      </c>
      <c r="AO513" s="2"/>
      <c r="AP513" s="2"/>
      <c r="AQ513" s="2"/>
      <c r="AR513" s="2"/>
      <c r="AS513" s="2"/>
      <c r="AT513" s="2"/>
      <c r="AU513" s="2"/>
      <c r="AV513" s="2"/>
    </row>
    <row r="514" spans="1:48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O514" s="2"/>
      <c r="AP514" s="2"/>
      <c r="AQ514" s="2"/>
      <c r="AR514" s="2"/>
      <c r="AS514" s="2"/>
      <c r="AT514" s="2"/>
      <c r="AU514" s="2"/>
      <c r="AV514" s="2"/>
    </row>
    <row r="515" spans="1:48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O515" s="2"/>
      <c r="AP515" s="2"/>
      <c r="AQ515" s="2"/>
      <c r="AR515" s="2"/>
      <c r="AS515" s="2"/>
      <c r="AT515" s="2"/>
      <c r="AU515" s="2"/>
      <c r="AV515" s="2"/>
    </row>
    <row r="516" spans="1:48" x14ac:dyDescent="0.2">
      <c r="A516" s="2"/>
      <c r="B516" s="8" t="s">
        <v>251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>
        <f>171*8</f>
        <v>1368</v>
      </c>
      <c r="R516" s="2">
        <f>212*8</f>
        <v>1696</v>
      </c>
      <c r="S516" s="2">
        <f>213*8</f>
        <v>1704</v>
      </c>
      <c r="T516" s="2">
        <f>360*8</f>
        <v>2880</v>
      </c>
      <c r="U516" s="2">
        <f>404*8</f>
        <v>3232</v>
      </c>
      <c r="V516" s="2">
        <f>449*8</f>
        <v>3592</v>
      </c>
      <c r="W516" s="2">
        <f>456*8</f>
        <v>3648</v>
      </c>
      <c r="X516" s="2">
        <f>447*8</f>
        <v>3576</v>
      </c>
      <c r="Y516" s="2">
        <f>476*8</f>
        <v>3808</v>
      </c>
      <c r="Z516" s="2">
        <f>516*8</f>
        <v>4128</v>
      </c>
      <c r="AA516" s="242">
        <f>688*8</f>
        <v>5504</v>
      </c>
      <c r="AB516" s="242">
        <f>722*8</f>
        <v>5776</v>
      </c>
      <c r="AC516" s="2">
        <f t="shared" ref="AC516:AL516" si="808">AB516</f>
        <v>5776</v>
      </c>
      <c r="AD516" s="2">
        <f t="shared" si="808"/>
        <v>5776</v>
      </c>
      <c r="AE516" s="2">
        <f t="shared" si="808"/>
        <v>5776</v>
      </c>
      <c r="AF516" s="2">
        <f t="shared" si="808"/>
        <v>5776</v>
      </c>
      <c r="AG516" s="2">
        <f t="shared" si="808"/>
        <v>5776</v>
      </c>
      <c r="AH516" s="2">
        <f t="shared" si="808"/>
        <v>5776</v>
      </c>
      <c r="AI516" s="2">
        <f t="shared" si="808"/>
        <v>5776</v>
      </c>
      <c r="AJ516" s="2">
        <f t="shared" si="808"/>
        <v>5776</v>
      </c>
      <c r="AK516" s="2">
        <f t="shared" si="808"/>
        <v>5776</v>
      </c>
      <c r="AL516" s="2">
        <f t="shared" si="808"/>
        <v>5776</v>
      </c>
      <c r="AO516" s="2"/>
      <c r="AP516" s="2"/>
      <c r="AQ516" s="2"/>
      <c r="AR516" s="2"/>
      <c r="AS516" s="2"/>
      <c r="AT516" s="2"/>
      <c r="AU516" s="2"/>
      <c r="AV516" s="2"/>
    </row>
    <row r="517" spans="1:48" x14ac:dyDescent="0.2">
      <c r="A517" s="2"/>
      <c r="B517" s="8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O517" s="2"/>
      <c r="AP517" s="2"/>
      <c r="AQ517" s="2"/>
      <c r="AR517" s="2"/>
      <c r="AS517" s="2"/>
      <c r="AT517" s="2"/>
      <c r="AU517" s="2"/>
      <c r="AV517" s="2"/>
    </row>
    <row r="518" spans="1:48" x14ac:dyDescent="0.2">
      <c r="A518" s="2"/>
      <c r="B518" s="25" t="s">
        <v>43</v>
      </c>
      <c r="C518" s="26">
        <f t="shared" ref="C518:AH518" si="809">C5</f>
        <v>1992</v>
      </c>
      <c r="D518" s="26">
        <f t="shared" si="809"/>
        <v>1993</v>
      </c>
      <c r="E518" s="26">
        <f t="shared" si="809"/>
        <v>1994</v>
      </c>
      <c r="F518" s="26">
        <f t="shared" si="809"/>
        <v>1995</v>
      </c>
      <c r="G518" s="26">
        <f t="shared" si="809"/>
        <v>1996</v>
      </c>
      <c r="H518" s="26">
        <f t="shared" si="809"/>
        <v>1997</v>
      </c>
      <c r="I518" s="26">
        <f t="shared" si="809"/>
        <v>1998</v>
      </c>
      <c r="J518" s="26">
        <f t="shared" si="809"/>
        <v>1999</v>
      </c>
      <c r="K518" s="26">
        <f t="shared" si="809"/>
        <v>2000</v>
      </c>
      <c r="L518" s="26">
        <f t="shared" si="809"/>
        <v>2001</v>
      </c>
      <c r="M518" s="26">
        <f t="shared" si="809"/>
        <v>2002</v>
      </c>
      <c r="N518" s="26">
        <f t="shared" si="809"/>
        <v>2003</v>
      </c>
      <c r="O518" s="26">
        <f t="shared" si="809"/>
        <v>2004</v>
      </c>
      <c r="P518" s="26">
        <f t="shared" si="809"/>
        <v>2005</v>
      </c>
      <c r="Q518" s="26">
        <f t="shared" si="809"/>
        <v>2006</v>
      </c>
      <c r="R518" s="26">
        <f t="shared" si="809"/>
        <v>2007</v>
      </c>
      <c r="S518" s="26">
        <f t="shared" si="809"/>
        <v>2008</v>
      </c>
      <c r="T518" s="26">
        <f t="shared" si="809"/>
        <v>2009</v>
      </c>
      <c r="U518" s="26">
        <f t="shared" si="809"/>
        <v>2010</v>
      </c>
      <c r="V518" s="26">
        <f t="shared" si="809"/>
        <v>2011</v>
      </c>
      <c r="W518" s="26">
        <f t="shared" si="809"/>
        <v>2012</v>
      </c>
      <c r="X518" s="26">
        <f t="shared" si="809"/>
        <v>2013</v>
      </c>
      <c r="Y518" s="26">
        <f t="shared" si="809"/>
        <v>2014</v>
      </c>
      <c r="Z518" s="26">
        <f t="shared" si="809"/>
        <v>2015</v>
      </c>
      <c r="AA518" s="26">
        <f t="shared" si="809"/>
        <v>2016</v>
      </c>
      <c r="AB518" s="26">
        <f t="shared" si="809"/>
        <v>2017</v>
      </c>
      <c r="AC518" s="50">
        <f t="shared" si="809"/>
        <v>2018</v>
      </c>
      <c r="AD518" s="50">
        <f t="shared" si="809"/>
        <v>2019</v>
      </c>
      <c r="AE518" s="50">
        <f t="shared" si="809"/>
        <v>2020</v>
      </c>
      <c r="AF518" s="50">
        <f t="shared" si="809"/>
        <v>2021</v>
      </c>
      <c r="AG518" s="50">
        <f t="shared" si="809"/>
        <v>2022</v>
      </c>
      <c r="AH518" s="50">
        <f t="shared" si="809"/>
        <v>2023</v>
      </c>
      <c r="AI518" s="50">
        <f t="shared" ref="AI518:AL518" si="810">AI5</f>
        <v>2024</v>
      </c>
      <c r="AJ518" s="50">
        <f t="shared" si="810"/>
        <v>2025</v>
      </c>
      <c r="AK518" s="50">
        <f t="shared" si="810"/>
        <v>2026</v>
      </c>
      <c r="AL518" s="50">
        <f t="shared" si="810"/>
        <v>2027</v>
      </c>
      <c r="AO518" s="2"/>
      <c r="AP518" s="2"/>
      <c r="AQ518" s="2"/>
      <c r="AR518" s="2"/>
      <c r="AS518" s="2"/>
      <c r="AT518" s="2"/>
      <c r="AU518" s="2"/>
      <c r="AV518" s="2"/>
    </row>
    <row r="519" spans="1:48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O519" s="2"/>
      <c r="AP519" s="2"/>
      <c r="AQ519" s="2"/>
      <c r="AR519" s="2"/>
      <c r="AS519" s="2"/>
      <c r="AT519" s="2"/>
      <c r="AU519" s="2"/>
      <c r="AV519" s="2"/>
    </row>
    <row r="520" spans="1:48" x14ac:dyDescent="0.2">
      <c r="A520" s="2"/>
      <c r="B520" s="2" t="s">
        <v>301</v>
      </c>
      <c r="C520" s="2"/>
      <c r="D520" s="2"/>
      <c r="E520" s="2"/>
      <c r="F520" s="2"/>
      <c r="G520" s="2"/>
      <c r="H520" s="2"/>
      <c r="I520" s="2"/>
      <c r="J520" s="6">
        <f t="shared" ref="J520:AH520" si="811">J84</f>
        <v>5353.9489999999996</v>
      </c>
      <c r="K520" s="6">
        <f t="shared" si="811"/>
        <v>5834.8050000000003</v>
      </c>
      <c r="L520" s="6">
        <f t="shared" si="811"/>
        <v>6112.3469999999998</v>
      </c>
      <c r="M520" s="6">
        <f t="shared" si="811"/>
        <v>6523.4189999999999</v>
      </c>
      <c r="N520" s="6">
        <f t="shared" si="811"/>
        <v>6266.8</v>
      </c>
      <c r="O520" s="6">
        <f t="shared" si="811"/>
        <v>5860.0079999999998</v>
      </c>
      <c r="P520" s="6">
        <f t="shared" si="811"/>
        <v>6636</v>
      </c>
      <c r="Q520" s="6">
        <f t="shared" si="811"/>
        <v>10084</v>
      </c>
      <c r="R520" s="6">
        <f t="shared" si="811"/>
        <v>10299</v>
      </c>
      <c r="S520" s="6">
        <f t="shared" si="811"/>
        <v>10799</v>
      </c>
      <c r="T520" s="6">
        <f t="shared" si="811"/>
        <v>10381</v>
      </c>
      <c r="U520" s="6">
        <f t="shared" si="811"/>
        <v>11990</v>
      </c>
      <c r="V520" s="6">
        <f t="shared" si="811"/>
        <v>13322</v>
      </c>
      <c r="W520" s="6">
        <f t="shared" si="811"/>
        <v>14883</v>
      </c>
      <c r="X520" s="6">
        <f t="shared" si="811"/>
        <v>14203</v>
      </c>
      <c r="Y520" s="6">
        <f t="shared" si="811"/>
        <v>14533.9</v>
      </c>
      <c r="Z520" s="6">
        <f t="shared" si="811"/>
        <v>16915.049641526937</v>
      </c>
      <c r="AA520" s="6">
        <f t="shared" si="811"/>
        <v>18483</v>
      </c>
      <c r="AB520" s="6">
        <f t="shared" si="811"/>
        <v>21217</v>
      </c>
      <c r="AC520" s="6">
        <f t="shared" si="811"/>
        <v>22404.229955568389</v>
      </c>
      <c r="AD520" s="6">
        <f t="shared" si="811"/>
        <v>24520.882672427644</v>
      </c>
      <c r="AE520" s="6">
        <f t="shared" si="811"/>
        <v>26517.6356799444</v>
      </c>
      <c r="AF520" s="6">
        <f t="shared" si="811"/>
        <v>28386.247294431065</v>
      </c>
      <c r="AG520" s="6">
        <f t="shared" si="811"/>
        <v>30268.657278039078</v>
      </c>
      <c r="AH520" s="6">
        <f t="shared" si="811"/>
        <v>32218.84696009658</v>
      </c>
      <c r="AI520" s="6">
        <f t="shared" ref="AI520:AL520" si="812">AI84</f>
        <v>34083.310618779593</v>
      </c>
      <c r="AJ520" s="6">
        <f t="shared" si="812"/>
        <v>36060.855586066784</v>
      </c>
      <c r="AK520" s="6">
        <f t="shared" si="812"/>
        <v>38158.56304096018</v>
      </c>
      <c r="AL520" s="6">
        <f t="shared" si="812"/>
        <v>40341.939151286075</v>
      </c>
      <c r="AO520" s="2"/>
      <c r="AP520" s="2"/>
      <c r="AQ520" s="2"/>
      <c r="AR520" s="2"/>
      <c r="AS520" s="2"/>
      <c r="AT520" s="2"/>
      <c r="AU520" s="2"/>
      <c r="AV520" s="2"/>
    </row>
    <row r="521" spans="1:48" x14ac:dyDescent="0.2">
      <c r="A521" s="2"/>
      <c r="B521" s="47" t="s">
        <v>44</v>
      </c>
      <c r="C521" s="2"/>
      <c r="D521" s="2"/>
      <c r="E521" s="2"/>
      <c r="F521" s="2"/>
      <c r="G521" s="2"/>
      <c r="H521" s="2"/>
      <c r="I521" s="2"/>
      <c r="J521" s="6">
        <f>J520-I520</f>
        <v>5353.9489999999996</v>
      </c>
      <c r="K521" s="6">
        <f>K520-J520</f>
        <v>480.85600000000068</v>
      </c>
      <c r="L521" s="6">
        <f>L520-K520</f>
        <v>277.54199999999946</v>
      </c>
      <c r="M521" s="6">
        <f t="shared" ref="M521:Y521" si="813">M520-L520</f>
        <v>411.07200000000012</v>
      </c>
      <c r="N521" s="6">
        <f t="shared" si="813"/>
        <v>-256.61899999999969</v>
      </c>
      <c r="O521" s="6">
        <f t="shared" si="813"/>
        <v>-406.79200000000037</v>
      </c>
      <c r="P521" s="6">
        <f t="shared" si="813"/>
        <v>775.99200000000019</v>
      </c>
      <c r="Q521" s="6">
        <f t="shared" si="813"/>
        <v>3448</v>
      </c>
      <c r="R521" s="6">
        <f>R520-Q520</f>
        <v>215</v>
      </c>
      <c r="S521" s="6">
        <f t="shared" si="813"/>
        <v>500</v>
      </c>
      <c r="T521" s="6">
        <f t="shared" si="813"/>
        <v>-418</v>
      </c>
      <c r="U521" s="6">
        <f t="shared" si="813"/>
        <v>1609</v>
      </c>
      <c r="V521" s="6">
        <f t="shared" si="813"/>
        <v>1332</v>
      </c>
      <c r="W521" s="6">
        <f>W520-V520</f>
        <v>1561</v>
      </c>
      <c r="X521" s="6">
        <f>X520-W520</f>
        <v>-680</v>
      </c>
      <c r="Y521" s="6">
        <f t="shared" si="813"/>
        <v>330.89999999999964</v>
      </c>
      <c r="Z521" s="6">
        <f t="shared" ref="Z521:AL521" si="814">Z520-Y520</f>
        <v>2381.1496415269376</v>
      </c>
      <c r="AA521" s="6">
        <f t="shared" si="814"/>
        <v>1567.9503584730628</v>
      </c>
      <c r="AB521" s="6">
        <f t="shared" si="814"/>
        <v>2734</v>
      </c>
      <c r="AC521" s="6">
        <f t="shared" si="814"/>
        <v>1187.2299555683894</v>
      </c>
      <c r="AD521" s="6">
        <f t="shared" si="814"/>
        <v>2116.6527168592547</v>
      </c>
      <c r="AE521" s="6">
        <f t="shared" si="814"/>
        <v>1996.753007516756</v>
      </c>
      <c r="AF521" s="6">
        <f t="shared" si="814"/>
        <v>1868.6116144866646</v>
      </c>
      <c r="AG521" s="6">
        <f t="shared" si="814"/>
        <v>1882.4099836080131</v>
      </c>
      <c r="AH521" s="6">
        <f t="shared" si="814"/>
        <v>1950.1896820575021</v>
      </c>
      <c r="AI521" s="6">
        <f t="shared" si="814"/>
        <v>1864.4636586830129</v>
      </c>
      <c r="AJ521" s="6">
        <f t="shared" si="814"/>
        <v>1977.544967287191</v>
      </c>
      <c r="AK521" s="6">
        <f t="shared" si="814"/>
        <v>2097.7074548933961</v>
      </c>
      <c r="AL521" s="6">
        <f t="shared" si="814"/>
        <v>2183.3761103258948</v>
      </c>
      <c r="AO521" s="2"/>
      <c r="AP521" s="2"/>
      <c r="AQ521" s="2"/>
      <c r="AR521" s="2"/>
      <c r="AS521" s="2"/>
      <c r="AT521" s="2"/>
      <c r="AU521" s="2"/>
      <c r="AV521" s="2"/>
    </row>
    <row r="522" spans="1:48" x14ac:dyDescent="0.2">
      <c r="A522" s="2"/>
      <c r="B522" s="47"/>
      <c r="C522" s="2"/>
      <c r="D522" s="2"/>
      <c r="E522" s="2"/>
      <c r="F522" s="2"/>
      <c r="G522" s="2"/>
      <c r="H522" s="2"/>
      <c r="I522" s="2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O522" s="2"/>
      <c r="AP522" s="2"/>
      <c r="AQ522" s="2"/>
      <c r="AR522" s="2"/>
      <c r="AS522" s="2"/>
      <c r="AT522" s="2"/>
      <c r="AU522" s="2"/>
      <c r="AV522" s="2"/>
    </row>
    <row r="523" spans="1:48" x14ac:dyDescent="0.2">
      <c r="A523" s="2"/>
      <c r="B523" s="2" t="s">
        <v>401</v>
      </c>
      <c r="C523" s="2"/>
      <c r="D523" s="2"/>
      <c r="E523" s="2"/>
      <c r="F523" s="2"/>
      <c r="G523" s="2"/>
      <c r="H523" s="2"/>
      <c r="I523" s="2"/>
      <c r="J523" s="6">
        <f t="shared" ref="J523:AH523" si="815">J112</f>
        <v>477.13399999999979</v>
      </c>
      <c r="K523" s="6">
        <f t="shared" si="815"/>
        <v>440.31400000000053</v>
      </c>
      <c r="L523" s="6">
        <f t="shared" si="815"/>
        <v>476.44599999999957</v>
      </c>
      <c r="M523" s="6">
        <f t="shared" si="815"/>
        <v>477.23000000000013</v>
      </c>
      <c r="N523" s="6">
        <f t="shared" si="815"/>
        <v>487.49299999999994</v>
      </c>
      <c r="O523" s="6">
        <f t="shared" si="815"/>
        <v>584.2099999999997</v>
      </c>
      <c r="P523" s="6">
        <f t="shared" si="815"/>
        <v>707.20699999999988</v>
      </c>
      <c r="Q523" s="6">
        <f t="shared" si="815"/>
        <v>881</v>
      </c>
      <c r="R523" s="6">
        <f t="shared" si="815"/>
        <v>949</v>
      </c>
      <c r="S523" s="6">
        <f t="shared" si="815"/>
        <v>1070</v>
      </c>
      <c r="T523" s="6">
        <f t="shared" si="815"/>
        <v>568</v>
      </c>
      <c r="U523" s="6">
        <f t="shared" si="815"/>
        <v>894</v>
      </c>
      <c r="V523" s="6">
        <f t="shared" si="815"/>
        <v>953</v>
      </c>
      <c r="W523" s="6">
        <f t="shared" si="815"/>
        <v>1185</v>
      </c>
      <c r="X523" s="6">
        <f t="shared" si="815"/>
        <v>1233</v>
      </c>
      <c r="Y523" s="6">
        <f t="shared" si="815"/>
        <v>960.89999999999964</v>
      </c>
      <c r="Z523" s="6">
        <f t="shared" si="815"/>
        <v>1094.0496415269372</v>
      </c>
      <c r="AA523" s="6">
        <f t="shared" si="815"/>
        <v>1582</v>
      </c>
      <c r="AB523" s="6">
        <f t="shared" si="815"/>
        <v>2070.6000000000004</v>
      </c>
      <c r="AC523" s="6">
        <f t="shared" si="815"/>
        <v>2344.0268419472095</v>
      </c>
      <c r="AD523" s="6">
        <f t="shared" si="815"/>
        <v>2728.8995568254672</v>
      </c>
      <c r="AE523" s="6">
        <f t="shared" si="815"/>
        <v>3109.2905367598278</v>
      </c>
      <c r="AF523" s="6">
        <f t="shared" si="815"/>
        <v>3649.2935194102361</v>
      </c>
      <c r="AG523" s="6">
        <f t="shared" si="815"/>
        <v>4156.55475034352</v>
      </c>
      <c r="AH523" s="6">
        <f t="shared" si="815"/>
        <v>4701.3552616565694</v>
      </c>
      <c r="AI523" s="6">
        <f t="shared" ref="AI523:AL523" si="816">AI112</f>
        <v>5144.3054760754794</v>
      </c>
      <c r="AJ523" s="6">
        <f t="shared" si="816"/>
        <v>5516.1510280767352</v>
      </c>
      <c r="AK523" s="6">
        <f t="shared" si="816"/>
        <v>5983.055579151207</v>
      </c>
      <c r="AL523" s="6">
        <f t="shared" si="816"/>
        <v>6519.4538744859192</v>
      </c>
      <c r="AO523" s="2"/>
      <c r="AP523" s="2"/>
      <c r="AQ523" s="2"/>
      <c r="AR523" s="2"/>
      <c r="AS523" s="2"/>
      <c r="AT523" s="2"/>
      <c r="AU523" s="2"/>
      <c r="AV523" s="2"/>
    </row>
    <row r="524" spans="1:48" x14ac:dyDescent="0.2">
      <c r="A524" s="2"/>
      <c r="B524" s="47" t="s">
        <v>44</v>
      </c>
      <c r="C524" s="2"/>
      <c r="D524" s="2"/>
      <c r="E524" s="2"/>
      <c r="F524" s="2"/>
      <c r="G524" s="2"/>
      <c r="H524" s="2"/>
      <c r="I524" s="2"/>
      <c r="J524" s="6">
        <f>J523-I523</f>
        <v>477.13399999999979</v>
      </c>
      <c r="K524" s="6">
        <f>K523-J523</f>
        <v>-36.819999999999254</v>
      </c>
      <c r="L524" s="6">
        <f>L523-K523</f>
        <v>36.131999999999039</v>
      </c>
      <c r="M524" s="6">
        <f t="shared" ref="M524:Y524" si="817">M523-L523</f>
        <v>0.78400000000056025</v>
      </c>
      <c r="N524" s="6">
        <f t="shared" si="817"/>
        <v>10.262999999999806</v>
      </c>
      <c r="O524" s="6">
        <f t="shared" si="817"/>
        <v>96.716999999999757</v>
      </c>
      <c r="P524" s="6">
        <f t="shared" si="817"/>
        <v>122.99700000000018</v>
      </c>
      <c r="Q524" s="6">
        <f t="shared" si="817"/>
        <v>173.79300000000012</v>
      </c>
      <c r="R524" s="6">
        <f>R523-Q523</f>
        <v>68</v>
      </c>
      <c r="S524" s="6">
        <f t="shared" si="817"/>
        <v>121</v>
      </c>
      <c r="T524" s="6">
        <f t="shared" si="817"/>
        <v>-502</v>
      </c>
      <c r="U524" s="6">
        <f t="shared" si="817"/>
        <v>326</v>
      </c>
      <c r="V524" s="6">
        <f t="shared" si="817"/>
        <v>59</v>
      </c>
      <c r="W524" s="6">
        <f>W523-V523</f>
        <v>232</v>
      </c>
      <c r="X524" s="6">
        <f>X523-W523</f>
        <v>48</v>
      </c>
      <c r="Y524" s="6">
        <f t="shared" si="817"/>
        <v>-272.10000000000036</v>
      </c>
      <c r="Z524" s="6">
        <f t="shared" ref="Z524:AL524" si="818">Z523-Y523</f>
        <v>133.14964152693756</v>
      </c>
      <c r="AA524" s="6">
        <f t="shared" si="818"/>
        <v>487.95035847306281</v>
      </c>
      <c r="AB524" s="6">
        <f t="shared" si="818"/>
        <v>488.60000000000036</v>
      </c>
      <c r="AC524" s="6">
        <f t="shared" si="818"/>
        <v>273.42684194720914</v>
      </c>
      <c r="AD524" s="6">
        <f t="shared" si="818"/>
        <v>384.87271487825774</v>
      </c>
      <c r="AE524" s="6">
        <f t="shared" si="818"/>
        <v>380.39097993436053</v>
      </c>
      <c r="AF524" s="6">
        <f t="shared" si="818"/>
        <v>540.00298265040828</v>
      </c>
      <c r="AG524" s="6">
        <f t="shared" si="818"/>
        <v>507.26123093328397</v>
      </c>
      <c r="AH524" s="6">
        <f t="shared" si="818"/>
        <v>544.80051131304936</v>
      </c>
      <c r="AI524" s="6">
        <f t="shared" si="818"/>
        <v>442.95021441891004</v>
      </c>
      <c r="AJ524" s="6">
        <f t="shared" si="818"/>
        <v>371.84555200125578</v>
      </c>
      <c r="AK524" s="6">
        <f t="shared" si="818"/>
        <v>466.90455107447178</v>
      </c>
      <c r="AL524" s="6">
        <f t="shared" si="818"/>
        <v>536.3982953347122</v>
      </c>
      <c r="AO524" s="2"/>
      <c r="AP524" s="2"/>
      <c r="AQ524" s="2"/>
      <c r="AR524" s="2"/>
      <c r="AS524" s="2"/>
      <c r="AT524" s="2"/>
      <c r="AU524" s="2"/>
      <c r="AV524" s="2"/>
    </row>
    <row r="525" spans="1:48" x14ac:dyDescent="0.2">
      <c r="A525" s="35"/>
      <c r="B525" s="35" t="s">
        <v>45</v>
      </c>
      <c r="C525" s="35"/>
      <c r="D525" s="35"/>
      <c r="E525" s="35"/>
      <c r="F525" s="35"/>
      <c r="G525" s="35"/>
      <c r="H525" s="35"/>
      <c r="I525" s="35"/>
      <c r="J525" s="36">
        <f>J524/J521%</f>
        <v>8.9118144382772382</v>
      </c>
      <c r="K525" s="36">
        <f>K524/K521%</f>
        <v>-7.6571780325085266</v>
      </c>
      <c r="L525" s="36">
        <f>L524/L521%</f>
        <v>13.018570162353484</v>
      </c>
      <c r="M525" s="36">
        <f t="shared" ref="M525:Y525" si="819">M524/M521%</f>
        <v>0.19072084695638719</v>
      </c>
      <c r="N525" s="36">
        <f t="shared" si="819"/>
        <v>-3.9993141583436214</v>
      </c>
      <c r="O525" s="36">
        <f t="shared" si="819"/>
        <v>-23.775541308580227</v>
      </c>
      <c r="P525" s="36">
        <f t="shared" si="819"/>
        <v>15.850292271054361</v>
      </c>
      <c r="Q525" s="36">
        <f t="shared" si="819"/>
        <v>5.0404002320185652</v>
      </c>
      <c r="R525" s="36">
        <f>R524/R521%</f>
        <v>31.627906976744189</v>
      </c>
      <c r="S525" s="36">
        <f t="shared" si="819"/>
        <v>24.2</v>
      </c>
      <c r="T525" s="36">
        <f t="shared" si="819"/>
        <v>120.09569377990431</v>
      </c>
      <c r="U525" s="36">
        <f t="shared" si="819"/>
        <v>20.261031696706027</v>
      </c>
      <c r="V525" s="36">
        <f t="shared" si="819"/>
        <v>4.4294294294294296</v>
      </c>
      <c r="W525" s="36">
        <f>W524/W521%</f>
        <v>14.862267777065984</v>
      </c>
      <c r="X525" s="36">
        <f>X524/X521%</f>
        <v>-7.0588235294117645</v>
      </c>
      <c r="Y525" s="36">
        <f t="shared" si="819"/>
        <v>-82.230281051677451</v>
      </c>
      <c r="Z525" s="36">
        <f t="shared" ref="Z525:AH525" si="820">Z524/Z521%</f>
        <v>5.5918216648305199</v>
      </c>
      <c r="AA525" s="36">
        <f t="shared" si="820"/>
        <v>31.120268306724309</v>
      </c>
      <c r="AB525" s="36">
        <f t="shared" si="820"/>
        <v>17.871250914411132</v>
      </c>
      <c r="AC525" s="36">
        <f t="shared" si="820"/>
        <v>23.030655574749659</v>
      </c>
      <c r="AD525" s="36">
        <f t="shared" si="820"/>
        <v>18.183082742517254</v>
      </c>
      <c r="AE525" s="36">
        <f t="shared" si="820"/>
        <v>19.050477375137667</v>
      </c>
      <c r="AF525" s="36">
        <f t="shared" si="820"/>
        <v>28.898620690568446</v>
      </c>
      <c r="AG525" s="36">
        <f t="shared" si="820"/>
        <v>26.947436283833184</v>
      </c>
      <c r="AH525" s="36">
        <f t="shared" si="820"/>
        <v>27.935770367642924</v>
      </c>
      <c r="AI525" s="36">
        <f t="shared" ref="AI525:AL525" si="821">AI524/AI521%</f>
        <v>23.757513982964596</v>
      </c>
      <c r="AJ525" s="36">
        <f t="shared" si="821"/>
        <v>18.803393002554873</v>
      </c>
      <c r="AK525" s="36">
        <f t="shared" si="821"/>
        <v>22.257848680725576</v>
      </c>
      <c r="AL525" s="36">
        <f t="shared" si="821"/>
        <v>24.567379518256633</v>
      </c>
      <c r="AM525" s="35"/>
      <c r="AN525" s="35"/>
      <c r="AO525" s="35"/>
      <c r="AP525" s="35"/>
      <c r="AQ525" s="35"/>
      <c r="AR525" s="35"/>
      <c r="AS525" s="35"/>
      <c r="AT525" s="35"/>
      <c r="AU525" s="35"/>
      <c r="AV525" s="35"/>
    </row>
    <row r="526" spans="1:48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O526" s="2"/>
      <c r="AP526" s="2"/>
      <c r="AQ526" s="2"/>
      <c r="AR526" s="2"/>
      <c r="AS526" s="2"/>
      <c r="AT526" s="2"/>
      <c r="AU526" s="2"/>
      <c r="AV526" s="2"/>
    </row>
    <row r="527" spans="1:48" x14ac:dyDescent="0.2">
      <c r="A527" s="2"/>
      <c r="B527" s="2" t="s">
        <v>46</v>
      </c>
      <c r="C527" s="2"/>
      <c r="D527" s="2"/>
      <c r="E527" s="2"/>
      <c r="F527" s="2"/>
      <c r="G527" s="2"/>
      <c r="H527" s="2"/>
      <c r="I527" s="2"/>
      <c r="J527" s="6">
        <f t="shared" ref="J527:AH527" si="822">J105</f>
        <v>579.49999999999977</v>
      </c>
      <c r="K527" s="6">
        <f t="shared" si="822"/>
        <v>558.6710000000005</v>
      </c>
      <c r="L527" s="6">
        <f t="shared" si="822"/>
        <v>606.79799999999955</v>
      </c>
      <c r="M527" s="6">
        <f t="shared" si="822"/>
        <v>619.77300000000014</v>
      </c>
      <c r="N527" s="6">
        <f t="shared" si="822"/>
        <v>627.82099999999991</v>
      </c>
      <c r="O527" s="6">
        <f t="shared" si="822"/>
        <v>714.85999999999967</v>
      </c>
      <c r="P527" s="6">
        <f t="shared" si="822"/>
        <v>819.20699999999988</v>
      </c>
      <c r="Q527" s="6">
        <f t="shared" si="822"/>
        <v>1074</v>
      </c>
      <c r="R527" s="6">
        <f t="shared" si="822"/>
        <v>1153</v>
      </c>
      <c r="S527" s="6">
        <f t="shared" si="822"/>
        <v>1298</v>
      </c>
      <c r="T527" s="6">
        <f t="shared" si="822"/>
        <v>862</v>
      </c>
      <c r="U527" s="6">
        <f t="shared" si="822"/>
        <v>1154</v>
      </c>
      <c r="V527" s="6">
        <f t="shared" si="822"/>
        <v>1202</v>
      </c>
      <c r="W527" s="6">
        <f t="shared" si="822"/>
        <v>1448</v>
      </c>
      <c r="X527" s="6">
        <f t="shared" si="822"/>
        <v>1515</v>
      </c>
      <c r="Y527" s="6">
        <f t="shared" si="822"/>
        <v>1282.8999999999996</v>
      </c>
      <c r="Z527" s="6">
        <f t="shared" si="822"/>
        <v>1446.0496415269372</v>
      </c>
      <c r="AA527" s="6">
        <f t="shared" si="822"/>
        <v>1959</v>
      </c>
      <c r="AB527" s="6">
        <f t="shared" si="822"/>
        <v>2522.6000000000004</v>
      </c>
      <c r="AC527" s="6">
        <f t="shared" si="822"/>
        <v>2731.1924168361306</v>
      </c>
      <c r="AD527" s="6">
        <f t="shared" si="822"/>
        <v>3151.6463325599052</v>
      </c>
      <c r="AE527" s="6">
        <f t="shared" si="822"/>
        <v>3560.5205247965096</v>
      </c>
      <c r="AF527" s="6">
        <f t="shared" si="822"/>
        <v>4123.342441430591</v>
      </c>
      <c r="AG527" s="6">
        <f t="shared" si="822"/>
        <v>4648.8238610109865</v>
      </c>
      <c r="AH527" s="6">
        <f t="shared" si="822"/>
        <v>5210.6572967494212</v>
      </c>
      <c r="AI527" s="6">
        <f t="shared" ref="AI527:AL527" si="823">AI105</f>
        <v>5671.7994687278833</v>
      </c>
      <c r="AJ527" s="6">
        <f t="shared" si="823"/>
        <v>6062.7161148913274</v>
      </c>
      <c r="AK527" s="6">
        <f t="shared" si="823"/>
        <v>6548.3919012811439</v>
      </c>
      <c r="AL527" s="6">
        <f t="shared" si="823"/>
        <v>7102.2751069693677</v>
      </c>
      <c r="AO527" s="2"/>
      <c r="AP527" s="2"/>
      <c r="AQ527" s="2"/>
      <c r="AR527" s="2"/>
      <c r="AS527" s="2"/>
      <c r="AT527" s="2"/>
      <c r="AU527" s="2"/>
      <c r="AV527" s="2"/>
    </row>
    <row r="528" spans="1:48" x14ac:dyDescent="0.2">
      <c r="A528" s="2"/>
      <c r="B528" s="47" t="s">
        <v>44</v>
      </c>
      <c r="C528" s="2"/>
      <c r="D528" s="2"/>
      <c r="E528" s="2"/>
      <c r="F528" s="2"/>
      <c r="G528" s="2"/>
      <c r="H528" s="2"/>
      <c r="I528" s="2"/>
      <c r="J528" s="6">
        <f>J527-I527</f>
        <v>579.49999999999977</v>
      </c>
      <c r="K528" s="6">
        <f>K527-J527</f>
        <v>-20.828999999999269</v>
      </c>
      <c r="L528" s="6">
        <f>L527-K527</f>
        <v>48.126999999999043</v>
      </c>
      <c r="M528" s="6">
        <f t="shared" ref="M528:Y528" si="824">M527-L527</f>
        <v>12.975000000000591</v>
      </c>
      <c r="N528" s="6">
        <f t="shared" si="824"/>
        <v>8.0479999999997744</v>
      </c>
      <c r="O528" s="6">
        <f t="shared" si="824"/>
        <v>87.03899999999976</v>
      </c>
      <c r="P528" s="6">
        <f t="shared" si="824"/>
        <v>104.34700000000021</v>
      </c>
      <c r="Q528" s="6">
        <f t="shared" si="824"/>
        <v>254.79300000000012</v>
      </c>
      <c r="R528" s="6">
        <f>R527-Q527</f>
        <v>79</v>
      </c>
      <c r="S528" s="6">
        <f t="shared" si="824"/>
        <v>145</v>
      </c>
      <c r="T528" s="6">
        <f t="shared" si="824"/>
        <v>-436</v>
      </c>
      <c r="U528" s="6">
        <f t="shared" si="824"/>
        <v>292</v>
      </c>
      <c r="V528" s="6">
        <f t="shared" si="824"/>
        <v>48</v>
      </c>
      <c r="W528" s="6">
        <f>W527-V527</f>
        <v>246</v>
      </c>
      <c r="X528" s="6">
        <f>X527-W527</f>
        <v>67</v>
      </c>
      <c r="Y528" s="6">
        <f t="shared" si="824"/>
        <v>-232.10000000000036</v>
      </c>
      <c r="Z528" s="6">
        <f t="shared" ref="Z528:AL528" si="825">Z527-Y527</f>
        <v>163.14964152693756</v>
      </c>
      <c r="AA528" s="6">
        <f t="shared" si="825"/>
        <v>512.95035847306281</v>
      </c>
      <c r="AB528" s="6">
        <f t="shared" si="825"/>
        <v>563.60000000000036</v>
      </c>
      <c r="AC528" s="6">
        <f t="shared" si="825"/>
        <v>208.59241683613027</v>
      </c>
      <c r="AD528" s="6">
        <f t="shared" si="825"/>
        <v>420.45391572377457</v>
      </c>
      <c r="AE528" s="6">
        <f t="shared" si="825"/>
        <v>408.87419223660436</v>
      </c>
      <c r="AF528" s="6">
        <f t="shared" si="825"/>
        <v>562.82191663408139</v>
      </c>
      <c r="AG528" s="6">
        <f t="shared" si="825"/>
        <v>525.4814195803956</v>
      </c>
      <c r="AH528" s="6">
        <f t="shared" si="825"/>
        <v>561.83343573843467</v>
      </c>
      <c r="AI528" s="6">
        <f t="shared" si="825"/>
        <v>461.1421719784621</v>
      </c>
      <c r="AJ528" s="6">
        <f t="shared" si="825"/>
        <v>390.91664616344406</v>
      </c>
      <c r="AK528" s="6">
        <f t="shared" si="825"/>
        <v>485.67578638981649</v>
      </c>
      <c r="AL528" s="6">
        <f t="shared" si="825"/>
        <v>553.88320568822382</v>
      </c>
      <c r="AO528" s="2"/>
      <c r="AP528" s="2"/>
      <c r="AQ528" s="2"/>
      <c r="AR528" s="2"/>
      <c r="AS528" s="2"/>
      <c r="AT528" s="2"/>
      <c r="AU528" s="2"/>
      <c r="AV528" s="2"/>
    </row>
    <row r="529" spans="1:48" x14ac:dyDescent="0.2">
      <c r="A529" s="35"/>
      <c r="B529" s="35" t="s">
        <v>45</v>
      </c>
      <c r="C529" s="35"/>
      <c r="D529" s="35"/>
      <c r="E529" s="35"/>
      <c r="F529" s="35"/>
      <c r="G529" s="35"/>
      <c r="H529" s="35"/>
      <c r="I529" s="35"/>
      <c r="J529" s="36">
        <f>J528/J521%</f>
        <v>10.82378633042638</v>
      </c>
      <c r="K529" s="36">
        <f>K528/K521%</f>
        <v>-4.3316502237674559</v>
      </c>
      <c r="L529" s="36">
        <f>L528/L521%</f>
        <v>17.340438564253027</v>
      </c>
      <c r="M529" s="36">
        <f t="shared" ref="M529:Y529" si="826">M528/M521%</f>
        <v>3.1563813638488116</v>
      </c>
      <c r="N529" s="36">
        <f t="shared" si="826"/>
        <v>-3.1361668465701227</v>
      </c>
      <c r="O529" s="36">
        <f t="shared" si="826"/>
        <v>-21.396438474699522</v>
      </c>
      <c r="P529" s="36">
        <f t="shared" si="826"/>
        <v>13.446916978525575</v>
      </c>
      <c r="Q529" s="36">
        <f t="shared" si="826"/>
        <v>7.3895881670533683</v>
      </c>
      <c r="R529" s="36">
        <f>R528/R521%</f>
        <v>36.744186046511629</v>
      </c>
      <c r="S529" s="36">
        <f t="shared" si="826"/>
        <v>29</v>
      </c>
      <c r="T529" s="36">
        <f t="shared" si="826"/>
        <v>104.30622009569379</v>
      </c>
      <c r="U529" s="36">
        <f t="shared" si="826"/>
        <v>18.147917961466749</v>
      </c>
      <c r="V529" s="36">
        <f t="shared" si="826"/>
        <v>3.6036036036036037</v>
      </c>
      <c r="W529" s="36">
        <f>W528/W521%</f>
        <v>15.759128763613068</v>
      </c>
      <c r="X529" s="36">
        <f>X528/X521%</f>
        <v>-9.8529411764705888</v>
      </c>
      <c r="Y529" s="36">
        <f t="shared" si="826"/>
        <v>-70.142036869144945</v>
      </c>
      <c r="Z529" s="36">
        <f t="shared" ref="Z529:AH529" si="827">Z528/Z521%</f>
        <v>6.8517172831824258</v>
      </c>
      <c r="AA529" s="36">
        <f t="shared" si="827"/>
        <v>32.714706540364951</v>
      </c>
      <c r="AB529" s="36">
        <f t="shared" si="827"/>
        <v>20.614484272128763</v>
      </c>
      <c r="AC529" s="36">
        <f t="shared" si="827"/>
        <v>17.569672653371192</v>
      </c>
      <c r="AD529" s="36">
        <f t="shared" si="827"/>
        <v>19.864095435913324</v>
      </c>
      <c r="AE529" s="36">
        <f t="shared" si="827"/>
        <v>20.476953869477182</v>
      </c>
      <c r="AF529" s="36">
        <f t="shared" si="827"/>
        <v>30.119791200628761</v>
      </c>
      <c r="AG529" s="36">
        <f t="shared" si="827"/>
        <v>27.915354474119713</v>
      </c>
      <c r="AH529" s="36">
        <f t="shared" si="827"/>
        <v>28.809168713562542</v>
      </c>
      <c r="AI529" s="36">
        <f t="shared" ref="AI529:AL529" si="828">AI528/AI521%</f>
        <v>24.733234666756424</v>
      </c>
      <c r="AJ529" s="36">
        <f t="shared" si="828"/>
        <v>19.767775329008373</v>
      </c>
      <c r="AK529" s="36">
        <f t="shared" si="828"/>
        <v>23.152693921016656</v>
      </c>
      <c r="AL529" s="36">
        <f t="shared" si="828"/>
        <v>25.368199416890672</v>
      </c>
      <c r="AO529" s="2"/>
      <c r="AP529" s="2"/>
      <c r="AQ529" s="2"/>
      <c r="AR529" s="2"/>
      <c r="AS529" s="2"/>
      <c r="AT529" s="2"/>
      <c r="AU529" s="2"/>
      <c r="AV529" s="2"/>
    </row>
    <row r="530" spans="1:48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O530" s="2"/>
      <c r="AP530" s="2"/>
      <c r="AQ530" s="2"/>
      <c r="AR530" s="2"/>
      <c r="AS530" s="2"/>
      <c r="AT530" s="2"/>
      <c r="AU530" s="2"/>
      <c r="AV530" s="2"/>
    </row>
    <row r="531" spans="1:48" x14ac:dyDescent="0.2">
      <c r="A531" s="2"/>
      <c r="B531" s="2" t="s">
        <v>47</v>
      </c>
      <c r="C531" s="2"/>
      <c r="D531" s="2"/>
      <c r="E531" s="2"/>
      <c r="F531" s="2"/>
      <c r="G531" s="2"/>
      <c r="H531" s="2"/>
      <c r="I531" s="2"/>
      <c r="J531" s="6">
        <f t="shared" ref="J531:AH531" si="829">J105-J408</f>
        <v>656.49999999999977</v>
      </c>
      <c r="K531" s="6">
        <f t="shared" si="829"/>
        <v>657.6710000000005</v>
      </c>
      <c r="L531" s="6">
        <f t="shared" si="829"/>
        <v>714.79799999999955</v>
      </c>
      <c r="M531" s="6">
        <f t="shared" si="829"/>
        <v>747.77300000000014</v>
      </c>
      <c r="N531" s="6">
        <f t="shared" si="829"/>
        <v>756.82099999999991</v>
      </c>
      <c r="O531" s="6">
        <f t="shared" si="829"/>
        <v>842.85999999999967</v>
      </c>
      <c r="P531" s="6">
        <f t="shared" si="829"/>
        <v>990.20699999999988</v>
      </c>
      <c r="Q531" s="6">
        <f t="shared" si="829"/>
        <v>1352</v>
      </c>
      <c r="R531" s="6">
        <f t="shared" si="829"/>
        <v>1490</v>
      </c>
      <c r="S531" s="6">
        <f t="shared" si="829"/>
        <v>1720</v>
      </c>
      <c r="T531" s="6">
        <f t="shared" si="829"/>
        <v>1342</v>
      </c>
      <c r="U531" s="6">
        <f t="shared" si="829"/>
        <v>1698</v>
      </c>
      <c r="V531" s="6">
        <f t="shared" si="829"/>
        <v>1750</v>
      </c>
      <c r="W531" s="6">
        <f t="shared" si="829"/>
        <v>2085</v>
      </c>
      <c r="X531" s="6">
        <f t="shared" si="829"/>
        <v>2187</v>
      </c>
      <c r="Y531" s="6">
        <f t="shared" si="829"/>
        <v>1925.8999999999996</v>
      </c>
      <c r="Z531" s="6">
        <f t="shared" si="829"/>
        <v>2126.0496415269372</v>
      </c>
      <c r="AA531" s="6">
        <f t="shared" si="829"/>
        <v>2688</v>
      </c>
      <c r="AB531" s="6">
        <f t="shared" si="829"/>
        <v>3251.6000000000004</v>
      </c>
      <c r="AC531" s="6">
        <f t="shared" si="829"/>
        <v>3489.6440168361305</v>
      </c>
      <c r="AD531" s="6">
        <f t="shared" si="829"/>
        <v>3940.7393771999054</v>
      </c>
      <c r="AE531" s="6">
        <f t="shared" si="829"/>
        <v>4381.4929284399659</v>
      </c>
      <c r="AF531" s="6">
        <f t="shared" si="829"/>
        <v>4977.4821301812426</v>
      </c>
      <c r="AG531" s="6">
        <f t="shared" si="829"/>
        <v>5537.4707931871653</v>
      </c>
      <c r="AH531" s="6">
        <f t="shared" si="829"/>
        <v>6135.2055649855174</v>
      </c>
      <c r="AI531" s="6">
        <f t="shared" ref="AI531:AL531" si="830">AI105-AI408</f>
        <v>6633.6994870007175</v>
      </c>
      <c r="AJ531" s="6">
        <f t="shared" si="830"/>
        <v>7063.4768939023843</v>
      </c>
      <c r="AK531" s="6">
        <f t="shared" si="830"/>
        <v>7589.5834157642475</v>
      </c>
      <c r="AL531" s="6">
        <f t="shared" si="830"/>
        <v>8185.5307586375884</v>
      </c>
      <c r="AO531" s="2"/>
      <c r="AP531" s="2"/>
      <c r="AQ531" s="2"/>
      <c r="AR531" s="2"/>
      <c r="AS531" s="2"/>
      <c r="AT531" s="2"/>
      <c r="AU531" s="2"/>
      <c r="AV531" s="2"/>
    </row>
    <row r="532" spans="1:48" x14ac:dyDescent="0.2">
      <c r="A532" s="2"/>
      <c r="B532" s="47" t="s">
        <v>44</v>
      </c>
      <c r="C532" s="2"/>
      <c r="D532" s="2"/>
      <c r="E532" s="2"/>
      <c r="F532" s="2"/>
      <c r="G532" s="2"/>
      <c r="H532" s="2"/>
      <c r="I532" s="2"/>
      <c r="J532" s="6">
        <f>J531-I531</f>
        <v>656.49999999999977</v>
      </c>
      <c r="K532" s="6">
        <f>K531-J531</f>
        <v>1.1710000000007312</v>
      </c>
      <c r="L532" s="6">
        <f>L531-K531</f>
        <v>57.126999999999043</v>
      </c>
      <c r="M532" s="6">
        <f t="shared" ref="M532:Y532" si="831">M531-L531</f>
        <v>32.975000000000591</v>
      </c>
      <c r="N532" s="6">
        <f t="shared" si="831"/>
        <v>9.0479999999997744</v>
      </c>
      <c r="O532" s="6">
        <f t="shared" si="831"/>
        <v>86.03899999999976</v>
      </c>
      <c r="P532" s="6">
        <f t="shared" si="831"/>
        <v>147.34700000000021</v>
      </c>
      <c r="Q532" s="6">
        <f t="shared" si="831"/>
        <v>361.79300000000012</v>
      </c>
      <c r="R532" s="6">
        <f>R531-Q531</f>
        <v>138</v>
      </c>
      <c r="S532" s="6">
        <f t="shared" si="831"/>
        <v>230</v>
      </c>
      <c r="T532" s="6">
        <f t="shared" si="831"/>
        <v>-378</v>
      </c>
      <c r="U532" s="6">
        <f t="shared" si="831"/>
        <v>356</v>
      </c>
      <c r="V532" s="6">
        <f t="shared" si="831"/>
        <v>52</v>
      </c>
      <c r="W532" s="6">
        <f>W531-V531</f>
        <v>335</v>
      </c>
      <c r="X532" s="6">
        <f>X531-W531</f>
        <v>102</v>
      </c>
      <c r="Y532" s="6">
        <f t="shared" si="831"/>
        <v>-261.10000000000036</v>
      </c>
      <c r="Z532" s="6">
        <f t="shared" ref="Z532:AL532" si="832">Z531-Y531</f>
        <v>200.14964152693756</v>
      </c>
      <c r="AA532" s="6">
        <f t="shared" si="832"/>
        <v>561.95035847306281</v>
      </c>
      <c r="AB532" s="6">
        <f t="shared" si="832"/>
        <v>563.60000000000036</v>
      </c>
      <c r="AC532" s="6">
        <f t="shared" si="832"/>
        <v>238.04401683613014</v>
      </c>
      <c r="AD532" s="6">
        <f t="shared" si="832"/>
        <v>451.09536036377494</v>
      </c>
      <c r="AE532" s="6">
        <f t="shared" si="832"/>
        <v>440.75355124006046</v>
      </c>
      <c r="AF532" s="6">
        <f t="shared" si="832"/>
        <v>595.9892017412767</v>
      </c>
      <c r="AG532" s="6">
        <f t="shared" si="832"/>
        <v>559.98866300592272</v>
      </c>
      <c r="AH532" s="6">
        <f t="shared" si="832"/>
        <v>597.73477179835209</v>
      </c>
      <c r="AI532" s="6">
        <f t="shared" si="832"/>
        <v>498.49392201520004</v>
      </c>
      <c r="AJ532" s="6">
        <f t="shared" si="832"/>
        <v>429.77740690166684</v>
      </c>
      <c r="AK532" s="6">
        <f t="shared" si="832"/>
        <v>526.10652186186326</v>
      </c>
      <c r="AL532" s="6">
        <f t="shared" si="832"/>
        <v>595.94734287334086</v>
      </c>
      <c r="AO532" s="2"/>
      <c r="AP532" s="2"/>
      <c r="AQ532" s="2"/>
      <c r="AR532" s="2"/>
      <c r="AS532" s="2"/>
      <c r="AT532" s="2"/>
      <c r="AU532" s="2"/>
      <c r="AV532" s="2"/>
    </row>
    <row r="533" spans="1:48" x14ac:dyDescent="0.2">
      <c r="A533" s="35"/>
      <c r="B533" s="35" t="s">
        <v>45</v>
      </c>
      <c r="C533" s="35"/>
      <c r="D533" s="35"/>
      <c r="E533" s="35"/>
      <c r="F533" s="35"/>
      <c r="G533" s="35"/>
      <c r="H533" s="35"/>
      <c r="I533" s="35"/>
      <c r="J533" s="36">
        <f>J532/J521%</f>
        <v>12.261977093917029</v>
      </c>
      <c r="K533" s="36">
        <f>K532/K521%</f>
        <v>0.24352404877982795</v>
      </c>
      <c r="L533" s="36">
        <f>L532/L521%</f>
        <v>20.583191012531131</v>
      </c>
      <c r="M533" s="36">
        <f t="shared" ref="M533:Y533" si="833">M532/M521%</f>
        <v>8.0217090923245991</v>
      </c>
      <c r="N533" s="36">
        <f t="shared" si="833"/>
        <v>-3.5258496058358051</v>
      </c>
      <c r="O533" s="36">
        <f t="shared" si="833"/>
        <v>-21.150612598084447</v>
      </c>
      <c r="P533" s="36">
        <f t="shared" si="833"/>
        <v>18.988211218672379</v>
      </c>
      <c r="Q533" s="36">
        <f t="shared" si="833"/>
        <v>10.492836426914158</v>
      </c>
      <c r="R533" s="36">
        <f>R532/R521%</f>
        <v>64.186046511627907</v>
      </c>
      <c r="S533" s="36">
        <f t="shared" si="833"/>
        <v>46</v>
      </c>
      <c r="T533" s="36">
        <f t="shared" si="833"/>
        <v>90.43062200956939</v>
      </c>
      <c r="U533" s="36">
        <f t="shared" si="833"/>
        <v>22.125543816034803</v>
      </c>
      <c r="V533" s="36">
        <f t="shared" si="833"/>
        <v>3.9039039039039038</v>
      </c>
      <c r="W533" s="36">
        <f>W532/W521%</f>
        <v>21.460602178090969</v>
      </c>
      <c r="X533" s="36">
        <f>X532/X521%</f>
        <v>-15</v>
      </c>
      <c r="Y533" s="36">
        <f t="shared" si="833"/>
        <v>-78.906013901481018</v>
      </c>
      <c r="Z533" s="36">
        <f t="shared" ref="Z533:AH533" si="834">Z532/Z521%</f>
        <v>8.4055885458164443</v>
      </c>
      <c r="AA533" s="36">
        <f t="shared" si="834"/>
        <v>35.839805478300605</v>
      </c>
      <c r="AB533" s="36">
        <f t="shared" si="834"/>
        <v>20.614484272128763</v>
      </c>
      <c r="AC533" s="36">
        <f t="shared" si="834"/>
        <v>20.050371515614763</v>
      </c>
      <c r="AD533" s="36">
        <f t="shared" si="834"/>
        <v>21.311732282333125</v>
      </c>
      <c r="AE533" s="36">
        <f t="shared" si="834"/>
        <v>22.07351382874338</v>
      </c>
      <c r="AF533" s="36">
        <f t="shared" si="834"/>
        <v>31.894760640509229</v>
      </c>
      <c r="AG533" s="36">
        <f t="shared" si="834"/>
        <v>29.74849622995481</v>
      </c>
      <c r="AH533" s="36">
        <f t="shared" si="834"/>
        <v>30.650083799424372</v>
      </c>
      <c r="AI533" s="36">
        <f t="shared" ref="AI533:AL533" si="835">AI532/AI521%</f>
        <v>26.736585596273699</v>
      </c>
      <c r="AJ533" s="36">
        <f t="shared" si="835"/>
        <v>21.732876572270225</v>
      </c>
      <c r="AK533" s="36">
        <f t="shared" si="835"/>
        <v>25.080071133589009</v>
      </c>
      <c r="AL533" s="36">
        <f t="shared" si="835"/>
        <v>27.294763373791273</v>
      </c>
      <c r="AO533" s="2"/>
      <c r="AP533" s="2"/>
      <c r="AQ533" s="2"/>
      <c r="AR533" s="2"/>
      <c r="AS533" s="2"/>
      <c r="AT533" s="2"/>
      <c r="AU533" s="2"/>
      <c r="AV533" s="2"/>
    </row>
    <row r="534" spans="1:48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O534" s="2"/>
      <c r="AP534" s="2"/>
      <c r="AQ534" s="2"/>
      <c r="AR534" s="2"/>
      <c r="AS534" s="2"/>
      <c r="AT534" s="2"/>
      <c r="AU534" s="2"/>
      <c r="AV534" s="2"/>
    </row>
    <row r="535" spans="1:48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O535" s="2"/>
      <c r="AP535" s="2"/>
      <c r="AQ535" s="2"/>
      <c r="AR535" s="2"/>
      <c r="AS535" s="2"/>
      <c r="AT535" s="2"/>
      <c r="AU535" s="2"/>
      <c r="AV535" s="2"/>
    </row>
    <row r="536" spans="1:48" outlineLevel="1" x14ac:dyDescent="0.2">
      <c r="A536" s="181"/>
      <c r="B536" s="204" t="s">
        <v>294</v>
      </c>
      <c r="C536" s="204"/>
      <c r="D536" s="204"/>
      <c r="E536" s="204"/>
      <c r="F536" s="204"/>
      <c r="G536" s="204"/>
      <c r="H536" s="204"/>
      <c r="I536" s="204"/>
      <c r="J536" s="204"/>
      <c r="K536" s="204"/>
      <c r="L536" s="204"/>
      <c r="M536" s="204"/>
      <c r="N536" s="204"/>
      <c r="O536" s="204"/>
      <c r="P536" s="204"/>
      <c r="Q536" s="204"/>
      <c r="R536" s="204"/>
      <c r="S536" s="204"/>
      <c r="T536" s="204"/>
      <c r="U536" s="204"/>
      <c r="V536" s="204"/>
      <c r="W536" s="204"/>
      <c r="X536" s="204"/>
      <c r="Y536" s="204"/>
      <c r="Z536" s="204"/>
      <c r="AA536" s="204"/>
      <c r="AB536" s="204"/>
      <c r="AC536" s="204"/>
      <c r="AD536" s="204"/>
      <c r="AE536" s="204"/>
      <c r="AF536" s="204"/>
      <c r="AG536" s="204"/>
      <c r="AH536" s="204"/>
      <c r="AI536" s="204"/>
      <c r="AJ536" s="204"/>
      <c r="AK536" s="204"/>
      <c r="AL536" s="204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</row>
    <row r="537" spans="1:48" outlineLevel="1" x14ac:dyDescent="0.2">
      <c r="A537" s="11"/>
      <c r="B537" s="205" t="s">
        <v>295</v>
      </c>
      <c r="C537" s="205"/>
      <c r="D537" s="205"/>
      <c r="E537" s="205"/>
      <c r="F537" s="205"/>
      <c r="G537" s="205"/>
      <c r="H537" s="205"/>
      <c r="I537" s="205"/>
      <c r="J537" s="205">
        <f>0</f>
        <v>0</v>
      </c>
      <c r="K537" s="205">
        <f>0</f>
        <v>0</v>
      </c>
      <c r="L537" s="205">
        <f>0</f>
        <v>0</v>
      </c>
      <c r="M537" s="205">
        <f>0</f>
        <v>0</v>
      </c>
      <c r="N537" s="205">
        <f>0</f>
        <v>0</v>
      </c>
      <c r="O537" s="205">
        <f>0</f>
        <v>0</v>
      </c>
      <c r="P537" s="205">
        <f>0</f>
        <v>0</v>
      </c>
      <c r="Q537" s="205">
        <f>0</f>
        <v>0</v>
      </c>
      <c r="R537" s="205">
        <f>0</f>
        <v>0</v>
      </c>
      <c r="S537" s="205">
        <f>0</f>
        <v>0</v>
      </c>
      <c r="T537" s="205">
        <f>0</f>
        <v>0</v>
      </c>
      <c r="U537" s="205">
        <f>0</f>
        <v>0</v>
      </c>
      <c r="V537" s="205">
        <f>0</f>
        <v>0</v>
      </c>
      <c r="W537" s="205">
        <f>0</f>
        <v>0</v>
      </c>
      <c r="X537" s="205">
        <f>0</f>
        <v>0</v>
      </c>
      <c r="Y537" s="205">
        <f>0</f>
        <v>0</v>
      </c>
      <c r="Z537" s="205">
        <f>0</f>
        <v>0</v>
      </c>
      <c r="AA537" s="205">
        <f>0</f>
        <v>0</v>
      </c>
      <c r="AB537" s="205">
        <f>0</f>
        <v>0</v>
      </c>
      <c r="AC537" s="205">
        <f>0</f>
        <v>0</v>
      </c>
      <c r="AD537" s="205">
        <f>0</f>
        <v>0</v>
      </c>
      <c r="AE537" s="205">
        <f>0</f>
        <v>0</v>
      </c>
      <c r="AF537" s="205">
        <f>0</f>
        <v>0</v>
      </c>
      <c r="AG537" s="205">
        <f>0</f>
        <v>0</v>
      </c>
      <c r="AH537" s="205">
        <f>0</f>
        <v>0</v>
      </c>
      <c r="AI537" s="205">
        <f>0</f>
        <v>0</v>
      </c>
      <c r="AJ537" s="205">
        <f>0</f>
        <v>0</v>
      </c>
      <c r="AK537" s="205">
        <f>0</f>
        <v>0</v>
      </c>
      <c r="AL537" s="205">
        <f>0</f>
        <v>0</v>
      </c>
      <c r="AM537" s="181"/>
      <c r="AN537" s="181"/>
      <c r="AO537" s="11"/>
      <c r="AP537" s="11"/>
      <c r="AQ537" s="11"/>
      <c r="AR537" s="11"/>
      <c r="AS537" s="11"/>
      <c r="AT537" s="11"/>
      <c r="AU537" s="11"/>
      <c r="AV537" s="11"/>
    </row>
    <row r="538" spans="1:48" outlineLevel="1" x14ac:dyDescent="0.2">
      <c r="A538" s="11"/>
      <c r="B538" s="205" t="s">
        <v>120</v>
      </c>
      <c r="C538" s="206"/>
      <c r="D538" s="206"/>
      <c r="E538" s="206"/>
      <c r="F538" s="206"/>
      <c r="G538" s="206"/>
      <c r="H538" s="206"/>
      <c r="I538" s="206"/>
      <c r="J538" s="206">
        <v>0.4</v>
      </c>
      <c r="K538" s="206">
        <v>0.4</v>
      </c>
      <c r="L538" s="206">
        <v>0.4</v>
      </c>
      <c r="M538" s="206">
        <v>0.4</v>
      </c>
      <c r="N538" s="206">
        <v>0.4</v>
      </c>
      <c r="O538" s="206">
        <v>0.4</v>
      </c>
      <c r="P538" s="206">
        <v>0.4</v>
      </c>
      <c r="Q538" s="206">
        <v>0.4</v>
      </c>
      <c r="R538" s="206">
        <v>0.4</v>
      </c>
      <c r="S538" s="206">
        <f>+R538</f>
        <v>0.4</v>
      </c>
      <c r="T538" s="206">
        <f t="shared" ref="T538:AA538" si="836">+S538</f>
        <v>0.4</v>
      </c>
      <c r="U538" s="206">
        <f t="shared" si="836"/>
        <v>0.4</v>
      </c>
      <c r="V538" s="206">
        <f t="shared" si="836"/>
        <v>0.4</v>
      </c>
      <c r="W538" s="206">
        <f t="shared" si="836"/>
        <v>0.4</v>
      </c>
      <c r="X538" s="206">
        <f t="shared" si="836"/>
        <v>0.4</v>
      </c>
      <c r="Y538" s="206">
        <f t="shared" si="836"/>
        <v>0.4</v>
      </c>
      <c r="Z538" s="206">
        <f t="shared" si="836"/>
        <v>0.4</v>
      </c>
      <c r="AA538" s="206">
        <f t="shared" si="836"/>
        <v>0.4</v>
      </c>
      <c r="AB538" s="206">
        <f t="shared" ref="AB538:AL538" si="837">+AA538</f>
        <v>0.4</v>
      </c>
      <c r="AC538" s="206">
        <f t="shared" si="837"/>
        <v>0.4</v>
      </c>
      <c r="AD538" s="206">
        <f t="shared" si="837"/>
        <v>0.4</v>
      </c>
      <c r="AE538" s="206">
        <f t="shared" si="837"/>
        <v>0.4</v>
      </c>
      <c r="AF538" s="206">
        <f t="shared" si="837"/>
        <v>0.4</v>
      </c>
      <c r="AG538" s="206">
        <f t="shared" si="837"/>
        <v>0.4</v>
      </c>
      <c r="AH538" s="206">
        <f t="shared" si="837"/>
        <v>0.4</v>
      </c>
      <c r="AI538" s="206">
        <f t="shared" si="837"/>
        <v>0.4</v>
      </c>
      <c r="AJ538" s="206">
        <f t="shared" si="837"/>
        <v>0.4</v>
      </c>
      <c r="AK538" s="206">
        <f t="shared" si="837"/>
        <v>0.4</v>
      </c>
      <c r="AL538" s="206">
        <f t="shared" si="837"/>
        <v>0.4</v>
      </c>
      <c r="AM538" s="181"/>
      <c r="AN538" s="181"/>
      <c r="AO538" s="11"/>
      <c r="AP538" s="11"/>
      <c r="AQ538" s="11"/>
      <c r="AR538" s="11"/>
      <c r="AS538" s="11"/>
      <c r="AT538" s="11"/>
      <c r="AU538" s="11"/>
      <c r="AV538" s="11"/>
    </row>
    <row r="539" spans="1:48" outlineLevel="1" x14ac:dyDescent="0.2">
      <c r="A539" s="11"/>
      <c r="B539" s="205" t="s">
        <v>445</v>
      </c>
      <c r="C539" s="205"/>
      <c r="D539" s="205"/>
      <c r="E539" s="205"/>
      <c r="F539" s="205"/>
      <c r="G539" s="205"/>
      <c r="H539" s="205"/>
      <c r="I539" s="205"/>
      <c r="J539" s="208">
        <f>FCF!J15</f>
        <v>200.40199999999908</v>
      </c>
      <c r="K539" s="208">
        <f>FCF!K15</f>
        <v>-179.15899999999971</v>
      </c>
      <c r="L539" s="208">
        <f>FCF!L15</f>
        <v>157.48099999999991</v>
      </c>
      <c r="M539" s="208">
        <f>FCF!M15</f>
        <v>207.76400000000058</v>
      </c>
      <c r="N539" s="208">
        <f>FCF!N15</f>
        <v>461.31499999999943</v>
      </c>
      <c r="O539" s="208">
        <f>FCF!O15</f>
        <v>378.03000000000003</v>
      </c>
      <c r="P539" s="208">
        <f>FCF!P15</f>
        <v>199.20700000000033</v>
      </c>
      <c r="Q539" s="208">
        <f>FCF!Q15</f>
        <v>413</v>
      </c>
      <c r="R539" s="208">
        <f>FCF!R15</f>
        <v>519</v>
      </c>
      <c r="S539" s="208">
        <f>FCF!S15</f>
        <v>201</v>
      </c>
      <c r="T539" s="208">
        <f>FCF!T15</f>
        <v>968</v>
      </c>
      <c r="U539" s="208">
        <f>FCF!U15</f>
        <v>646</v>
      </c>
      <c r="V539" s="208">
        <f>FCF!V15</f>
        <v>482</v>
      </c>
      <c r="W539" s="208">
        <f>FCF!W15</f>
        <v>292</v>
      </c>
      <c r="X539" s="208">
        <f>FCF!X15</f>
        <v>133.89999999999998</v>
      </c>
      <c r="Y539" s="208">
        <f>FCF!Y15</f>
        <v>43.899999999999636</v>
      </c>
      <c r="Z539" s="208">
        <f>FCF!Z15</f>
        <v>481.04964152693719</v>
      </c>
      <c r="AA539" s="208">
        <f>FCF!AA15</f>
        <v>817</v>
      </c>
      <c r="AB539" s="208">
        <f>FCF!AB15</f>
        <v>958.09999999999866</v>
      </c>
      <c r="AC539" s="208">
        <f>FCF!AC15</f>
        <v>1278.9381328076422</v>
      </c>
      <c r="AD539" s="208">
        <f>FCF!AD15</f>
        <v>1063.6204843775208</v>
      </c>
      <c r="AE539" s="208">
        <f>FCF!AE15</f>
        <v>1434.1345288879613</v>
      </c>
      <c r="AF539" s="208">
        <f>FCF!AF15</f>
        <v>1834.1268094479299</v>
      </c>
      <c r="AG539" s="208">
        <f>FCF!AG15</f>
        <v>2107.5560410784619</v>
      </c>
      <c r="AH539" s="208">
        <f>FCF!AH15</f>
        <v>2582.7256733783233</v>
      </c>
      <c r="AI539" s="208">
        <f>FCF!AI15</f>
        <v>2721.6116599299594</v>
      </c>
      <c r="AJ539" s="208">
        <f>FCF!AJ15</f>
        <v>2936.4895580337225</v>
      </c>
      <c r="AK539" s="208">
        <f>FCF!AK15</f>
        <v>3416.4139751945145</v>
      </c>
      <c r="AL539" s="208">
        <f>FCF!AL15</f>
        <v>3703.7405561156665</v>
      </c>
      <c r="AM539" s="181"/>
      <c r="AN539" s="181"/>
      <c r="AO539" s="11"/>
      <c r="AP539" s="11"/>
      <c r="AQ539" s="11"/>
      <c r="AR539" s="11"/>
      <c r="AS539" s="11"/>
      <c r="AT539" s="11"/>
      <c r="AU539" s="11"/>
      <c r="AV539" s="11"/>
    </row>
    <row r="540" spans="1:48" outlineLevel="1" x14ac:dyDescent="0.2">
      <c r="A540" s="11"/>
      <c r="B540" s="205"/>
      <c r="C540" s="205"/>
      <c r="D540" s="205"/>
      <c r="E540" s="205"/>
      <c r="F540" s="205"/>
      <c r="G540" s="205"/>
      <c r="H540" s="205"/>
      <c r="I540" s="205"/>
      <c r="J540" s="205"/>
      <c r="K540" s="205"/>
      <c r="L540" s="205"/>
      <c r="M540" s="205"/>
      <c r="N540" s="205"/>
      <c r="O540" s="205"/>
      <c r="P540" s="205"/>
      <c r="Q540" s="205"/>
      <c r="R540" s="205"/>
      <c r="S540" s="205"/>
      <c r="T540" s="205"/>
      <c r="U540" s="205"/>
      <c r="V540" s="205"/>
      <c r="W540" s="205"/>
      <c r="X540" s="205"/>
      <c r="Y540" s="205"/>
      <c r="Z540" s="205"/>
      <c r="AA540" s="205"/>
      <c r="AB540" s="205"/>
      <c r="AC540" s="205"/>
      <c r="AD540" s="205"/>
      <c r="AE540" s="205"/>
      <c r="AF540" s="205"/>
      <c r="AG540" s="205"/>
      <c r="AH540" s="205"/>
      <c r="AI540" s="205"/>
      <c r="AJ540" s="205"/>
      <c r="AK540" s="205"/>
      <c r="AL540" s="205"/>
      <c r="AM540" s="181"/>
      <c r="AN540" s="181"/>
      <c r="AO540" s="11"/>
      <c r="AP540" s="11"/>
      <c r="AQ540" s="11"/>
      <c r="AR540" s="11"/>
      <c r="AS540" s="11"/>
      <c r="AT540" s="11"/>
      <c r="AU540" s="11"/>
      <c r="AV540" s="11"/>
    </row>
    <row r="541" spans="1:48" outlineLevel="1" x14ac:dyDescent="0.2">
      <c r="A541" s="11"/>
      <c r="B541" s="205"/>
      <c r="C541" s="207"/>
      <c r="D541" s="207"/>
      <c r="E541" s="207"/>
      <c r="F541" s="207"/>
      <c r="G541" s="207"/>
      <c r="H541" s="207"/>
      <c r="I541" s="207"/>
      <c r="J541" s="207"/>
      <c r="K541" s="207"/>
      <c r="L541" s="207"/>
      <c r="M541" s="207"/>
      <c r="N541" s="207"/>
      <c r="O541" s="207"/>
      <c r="P541" s="207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  <c r="AC541" s="207"/>
      <c r="AD541" s="207"/>
      <c r="AE541" s="207"/>
      <c r="AF541" s="207"/>
      <c r="AG541" s="207"/>
      <c r="AH541" s="207"/>
      <c r="AI541" s="207"/>
      <c r="AJ541" s="207"/>
      <c r="AK541" s="207"/>
      <c r="AL541" s="207"/>
      <c r="AM541" s="181"/>
      <c r="AN541" s="181"/>
      <c r="AO541" s="11"/>
      <c r="AP541" s="11"/>
      <c r="AQ541" s="11"/>
      <c r="AR541" s="11"/>
      <c r="AS541" s="11"/>
      <c r="AT541" s="11"/>
      <c r="AU541" s="11"/>
      <c r="AV541" s="11"/>
    </row>
    <row r="542" spans="1:48" outlineLevel="1" x14ac:dyDescent="0.2">
      <c r="A542" s="11"/>
      <c r="B542" s="205" t="s">
        <v>80</v>
      </c>
      <c r="C542" s="207"/>
      <c r="D542" s="207"/>
      <c r="E542" s="207"/>
      <c r="F542" s="207"/>
      <c r="G542" s="207"/>
      <c r="H542" s="207"/>
      <c r="I542" s="207"/>
      <c r="J542" s="207">
        <f t="shared" ref="J542:AH542" si="838">J129</f>
        <v>-152.964</v>
      </c>
      <c r="K542" s="207">
        <f t="shared" si="838"/>
        <v>-139.61000000000001</v>
      </c>
      <c r="L542" s="207">
        <f t="shared" si="838"/>
        <v>-146.94499999999999</v>
      </c>
      <c r="M542" s="207">
        <f t="shared" si="838"/>
        <v>-147.86199999999999</v>
      </c>
      <c r="N542" s="207">
        <f t="shared" si="838"/>
        <v>-166.71199999999999</v>
      </c>
      <c r="O542" s="207">
        <f t="shared" si="838"/>
        <v>-193.2</v>
      </c>
      <c r="P542" s="207">
        <f t="shared" si="838"/>
        <v>-221</v>
      </c>
      <c r="Q542" s="207">
        <f t="shared" si="838"/>
        <v>-227</v>
      </c>
      <c r="R542" s="207">
        <f t="shared" si="838"/>
        <v>-260</v>
      </c>
      <c r="S542" s="207">
        <f t="shared" si="838"/>
        <v>-260</v>
      </c>
      <c r="T542" s="207">
        <f t="shared" si="838"/>
        <v>-131.93854748603351</v>
      </c>
      <c r="U542" s="207">
        <f t="shared" si="838"/>
        <v>-237.99999999999997</v>
      </c>
      <c r="V542" s="207">
        <f t="shared" si="838"/>
        <v>-261</v>
      </c>
      <c r="W542" s="207">
        <f t="shared" si="838"/>
        <v>-326.988</v>
      </c>
      <c r="X542" s="207">
        <f t="shared" si="838"/>
        <v>-340</v>
      </c>
      <c r="Y542" s="207">
        <f t="shared" si="838"/>
        <v>-271</v>
      </c>
      <c r="Z542" s="207">
        <f t="shared" si="838"/>
        <v>-352.4968072415989</v>
      </c>
      <c r="AA542" s="207">
        <f t="shared" si="838"/>
        <v>-453.58080000000001</v>
      </c>
      <c r="AB542" s="207">
        <f t="shared" si="838"/>
        <v>-668.4557880000001</v>
      </c>
      <c r="AC542" s="207">
        <f t="shared" si="838"/>
        <v>-690.10584337442674</v>
      </c>
      <c r="AD542" s="207">
        <f t="shared" si="838"/>
        <v>-797.0188281504461</v>
      </c>
      <c r="AE542" s="207">
        <f t="shared" si="838"/>
        <v>-905.45212788394133</v>
      </c>
      <c r="AF542" s="207">
        <f t="shared" si="838"/>
        <v>-1065.1652590503593</v>
      </c>
      <c r="AG542" s="207">
        <f t="shared" si="838"/>
        <v>-1216.6848740827122</v>
      </c>
      <c r="AH542" s="207">
        <f t="shared" si="838"/>
        <v>-1382.9933737387032</v>
      </c>
      <c r="AI542" s="207">
        <f t="shared" ref="AI542:AL542" si="839">AI129</f>
        <v>-1521.127698829416</v>
      </c>
      <c r="AJ542" s="207">
        <f t="shared" si="839"/>
        <v>-1638.3267476238263</v>
      </c>
      <c r="AK542" s="207">
        <f t="shared" si="839"/>
        <v>-1784.1752349799028</v>
      </c>
      <c r="AL542" s="207">
        <f t="shared" si="839"/>
        <v>-1952.5336100629097</v>
      </c>
      <c r="AM542" s="181"/>
      <c r="AN542" s="181"/>
      <c r="AO542" s="11"/>
      <c r="AP542" s="11"/>
      <c r="AQ542" s="11"/>
      <c r="AR542" s="11"/>
      <c r="AS542" s="11"/>
      <c r="AT542" s="11"/>
      <c r="AU542" s="11"/>
      <c r="AV542" s="11"/>
    </row>
    <row r="543" spans="1:48" outlineLevel="1" x14ac:dyDescent="0.2">
      <c r="A543" s="11"/>
      <c r="B543" s="205" t="s">
        <v>81</v>
      </c>
      <c r="C543" s="207"/>
      <c r="D543" s="207"/>
      <c r="E543" s="207"/>
      <c r="F543" s="207"/>
      <c r="G543" s="207"/>
      <c r="H543" s="207"/>
      <c r="I543" s="207"/>
      <c r="J543" s="207">
        <f t="shared" ref="J543:V543" si="840">J544-J542</f>
        <v>-1.8891839506894996</v>
      </c>
      <c r="K543" s="207">
        <f t="shared" si="840"/>
        <v>-0.10480020787619537</v>
      </c>
      <c r="L543" s="207">
        <f t="shared" si="840"/>
        <v>-0.69673415774971659</v>
      </c>
      <c r="M543" s="207">
        <f t="shared" si="840"/>
        <v>0</v>
      </c>
      <c r="N543" s="207">
        <f t="shared" si="840"/>
        <v>0</v>
      </c>
      <c r="O543" s="207">
        <f t="shared" si="840"/>
        <v>0</v>
      </c>
      <c r="P543" s="207">
        <f t="shared" si="840"/>
        <v>0</v>
      </c>
      <c r="Q543" s="207">
        <f t="shared" si="840"/>
        <v>0</v>
      </c>
      <c r="R543" s="207">
        <f t="shared" si="840"/>
        <v>0</v>
      </c>
      <c r="S543" s="207">
        <f t="shared" si="840"/>
        <v>0</v>
      </c>
      <c r="T543" s="207">
        <f t="shared" si="840"/>
        <v>18.938547486033514</v>
      </c>
      <c r="U543" s="207">
        <f t="shared" si="840"/>
        <v>0</v>
      </c>
      <c r="V543" s="207">
        <f t="shared" si="840"/>
        <v>0</v>
      </c>
      <c r="W543" s="207">
        <f>W544-W542</f>
        <v>-1.2000000000000455E-2</v>
      </c>
      <c r="X543" s="207">
        <f t="shared" ref="X543:Y543" si="841">X544-X542</f>
        <v>0</v>
      </c>
      <c r="Y543" s="207">
        <f t="shared" si="841"/>
        <v>0</v>
      </c>
      <c r="Z543" s="207">
        <f t="shared" ref="Z543:AH543" si="842">Z544-Z542</f>
        <v>-0.50319275840109867</v>
      </c>
      <c r="AA543" s="207">
        <f t="shared" si="842"/>
        <v>-1.9200000000012096E-2</v>
      </c>
      <c r="AB543" s="207">
        <f t="shared" si="842"/>
        <v>0</v>
      </c>
      <c r="AC543" s="207">
        <f t="shared" si="842"/>
        <v>0</v>
      </c>
      <c r="AD543" s="207">
        <f t="shared" si="842"/>
        <v>0</v>
      </c>
      <c r="AE543" s="207">
        <f t="shared" si="842"/>
        <v>0</v>
      </c>
      <c r="AF543" s="207">
        <f t="shared" si="842"/>
        <v>0</v>
      </c>
      <c r="AG543" s="207">
        <f t="shared" si="842"/>
        <v>0</v>
      </c>
      <c r="AH543" s="207">
        <f t="shared" si="842"/>
        <v>0</v>
      </c>
      <c r="AI543" s="207">
        <f t="shared" ref="AI543:AL543" si="843">AI544-AI542</f>
        <v>0</v>
      </c>
      <c r="AJ543" s="207">
        <f t="shared" si="843"/>
        <v>0</v>
      </c>
      <c r="AK543" s="207">
        <f t="shared" si="843"/>
        <v>0</v>
      </c>
      <c r="AL543" s="207">
        <f t="shared" si="843"/>
        <v>0</v>
      </c>
      <c r="AM543" s="181"/>
      <c r="AN543" s="181"/>
      <c r="AO543" s="11"/>
      <c r="AP543" s="11"/>
      <c r="AQ543" s="11"/>
      <c r="AR543" s="11"/>
      <c r="AS543" s="11"/>
      <c r="AT543" s="11"/>
      <c r="AU543" s="11"/>
      <c r="AV543" s="11"/>
    </row>
    <row r="544" spans="1:48" outlineLevel="1" x14ac:dyDescent="0.2">
      <c r="A544" s="11"/>
      <c r="B544" s="205" t="s">
        <v>82</v>
      </c>
      <c r="C544" s="207"/>
      <c r="D544" s="207"/>
      <c r="E544" s="207"/>
      <c r="F544" s="207"/>
      <c r="G544" s="207"/>
      <c r="H544" s="207"/>
      <c r="I544" s="207"/>
      <c r="J544" s="207">
        <f t="shared" ref="J544:AH544" si="844">+J131</f>
        <v>-154.8531839506895</v>
      </c>
      <c r="K544" s="207">
        <f t="shared" si="844"/>
        <v>-139.71480020787621</v>
      </c>
      <c r="L544" s="207">
        <f t="shared" si="844"/>
        <v>-147.64173415774971</v>
      </c>
      <c r="M544" s="207">
        <f t="shared" si="844"/>
        <v>-147.86199999999999</v>
      </c>
      <c r="N544" s="207">
        <f t="shared" si="844"/>
        <v>-166.71199999999999</v>
      </c>
      <c r="O544" s="207">
        <f t="shared" si="844"/>
        <v>-193.2</v>
      </c>
      <c r="P544" s="207">
        <f t="shared" si="844"/>
        <v>-221</v>
      </c>
      <c r="Q544" s="207">
        <f t="shared" si="844"/>
        <v>-227</v>
      </c>
      <c r="R544" s="207">
        <f t="shared" si="844"/>
        <v>-260</v>
      </c>
      <c r="S544" s="207">
        <f t="shared" si="844"/>
        <v>-260</v>
      </c>
      <c r="T544" s="207">
        <f t="shared" si="844"/>
        <v>-113</v>
      </c>
      <c r="U544" s="207">
        <f t="shared" si="844"/>
        <v>-238</v>
      </c>
      <c r="V544" s="207">
        <f t="shared" si="844"/>
        <v>-261</v>
      </c>
      <c r="W544" s="207">
        <f t="shared" si="844"/>
        <v>-327</v>
      </c>
      <c r="X544" s="207">
        <f t="shared" si="844"/>
        <v>-340</v>
      </c>
      <c r="Y544" s="207">
        <f t="shared" si="844"/>
        <v>-271</v>
      </c>
      <c r="Z544" s="207">
        <f t="shared" si="844"/>
        <v>-353</v>
      </c>
      <c r="AA544" s="207">
        <f t="shared" si="844"/>
        <v>-453.6</v>
      </c>
      <c r="AB544" s="207">
        <f t="shared" si="844"/>
        <v>-668.4557880000001</v>
      </c>
      <c r="AC544" s="207">
        <f t="shared" si="844"/>
        <v>-690.10584337442674</v>
      </c>
      <c r="AD544" s="207">
        <f t="shared" si="844"/>
        <v>-797.0188281504461</v>
      </c>
      <c r="AE544" s="207">
        <f t="shared" si="844"/>
        <v>-905.45212788394133</v>
      </c>
      <c r="AF544" s="207">
        <f t="shared" si="844"/>
        <v>-1065.1652590503593</v>
      </c>
      <c r="AG544" s="207">
        <f t="shared" si="844"/>
        <v>-1216.6848740827122</v>
      </c>
      <c r="AH544" s="207">
        <f t="shared" si="844"/>
        <v>-1382.9933737387032</v>
      </c>
      <c r="AI544" s="207">
        <f t="shared" ref="AI544:AL544" si="845">+AI131</f>
        <v>-1521.127698829416</v>
      </c>
      <c r="AJ544" s="207">
        <f t="shared" si="845"/>
        <v>-1638.3267476238263</v>
      </c>
      <c r="AK544" s="207">
        <f t="shared" si="845"/>
        <v>-1784.1752349799028</v>
      </c>
      <c r="AL544" s="207">
        <f t="shared" si="845"/>
        <v>-1952.5336100629097</v>
      </c>
      <c r="AM544" s="181"/>
      <c r="AN544" s="181"/>
      <c r="AO544" s="11"/>
      <c r="AP544" s="11"/>
      <c r="AQ544" s="11"/>
      <c r="AR544" s="11"/>
      <c r="AS544" s="11"/>
      <c r="AT544" s="11"/>
      <c r="AU544" s="11"/>
      <c r="AV544" s="11"/>
    </row>
    <row r="545" spans="1:48" outlineLevel="1" x14ac:dyDescent="0.2">
      <c r="A545" s="11"/>
      <c r="B545" s="205"/>
      <c r="C545" s="205"/>
      <c r="D545" s="205"/>
      <c r="E545" s="205"/>
      <c r="F545" s="205"/>
      <c r="G545" s="205"/>
      <c r="H545" s="205"/>
      <c r="I545" s="205"/>
      <c r="J545" s="205"/>
      <c r="K545" s="205"/>
      <c r="L545" s="205"/>
      <c r="M545" s="205"/>
      <c r="N545" s="205"/>
      <c r="O545" s="205"/>
      <c r="P545" s="205"/>
      <c r="Q545" s="205"/>
      <c r="R545" s="205"/>
      <c r="S545" s="205"/>
      <c r="T545" s="205"/>
      <c r="U545" s="205"/>
      <c r="V545" s="205"/>
      <c r="W545" s="205"/>
      <c r="X545" s="205"/>
      <c r="Y545" s="205"/>
      <c r="Z545" s="205"/>
      <c r="AA545" s="205"/>
      <c r="AB545" s="205"/>
      <c r="AC545" s="205"/>
      <c r="AD545" s="205"/>
      <c r="AE545" s="205"/>
      <c r="AF545" s="205"/>
      <c r="AG545" s="205"/>
      <c r="AH545" s="205"/>
      <c r="AI545" s="205"/>
      <c r="AJ545" s="205"/>
      <c r="AK545" s="205"/>
      <c r="AL545" s="205"/>
      <c r="AM545" s="181"/>
      <c r="AN545" s="181"/>
      <c r="AO545" s="11"/>
      <c r="AP545" s="11"/>
      <c r="AQ545" s="11"/>
      <c r="AR545" s="11"/>
      <c r="AS545" s="11"/>
      <c r="AT545" s="11"/>
      <c r="AU545" s="11"/>
      <c r="AV545" s="11"/>
    </row>
    <row r="546" spans="1:48" outlineLevel="1" x14ac:dyDescent="0.2">
      <c r="A546" s="11"/>
      <c r="B546" s="205" t="s">
        <v>101</v>
      </c>
      <c r="C546" s="205"/>
      <c r="D546" s="205"/>
      <c r="E546" s="205"/>
      <c r="F546" s="205"/>
      <c r="G546" s="205"/>
      <c r="H546" s="205"/>
      <c r="I546" s="205"/>
      <c r="J546" s="205"/>
      <c r="K546" s="205"/>
      <c r="L546" s="205"/>
      <c r="M546" s="205"/>
      <c r="N546" s="205"/>
      <c r="O546" s="205"/>
      <c r="P546" s="205"/>
      <c r="Q546" s="205"/>
      <c r="R546" s="205"/>
      <c r="S546" s="205"/>
      <c r="T546" s="205"/>
      <c r="U546" s="205"/>
      <c r="V546" s="205"/>
      <c r="W546" s="205"/>
      <c r="X546" s="205"/>
      <c r="Y546" s="205"/>
      <c r="Z546" s="205"/>
      <c r="AA546" s="205"/>
      <c r="AB546" s="205"/>
      <c r="AC546" s="205"/>
      <c r="AD546" s="205"/>
      <c r="AE546" s="205"/>
      <c r="AF546" s="205"/>
      <c r="AG546" s="205"/>
      <c r="AH546" s="205"/>
      <c r="AI546" s="205"/>
      <c r="AJ546" s="205"/>
      <c r="AK546" s="205"/>
      <c r="AL546" s="205"/>
      <c r="AM546" s="181"/>
      <c r="AN546" s="181"/>
      <c r="AO546" s="11"/>
      <c r="AP546" s="11"/>
      <c r="AQ546" s="11"/>
      <c r="AR546" s="11"/>
      <c r="AS546" s="11"/>
      <c r="AT546" s="11"/>
      <c r="AU546" s="11"/>
      <c r="AV546" s="11"/>
    </row>
    <row r="547" spans="1:48" outlineLevel="1" x14ac:dyDescent="0.2">
      <c r="A547" s="11"/>
      <c r="B547" s="205" t="s">
        <v>104</v>
      </c>
      <c r="C547" s="205"/>
      <c r="D547" s="205"/>
      <c r="E547" s="205"/>
      <c r="F547" s="205"/>
      <c r="G547" s="205"/>
      <c r="H547" s="205"/>
      <c r="I547" s="205"/>
      <c r="J547" s="207">
        <f>201.422-J548</f>
        <v>185.69499999999999</v>
      </c>
      <c r="K547" s="207">
        <f>254.183-K548</f>
        <v>226.655</v>
      </c>
      <c r="L547" s="207">
        <f>266.929-L548</f>
        <v>203.60499999999996</v>
      </c>
      <c r="M547" s="207">
        <f>267.435-M548</f>
        <v>220.816</v>
      </c>
      <c r="N547" s="207">
        <f>259.427-N548</f>
        <v>214.27500000000003</v>
      </c>
      <c r="O547" s="207">
        <f>378.303-O548</f>
        <v>346.03899999999999</v>
      </c>
      <c r="P547" s="205">
        <f>537-P548</f>
        <v>423</v>
      </c>
      <c r="Q547" s="205">
        <f>413-Q548</f>
        <v>343</v>
      </c>
      <c r="R547" s="208">
        <f>529-R548</f>
        <v>407</v>
      </c>
      <c r="S547" s="208">
        <f t="shared" ref="S547:AH547" si="846">+S251-S548</f>
        <v>667</v>
      </c>
      <c r="T547" s="208">
        <f t="shared" si="846"/>
        <v>398</v>
      </c>
      <c r="U547" s="208">
        <f t="shared" si="846"/>
        <v>465</v>
      </c>
      <c r="V547" s="208">
        <f t="shared" si="846"/>
        <v>636</v>
      </c>
      <c r="W547" s="208">
        <f t="shared" si="846"/>
        <v>559</v>
      </c>
      <c r="X547" s="208">
        <f t="shared" si="846"/>
        <v>567</v>
      </c>
      <c r="Y547" s="208">
        <f t="shared" si="846"/>
        <v>701</v>
      </c>
      <c r="Z547" s="208">
        <f t="shared" si="846"/>
        <v>734</v>
      </c>
      <c r="AA547" s="208">
        <f t="shared" si="846"/>
        <v>1187</v>
      </c>
      <c r="AB547" s="208">
        <f t="shared" si="846"/>
        <v>769</v>
      </c>
      <c r="AC547" s="208">
        <f t="shared" si="846"/>
        <v>769</v>
      </c>
      <c r="AD547" s="208">
        <f t="shared" si="846"/>
        <v>769</v>
      </c>
      <c r="AE547" s="208">
        <f t="shared" si="846"/>
        <v>769</v>
      </c>
      <c r="AF547" s="208">
        <f t="shared" si="846"/>
        <v>769</v>
      </c>
      <c r="AG547" s="208">
        <f t="shared" si="846"/>
        <v>769</v>
      </c>
      <c r="AH547" s="208">
        <f t="shared" si="846"/>
        <v>769</v>
      </c>
      <c r="AI547" s="208">
        <f t="shared" ref="AI547:AL547" si="847">+AI251-AI548</f>
        <v>769</v>
      </c>
      <c r="AJ547" s="208">
        <f t="shared" si="847"/>
        <v>769</v>
      </c>
      <c r="AK547" s="208">
        <f t="shared" si="847"/>
        <v>769</v>
      </c>
      <c r="AL547" s="208">
        <f t="shared" si="847"/>
        <v>769</v>
      </c>
      <c r="AM547" s="181"/>
      <c r="AN547" s="181"/>
      <c r="AO547" s="11"/>
      <c r="AP547" s="11"/>
      <c r="AQ547" s="11"/>
      <c r="AR547" s="11"/>
      <c r="AS547" s="11"/>
      <c r="AT547" s="11"/>
      <c r="AU547" s="11"/>
      <c r="AV547" s="11"/>
    </row>
    <row r="548" spans="1:48" outlineLevel="1" x14ac:dyDescent="0.2">
      <c r="A548" s="11"/>
      <c r="B548" s="205" t="s">
        <v>105</v>
      </c>
      <c r="C548" s="205"/>
      <c r="D548" s="205"/>
      <c r="E548" s="205"/>
      <c r="F548" s="205"/>
      <c r="G548" s="205"/>
      <c r="H548" s="205"/>
      <c r="I548" s="205"/>
      <c r="J548" s="207">
        <f>11.065+4.662</f>
        <v>15.727</v>
      </c>
      <c r="K548" s="207">
        <f>3.305+12.89+0+11.333</f>
        <v>27.527999999999999</v>
      </c>
      <c r="L548" s="207">
        <f>1.954+6.089+39.869+15.412</f>
        <v>63.323999999999998</v>
      </c>
      <c r="M548" s="207">
        <f>4.487+6.847+25.035+10.25</f>
        <v>46.619</v>
      </c>
      <c r="N548" s="207">
        <f>4.657+4.602+25.529+10.364</f>
        <v>45.152000000000001</v>
      </c>
      <c r="O548" s="207">
        <f>5.172+7.264+4.457+15.371</f>
        <v>32.264000000000003</v>
      </c>
      <c r="P548" s="205">
        <f>2+69+23+20</f>
        <v>114</v>
      </c>
      <c r="Q548" s="205">
        <f>6+7+28+29</f>
        <v>70</v>
      </c>
      <c r="R548" s="208">
        <f>23+11+38+50</f>
        <v>122</v>
      </c>
      <c r="S548" s="208">
        <f>+R548</f>
        <v>122</v>
      </c>
      <c r="T548" s="208">
        <f t="shared" ref="T548:AA548" si="848">+S548</f>
        <v>122</v>
      </c>
      <c r="U548" s="208">
        <f t="shared" si="848"/>
        <v>122</v>
      </c>
      <c r="V548" s="208">
        <f t="shared" si="848"/>
        <v>122</v>
      </c>
      <c r="W548" s="208">
        <f t="shared" si="848"/>
        <v>122</v>
      </c>
      <c r="X548" s="208">
        <f t="shared" si="848"/>
        <v>122</v>
      </c>
      <c r="Y548" s="208">
        <f t="shared" si="848"/>
        <v>122</v>
      </c>
      <c r="Z548" s="208">
        <f t="shared" si="848"/>
        <v>122</v>
      </c>
      <c r="AA548" s="208">
        <f t="shared" si="848"/>
        <v>122</v>
      </c>
      <c r="AB548" s="208">
        <f t="shared" ref="AB548:AL548" si="849">+AA548</f>
        <v>122</v>
      </c>
      <c r="AC548" s="208">
        <f t="shared" si="849"/>
        <v>122</v>
      </c>
      <c r="AD548" s="208">
        <f t="shared" si="849"/>
        <v>122</v>
      </c>
      <c r="AE548" s="208">
        <f t="shared" si="849"/>
        <v>122</v>
      </c>
      <c r="AF548" s="208">
        <f t="shared" si="849"/>
        <v>122</v>
      </c>
      <c r="AG548" s="208">
        <f t="shared" si="849"/>
        <v>122</v>
      </c>
      <c r="AH548" s="208">
        <f t="shared" si="849"/>
        <v>122</v>
      </c>
      <c r="AI548" s="208">
        <f t="shared" si="849"/>
        <v>122</v>
      </c>
      <c r="AJ548" s="208">
        <f t="shared" si="849"/>
        <v>122</v>
      </c>
      <c r="AK548" s="208">
        <f t="shared" si="849"/>
        <v>122</v>
      </c>
      <c r="AL548" s="208">
        <f t="shared" si="849"/>
        <v>122</v>
      </c>
      <c r="AM548" s="181"/>
      <c r="AN548" s="181"/>
      <c r="AO548" s="11"/>
      <c r="AP548" s="11"/>
      <c r="AQ548" s="11"/>
      <c r="AR548" s="11"/>
      <c r="AS548" s="11"/>
      <c r="AT548" s="11"/>
      <c r="AU548" s="11"/>
      <c r="AV548" s="11"/>
    </row>
    <row r="549" spans="1:48" outlineLevel="1" x14ac:dyDescent="0.2">
      <c r="A549" s="11"/>
      <c r="B549" s="205"/>
      <c r="C549" s="205"/>
      <c r="D549" s="205"/>
      <c r="E549" s="205"/>
      <c r="F549" s="205"/>
      <c r="G549" s="205"/>
      <c r="H549" s="205"/>
      <c r="I549" s="205"/>
      <c r="J549" s="207"/>
      <c r="K549" s="207"/>
      <c r="L549" s="207"/>
      <c r="M549" s="207"/>
      <c r="N549" s="207"/>
      <c r="O549" s="207"/>
      <c r="P549" s="205"/>
      <c r="Q549" s="205"/>
      <c r="R549" s="205"/>
      <c r="S549" s="205"/>
      <c r="T549" s="205"/>
      <c r="U549" s="205"/>
      <c r="V549" s="205"/>
      <c r="W549" s="205"/>
      <c r="X549" s="205"/>
      <c r="Y549" s="205"/>
      <c r="Z549" s="205"/>
      <c r="AA549" s="205"/>
      <c r="AB549" s="205"/>
      <c r="AC549" s="205"/>
      <c r="AD549" s="205"/>
      <c r="AE549" s="205"/>
      <c r="AF549" s="205"/>
      <c r="AG549" s="205"/>
      <c r="AH549" s="205"/>
      <c r="AI549" s="205"/>
      <c r="AJ549" s="205"/>
      <c r="AK549" s="205"/>
      <c r="AL549" s="205"/>
      <c r="AM549" s="181"/>
      <c r="AN549" s="181"/>
      <c r="AO549" s="11"/>
      <c r="AP549" s="11"/>
      <c r="AQ549" s="11"/>
      <c r="AR549" s="11"/>
      <c r="AS549" s="11"/>
      <c r="AT549" s="11"/>
      <c r="AU549" s="11"/>
      <c r="AV549" s="11"/>
    </row>
    <row r="550" spans="1:48" outlineLevel="1" x14ac:dyDescent="0.2">
      <c r="A550" s="11"/>
      <c r="B550" s="205" t="s">
        <v>106</v>
      </c>
      <c r="C550" s="205"/>
      <c r="D550" s="205"/>
      <c r="E550" s="205"/>
      <c r="F550" s="205"/>
      <c r="G550" s="205"/>
      <c r="H550" s="205"/>
      <c r="I550" s="205"/>
      <c r="J550" s="207"/>
      <c r="K550" s="207"/>
      <c r="L550" s="207"/>
      <c r="M550" s="207"/>
      <c r="N550" s="207"/>
      <c r="O550" s="207"/>
      <c r="P550" s="205"/>
      <c r="Q550" s="205"/>
      <c r="R550" s="205"/>
      <c r="S550" s="205"/>
      <c r="T550" s="205"/>
      <c r="U550" s="205"/>
      <c r="V550" s="205"/>
      <c r="W550" s="205"/>
      <c r="X550" s="205"/>
      <c r="Y550" s="205"/>
      <c r="Z550" s="205"/>
      <c r="AA550" s="205"/>
      <c r="AB550" s="205"/>
      <c r="AC550" s="205"/>
      <c r="AD550" s="205"/>
      <c r="AE550" s="205"/>
      <c r="AF550" s="205"/>
      <c r="AG550" s="205"/>
      <c r="AH550" s="205"/>
      <c r="AI550" s="205"/>
      <c r="AJ550" s="205"/>
      <c r="AK550" s="205"/>
      <c r="AL550" s="205"/>
      <c r="AM550" s="181"/>
      <c r="AN550" s="181"/>
      <c r="AO550" s="11"/>
      <c r="AP550" s="11"/>
      <c r="AQ550" s="11"/>
      <c r="AR550" s="11"/>
      <c r="AS550" s="11"/>
      <c r="AT550" s="11"/>
      <c r="AU550" s="11"/>
      <c r="AV550" s="11"/>
    </row>
    <row r="551" spans="1:48" outlineLevel="1" x14ac:dyDescent="0.2">
      <c r="A551" s="11"/>
      <c r="B551" s="205" t="s">
        <v>104</v>
      </c>
      <c r="C551" s="205"/>
      <c r="D551" s="205"/>
      <c r="E551" s="205"/>
      <c r="F551" s="205"/>
      <c r="G551" s="205"/>
      <c r="H551" s="205"/>
      <c r="I551" s="205"/>
      <c r="J551" s="207">
        <f>86.94+5.307</f>
        <v>92.247</v>
      </c>
      <c r="K551" s="207">
        <f>67.593+14.941</f>
        <v>82.534000000000006</v>
      </c>
      <c r="L551" s="207">
        <f>59.291+22.415</f>
        <v>81.705999999999989</v>
      </c>
      <c r="M551" s="207">
        <f>45.113+3.051</f>
        <v>48.164000000000001</v>
      </c>
      <c r="N551" s="207">
        <f>86.554+1.809</f>
        <v>88.363</v>
      </c>
      <c r="O551" s="207">
        <f>84.225+3.839</f>
        <v>88.063999999999993</v>
      </c>
      <c r="P551" s="205">
        <f>89+4</f>
        <v>93</v>
      </c>
      <c r="Q551" s="205">
        <f>103+4</f>
        <v>107</v>
      </c>
      <c r="R551" s="205">
        <f>105+12</f>
        <v>117</v>
      </c>
      <c r="S551" s="207">
        <f t="shared" ref="S551:AH551" si="850">+S244-S552</f>
        <v>150</v>
      </c>
      <c r="T551" s="207">
        <f t="shared" si="850"/>
        <v>154</v>
      </c>
      <c r="U551" s="207">
        <f t="shared" si="850"/>
        <v>124</v>
      </c>
      <c r="V551" s="207">
        <f t="shared" si="850"/>
        <v>119</v>
      </c>
      <c r="W551" s="207">
        <f t="shared" si="850"/>
        <v>77</v>
      </c>
      <c r="X551" s="207">
        <f t="shared" si="850"/>
        <v>81</v>
      </c>
      <c r="Y551" s="207">
        <f t="shared" si="850"/>
        <v>117</v>
      </c>
      <c r="Z551" s="207">
        <f t="shared" si="850"/>
        <v>193</v>
      </c>
      <c r="AA551" s="207">
        <f t="shared" si="850"/>
        <v>160</v>
      </c>
      <c r="AB551" s="207">
        <f t="shared" si="850"/>
        <v>297</v>
      </c>
      <c r="AC551" s="207">
        <f t="shared" si="850"/>
        <v>297</v>
      </c>
      <c r="AD551" s="207">
        <f t="shared" si="850"/>
        <v>297</v>
      </c>
      <c r="AE551" s="207">
        <f t="shared" si="850"/>
        <v>297</v>
      </c>
      <c r="AF551" s="207">
        <f t="shared" si="850"/>
        <v>297</v>
      </c>
      <c r="AG551" s="207">
        <f t="shared" si="850"/>
        <v>297</v>
      </c>
      <c r="AH551" s="207">
        <f t="shared" si="850"/>
        <v>297</v>
      </c>
      <c r="AI551" s="207">
        <f t="shared" ref="AI551:AL551" si="851">+AI244-AI552</f>
        <v>297</v>
      </c>
      <c r="AJ551" s="207">
        <f t="shared" si="851"/>
        <v>297</v>
      </c>
      <c r="AK551" s="207">
        <f t="shared" si="851"/>
        <v>297</v>
      </c>
      <c r="AL551" s="207">
        <f t="shared" si="851"/>
        <v>297</v>
      </c>
      <c r="AM551" s="181"/>
      <c r="AN551" s="181"/>
      <c r="AO551" s="11"/>
      <c r="AP551" s="11"/>
      <c r="AQ551" s="11"/>
      <c r="AR551" s="11"/>
      <c r="AS551" s="11"/>
      <c r="AT551" s="11"/>
      <c r="AU551" s="11"/>
      <c r="AV551" s="11"/>
    </row>
    <row r="552" spans="1:48" outlineLevel="1" x14ac:dyDescent="0.2">
      <c r="A552" s="11"/>
      <c r="B552" s="205" t="s">
        <v>105</v>
      </c>
      <c r="C552" s="205"/>
      <c r="D552" s="205"/>
      <c r="E552" s="205"/>
      <c r="F552" s="205"/>
      <c r="G552" s="205"/>
      <c r="H552" s="205"/>
      <c r="I552" s="205"/>
      <c r="J552" s="207">
        <f>111.185-12.227-J551</f>
        <v>6.7109999999999985</v>
      </c>
      <c r="K552" s="207">
        <f>112.643-16.388-K551</f>
        <v>13.720999999999989</v>
      </c>
      <c r="L552" s="207">
        <f>107.76-15.031-L551</f>
        <v>11.02300000000001</v>
      </c>
      <c r="M552" s="207">
        <f>57.661-M551</f>
        <v>9.4969999999999999</v>
      </c>
      <c r="N552" s="207">
        <f>104.569-N551</f>
        <v>16.206000000000003</v>
      </c>
      <c r="O552" s="207">
        <f>102.599-O551</f>
        <v>14.535000000000011</v>
      </c>
      <c r="P552" s="205">
        <f>123-P551</f>
        <v>30</v>
      </c>
      <c r="Q552" s="205">
        <f>134-Q551</f>
        <v>27</v>
      </c>
      <c r="R552" s="205">
        <f>147-R551</f>
        <v>30</v>
      </c>
      <c r="S552" s="205">
        <f>+R552</f>
        <v>30</v>
      </c>
      <c r="T552" s="205">
        <f t="shared" ref="T552:AA552" si="852">+S552</f>
        <v>30</v>
      </c>
      <c r="U552" s="205">
        <f t="shared" si="852"/>
        <v>30</v>
      </c>
      <c r="V552" s="205">
        <f t="shared" si="852"/>
        <v>30</v>
      </c>
      <c r="W552" s="205">
        <f t="shared" si="852"/>
        <v>30</v>
      </c>
      <c r="X552" s="205">
        <f t="shared" si="852"/>
        <v>30</v>
      </c>
      <c r="Y552" s="205">
        <f t="shared" si="852"/>
        <v>30</v>
      </c>
      <c r="Z552" s="205">
        <f t="shared" si="852"/>
        <v>30</v>
      </c>
      <c r="AA552" s="205">
        <f t="shared" si="852"/>
        <v>30</v>
      </c>
      <c r="AB552" s="205">
        <f t="shared" ref="AB552:AL552" si="853">+AA552</f>
        <v>30</v>
      </c>
      <c r="AC552" s="205">
        <f t="shared" si="853"/>
        <v>30</v>
      </c>
      <c r="AD552" s="205">
        <f t="shared" si="853"/>
        <v>30</v>
      </c>
      <c r="AE552" s="205">
        <f t="shared" si="853"/>
        <v>30</v>
      </c>
      <c r="AF552" s="205">
        <f t="shared" si="853"/>
        <v>30</v>
      </c>
      <c r="AG552" s="205">
        <f t="shared" si="853"/>
        <v>30</v>
      </c>
      <c r="AH552" s="205">
        <f t="shared" si="853"/>
        <v>30</v>
      </c>
      <c r="AI552" s="205">
        <f t="shared" si="853"/>
        <v>30</v>
      </c>
      <c r="AJ552" s="205">
        <f t="shared" si="853"/>
        <v>30</v>
      </c>
      <c r="AK552" s="205">
        <f t="shared" si="853"/>
        <v>30</v>
      </c>
      <c r="AL552" s="205">
        <f t="shared" si="853"/>
        <v>30</v>
      </c>
      <c r="AM552" s="181"/>
      <c r="AN552" s="181"/>
      <c r="AO552" s="11"/>
      <c r="AP552" s="11"/>
      <c r="AQ552" s="11"/>
      <c r="AR552" s="11"/>
      <c r="AS552" s="11"/>
      <c r="AT552" s="11"/>
      <c r="AU552" s="11"/>
      <c r="AV552" s="11"/>
    </row>
    <row r="553" spans="1:48" outlineLevel="1" x14ac:dyDescent="0.2">
      <c r="A553" s="11"/>
      <c r="B553" s="205"/>
      <c r="C553" s="205"/>
      <c r="D553" s="205"/>
      <c r="E553" s="205"/>
      <c r="F553" s="205"/>
      <c r="G553" s="205"/>
      <c r="H553" s="205"/>
      <c r="I553" s="205"/>
      <c r="J553" s="209"/>
      <c r="K553" s="209"/>
      <c r="L553" s="209"/>
      <c r="M553" s="207"/>
      <c r="N553" s="207"/>
      <c r="O553" s="207"/>
      <c r="P553" s="205"/>
      <c r="Q553" s="205"/>
      <c r="R553" s="205"/>
      <c r="S553" s="205"/>
      <c r="T553" s="205"/>
      <c r="U553" s="205"/>
      <c r="V553" s="205"/>
      <c r="W553" s="205"/>
      <c r="X553" s="205"/>
      <c r="Y553" s="205"/>
      <c r="Z553" s="205"/>
      <c r="AA553" s="205"/>
      <c r="AB553" s="205"/>
      <c r="AC553" s="205"/>
      <c r="AD553" s="205"/>
      <c r="AE553" s="205"/>
      <c r="AF553" s="205"/>
      <c r="AG553" s="205"/>
      <c r="AH553" s="205"/>
      <c r="AI553" s="205"/>
      <c r="AJ553" s="205"/>
      <c r="AK553" s="205"/>
      <c r="AL553" s="205"/>
      <c r="AM553" s="181"/>
      <c r="AN553" s="181"/>
      <c r="AO553" s="11"/>
      <c r="AP553" s="11"/>
      <c r="AQ553" s="11"/>
      <c r="AR553" s="11"/>
      <c r="AS553" s="11"/>
      <c r="AT553" s="11"/>
      <c r="AU553" s="11"/>
      <c r="AV553" s="11"/>
    </row>
    <row r="554" spans="1:48" outlineLevel="1" x14ac:dyDescent="0.2">
      <c r="A554" s="11"/>
      <c r="B554" s="205" t="s">
        <v>108</v>
      </c>
      <c r="C554" s="205"/>
      <c r="D554" s="205"/>
      <c r="E554" s="205"/>
      <c r="F554" s="205"/>
      <c r="G554" s="205"/>
      <c r="H554" s="205"/>
      <c r="I554" s="205"/>
      <c r="J554" s="207"/>
      <c r="K554" s="207"/>
      <c r="L554" s="207"/>
      <c r="M554" s="207"/>
      <c r="N554" s="207"/>
      <c r="O554" s="207"/>
      <c r="P554" s="205"/>
      <c r="Q554" s="205"/>
      <c r="R554" s="205"/>
      <c r="S554" s="205"/>
      <c r="T554" s="205"/>
      <c r="U554" s="205"/>
      <c r="V554" s="205"/>
      <c r="W554" s="205"/>
      <c r="X554" s="205"/>
      <c r="Y554" s="205"/>
      <c r="Z554" s="205"/>
      <c r="AA554" s="205"/>
      <c r="AB554" s="205"/>
      <c r="AC554" s="205"/>
      <c r="AD554" s="205"/>
      <c r="AE554" s="205"/>
      <c r="AF554" s="205"/>
      <c r="AG554" s="205"/>
      <c r="AH554" s="205"/>
      <c r="AI554" s="205"/>
      <c r="AJ554" s="205"/>
      <c r="AK554" s="205"/>
      <c r="AL554" s="205"/>
      <c r="AM554" s="181"/>
      <c r="AN554" s="181"/>
      <c r="AO554" s="11"/>
      <c r="AP554" s="11"/>
      <c r="AQ554" s="11"/>
      <c r="AR554" s="11"/>
      <c r="AS554" s="11"/>
      <c r="AT554" s="11"/>
      <c r="AU554" s="11"/>
      <c r="AV554" s="11"/>
    </row>
    <row r="555" spans="1:48" outlineLevel="1" x14ac:dyDescent="0.2">
      <c r="A555" s="11"/>
      <c r="B555" s="205" t="s">
        <v>104</v>
      </c>
      <c r="C555" s="205"/>
      <c r="D555" s="205"/>
      <c r="E555" s="205"/>
      <c r="F555" s="205"/>
      <c r="G555" s="205"/>
      <c r="H555" s="205"/>
      <c r="I555" s="205"/>
      <c r="J555" s="207">
        <f>22.155+21.27+7.213+42.89</f>
        <v>93.527999999999992</v>
      </c>
      <c r="K555" s="207">
        <f>12.196+14.985+16.644+43.765</f>
        <v>87.59</v>
      </c>
      <c r="L555" s="207">
        <f>13.275+27.562+15.388+38.665</f>
        <v>94.89</v>
      </c>
      <c r="M555" s="207">
        <f>14.444+27.68+16.576+37.768</f>
        <v>96.468000000000004</v>
      </c>
      <c r="N555" s="207">
        <f>17.066+18.677+20.656+40.021</f>
        <v>96.419999999999987</v>
      </c>
      <c r="O555" s="207">
        <f>14.384+35.798+19.258+73.835</f>
        <v>143.27499999999998</v>
      </c>
      <c r="P555" s="205">
        <f>13+46+10+17+79</f>
        <v>165</v>
      </c>
      <c r="Q555" s="205">
        <f>27+65+8+17+64</f>
        <v>181</v>
      </c>
      <c r="R555" s="205">
        <f>29+55+8+14+57</f>
        <v>163</v>
      </c>
      <c r="S555" s="207">
        <f t="shared" ref="S555:AH555" si="854">+S265-S556</f>
        <v>192</v>
      </c>
      <c r="T555" s="207">
        <f t="shared" si="854"/>
        <v>129</v>
      </c>
      <c r="U555" s="207">
        <f t="shared" si="854"/>
        <v>138</v>
      </c>
      <c r="V555" s="207">
        <f t="shared" si="854"/>
        <v>266</v>
      </c>
      <c r="W555" s="207">
        <f t="shared" si="854"/>
        <v>279</v>
      </c>
      <c r="X555" s="207">
        <f t="shared" si="854"/>
        <v>286</v>
      </c>
      <c r="Y555" s="207">
        <f t="shared" si="854"/>
        <v>275.39999999999998</v>
      </c>
      <c r="Z555" s="207">
        <f t="shared" si="854"/>
        <v>371</v>
      </c>
      <c r="AA555" s="207">
        <f t="shared" si="854"/>
        <v>532</v>
      </c>
      <c r="AB555" s="207">
        <f t="shared" si="854"/>
        <v>731.6</v>
      </c>
      <c r="AC555" s="207">
        <f t="shared" si="854"/>
        <v>731.6</v>
      </c>
      <c r="AD555" s="207">
        <f t="shared" si="854"/>
        <v>731.6</v>
      </c>
      <c r="AE555" s="207">
        <f t="shared" si="854"/>
        <v>731.6</v>
      </c>
      <c r="AF555" s="207">
        <f t="shared" si="854"/>
        <v>731.6</v>
      </c>
      <c r="AG555" s="207">
        <f t="shared" si="854"/>
        <v>731.6</v>
      </c>
      <c r="AH555" s="207">
        <f t="shared" si="854"/>
        <v>731.6</v>
      </c>
      <c r="AI555" s="207">
        <f t="shared" ref="AI555:AL555" si="855">+AI265-AI556</f>
        <v>731.6</v>
      </c>
      <c r="AJ555" s="207">
        <f t="shared" si="855"/>
        <v>731.6</v>
      </c>
      <c r="AK555" s="207">
        <f t="shared" si="855"/>
        <v>731.6</v>
      </c>
      <c r="AL555" s="207">
        <f t="shared" si="855"/>
        <v>731.6</v>
      </c>
      <c r="AM555" s="181"/>
      <c r="AN555" s="181"/>
      <c r="AO555" s="11"/>
      <c r="AP555" s="11"/>
      <c r="AQ555" s="11"/>
      <c r="AR555" s="11"/>
      <c r="AS555" s="11"/>
      <c r="AT555" s="11"/>
      <c r="AU555" s="11"/>
      <c r="AV555" s="11"/>
    </row>
    <row r="556" spans="1:48" outlineLevel="1" x14ac:dyDescent="0.2">
      <c r="A556" s="11"/>
      <c r="B556" s="205" t="s">
        <v>105</v>
      </c>
      <c r="C556" s="205"/>
      <c r="D556" s="205"/>
      <c r="E556" s="205"/>
      <c r="F556" s="205"/>
      <c r="G556" s="205"/>
      <c r="H556" s="205"/>
      <c r="I556" s="205"/>
      <c r="J556" s="207">
        <f>96.479-J555</f>
        <v>2.9510000000000076</v>
      </c>
      <c r="K556" s="207">
        <f>90.388-K555</f>
        <v>2.7980000000000018</v>
      </c>
      <c r="L556" s="207">
        <f>110.04-L555</f>
        <v>15.150000000000006</v>
      </c>
      <c r="M556" s="207">
        <f>148.959-M555</f>
        <v>52.491</v>
      </c>
      <c r="N556" s="207">
        <f>139.095-N555</f>
        <v>42.675000000000011</v>
      </c>
      <c r="O556" s="207">
        <f>195.884-O555</f>
        <v>52.609000000000009</v>
      </c>
      <c r="P556" s="205">
        <f>190-P555</f>
        <v>25</v>
      </c>
      <c r="Q556" s="205">
        <f>232-Q555</f>
        <v>51</v>
      </c>
      <c r="R556" s="205">
        <f>266-R555</f>
        <v>103</v>
      </c>
      <c r="S556" s="205">
        <f>+R556</f>
        <v>103</v>
      </c>
      <c r="T556" s="205">
        <f t="shared" ref="T556:AA556" si="856">+S556</f>
        <v>103</v>
      </c>
      <c r="U556" s="205">
        <f t="shared" si="856"/>
        <v>103</v>
      </c>
      <c r="V556" s="205">
        <f t="shared" si="856"/>
        <v>103</v>
      </c>
      <c r="W556" s="205">
        <f t="shared" si="856"/>
        <v>103</v>
      </c>
      <c r="X556" s="205">
        <f t="shared" si="856"/>
        <v>103</v>
      </c>
      <c r="Y556" s="205">
        <f t="shared" si="856"/>
        <v>103</v>
      </c>
      <c r="Z556" s="205">
        <f t="shared" si="856"/>
        <v>103</v>
      </c>
      <c r="AA556" s="205">
        <f t="shared" si="856"/>
        <v>103</v>
      </c>
      <c r="AB556" s="205">
        <f t="shared" ref="AB556:AL556" si="857">+AA556</f>
        <v>103</v>
      </c>
      <c r="AC556" s="205">
        <f t="shared" si="857"/>
        <v>103</v>
      </c>
      <c r="AD556" s="205">
        <f t="shared" si="857"/>
        <v>103</v>
      </c>
      <c r="AE556" s="205">
        <f t="shared" si="857"/>
        <v>103</v>
      </c>
      <c r="AF556" s="205">
        <f t="shared" si="857"/>
        <v>103</v>
      </c>
      <c r="AG556" s="205">
        <f t="shared" si="857"/>
        <v>103</v>
      </c>
      <c r="AH556" s="205">
        <f t="shared" si="857"/>
        <v>103</v>
      </c>
      <c r="AI556" s="205">
        <f t="shared" si="857"/>
        <v>103</v>
      </c>
      <c r="AJ556" s="205">
        <f t="shared" si="857"/>
        <v>103</v>
      </c>
      <c r="AK556" s="205">
        <f t="shared" si="857"/>
        <v>103</v>
      </c>
      <c r="AL556" s="205">
        <f t="shared" si="857"/>
        <v>103</v>
      </c>
      <c r="AM556" s="181"/>
      <c r="AN556" s="181"/>
      <c r="AO556" s="11"/>
      <c r="AP556" s="11"/>
      <c r="AQ556" s="11"/>
      <c r="AR556" s="11"/>
      <c r="AS556" s="11"/>
      <c r="AT556" s="11"/>
      <c r="AU556" s="11"/>
      <c r="AV556" s="11"/>
    </row>
    <row r="557" spans="1:48" outlineLevel="1" x14ac:dyDescent="0.2">
      <c r="A557" s="11"/>
      <c r="B557" s="205"/>
      <c r="C557" s="205"/>
      <c r="D557" s="205"/>
      <c r="E557" s="205"/>
      <c r="F557" s="205"/>
      <c r="G557" s="205"/>
      <c r="H557" s="205"/>
      <c r="I557" s="205"/>
      <c r="J557" s="207"/>
      <c r="K557" s="207"/>
      <c r="L557" s="207"/>
      <c r="M557" s="207"/>
      <c r="N557" s="207"/>
      <c r="O557" s="207"/>
      <c r="P557" s="205"/>
      <c r="Q557" s="205"/>
      <c r="R557" s="205"/>
      <c r="S557" s="205"/>
      <c r="T557" s="205"/>
      <c r="U557" s="205"/>
      <c r="V557" s="205"/>
      <c r="W557" s="205"/>
      <c r="X557" s="205"/>
      <c r="Y557" s="205"/>
      <c r="Z557" s="205"/>
      <c r="AA557" s="205"/>
      <c r="AB557" s="205"/>
      <c r="AC557" s="205"/>
      <c r="AD557" s="205"/>
      <c r="AE557" s="205"/>
      <c r="AF557" s="205"/>
      <c r="AG557" s="205"/>
      <c r="AH557" s="205"/>
      <c r="AI557" s="205"/>
      <c r="AJ557" s="205"/>
      <c r="AK557" s="205"/>
      <c r="AL557" s="205"/>
      <c r="AM557" s="181"/>
      <c r="AN557" s="181"/>
      <c r="AO557" s="11"/>
      <c r="AP557" s="11"/>
      <c r="AQ557" s="11"/>
      <c r="AR557" s="11"/>
      <c r="AS557" s="11"/>
      <c r="AT557" s="11"/>
      <c r="AU557" s="11"/>
      <c r="AV557" s="11"/>
    </row>
    <row r="558" spans="1:48" outlineLevel="1" x14ac:dyDescent="0.2">
      <c r="A558" s="11"/>
      <c r="B558" s="205" t="s">
        <v>109</v>
      </c>
      <c r="C558" s="205"/>
      <c r="D558" s="205"/>
      <c r="E558" s="205"/>
      <c r="F558" s="205"/>
      <c r="G558" s="205"/>
      <c r="H558" s="205"/>
      <c r="I558" s="205"/>
      <c r="J558" s="207"/>
      <c r="K558" s="207"/>
      <c r="L558" s="207"/>
      <c r="M558" s="207"/>
      <c r="N558" s="207"/>
      <c r="O558" s="207"/>
      <c r="P558" s="205"/>
      <c r="Q558" s="205"/>
      <c r="R558" s="205"/>
      <c r="S558" s="205"/>
      <c r="T558" s="205"/>
      <c r="U558" s="205"/>
      <c r="V558" s="205"/>
      <c r="W558" s="205"/>
      <c r="X558" s="205"/>
      <c r="Y558" s="205"/>
      <c r="Z558" s="205"/>
      <c r="AA558" s="205"/>
      <c r="AB558" s="205"/>
      <c r="AC558" s="205"/>
      <c r="AD558" s="205"/>
      <c r="AE558" s="205"/>
      <c r="AF558" s="205"/>
      <c r="AG558" s="205"/>
      <c r="AH558" s="205"/>
      <c r="AI558" s="205"/>
      <c r="AJ558" s="205"/>
      <c r="AK558" s="205"/>
      <c r="AL558" s="205"/>
      <c r="AM558" s="181"/>
      <c r="AN558" s="181"/>
      <c r="AO558" s="11"/>
      <c r="AP558" s="11"/>
      <c r="AQ558" s="11"/>
      <c r="AR558" s="11"/>
      <c r="AS558" s="11"/>
      <c r="AT558" s="11"/>
      <c r="AU558" s="11"/>
      <c r="AV558" s="11"/>
    </row>
    <row r="559" spans="1:48" outlineLevel="1" x14ac:dyDescent="0.2">
      <c r="A559" s="11"/>
      <c r="B559" s="205" t="s">
        <v>104</v>
      </c>
      <c r="C559" s="205"/>
      <c r="D559" s="205"/>
      <c r="E559" s="205"/>
      <c r="F559" s="205"/>
      <c r="G559" s="205"/>
      <c r="H559" s="205"/>
      <c r="I559" s="205"/>
      <c r="J559" s="207">
        <f t="shared" ref="J559:P559" si="858">J275-J560</f>
        <v>15.1</v>
      </c>
      <c r="K559" s="207">
        <f t="shared" si="858"/>
        <v>10.57</v>
      </c>
      <c r="L559" s="207">
        <f t="shared" si="858"/>
        <v>1.9000000000000128E-2</v>
      </c>
      <c r="M559" s="207">
        <f t="shared" si="858"/>
        <v>0.90700000000000003</v>
      </c>
      <c r="N559" s="207">
        <f t="shared" si="858"/>
        <v>2.2779999999999987</v>
      </c>
      <c r="O559" s="207">
        <f t="shared" si="858"/>
        <v>2.7839999999999989</v>
      </c>
      <c r="P559" s="208">
        <f t="shared" si="858"/>
        <v>6</v>
      </c>
      <c r="Q559" s="208">
        <f>5+4+12+8</f>
        <v>29</v>
      </c>
      <c r="R559" s="205">
        <f>3+6+14+3</f>
        <v>26</v>
      </c>
      <c r="S559" s="207">
        <f t="shared" ref="S559:AH559" si="859">+S275-S560</f>
        <v>9</v>
      </c>
      <c r="T559" s="207">
        <f t="shared" si="859"/>
        <v>10</v>
      </c>
      <c r="U559" s="207">
        <f t="shared" si="859"/>
        <v>8</v>
      </c>
      <c r="V559" s="207">
        <f t="shared" si="859"/>
        <v>2</v>
      </c>
      <c r="W559" s="207">
        <f t="shared" si="859"/>
        <v>8</v>
      </c>
      <c r="X559" s="207">
        <f t="shared" si="859"/>
        <v>8</v>
      </c>
      <c r="Y559" s="207">
        <f t="shared" si="859"/>
        <v>1.3999999999999986</v>
      </c>
      <c r="Z559" s="207">
        <f t="shared" si="859"/>
        <v>15</v>
      </c>
      <c r="AA559" s="207">
        <f t="shared" si="859"/>
        <v>25</v>
      </c>
      <c r="AB559" s="207">
        <f t="shared" si="859"/>
        <v>32</v>
      </c>
      <c r="AC559" s="207">
        <f t="shared" si="859"/>
        <v>32</v>
      </c>
      <c r="AD559" s="207">
        <f t="shared" si="859"/>
        <v>32</v>
      </c>
      <c r="AE559" s="207">
        <f t="shared" si="859"/>
        <v>32</v>
      </c>
      <c r="AF559" s="207">
        <f t="shared" si="859"/>
        <v>32</v>
      </c>
      <c r="AG559" s="207">
        <f t="shared" si="859"/>
        <v>32</v>
      </c>
      <c r="AH559" s="207">
        <f t="shared" si="859"/>
        <v>32</v>
      </c>
      <c r="AI559" s="207">
        <f t="shared" ref="AI559:AL559" si="860">+AI275-AI560</f>
        <v>32</v>
      </c>
      <c r="AJ559" s="207">
        <f t="shared" si="860"/>
        <v>32</v>
      </c>
      <c r="AK559" s="207">
        <f t="shared" si="860"/>
        <v>32</v>
      </c>
      <c r="AL559" s="207">
        <f t="shared" si="860"/>
        <v>32</v>
      </c>
      <c r="AM559" s="181"/>
      <c r="AN559" s="181"/>
      <c r="AO559" s="11"/>
      <c r="AP559" s="11"/>
      <c r="AQ559" s="11"/>
      <c r="AR559" s="11"/>
      <c r="AS559" s="11"/>
      <c r="AT559" s="11"/>
      <c r="AU559" s="11"/>
      <c r="AV559" s="11"/>
    </row>
    <row r="560" spans="1:48" outlineLevel="1" x14ac:dyDescent="0.2">
      <c r="A560" s="11"/>
      <c r="B560" s="205" t="s">
        <v>105</v>
      </c>
      <c r="C560" s="205"/>
      <c r="D560" s="205"/>
      <c r="E560" s="205"/>
      <c r="F560" s="205"/>
      <c r="G560" s="205"/>
      <c r="H560" s="205"/>
      <c r="I560" s="205"/>
      <c r="J560" s="207">
        <v>0</v>
      </c>
      <c r="K560" s="207">
        <v>0</v>
      </c>
      <c r="L560" s="207">
        <f>9+4</f>
        <v>13</v>
      </c>
      <c r="M560" s="207">
        <f>8+10</f>
        <v>18</v>
      </c>
      <c r="N560" s="207">
        <f>16+17</f>
        <v>33</v>
      </c>
      <c r="O560" s="207">
        <f>13+15</f>
        <v>28</v>
      </c>
      <c r="P560" s="205">
        <f>8+9</f>
        <v>17</v>
      </c>
      <c r="Q560" s="205">
        <f>43-Q559</f>
        <v>14</v>
      </c>
      <c r="R560" s="205">
        <f>69-R559</f>
        <v>43</v>
      </c>
      <c r="S560" s="205">
        <f>+R560</f>
        <v>43</v>
      </c>
      <c r="T560" s="205">
        <f t="shared" ref="T560:AA560" si="861">+S560</f>
        <v>43</v>
      </c>
      <c r="U560" s="205">
        <f t="shared" si="861"/>
        <v>43</v>
      </c>
      <c r="V560" s="205">
        <f t="shared" si="861"/>
        <v>43</v>
      </c>
      <c r="W560" s="205">
        <f t="shared" si="861"/>
        <v>43</v>
      </c>
      <c r="X560" s="205">
        <f t="shared" si="861"/>
        <v>43</v>
      </c>
      <c r="Y560" s="205">
        <f t="shared" si="861"/>
        <v>43</v>
      </c>
      <c r="Z560" s="205">
        <f t="shared" si="861"/>
        <v>43</v>
      </c>
      <c r="AA560" s="205">
        <f t="shared" si="861"/>
        <v>43</v>
      </c>
      <c r="AB560" s="205">
        <f t="shared" ref="AB560:AL560" si="862">+AA560</f>
        <v>43</v>
      </c>
      <c r="AC560" s="205">
        <f t="shared" si="862"/>
        <v>43</v>
      </c>
      <c r="AD560" s="205">
        <f t="shared" si="862"/>
        <v>43</v>
      </c>
      <c r="AE560" s="205">
        <f t="shared" si="862"/>
        <v>43</v>
      </c>
      <c r="AF560" s="205">
        <f t="shared" si="862"/>
        <v>43</v>
      </c>
      <c r="AG560" s="205">
        <f t="shared" si="862"/>
        <v>43</v>
      </c>
      <c r="AH560" s="205">
        <f t="shared" si="862"/>
        <v>43</v>
      </c>
      <c r="AI560" s="205">
        <f t="shared" si="862"/>
        <v>43</v>
      </c>
      <c r="AJ560" s="205">
        <f t="shared" si="862"/>
        <v>43</v>
      </c>
      <c r="AK560" s="205">
        <f t="shared" si="862"/>
        <v>43</v>
      </c>
      <c r="AL560" s="205">
        <f t="shared" si="862"/>
        <v>43</v>
      </c>
      <c r="AM560" s="181"/>
      <c r="AN560" s="181"/>
      <c r="AO560" s="11"/>
      <c r="AP560" s="11"/>
      <c r="AQ560" s="11"/>
      <c r="AR560" s="11"/>
      <c r="AS560" s="11"/>
      <c r="AT560" s="11"/>
      <c r="AU560" s="11"/>
      <c r="AV560" s="11"/>
    </row>
    <row r="561" spans="1:48" outlineLevel="1" x14ac:dyDescent="0.2">
      <c r="A561" s="11"/>
      <c r="B561" s="205"/>
      <c r="C561" s="205"/>
      <c r="D561" s="205"/>
      <c r="E561" s="205"/>
      <c r="F561" s="205"/>
      <c r="G561" s="205"/>
      <c r="H561" s="205"/>
      <c r="I561" s="205"/>
      <c r="J561" s="207"/>
      <c r="K561" s="207"/>
      <c r="L561" s="207"/>
      <c r="M561" s="207"/>
      <c r="N561" s="207"/>
      <c r="O561" s="207"/>
      <c r="P561" s="205"/>
      <c r="Q561" s="205"/>
      <c r="R561" s="205"/>
      <c r="S561" s="205"/>
      <c r="T561" s="205"/>
      <c r="U561" s="205"/>
      <c r="V561" s="205"/>
      <c r="W561" s="205"/>
      <c r="X561" s="205"/>
      <c r="Y561" s="205"/>
      <c r="Z561" s="205"/>
      <c r="AA561" s="205"/>
      <c r="AB561" s="205"/>
      <c r="AC561" s="205"/>
      <c r="AD561" s="205"/>
      <c r="AE561" s="205"/>
      <c r="AF561" s="205"/>
      <c r="AG561" s="205"/>
      <c r="AH561" s="205"/>
      <c r="AI561" s="205"/>
      <c r="AJ561" s="205"/>
      <c r="AK561" s="205"/>
      <c r="AL561" s="205"/>
      <c r="AM561" s="181"/>
      <c r="AN561" s="181"/>
      <c r="AO561" s="11"/>
      <c r="AP561" s="11"/>
      <c r="AQ561" s="11"/>
      <c r="AR561" s="11"/>
      <c r="AS561" s="11"/>
      <c r="AT561" s="11"/>
      <c r="AU561" s="11"/>
      <c r="AV561" s="11"/>
    </row>
    <row r="562" spans="1:48" outlineLevel="1" x14ac:dyDescent="0.2">
      <c r="A562" s="11"/>
      <c r="B562" s="205" t="s">
        <v>474</v>
      </c>
      <c r="C562" s="205"/>
      <c r="D562" s="205"/>
      <c r="E562" s="205"/>
      <c r="F562" s="205"/>
      <c r="G562" s="205"/>
      <c r="H562" s="205"/>
      <c r="I562" s="205"/>
      <c r="J562" s="207"/>
      <c r="K562" s="207"/>
      <c r="L562" s="207"/>
      <c r="M562" s="207"/>
      <c r="N562" s="207"/>
      <c r="O562" s="207"/>
      <c r="P562" s="208">
        <f>P88</f>
        <v>-3439</v>
      </c>
      <c r="Q562" s="208">
        <f t="shared" ref="Q562:AL562" si="863">Q88</f>
        <v>-5589</v>
      </c>
      <c r="R562" s="208">
        <f t="shared" si="863"/>
        <v>-5417</v>
      </c>
      <c r="S562" s="208">
        <f t="shared" si="863"/>
        <v>-5543</v>
      </c>
      <c r="T562" s="208">
        <f t="shared" si="863"/>
        <v>-5669</v>
      </c>
      <c r="U562" s="208">
        <f t="shared" si="863"/>
        <v>-6260</v>
      </c>
      <c r="V562" s="208">
        <f t="shared" si="863"/>
        <v>-6993</v>
      </c>
      <c r="W562" s="208">
        <f>W88</f>
        <v>-7780</v>
      </c>
      <c r="X562" s="208">
        <f t="shared" si="863"/>
        <v>-7202</v>
      </c>
      <c r="Y562" s="208">
        <f t="shared" si="863"/>
        <v>-7610</v>
      </c>
      <c r="Z562" s="208">
        <f t="shared" si="863"/>
        <v>-8748</v>
      </c>
      <c r="AA562" s="208">
        <f t="shared" si="863"/>
        <v>-9383</v>
      </c>
      <c r="AB562" s="208">
        <f>AB88-AB111</f>
        <v>-10061</v>
      </c>
      <c r="AC562" s="208">
        <f t="shared" si="863"/>
        <v>-11033.133301306405</v>
      </c>
      <c r="AD562" s="208">
        <f t="shared" si="863"/>
        <v>-12009.926705637432</v>
      </c>
      <c r="AE562" s="208">
        <f t="shared" si="863"/>
        <v>-12925.927437170594</v>
      </c>
      <c r="AF562" s="208">
        <f t="shared" si="863"/>
        <v>-13790.756426601489</v>
      </c>
      <c r="AG562" s="208">
        <f t="shared" si="863"/>
        <v>-14660.05748367776</v>
      </c>
      <c r="AH562" s="208">
        <f t="shared" si="863"/>
        <v>-15552.306359052018</v>
      </c>
      <c r="AI562" s="208">
        <f t="shared" si="863"/>
        <v>-16428.844393855208</v>
      </c>
      <c r="AJ562" s="208">
        <f t="shared" si="863"/>
        <v>-17426.828934833797</v>
      </c>
      <c r="AK562" s="208">
        <f t="shared" si="863"/>
        <v>-18418.909050396946</v>
      </c>
      <c r="AL562" s="208">
        <f t="shared" si="863"/>
        <v>-19447.152812763805</v>
      </c>
      <c r="AM562" s="181"/>
      <c r="AN562" s="181"/>
      <c r="AO562" s="11"/>
      <c r="AP562" s="11"/>
      <c r="AQ562" s="11"/>
      <c r="AR562" s="11"/>
      <c r="AS562" s="11"/>
      <c r="AT562" s="11"/>
      <c r="AU562" s="11"/>
      <c r="AV562" s="11"/>
    </row>
    <row r="563" spans="1:48" outlineLevel="1" x14ac:dyDescent="0.2">
      <c r="A563" s="11"/>
      <c r="B563" s="205"/>
      <c r="C563" s="205"/>
      <c r="D563" s="205"/>
      <c r="E563" s="205"/>
      <c r="F563" s="205"/>
      <c r="G563" s="205"/>
      <c r="H563" s="205"/>
      <c r="I563" s="205"/>
      <c r="J563" s="207"/>
      <c r="K563" s="207"/>
      <c r="L563" s="207"/>
      <c r="M563" s="207"/>
      <c r="N563" s="207"/>
      <c r="O563" s="207"/>
      <c r="P563" s="205"/>
      <c r="Q563" s="205"/>
      <c r="R563" s="205"/>
      <c r="S563" s="205"/>
      <c r="T563" s="205"/>
      <c r="U563" s="205"/>
      <c r="V563" s="205"/>
      <c r="W563" s="205"/>
      <c r="X563" s="205"/>
      <c r="Y563" s="205"/>
      <c r="Z563" s="205"/>
      <c r="AA563" s="205"/>
      <c r="AB563" s="205"/>
      <c r="AC563" s="205"/>
      <c r="AD563" s="205"/>
      <c r="AE563" s="205"/>
      <c r="AF563" s="205"/>
      <c r="AG563" s="205"/>
      <c r="AH563" s="205"/>
      <c r="AI563" s="205"/>
      <c r="AJ563" s="205"/>
      <c r="AK563" s="205"/>
      <c r="AL563" s="205"/>
      <c r="AM563" s="181"/>
      <c r="AN563" s="181"/>
      <c r="AO563" s="11"/>
      <c r="AP563" s="11"/>
      <c r="AQ563" s="11"/>
      <c r="AR563" s="11"/>
      <c r="AS563" s="11"/>
      <c r="AT563" s="11"/>
      <c r="AU563" s="11"/>
      <c r="AV563" s="11"/>
    </row>
    <row r="564" spans="1:48" outlineLevel="1" x14ac:dyDescent="0.2">
      <c r="A564" s="8"/>
      <c r="B564" s="204" t="s">
        <v>121</v>
      </c>
      <c r="C564" s="204"/>
      <c r="D564" s="204"/>
      <c r="E564" s="204"/>
      <c r="F564" s="204"/>
      <c r="G564" s="204"/>
      <c r="H564" s="204"/>
      <c r="I564" s="204"/>
      <c r="J564" s="210">
        <f t="shared" ref="J564:AH564" si="864">+J112</f>
        <v>477.13399999999979</v>
      </c>
      <c r="K564" s="210">
        <f t="shared" si="864"/>
        <v>440.31400000000053</v>
      </c>
      <c r="L564" s="210">
        <f t="shared" si="864"/>
        <v>476.44599999999957</v>
      </c>
      <c r="M564" s="210">
        <f t="shared" si="864"/>
        <v>477.23000000000013</v>
      </c>
      <c r="N564" s="210">
        <f t="shared" si="864"/>
        <v>487.49299999999994</v>
      </c>
      <c r="O564" s="210">
        <f t="shared" si="864"/>
        <v>584.2099999999997</v>
      </c>
      <c r="P564" s="210">
        <f t="shared" si="864"/>
        <v>707.20699999999988</v>
      </c>
      <c r="Q564" s="210">
        <f t="shared" si="864"/>
        <v>881</v>
      </c>
      <c r="R564" s="210">
        <f t="shared" si="864"/>
        <v>949</v>
      </c>
      <c r="S564" s="210">
        <f t="shared" si="864"/>
        <v>1070</v>
      </c>
      <c r="T564" s="210">
        <f t="shared" si="864"/>
        <v>568</v>
      </c>
      <c r="U564" s="210">
        <f t="shared" si="864"/>
        <v>894</v>
      </c>
      <c r="V564" s="210">
        <f t="shared" si="864"/>
        <v>953</v>
      </c>
      <c r="W564" s="210">
        <f t="shared" si="864"/>
        <v>1185</v>
      </c>
      <c r="X564" s="210">
        <f t="shared" si="864"/>
        <v>1233</v>
      </c>
      <c r="Y564" s="210">
        <f t="shared" si="864"/>
        <v>960.89999999999964</v>
      </c>
      <c r="Z564" s="210">
        <f t="shared" si="864"/>
        <v>1094.0496415269372</v>
      </c>
      <c r="AA564" s="210">
        <f t="shared" si="864"/>
        <v>1582</v>
      </c>
      <c r="AB564" s="210">
        <f t="shared" si="864"/>
        <v>2070.6000000000004</v>
      </c>
      <c r="AC564" s="210">
        <f t="shared" si="864"/>
        <v>2344.0268419472095</v>
      </c>
      <c r="AD564" s="210">
        <f t="shared" si="864"/>
        <v>2728.8995568254672</v>
      </c>
      <c r="AE564" s="210">
        <f t="shared" si="864"/>
        <v>3109.2905367598278</v>
      </c>
      <c r="AF564" s="210">
        <f t="shared" si="864"/>
        <v>3649.2935194102361</v>
      </c>
      <c r="AG564" s="210">
        <f t="shared" si="864"/>
        <v>4156.55475034352</v>
      </c>
      <c r="AH564" s="210">
        <f t="shared" si="864"/>
        <v>4701.3552616565694</v>
      </c>
      <c r="AI564" s="210">
        <f t="shared" ref="AI564:AL564" si="865">+AI112</f>
        <v>5144.3054760754794</v>
      </c>
      <c r="AJ564" s="210">
        <f t="shared" si="865"/>
        <v>5516.1510280767352</v>
      </c>
      <c r="AK564" s="210">
        <f t="shared" si="865"/>
        <v>5983.055579151207</v>
      </c>
      <c r="AL564" s="210">
        <f t="shared" si="865"/>
        <v>6519.4538744859192</v>
      </c>
      <c r="AM564" s="8"/>
      <c r="AN564" s="8"/>
      <c r="AO564" s="8"/>
      <c r="AP564" s="8"/>
      <c r="AQ564" s="8"/>
      <c r="AR564" s="8"/>
      <c r="AS564" s="8"/>
      <c r="AT564" s="8"/>
      <c r="AU564" s="8"/>
      <c r="AV564" s="8"/>
    </row>
    <row r="565" spans="1:48" outlineLevel="1" x14ac:dyDescent="0.2">
      <c r="A565" s="11"/>
      <c r="B565" s="205"/>
      <c r="C565" s="205"/>
      <c r="D565" s="205"/>
      <c r="E565" s="205"/>
      <c r="F565" s="205"/>
      <c r="G565" s="205"/>
      <c r="H565" s="205"/>
      <c r="I565" s="205"/>
      <c r="J565" s="205"/>
      <c r="K565" s="205"/>
      <c r="L565" s="205"/>
      <c r="M565" s="205"/>
      <c r="N565" s="205"/>
      <c r="O565" s="205"/>
      <c r="P565" s="205"/>
      <c r="Q565" s="205"/>
      <c r="R565" s="205"/>
      <c r="S565" s="205"/>
      <c r="T565" s="205"/>
      <c r="U565" s="205"/>
      <c r="V565" s="205"/>
      <c r="W565" s="205"/>
      <c r="X565" s="205"/>
      <c r="Y565" s="205"/>
      <c r="Z565" s="205"/>
      <c r="AA565" s="205"/>
      <c r="AB565" s="205"/>
      <c r="AC565" s="205"/>
      <c r="AD565" s="205"/>
      <c r="AE565" s="205"/>
      <c r="AF565" s="205"/>
      <c r="AG565" s="205"/>
      <c r="AH565" s="205"/>
      <c r="AI565" s="205"/>
      <c r="AJ565" s="205"/>
      <c r="AK565" s="205"/>
      <c r="AL565" s="205"/>
      <c r="AM565" s="181"/>
      <c r="AN565" s="181"/>
      <c r="AO565" s="11"/>
      <c r="AP565" s="11"/>
      <c r="AQ565" s="11"/>
      <c r="AR565" s="11"/>
      <c r="AS565" s="11"/>
      <c r="AT565" s="11"/>
      <c r="AU565" s="11"/>
      <c r="AV565" s="11"/>
    </row>
    <row r="566" spans="1:48" outlineLevel="1" x14ac:dyDescent="0.2">
      <c r="A566" s="11"/>
      <c r="B566" s="204" t="s">
        <v>285</v>
      </c>
      <c r="C566" s="207"/>
      <c r="D566" s="207"/>
      <c r="E566" s="207"/>
      <c r="F566" s="207"/>
      <c r="G566" s="207"/>
      <c r="H566" s="207"/>
      <c r="I566" s="207"/>
      <c r="J566" s="207"/>
      <c r="K566" s="207"/>
      <c r="L566" s="207"/>
      <c r="M566" s="207"/>
      <c r="N566" s="207"/>
      <c r="O566" s="207"/>
      <c r="P566" s="207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  <c r="AC566" s="207"/>
      <c r="AD566" s="207"/>
      <c r="AE566" s="207"/>
      <c r="AF566" s="207"/>
      <c r="AG566" s="207"/>
      <c r="AH566" s="207"/>
      <c r="AI566" s="207"/>
      <c r="AJ566" s="207"/>
      <c r="AK566" s="207"/>
      <c r="AL566" s="207"/>
      <c r="AM566" s="11"/>
      <c r="AN566" s="11"/>
      <c r="AO566" s="14"/>
      <c r="AP566" s="14"/>
      <c r="AQ566" s="11"/>
      <c r="AR566" s="11"/>
      <c r="AS566" s="11"/>
      <c r="AT566" s="11"/>
      <c r="AU566" s="11"/>
      <c r="AV566" s="11"/>
    </row>
    <row r="567" spans="1:48" outlineLevel="1" x14ac:dyDescent="0.2">
      <c r="A567" s="11"/>
      <c r="B567" s="205" t="s">
        <v>286</v>
      </c>
      <c r="C567" s="207"/>
      <c r="D567" s="211"/>
      <c r="E567" s="211"/>
      <c r="F567" s="211"/>
      <c r="G567" s="211"/>
      <c r="H567" s="211"/>
      <c r="I567" s="211"/>
      <c r="J567" s="211"/>
      <c r="K567" s="211">
        <f t="shared" ref="K567:P567" si="866">J575</f>
        <v>679.95699999999999</v>
      </c>
      <c r="L567" s="211">
        <f t="shared" si="866"/>
        <v>815.32400000000007</v>
      </c>
      <c r="M567" s="211">
        <f t="shared" si="866"/>
        <v>1014.6129999999999</v>
      </c>
      <c r="N567" s="211">
        <f t="shared" si="866"/>
        <v>1081.3589999999999</v>
      </c>
      <c r="O567" s="211">
        <f>N575</f>
        <v>1355.79</v>
      </c>
      <c r="P567" s="211">
        <f t="shared" si="866"/>
        <v>1543.8969999999999</v>
      </c>
      <c r="Q567" s="211">
        <f>+P573</f>
        <v>2684</v>
      </c>
      <c r="R567" s="211">
        <f>+Q575</f>
        <v>2828</v>
      </c>
      <c r="S567" s="211">
        <f t="shared" ref="S567:AA567" si="867">R575</f>
        <v>3023</v>
      </c>
      <c r="T567" s="211">
        <f t="shared" si="867"/>
        <v>3386</v>
      </c>
      <c r="U567" s="211">
        <f t="shared" si="867"/>
        <v>3771</v>
      </c>
      <c r="V567" s="211">
        <f t="shared" si="867"/>
        <v>4616</v>
      </c>
      <c r="W567" s="211">
        <f t="shared" si="867"/>
        <v>5137</v>
      </c>
      <c r="X567" s="211">
        <f t="shared" si="867"/>
        <v>5304</v>
      </c>
      <c r="Y567" s="211">
        <f t="shared" si="867"/>
        <v>5489</v>
      </c>
      <c r="Z567" s="211">
        <f t="shared" si="867"/>
        <v>5624</v>
      </c>
      <c r="AA567" s="211">
        <f t="shared" si="867"/>
        <v>5666</v>
      </c>
      <c r="AB567" s="211">
        <f t="shared" ref="AB567:AL567" si="868">AA575</f>
        <v>6471</v>
      </c>
      <c r="AC567" s="211">
        <f t="shared" si="868"/>
        <v>6449.7</v>
      </c>
      <c r="AD567" s="211">
        <f t="shared" si="868"/>
        <v>6437.4184991436696</v>
      </c>
      <c r="AE567" s="211">
        <f t="shared" si="868"/>
        <v>6578.3846529492248</v>
      </c>
      <c r="AF567" s="211">
        <f t="shared" si="868"/>
        <v>7374.7767976673858</v>
      </c>
      <c r="AG567" s="211">
        <f t="shared" si="868"/>
        <v>8401.1233066611512</v>
      </c>
      <c r="AH567" s="211">
        <f t="shared" si="868"/>
        <v>10145.673770319088</v>
      </c>
      <c r="AI567" s="211">
        <f t="shared" si="868"/>
        <v>12129.632152301592</v>
      </c>
      <c r="AJ567" s="211">
        <f t="shared" si="868"/>
        <v>14311.597704728749</v>
      </c>
      <c r="AK567" s="211">
        <f t="shared" si="868"/>
        <v>16661.549468277502</v>
      </c>
      <c r="AL567" s="211">
        <f t="shared" si="868"/>
        <v>19220.565865153985</v>
      </c>
      <c r="AM567" s="11"/>
      <c r="AN567" s="11"/>
      <c r="AO567" s="14"/>
      <c r="AP567" s="14"/>
      <c r="AQ567" s="11"/>
      <c r="AR567" s="11"/>
      <c r="AS567" s="11"/>
      <c r="AT567" s="11"/>
      <c r="AU567" s="11"/>
      <c r="AV567" s="11"/>
    </row>
    <row r="568" spans="1:48" outlineLevel="1" x14ac:dyDescent="0.2">
      <c r="A568" s="11"/>
      <c r="B568" s="205" t="s">
        <v>287</v>
      </c>
      <c r="C568" s="207"/>
      <c r="D568" s="207"/>
      <c r="E568" s="207"/>
      <c r="F568" s="207"/>
      <c r="G568" s="207"/>
      <c r="H568" s="207"/>
      <c r="I568" s="207"/>
      <c r="J568" s="211"/>
      <c r="K568" s="211">
        <f>+K141</f>
        <v>181.6830000000005</v>
      </c>
      <c r="L568" s="211">
        <f>+L141</f>
        <v>208.4929999999996</v>
      </c>
      <c r="M568" s="211">
        <f>+M141</f>
        <v>228.57100000000014</v>
      </c>
      <c r="N568" s="211">
        <f>+N141</f>
        <v>260.21999999999991</v>
      </c>
      <c r="O568" s="211">
        <f>+O142</f>
        <v>314.17399999999975</v>
      </c>
      <c r="P568" s="211">
        <f>+P142</f>
        <v>383.25399999999991</v>
      </c>
      <c r="Q568" s="211">
        <f>+Q141</f>
        <v>483</v>
      </c>
      <c r="R568" s="211">
        <f>+R141</f>
        <v>551</v>
      </c>
      <c r="S568" s="211">
        <f>+S141</f>
        <v>642</v>
      </c>
      <c r="T568" s="211">
        <f>+T140</f>
        <v>286.06145251396651</v>
      </c>
      <c r="U568" s="211">
        <f t="shared" ref="U568:Y568" si="869">+U141</f>
        <v>567</v>
      </c>
      <c r="V568" s="211">
        <f t="shared" si="869"/>
        <v>613</v>
      </c>
      <c r="W568" s="211">
        <f>+W141</f>
        <v>526.45000000000005</v>
      </c>
      <c r="X568" s="211">
        <f t="shared" si="869"/>
        <v>770</v>
      </c>
      <c r="Y568" s="211">
        <f t="shared" si="869"/>
        <v>557.89999999999964</v>
      </c>
      <c r="Z568" s="211">
        <f t="shared" ref="Z568:AH568" si="870">+Z141</f>
        <v>680.04964152693719</v>
      </c>
      <c r="AA568" s="211">
        <f t="shared" si="870"/>
        <v>1080</v>
      </c>
      <c r="AB568" s="211">
        <f t="shared" si="870"/>
        <v>1352.1942120000001</v>
      </c>
      <c r="AC568" s="211">
        <f t="shared" si="870"/>
        <v>1646.1974985727827</v>
      </c>
      <c r="AD568" s="211">
        <f t="shared" si="870"/>
        <v>1901.6102563425918</v>
      </c>
      <c r="AE568" s="211">
        <f t="shared" si="870"/>
        <v>2160.6535745302672</v>
      </c>
      <c r="AF568" s="211">
        <f t="shared" si="870"/>
        <v>2542.2441816562741</v>
      </c>
      <c r="AG568" s="211">
        <f t="shared" si="870"/>
        <v>2904.2507727632292</v>
      </c>
      <c r="AH568" s="211">
        <f t="shared" si="870"/>
        <v>3301.5973033041746</v>
      </c>
      <c r="AI568" s="211">
        <f t="shared" ref="AI568:AL568" si="871">+AI141</f>
        <v>3631.6092540452619</v>
      </c>
      <c r="AJ568" s="211">
        <f t="shared" si="871"/>
        <v>3911.5862725812549</v>
      </c>
      <c r="AK568" s="211">
        <f t="shared" si="871"/>
        <v>4260.0273281274722</v>
      </c>
      <c r="AL568" s="211">
        <f t="shared" si="871"/>
        <v>4662.2598368312792</v>
      </c>
      <c r="AM568" s="11"/>
      <c r="AN568" s="11"/>
      <c r="AO568" s="14"/>
      <c r="AP568" s="14"/>
      <c r="AQ568" s="11"/>
      <c r="AR568" s="11"/>
      <c r="AS568" s="11"/>
      <c r="AT568" s="11"/>
      <c r="AU568" s="11"/>
      <c r="AV568" s="11"/>
    </row>
    <row r="569" spans="1:48" outlineLevel="1" x14ac:dyDescent="0.2">
      <c r="A569" s="11"/>
      <c r="B569" s="205" t="s">
        <v>288</v>
      </c>
      <c r="C569" s="207"/>
      <c r="D569" s="207"/>
      <c r="E569" s="207"/>
      <c r="F569" s="207"/>
      <c r="G569" s="207"/>
      <c r="H569" s="207"/>
      <c r="I569" s="207"/>
      <c r="J569" s="211"/>
      <c r="K569" s="211">
        <v>0</v>
      </c>
      <c r="L569" s="211">
        <v>0</v>
      </c>
      <c r="M569" s="211">
        <v>0</v>
      </c>
      <c r="N569" s="211">
        <v>0</v>
      </c>
      <c r="O569" s="211">
        <v>10.464</v>
      </c>
      <c r="P569" s="211">
        <v>0</v>
      </c>
      <c r="Q569" s="211">
        <f>+Q138</f>
        <v>0</v>
      </c>
      <c r="R569" s="211">
        <v>0</v>
      </c>
      <c r="S569" s="211">
        <v>0</v>
      </c>
      <c r="T569" s="211">
        <v>0</v>
      </c>
      <c r="U569" s="211">
        <v>0</v>
      </c>
      <c r="V569" s="211">
        <v>0</v>
      </c>
      <c r="W569" s="211">
        <v>0</v>
      </c>
      <c r="X569" s="211">
        <v>0</v>
      </c>
      <c r="Y569" s="211">
        <v>0</v>
      </c>
      <c r="Z569" s="211">
        <v>0</v>
      </c>
      <c r="AA569" s="211">
        <v>0</v>
      </c>
      <c r="AB569" s="211">
        <v>0</v>
      </c>
      <c r="AC569" s="211">
        <v>0</v>
      </c>
      <c r="AD569" s="211">
        <v>1</v>
      </c>
      <c r="AE569" s="211">
        <v>2</v>
      </c>
      <c r="AF569" s="211">
        <v>3</v>
      </c>
      <c r="AG569" s="211">
        <v>4</v>
      </c>
      <c r="AH569" s="211">
        <v>5</v>
      </c>
      <c r="AI569" s="211">
        <v>5</v>
      </c>
      <c r="AJ569" s="211">
        <v>5</v>
      </c>
      <c r="AK569" s="211">
        <v>5</v>
      </c>
      <c r="AL569" s="211">
        <v>5</v>
      </c>
      <c r="AM569" s="11"/>
      <c r="AN569" s="11"/>
      <c r="AO569" s="14"/>
      <c r="AP569" s="14"/>
      <c r="AQ569" s="11"/>
      <c r="AR569" s="11"/>
      <c r="AS569" s="11"/>
      <c r="AT569" s="11"/>
      <c r="AU569" s="11"/>
      <c r="AV569" s="11"/>
    </row>
    <row r="570" spans="1:48" outlineLevel="1" x14ac:dyDescent="0.2">
      <c r="A570" s="11"/>
      <c r="B570" s="205" t="s">
        <v>289</v>
      </c>
      <c r="C570" s="207"/>
      <c r="D570" s="207"/>
      <c r="E570" s="207"/>
      <c r="F570" s="207"/>
      <c r="G570" s="207"/>
      <c r="H570" s="207"/>
      <c r="I570" s="207"/>
      <c r="J570" s="211"/>
      <c r="K570" s="211">
        <f t="shared" ref="K570:R570" si="872">+K215</f>
        <v>-44.427999999999997</v>
      </c>
      <c r="L570" s="211">
        <f t="shared" si="872"/>
        <v>-93.07</v>
      </c>
      <c r="M570" s="211">
        <f t="shared" si="872"/>
        <v>-45.061999999999998</v>
      </c>
      <c r="N570" s="211">
        <f t="shared" si="872"/>
        <v>-50.445</v>
      </c>
      <c r="O570" s="211">
        <f t="shared" si="872"/>
        <v>-49.539000000000001</v>
      </c>
      <c r="P570" s="211">
        <f t="shared" si="872"/>
        <v>-63</v>
      </c>
      <c r="Q570" s="211">
        <f t="shared" si="872"/>
        <v>-70</v>
      </c>
      <c r="R570" s="211">
        <f t="shared" si="872"/>
        <v>-86</v>
      </c>
      <c r="S570" s="211">
        <f t="shared" ref="S570:Z570" si="873">+S161</f>
        <v>-99</v>
      </c>
      <c r="T570" s="211">
        <f t="shared" si="873"/>
        <v>-68.417304200000004</v>
      </c>
      <c r="U570" s="211">
        <f t="shared" si="873"/>
        <v>-167.37294880000002</v>
      </c>
      <c r="V570" s="211">
        <f t="shared" si="873"/>
        <v>-209.21618599999999</v>
      </c>
      <c r="W570" s="211">
        <f t="shared" si="873"/>
        <v>-282.44185110000001</v>
      </c>
      <c r="X570" s="211">
        <f t="shared" si="873"/>
        <v>-313.82427899999999</v>
      </c>
      <c r="Y570" s="211">
        <f t="shared" si="873"/>
        <v>-313.16468550000002</v>
      </c>
      <c r="Z570" s="211">
        <f t="shared" si="873"/>
        <v>-322.45826880000004</v>
      </c>
      <c r="AA570" s="211">
        <f t="shared" ref="AA570:AH570" si="874">+AA161</f>
        <v>-400.376552</v>
      </c>
      <c r="AB570" s="211">
        <f t="shared" si="874"/>
        <v>-526.21834980000006</v>
      </c>
      <c r="AC570" s="211">
        <f t="shared" si="874"/>
        <v>-658.47899942911306</v>
      </c>
      <c r="AD570" s="211">
        <f t="shared" si="874"/>
        <v>-760.6441025370367</v>
      </c>
      <c r="AE570" s="211">
        <f t="shared" si="874"/>
        <v>-864.26142981210694</v>
      </c>
      <c r="AF570" s="211">
        <f t="shared" si="874"/>
        <v>-1016.8976726625098</v>
      </c>
      <c r="AG570" s="211">
        <f t="shared" si="874"/>
        <v>-1161.7003091052918</v>
      </c>
      <c r="AH570" s="211">
        <f t="shared" si="874"/>
        <v>-1320.6389213216701</v>
      </c>
      <c r="AI570" s="211">
        <f t="shared" ref="AI570:AL570" si="875">+AI161</f>
        <v>-1452.6437016181048</v>
      </c>
      <c r="AJ570" s="211">
        <f t="shared" si="875"/>
        <v>-1564.6345090325021</v>
      </c>
      <c r="AK570" s="211">
        <f t="shared" si="875"/>
        <v>-1704.010931250989</v>
      </c>
      <c r="AL570" s="211">
        <f t="shared" si="875"/>
        <v>-1864.9039347325117</v>
      </c>
      <c r="AM570" s="11"/>
      <c r="AN570" s="11"/>
      <c r="AO570" s="14"/>
      <c r="AP570" s="14"/>
      <c r="AQ570" s="11"/>
      <c r="AR570" s="11"/>
      <c r="AS570" s="11"/>
      <c r="AT570" s="11"/>
      <c r="AU570" s="11"/>
      <c r="AV570" s="11"/>
    </row>
    <row r="571" spans="1:48" outlineLevel="1" x14ac:dyDescent="0.2">
      <c r="A571" s="11"/>
      <c r="B571" s="205" t="s">
        <v>290</v>
      </c>
      <c r="C571" s="207"/>
      <c r="D571" s="207"/>
      <c r="E571" s="207"/>
      <c r="F571" s="207"/>
      <c r="G571" s="207"/>
      <c r="H571" s="207"/>
      <c r="I571" s="207"/>
      <c r="J571" s="211"/>
      <c r="K571" s="211">
        <f t="shared" ref="K571:AH571" si="876">K216+K217</f>
        <v>4.97</v>
      </c>
      <c r="L571" s="211">
        <f t="shared" si="876"/>
        <v>0</v>
      </c>
      <c r="M571" s="211">
        <f t="shared" si="876"/>
        <v>4.5339999999999998</v>
      </c>
      <c r="N571" s="211">
        <f t="shared" si="876"/>
        <v>394.22199999999998</v>
      </c>
      <c r="O571" s="211">
        <f t="shared" si="876"/>
        <v>25.495000000000001</v>
      </c>
      <c r="P571" s="211">
        <f t="shared" si="876"/>
        <v>657</v>
      </c>
      <c r="Q571" s="211">
        <f t="shared" si="876"/>
        <v>6</v>
      </c>
      <c r="R571" s="211">
        <f t="shared" si="876"/>
        <v>0</v>
      </c>
      <c r="S571" s="211">
        <f t="shared" si="876"/>
        <v>-409</v>
      </c>
      <c r="T571" s="211">
        <f t="shared" si="876"/>
        <v>0</v>
      </c>
      <c r="U571" s="211">
        <f t="shared" si="876"/>
        <v>0</v>
      </c>
      <c r="V571" s="211">
        <f t="shared" si="876"/>
        <v>-3</v>
      </c>
      <c r="W571" s="211">
        <f t="shared" si="876"/>
        <v>-11</v>
      </c>
      <c r="X571" s="211">
        <f t="shared" si="876"/>
        <v>-1</v>
      </c>
      <c r="Y571" s="211">
        <f t="shared" si="876"/>
        <v>-303.99775311999997</v>
      </c>
      <c r="Z571" s="211">
        <f t="shared" si="876"/>
        <v>-307</v>
      </c>
      <c r="AA571" s="211">
        <f t="shared" si="876"/>
        <v>-244</v>
      </c>
      <c r="AB571" s="211">
        <f t="shared" si="876"/>
        <v>-87.4</v>
      </c>
      <c r="AC571" s="211">
        <f t="shared" si="876"/>
        <v>-1000</v>
      </c>
      <c r="AD571" s="211">
        <f t="shared" si="876"/>
        <v>-1000</v>
      </c>
      <c r="AE571" s="211">
        <f t="shared" si="876"/>
        <v>-500</v>
      </c>
      <c r="AF571" s="211">
        <f t="shared" si="876"/>
        <v>-499</v>
      </c>
      <c r="AG571" s="211">
        <f t="shared" si="876"/>
        <v>2</v>
      </c>
      <c r="AH571" s="211">
        <f t="shared" si="876"/>
        <v>3</v>
      </c>
      <c r="AI571" s="211">
        <f t="shared" ref="AI571:AL571" si="877">AI216+AI217</f>
        <v>3</v>
      </c>
      <c r="AJ571" s="211">
        <f t="shared" si="877"/>
        <v>3</v>
      </c>
      <c r="AK571" s="211">
        <f t="shared" si="877"/>
        <v>3</v>
      </c>
      <c r="AL571" s="211">
        <f t="shared" si="877"/>
        <v>3</v>
      </c>
      <c r="AM571" s="11"/>
      <c r="AN571" s="11"/>
      <c r="AO571" s="14"/>
      <c r="AP571" s="14"/>
      <c r="AQ571" s="11"/>
      <c r="AR571" s="11"/>
      <c r="AS571" s="11"/>
      <c r="AT571" s="11"/>
      <c r="AU571" s="11"/>
      <c r="AV571" s="11"/>
    </row>
    <row r="572" spans="1:48" outlineLevel="1" x14ac:dyDescent="0.2">
      <c r="A572" s="11"/>
      <c r="B572" s="205" t="s">
        <v>291</v>
      </c>
      <c r="C572" s="207"/>
      <c r="D572" s="207"/>
      <c r="E572" s="207"/>
      <c r="F572" s="207"/>
      <c r="G572" s="207"/>
      <c r="H572" s="207"/>
      <c r="I572" s="207"/>
      <c r="J572" s="211"/>
      <c r="K572" s="211">
        <f>+(K282-J282-K571-K570-K569-K568)</f>
        <v>-6.8580000000004304</v>
      </c>
      <c r="L572" s="211">
        <f>+(L282-K282-L571-L570-L569-L568)</f>
        <v>83.86600000000027</v>
      </c>
      <c r="M572" s="211">
        <f>+(M282-L282-M571-M570-M569-M568)</f>
        <v>-121.29700000000017</v>
      </c>
      <c r="N572" s="211">
        <f>+(N282-M282-N571-N570-N569-N568)</f>
        <v>-329.56599999999986</v>
      </c>
      <c r="O572" s="211">
        <f>+(O282-N282-O571-O570-O569-O568)</f>
        <v>-112.4869999999998</v>
      </c>
      <c r="P572" s="211">
        <f>1532.897+162.849</f>
        <v>1695.7459999999999</v>
      </c>
      <c r="Q572" s="211">
        <f t="shared" ref="Q572:V572" si="878">+(Q282-P282-Q571-Q570-Q569-Q568)</f>
        <v>-275</v>
      </c>
      <c r="R572" s="211">
        <f t="shared" si="878"/>
        <v>-270</v>
      </c>
      <c r="S572" s="211">
        <f t="shared" si="878"/>
        <v>229</v>
      </c>
      <c r="T572" s="211">
        <f t="shared" si="878"/>
        <v>167.35585168603347</v>
      </c>
      <c r="U572" s="211">
        <f t="shared" si="878"/>
        <v>445.37294880000002</v>
      </c>
      <c r="V572" s="211">
        <f t="shared" si="878"/>
        <v>120.21618599999999</v>
      </c>
      <c r="W572" s="211">
        <f>W573-SUM(W567:W571)</f>
        <v>-66.008148899999469</v>
      </c>
      <c r="X572" s="211">
        <f t="shared" ref="X572:Y572" si="879">+(X282-W282-X571-X570-X569-X568)</f>
        <v>-270.17572100000001</v>
      </c>
      <c r="Y572" s="211">
        <f t="shared" si="879"/>
        <v>194.26243862000035</v>
      </c>
      <c r="Z572" s="211">
        <f t="shared" ref="Z572:AL572" si="880">+(Z282-Y282-Z571-Z570-Z569-Z568)</f>
        <v>-8.591372726937152</v>
      </c>
      <c r="AA572" s="211">
        <f t="shared" si="880"/>
        <v>369.37655199999995</v>
      </c>
      <c r="AB572" s="211">
        <f t="shared" si="880"/>
        <v>-759.87586220000026</v>
      </c>
      <c r="AC572" s="211">
        <f t="shared" si="880"/>
        <v>2.2737367544323206E-13</v>
      </c>
      <c r="AD572" s="211">
        <f t="shared" si="880"/>
        <v>-0.99999999999977263</v>
      </c>
      <c r="AE572" s="211">
        <f t="shared" si="880"/>
        <v>-1.9999999999990905</v>
      </c>
      <c r="AF572" s="211">
        <f t="shared" si="880"/>
        <v>-2.9999999999990905</v>
      </c>
      <c r="AG572" s="211">
        <f t="shared" si="880"/>
        <v>-4</v>
      </c>
      <c r="AH572" s="211">
        <f t="shared" si="880"/>
        <v>-5.0000000000009095</v>
      </c>
      <c r="AI572" s="211">
        <f t="shared" si="880"/>
        <v>-5.0000000000004547</v>
      </c>
      <c r="AJ572" s="211">
        <f t="shared" si="880"/>
        <v>-4.9999999999990905</v>
      </c>
      <c r="AK572" s="211">
        <f t="shared" si="880"/>
        <v>-5.0000000000009095</v>
      </c>
      <c r="AL572" s="211">
        <f t="shared" si="880"/>
        <v>-5.0000000000009095</v>
      </c>
      <c r="AM572" s="11"/>
      <c r="AN572" s="11"/>
      <c r="AO572" s="14"/>
      <c r="AP572" s="14"/>
      <c r="AQ572" s="11"/>
      <c r="AR572" s="11"/>
      <c r="AS572" s="11"/>
      <c r="AT572" s="11"/>
      <c r="AU572" s="11"/>
      <c r="AV572" s="11"/>
    </row>
    <row r="573" spans="1:48" outlineLevel="1" x14ac:dyDescent="0.2">
      <c r="A573" s="11"/>
      <c r="B573" s="205" t="s">
        <v>292</v>
      </c>
      <c r="C573" s="207"/>
      <c r="D573" s="207"/>
      <c r="E573" s="207"/>
      <c r="F573" s="207"/>
      <c r="G573" s="207"/>
      <c r="H573" s="207"/>
      <c r="I573" s="207"/>
      <c r="J573" s="211"/>
      <c r="K573" s="211">
        <f>SUM(K567:K572)</f>
        <v>815.32400000000018</v>
      </c>
      <c r="L573" s="211">
        <f>SUM(L567:L572)</f>
        <v>1014.6129999999998</v>
      </c>
      <c r="M573" s="211">
        <f>SUM(M567:M572)</f>
        <v>1081.3590000000002</v>
      </c>
      <c r="N573" s="211">
        <f>SUM(N567:N572)</f>
        <v>1355.79</v>
      </c>
      <c r="O573" s="211">
        <f>SUM(O567:O572)</f>
        <v>1543.8969999999997</v>
      </c>
      <c r="P573" s="211">
        <v>2684</v>
      </c>
      <c r="Q573" s="211">
        <f t="shared" ref="Q573:Y573" si="881">SUM(Q567:Q572)</f>
        <v>2828</v>
      </c>
      <c r="R573" s="211">
        <f>SUM(R567:R572)</f>
        <v>3023</v>
      </c>
      <c r="S573" s="211">
        <f t="shared" si="881"/>
        <v>3386</v>
      </c>
      <c r="T573" s="211">
        <f t="shared" si="881"/>
        <v>3770.9999999999995</v>
      </c>
      <c r="U573" s="211">
        <f t="shared" si="881"/>
        <v>4616</v>
      </c>
      <c r="V573" s="211">
        <f t="shared" si="881"/>
        <v>5137</v>
      </c>
      <c r="W573" s="211">
        <f>W575</f>
        <v>5304</v>
      </c>
      <c r="X573" s="211">
        <f t="shared" si="881"/>
        <v>5489</v>
      </c>
      <c r="Y573" s="211">
        <f t="shared" si="881"/>
        <v>5624</v>
      </c>
      <c r="Z573" s="211">
        <f t="shared" ref="Z573:AH573" si="882">SUM(Z567:Z572)</f>
        <v>5666</v>
      </c>
      <c r="AA573" s="211">
        <f t="shared" si="882"/>
        <v>6471</v>
      </c>
      <c r="AB573" s="211">
        <f t="shared" si="882"/>
        <v>6449.7</v>
      </c>
      <c r="AC573" s="211">
        <f t="shared" si="882"/>
        <v>6437.4184991436696</v>
      </c>
      <c r="AD573" s="211">
        <f t="shared" si="882"/>
        <v>6578.3846529492239</v>
      </c>
      <c r="AE573" s="211">
        <f t="shared" si="882"/>
        <v>7374.7767976673858</v>
      </c>
      <c r="AF573" s="211">
        <f t="shared" si="882"/>
        <v>8401.123306661153</v>
      </c>
      <c r="AG573" s="211">
        <f t="shared" si="882"/>
        <v>10145.673770319088</v>
      </c>
      <c r="AH573" s="211">
        <f t="shared" si="882"/>
        <v>12129.63215230159</v>
      </c>
      <c r="AI573" s="211">
        <f t="shared" ref="AI573:AL573" si="883">SUM(AI567:AI572)</f>
        <v>14311.597704728749</v>
      </c>
      <c r="AJ573" s="211">
        <f t="shared" si="883"/>
        <v>16661.549468277502</v>
      </c>
      <c r="AK573" s="211">
        <f t="shared" si="883"/>
        <v>19220.565865153985</v>
      </c>
      <c r="AL573" s="211">
        <f t="shared" si="883"/>
        <v>22020.921767252752</v>
      </c>
      <c r="AM573" s="11"/>
      <c r="AN573" s="11"/>
      <c r="AO573" s="14"/>
      <c r="AP573" s="14"/>
      <c r="AQ573" s="11"/>
      <c r="AR573" s="11"/>
      <c r="AS573" s="11"/>
      <c r="AT573" s="11"/>
      <c r="AU573" s="11"/>
      <c r="AV573" s="11"/>
    </row>
    <row r="574" spans="1:48" ht="5.25" customHeight="1" outlineLevel="1" x14ac:dyDescent="0.2">
      <c r="A574" s="11"/>
      <c r="B574" s="205"/>
      <c r="C574" s="207"/>
      <c r="D574" s="207"/>
      <c r="E574" s="207"/>
      <c r="F574" s="207"/>
      <c r="G574" s="207"/>
      <c r="H574" s="207"/>
      <c r="I574" s="207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  <c r="AA574" s="211"/>
      <c r="AB574" s="211"/>
      <c r="AC574" s="211"/>
      <c r="AD574" s="211"/>
      <c r="AE574" s="211"/>
      <c r="AF574" s="211"/>
      <c r="AG574" s="211"/>
      <c r="AH574" s="211"/>
      <c r="AI574" s="211"/>
      <c r="AJ574" s="211"/>
      <c r="AK574" s="211"/>
      <c r="AL574" s="211"/>
      <c r="AM574" s="11"/>
      <c r="AN574" s="11"/>
      <c r="AO574" s="14"/>
      <c r="AP574" s="14"/>
      <c r="AQ574" s="11"/>
      <c r="AR574" s="11"/>
      <c r="AS574" s="11"/>
      <c r="AT574" s="11"/>
      <c r="AU574" s="11"/>
      <c r="AV574" s="11"/>
    </row>
    <row r="575" spans="1:48" outlineLevel="1" x14ac:dyDescent="0.2">
      <c r="A575" s="11"/>
      <c r="B575" s="205" t="s">
        <v>293</v>
      </c>
      <c r="C575" s="207"/>
      <c r="D575" s="207"/>
      <c r="E575" s="207"/>
      <c r="F575" s="207"/>
      <c r="G575" s="207"/>
      <c r="H575" s="207"/>
      <c r="I575" s="207"/>
      <c r="J575" s="211">
        <f t="shared" ref="J575:Z575" si="884">J282</f>
        <v>679.95699999999999</v>
      </c>
      <c r="K575" s="211">
        <f t="shared" si="884"/>
        <v>815.32400000000007</v>
      </c>
      <c r="L575" s="211">
        <f t="shared" si="884"/>
        <v>1014.6129999999999</v>
      </c>
      <c r="M575" s="211">
        <f t="shared" si="884"/>
        <v>1081.3589999999999</v>
      </c>
      <c r="N575" s="211">
        <f t="shared" si="884"/>
        <v>1355.79</v>
      </c>
      <c r="O575" s="211">
        <f t="shared" si="884"/>
        <v>1543.8969999999999</v>
      </c>
      <c r="P575" s="211">
        <f t="shared" si="884"/>
        <v>2684</v>
      </c>
      <c r="Q575" s="211">
        <f t="shared" si="884"/>
        <v>2828</v>
      </c>
      <c r="R575" s="211">
        <f t="shared" si="884"/>
        <v>3023</v>
      </c>
      <c r="S575" s="211">
        <f t="shared" si="884"/>
        <v>3386</v>
      </c>
      <c r="T575" s="211">
        <f t="shared" si="884"/>
        <v>3771</v>
      </c>
      <c r="U575" s="211">
        <f t="shared" si="884"/>
        <v>4616</v>
      </c>
      <c r="V575" s="211">
        <f t="shared" si="884"/>
        <v>5137</v>
      </c>
      <c r="W575" s="211">
        <f t="shared" si="884"/>
        <v>5304</v>
      </c>
      <c r="X575" s="211">
        <f t="shared" si="884"/>
        <v>5489</v>
      </c>
      <c r="Y575" s="211">
        <f t="shared" si="884"/>
        <v>5624</v>
      </c>
      <c r="Z575" s="211">
        <f t="shared" si="884"/>
        <v>5666</v>
      </c>
      <c r="AA575" s="211">
        <f t="shared" ref="AA575:AH575" si="885">AA282</f>
        <v>6471</v>
      </c>
      <c r="AB575" s="211">
        <f t="shared" si="885"/>
        <v>6449.7</v>
      </c>
      <c r="AC575" s="211">
        <f t="shared" si="885"/>
        <v>6437.4184991436696</v>
      </c>
      <c r="AD575" s="211">
        <f t="shared" si="885"/>
        <v>6578.3846529492248</v>
      </c>
      <c r="AE575" s="211">
        <f t="shared" si="885"/>
        <v>7374.7767976673858</v>
      </c>
      <c r="AF575" s="211">
        <f t="shared" si="885"/>
        <v>8401.1233066611512</v>
      </c>
      <c r="AG575" s="211">
        <f t="shared" si="885"/>
        <v>10145.673770319088</v>
      </c>
      <c r="AH575" s="211">
        <f t="shared" si="885"/>
        <v>12129.632152301592</v>
      </c>
      <c r="AI575" s="211">
        <f t="shared" ref="AI575:AL575" si="886">AI282</f>
        <v>14311.597704728749</v>
      </c>
      <c r="AJ575" s="211">
        <f t="shared" si="886"/>
        <v>16661.549468277502</v>
      </c>
      <c r="AK575" s="211">
        <f t="shared" si="886"/>
        <v>19220.565865153985</v>
      </c>
      <c r="AL575" s="211">
        <f t="shared" si="886"/>
        <v>22020.921767252752</v>
      </c>
      <c r="AM575" s="11"/>
      <c r="AN575" s="11"/>
      <c r="AO575" s="14"/>
      <c r="AP575" s="14"/>
      <c r="AQ575" s="11"/>
      <c r="AR575" s="11"/>
      <c r="AS575" s="11"/>
      <c r="AT575" s="11"/>
      <c r="AU575" s="11"/>
      <c r="AV575" s="11"/>
    </row>
    <row r="576" spans="1:48" outlineLevel="1" x14ac:dyDescent="0.2">
      <c r="A576" s="11"/>
      <c r="B576" s="205"/>
      <c r="C576" s="207"/>
      <c r="D576" s="207"/>
      <c r="E576" s="207"/>
      <c r="F576" s="207"/>
      <c r="G576" s="207"/>
      <c r="H576" s="207"/>
      <c r="I576" s="207"/>
      <c r="J576" s="207"/>
      <c r="K576" s="207"/>
      <c r="L576" s="207"/>
      <c r="M576" s="207"/>
      <c r="N576" s="207"/>
      <c r="O576" s="207"/>
      <c r="P576" s="207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  <c r="AC576" s="207"/>
      <c r="AD576" s="207"/>
      <c r="AE576" s="207"/>
      <c r="AF576" s="207"/>
      <c r="AG576" s="207"/>
      <c r="AH576" s="207"/>
      <c r="AI576" s="207"/>
      <c r="AJ576" s="207"/>
      <c r="AK576" s="207"/>
      <c r="AL576" s="207"/>
      <c r="AM576" s="181"/>
      <c r="AN576" s="181"/>
      <c r="AO576" s="14"/>
      <c r="AP576" s="14"/>
      <c r="AQ576" s="11"/>
      <c r="AR576" s="11"/>
      <c r="AS576" s="11"/>
      <c r="AT576" s="11"/>
      <c r="AU576" s="11"/>
      <c r="AV576" s="11"/>
    </row>
    <row r="577" spans="1:48" outlineLevel="1" x14ac:dyDescent="0.2">
      <c r="A577" s="11"/>
      <c r="B577" s="205" t="s">
        <v>48</v>
      </c>
      <c r="C577" s="205"/>
      <c r="D577" s="205"/>
      <c r="E577" s="205"/>
      <c r="F577" s="205"/>
      <c r="G577" s="205"/>
      <c r="H577" s="205"/>
      <c r="I577" s="205"/>
      <c r="J577" s="212"/>
      <c r="K577" s="212">
        <f>K575-K573</f>
        <v>0</v>
      </c>
      <c r="L577" s="212">
        <f>L575-L573</f>
        <v>0</v>
      </c>
      <c r="M577" s="212">
        <f>M575-M573</f>
        <v>0</v>
      </c>
      <c r="N577" s="212">
        <f>N575-N573</f>
        <v>0</v>
      </c>
      <c r="O577" s="212">
        <f t="shared" ref="O577:Y577" si="887">O575-O573</f>
        <v>0</v>
      </c>
      <c r="P577" s="212">
        <f t="shared" si="887"/>
        <v>0</v>
      </c>
      <c r="Q577" s="212">
        <f>Q575-Q573</f>
        <v>0</v>
      </c>
      <c r="R577" s="212">
        <f>R575-R573</f>
        <v>0</v>
      </c>
      <c r="S577" s="212">
        <f t="shared" si="887"/>
        <v>0</v>
      </c>
      <c r="T577" s="212">
        <f t="shared" si="887"/>
        <v>0</v>
      </c>
      <c r="U577" s="212">
        <f t="shared" si="887"/>
        <v>0</v>
      </c>
      <c r="V577" s="212">
        <f t="shared" si="887"/>
        <v>0</v>
      </c>
      <c r="W577" s="212">
        <f>W575-W573</f>
        <v>0</v>
      </c>
      <c r="X577" s="212">
        <f t="shared" si="887"/>
        <v>0</v>
      </c>
      <c r="Y577" s="212">
        <f t="shared" si="887"/>
        <v>0</v>
      </c>
      <c r="Z577" s="212">
        <f t="shared" ref="Z577:AH577" si="888">Z575-Z573</f>
        <v>0</v>
      </c>
      <c r="AA577" s="212">
        <f t="shared" si="888"/>
        <v>0</v>
      </c>
      <c r="AB577" s="212">
        <f t="shared" si="888"/>
        <v>0</v>
      </c>
      <c r="AC577" s="212">
        <f t="shared" si="888"/>
        <v>0</v>
      </c>
      <c r="AD577" s="212">
        <f t="shared" si="888"/>
        <v>0</v>
      </c>
      <c r="AE577" s="212">
        <f t="shared" si="888"/>
        <v>0</v>
      </c>
      <c r="AF577" s="212">
        <f t="shared" si="888"/>
        <v>0</v>
      </c>
      <c r="AG577" s="212">
        <f t="shared" si="888"/>
        <v>0</v>
      </c>
      <c r="AH577" s="212">
        <f t="shared" si="888"/>
        <v>0</v>
      </c>
      <c r="AI577" s="212">
        <f t="shared" ref="AI577:AL577" si="889">AI575-AI573</f>
        <v>0</v>
      </c>
      <c r="AJ577" s="212">
        <f t="shared" si="889"/>
        <v>0</v>
      </c>
      <c r="AK577" s="212">
        <f t="shared" si="889"/>
        <v>0</v>
      </c>
      <c r="AL577" s="212">
        <f t="shared" si="889"/>
        <v>0</v>
      </c>
      <c r="AM577" s="181"/>
      <c r="AN577" s="181"/>
      <c r="AO577" s="11"/>
      <c r="AP577" s="11"/>
      <c r="AQ577" s="11"/>
      <c r="AR577" s="11"/>
      <c r="AS577" s="11"/>
      <c r="AT577" s="11"/>
      <c r="AU577" s="11"/>
      <c r="AV577" s="11"/>
    </row>
    <row r="578" spans="1:48" outlineLevel="1" x14ac:dyDescent="0.2">
      <c r="A578" s="11"/>
      <c r="B578" s="205"/>
      <c r="C578" s="207"/>
      <c r="D578" s="207"/>
      <c r="E578" s="207"/>
      <c r="F578" s="207"/>
      <c r="G578" s="207"/>
      <c r="H578" s="207"/>
      <c r="I578" s="207"/>
      <c r="J578" s="207"/>
      <c r="K578" s="207"/>
      <c r="L578" s="207"/>
      <c r="M578" s="207"/>
      <c r="N578" s="207"/>
      <c r="O578" s="207"/>
      <c r="P578" s="207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  <c r="AC578" s="207"/>
      <c r="AD578" s="207"/>
      <c r="AE578" s="207"/>
      <c r="AF578" s="207"/>
      <c r="AG578" s="207"/>
      <c r="AH578" s="207"/>
      <c r="AI578" s="207"/>
      <c r="AJ578" s="207"/>
      <c r="AK578" s="207"/>
      <c r="AL578" s="207"/>
      <c r="AM578" s="181"/>
      <c r="AN578" s="181"/>
      <c r="AO578" s="14"/>
      <c r="AP578" s="14"/>
      <c r="AQ578" s="11"/>
      <c r="AR578" s="11"/>
      <c r="AS578" s="11"/>
      <c r="AT578" s="11"/>
      <c r="AU578" s="11"/>
      <c r="AV578" s="11"/>
    </row>
    <row r="579" spans="1:48" outlineLevel="1" x14ac:dyDescent="0.2">
      <c r="A579" s="2"/>
      <c r="B579" s="205" t="s">
        <v>49</v>
      </c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  <c r="AB579" s="205"/>
      <c r="AC579" s="205"/>
      <c r="AD579" s="205"/>
      <c r="AE579" s="205"/>
      <c r="AF579" s="205"/>
      <c r="AG579" s="205"/>
      <c r="AH579" s="205"/>
      <c r="AI579" s="205"/>
      <c r="AJ579" s="205"/>
      <c r="AK579" s="205"/>
      <c r="AL579" s="205"/>
      <c r="AO579" s="2"/>
      <c r="AP579" s="2"/>
      <c r="AQ579" s="2"/>
      <c r="AR579" s="2"/>
      <c r="AS579" s="2"/>
      <c r="AT579" s="2"/>
      <c r="AU579" s="2"/>
      <c r="AV579" s="2"/>
    </row>
    <row r="580" spans="1:48" outlineLevel="1" x14ac:dyDescent="0.2">
      <c r="A580" s="2"/>
      <c r="B580" s="205"/>
      <c r="C580" s="205"/>
      <c r="D580" s="205"/>
      <c r="E580" s="205"/>
      <c r="F580" s="205"/>
      <c r="G580" s="205"/>
      <c r="H580" s="205"/>
      <c r="I580" s="205"/>
      <c r="J580" s="205"/>
      <c r="K580" s="205"/>
      <c r="L580" s="205"/>
      <c r="M580" s="205"/>
      <c r="N580" s="205"/>
      <c r="O580" s="205"/>
      <c r="P580" s="205"/>
      <c r="Q580" s="205"/>
      <c r="R580" s="207"/>
      <c r="S580" s="205"/>
      <c r="T580" s="205"/>
      <c r="U580" s="205"/>
      <c r="V580" s="205"/>
      <c r="W580" s="205"/>
      <c r="X580" s="205"/>
      <c r="Y580" s="205"/>
      <c r="Z580" s="205"/>
      <c r="AA580" s="205"/>
      <c r="AB580" s="205"/>
      <c r="AC580" s="205"/>
      <c r="AD580" s="205"/>
      <c r="AE580" s="205"/>
      <c r="AF580" s="205"/>
      <c r="AG580" s="205"/>
      <c r="AH580" s="205"/>
      <c r="AI580" s="205"/>
      <c r="AJ580" s="205"/>
      <c r="AK580" s="205"/>
      <c r="AL580" s="205"/>
      <c r="AO580" s="2"/>
      <c r="AP580" s="2"/>
      <c r="AQ580" s="2"/>
      <c r="AR580" s="2"/>
      <c r="AS580" s="2"/>
      <c r="AT580" s="2"/>
      <c r="AU580" s="2"/>
      <c r="AV580" s="2"/>
    </row>
    <row r="581" spans="1:48" outlineLevel="1" x14ac:dyDescent="0.2"/>
    <row r="582" spans="1:48" outlineLevel="1" x14ac:dyDescent="0.2"/>
  </sheetData>
  <customSheetViews>
    <customSheetView guid="{F374C4C2-E461-4427-BC83-571704D130AE}" scale="115" hiddenColumns="1" showRuler="0" topLeftCell="A379">
      <selection activeCell="J346" sqref="J346"/>
      <pageMargins left="0.75" right="0.75" top="1" bottom="1" header="0.5" footer="0.5"/>
      <pageSetup paperSize="9" orientation="portrait" r:id="rId1"/>
      <headerFooter alignWithMargins="0"/>
    </customSheetView>
    <customSheetView guid="{5F01622F-BD04-4698-B8E9-3B7E434CD47C}" hiddenColumns="1" showRuler="0">
      <pane xSplit="2" ySplit="5" topLeftCell="C6" activePane="bottomRight" state="frozen"/>
      <selection pane="bottomRight" activeCell="C6" sqref="C6"/>
      <pageMargins left="0.75" right="0.75" top="1" bottom="1" header="0.5" footer="0.5"/>
      <pageSetup paperSize="9" orientation="portrait" r:id="rId2"/>
      <headerFooter alignWithMargins="0"/>
    </customSheetView>
    <customSheetView guid="{BF409FF2-3E15-4B6B-AE18-50E58B89ECE7}" hiddenColumns="1" showRuler="0">
      <pane xSplit="8" ySplit="5" topLeftCell="J363" activePane="bottomRight" state="frozen"/>
      <selection pane="bottomRight" activeCell="P186" sqref="P186"/>
      <pageMargins left="0.75" right="0.75" top="1" bottom="1" header="0.5" footer="0.5"/>
      <pageSetup paperSize="9" orientation="portrait" r:id="rId3"/>
      <headerFooter alignWithMargins="0"/>
    </customSheetView>
  </customSheetViews>
  <phoneticPr fontId="0" type="noConversion"/>
  <dataValidations disablePrompts="1" count="1">
    <dataValidation type="list" allowBlank="1" showDropDown="1" showInputMessage="1" showErrorMessage="1" promptTitle="Please enter scenario" sqref="A1:B1">
      <formula1>#REF!</formula1>
    </dataValidation>
  </dataValidations>
  <hyperlinks>
    <hyperlink ref="A1" location="Cover!A1" display="HOME"/>
  </hyperlinks>
  <pageMargins left="0.75" right="0.75" top="1" bottom="1" header="0.5" footer="0.5"/>
  <pageSetup paperSize="9" orientation="portrait" r:id="rId4"/>
  <headerFooter alignWithMargins="0"/>
  <ignoredErrors>
    <ignoredError sqref="AN148:AN153 AN156:AN158 T155:X155 AN155 T154:X154 AN154 Z154:AA154 Z155 T156:AH158 T148:AH148 AC154:AH154 T151:AH153 T149:Z149 AC149:AH149 AD155:AH155 AD168 T150:AA150 AD150:AH15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AA208"/>
  <sheetViews>
    <sheetView showGridLines="0" workbookViewId="0">
      <pane xSplit="2" ySplit="3" topLeftCell="C4" activePane="bottomRight" state="frozen"/>
      <selection activeCell="A4" sqref="A4"/>
      <selection pane="topRight" activeCell="A4" sqref="A4"/>
      <selection pane="bottomLeft" activeCell="A4" sqref="A4"/>
      <selection pane="bottomRight" activeCell="C4" sqref="C4"/>
    </sheetView>
  </sheetViews>
  <sheetFormatPr defaultRowHeight="12.75" outlineLevelRow="1" outlineLevelCol="1" x14ac:dyDescent="0.2"/>
  <cols>
    <col min="2" max="2" width="31" bestFit="1" customWidth="1"/>
    <col min="3" max="9" width="9.140625" outlineLevel="1"/>
    <col min="11" max="17" width="9.140625" outlineLevel="1"/>
  </cols>
  <sheetData>
    <row r="1" spans="1:27" ht="15.75" x14ac:dyDescent="0.25">
      <c r="A1" s="150" t="s">
        <v>220</v>
      </c>
      <c r="B1" s="17"/>
    </row>
    <row r="2" spans="1:27" x14ac:dyDescent="0.2">
      <c r="A2" s="17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1:27" x14ac:dyDescent="0.2">
      <c r="A3" s="17"/>
      <c r="B3" s="115" t="str">
        <f>Model!B5</f>
        <v>€ Millions, Yr end December</v>
      </c>
      <c r="C3" s="143" t="s">
        <v>438</v>
      </c>
      <c r="D3" s="143" t="s">
        <v>439</v>
      </c>
      <c r="E3" s="143" t="s">
        <v>455</v>
      </c>
      <c r="F3" s="143" t="s">
        <v>440</v>
      </c>
      <c r="G3" s="143" t="s">
        <v>456</v>
      </c>
      <c r="H3" s="143" t="s">
        <v>441</v>
      </c>
      <c r="I3" s="143" t="s">
        <v>473</v>
      </c>
      <c r="J3" s="163">
        <v>2017</v>
      </c>
      <c r="K3" s="143" t="s">
        <v>468</v>
      </c>
      <c r="L3" s="143" t="s">
        <v>469</v>
      </c>
      <c r="M3" s="143" t="s">
        <v>470</v>
      </c>
      <c r="N3" s="143" t="s">
        <v>471</v>
      </c>
      <c r="O3" s="143" t="s">
        <v>472</v>
      </c>
      <c r="P3" s="143" t="s">
        <v>466</v>
      </c>
      <c r="Q3" s="143" t="s">
        <v>467</v>
      </c>
      <c r="R3" s="144">
        <f>J3+1</f>
        <v>2018</v>
      </c>
      <c r="S3" s="144">
        <f t="shared" ref="S3:AA3" si="0">R3+1</f>
        <v>2019</v>
      </c>
      <c r="T3" s="144">
        <f t="shared" si="0"/>
        <v>2020</v>
      </c>
      <c r="U3" s="144">
        <f t="shared" si="0"/>
        <v>2021</v>
      </c>
      <c r="V3" s="144">
        <f t="shared" si="0"/>
        <v>2022</v>
      </c>
      <c r="W3" s="144">
        <f t="shared" si="0"/>
        <v>2023</v>
      </c>
      <c r="X3" s="144">
        <f t="shared" si="0"/>
        <v>2024</v>
      </c>
      <c r="Y3" s="144">
        <f t="shared" si="0"/>
        <v>2025</v>
      </c>
      <c r="Z3" s="144">
        <f t="shared" si="0"/>
        <v>2026</v>
      </c>
      <c r="AA3" s="144">
        <f t="shared" si="0"/>
        <v>2027</v>
      </c>
    </row>
    <row r="4" spans="1:27" x14ac:dyDescent="0.2">
      <c r="A4" s="17"/>
      <c r="B4" s="17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</row>
    <row r="5" spans="1:27" x14ac:dyDescent="0.2">
      <c r="A5" s="17"/>
      <c r="B5" s="19" t="s">
        <v>414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</row>
    <row r="6" spans="1:27" x14ac:dyDescent="0.2">
      <c r="A6" s="17"/>
      <c r="B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</row>
    <row r="7" spans="1:27" x14ac:dyDescent="0.2">
      <c r="A7" s="34"/>
      <c r="B7" s="91" t="s">
        <v>415</v>
      </c>
      <c r="C7" s="145">
        <v>1.065735384615385</v>
      </c>
      <c r="D7" s="145">
        <v>1.1012869230769233</v>
      </c>
      <c r="E7" s="145">
        <f t="shared" ref="E7:E15" si="1">AVERAGE(D7,C7)</f>
        <v>1.0835111538461542</v>
      </c>
      <c r="F7" s="145">
        <v>1.1750161538461539</v>
      </c>
      <c r="G7" s="145">
        <f>AVERAGE(F7,D7,C7)</f>
        <v>1.1140128205128208</v>
      </c>
      <c r="H7" s="145">
        <v>1.177927692307692</v>
      </c>
      <c r="I7" s="145">
        <f>AVERAGE(H7,F7)</f>
        <v>1.1764719230769229</v>
      </c>
      <c r="J7" s="145">
        <f>AVERAGE(I7,E7)</f>
        <v>1.1299915384615384</v>
      </c>
      <c r="K7" s="145">
        <v>1.228719230769231</v>
      </c>
      <c r="L7" s="233">
        <v>1.235545384615385</v>
      </c>
      <c r="M7" s="145">
        <f t="shared" ref="M7:M15" si="2">AVERAGE(L7,K7)</f>
        <v>1.2321323076923081</v>
      </c>
      <c r="N7" s="233">
        <v>1.23645</v>
      </c>
      <c r="O7" s="145">
        <f>AVERAGE(N7,L7,K7)</f>
        <v>1.2335715384615387</v>
      </c>
      <c r="P7" s="233">
        <f>N7</f>
        <v>1.23645</v>
      </c>
      <c r="Q7" s="145">
        <f t="shared" ref="Q7:Q15" si="3">AVERAGE(P7,N7)</f>
        <v>1.23645</v>
      </c>
      <c r="R7" s="145">
        <f t="shared" ref="R7:R15" si="4">AVERAGE(Q7,M7)</f>
        <v>1.2342911538461541</v>
      </c>
      <c r="S7" s="146">
        <f>P7</f>
        <v>1.23645</v>
      </c>
      <c r="T7" s="146">
        <f t="shared" ref="T7:AA15" si="5">+S7</f>
        <v>1.23645</v>
      </c>
      <c r="U7" s="146">
        <f t="shared" si="5"/>
        <v>1.23645</v>
      </c>
      <c r="V7" s="146">
        <f t="shared" si="5"/>
        <v>1.23645</v>
      </c>
      <c r="W7" s="146">
        <f t="shared" si="5"/>
        <v>1.23645</v>
      </c>
      <c r="X7" s="146">
        <f t="shared" si="5"/>
        <v>1.23645</v>
      </c>
      <c r="Y7" s="146">
        <f t="shared" si="5"/>
        <v>1.23645</v>
      </c>
      <c r="Z7" s="146">
        <f t="shared" si="5"/>
        <v>1.23645</v>
      </c>
      <c r="AA7" s="146">
        <f t="shared" si="5"/>
        <v>1.23645</v>
      </c>
    </row>
    <row r="8" spans="1:27" x14ac:dyDescent="0.2">
      <c r="A8" s="34"/>
      <c r="B8" s="91" t="s">
        <v>416</v>
      </c>
      <c r="C8" s="145">
        <v>121.06534461538462</v>
      </c>
      <c r="D8" s="145">
        <v>122.36887999999999</v>
      </c>
      <c r="E8" s="145">
        <f t="shared" si="1"/>
        <v>121.7171123076923</v>
      </c>
      <c r="F8" s="145">
        <v>130.35993230769233</v>
      </c>
      <c r="G8" s="145">
        <f t="shared" ref="G8:G15" si="6">AVERAGE(F8,D8,C8)</f>
        <v>124.5980523076923</v>
      </c>
      <c r="H8" s="145">
        <v>132.98073538461534</v>
      </c>
      <c r="I8" s="145">
        <f t="shared" ref="I8:I15" si="7">AVERAGE(H8,F8)</f>
        <v>131.67033384615382</v>
      </c>
      <c r="J8" s="145">
        <f t="shared" ref="J8:J14" si="8">AVERAGE(I8,E8)</f>
        <v>126.69372307692306</v>
      </c>
      <c r="K8" s="145">
        <v>133.09209384615386</v>
      </c>
      <c r="L8" s="233">
        <v>132.55947692307672</v>
      </c>
      <c r="M8" s="145">
        <f t="shared" si="2"/>
        <v>132.8257853846153</v>
      </c>
      <c r="N8" s="233">
        <v>132.739</v>
      </c>
      <c r="O8" s="145">
        <f t="shared" ref="O8:O15" si="9">AVERAGE(N8,L8,K8)</f>
        <v>132.79685692307683</v>
      </c>
      <c r="P8" s="233">
        <f t="shared" ref="P8:P15" si="10">N8</f>
        <v>132.739</v>
      </c>
      <c r="Q8" s="145">
        <f t="shared" si="3"/>
        <v>132.739</v>
      </c>
      <c r="R8" s="145">
        <f t="shared" si="4"/>
        <v>132.78239269230767</v>
      </c>
      <c r="S8" s="146">
        <f t="shared" ref="S8:S15" si="11">P8</f>
        <v>132.739</v>
      </c>
      <c r="T8" s="146">
        <f t="shared" si="5"/>
        <v>132.739</v>
      </c>
      <c r="U8" s="146">
        <f t="shared" si="5"/>
        <v>132.739</v>
      </c>
      <c r="V8" s="146">
        <f t="shared" si="5"/>
        <v>132.739</v>
      </c>
      <c r="W8" s="146">
        <f t="shared" si="5"/>
        <v>132.739</v>
      </c>
      <c r="X8" s="146">
        <f t="shared" si="5"/>
        <v>132.739</v>
      </c>
      <c r="Y8" s="146">
        <f t="shared" si="5"/>
        <v>132.739</v>
      </c>
      <c r="Z8" s="146">
        <f t="shared" si="5"/>
        <v>132.739</v>
      </c>
      <c r="AA8" s="146">
        <f t="shared" si="5"/>
        <v>132.739</v>
      </c>
    </row>
    <row r="9" spans="1:27" x14ac:dyDescent="0.2">
      <c r="A9" s="34"/>
      <c r="B9" s="91" t="s">
        <v>0</v>
      </c>
      <c r="C9" s="145">
        <v>8.2709769230769243</v>
      </c>
      <c r="D9" s="145">
        <v>8.5759800000000013</v>
      </c>
      <c r="E9" s="145">
        <f t="shared" si="1"/>
        <v>8.4234784615384619</v>
      </c>
      <c r="F9" s="145">
        <v>9.182901538461536</v>
      </c>
      <c r="G9" s="145">
        <f t="shared" si="6"/>
        <v>8.6766194871794866</v>
      </c>
      <c r="H9" s="145">
        <v>9.1971699999999998</v>
      </c>
      <c r="I9" s="145">
        <f t="shared" si="7"/>
        <v>9.1900357692307679</v>
      </c>
      <c r="J9" s="145">
        <f t="shared" si="8"/>
        <v>8.8067571153846149</v>
      </c>
      <c r="K9" s="145">
        <v>9.6179984615384626</v>
      </c>
      <c r="L9" s="233">
        <v>9.6966946153846081</v>
      </c>
      <c r="M9" s="145">
        <f t="shared" si="2"/>
        <v>9.6573465384615353</v>
      </c>
      <c r="N9" s="233">
        <v>9.7034000000000002</v>
      </c>
      <c r="O9" s="145">
        <f t="shared" si="9"/>
        <v>9.6726976923076915</v>
      </c>
      <c r="P9" s="233">
        <f t="shared" si="10"/>
        <v>9.7034000000000002</v>
      </c>
      <c r="Q9" s="145">
        <f t="shared" si="3"/>
        <v>9.7034000000000002</v>
      </c>
      <c r="R9" s="145">
        <f t="shared" si="4"/>
        <v>9.6803732692307669</v>
      </c>
      <c r="S9" s="146">
        <f t="shared" si="11"/>
        <v>9.7034000000000002</v>
      </c>
      <c r="T9" s="146">
        <f t="shared" si="5"/>
        <v>9.7034000000000002</v>
      </c>
      <c r="U9" s="146">
        <f t="shared" si="5"/>
        <v>9.7034000000000002</v>
      </c>
      <c r="V9" s="146">
        <f t="shared" si="5"/>
        <v>9.7034000000000002</v>
      </c>
      <c r="W9" s="146">
        <f t="shared" si="5"/>
        <v>9.7034000000000002</v>
      </c>
      <c r="X9" s="146">
        <f t="shared" si="5"/>
        <v>9.7034000000000002</v>
      </c>
      <c r="Y9" s="146">
        <f t="shared" si="5"/>
        <v>9.7034000000000002</v>
      </c>
      <c r="Z9" s="146">
        <f t="shared" si="5"/>
        <v>9.7034000000000002</v>
      </c>
      <c r="AA9" s="146">
        <f t="shared" si="5"/>
        <v>9.7034000000000002</v>
      </c>
    </row>
    <row r="10" spans="1:27" x14ac:dyDescent="0.2">
      <c r="A10" s="34"/>
      <c r="B10" s="91" t="s">
        <v>1</v>
      </c>
      <c r="C10" s="145">
        <v>3.9143623076923086</v>
      </c>
      <c r="D10" s="145">
        <v>4.0450192307692312</v>
      </c>
      <c r="E10" s="145">
        <f t="shared" si="1"/>
        <v>3.9796907692307699</v>
      </c>
      <c r="F10" s="145">
        <v>4.3158246153846171</v>
      </c>
      <c r="G10" s="145">
        <f t="shared" si="6"/>
        <v>4.0917353846153857</v>
      </c>
      <c r="H10" s="145">
        <v>4.3264307692307682</v>
      </c>
      <c r="I10" s="145">
        <f t="shared" si="7"/>
        <v>4.3211276923076927</v>
      </c>
      <c r="J10" s="145">
        <f t="shared" si="8"/>
        <v>4.1504092307692311</v>
      </c>
      <c r="K10" s="145">
        <v>4.5130769230769223</v>
      </c>
      <c r="L10" s="233">
        <v>4.5381869230769265</v>
      </c>
      <c r="M10" s="145">
        <f t="shared" si="2"/>
        <v>4.525631923076924</v>
      </c>
      <c r="N10" s="233">
        <v>4.5415000000000001</v>
      </c>
      <c r="O10" s="145">
        <f t="shared" si="9"/>
        <v>4.5309212820512839</v>
      </c>
      <c r="P10" s="233">
        <f t="shared" si="10"/>
        <v>4.5415000000000001</v>
      </c>
      <c r="Q10" s="145">
        <f t="shared" si="3"/>
        <v>4.5415000000000001</v>
      </c>
      <c r="R10" s="145">
        <f t="shared" si="4"/>
        <v>4.5335659615384625</v>
      </c>
      <c r="S10" s="146">
        <f t="shared" si="11"/>
        <v>4.5415000000000001</v>
      </c>
      <c r="T10" s="146">
        <f t="shared" si="5"/>
        <v>4.5415000000000001</v>
      </c>
      <c r="U10" s="146">
        <f t="shared" si="5"/>
        <v>4.5415000000000001</v>
      </c>
      <c r="V10" s="146">
        <f t="shared" si="5"/>
        <v>4.5415000000000001</v>
      </c>
      <c r="W10" s="146">
        <f t="shared" si="5"/>
        <v>4.5415000000000001</v>
      </c>
      <c r="X10" s="146">
        <f t="shared" si="5"/>
        <v>4.5415000000000001</v>
      </c>
      <c r="Y10" s="146">
        <f t="shared" si="5"/>
        <v>4.5415000000000001</v>
      </c>
      <c r="Z10" s="146">
        <f t="shared" si="5"/>
        <v>4.5415000000000001</v>
      </c>
      <c r="AA10" s="146">
        <f t="shared" si="5"/>
        <v>4.5415000000000001</v>
      </c>
    </row>
    <row r="11" spans="1:27" x14ac:dyDescent="0.2">
      <c r="A11" s="34"/>
      <c r="B11" s="91" t="s">
        <v>51</v>
      </c>
      <c r="C11" s="145">
        <v>1.0695261538461538</v>
      </c>
      <c r="D11" s="145">
        <v>1.0837307692307696</v>
      </c>
      <c r="E11" s="145">
        <f t="shared" si="1"/>
        <v>1.0766284615384616</v>
      </c>
      <c r="F11" s="145">
        <v>1.1313000000000004</v>
      </c>
      <c r="G11" s="145">
        <f t="shared" si="6"/>
        <v>1.094852307692308</v>
      </c>
      <c r="H11" s="145">
        <v>1.1627030769230773</v>
      </c>
      <c r="I11" s="145">
        <f t="shared" si="7"/>
        <v>1.1470015384615388</v>
      </c>
      <c r="J11" s="145">
        <f t="shared" si="8"/>
        <v>1.1118150000000002</v>
      </c>
      <c r="K11" s="145">
        <v>1.1655561538461541</v>
      </c>
      <c r="L11" s="233">
        <v>1.1961238461538461</v>
      </c>
      <c r="M11" s="145">
        <f t="shared" si="2"/>
        <v>1.1808400000000001</v>
      </c>
      <c r="N11" s="233">
        <v>1.1993499999999999</v>
      </c>
      <c r="O11" s="145">
        <f t="shared" si="9"/>
        <v>1.1870100000000001</v>
      </c>
      <c r="P11" s="233">
        <f t="shared" si="10"/>
        <v>1.1993499999999999</v>
      </c>
      <c r="Q11" s="145">
        <f t="shared" si="3"/>
        <v>1.1993499999999999</v>
      </c>
      <c r="R11" s="145">
        <f t="shared" si="4"/>
        <v>1.1900949999999999</v>
      </c>
      <c r="S11" s="146">
        <f t="shared" si="11"/>
        <v>1.1993499999999999</v>
      </c>
      <c r="T11" s="146">
        <f t="shared" si="5"/>
        <v>1.1993499999999999</v>
      </c>
      <c r="U11" s="146">
        <f t="shared" si="5"/>
        <v>1.1993499999999999</v>
      </c>
      <c r="V11" s="146">
        <f t="shared" si="5"/>
        <v>1.1993499999999999</v>
      </c>
      <c r="W11" s="146">
        <f t="shared" si="5"/>
        <v>1.1993499999999999</v>
      </c>
      <c r="X11" s="146">
        <f t="shared" si="5"/>
        <v>1.1993499999999999</v>
      </c>
      <c r="Y11" s="146">
        <f t="shared" si="5"/>
        <v>1.1993499999999999</v>
      </c>
      <c r="Z11" s="146">
        <f t="shared" si="5"/>
        <v>1.1993499999999999</v>
      </c>
      <c r="AA11" s="146">
        <f t="shared" si="5"/>
        <v>1.1993499999999999</v>
      </c>
    </row>
    <row r="12" spans="1:27" x14ac:dyDescent="0.2">
      <c r="A12" s="34"/>
      <c r="B12" s="91" t="s">
        <v>140</v>
      </c>
      <c r="C12" s="145">
        <v>62.521753846153871</v>
      </c>
      <c r="D12" s="145">
        <v>62.990513846153839</v>
      </c>
      <c r="E12" s="145">
        <f t="shared" si="1"/>
        <v>62.756133846153858</v>
      </c>
      <c r="F12" s="145">
        <v>69.285106153846158</v>
      </c>
      <c r="G12" s="145">
        <f t="shared" si="6"/>
        <v>64.932457948717953</v>
      </c>
      <c r="H12" s="145">
        <v>68.829896923076888</v>
      </c>
      <c r="I12" s="145">
        <f t="shared" si="7"/>
        <v>69.057501538461523</v>
      </c>
      <c r="J12" s="145">
        <f t="shared" si="8"/>
        <v>65.906817692307698</v>
      </c>
      <c r="K12" s="145">
        <v>69.935644615384618</v>
      </c>
      <c r="L12" s="233">
        <v>75.112084615384617</v>
      </c>
      <c r="M12" s="145">
        <f t="shared" si="2"/>
        <v>72.52386461538461</v>
      </c>
      <c r="N12" s="233">
        <v>75.287499999999994</v>
      </c>
      <c r="O12" s="145">
        <f t="shared" si="9"/>
        <v>73.445076410256419</v>
      </c>
      <c r="P12" s="233">
        <f t="shared" si="10"/>
        <v>75.287499999999994</v>
      </c>
      <c r="Q12" s="145">
        <f t="shared" si="3"/>
        <v>75.287499999999994</v>
      </c>
      <c r="R12" s="145">
        <f t="shared" si="4"/>
        <v>73.905682307692302</v>
      </c>
      <c r="S12" s="146">
        <f t="shared" si="11"/>
        <v>75.287499999999994</v>
      </c>
      <c r="T12" s="146">
        <f t="shared" si="5"/>
        <v>75.287499999999994</v>
      </c>
      <c r="U12" s="146">
        <f t="shared" si="5"/>
        <v>75.287499999999994</v>
      </c>
      <c r="V12" s="146">
        <f t="shared" si="5"/>
        <v>75.287499999999994</v>
      </c>
      <c r="W12" s="146">
        <f t="shared" si="5"/>
        <v>75.287499999999994</v>
      </c>
      <c r="X12" s="146">
        <f t="shared" si="5"/>
        <v>75.287499999999994</v>
      </c>
      <c r="Y12" s="146">
        <f t="shared" si="5"/>
        <v>75.287499999999994</v>
      </c>
      <c r="Z12" s="146">
        <f t="shared" si="5"/>
        <v>75.287499999999994</v>
      </c>
      <c r="AA12" s="146">
        <f t="shared" si="5"/>
        <v>75.287499999999994</v>
      </c>
    </row>
    <row r="13" spans="1:27" x14ac:dyDescent="0.2">
      <c r="A13" s="34"/>
      <c r="B13" s="91" t="s">
        <v>141</v>
      </c>
      <c r="C13" s="145">
        <v>0.86005153846153859</v>
      </c>
      <c r="D13" s="145">
        <v>0.86029538461538479</v>
      </c>
      <c r="E13" s="145">
        <f t="shared" si="1"/>
        <v>0.86017346153846175</v>
      </c>
      <c r="F13" s="145">
        <v>0.89804769230769232</v>
      </c>
      <c r="G13" s="145">
        <f t="shared" si="6"/>
        <v>0.87279820512820516</v>
      </c>
      <c r="H13" s="145">
        <v>0.88747384615384628</v>
      </c>
      <c r="I13" s="145">
        <f t="shared" si="7"/>
        <v>0.8927607692307693</v>
      </c>
      <c r="J13" s="145">
        <f t="shared" si="8"/>
        <v>0.87646711538461552</v>
      </c>
      <c r="K13" s="145">
        <v>0.88312538461538437</v>
      </c>
      <c r="L13" s="233">
        <v>0.86944923076922986</v>
      </c>
      <c r="M13" s="145">
        <f t="shared" si="2"/>
        <v>0.87628730769230712</v>
      </c>
      <c r="N13" s="233">
        <v>0.86934999999999996</v>
      </c>
      <c r="O13" s="145">
        <f t="shared" si="9"/>
        <v>0.87397487179487143</v>
      </c>
      <c r="P13" s="233">
        <f t="shared" si="10"/>
        <v>0.86934999999999996</v>
      </c>
      <c r="Q13" s="145">
        <f t="shared" si="3"/>
        <v>0.86934999999999996</v>
      </c>
      <c r="R13" s="145">
        <f t="shared" si="4"/>
        <v>0.87281865384615354</v>
      </c>
      <c r="S13" s="146">
        <f t="shared" si="11"/>
        <v>0.86934999999999996</v>
      </c>
      <c r="T13" s="146">
        <f t="shared" si="5"/>
        <v>0.86934999999999996</v>
      </c>
      <c r="U13" s="146">
        <f t="shared" si="5"/>
        <v>0.86934999999999996</v>
      </c>
      <c r="V13" s="146">
        <f t="shared" si="5"/>
        <v>0.86934999999999996</v>
      </c>
      <c r="W13" s="146">
        <f t="shared" si="5"/>
        <v>0.86934999999999996</v>
      </c>
      <c r="X13" s="146">
        <f t="shared" si="5"/>
        <v>0.86934999999999996</v>
      </c>
      <c r="Y13" s="146">
        <f t="shared" si="5"/>
        <v>0.86934999999999996</v>
      </c>
      <c r="Z13" s="146">
        <f t="shared" si="5"/>
        <v>0.86934999999999996</v>
      </c>
      <c r="AA13" s="146">
        <f t="shared" si="5"/>
        <v>0.86934999999999996</v>
      </c>
    </row>
    <row r="14" spans="1:27" x14ac:dyDescent="0.2">
      <c r="A14" s="34"/>
      <c r="B14" s="47" t="s">
        <v>442</v>
      </c>
      <c r="C14" s="145">
        <v>7.3421100000000008</v>
      </c>
      <c r="D14" s="145">
        <v>7.5556630769230804</v>
      </c>
      <c r="E14" s="145">
        <f t="shared" si="1"/>
        <v>7.4488865384615401</v>
      </c>
      <c r="F14" s="145">
        <v>7.8367346153846169</v>
      </c>
      <c r="G14" s="145">
        <f t="shared" si="6"/>
        <v>7.578169230769233</v>
      </c>
      <c r="H14" s="145">
        <v>7.7873830769230779</v>
      </c>
      <c r="I14" s="145">
        <f t="shared" si="7"/>
        <v>7.8120588461538478</v>
      </c>
      <c r="J14" s="145">
        <f t="shared" si="8"/>
        <v>7.630472692307694</v>
      </c>
      <c r="K14" s="145">
        <v>7.8142161538461528</v>
      </c>
      <c r="L14" s="146">
        <v>7.7597546153846206</v>
      </c>
      <c r="M14" s="145">
        <f t="shared" si="2"/>
        <v>7.7869853846153863</v>
      </c>
      <c r="N14" s="146">
        <f t="shared" ref="N14" si="12">L14</f>
        <v>7.7597546153846206</v>
      </c>
      <c r="O14" s="145">
        <f t="shared" si="9"/>
        <v>7.7779084615384653</v>
      </c>
      <c r="P14" s="146">
        <v>7.7626499999999998</v>
      </c>
      <c r="Q14" s="145">
        <f t="shared" si="3"/>
        <v>7.7612023076923098</v>
      </c>
      <c r="R14" s="145">
        <f t="shared" si="4"/>
        <v>7.774093846153848</v>
      </c>
      <c r="S14" s="146">
        <f t="shared" si="11"/>
        <v>7.7626499999999998</v>
      </c>
      <c r="T14" s="146">
        <f t="shared" si="5"/>
        <v>7.7626499999999998</v>
      </c>
      <c r="U14" s="146">
        <f t="shared" si="5"/>
        <v>7.7626499999999998</v>
      </c>
      <c r="V14" s="146">
        <f t="shared" si="5"/>
        <v>7.7626499999999998</v>
      </c>
      <c r="W14" s="146">
        <f t="shared" si="5"/>
        <v>7.7626499999999998</v>
      </c>
      <c r="X14" s="146">
        <f t="shared" si="5"/>
        <v>7.7626499999999998</v>
      </c>
      <c r="Y14" s="146">
        <f t="shared" si="5"/>
        <v>7.7626499999999998</v>
      </c>
      <c r="Z14" s="146">
        <f t="shared" si="5"/>
        <v>7.7626499999999998</v>
      </c>
      <c r="AA14" s="146">
        <f t="shared" si="5"/>
        <v>7.7626499999999998</v>
      </c>
    </row>
    <row r="15" spans="1:27" x14ac:dyDescent="0.2">
      <c r="A15" s="17"/>
      <c r="B15" s="17" t="s">
        <v>139</v>
      </c>
      <c r="C15" s="145">
        <v>16.698202307692309</v>
      </c>
      <c r="D15" s="145">
        <v>17.332661076923074</v>
      </c>
      <c r="E15" s="145">
        <f t="shared" si="1"/>
        <v>17.015431692307693</v>
      </c>
      <c r="F15" s="145">
        <v>20.30457830769231</v>
      </c>
      <c r="G15" s="145">
        <f t="shared" si="6"/>
        <v>18.111813897435898</v>
      </c>
      <c r="H15" s="145">
        <v>20.696470153846153</v>
      </c>
      <c r="I15" s="145">
        <f t="shared" si="7"/>
        <v>20.50052423076923</v>
      </c>
      <c r="J15" s="145">
        <f>AVERAGE(I15,E15)</f>
        <v>18.757977961538462</v>
      </c>
      <c r="K15" s="145">
        <v>24.201341076923079</v>
      </c>
      <c r="L15" s="146">
        <v>24.904474923076961</v>
      </c>
      <c r="M15" s="145">
        <f t="shared" si="2"/>
        <v>24.55290800000002</v>
      </c>
      <c r="N15" s="146">
        <v>24.914490000000001</v>
      </c>
      <c r="O15" s="145">
        <f t="shared" si="9"/>
        <v>24.673435333333344</v>
      </c>
      <c r="P15" s="146">
        <f t="shared" si="10"/>
        <v>24.914490000000001</v>
      </c>
      <c r="Q15" s="145">
        <f t="shared" si="3"/>
        <v>24.914490000000001</v>
      </c>
      <c r="R15" s="145">
        <f t="shared" si="4"/>
        <v>24.733699000000009</v>
      </c>
      <c r="S15" s="146">
        <f t="shared" si="11"/>
        <v>24.914490000000001</v>
      </c>
      <c r="T15" s="146">
        <f t="shared" si="5"/>
        <v>24.914490000000001</v>
      </c>
      <c r="U15" s="146">
        <f t="shared" si="5"/>
        <v>24.914490000000001</v>
      </c>
      <c r="V15" s="146">
        <f t="shared" si="5"/>
        <v>24.914490000000001</v>
      </c>
      <c r="W15" s="146">
        <f t="shared" si="5"/>
        <v>24.914490000000001</v>
      </c>
      <c r="X15" s="146">
        <f t="shared" si="5"/>
        <v>24.914490000000001</v>
      </c>
      <c r="Y15" s="146">
        <f t="shared" si="5"/>
        <v>24.914490000000001</v>
      </c>
      <c r="Z15" s="146">
        <f t="shared" si="5"/>
        <v>24.914490000000001</v>
      </c>
      <c r="AA15" s="146">
        <f t="shared" si="5"/>
        <v>24.914490000000001</v>
      </c>
    </row>
    <row r="17" spans="2:27" x14ac:dyDescent="0.2">
      <c r="B17" s="245" t="s">
        <v>475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</row>
    <row r="18" spans="2:27" x14ac:dyDescent="0.2">
      <c r="B18" s="245" t="s">
        <v>406</v>
      </c>
      <c r="C18" s="143"/>
      <c r="D18" s="143"/>
      <c r="E18" s="143"/>
      <c r="F18" s="143"/>
      <c r="G18" s="143"/>
      <c r="H18" s="143"/>
      <c r="I18" s="143"/>
      <c r="J18" s="163"/>
      <c r="K18" s="143"/>
      <c r="L18" s="143"/>
      <c r="M18" s="143"/>
      <c r="N18" s="143"/>
      <c r="O18" s="143"/>
      <c r="P18" s="143"/>
      <c r="Q18" s="143"/>
      <c r="R18" s="144"/>
      <c r="S18" s="144"/>
      <c r="T18" s="144"/>
      <c r="U18" s="144"/>
      <c r="V18" s="144"/>
      <c r="W18" s="144"/>
      <c r="X18" s="144"/>
      <c r="Y18" s="144"/>
      <c r="Z18" s="144"/>
      <c r="AA18" s="144"/>
    </row>
    <row r="19" spans="2:27" x14ac:dyDescent="0.2">
      <c r="B19" s="142" t="s">
        <v>174</v>
      </c>
      <c r="C19" s="173" t="str">
        <f>C$3</f>
        <v>Q117</v>
      </c>
      <c r="D19" s="173" t="str">
        <f t="shared" ref="D19:AA19" si="13">D$3</f>
        <v>Q217</v>
      </c>
      <c r="E19" s="173" t="str">
        <f t="shared" si="13"/>
        <v>H117</v>
      </c>
      <c r="F19" s="173" t="str">
        <f t="shared" si="13"/>
        <v>Q317</v>
      </c>
      <c r="G19" s="173" t="str">
        <f t="shared" si="13"/>
        <v>9M17</v>
      </c>
      <c r="H19" s="173" t="str">
        <f t="shared" si="13"/>
        <v>Q417</v>
      </c>
      <c r="I19" s="173" t="str">
        <f t="shared" si="13"/>
        <v>2H17</v>
      </c>
      <c r="J19" s="249">
        <f t="shared" si="13"/>
        <v>2017</v>
      </c>
      <c r="K19" s="173" t="str">
        <f t="shared" si="13"/>
        <v>Q118e</v>
      </c>
      <c r="L19" s="173" t="str">
        <f t="shared" si="13"/>
        <v>Q218e</v>
      </c>
      <c r="M19" s="173" t="str">
        <f t="shared" si="13"/>
        <v>H118e</v>
      </c>
      <c r="N19" s="173" t="str">
        <f t="shared" si="13"/>
        <v>Q318e</v>
      </c>
      <c r="O19" s="173" t="str">
        <f t="shared" si="13"/>
        <v>9M18e</v>
      </c>
      <c r="P19" s="173" t="str">
        <f t="shared" si="13"/>
        <v>Q418e</v>
      </c>
      <c r="Q19" s="173" t="str">
        <f t="shared" si="13"/>
        <v>2H18e</v>
      </c>
      <c r="R19" s="173">
        <f t="shared" si="13"/>
        <v>2018</v>
      </c>
      <c r="S19" s="173">
        <f t="shared" si="13"/>
        <v>2019</v>
      </c>
      <c r="T19" s="173">
        <f t="shared" si="13"/>
        <v>2020</v>
      </c>
      <c r="U19" s="173">
        <f t="shared" si="13"/>
        <v>2021</v>
      </c>
      <c r="V19" s="173">
        <f t="shared" si="13"/>
        <v>2022</v>
      </c>
      <c r="W19" s="173">
        <f t="shared" si="13"/>
        <v>2023</v>
      </c>
      <c r="X19" s="173">
        <f t="shared" si="13"/>
        <v>2024</v>
      </c>
      <c r="Y19" s="173">
        <f t="shared" si="13"/>
        <v>2025</v>
      </c>
      <c r="Z19" s="173">
        <f t="shared" si="13"/>
        <v>2026</v>
      </c>
      <c r="AA19" s="173">
        <f t="shared" si="13"/>
        <v>2027</v>
      </c>
    </row>
    <row r="20" spans="2:27" x14ac:dyDescent="0.2">
      <c r="B20" s="101" t="s">
        <v>222</v>
      </c>
      <c r="C20" s="246">
        <v>1386</v>
      </c>
      <c r="D20" s="246">
        <v>1325</v>
      </c>
      <c r="E20" s="248">
        <f>C20+D20</f>
        <v>2711</v>
      </c>
      <c r="F20" s="246">
        <v>1526</v>
      </c>
      <c r="G20" s="248">
        <f>E20+F20</f>
        <v>4237</v>
      </c>
      <c r="H20" s="246">
        <v>1196</v>
      </c>
      <c r="I20" s="248">
        <f>F20+H20</f>
        <v>2722</v>
      </c>
      <c r="J20" s="248">
        <f>C20+D20+F20+H20</f>
        <v>5433</v>
      </c>
      <c r="K20" s="248">
        <f>(((K22)/(K$11/C$11))*0.05+(((K22)/(K$13/C$13)))*0.2)+K22*0.75</f>
        <v>1455.430714712897</v>
      </c>
      <c r="L20" s="248">
        <f>M20-K20</f>
        <v>1394.9803526576061</v>
      </c>
      <c r="M20" s="248">
        <f>(((M22)/(M$11/E$11))*0.05+(((M22)/(M$13/E$13)))*0.2)+M22*0.75</f>
        <v>2850.4110673705031</v>
      </c>
      <c r="N20" s="248">
        <f>O20-M20</f>
        <v>1664.3591231074738</v>
      </c>
      <c r="O20" s="248">
        <f>(((O22)/(O$11/G$11))*0.05+(((O22)/(O$13/G$13)))*0.2)+O22*0.75</f>
        <v>4514.7701904779769</v>
      </c>
      <c r="P20" s="248">
        <f>(((P22)/(P$11/H$11))*0.05+(((P22)/(P$13/H$13)))*0.2)+P22*0.75</f>
        <v>1259.1174894235585</v>
      </c>
      <c r="Q20" s="248">
        <f>N20+P20</f>
        <v>2923.4766125310325</v>
      </c>
      <c r="R20" s="248">
        <f>M20+Q20</f>
        <v>5773.8876799015361</v>
      </c>
      <c r="S20" s="248">
        <f>(((S22)/(S$11/R$11))*0.05+(((S22)/(S$13/R$13)))*0.2)+S22*0.75</f>
        <v>6238.3688030027506</v>
      </c>
      <c r="T20" s="248">
        <f t="shared" ref="T20:AA20" si="14">(((T22)/(T$11/S$11))*0.05+(((T22)/(T$13/S$13)))*0.2)+T22*0.75</f>
        <v>6675.0546192129432</v>
      </c>
      <c r="U20" s="248">
        <f t="shared" si="14"/>
        <v>7075.5578963657199</v>
      </c>
      <c r="V20" s="248">
        <f t="shared" si="14"/>
        <v>7500.0913701476638</v>
      </c>
      <c r="W20" s="248">
        <f t="shared" si="14"/>
        <v>7950.0968523565243</v>
      </c>
      <c r="X20" s="248">
        <f t="shared" si="14"/>
        <v>8347.6016949743516</v>
      </c>
      <c r="Y20" s="248">
        <f t="shared" si="14"/>
        <v>8764.9817797230698</v>
      </c>
      <c r="Z20" s="248">
        <f t="shared" si="14"/>
        <v>9203.2308687092245</v>
      </c>
      <c r="AA20" s="248">
        <f t="shared" si="14"/>
        <v>9663.3924121446853</v>
      </c>
    </row>
    <row r="21" spans="2:27" x14ac:dyDescent="0.2">
      <c r="B21" s="35" t="s">
        <v>2</v>
      </c>
      <c r="C21" s="263">
        <v>8</v>
      </c>
      <c r="D21" s="264">
        <v>18.710503089143845</v>
      </c>
      <c r="E21" s="263">
        <v>13</v>
      </c>
      <c r="F21" s="264">
        <v>4.9367176634214305</v>
      </c>
      <c r="G21" s="263">
        <v>10</v>
      </c>
      <c r="H21" s="264">
        <v>19.548828125000028</v>
      </c>
      <c r="I21" s="264">
        <v>11.014216084484181</v>
      </c>
      <c r="J21" s="263">
        <v>12</v>
      </c>
      <c r="K21" s="265">
        <v>6</v>
      </c>
      <c r="L21" s="264">
        <f>(L22-D20)/D20%</f>
        <v>6.0000000000000169</v>
      </c>
      <c r="M21" s="265">
        <v>6</v>
      </c>
      <c r="N21" s="264">
        <f>(N22/F20-1)*100</f>
        <v>8.776539973787667</v>
      </c>
      <c r="O21" s="266">
        <v>7</v>
      </c>
      <c r="P21" s="265">
        <v>5</v>
      </c>
      <c r="Q21" s="264">
        <f>(Q22/I20-1)*100</f>
        <v>7.1171932402644966</v>
      </c>
      <c r="R21" s="264">
        <f>(R22/J20-1)*100</f>
        <v>6.5597275906497332</v>
      </c>
      <c r="S21" s="266">
        <v>8</v>
      </c>
      <c r="T21" s="266">
        <v>7</v>
      </c>
      <c r="U21" s="266">
        <v>6</v>
      </c>
      <c r="V21" s="266">
        <v>6</v>
      </c>
      <c r="W21" s="266">
        <v>6</v>
      </c>
      <c r="X21" s="266">
        <v>5</v>
      </c>
      <c r="Y21" s="266">
        <v>5</v>
      </c>
      <c r="Z21" s="266">
        <v>5</v>
      </c>
      <c r="AA21" s="266">
        <v>5</v>
      </c>
    </row>
    <row r="22" spans="2:27" x14ac:dyDescent="0.2">
      <c r="B22" s="2" t="s">
        <v>4</v>
      </c>
      <c r="C22" s="154" t="s">
        <v>274</v>
      </c>
      <c r="D22" s="154" t="s">
        <v>274</v>
      </c>
      <c r="E22" s="154" t="s">
        <v>274</v>
      </c>
      <c r="F22" s="154" t="s">
        <v>274</v>
      </c>
      <c r="G22" s="154" t="s">
        <v>274</v>
      </c>
      <c r="H22" s="154" t="s">
        <v>274</v>
      </c>
      <c r="I22" s="154" t="s">
        <v>274</v>
      </c>
      <c r="J22" s="154" t="s">
        <v>274</v>
      </c>
      <c r="K22" s="248">
        <f>C20*(1+K21/100)</f>
        <v>1469.16</v>
      </c>
      <c r="L22" s="248">
        <f>M22-K22</f>
        <v>1404.5000000000002</v>
      </c>
      <c r="M22" s="248">
        <f>E20*(1+M21/100)</f>
        <v>2873.6600000000003</v>
      </c>
      <c r="N22" s="248">
        <f>O22-M22</f>
        <v>1659.9299999999998</v>
      </c>
      <c r="O22" s="248">
        <f>G20*(1+O21/100)</f>
        <v>4533.59</v>
      </c>
      <c r="P22" s="248">
        <f>H20*(1+P21/100)</f>
        <v>1255.8</v>
      </c>
      <c r="Q22" s="248">
        <f>N22+P22</f>
        <v>2915.7299999999996</v>
      </c>
      <c r="R22" s="248">
        <f>M22+Q22</f>
        <v>5789.3899999999994</v>
      </c>
      <c r="S22" s="248">
        <f>R20*(1+S21/100)</f>
        <v>6235.7986942936595</v>
      </c>
      <c r="T22" s="248">
        <f t="shared" ref="T22:AA22" si="15">S20*(1+T21/100)</f>
        <v>6675.0546192129432</v>
      </c>
      <c r="U22" s="248">
        <f t="shared" si="15"/>
        <v>7075.5578963657199</v>
      </c>
      <c r="V22" s="248">
        <f t="shared" si="15"/>
        <v>7500.0913701476638</v>
      </c>
      <c r="W22" s="248">
        <f t="shared" si="15"/>
        <v>7950.0968523565243</v>
      </c>
      <c r="X22" s="248">
        <f t="shared" si="15"/>
        <v>8347.6016949743516</v>
      </c>
      <c r="Y22" s="248">
        <f t="shared" si="15"/>
        <v>8764.9817797230698</v>
      </c>
      <c r="Z22" s="248">
        <f t="shared" si="15"/>
        <v>9203.2308687092245</v>
      </c>
      <c r="AA22" s="248">
        <f t="shared" si="15"/>
        <v>9663.3924121446853</v>
      </c>
    </row>
    <row r="23" spans="2:27" x14ac:dyDescent="0.2">
      <c r="B23" s="35" t="s">
        <v>3</v>
      </c>
      <c r="C23" s="154" t="s">
        <v>274</v>
      </c>
      <c r="D23" s="154" t="s">
        <v>274</v>
      </c>
      <c r="E23" s="154" t="s">
        <v>274</v>
      </c>
      <c r="F23" s="154" t="s">
        <v>274</v>
      </c>
      <c r="G23" s="154" t="s">
        <v>274</v>
      </c>
      <c r="H23" s="154" t="s">
        <v>274</v>
      </c>
      <c r="I23" s="154" t="s">
        <v>274</v>
      </c>
      <c r="J23" s="154" t="s">
        <v>274</v>
      </c>
      <c r="K23" s="261">
        <f>(K20/C20-1)*100</f>
        <v>5.0094310759666083</v>
      </c>
      <c r="L23" s="261">
        <f t="shared" ref="L23:R23" si="16">(L20/D20-1)*100</f>
        <v>5.2815360496306418</v>
      </c>
      <c r="M23" s="261">
        <f t="shared" si="16"/>
        <v>5.1424222563815292</v>
      </c>
      <c r="N23" s="261">
        <f t="shared" si="16"/>
        <v>9.0667839519969817</v>
      </c>
      <c r="O23" s="261">
        <f t="shared" si="16"/>
        <v>6.5558222911960673</v>
      </c>
      <c r="P23" s="261">
        <f t="shared" si="16"/>
        <v>5.2773820588259523</v>
      </c>
      <c r="Q23" s="261">
        <f t="shared" si="16"/>
        <v>7.4017859122348373</v>
      </c>
      <c r="R23" s="261">
        <f t="shared" si="16"/>
        <v>6.2743913105381299</v>
      </c>
      <c r="S23" s="261">
        <f>(S20/R20-1)*100</f>
        <v>8.04451262046606</v>
      </c>
      <c r="T23" s="261">
        <f t="shared" ref="T23:AA23" si="17">(T20/S20-1)*100</f>
        <v>7.0000000000000062</v>
      </c>
      <c r="U23" s="261">
        <f t="shared" si="17"/>
        <v>6.0000000000000053</v>
      </c>
      <c r="V23" s="261">
        <f t="shared" si="17"/>
        <v>6.0000000000000053</v>
      </c>
      <c r="W23" s="261">
        <f t="shared" si="17"/>
        <v>6.0000000000000053</v>
      </c>
      <c r="X23" s="261">
        <f t="shared" si="17"/>
        <v>5.0000000000000044</v>
      </c>
      <c r="Y23" s="261">
        <f t="shared" si="17"/>
        <v>5.0000000000000044</v>
      </c>
      <c r="Z23" s="261">
        <f t="shared" si="17"/>
        <v>5.0000000000000044</v>
      </c>
      <c r="AA23" s="261">
        <f t="shared" si="17"/>
        <v>5.0000000000000044</v>
      </c>
    </row>
    <row r="24" spans="2:27" x14ac:dyDescent="0.2">
      <c r="B24" s="116"/>
      <c r="C24" s="17"/>
      <c r="D24" s="17"/>
      <c r="E24" s="17"/>
      <c r="F24" s="17"/>
      <c r="H24" s="17"/>
    </row>
    <row r="25" spans="2:27" x14ac:dyDescent="0.2">
      <c r="B25" s="101" t="s">
        <v>66</v>
      </c>
      <c r="C25" s="246">
        <v>880</v>
      </c>
      <c r="D25" s="246">
        <v>915</v>
      </c>
      <c r="E25" s="248">
        <f>C25+D25</f>
        <v>1795</v>
      </c>
      <c r="F25" s="246">
        <v>994</v>
      </c>
      <c r="G25" s="248">
        <f>E25+F25</f>
        <v>2789</v>
      </c>
      <c r="H25" s="246">
        <v>1054</v>
      </c>
      <c r="I25" s="248">
        <f>F25+H25</f>
        <v>2048</v>
      </c>
      <c r="J25" s="248">
        <f>C25+D25+F25+H25</f>
        <v>3843</v>
      </c>
      <c r="K25" s="248">
        <f>(K27/(K$7/C$7)*0.6)+(K27*0.4)</f>
        <v>988.15519559766744</v>
      </c>
      <c r="L25" s="248">
        <f>M25-K25</f>
        <v>1051.5813721301365</v>
      </c>
      <c r="M25" s="248">
        <f>(M27/(M$7/E$7)*0.6)+(M27*0.4)</f>
        <v>2039.736567727804</v>
      </c>
      <c r="N25" s="248">
        <f>O25-M25</f>
        <v>1143.9605018628718</v>
      </c>
      <c r="O25" s="248">
        <f>(O27/(O$7/G$7)*0.6)+(O27*0.4)</f>
        <v>3183.6970695906757</v>
      </c>
      <c r="P25" s="248">
        <f>(P27/(P$7/H$7)*0.6)+(P27*0.4)</f>
        <v>1244.24253550705</v>
      </c>
      <c r="Q25" s="248">
        <f>P25+N25</f>
        <v>2388.2030373699217</v>
      </c>
      <c r="R25" s="248">
        <f>Q25+M25</f>
        <v>4427.9396050977257</v>
      </c>
      <c r="S25" s="248">
        <f>(S27/(S$7/R$7)*0.6)+(S27*0.4)</f>
        <v>4954.096992317126</v>
      </c>
      <c r="T25" s="248">
        <f t="shared" ref="T25:AA25" si="18">(T27/(T$7/S$7)*0.6)+(T27*0.4)</f>
        <v>5474.2771765104244</v>
      </c>
      <c r="U25" s="248">
        <f>(U27/(U$7/T$7)*0.6)+(U27*0.4)</f>
        <v>6021.7048941614676</v>
      </c>
      <c r="V25" s="248">
        <f t="shared" si="18"/>
        <v>6503.4412856943854</v>
      </c>
      <c r="W25" s="248">
        <f t="shared" si="18"/>
        <v>6958.682175692993</v>
      </c>
      <c r="X25" s="248">
        <f t="shared" si="18"/>
        <v>7410.996517113037</v>
      </c>
      <c r="Y25" s="248">
        <f t="shared" si="18"/>
        <v>7892.7112907253832</v>
      </c>
      <c r="Z25" s="248">
        <f t="shared" si="18"/>
        <v>8405.7375246225329</v>
      </c>
      <c r="AA25" s="248">
        <f t="shared" si="18"/>
        <v>8910.0817760998852</v>
      </c>
    </row>
    <row r="26" spans="2:27" x14ac:dyDescent="0.2">
      <c r="B26" s="35" t="s">
        <v>2</v>
      </c>
      <c r="C26" s="263">
        <v>36</v>
      </c>
      <c r="D26" s="264">
        <v>32.154531946508186</v>
      </c>
      <c r="E26" s="263">
        <v>34</v>
      </c>
      <c r="F26" s="264">
        <v>31.357868020304558</v>
      </c>
      <c r="G26" s="263">
        <v>33</v>
      </c>
      <c r="H26" s="264">
        <v>40.10920245398777</v>
      </c>
      <c r="I26" s="264">
        <v>35.80723643169059</v>
      </c>
      <c r="J26" s="263">
        <v>35</v>
      </c>
      <c r="K26" s="265">
        <v>22</v>
      </c>
      <c r="L26" s="264">
        <f>(L27-D25)/D25%</f>
        <v>22.9808743169399</v>
      </c>
      <c r="M26" s="265">
        <v>22.5</v>
      </c>
      <c r="N26" s="264">
        <f>(N27/F25-1)*100</f>
        <v>18.852414486921543</v>
      </c>
      <c r="O26" s="266">
        <v>21.2</v>
      </c>
      <c r="P26" s="265">
        <v>21.5</v>
      </c>
      <c r="Q26" s="264">
        <f>(Q27/I25-1)*100</f>
        <v>20.214990234375009</v>
      </c>
      <c r="R26" s="264">
        <f>(R27/J25-1)*100</f>
        <v>21.28227946916472</v>
      </c>
      <c r="S26" s="266">
        <v>12</v>
      </c>
      <c r="T26" s="266">
        <v>10.5</v>
      </c>
      <c r="U26" s="266">
        <v>10</v>
      </c>
      <c r="V26" s="266">
        <v>8</v>
      </c>
      <c r="W26" s="266">
        <v>7</v>
      </c>
      <c r="X26" s="266">
        <v>6.5</v>
      </c>
      <c r="Y26" s="266">
        <v>6.5</v>
      </c>
      <c r="Z26" s="266">
        <v>6.5</v>
      </c>
      <c r="AA26" s="266">
        <v>6</v>
      </c>
    </row>
    <row r="27" spans="2:27" x14ac:dyDescent="0.2">
      <c r="B27" s="2" t="s">
        <v>4</v>
      </c>
      <c r="C27" s="154" t="s">
        <v>274</v>
      </c>
      <c r="D27" s="154" t="s">
        <v>274</v>
      </c>
      <c r="E27" s="154" t="s">
        <v>274</v>
      </c>
      <c r="F27" s="154" t="s">
        <v>274</v>
      </c>
      <c r="G27" s="154" t="s">
        <v>274</v>
      </c>
      <c r="H27" s="154" t="s">
        <v>274</v>
      </c>
      <c r="I27" s="154" t="s">
        <v>274</v>
      </c>
      <c r="J27" s="154" t="s">
        <v>274</v>
      </c>
      <c r="K27" s="248">
        <f>C25*(1+K26/100)</f>
        <v>1073.5999999999999</v>
      </c>
      <c r="L27" s="248">
        <f>M27-K27</f>
        <v>1125.2750000000001</v>
      </c>
      <c r="M27" s="248">
        <f>E25*(1+M26/100)</f>
        <v>2198.875</v>
      </c>
      <c r="N27" s="248">
        <f>O27-M27</f>
        <v>1181.393</v>
      </c>
      <c r="O27" s="248">
        <f>G25*(1+O26/100)</f>
        <v>3380.268</v>
      </c>
      <c r="P27" s="248">
        <f>H25*(1+P26/100)</f>
        <v>1280.6100000000001</v>
      </c>
      <c r="Q27" s="248">
        <f>N27+P27</f>
        <v>2462.0030000000002</v>
      </c>
      <c r="R27" s="248">
        <f>M27+Q27</f>
        <v>4660.8780000000006</v>
      </c>
      <c r="S27" s="248">
        <f>R25*(1+S26/100)</f>
        <v>4959.2923577094534</v>
      </c>
      <c r="T27" s="248">
        <f t="shared" ref="T27" si="19">S25*(1+T26/100)</f>
        <v>5474.2771765104244</v>
      </c>
      <c r="U27" s="248">
        <f t="shared" ref="U27" si="20">T25*(1+U26/100)</f>
        <v>6021.7048941614676</v>
      </c>
      <c r="V27" s="248">
        <f t="shared" ref="V27" si="21">U25*(1+V26/100)</f>
        <v>6503.4412856943854</v>
      </c>
      <c r="W27" s="248">
        <f t="shared" ref="W27" si="22">V25*(1+W26/100)</f>
        <v>6958.682175692993</v>
      </c>
      <c r="X27" s="248">
        <f t="shared" ref="X27" si="23">W25*(1+X26/100)</f>
        <v>7410.996517113037</v>
      </c>
      <c r="Y27" s="248">
        <f t="shared" ref="Y27" si="24">X25*(1+Y26/100)</f>
        <v>7892.7112907253841</v>
      </c>
      <c r="Z27" s="248">
        <f t="shared" ref="Z27" si="25">Y25*(1+Z26/100)</f>
        <v>8405.7375246225329</v>
      </c>
      <c r="AA27" s="248">
        <f t="shared" ref="AA27" si="26">Z25*(1+AA26/100)</f>
        <v>8910.0817760998852</v>
      </c>
    </row>
    <row r="28" spans="2:27" x14ac:dyDescent="0.2">
      <c r="B28" s="35" t="s">
        <v>3</v>
      </c>
      <c r="C28" s="154" t="s">
        <v>274</v>
      </c>
      <c r="D28" s="154" t="s">
        <v>274</v>
      </c>
      <c r="E28" s="154" t="s">
        <v>274</v>
      </c>
      <c r="F28" s="154" t="s">
        <v>274</v>
      </c>
      <c r="G28" s="154" t="s">
        <v>274</v>
      </c>
      <c r="H28" s="154" t="s">
        <v>274</v>
      </c>
      <c r="I28" s="154" t="s">
        <v>274</v>
      </c>
      <c r="J28" s="154" t="s">
        <v>274</v>
      </c>
      <c r="K28" s="261">
        <f>(K25/C25-1)*100</f>
        <v>12.29036313609857</v>
      </c>
      <c r="L28" s="261">
        <f t="shared" ref="L28" si="27">(L25/D25-1)*100</f>
        <v>14.926925915861911</v>
      </c>
      <c r="M28" s="261">
        <f t="shared" ref="M28" si="28">(M25/E25-1)*100</f>
        <v>13.63434917703643</v>
      </c>
      <c r="N28" s="261">
        <f t="shared" ref="N28" si="29">(N25/F25-1)*100</f>
        <v>15.086569603910638</v>
      </c>
      <c r="O28" s="261">
        <f t="shared" ref="O28" si="30">(O25/G25-1)*100</f>
        <v>14.151920745452706</v>
      </c>
      <c r="P28" s="261">
        <f t="shared" ref="P28" si="31">(P25/H25-1)*100</f>
        <v>18.049576423818792</v>
      </c>
      <c r="Q28" s="261">
        <f t="shared" ref="Q28" si="32">(Q25/I25-1)*100</f>
        <v>16.61147643407821</v>
      </c>
      <c r="R28" s="261">
        <f t="shared" ref="R28" si="33">(R25/J25-1)*100</f>
        <v>15.220910879462025</v>
      </c>
      <c r="S28" s="261">
        <f>(S25/R25-1)*100</f>
        <v>11.882668557937293</v>
      </c>
      <c r="T28" s="261">
        <f t="shared" ref="T28:AA28" si="34">(T25/S25-1)*100</f>
        <v>10.499999999999998</v>
      </c>
      <c r="U28" s="261">
        <f t="shared" si="34"/>
        <v>10.000000000000009</v>
      </c>
      <c r="V28" s="261">
        <f t="shared" si="34"/>
        <v>8.0000000000000071</v>
      </c>
      <c r="W28" s="261">
        <f t="shared" si="34"/>
        <v>7.0000000000000062</v>
      </c>
      <c r="X28" s="261">
        <f t="shared" si="34"/>
        <v>6.4999999999999947</v>
      </c>
      <c r="Y28" s="261">
        <f t="shared" si="34"/>
        <v>6.4999999999999725</v>
      </c>
      <c r="Z28" s="261">
        <f t="shared" si="34"/>
        <v>6.4999999999999947</v>
      </c>
      <c r="AA28" s="261">
        <f t="shared" si="34"/>
        <v>6.0000000000000053</v>
      </c>
    </row>
    <row r="29" spans="2:27" x14ac:dyDescent="0.2">
      <c r="B29" s="116"/>
      <c r="C29" s="17"/>
      <c r="D29" s="17"/>
      <c r="E29" s="17"/>
      <c r="F29" s="17"/>
      <c r="H29" s="17"/>
    </row>
    <row r="30" spans="2:27" x14ac:dyDescent="0.2">
      <c r="B30" s="101" t="s">
        <v>476</v>
      </c>
      <c r="C30" s="246">
        <v>1649</v>
      </c>
      <c r="D30" s="246">
        <v>1412</v>
      </c>
      <c r="E30" s="248">
        <f>C30+D30</f>
        <v>3061</v>
      </c>
      <c r="F30" s="246">
        <v>1584</v>
      </c>
      <c r="G30" s="248">
        <f>E30+F30</f>
        <v>4645</v>
      </c>
      <c r="H30" s="246">
        <v>1421</v>
      </c>
      <c r="I30" s="248">
        <f>F30+H30</f>
        <v>3005</v>
      </c>
      <c r="J30" s="248">
        <f>C30+D30+F30+H30</f>
        <v>6066</v>
      </c>
      <c r="K30" s="248">
        <f>(K32/(K$14/C$14)*0.75)+(K32/(K$8/C$8)*0.25)</f>
        <v>1767.5816418932664</v>
      </c>
      <c r="L30" s="248">
        <f>M30-K30</f>
        <v>1549.8516186921115</v>
      </c>
      <c r="M30" s="248">
        <f>(M32/(M$14/E$14)*0.75)+(M32/(M$8/E$8)*0.25)</f>
        <v>3317.4332605853779</v>
      </c>
      <c r="N30" s="248">
        <f>O30-M30</f>
        <v>1794.1457392343818</v>
      </c>
      <c r="O30" s="248">
        <f t="shared" ref="O30:P30" si="35">(O32/(O$14/G$14)*0.75)+(O32/(O$8/G$8)*0.25)</f>
        <v>5111.5789998197597</v>
      </c>
      <c r="P30" s="248">
        <f t="shared" si="35"/>
        <v>1596.0477253748011</v>
      </c>
      <c r="Q30" s="248">
        <f>P30+N30</f>
        <v>3390.1934646091831</v>
      </c>
      <c r="R30" s="248">
        <f>Q30+M30</f>
        <v>6707.626725194561</v>
      </c>
      <c r="S30" s="248">
        <f>(S32/(S$14/R$14)*0.75)+(S32/(S$8/R$8)*0.25)</f>
        <v>7521.4622482043142</v>
      </c>
      <c r="T30" s="248">
        <f t="shared" ref="T30:AA30" si="36">(T32/(T$14/S$14)*0.75)+(T32/(T$8/S$8)*0.25)</f>
        <v>8273.6084730247458</v>
      </c>
      <c r="U30" s="248">
        <f t="shared" si="36"/>
        <v>8935.4971508667259</v>
      </c>
      <c r="V30" s="248">
        <f t="shared" si="36"/>
        <v>9650.3369229360651</v>
      </c>
      <c r="W30" s="248">
        <f t="shared" si="36"/>
        <v>10422.363876770951</v>
      </c>
      <c r="X30" s="248">
        <f t="shared" si="36"/>
        <v>11151.929348144919</v>
      </c>
      <c r="Y30" s="248">
        <f t="shared" si="36"/>
        <v>11932.564402515063</v>
      </c>
      <c r="Z30" s="248">
        <f t="shared" si="36"/>
        <v>12767.843910691119</v>
      </c>
      <c r="AA30" s="248">
        <f t="shared" si="36"/>
        <v>13661.592984439498</v>
      </c>
    </row>
    <row r="31" spans="2:27" x14ac:dyDescent="0.2">
      <c r="B31" s="35" t="s">
        <v>2</v>
      </c>
      <c r="C31" s="261">
        <v>21.919672528805336</v>
      </c>
      <c r="D31" s="261">
        <v>18.407351415497608</v>
      </c>
      <c r="E31" s="261">
        <v>20.239431558314276</v>
      </c>
      <c r="F31" s="261">
        <v>18.846749133595388</v>
      </c>
      <c r="G31" s="261">
        <v>19.63724434876211</v>
      </c>
      <c r="H31" s="261">
        <v>26.079343294962118</v>
      </c>
      <c r="I31" s="261">
        <v>22.240176309595196</v>
      </c>
      <c r="J31" s="261">
        <v>21.241447411803495</v>
      </c>
      <c r="K31" s="265">
        <v>15</v>
      </c>
      <c r="L31" s="264">
        <f>(L32-D30)/D30%</f>
        <v>13.91607648725215</v>
      </c>
      <c r="M31" s="265">
        <v>14.5</v>
      </c>
      <c r="N31" s="264">
        <f>(N32/F30-1)*100</f>
        <v>13.033775252525249</v>
      </c>
      <c r="O31" s="266">
        <v>14</v>
      </c>
      <c r="P31" s="265">
        <v>12</v>
      </c>
      <c r="Q31" s="264">
        <f>(Q32/I30-1)*100</f>
        <v>12.544925124792016</v>
      </c>
      <c r="R31" s="264">
        <f>(R32/J30-1)*100</f>
        <v>13.531486976590834</v>
      </c>
      <c r="S31" s="266">
        <v>12</v>
      </c>
      <c r="T31" s="266">
        <v>10</v>
      </c>
      <c r="U31" s="266">
        <v>8</v>
      </c>
      <c r="V31" s="266">
        <v>8</v>
      </c>
      <c r="W31" s="266">
        <v>8</v>
      </c>
      <c r="X31" s="266">
        <v>7</v>
      </c>
      <c r="Y31" s="266">
        <v>7</v>
      </c>
      <c r="Z31" s="266">
        <v>7</v>
      </c>
      <c r="AA31" s="266">
        <v>7</v>
      </c>
    </row>
    <row r="32" spans="2:27" x14ac:dyDescent="0.2">
      <c r="B32" s="2" t="s">
        <v>4</v>
      </c>
      <c r="C32" s="154" t="s">
        <v>274</v>
      </c>
      <c r="D32" s="154" t="s">
        <v>274</v>
      </c>
      <c r="E32" s="154" t="s">
        <v>274</v>
      </c>
      <c r="F32" s="154" t="s">
        <v>274</v>
      </c>
      <c r="G32" s="154" t="s">
        <v>274</v>
      </c>
      <c r="H32" s="154" t="s">
        <v>274</v>
      </c>
      <c r="I32" s="154" t="s">
        <v>274</v>
      </c>
      <c r="J32" s="154" t="s">
        <v>274</v>
      </c>
      <c r="K32" s="248">
        <f>C30*(1+K31/100)</f>
        <v>1896.35</v>
      </c>
      <c r="L32" s="248">
        <f>M32-K32</f>
        <v>1608.4950000000003</v>
      </c>
      <c r="M32" s="248">
        <f>E30*(1+M31/100)</f>
        <v>3504.8450000000003</v>
      </c>
      <c r="N32" s="248">
        <f>O32-M32</f>
        <v>1790.4549999999999</v>
      </c>
      <c r="O32" s="248">
        <f>G30*(1+O31/100)</f>
        <v>5295.3</v>
      </c>
      <c r="P32" s="248">
        <f>H30*(1+P31/100)</f>
        <v>1591.5200000000002</v>
      </c>
      <c r="Q32" s="248">
        <f>N32+P32</f>
        <v>3381.9750000000004</v>
      </c>
      <c r="R32" s="248">
        <f>M32+Q32</f>
        <v>6886.8200000000006</v>
      </c>
      <c r="S32" s="248">
        <f>R30*(1+S31/100)</f>
        <v>7512.5419322179087</v>
      </c>
      <c r="T32" s="248">
        <f t="shared" ref="T32" si="37">S30*(1+T31/100)</f>
        <v>8273.6084730247458</v>
      </c>
      <c r="U32" s="248">
        <f t="shared" ref="U32" si="38">T30*(1+U31/100)</f>
        <v>8935.4971508667259</v>
      </c>
      <c r="V32" s="248">
        <f t="shared" ref="V32" si="39">U30*(1+V31/100)</f>
        <v>9650.3369229360651</v>
      </c>
      <c r="W32" s="248">
        <f t="shared" ref="W32" si="40">V30*(1+W31/100)</f>
        <v>10422.363876770951</v>
      </c>
      <c r="X32" s="248">
        <f t="shared" ref="X32" si="41">W30*(1+X31/100)</f>
        <v>11151.929348144919</v>
      </c>
      <c r="Y32" s="248">
        <f t="shared" ref="Y32" si="42">X30*(1+Y31/100)</f>
        <v>11932.564402515063</v>
      </c>
      <c r="Z32" s="248">
        <f t="shared" ref="Z32" si="43">Y30*(1+Z31/100)</f>
        <v>12767.843910691119</v>
      </c>
      <c r="AA32" s="248">
        <f t="shared" ref="AA32" si="44">Z30*(1+AA31/100)</f>
        <v>13661.592984439498</v>
      </c>
    </row>
    <row r="33" spans="2:27" x14ac:dyDescent="0.2">
      <c r="B33" s="35" t="s">
        <v>3</v>
      </c>
      <c r="C33" s="154" t="s">
        <v>274</v>
      </c>
      <c r="D33" s="154" t="s">
        <v>274</v>
      </c>
      <c r="E33" s="154" t="s">
        <v>274</v>
      </c>
      <c r="F33" s="154" t="s">
        <v>274</v>
      </c>
      <c r="G33" s="154" t="s">
        <v>274</v>
      </c>
      <c r="H33" s="154" t="s">
        <v>274</v>
      </c>
      <c r="I33" s="154" t="s">
        <v>274</v>
      </c>
      <c r="J33" s="154" t="s">
        <v>274</v>
      </c>
      <c r="K33" s="261">
        <f>(K30/C30-1)*100</f>
        <v>7.1911244325813417</v>
      </c>
      <c r="L33" s="261">
        <f t="shared" ref="L33" si="45">(L30/D30-1)*100</f>
        <v>9.7628625136056293</v>
      </c>
      <c r="M33" s="261">
        <f t="shared" ref="M33" si="46">(M30/E30-1)*100</f>
        <v>8.3774341909630188</v>
      </c>
      <c r="N33" s="261">
        <f t="shared" ref="N33" si="47">(N30/F30-1)*100</f>
        <v>13.266776466817042</v>
      </c>
      <c r="O33" s="261">
        <f t="shared" ref="O33" si="48">(O30/G30-1)*100</f>
        <v>10.044757800210103</v>
      </c>
      <c r="P33" s="261">
        <f t="shared" ref="P33" si="49">(P30/H30-1)*100</f>
        <v>12.318629512653146</v>
      </c>
      <c r="Q33" s="261">
        <f t="shared" ref="Q33" si="50">(Q30/I30-1)*100</f>
        <v>12.818418123433716</v>
      </c>
      <c r="R33" s="261">
        <f t="shared" ref="R33" si="51">(R30/J30-1)*100</f>
        <v>10.577427055630739</v>
      </c>
      <c r="S33" s="261">
        <f>(S30/R30-1)*100</f>
        <v>12.132987662430583</v>
      </c>
      <c r="T33" s="261">
        <f t="shared" ref="T33:AA33" si="52">(T30/S30-1)*100</f>
        <v>10.000000000000009</v>
      </c>
      <c r="U33" s="261">
        <f t="shared" si="52"/>
        <v>8.0000000000000071</v>
      </c>
      <c r="V33" s="261">
        <f t="shared" si="52"/>
        <v>8.0000000000000071</v>
      </c>
      <c r="W33" s="261">
        <f t="shared" si="52"/>
        <v>8.0000000000000071</v>
      </c>
      <c r="X33" s="261">
        <f t="shared" si="52"/>
        <v>7.0000000000000062</v>
      </c>
      <c r="Y33" s="261">
        <f t="shared" si="52"/>
        <v>7.0000000000000062</v>
      </c>
      <c r="Z33" s="261">
        <f t="shared" si="52"/>
        <v>7.0000000000000062</v>
      </c>
      <c r="AA33" s="261">
        <f t="shared" si="52"/>
        <v>7.0000000000000062</v>
      </c>
    </row>
    <row r="34" spans="2:27" x14ac:dyDescent="0.2">
      <c r="B34" s="116"/>
      <c r="C34" s="17"/>
      <c r="D34" s="17"/>
      <c r="E34" s="17"/>
      <c r="F34" s="17"/>
      <c r="H34" s="17"/>
    </row>
    <row r="35" spans="2:27" x14ac:dyDescent="0.2">
      <c r="B35" s="101" t="s">
        <v>111</v>
      </c>
      <c r="C35" s="246">
        <v>397</v>
      </c>
      <c r="D35" s="246">
        <v>387</v>
      </c>
      <c r="E35" s="248">
        <f>C35+D35</f>
        <v>784</v>
      </c>
      <c r="F35" s="246">
        <v>441</v>
      </c>
      <c r="G35" s="248">
        <f>E35+F35</f>
        <v>1225</v>
      </c>
      <c r="H35" s="246">
        <v>447</v>
      </c>
      <c r="I35" s="248">
        <f>F35+H35</f>
        <v>888</v>
      </c>
      <c r="J35" s="248">
        <f>C35+D35+F35+H35</f>
        <v>1672</v>
      </c>
      <c r="K35" s="248">
        <f>(K37/(K$15/C$15)*0.8)+K37*0.2</f>
        <v>313.46123700500334</v>
      </c>
      <c r="L35" s="248">
        <f>M35-K35</f>
        <v>307.56798969214174</v>
      </c>
      <c r="M35" s="248">
        <f>(M37/(M$15/E$15)*0.8)+M37*0.2</f>
        <v>621.02922669714508</v>
      </c>
      <c r="N35" s="248">
        <f>O35-M35</f>
        <v>391.56984604763113</v>
      </c>
      <c r="O35" s="248">
        <f>(O37/(O$15/G$15)*0.8)+O37*0.2</f>
        <v>1012.5990727447762</v>
      </c>
      <c r="P35" s="248">
        <f>(P37/(P$15/H$15)*0.8)+P37*0.2</f>
        <v>405.78128589692807</v>
      </c>
      <c r="Q35" s="248">
        <f>P35+N35</f>
        <v>797.35113194455926</v>
      </c>
      <c r="R35" s="248">
        <f>Q35+M35</f>
        <v>1418.3803586417043</v>
      </c>
      <c r="S35" s="248">
        <f>(S37/(S$15/R$15)*0.8)+S37*0.2</f>
        <v>1522.9581361668249</v>
      </c>
      <c r="T35" s="248">
        <f t="shared" ref="T35:AA35" si="53">(T37/(T$15/S$15)*0.8)+T37*0.2</f>
        <v>1614.3356243368348</v>
      </c>
      <c r="U35" s="248">
        <f t="shared" si="53"/>
        <v>1695.0524055536766</v>
      </c>
      <c r="V35" s="248">
        <f t="shared" si="53"/>
        <v>1779.8050258313606</v>
      </c>
      <c r="W35" s="248">
        <f t="shared" si="53"/>
        <v>1868.7952771229288</v>
      </c>
      <c r="X35" s="248">
        <f t="shared" si="53"/>
        <v>1962.2350409790756</v>
      </c>
      <c r="Y35" s="248">
        <f t="shared" si="53"/>
        <v>2060.3467930280294</v>
      </c>
      <c r="Z35" s="248">
        <f t="shared" si="53"/>
        <v>2163.3641326794309</v>
      </c>
      <c r="AA35" s="248">
        <f t="shared" si="53"/>
        <v>2271.5323393134026</v>
      </c>
    </row>
    <row r="36" spans="2:27" x14ac:dyDescent="0.2">
      <c r="B36" s="35" t="s">
        <v>2</v>
      </c>
      <c r="C36" s="263">
        <v>7</v>
      </c>
      <c r="D36" s="264">
        <v>13.181818181818217</v>
      </c>
      <c r="E36" s="263">
        <v>10</v>
      </c>
      <c r="F36" s="264">
        <v>9.9999999999999645</v>
      </c>
      <c r="G36" s="263">
        <v>10</v>
      </c>
      <c r="H36" s="264">
        <v>17.39024390243906</v>
      </c>
      <c r="I36" s="264">
        <v>13.628742514970069</v>
      </c>
      <c r="J36" s="263">
        <v>12</v>
      </c>
      <c r="K36" s="265">
        <v>5</v>
      </c>
      <c r="L36" s="264">
        <f>(L37-D35)/D35%</f>
        <v>5.0000000000000053</v>
      </c>
      <c r="M36" s="265">
        <v>5</v>
      </c>
      <c r="N36" s="264">
        <f>(N37/F35-1)*100</f>
        <v>4.9999999999999822</v>
      </c>
      <c r="O36" s="266">
        <v>5</v>
      </c>
      <c r="P36" s="265">
        <v>5</v>
      </c>
      <c r="Q36" s="264">
        <f>(Q37/I35-1)*100</f>
        <v>5.0000000000000044</v>
      </c>
      <c r="R36" s="264">
        <f>(R37/J35-1)*100</f>
        <v>5.0000000000000044</v>
      </c>
      <c r="S36" s="266">
        <v>8</v>
      </c>
      <c r="T36" s="266">
        <v>6</v>
      </c>
      <c r="U36" s="266">
        <v>5</v>
      </c>
      <c r="V36" s="266">
        <v>5</v>
      </c>
      <c r="W36" s="266">
        <v>5</v>
      </c>
      <c r="X36" s="266">
        <v>5</v>
      </c>
      <c r="Y36" s="266">
        <v>5</v>
      </c>
      <c r="Z36" s="266">
        <v>5</v>
      </c>
      <c r="AA36" s="266">
        <v>5</v>
      </c>
    </row>
    <row r="37" spans="2:27" x14ac:dyDescent="0.2">
      <c r="B37" s="2" t="s">
        <v>4</v>
      </c>
      <c r="C37" s="154" t="s">
        <v>274</v>
      </c>
      <c r="D37" s="154" t="s">
        <v>274</v>
      </c>
      <c r="E37" s="154" t="s">
        <v>274</v>
      </c>
      <c r="F37" s="154" t="s">
        <v>274</v>
      </c>
      <c r="G37" s="154" t="s">
        <v>274</v>
      </c>
      <c r="H37" s="154" t="s">
        <v>274</v>
      </c>
      <c r="I37" s="154" t="s">
        <v>274</v>
      </c>
      <c r="J37" s="154" t="s">
        <v>274</v>
      </c>
      <c r="K37" s="248">
        <f>C35*(1+K36/100)</f>
        <v>416.85</v>
      </c>
      <c r="L37" s="248">
        <f>M37-K37</f>
        <v>406.35</v>
      </c>
      <c r="M37" s="248">
        <f>E35*(1+M36/100)</f>
        <v>823.2</v>
      </c>
      <c r="N37" s="248">
        <f>O37-M37</f>
        <v>463.04999999999995</v>
      </c>
      <c r="O37" s="248">
        <f>G35*(1+O36/100)</f>
        <v>1286.25</v>
      </c>
      <c r="P37" s="248">
        <f>H35*(1+P36/100)</f>
        <v>469.35</v>
      </c>
      <c r="Q37" s="248">
        <f>N37+P37</f>
        <v>932.4</v>
      </c>
      <c r="R37" s="248">
        <f>M37+Q37</f>
        <v>1755.6</v>
      </c>
      <c r="S37" s="248">
        <f>R35*(1+S36/100)</f>
        <v>1531.8507873330407</v>
      </c>
      <c r="T37" s="248">
        <f t="shared" ref="T37" si="54">S35*(1+T36/100)</f>
        <v>1614.3356243368346</v>
      </c>
      <c r="U37" s="248">
        <f t="shared" ref="U37" si="55">T35*(1+U36/100)</f>
        <v>1695.0524055536766</v>
      </c>
      <c r="V37" s="248">
        <f t="shared" ref="V37" si="56">U35*(1+V36/100)</f>
        <v>1779.8050258313606</v>
      </c>
      <c r="W37" s="248">
        <f t="shared" ref="W37" si="57">V35*(1+W36/100)</f>
        <v>1868.7952771229286</v>
      </c>
      <c r="X37" s="248">
        <f t="shared" ref="X37" si="58">W35*(1+X36/100)</f>
        <v>1962.2350409790754</v>
      </c>
      <c r="Y37" s="248">
        <f t="shared" ref="Y37" si="59">X35*(1+Y36/100)</f>
        <v>2060.3467930280294</v>
      </c>
      <c r="Z37" s="248">
        <f t="shared" ref="Z37" si="60">Y35*(1+Z36/100)</f>
        <v>2163.3641326794309</v>
      </c>
      <c r="AA37" s="248">
        <f t="shared" ref="AA37" si="61">Z35*(1+AA36/100)</f>
        <v>2271.5323393134026</v>
      </c>
    </row>
    <row r="38" spans="2:27" x14ac:dyDescent="0.2">
      <c r="B38" s="35" t="s">
        <v>3</v>
      </c>
      <c r="C38" s="154" t="s">
        <v>274</v>
      </c>
      <c r="D38" s="154" t="s">
        <v>274</v>
      </c>
      <c r="E38" s="154" t="s">
        <v>274</v>
      </c>
      <c r="F38" s="154" t="s">
        <v>274</v>
      </c>
      <c r="G38" s="154" t="s">
        <v>274</v>
      </c>
      <c r="H38" s="154" t="s">
        <v>274</v>
      </c>
      <c r="I38" s="154" t="s">
        <v>274</v>
      </c>
      <c r="J38" s="154" t="s">
        <v>274</v>
      </c>
      <c r="K38" s="261">
        <f>(K35/C35-1)*100</f>
        <v>-21.042509570528122</v>
      </c>
      <c r="L38" s="261">
        <f t="shared" ref="L38" si="62">(L35/D35-1)*100</f>
        <v>-20.525067263012474</v>
      </c>
      <c r="M38" s="261">
        <f t="shared" ref="M38" si="63">(M35/E35-1)*100</f>
        <v>-20.787088431486602</v>
      </c>
      <c r="N38" s="261">
        <f t="shared" ref="N38" si="64">(N35/F35-1)*100</f>
        <v>-11.208651689879567</v>
      </c>
      <c r="O38" s="261">
        <f t="shared" ref="O38" si="65">(O35/G35-1)*100</f>
        <v>-17.338851204508067</v>
      </c>
      <c r="P38" s="261">
        <f t="shared" ref="P38" si="66">(P35/H35-1)*100</f>
        <v>-9.2211888373762712</v>
      </c>
      <c r="Q38" s="261">
        <f t="shared" ref="Q38" si="67">(Q35/I35-1)*100</f>
        <v>-10.208205862099184</v>
      </c>
      <c r="R38" s="261">
        <f t="shared" ref="R38" si="68">(R35/J35-1)*100</f>
        <v>-15.168638837218641</v>
      </c>
      <c r="S38" s="261">
        <f>(S35/R35-1)*100</f>
        <v>7.3730418563655364</v>
      </c>
      <c r="T38" s="261">
        <f t="shared" ref="T38:AA38" si="69">(T35/S35-1)*100</f>
        <v>6.0000000000000275</v>
      </c>
      <c r="U38" s="261">
        <f t="shared" si="69"/>
        <v>5.0000000000000044</v>
      </c>
      <c r="V38" s="261">
        <f t="shared" si="69"/>
        <v>5.0000000000000044</v>
      </c>
      <c r="W38" s="261">
        <f t="shared" si="69"/>
        <v>5.0000000000000044</v>
      </c>
      <c r="X38" s="261">
        <f t="shared" si="69"/>
        <v>5.0000000000000266</v>
      </c>
      <c r="Y38" s="261">
        <f t="shared" si="69"/>
        <v>5.0000000000000044</v>
      </c>
      <c r="Z38" s="261">
        <f t="shared" si="69"/>
        <v>5.0000000000000044</v>
      </c>
      <c r="AA38" s="261">
        <f t="shared" si="69"/>
        <v>5.0000000000000044</v>
      </c>
    </row>
    <row r="39" spans="2:27" x14ac:dyDescent="0.2">
      <c r="B39" s="116"/>
      <c r="C39" s="17"/>
      <c r="D39" s="17"/>
      <c r="E39" s="17"/>
      <c r="F39" s="17"/>
      <c r="H39" s="17"/>
    </row>
    <row r="40" spans="2:27" x14ac:dyDescent="0.2">
      <c r="B40" s="101" t="s">
        <v>234</v>
      </c>
      <c r="C40" s="246">
        <v>330</v>
      </c>
      <c r="D40" s="246">
        <v>240</v>
      </c>
      <c r="E40" s="248">
        <f>C40+D40</f>
        <v>570</v>
      </c>
      <c r="F40" s="246">
        <v>329</v>
      </c>
      <c r="G40" s="248">
        <f>E40+F40</f>
        <v>899</v>
      </c>
      <c r="H40" s="246">
        <v>254</v>
      </c>
      <c r="I40" s="248">
        <f>F40+H40</f>
        <v>583</v>
      </c>
      <c r="J40" s="248">
        <f>C40+D40+F40+H40</f>
        <v>1153</v>
      </c>
      <c r="K40" s="248">
        <f>((K42)/(K$7/C$7))*0.6+(((K42)/(K$10/C$10)))*0.2+(K42*0.2)</f>
        <v>300.8801348759531</v>
      </c>
      <c r="L40" s="248">
        <f>M40-K40</f>
        <v>224.41518012177403</v>
      </c>
      <c r="M40" s="248">
        <f>((M42)/(M$7/E$7))*0.6+(((M42)/(M$10/E$10)))*0.2+(M42*0.2)</f>
        <v>525.29531499772713</v>
      </c>
      <c r="N40" s="248">
        <f>O40-M40</f>
        <v>328.87623764060083</v>
      </c>
      <c r="O40" s="248">
        <f t="shared" ref="O40:P40" si="70">((O42)/(O$7/G$7))*0.6+(((O42)/(O$10/G$10)))*0.2+(O42*0.2)</f>
        <v>854.17155263832797</v>
      </c>
      <c r="P40" s="248">
        <f t="shared" si="70"/>
        <v>251.71249399623707</v>
      </c>
      <c r="Q40" s="248">
        <f>P40+N40</f>
        <v>580.58873163683791</v>
      </c>
      <c r="R40" s="248">
        <f>Q40+M40</f>
        <v>1105.884046634565</v>
      </c>
      <c r="S40" s="248">
        <f>((S42)/(S$7/R$7))*0.6+(((S42)/(S$10/R$10)))*0.2+(S42*0.2)</f>
        <v>1181.6428609492996</v>
      </c>
      <c r="T40" s="248">
        <f t="shared" ref="T40:AA40" si="71">((T42)/(T$7/S$7))*0.6+(((T42)/(T$10/S$10)))*0.2+(T42*0.2)</f>
        <v>1252.5414326062576</v>
      </c>
      <c r="U40" s="248">
        <f t="shared" si="71"/>
        <v>1315.1685042365705</v>
      </c>
      <c r="V40" s="248">
        <f t="shared" si="71"/>
        <v>1380.9269294483991</v>
      </c>
      <c r="W40" s="248">
        <f t="shared" si="71"/>
        <v>1449.9732759208191</v>
      </c>
      <c r="X40" s="248">
        <f t="shared" si="71"/>
        <v>1522.4719397168601</v>
      </c>
      <c r="Y40" s="248">
        <f t="shared" si="71"/>
        <v>1598.5955367027032</v>
      </c>
      <c r="Z40" s="248">
        <f t="shared" si="71"/>
        <v>1678.5253135378384</v>
      </c>
      <c r="AA40" s="248">
        <f t="shared" si="71"/>
        <v>1762.4515792147304</v>
      </c>
    </row>
    <row r="41" spans="2:27" x14ac:dyDescent="0.2">
      <c r="B41" s="35" t="s">
        <v>2</v>
      </c>
      <c r="C41" s="261">
        <v>7.0306258322237021</v>
      </c>
      <c r="D41" s="261">
        <v>6.5753424657534199</v>
      </c>
      <c r="E41" s="261">
        <v>6.8314606741573032</v>
      </c>
      <c r="F41" s="261">
        <v>1.4088153081140702</v>
      </c>
      <c r="G41" s="261">
        <v>4.8239024390243905</v>
      </c>
      <c r="H41" s="261">
        <v>5.0524412296564032</v>
      </c>
      <c r="I41" s="261">
        <v>2.9798463010886813</v>
      </c>
      <c r="J41" s="261">
        <v>4.8724548597771804</v>
      </c>
      <c r="K41" s="265">
        <v>2</v>
      </c>
      <c r="L41" s="264">
        <f>(L42-D40)/D40%</f>
        <v>1.9999999999999811</v>
      </c>
      <c r="M41" s="265">
        <v>2</v>
      </c>
      <c r="N41" s="264">
        <f>(N42/F40-1)*100</f>
        <v>4.7325227963525895</v>
      </c>
      <c r="O41" s="266">
        <v>3</v>
      </c>
      <c r="P41" s="265">
        <v>3</v>
      </c>
      <c r="Q41" s="264">
        <f>(Q42/I40-1)*100</f>
        <v>3.9777015437392871</v>
      </c>
      <c r="R41" s="264">
        <f>(R42/J40-1)*100</f>
        <v>3.0000000000000027</v>
      </c>
      <c r="S41" s="266">
        <v>7</v>
      </c>
      <c r="T41" s="266">
        <v>6</v>
      </c>
      <c r="U41" s="266">
        <v>5</v>
      </c>
      <c r="V41" s="266">
        <v>5</v>
      </c>
      <c r="W41" s="266">
        <v>5</v>
      </c>
      <c r="X41" s="266">
        <v>5</v>
      </c>
      <c r="Y41" s="266">
        <v>5</v>
      </c>
      <c r="Z41" s="266">
        <v>5</v>
      </c>
      <c r="AA41" s="266">
        <v>5</v>
      </c>
    </row>
    <row r="42" spans="2:27" x14ac:dyDescent="0.2">
      <c r="B42" s="2" t="s">
        <v>4</v>
      </c>
      <c r="C42" s="154" t="s">
        <v>274</v>
      </c>
      <c r="D42" s="154" t="s">
        <v>274</v>
      </c>
      <c r="E42" s="154" t="s">
        <v>274</v>
      </c>
      <c r="F42" s="154" t="s">
        <v>274</v>
      </c>
      <c r="G42" s="154" t="s">
        <v>274</v>
      </c>
      <c r="H42" s="154" t="s">
        <v>274</v>
      </c>
      <c r="I42" s="154" t="s">
        <v>274</v>
      </c>
      <c r="J42" s="154" t="s">
        <v>274</v>
      </c>
      <c r="K42" s="248">
        <f>C40*(1+K41/100)</f>
        <v>336.6</v>
      </c>
      <c r="L42" s="248">
        <f>M42-K42</f>
        <v>244.79999999999995</v>
      </c>
      <c r="M42" s="248">
        <f>E40*(1+M41/100)</f>
        <v>581.4</v>
      </c>
      <c r="N42" s="248">
        <f>O42-M42</f>
        <v>344.57000000000005</v>
      </c>
      <c r="O42" s="248">
        <f>G40*(1+O41/100)</f>
        <v>925.97</v>
      </c>
      <c r="P42" s="248">
        <f>H40*(1+P41/100)</f>
        <v>261.62</v>
      </c>
      <c r="Q42" s="248">
        <f>N42+P42</f>
        <v>606.19000000000005</v>
      </c>
      <c r="R42" s="248">
        <f>M42+Q42</f>
        <v>1187.5900000000001</v>
      </c>
      <c r="S42" s="248">
        <f>R40*(1+S41/100)</f>
        <v>1183.2959298989847</v>
      </c>
      <c r="T42" s="248">
        <f t="shared" ref="T42" si="72">S40*(1+T41/100)</f>
        <v>1252.5414326062576</v>
      </c>
      <c r="U42" s="248">
        <f t="shared" ref="U42" si="73">T40*(1+U41/100)</f>
        <v>1315.1685042365705</v>
      </c>
      <c r="V42" s="248">
        <f t="shared" ref="V42" si="74">U40*(1+V41/100)</f>
        <v>1380.9269294483991</v>
      </c>
      <c r="W42" s="248">
        <f t="shared" ref="W42" si="75">V40*(1+W41/100)</f>
        <v>1449.9732759208191</v>
      </c>
      <c r="X42" s="248">
        <f t="shared" ref="X42" si="76">W40*(1+X41/100)</f>
        <v>1522.4719397168601</v>
      </c>
      <c r="Y42" s="248">
        <f t="shared" ref="Y42" si="77">X40*(1+Y41/100)</f>
        <v>1598.5955367027032</v>
      </c>
      <c r="Z42" s="248">
        <f t="shared" ref="Z42" si="78">Y40*(1+Z41/100)</f>
        <v>1678.5253135378384</v>
      </c>
      <c r="AA42" s="248">
        <f t="shared" ref="AA42" si="79">Z40*(1+AA41/100)</f>
        <v>1762.4515792147304</v>
      </c>
    </row>
    <row r="43" spans="2:27" x14ac:dyDescent="0.2">
      <c r="B43" s="35" t="s">
        <v>3</v>
      </c>
      <c r="C43" s="154" t="s">
        <v>274</v>
      </c>
      <c r="D43" s="154" t="s">
        <v>274</v>
      </c>
      <c r="E43" s="154" t="s">
        <v>274</v>
      </c>
      <c r="F43" s="154" t="s">
        <v>274</v>
      </c>
      <c r="G43" s="154" t="s">
        <v>274</v>
      </c>
      <c r="H43" s="154" t="s">
        <v>274</v>
      </c>
      <c r="I43" s="154" t="s">
        <v>274</v>
      </c>
      <c r="J43" s="154" t="s">
        <v>274</v>
      </c>
      <c r="K43" s="261">
        <f>(K40/C40-1)*100</f>
        <v>-8.824201552741485</v>
      </c>
      <c r="L43" s="261">
        <f t="shared" ref="L43" si="80">(L40/D40-1)*100</f>
        <v>-6.4936749492608197</v>
      </c>
      <c r="M43" s="261">
        <f t="shared" ref="M43" si="81">(M40/E40-1)*100</f>
        <v>-7.8429271933811995</v>
      </c>
      <c r="N43" s="261">
        <f t="shared" ref="N43" si="82">(N40/F40-1)*100</f>
        <v>-3.7617738419204461E-2</v>
      </c>
      <c r="O43" s="261">
        <f t="shared" ref="O43" si="83">(O40/G40-1)*100</f>
        <v>-4.9864791281059029</v>
      </c>
      <c r="P43" s="261">
        <f t="shared" ref="P43" si="84">(P40/H40-1)*100</f>
        <v>-0.90059291486729309</v>
      </c>
      <c r="Q43" s="261">
        <f t="shared" ref="Q43" si="85">(Q40/I40-1)*100</f>
        <v>-0.41359663176022687</v>
      </c>
      <c r="R43" s="261">
        <f t="shared" ref="R43" si="86">(R40/J40-1)*100</f>
        <v>-4.0863793031600153</v>
      </c>
      <c r="S43" s="261">
        <f>(S40/R40-1)*100</f>
        <v>6.8505205898651278</v>
      </c>
      <c r="T43" s="261">
        <f t="shared" ref="T43:AA43" si="87">(T40/S40-1)*100</f>
        <v>6.0000000000000053</v>
      </c>
      <c r="U43" s="261">
        <f t="shared" si="87"/>
        <v>5.0000000000000044</v>
      </c>
      <c r="V43" s="261">
        <f t="shared" si="87"/>
        <v>5.0000000000000044</v>
      </c>
      <c r="W43" s="261">
        <f t="shared" si="87"/>
        <v>5.0000000000000044</v>
      </c>
      <c r="X43" s="261">
        <f t="shared" si="87"/>
        <v>5.0000000000000044</v>
      </c>
      <c r="Y43" s="261">
        <f t="shared" si="87"/>
        <v>5.0000000000000044</v>
      </c>
      <c r="Z43" s="261">
        <f t="shared" si="87"/>
        <v>5.0000000000000044</v>
      </c>
      <c r="AA43" s="261">
        <f t="shared" si="87"/>
        <v>5.0000000000000044</v>
      </c>
    </row>
    <row r="44" spans="2:27" x14ac:dyDescent="0.2">
      <c r="B44" s="116"/>
      <c r="C44" s="17"/>
      <c r="D44" s="17"/>
      <c r="E44" s="17"/>
      <c r="F44" s="17"/>
      <c r="H44" s="17"/>
    </row>
    <row r="45" spans="2:27" x14ac:dyDescent="0.2">
      <c r="B45" s="101" t="s">
        <v>422</v>
      </c>
      <c r="C45" s="246">
        <v>116</v>
      </c>
      <c r="D45" s="246">
        <v>135</v>
      </c>
      <c r="E45" s="248">
        <f>C45+D45</f>
        <v>251</v>
      </c>
      <c r="F45" s="246">
        <v>125</v>
      </c>
      <c r="G45" s="248">
        <f>E45+F45</f>
        <v>376</v>
      </c>
      <c r="H45" s="246">
        <v>103</v>
      </c>
      <c r="I45" s="248">
        <f>F45+H45</f>
        <v>228</v>
      </c>
      <c r="J45" s="248">
        <f>C45+D45+F45+H45</f>
        <v>479</v>
      </c>
      <c r="K45" s="248">
        <f>(((K47)/(K$12/C$12)))</f>
        <v>103.7028182987309</v>
      </c>
      <c r="L45" s="248">
        <f>M45-K45</f>
        <v>115.22930833782328</v>
      </c>
      <c r="M45" s="248">
        <f>(((M47)/(M$12/E$12)))</f>
        <v>218.93212663655419</v>
      </c>
      <c r="N45" s="248">
        <f>O45-M45</f>
        <v>115.14986236706886</v>
      </c>
      <c r="O45" s="248">
        <f>(((O47)/(O$12/G$12)))</f>
        <v>334.08198900362305</v>
      </c>
      <c r="P45" s="248">
        <f>(((P47)/(P$12/H$12)))</f>
        <v>94.636251436059155</v>
      </c>
      <c r="Q45" s="248">
        <f>P45+N45</f>
        <v>209.78611380312802</v>
      </c>
      <c r="R45" s="248">
        <f>Q45+M45</f>
        <v>428.71824043968218</v>
      </c>
      <c r="S45" s="248">
        <f>(((S47)/(S$12/R$12)))</f>
        <v>433.4750855025261</v>
      </c>
      <c r="T45" s="248">
        <f t="shared" ref="T45:AA45" si="88">(((T47)/(T$12/S$12)))</f>
        <v>446.47933806760187</v>
      </c>
      <c r="U45" s="248">
        <f t="shared" si="88"/>
        <v>459.87371820962994</v>
      </c>
      <c r="V45" s="248">
        <f t="shared" si="88"/>
        <v>473.66992975591887</v>
      </c>
      <c r="W45" s="248">
        <f t="shared" si="88"/>
        <v>487.88002764859647</v>
      </c>
      <c r="X45" s="248">
        <f t="shared" si="88"/>
        <v>502.51642847805437</v>
      </c>
      <c r="Y45" s="248">
        <f t="shared" si="88"/>
        <v>517.59192133239605</v>
      </c>
      <c r="Z45" s="248">
        <f t="shared" si="88"/>
        <v>533.11967897236798</v>
      </c>
      <c r="AA45" s="248">
        <f t="shared" si="88"/>
        <v>549.11326934153908</v>
      </c>
    </row>
    <row r="46" spans="2:27" x14ac:dyDescent="0.2">
      <c r="B46" s="35" t="s">
        <v>2</v>
      </c>
      <c r="C46" s="263">
        <v>-15</v>
      </c>
      <c r="D46" s="264">
        <v>-13.196969696969687</v>
      </c>
      <c r="E46" s="263">
        <v>-14</v>
      </c>
      <c r="F46" s="264">
        <v>-19.216216216216221</v>
      </c>
      <c r="G46" s="263">
        <v>-16</v>
      </c>
      <c r="H46" s="264">
        <v>-16.000000000000014</v>
      </c>
      <c r="I46" s="264">
        <v>-17.724637681159429</v>
      </c>
      <c r="J46" s="263">
        <v>-16</v>
      </c>
      <c r="K46" s="265">
        <v>0</v>
      </c>
      <c r="L46" s="264">
        <f>(L47-D45)/D45%</f>
        <v>1.4874074074074146</v>
      </c>
      <c r="M46" s="265">
        <v>0.8</v>
      </c>
      <c r="N46" s="264">
        <f>(N47/F45-1)*100</f>
        <v>-0.102400000000058</v>
      </c>
      <c r="O46" s="266">
        <v>0.5</v>
      </c>
      <c r="P46" s="265">
        <v>0.5</v>
      </c>
      <c r="Q46" s="264">
        <f>(Q47-I45)/I45%</f>
        <v>0.16973684210522597</v>
      </c>
      <c r="R46" s="264">
        <f>(R47/J45-1)*100</f>
        <v>0.49999999999998934</v>
      </c>
      <c r="S46" s="266">
        <v>3</v>
      </c>
      <c r="T46" s="266">
        <v>3</v>
      </c>
      <c r="U46" s="266">
        <v>3</v>
      </c>
      <c r="V46" s="266">
        <v>3</v>
      </c>
      <c r="W46" s="266">
        <v>3</v>
      </c>
      <c r="X46" s="266">
        <v>3</v>
      </c>
      <c r="Y46" s="266">
        <v>3</v>
      </c>
      <c r="Z46" s="266">
        <v>3</v>
      </c>
      <c r="AA46" s="266">
        <v>3</v>
      </c>
    </row>
    <row r="47" spans="2:27" x14ac:dyDescent="0.2">
      <c r="B47" s="2" t="s">
        <v>4</v>
      </c>
      <c r="C47" s="154" t="s">
        <v>274</v>
      </c>
      <c r="D47" s="154" t="s">
        <v>274</v>
      </c>
      <c r="E47" s="154" t="s">
        <v>274</v>
      </c>
      <c r="F47" s="154" t="s">
        <v>274</v>
      </c>
      <c r="G47" s="154" t="s">
        <v>274</v>
      </c>
      <c r="H47" s="154" t="s">
        <v>274</v>
      </c>
      <c r="I47" s="154" t="s">
        <v>274</v>
      </c>
      <c r="J47" s="154" t="s">
        <v>274</v>
      </c>
      <c r="K47" s="248">
        <f>C45*(1+K46/100)</f>
        <v>116</v>
      </c>
      <c r="L47" s="248">
        <f>M47-K47</f>
        <v>137.00800000000001</v>
      </c>
      <c r="M47" s="248">
        <f>E45*(1+M46/100)</f>
        <v>253.00800000000001</v>
      </c>
      <c r="N47" s="248">
        <f>O47-M47</f>
        <v>124.87199999999993</v>
      </c>
      <c r="O47" s="248">
        <f>G45*(1+O46/100)</f>
        <v>377.87999999999994</v>
      </c>
      <c r="P47" s="248">
        <f>H45*(1+P46/100)</f>
        <v>103.51499999999999</v>
      </c>
      <c r="Q47" s="248">
        <f>N47+P47</f>
        <v>228.38699999999992</v>
      </c>
      <c r="R47" s="248">
        <f>M47+Q47</f>
        <v>481.39499999999992</v>
      </c>
      <c r="S47" s="248">
        <f>R45*(1+S46/100)</f>
        <v>441.57978765287265</v>
      </c>
      <c r="T47" s="248">
        <f t="shared" ref="T47" si="89">S45*(1+T46/100)</f>
        <v>446.47933806760187</v>
      </c>
      <c r="U47" s="248">
        <f t="shared" ref="U47" si="90">T45*(1+U46/100)</f>
        <v>459.87371820962994</v>
      </c>
      <c r="V47" s="248">
        <f t="shared" ref="V47" si="91">U45*(1+V46/100)</f>
        <v>473.66992975591887</v>
      </c>
      <c r="W47" s="248">
        <f t="shared" ref="W47" si="92">V45*(1+W46/100)</f>
        <v>487.88002764859647</v>
      </c>
      <c r="X47" s="248">
        <f t="shared" ref="X47" si="93">W45*(1+X46/100)</f>
        <v>502.51642847805437</v>
      </c>
      <c r="Y47" s="248">
        <f t="shared" ref="Y47" si="94">X45*(1+Y46/100)</f>
        <v>517.59192133239605</v>
      </c>
      <c r="Z47" s="248">
        <f t="shared" ref="Z47" si="95">Y45*(1+Z46/100)</f>
        <v>533.11967897236798</v>
      </c>
      <c r="AA47" s="248">
        <f t="shared" ref="AA47" si="96">Z45*(1+AA46/100)</f>
        <v>549.11326934153908</v>
      </c>
    </row>
    <row r="48" spans="2:27" x14ac:dyDescent="0.2">
      <c r="B48" s="35" t="s">
        <v>3</v>
      </c>
      <c r="C48" s="154" t="s">
        <v>274</v>
      </c>
      <c r="D48" s="154" t="s">
        <v>274</v>
      </c>
      <c r="E48" s="154" t="s">
        <v>274</v>
      </c>
      <c r="F48" s="154" t="s">
        <v>274</v>
      </c>
      <c r="G48" s="154" t="s">
        <v>274</v>
      </c>
      <c r="H48" s="154" t="s">
        <v>274</v>
      </c>
      <c r="I48" s="154" t="s">
        <v>274</v>
      </c>
      <c r="J48" s="154" t="s">
        <v>274</v>
      </c>
      <c r="K48" s="261">
        <f>(K45/C45-1)*100</f>
        <v>-10.601018707990594</v>
      </c>
      <c r="L48" s="261">
        <f t="shared" ref="L48" si="97">(L45/D45-1)*100</f>
        <v>-14.64495678679757</v>
      </c>
      <c r="M48" s="261">
        <f t="shared" ref="M48" si="98">(M45/E45-1)*100</f>
        <v>-12.776045164719452</v>
      </c>
      <c r="N48" s="261">
        <f t="shared" ref="N48" si="99">(N45/F45-1)*100</f>
        <v>-7.8801101063449064</v>
      </c>
      <c r="O48" s="261">
        <f t="shared" ref="O48" si="100">(O45/G45-1)*100</f>
        <v>-11.148407179887487</v>
      </c>
      <c r="P48" s="261">
        <f t="shared" ref="P48" si="101">(P45/H45-1)*100</f>
        <v>-8.1201442368357686</v>
      </c>
      <c r="Q48" s="261">
        <f t="shared" ref="Q48" si="102">(Q45/I45-1)*100</f>
        <v>-7.9885465775754287</v>
      </c>
      <c r="R48" s="261">
        <f t="shared" ref="R48" si="103">(R45/J45-1)*100</f>
        <v>-10.497235816350281</v>
      </c>
      <c r="S48" s="261">
        <f>(S45/R45-1)*100</f>
        <v>1.1095504259313493</v>
      </c>
      <c r="T48" s="261">
        <f t="shared" ref="T48:AA48" si="104">(T45/S45-1)*100</f>
        <v>3.0000000000000027</v>
      </c>
      <c r="U48" s="261">
        <f t="shared" si="104"/>
        <v>3.0000000000000027</v>
      </c>
      <c r="V48" s="261">
        <f t="shared" si="104"/>
        <v>3.0000000000000027</v>
      </c>
      <c r="W48" s="261">
        <f t="shared" si="104"/>
        <v>3.0000000000000027</v>
      </c>
      <c r="X48" s="261">
        <f t="shared" si="104"/>
        <v>3.0000000000000027</v>
      </c>
      <c r="Y48" s="261">
        <f t="shared" si="104"/>
        <v>3.0000000000000027</v>
      </c>
      <c r="Z48" s="261">
        <f t="shared" si="104"/>
        <v>3.0000000000000027</v>
      </c>
      <c r="AA48" s="261">
        <f t="shared" si="104"/>
        <v>3.0000000000000027</v>
      </c>
    </row>
    <row r="49" spans="2:27" x14ac:dyDescent="0.2">
      <c r="E49" s="224"/>
    </row>
    <row r="50" spans="2:27" x14ac:dyDescent="0.2">
      <c r="B50" s="61" t="s">
        <v>450</v>
      </c>
      <c r="C50" s="247">
        <f>C20+C25+C30+C35+C40+C45</f>
        <v>4758</v>
      </c>
      <c r="D50" s="247">
        <f t="shared" ref="D50:I50" si="105">D20+D25+D30+D35+D40+D45</f>
        <v>4414</v>
      </c>
      <c r="E50" s="247">
        <f t="shared" si="105"/>
        <v>9172</v>
      </c>
      <c r="F50" s="247">
        <f t="shared" si="105"/>
        <v>4999</v>
      </c>
      <c r="G50" s="247">
        <f t="shared" si="105"/>
        <v>14171</v>
      </c>
      <c r="H50" s="247">
        <f t="shared" si="105"/>
        <v>4475</v>
      </c>
      <c r="I50" s="247">
        <f t="shared" si="105"/>
        <v>9474</v>
      </c>
      <c r="J50" s="247">
        <f>J20+J25+J30+J35+J40+J45</f>
        <v>18646</v>
      </c>
      <c r="K50" s="247">
        <f t="shared" ref="K50:AA50" si="106">K20+K25+K30+K35+K40+K45</f>
        <v>4929.2117423835189</v>
      </c>
      <c r="L50" s="247">
        <f t="shared" si="106"/>
        <v>4643.6258216315937</v>
      </c>
      <c r="M50" s="247">
        <f t="shared" si="106"/>
        <v>9572.8375640151116</v>
      </c>
      <c r="N50" s="247">
        <f t="shared" si="106"/>
        <v>5438.0613102600282</v>
      </c>
      <c r="O50" s="247">
        <f t="shared" si="106"/>
        <v>15010.898874275141</v>
      </c>
      <c r="P50" s="247">
        <f t="shared" si="106"/>
        <v>4851.5377816346336</v>
      </c>
      <c r="Q50" s="247">
        <f t="shared" si="106"/>
        <v>10289.599091894661</v>
      </c>
      <c r="R50" s="247">
        <f t="shared" si="106"/>
        <v>19862.436655909773</v>
      </c>
      <c r="S50" s="247">
        <f t="shared" si="106"/>
        <v>21852.004126142841</v>
      </c>
      <c r="T50" s="247">
        <f t="shared" si="106"/>
        <v>23736.296663758807</v>
      </c>
      <c r="U50" s="247">
        <f t="shared" si="106"/>
        <v>25502.854569393792</v>
      </c>
      <c r="V50" s="247">
        <f t="shared" si="106"/>
        <v>27288.271463813791</v>
      </c>
      <c r="W50" s="247">
        <f t="shared" si="106"/>
        <v>29137.791485512811</v>
      </c>
      <c r="X50" s="247">
        <f t="shared" si="106"/>
        <v>30897.750969406297</v>
      </c>
      <c r="Y50" s="247">
        <f t="shared" si="106"/>
        <v>32766.791724026647</v>
      </c>
      <c r="Z50" s="247">
        <f t="shared" si="106"/>
        <v>34751.821429212512</v>
      </c>
      <c r="AA50" s="247">
        <f t="shared" si="106"/>
        <v>36818.164360553739</v>
      </c>
    </row>
    <row r="51" spans="2:27" x14ac:dyDescent="0.2">
      <c r="B51" s="105" t="s">
        <v>2</v>
      </c>
      <c r="C51" s="263">
        <v>17.600000000000001</v>
      </c>
      <c r="D51" s="261">
        <v>20.310581140350887</v>
      </c>
      <c r="E51" s="261">
        <v>19.103325884054168</v>
      </c>
      <c r="F51" s="261">
        <v>13.054018445322804</v>
      </c>
      <c r="G51" s="261">
        <v>16.83800674286654</v>
      </c>
      <c r="H51" s="263">
        <v>21.9</v>
      </c>
      <c r="I51" s="261">
        <v>18.318055308817449</v>
      </c>
      <c r="J51" s="263">
        <v>18.100000000000001</v>
      </c>
      <c r="K51" s="261">
        <f>(K52-C50)/C50%</f>
        <v>11.571248423707468</v>
      </c>
      <c r="L51" s="261">
        <f t="shared" ref="L51:N51" si="107">(L52-D50)/D50%</f>
        <v>11.609152695967394</v>
      </c>
      <c r="M51" s="261">
        <f>(M52-E50)/E50%</f>
        <v>11.58948975141737</v>
      </c>
      <c r="N51" s="261">
        <f t="shared" si="107"/>
        <v>11.30766153230647</v>
      </c>
      <c r="O51" s="261">
        <f>(O52-G50)/G50%</f>
        <v>11.490071272316689</v>
      </c>
      <c r="P51" s="261">
        <f>(P52-H50)/H50%</f>
        <v>10.89195530726259</v>
      </c>
      <c r="Q51" s="261">
        <f t="shared" ref="Q51" si="108">(Q52-I50)/I50%</f>
        <v>11.111304623179242</v>
      </c>
      <c r="R51" s="261">
        <f>(R52-J50)/J50%</f>
        <v>11.346524723801345</v>
      </c>
      <c r="S51" s="261">
        <f t="shared" ref="S51:AA51" si="109">(S52-R50)/R50%</f>
        <v>10.078938792237794</v>
      </c>
      <c r="T51" s="261">
        <f t="shared" si="109"/>
        <v>8.6229735576595257</v>
      </c>
      <c r="U51" s="261">
        <f t="shared" si="109"/>
        <v>7.4424327040545109</v>
      </c>
      <c r="V51" s="261">
        <f t="shared" si="109"/>
        <v>7.0008511775097295</v>
      </c>
      <c r="W51" s="261">
        <f t="shared" si="109"/>
        <v>6.7777104319400223</v>
      </c>
      <c r="X51" s="261">
        <f t="shared" si="109"/>
        <v>6.0401265647347735</v>
      </c>
      <c r="Y51" s="261">
        <f t="shared" si="109"/>
        <v>6.0491158611220541</v>
      </c>
      <c r="Z51" s="261">
        <f t="shared" si="109"/>
        <v>6.058053293421211</v>
      </c>
      <c r="AA51" s="261">
        <f t="shared" si="109"/>
        <v>5.9459989328911886</v>
      </c>
    </row>
    <row r="52" spans="2:27" x14ac:dyDescent="0.2">
      <c r="B52" s="91" t="s">
        <v>308</v>
      </c>
      <c r="C52" s="254">
        <v>4671.26</v>
      </c>
      <c r="D52" s="254">
        <v>4388.93</v>
      </c>
      <c r="E52" s="254">
        <v>9060.19</v>
      </c>
      <c r="F52" s="254">
        <v>5148.4800000000005</v>
      </c>
      <c r="G52" s="254">
        <v>14208.67</v>
      </c>
      <c r="H52" s="254">
        <v>4841.7049999999999</v>
      </c>
      <c r="I52" s="254">
        <v>9990.1850000000013</v>
      </c>
      <c r="J52" s="254">
        <v>19050.375</v>
      </c>
      <c r="K52" s="254">
        <f>K22+K27+K32+K37+K42+K47</f>
        <v>5308.5600000000013</v>
      </c>
      <c r="L52" s="254">
        <f t="shared" ref="L52:AA52" si="110">L22+L27+L32+L37+L42+L47</f>
        <v>4926.4280000000008</v>
      </c>
      <c r="M52" s="254">
        <f t="shared" si="110"/>
        <v>10234.988000000001</v>
      </c>
      <c r="N52" s="254">
        <f t="shared" si="110"/>
        <v>5564.27</v>
      </c>
      <c r="O52" s="254">
        <f t="shared" si="110"/>
        <v>15799.257999999998</v>
      </c>
      <c r="P52" s="254">
        <f t="shared" si="110"/>
        <v>4962.4150000000009</v>
      </c>
      <c r="Q52" s="254">
        <f t="shared" si="110"/>
        <v>10526.685000000001</v>
      </c>
      <c r="R52" s="254">
        <f t="shared" si="110"/>
        <v>20761.672999999999</v>
      </c>
      <c r="S52" s="254">
        <f t="shared" si="110"/>
        <v>21864.359489105922</v>
      </c>
      <c r="T52" s="254">
        <f t="shared" si="110"/>
        <v>23736.296663758807</v>
      </c>
      <c r="U52" s="254">
        <f t="shared" si="110"/>
        <v>25502.854569393792</v>
      </c>
      <c r="V52" s="254">
        <f t="shared" si="110"/>
        <v>27288.271463813791</v>
      </c>
      <c r="W52" s="254">
        <f t="shared" si="110"/>
        <v>29137.791485512811</v>
      </c>
      <c r="X52" s="254">
        <f t="shared" si="110"/>
        <v>30897.750969406297</v>
      </c>
      <c r="Y52" s="254">
        <f t="shared" si="110"/>
        <v>32766.791724026647</v>
      </c>
      <c r="Z52" s="254">
        <f t="shared" si="110"/>
        <v>34751.821429212512</v>
      </c>
      <c r="AA52" s="254">
        <f t="shared" si="110"/>
        <v>36818.164360553739</v>
      </c>
    </row>
    <row r="53" spans="2:27" x14ac:dyDescent="0.2">
      <c r="B53" s="106" t="s">
        <v>3</v>
      </c>
      <c r="C53" s="262">
        <v>20.181864107097748</v>
      </c>
      <c r="D53" s="262">
        <v>20.997807017543863</v>
      </c>
      <c r="E53" s="262">
        <v>20.573156303404762</v>
      </c>
      <c r="F53" s="262">
        <v>9.7935880544576204</v>
      </c>
      <c r="G53" s="262">
        <v>16.536469040374968</v>
      </c>
      <c r="H53" s="262">
        <v>15.053348759480652</v>
      </c>
      <c r="I53" s="262">
        <v>12.2164978977912</v>
      </c>
      <c r="J53" s="262">
        <v>16.177066135011369</v>
      </c>
      <c r="K53" s="262">
        <f>(K50-C50)/C50%</f>
        <v>3.5983972758200689</v>
      </c>
      <c r="L53" s="262">
        <f t="shared" ref="L53:R53" si="111">(L50-D50)/D50%</f>
        <v>5.2022161674579444</v>
      </c>
      <c r="M53" s="262">
        <f t="shared" si="111"/>
        <v>4.3702307459126866</v>
      </c>
      <c r="N53" s="262">
        <f t="shared" si="111"/>
        <v>8.7829828017609159</v>
      </c>
      <c r="O53" s="262">
        <f t="shared" si="111"/>
        <v>5.9268850065284084</v>
      </c>
      <c r="P53" s="262">
        <f t="shared" si="111"/>
        <v>8.4142521035672306</v>
      </c>
      <c r="Q53" s="262">
        <f t="shared" si="111"/>
        <v>8.6088145650692525</v>
      </c>
      <c r="R53" s="262">
        <f t="shared" si="111"/>
        <v>6.523847773837673</v>
      </c>
      <c r="S53" s="262">
        <f>(S50-R50)/R50%</f>
        <v>10.016734123308595</v>
      </c>
      <c r="T53" s="262">
        <f t="shared" ref="T53:AA53" si="112">(T50-S50)/S50%</f>
        <v>8.6229735576595257</v>
      </c>
      <c r="U53" s="262">
        <f t="shared" si="112"/>
        <v>7.4424327040545109</v>
      </c>
      <c r="V53" s="262">
        <f t="shared" si="112"/>
        <v>7.0008511775097295</v>
      </c>
      <c r="W53" s="262">
        <f t="shared" si="112"/>
        <v>6.7777104319400223</v>
      </c>
      <c r="X53" s="262">
        <f t="shared" si="112"/>
        <v>6.0401265647347735</v>
      </c>
      <c r="Y53" s="262">
        <f t="shared" si="112"/>
        <v>6.0491158611220541</v>
      </c>
      <c r="Z53" s="262">
        <f t="shared" si="112"/>
        <v>6.058053293421211</v>
      </c>
      <c r="AA53" s="262">
        <f t="shared" si="112"/>
        <v>5.9459989328911886</v>
      </c>
    </row>
    <row r="55" spans="2:27" x14ac:dyDescent="0.2">
      <c r="B55" s="142" t="s">
        <v>423</v>
      </c>
      <c r="C55" s="173" t="str">
        <f>C$3</f>
        <v>Q117</v>
      </c>
      <c r="D55" s="173" t="str">
        <f t="shared" ref="D55:AA55" si="113">D$3</f>
        <v>Q217</v>
      </c>
      <c r="E55" s="173" t="str">
        <f t="shared" si="113"/>
        <v>H117</v>
      </c>
      <c r="F55" s="173" t="str">
        <f t="shared" si="113"/>
        <v>Q317</v>
      </c>
      <c r="G55" s="173" t="str">
        <f t="shared" si="113"/>
        <v>9M17</v>
      </c>
      <c r="H55" s="173" t="str">
        <f t="shared" si="113"/>
        <v>Q417</v>
      </c>
      <c r="I55" s="173" t="str">
        <f t="shared" si="113"/>
        <v>2H17</v>
      </c>
      <c r="J55" s="249">
        <f t="shared" si="113"/>
        <v>2017</v>
      </c>
      <c r="K55" s="173" t="str">
        <f t="shared" si="113"/>
        <v>Q118e</v>
      </c>
      <c r="L55" s="173" t="str">
        <f t="shared" si="113"/>
        <v>Q218e</v>
      </c>
      <c r="M55" s="173" t="str">
        <f t="shared" si="113"/>
        <v>H118e</v>
      </c>
      <c r="N55" s="173" t="str">
        <f t="shared" si="113"/>
        <v>Q318e</v>
      </c>
      <c r="O55" s="173" t="str">
        <f t="shared" si="113"/>
        <v>9M18e</v>
      </c>
      <c r="P55" s="173" t="str">
        <f t="shared" si="113"/>
        <v>Q418e</v>
      </c>
      <c r="Q55" s="173" t="str">
        <f t="shared" si="113"/>
        <v>2H18e</v>
      </c>
      <c r="R55" s="173">
        <f t="shared" si="113"/>
        <v>2018</v>
      </c>
      <c r="S55" s="173">
        <f t="shared" si="113"/>
        <v>2019</v>
      </c>
      <c r="T55" s="173">
        <f t="shared" si="113"/>
        <v>2020</v>
      </c>
      <c r="U55" s="173">
        <f t="shared" si="113"/>
        <v>2021</v>
      </c>
      <c r="V55" s="173">
        <f t="shared" si="113"/>
        <v>2022</v>
      </c>
      <c r="W55" s="173">
        <f t="shared" si="113"/>
        <v>2023</v>
      </c>
      <c r="X55" s="173">
        <f t="shared" si="113"/>
        <v>2024</v>
      </c>
      <c r="Y55" s="173">
        <f t="shared" si="113"/>
        <v>2025</v>
      </c>
      <c r="Z55" s="173">
        <f t="shared" si="113"/>
        <v>2026</v>
      </c>
      <c r="AA55" s="173">
        <f t="shared" si="113"/>
        <v>2027</v>
      </c>
    </row>
    <row r="56" spans="2:27" x14ac:dyDescent="0.2">
      <c r="B56" s="101" t="s">
        <v>222</v>
      </c>
      <c r="C56" s="246">
        <v>150</v>
      </c>
      <c r="D56" s="246">
        <v>107</v>
      </c>
      <c r="E56" s="248">
        <f>C56+D56</f>
        <v>257</v>
      </c>
      <c r="F56" s="246">
        <v>145</v>
      </c>
      <c r="G56" s="248">
        <f>E56+F56</f>
        <v>402</v>
      </c>
      <c r="H56" s="246">
        <v>96</v>
      </c>
      <c r="I56" s="248">
        <f>F56+H56</f>
        <v>241</v>
      </c>
      <c r="J56" s="248">
        <f>C56+D56+F56+H56</f>
        <v>498</v>
      </c>
      <c r="K56" s="248">
        <f>(((K58)/(K$11/C$11))*0.05+(((K58)/(K$13/C$13)))*0.1)+K58*0.85</f>
        <v>159.41947528004033</v>
      </c>
      <c r="L56" s="248">
        <f>M56-K56</f>
        <v>118.95929790030391</v>
      </c>
      <c r="M56" s="248">
        <f>(((M58)/(M$11/E$11))*0.05+(((M58)/(M$13/E$13)))*0.1)+M58*0.85</f>
        <v>278.37877318034424</v>
      </c>
      <c r="N56" s="248">
        <f>O56-M56</f>
        <v>158.04125072711884</v>
      </c>
      <c r="O56" s="248">
        <f>(((O58)/(O$11/G$11))*0.05+(((O58)/(O$13/G$13)))*0.1)+O58*0.85</f>
        <v>436.42002390746308</v>
      </c>
      <c r="P56" s="248">
        <f>(((P58)/(P$11/H$11))*0.05+(((P58)/(P$13/H$13)))*0.1)+P58*0.85</f>
        <v>105.65881662422727</v>
      </c>
      <c r="Q56" s="248">
        <f>P56+N56</f>
        <v>263.70006735134609</v>
      </c>
      <c r="R56" s="248">
        <f>Q56+M56</f>
        <v>542.07884053169028</v>
      </c>
      <c r="S56" s="248">
        <f t="shared" ref="S56:AA56" si="114">(((S58)/(S$11/R$11))*0.05+(((S58)/(S$13/R$13)))*0.1)+S58*0.85</f>
        <v>585.45285220303685</v>
      </c>
      <c r="T56" s="248">
        <f t="shared" si="114"/>
        <v>620.58002333521915</v>
      </c>
      <c r="U56" s="248">
        <f t="shared" si="114"/>
        <v>645.40322426862781</v>
      </c>
      <c r="V56" s="248">
        <f t="shared" si="114"/>
        <v>667.9923371180297</v>
      </c>
      <c r="W56" s="248">
        <f t="shared" si="114"/>
        <v>691.37206891716073</v>
      </c>
      <c r="X56" s="248">
        <f t="shared" si="114"/>
        <v>715.57009132926134</v>
      </c>
      <c r="Y56" s="248">
        <f t="shared" si="114"/>
        <v>740.61504452578538</v>
      </c>
      <c r="Z56" s="248">
        <f t="shared" si="114"/>
        <v>766.53657108418781</v>
      </c>
      <c r="AA56" s="248">
        <f t="shared" si="114"/>
        <v>793.36535107213433</v>
      </c>
    </row>
    <row r="57" spans="2:27" x14ac:dyDescent="0.2">
      <c r="B57" s="35" t="s">
        <v>2</v>
      </c>
      <c r="C57" s="263">
        <v>25</v>
      </c>
      <c r="D57" s="264">
        <v>32.537500000000037</v>
      </c>
      <c r="E57" s="263">
        <v>28</v>
      </c>
      <c r="F57" s="264">
        <v>22.621848739495753</v>
      </c>
      <c r="G57" s="263">
        <v>26</v>
      </c>
      <c r="H57" s="264">
        <v>16.195121951219548</v>
      </c>
      <c r="I57" s="264">
        <v>19.999999999999996</v>
      </c>
      <c r="J57" s="263">
        <v>24</v>
      </c>
      <c r="K57" s="265">
        <v>7</v>
      </c>
      <c r="L57" s="264">
        <f>(L58-D56)/D56%</f>
        <v>11.803738317757004</v>
      </c>
      <c r="M57" s="265">
        <v>9</v>
      </c>
      <c r="N57" s="264">
        <f>(N58/F56-1)*100</f>
        <v>9.0000000000000071</v>
      </c>
      <c r="O57" s="266">
        <v>9</v>
      </c>
      <c r="P57" s="265">
        <v>10</v>
      </c>
      <c r="Q57" s="264">
        <f t="shared" ref="Q57:R57" si="115">(Q58-I56)/I56%</f>
        <v>9.3983402489626684</v>
      </c>
      <c r="R57" s="264">
        <f t="shared" si="115"/>
        <v>9.1927710843373429</v>
      </c>
      <c r="S57" s="266">
        <v>8</v>
      </c>
      <c r="T57" s="266">
        <v>6</v>
      </c>
      <c r="U57" s="266">
        <v>4</v>
      </c>
      <c r="V57" s="266">
        <v>3.5</v>
      </c>
      <c r="W57" s="266">
        <v>3.5</v>
      </c>
      <c r="X57" s="266">
        <v>3.5</v>
      </c>
      <c r="Y57" s="266">
        <v>3.5</v>
      </c>
      <c r="Z57" s="266">
        <v>3.5</v>
      </c>
      <c r="AA57" s="266">
        <v>3.5</v>
      </c>
    </row>
    <row r="58" spans="2:27" x14ac:dyDescent="0.2">
      <c r="B58" s="2" t="s">
        <v>4</v>
      </c>
      <c r="C58" s="154" t="s">
        <v>274</v>
      </c>
      <c r="D58" s="154" t="s">
        <v>274</v>
      </c>
      <c r="E58" s="154" t="s">
        <v>274</v>
      </c>
      <c r="F58" s="154" t="s">
        <v>274</v>
      </c>
      <c r="G58" s="154" t="s">
        <v>274</v>
      </c>
      <c r="H58" s="154" t="s">
        <v>274</v>
      </c>
      <c r="I58" s="154" t="s">
        <v>274</v>
      </c>
      <c r="J58" s="154" t="s">
        <v>274</v>
      </c>
      <c r="K58" s="248">
        <f>C56*(1+K57/100)</f>
        <v>160.5</v>
      </c>
      <c r="L58" s="248">
        <f>M58-K58</f>
        <v>119.63</v>
      </c>
      <c r="M58" s="248">
        <f>E56*(1+M57/100)</f>
        <v>280.13</v>
      </c>
      <c r="N58" s="248">
        <f>O58-M58</f>
        <v>158.05000000000001</v>
      </c>
      <c r="O58" s="248">
        <f>G56*(1+O57/100)</f>
        <v>438.18</v>
      </c>
      <c r="P58" s="248">
        <f>H56*(1+P57/100)</f>
        <v>105.60000000000001</v>
      </c>
      <c r="Q58" s="248">
        <f>N58+P58</f>
        <v>263.65000000000003</v>
      </c>
      <c r="R58" s="248">
        <f>M58+Q58</f>
        <v>543.78</v>
      </c>
      <c r="S58" s="248">
        <f>R56*(1+S57/100)</f>
        <v>585.44514777422557</v>
      </c>
      <c r="T58" s="248">
        <f t="shared" ref="T58" si="116">S56*(1+T57/100)</f>
        <v>620.58002333521915</v>
      </c>
      <c r="U58" s="248">
        <f t="shared" ref="U58" si="117">T56*(1+U57/100)</f>
        <v>645.40322426862792</v>
      </c>
      <c r="V58" s="248">
        <f t="shared" ref="V58" si="118">U56*(1+V57/100)</f>
        <v>667.9923371180297</v>
      </c>
      <c r="W58" s="248">
        <f t="shared" ref="W58" si="119">V56*(1+W57/100)</f>
        <v>691.37206891716073</v>
      </c>
      <c r="X58" s="248">
        <f t="shared" ref="X58" si="120">W56*(1+X57/100)</f>
        <v>715.57009132926134</v>
      </c>
      <c r="Y58" s="248">
        <f t="shared" ref="Y58" si="121">X56*(1+Y57/100)</f>
        <v>740.61504452578538</v>
      </c>
      <c r="Z58" s="248">
        <f t="shared" ref="Z58" si="122">Y56*(1+Z57/100)</f>
        <v>766.53657108418781</v>
      </c>
      <c r="AA58" s="248">
        <f t="shared" ref="AA58" si="123">Z56*(1+AA57/100)</f>
        <v>793.36535107213433</v>
      </c>
    </row>
    <row r="59" spans="2:27" x14ac:dyDescent="0.2">
      <c r="B59" s="35" t="s">
        <v>3</v>
      </c>
      <c r="C59" s="154" t="s">
        <v>274</v>
      </c>
      <c r="D59" s="154" t="s">
        <v>274</v>
      </c>
      <c r="E59" s="154" t="s">
        <v>274</v>
      </c>
      <c r="F59" s="154" t="s">
        <v>274</v>
      </c>
      <c r="G59" s="154" t="s">
        <v>274</v>
      </c>
      <c r="H59" s="154" t="s">
        <v>274</v>
      </c>
      <c r="I59" s="154" t="s">
        <v>274</v>
      </c>
      <c r="J59" s="154" t="s">
        <v>274</v>
      </c>
      <c r="K59" s="261">
        <f>(K56/C56-1)*100</f>
        <v>6.2796501866935639</v>
      </c>
      <c r="L59" s="261">
        <f t="shared" ref="L59" si="124">(L56/D56-1)*100</f>
        <v>11.176913925517674</v>
      </c>
      <c r="M59" s="261">
        <f t="shared" ref="M59" si="125">(M56/E56-1)*100</f>
        <v>8.3185887861261687</v>
      </c>
      <c r="N59" s="261">
        <f t="shared" ref="N59" si="126">(N56/F56-1)*100</f>
        <v>8.9939660187026362</v>
      </c>
      <c r="O59" s="261">
        <f t="shared" ref="O59" si="127">(O56/G56-1)*100</f>
        <v>8.5621950018564874</v>
      </c>
      <c r="P59" s="261">
        <f t="shared" ref="P59" si="128">(P56/H56-1)*100</f>
        <v>10.0612673169034</v>
      </c>
      <c r="Q59" s="261">
        <f t="shared" ref="Q59" si="129">(Q56/I56-1)*100</f>
        <v>9.4191150835460924</v>
      </c>
      <c r="R59" s="261">
        <f t="shared" ref="R59" si="130">(R56/J56-1)*100</f>
        <v>8.8511727975281609</v>
      </c>
      <c r="S59" s="261">
        <f>(S56/R56-1)*100</f>
        <v>8.0014212745887381</v>
      </c>
      <c r="T59" s="261">
        <f t="shared" ref="T59:AA59" si="131">(T56/S56-1)*100</f>
        <v>6.0000000000000053</v>
      </c>
      <c r="U59" s="261">
        <f t="shared" si="131"/>
        <v>3.9999999999999813</v>
      </c>
      <c r="V59" s="261">
        <f t="shared" si="131"/>
        <v>3.499999999999992</v>
      </c>
      <c r="W59" s="261">
        <f t="shared" si="131"/>
        <v>3.499999999999992</v>
      </c>
      <c r="X59" s="261">
        <f t="shared" si="131"/>
        <v>3.499999999999992</v>
      </c>
      <c r="Y59" s="261">
        <f t="shared" si="131"/>
        <v>3.499999999999992</v>
      </c>
      <c r="Z59" s="261">
        <f t="shared" si="131"/>
        <v>3.499999999999992</v>
      </c>
      <c r="AA59" s="261">
        <f t="shared" si="131"/>
        <v>3.499999999999992</v>
      </c>
    </row>
    <row r="60" spans="2:27" x14ac:dyDescent="0.2">
      <c r="B60" s="116"/>
      <c r="C60" s="17"/>
      <c r="D60" s="17"/>
      <c r="E60" s="17"/>
      <c r="F60" s="17"/>
      <c r="H60" s="17"/>
    </row>
    <row r="61" spans="2:27" x14ac:dyDescent="0.2">
      <c r="B61" s="101" t="s">
        <v>66</v>
      </c>
      <c r="C61" s="246">
        <v>108</v>
      </c>
      <c r="D61" s="246">
        <v>99</v>
      </c>
      <c r="E61" s="248">
        <f>C61+D61</f>
        <v>207</v>
      </c>
      <c r="F61" s="246">
        <v>105</v>
      </c>
      <c r="G61" s="248">
        <f>E61+F61</f>
        <v>312</v>
      </c>
      <c r="H61" s="246">
        <v>121</v>
      </c>
      <c r="I61" s="248">
        <f>F61+H61</f>
        <v>226</v>
      </c>
      <c r="J61" s="248">
        <f>C61+D61+F61+H61</f>
        <v>433</v>
      </c>
      <c r="K61" s="248">
        <f>(K63/(K$7/C$7)*0.6)+(K63*0.4)</f>
        <v>94.434354571833708</v>
      </c>
      <c r="L61" s="248">
        <f>M61-K61</f>
        <v>93.74412766533861</v>
      </c>
      <c r="M61" s="248">
        <f>(M63/(M$7/E$7)*0.6)+(M63*0.4)</f>
        <v>188.17848223717232</v>
      </c>
      <c r="N61" s="248">
        <f>O61-M61</f>
        <v>105.67794740458709</v>
      </c>
      <c r="O61" s="248">
        <f>(O63/(O$7/G$7)*0.6)+(O63*0.4)</f>
        <v>293.85642964175941</v>
      </c>
      <c r="P61" s="248">
        <f>(P63/(P$7/H$7)*0.6)+(P63*0.4)</f>
        <v>119.91505121175075</v>
      </c>
      <c r="Q61" s="248">
        <f>P61+N61</f>
        <v>225.59299861633784</v>
      </c>
      <c r="R61" s="248">
        <f>Q61+M61</f>
        <v>413.77148085351018</v>
      </c>
      <c r="S61" s="248">
        <f t="shared" ref="S61:AA61" si="132">(S63/(S$7/R$7)*0.6)+(S63*0.4)</f>
        <v>425.73815334457117</v>
      </c>
      <c r="T61" s="248">
        <f t="shared" si="132"/>
        <v>438.5102979449083</v>
      </c>
      <c r="U61" s="248">
        <f t="shared" si="132"/>
        <v>451.66560688325558</v>
      </c>
      <c r="V61" s="248">
        <f t="shared" si="132"/>
        <v>465.2155750897532</v>
      </c>
      <c r="W61" s="248">
        <f t="shared" si="132"/>
        <v>479.17204234244582</v>
      </c>
      <c r="X61" s="248">
        <f t="shared" si="132"/>
        <v>493.54720361271916</v>
      </c>
      <c r="Y61" s="248">
        <f t="shared" si="132"/>
        <v>508.35361972110076</v>
      </c>
      <c r="Z61" s="248">
        <f t="shared" si="132"/>
        <v>523.60422831273377</v>
      </c>
      <c r="AA61" s="248">
        <f t="shared" si="132"/>
        <v>539.31235516211575</v>
      </c>
    </row>
    <row r="62" spans="2:27" x14ac:dyDescent="0.2">
      <c r="B62" s="35" t="s">
        <v>2</v>
      </c>
      <c r="C62" s="263">
        <v>-2</v>
      </c>
      <c r="D62" s="264">
        <v>-15.452173913043463</v>
      </c>
      <c r="E62" s="263">
        <v>-9</v>
      </c>
      <c r="F62" s="264">
        <v>-21.892857142857171</v>
      </c>
      <c r="G62" s="263">
        <v>-14</v>
      </c>
      <c r="H62" s="264">
        <v>-17.359477124183009</v>
      </c>
      <c r="I62" s="264">
        <v>-19.525597269624583</v>
      </c>
      <c r="J62" s="263">
        <v>-15</v>
      </c>
      <c r="K62" s="265">
        <v>-5</v>
      </c>
      <c r="L62" s="264">
        <f>(L63-D61)/D61%</f>
        <v>1.2727272727272636</v>
      </c>
      <c r="M62" s="265">
        <v>-2</v>
      </c>
      <c r="N62" s="264">
        <f>(N63/F61-1)*100</f>
        <v>3.942857142857159</v>
      </c>
      <c r="O62" s="266">
        <v>0</v>
      </c>
      <c r="P62" s="265">
        <v>2</v>
      </c>
      <c r="Q62" s="264">
        <f t="shared" ref="Q62:R62" si="133">(Q63-I61)/I61%</f>
        <v>2.9026548672566386</v>
      </c>
      <c r="R62" s="264">
        <f t="shared" si="133"/>
        <v>0.55889145496534853</v>
      </c>
      <c r="S62" s="266">
        <v>3</v>
      </c>
      <c r="T62" s="266">
        <v>3</v>
      </c>
      <c r="U62" s="266">
        <v>3</v>
      </c>
      <c r="V62" s="266">
        <v>3</v>
      </c>
      <c r="W62" s="266">
        <v>3</v>
      </c>
      <c r="X62" s="266">
        <v>3</v>
      </c>
      <c r="Y62" s="266">
        <v>3</v>
      </c>
      <c r="Z62" s="266">
        <v>3</v>
      </c>
      <c r="AA62" s="266">
        <v>3</v>
      </c>
    </row>
    <row r="63" spans="2:27" x14ac:dyDescent="0.2">
      <c r="B63" s="2" t="s">
        <v>4</v>
      </c>
      <c r="C63" s="154" t="s">
        <v>274</v>
      </c>
      <c r="D63" s="154" t="s">
        <v>274</v>
      </c>
      <c r="E63" s="154" t="s">
        <v>274</v>
      </c>
      <c r="F63" s="154" t="s">
        <v>274</v>
      </c>
      <c r="G63" s="154" t="s">
        <v>274</v>
      </c>
      <c r="H63" s="154" t="s">
        <v>274</v>
      </c>
      <c r="I63" s="154" t="s">
        <v>274</v>
      </c>
      <c r="J63" s="154" t="s">
        <v>274</v>
      </c>
      <c r="K63" s="248">
        <f>C61*(1+K62/100)</f>
        <v>102.6</v>
      </c>
      <c r="L63" s="248">
        <f>M63-K63</f>
        <v>100.25999999999999</v>
      </c>
      <c r="M63" s="248">
        <f>E61*(1+M62/100)</f>
        <v>202.85999999999999</v>
      </c>
      <c r="N63" s="248">
        <f>O63-M63</f>
        <v>109.14000000000001</v>
      </c>
      <c r="O63" s="248">
        <f>G61*(1+O62/100)</f>
        <v>312</v>
      </c>
      <c r="P63" s="248">
        <f>H61*(1+P62/100)</f>
        <v>123.42</v>
      </c>
      <c r="Q63" s="248">
        <f>N63+P63</f>
        <v>232.56</v>
      </c>
      <c r="R63" s="248">
        <f>M63+Q63</f>
        <v>435.41999999999996</v>
      </c>
      <c r="S63" s="248">
        <f>R61*(1+S62/100)</f>
        <v>426.18462527911549</v>
      </c>
      <c r="T63" s="248">
        <f t="shared" ref="T63" si="134">S61*(1+T62/100)</f>
        <v>438.5102979449083</v>
      </c>
      <c r="U63" s="248">
        <f t="shared" ref="U63" si="135">T61*(1+U62/100)</f>
        <v>451.66560688325558</v>
      </c>
      <c r="V63" s="248">
        <f t="shared" ref="V63" si="136">U61*(1+V62/100)</f>
        <v>465.21557508975326</v>
      </c>
      <c r="W63" s="248">
        <f t="shared" ref="W63" si="137">V61*(1+W62/100)</f>
        <v>479.17204234244582</v>
      </c>
      <c r="X63" s="248">
        <f t="shared" ref="X63" si="138">W61*(1+X62/100)</f>
        <v>493.54720361271922</v>
      </c>
      <c r="Y63" s="248">
        <f t="shared" ref="Y63" si="139">X61*(1+Y62/100)</f>
        <v>508.35361972110076</v>
      </c>
      <c r="Z63" s="248">
        <f t="shared" ref="Z63" si="140">Y61*(1+Z62/100)</f>
        <v>523.60422831273377</v>
      </c>
      <c r="AA63" s="248">
        <f t="shared" ref="AA63" si="141">Z61*(1+AA62/100)</f>
        <v>539.31235516211575</v>
      </c>
    </row>
    <row r="64" spans="2:27" x14ac:dyDescent="0.2">
      <c r="B64" s="35" t="s">
        <v>3</v>
      </c>
      <c r="C64" s="154" t="s">
        <v>274</v>
      </c>
      <c r="D64" s="154" t="s">
        <v>274</v>
      </c>
      <c r="E64" s="154" t="s">
        <v>274</v>
      </c>
      <c r="F64" s="154" t="s">
        <v>274</v>
      </c>
      <c r="G64" s="154" t="s">
        <v>274</v>
      </c>
      <c r="H64" s="154" t="s">
        <v>274</v>
      </c>
      <c r="I64" s="154" t="s">
        <v>274</v>
      </c>
      <c r="J64" s="154" t="s">
        <v>274</v>
      </c>
      <c r="K64" s="261">
        <f>(K61/C61-1)*100</f>
        <v>-12.560782803857673</v>
      </c>
      <c r="L64" s="261">
        <f t="shared" ref="L64" si="142">(L61/D61-1)*100</f>
        <v>-5.3089619542034283</v>
      </c>
      <c r="M64" s="261">
        <f t="shared" ref="M64" si="143">(M61/E61-1)*100</f>
        <v>-9.0925206583708622</v>
      </c>
      <c r="N64" s="261">
        <f t="shared" ref="N64" si="144">(N61/F61-1)*100</f>
        <v>0.64566419484484161</v>
      </c>
      <c r="O64" s="261">
        <f t="shared" ref="O64" si="145">(O61/G61-1)*100</f>
        <v>-5.8152469096924957</v>
      </c>
      <c r="P64" s="261">
        <f t="shared" ref="P64" si="146">(P61/H61-1)*100</f>
        <v>-0.89665189111508559</v>
      </c>
      <c r="Q64" s="261">
        <f t="shared" ref="Q64" si="147">(Q61/I61-1)*100</f>
        <v>-0.18008910781511789</v>
      </c>
      <c r="R64" s="261">
        <f t="shared" ref="R64" si="148">(R61/J61-1)*100</f>
        <v>-4.4407665465334478</v>
      </c>
      <c r="S64" s="261">
        <f>(S61/R61-1)*100</f>
        <v>2.8920969773887473</v>
      </c>
      <c r="T64" s="261">
        <f t="shared" ref="T64:AA64" si="149">(T61/S61-1)*100</f>
        <v>3.0000000000000027</v>
      </c>
      <c r="U64" s="261">
        <f t="shared" si="149"/>
        <v>3.0000000000000027</v>
      </c>
      <c r="V64" s="261">
        <f t="shared" si="149"/>
        <v>2.9999999999999805</v>
      </c>
      <c r="W64" s="261">
        <f t="shared" si="149"/>
        <v>3.0000000000000027</v>
      </c>
      <c r="X64" s="261">
        <f t="shared" si="149"/>
        <v>3.0000000000000027</v>
      </c>
      <c r="Y64" s="261">
        <f t="shared" si="149"/>
        <v>3.0000000000000027</v>
      </c>
      <c r="Z64" s="261">
        <f t="shared" si="149"/>
        <v>3.0000000000000027</v>
      </c>
      <c r="AA64" s="261">
        <f t="shared" si="149"/>
        <v>3.0000000000000027</v>
      </c>
    </row>
    <row r="65" spans="2:27" x14ac:dyDescent="0.2">
      <c r="B65" s="116"/>
      <c r="C65" s="17"/>
      <c r="D65" s="17"/>
      <c r="E65" s="17"/>
      <c r="F65" s="17"/>
      <c r="H65" s="17"/>
    </row>
    <row r="66" spans="2:27" x14ac:dyDescent="0.2">
      <c r="B66" s="101" t="s">
        <v>476</v>
      </c>
      <c r="C66" s="246">
        <v>96</v>
      </c>
      <c r="D66" s="246">
        <v>83</v>
      </c>
      <c r="E66" s="248">
        <f>C66+D66</f>
        <v>179</v>
      </c>
      <c r="F66" s="246">
        <v>80</v>
      </c>
      <c r="G66" s="248">
        <f>E66+F66</f>
        <v>259</v>
      </c>
      <c r="H66" s="246">
        <v>78</v>
      </c>
      <c r="I66" s="248">
        <f>F66+H66</f>
        <v>158</v>
      </c>
      <c r="J66" s="248">
        <f>C66+D66+F66+H66</f>
        <v>337</v>
      </c>
      <c r="K66" s="248">
        <f>(K68/(K$14/C$14)*0.75)+(K68/(K$8/C$8)*0.25)</f>
        <v>93.955350806993053</v>
      </c>
      <c r="L66" s="248">
        <f>M66-K66</f>
        <v>83.944550993806061</v>
      </c>
      <c r="M66" s="248">
        <f>(M68/(M$14/E$14)*0.75)+(M68/(M$8/E$8)*0.25)</f>
        <v>177.89990180079911</v>
      </c>
      <c r="N66" s="248">
        <f>O66-M66</f>
        <v>84.614763846281051</v>
      </c>
      <c r="O66" s="248">
        <f t="shared" ref="O66" si="150">(O68/(O$14/G$14)*0.75)+(O68/(O$8/G$8)*0.25)</f>
        <v>262.51466564708016</v>
      </c>
      <c r="P66" s="248">
        <f t="shared" ref="P66" si="151">(P68/(P$14/H$14)*0.75)+(P68/(P$8/H$8)*0.25)</f>
        <v>82.132997831127611</v>
      </c>
      <c r="Q66" s="248">
        <f>P66+N66</f>
        <v>166.74776167740868</v>
      </c>
      <c r="R66" s="248">
        <f>Q66+M66</f>
        <v>344.64766347820779</v>
      </c>
      <c r="S66" s="248">
        <f>(S68/(S$14/R$14)*0.75)+(S68/(S$8/R$8)*0.25)</f>
        <v>369.21087723621008</v>
      </c>
      <c r="T66" s="248">
        <f t="shared" ref="T66:AA66" si="152">(T68/(T$14/S$14)*0.75)+(T68/(T$8/S$8)*0.25)</f>
        <v>391.36352987038271</v>
      </c>
      <c r="U66" s="248">
        <f t="shared" si="152"/>
        <v>414.84534166260568</v>
      </c>
      <c r="V66" s="248">
        <f t="shared" si="152"/>
        <v>439.73606216236203</v>
      </c>
      <c r="W66" s="248">
        <f t="shared" si="152"/>
        <v>466.1202258921038</v>
      </c>
      <c r="X66" s="248">
        <f t="shared" si="152"/>
        <v>494.08743944563008</v>
      </c>
      <c r="Y66" s="248">
        <f t="shared" si="152"/>
        <v>523.73268581236789</v>
      </c>
      <c r="Z66" s="248">
        <f t="shared" si="152"/>
        <v>555.15664696111003</v>
      </c>
      <c r="AA66" s="248">
        <f t="shared" si="152"/>
        <v>588.46604577877667</v>
      </c>
    </row>
    <row r="67" spans="2:27" x14ac:dyDescent="0.2">
      <c r="B67" s="35" t="s">
        <v>2</v>
      </c>
      <c r="C67" s="261">
        <v>15.941833333333335</v>
      </c>
      <c r="D67" s="261">
        <v>12.297894079916786</v>
      </c>
      <c r="E67" s="261">
        <v>14.122525139664804</v>
      </c>
      <c r="F67" s="261">
        <v>3.910542081667137</v>
      </c>
      <c r="G67" s="261">
        <v>10.33034749034749</v>
      </c>
      <c r="H67" s="261">
        <v>8.507515985698948</v>
      </c>
      <c r="I67" s="261">
        <v>4.5186684884396762</v>
      </c>
      <c r="J67" s="261">
        <v>8.8194658753709199</v>
      </c>
      <c r="K67" s="265">
        <v>5</v>
      </c>
      <c r="L67" s="264">
        <f>(L68-D66)/D66%</f>
        <v>5.0000000000000071</v>
      </c>
      <c r="M67" s="265">
        <v>5</v>
      </c>
      <c r="N67" s="264">
        <f>(N68/F66-1)*100</f>
        <v>4.99999999999996</v>
      </c>
      <c r="O67" s="266">
        <v>5</v>
      </c>
      <c r="P67" s="265">
        <v>5</v>
      </c>
      <c r="Q67" s="264">
        <f>(Q68/I66-1)*100</f>
        <v>4.9999999999999822</v>
      </c>
      <c r="R67" s="264">
        <f>(R68/J66-1)*100</f>
        <v>5.0000000000000044</v>
      </c>
      <c r="S67" s="266">
        <v>7</v>
      </c>
      <c r="T67" s="266">
        <v>6</v>
      </c>
      <c r="U67" s="266">
        <v>6</v>
      </c>
      <c r="V67" s="266">
        <v>6</v>
      </c>
      <c r="W67" s="266">
        <v>6</v>
      </c>
      <c r="X67" s="266">
        <v>6</v>
      </c>
      <c r="Y67" s="266">
        <v>6</v>
      </c>
      <c r="Z67" s="266">
        <v>6</v>
      </c>
      <c r="AA67" s="266">
        <v>6</v>
      </c>
    </row>
    <row r="68" spans="2:27" x14ac:dyDescent="0.2">
      <c r="B68" s="2" t="s">
        <v>4</v>
      </c>
      <c r="C68" s="154" t="s">
        <v>274</v>
      </c>
      <c r="D68" s="154" t="s">
        <v>274</v>
      </c>
      <c r="E68" s="154" t="s">
        <v>274</v>
      </c>
      <c r="F68" s="154" t="s">
        <v>274</v>
      </c>
      <c r="G68" s="154" t="s">
        <v>274</v>
      </c>
      <c r="H68" s="154" t="s">
        <v>274</v>
      </c>
      <c r="I68" s="154" t="s">
        <v>274</v>
      </c>
      <c r="J68" s="154" t="s">
        <v>274</v>
      </c>
      <c r="K68" s="248">
        <f>C66*(1+K67/100)</f>
        <v>100.80000000000001</v>
      </c>
      <c r="L68" s="248">
        <f>M68-K68</f>
        <v>87.15</v>
      </c>
      <c r="M68" s="248">
        <f>E66*(1+M67/100)</f>
        <v>187.95000000000002</v>
      </c>
      <c r="N68" s="248">
        <f>O68-M68</f>
        <v>83.999999999999972</v>
      </c>
      <c r="O68" s="248">
        <f>G66*(1+O67/100)</f>
        <v>271.95</v>
      </c>
      <c r="P68" s="248">
        <f>H66*(1+P67/100)</f>
        <v>81.900000000000006</v>
      </c>
      <c r="Q68" s="248">
        <f>N68+P68</f>
        <v>165.89999999999998</v>
      </c>
      <c r="R68" s="248">
        <f>M68+Q68</f>
        <v>353.85</v>
      </c>
      <c r="S68" s="248">
        <f>R66*(1+S67/100)</f>
        <v>368.77299992168236</v>
      </c>
      <c r="T68" s="248">
        <f t="shared" ref="T68" si="153">S66*(1+T67/100)</f>
        <v>391.36352987038271</v>
      </c>
      <c r="U68" s="248">
        <f t="shared" ref="U68" si="154">T66*(1+U67/100)</f>
        <v>414.84534166260568</v>
      </c>
      <c r="V68" s="248">
        <f t="shared" ref="V68" si="155">U66*(1+V67/100)</f>
        <v>439.73606216236203</v>
      </c>
      <c r="W68" s="248">
        <f t="shared" ref="W68" si="156">V66*(1+W67/100)</f>
        <v>466.1202258921038</v>
      </c>
      <c r="X68" s="248">
        <f t="shared" ref="X68" si="157">W66*(1+X67/100)</f>
        <v>494.08743944563008</v>
      </c>
      <c r="Y68" s="248">
        <f t="shared" ref="Y68" si="158">X66*(1+Y67/100)</f>
        <v>523.73268581236789</v>
      </c>
      <c r="Z68" s="248">
        <f t="shared" ref="Z68" si="159">Y66*(1+Z67/100)</f>
        <v>555.15664696111003</v>
      </c>
      <c r="AA68" s="248">
        <f t="shared" ref="AA68" si="160">Z66*(1+AA67/100)</f>
        <v>588.46604577877667</v>
      </c>
    </row>
    <row r="69" spans="2:27" x14ac:dyDescent="0.2">
      <c r="B69" s="35" t="s">
        <v>3</v>
      </c>
      <c r="C69" s="154" t="s">
        <v>274</v>
      </c>
      <c r="D69" s="154" t="s">
        <v>274</v>
      </c>
      <c r="E69" s="154" t="s">
        <v>274</v>
      </c>
      <c r="F69" s="154" t="s">
        <v>274</v>
      </c>
      <c r="G69" s="154" t="s">
        <v>274</v>
      </c>
      <c r="H69" s="154" t="s">
        <v>274</v>
      </c>
      <c r="I69" s="154" t="s">
        <v>274</v>
      </c>
      <c r="J69" s="154" t="s">
        <v>274</v>
      </c>
      <c r="K69" s="261">
        <f>(K66/C66-1)*100</f>
        <v>-2.1298429093822402</v>
      </c>
      <c r="L69" s="261">
        <f t="shared" ref="L69" si="161">(L66/D66-1)*100</f>
        <v>1.138013245549474</v>
      </c>
      <c r="M69" s="261">
        <f t="shared" ref="M69" si="162">(M66/E66-1)*100</f>
        <v>-0.61457999955356613</v>
      </c>
      <c r="N69" s="261">
        <f t="shared" ref="N69" si="163">(N66/F66-1)*100</f>
        <v>5.7684548078513087</v>
      </c>
      <c r="O69" s="261">
        <f t="shared" ref="O69" si="164">(O66/G66-1)*100</f>
        <v>1.3570137633514223</v>
      </c>
      <c r="P69" s="261">
        <f t="shared" ref="P69" si="165">(P66/H66-1)*100</f>
        <v>5.2987151681123112</v>
      </c>
      <c r="Q69" s="261">
        <f t="shared" ref="Q69" si="166">(Q66/I66-1)*100</f>
        <v>5.5365580236763856</v>
      </c>
      <c r="R69" s="261">
        <f t="shared" ref="R69" si="167">(R66/J66-1)*100</f>
        <v>2.269336343681827</v>
      </c>
      <c r="S69" s="261">
        <f>(S66/R66-1)*100</f>
        <v>7.1270507132149552</v>
      </c>
      <c r="T69" s="261">
        <f t="shared" ref="T69:AA69" si="168">(T66/S66-1)*100</f>
        <v>6.0000000000000053</v>
      </c>
      <c r="U69" s="261">
        <f t="shared" si="168"/>
        <v>6.0000000000000053</v>
      </c>
      <c r="V69" s="261">
        <f t="shared" si="168"/>
        <v>6.0000000000000053</v>
      </c>
      <c r="W69" s="261">
        <f t="shared" si="168"/>
        <v>6.0000000000000053</v>
      </c>
      <c r="X69" s="261">
        <f t="shared" si="168"/>
        <v>6.0000000000000053</v>
      </c>
      <c r="Y69" s="261">
        <f t="shared" si="168"/>
        <v>6.0000000000000053</v>
      </c>
      <c r="Z69" s="261">
        <f t="shared" si="168"/>
        <v>6.0000000000000053</v>
      </c>
      <c r="AA69" s="261">
        <f t="shared" si="168"/>
        <v>6.0000000000000053</v>
      </c>
    </row>
    <row r="70" spans="2:27" x14ac:dyDescent="0.2">
      <c r="B70" s="116"/>
      <c r="C70" s="17"/>
      <c r="D70" s="17"/>
      <c r="E70" s="17"/>
      <c r="F70" s="17"/>
      <c r="H70" s="17"/>
    </row>
    <row r="71" spans="2:27" x14ac:dyDescent="0.2">
      <c r="B71" s="101" t="s">
        <v>111</v>
      </c>
      <c r="C71" s="246">
        <v>57</v>
      </c>
      <c r="D71" s="246">
        <v>53</v>
      </c>
      <c r="E71" s="248">
        <f>C71+D71</f>
        <v>110</v>
      </c>
      <c r="F71" s="246">
        <v>61</v>
      </c>
      <c r="G71" s="248">
        <f>E71+F71</f>
        <v>171</v>
      </c>
      <c r="H71" s="246">
        <v>63</v>
      </c>
      <c r="I71" s="248">
        <f>F71+H71</f>
        <v>124</v>
      </c>
      <c r="J71" s="248">
        <f>C71+D71+F71+H71</f>
        <v>234</v>
      </c>
      <c r="K71" s="248">
        <f>(K73/(K$15/C$15)*0.8)+K73*0.2</f>
        <v>43.719890414947578</v>
      </c>
      <c r="L71" s="248">
        <f>M71-K71</f>
        <v>43.414312310417152</v>
      </c>
      <c r="M71" s="248">
        <f>(M73/(M$15/E$15)*0.8)+M73*0.2</f>
        <v>87.13420272536473</v>
      </c>
      <c r="N71" s="248">
        <f>O71-M71</f>
        <v>52.870165863114181</v>
      </c>
      <c r="O71" s="248">
        <f>(O73/(O$15/G$15)*0.8)+O73*0.2</f>
        <v>140.00436858847891</v>
      </c>
      <c r="P71" s="248">
        <f>(P73/(P$15/H$15)*0.8)+P73*0.2</f>
        <v>56.645978165477196</v>
      </c>
      <c r="Q71" s="248">
        <f>P71+N71</f>
        <v>109.51614402859138</v>
      </c>
      <c r="R71" s="248">
        <f>Q71+M71</f>
        <v>196.65034675395611</v>
      </c>
      <c r="S71" s="248">
        <f t="shared" ref="S71:AA71" si="169">(S73/(S$15/R$15)*0.8)+S73*0.2</f>
        <v>203.32910879263503</v>
      </c>
      <c r="T71" s="248">
        <f t="shared" si="169"/>
        <v>209.4289820564141</v>
      </c>
      <c r="U71" s="248">
        <f t="shared" si="169"/>
        <v>215.71185151810653</v>
      </c>
      <c r="V71" s="248">
        <f t="shared" si="169"/>
        <v>222.18320706364975</v>
      </c>
      <c r="W71" s="248">
        <f t="shared" si="169"/>
        <v>228.84870327555927</v>
      </c>
      <c r="X71" s="248">
        <f t="shared" si="169"/>
        <v>235.71416437382609</v>
      </c>
      <c r="Y71" s="248">
        <f t="shared" si="169"/>
        <v>242.7855893050409</v>
      </c>
      <c r="Z71" s="248">
        <f t="shared" si="169"/>
        <v>250.06915698419218</v>
      </c>
      <c r="AA71" s="248">
        <f t="shared" si="169"/>
        <v>257.57123169371795</v>
      </c>
    </row>
    <row r="72" spans="2:27" x14ac:dyDescent="0.2">
      <c r="B72" s="35" t="s">
        <v>2</v>
      </c>
      <c r="C72" s="263">
        <v>25</v>
      </c>
      <c r="D72" s="264">
        <v>9.8163265306122209</v>
      </c>
      <c r="E72" s="263">
        <v>17</v>
      </c>
      <c r="F72" s="264">
        <v>2.0000000000000462</v>
      </c>
      <c r="G72" s="263">
        <v>11</v>
      </c>
      <c r="H72" s="264">
        <v>14.540983606557356</v>
      </c>
      <c r="I72" s="264">
        <v>8.219512195121963</v>
      </c>
      <c r="J72" s="263">
        <v>12</v>
      </c>
      <c r="K72" s="265">
        <v>2</v>
      </c>
      <c r="L72" s="264">
        <f>(L73-D71)/D71%</f>
        <v>8.2264150943396217</v>
      </c>
      <c r="M72" s="265">
        <v>5</v>
      </c>
      <c r="N72" s="264">
        <f>(N73/F71-1)*100</f>
        <v>2.1967213114754136</v>
      </c>
      <c r="O72" s="266">
        <v>4</v>
      </c>
      <c r="P72" s="265">
        <v>4</v>
      </c>
      <c r="Q72" s="264">
        <f t="shared" ref="Q72:R72" si="170">(Q73-I71)/I71%</f>
        <v>3.1129032258064511</v>
      </c>
      <c r="R72" s="264">
        <f t="shared" si="170"/>
        <v>4.0000000000000062</v>
      </c>
      <c r="S72" s="266">
        <v>4</v>
      </c>
      <c r="T72" s="266">
        <v>3</v>
      </c>
      <c r="U72" s="266">
        <v>3</v>
      </c>
      <c r="V72" s="266">
        <v>3</v>
      </c>
      <c r="W72" s="266">
        <v>3</v>
      </c>
      <c r="X72" s="266">
        <v>3</v>
      </c>
      <c r="Y72" s="266">
        <v>3</v>
      </c>
      <c r="Z72" s="266">
        <v>3</v>
      </c>
      <c r="AA72" s="266">
        <v>3</v>
      </c>
    </row>
    <row r="73" spans="2:27" x14ac:dyDescent="0.2">
      <c r="B73" s="2" t="s">
        <v>4</v>
      </c>
      <c r="C73" s="154" t="s">
        <v>274</v>
      </c>
      <c r="D73" s="154" t="s">
        <v>274</v>
      </c>
      <c r="E73" s="154" t="s">
        <v>274</v>
      </c>
      <c r="F73" s="154" t="s">
        <v>274</v>
      </c>
      <c r="G73" s="154" t="s">
        <v>274</v>
      </c>
      <c r="H73" s="154" t="s">
        <v>274</v>
      </c>
      <c r="I73" s="154" t="s">
        <v>274</v>
      </c>
      <c r="J73" s="154" t="s">
        <v>274</v>
      </c>
      <c r="K73" s="248">
        <f>C71*(1+K72/100)</f>
        <v>58.14</v>
      </c>
      <c r="L73" s="248">
        <f>M73-K73</f>
        <v>57.36</v>
      </c>
      <c r="M73" s="248">
        <f>E71*(1+M72/100)</f>
        <v>115.5</v>
      </c>
      <c r="N73" s="248">
        <f>O73-M73</f>
        <v>62.34</v>
      </c>
      <c r="O73" s="248">
        <f>G71*(1+O72/100)</f>
        <v>177.84</v>
      </c>
      <c r="P73" s="248">
        <f>H71*(1+P72/100)</f>
        <v>65.52</v>
      </c>
      <c r="Q73" s="248">
        <f>N73+P73</f>
        <v>127.86</v>
      </c>
      <c r="R73" s="248">
        <f>M73+Q73</f>
        <v>243.36</v>
      </c>
      <c r="S73" s="248">
        <f>R71*(1+S72/100)</f>
        <v>204.51636062411436</v>
      </c>
      <c r="T73" s="248">
        <f t="shared" ref="T73" si="171">S71*(1+T72/100)</f>
        <v>209.42898205641407</v>
      </c>
      <c r="U73" s="248">
        <f t="shared" ref="U73" si="172">T71*(1+U72/100)</f>
        <v>215.71185151810653</v>
      </c>
      <c r="V73" s="248">
        <f t="shared" ref="V73" si="173">U71*(1+V72/100)</f>
        <v>222.18320706364972</v>
      </c>
      <c r="W73" s="248">
        <f t="shared" ref="W73" si="174">V71*(1+W72/100)</f>
        <v>228.84870327555925</v>
      </c>
      <c r="X73" s="248">
        <f t="shared" ref="X73" si="175">W71*(1+X72/100)</f>
        <v>235.71416437382607</v>
      </c>
      <c r="Y73" s="248">
        <f t="shared" ref="Y73" si="176">X71*(1+Y72/100)</f>
        <v>242.78558930504087</v>
      </c>
      <c r="Z73" s="248">
        <f t="shared" ref="Z73" si="177">Y71*(1+Z72/100)</f>
        <v>250.06915698419215</v>
      </c>
      <c r="AA73" s="248">
        <f t="shared" ref="AA73" si="178">Z71*(1+AA72/100)</f>
        <v>257.57123169371795</v>
      </c>
    </row>
    <row r="74" spans="2:27" x14ac:dyDescent="0.2">
      <c r="B74" s="35" t="s">
        <v>3</v>
      </c>
      <c r="C74" s="154" t="s">
        <v>274</v>
      </c>
      <c r="D74" s="154" t="s">
        <v>274</v>
      </c>
      <c r="E74" s="154" t="s">
        <v>274</v>
      </c>
      <c r="F74" s="154" t="s">
        <v>274</v>
      </c>
      <c r="G74" s="154" t="s">
        <v>274</v>
      </c>
      <c r="H74" s="154" t="s">
        <v>274</v>
      </c>
      <c r="I74" s="154" t="s">
        <v>274</v>
      </c>
      <c r="J74" s="154" t="s">
        <v>274</v>
      </c>
      <c r="K74" s="261">
        <f>(K71/C71-1)*100</f>
        <v>-23.298437868513023</v>
      </c>
      <c r="L74" s="261">
        <f t="shared" ref="L74" si="179">(L71/D71-1)*100</f>
        <v>-18.086203187892171</v>
      </c>
      <c r="M74" s="261">
        <f t="shared" ref="M74" si="180">(M71/E71-1)*100</f>
        <v>-20.787088431486612</v>
      </c>
      <c r="N74" s="261">
        <f t="shared" ref="N74" si="181">(N71/F71-1)*100</f>
        <v>-13.327596945714459</v>
      </c>
      <c r="O74" s="261">
        <f t="shared" ref="O74" si="182">(O71/G71-1)*100</f>
        <v>-18.126100240655607</v>
      </c>
      <c r="P74" s="261">
        <f t="shared" ref="P74" si="183">(P71/H71-1)*100</f>
        <v>-10.08574894368699</v>
      </c>
      <c r="Q74" s="261">
        <f t="shared" ref="Q74" si="184">(Q71/I71-1)*100</f>
        <v>-11.680529009200502</v>
      </c>
      <c r="R74" s="261">
        <f t="shared" ref="R74" si="185">(R71/J71-1)*100</f>
        <v>-15.961390276087128</v>
      </c>
      <c r="S74" s="261">
        <f>(S71/R71-1)*100</f>
        <v>3.396262528352012</v>
      </c>
      <c r="T74" s="261">
        <f t="shared" ref="T74:AA74" si="186">(T71/S71-1)*100</f>
        <v>3.0000000000000027</v>
      </c>
      <c r="U74" s="261">
        <f t="shared" si="186"/>
        <v>3.0000000000000027</v>
      </c>
      <c r="V74" s="261">
        <f t="shared" si="186"/>
        <v>3.0000000000000027</v>
      </c>
      <c r="W74" s="261">
        <f t="shared" si="186"/>
        <v>3.0000000000000249</v>
      </c>
      <c r="X74" s="261">
        <f t="shared" si="186"/>
        <v>3.0000000000000249</v>
      </c>
      <c r="Y74" s="261">
        <f t="shared" si="186"/>
        <v>3.0000000000000027</v>
      </c>
      <c r="Z74" s="261">
        <f t="shared" si="186"/>
        <v>3.0000000000000249</v>
      </c>
      <c r="AA74" s="261">
        <f t="shared" si="186"/>
        <v>3.0000000000000027</v>
      </c>
    </row>
    <row r="75" spans="2:27" x14ac:dyDescent="0.2">
      <c r="B75" s="116"/>
      <c r="C75" s="17"/>
      <c r="D75" s="17"/>
      <c r="E75" s="17"/>
      <c r="F75" s="17"/>
      <c r="H75" s="17"/>
    </row>
    <row r="76" spans="2:27" x14ac:dyDescent="0.2">
      <c r="B76" s="101" t="s">
        <v>234</v>
      </c>
      <c r="C76" s="246">
        <v>37</v>
      </c>
      <c r="D76" s="246">
        <v>37</v>
      </c>
      <c r="E76" s="248">
        <f>C76+D76</f>
        <v>74</v>
      </c>
      <c r="F76" s="246">
        <v>47</v>
      </c>
      <c r="G76" s="248">
        <f>E76+F76</f>
        <v>121</v>
      </c>
      <c r="H76" s="246">
        <v>27</v>
      </c>
      <c r="I76" s="248">
        <f>F76+H76</f>
        <v>74</v>
      </c>
      <c r="J76" s="248">
        <f>C76+D76+F76+H76</f>
        <v>148</v>
      </c>
      <c r="K76" s="248">
        <f>((K78)/(K$7/C$7))*0.8+(((K78)/(K$10/C$10)))*0.2</f>
        <v>32.412918621528313</v>
      </c>
      <c r="L76" s="248">
        <f>M76-K76</f>
        <v>33.311680529863231</v>
      </c>
      <c r="M76" s="248">
        <f>((M78)/(M$7/E$7))*0.8+(((M78)/(M$10/E$10)))*0.2</f>
        <v>65.724599151391544</v>
      </c>
      <c r="N76" s="248">
        <f>O76-M76</f>
        <v>44.640466844349604</v>
      </c>
      <c r="O76" s="248">
        <f>((O78)/(O$7/G$7))*0.8+(((O78)/(O$10/G$10)))*0.2</f>
        <v>110.36506599574115</v>
      </c>
      <c r="P76" s="248">
        <f>((P78)/(P$7/H$7))*0.8+(((P78)/(P$10/H$10)))*0.2</f>
        <v>25.979146822528623</v>
      </c>
      <c r="Q76" s="248">
        <f>P76+N76</f>
        <v>70.619613666878223</v>
      </c>
      <c r="R76" s="248">
        <f>Q76+M76</f>
        <v>136.34421281826977</v>
      </c>
      <c r="S76" s="248">
        <f t="shared" ref="S76:AA76" si="187">((S78)/(S$7/R$7))*0.8+(((S78)/(S$10/R$10)))*0.2</f>
        <v>141.55037305032877</v>
      </c>
      <c r="T76" s="248">
        <f t="shared" si="187"/>
        <v>147.21238797234193</v>
      </c>
      <c r="U76" s="248">
        <f t="shared" si="187"/>
        <v>153.10088349123561</v>
      </c>
      <c r="V76" s="248">
        <f t="shared" si="187"/>
        <v>159.22491883088503</v>
      </c>
      <c r="W76" s="248">
        <f t="shared" si="187"/>
        <v>165.59391558412042</v>
      </c>
      <c r="X76" s="248">
        <f t="shared" si="187"/>
        <v>172.21767220748524</v>
      </c>
      <c r="Y76" s="248">
        <f t="shared" si="187"/>
        <v>179.10637909578466</v>
      </c>
      <c r="Z76" s="248">
        <f t="shared" si="187"/>
        <v>186.27063425961606</v>
      </c>
      <c r="AA76" s="248">
        <f t="shared" si="187"/>
        <v>193.72145963000071</v>
      </c>
    </row>
    <row r="77" spans="2:27" x14ac:dyDescent="0.2">
      <c r="B77" s="35" t="s">
        <v>2</v>
      </c>
      <c r="C77" s="261">
        <v>5.3237410071942444</v>
      </c>
      <c r="D77" s="261">
        <v>0.96031816522090807</v>
      </c>
      <c r="E77" s="261">
        <v>3.3141394753678819</v>
      </c>
      <c r="F77" s="261">
        <v>5.3958033043365017</v>
      </c>
      <c r="G77" s="261">
        <v>4.0165975103734439</v>
      </c>
      <c r="H77" s="261">
        <v>-6.4149226569608908</v>
      </c>
      <c r="I77" s="261">
        <v>-1.1977403520650021</v>
      </c>
      <c r="J77" s="261">
        <v>0.97368421052631582</v>
      </c>
      <c r="K77" s="265">
        <v>1</v>
      </c>
      <c r="L77" s="264">
        <f>(L78-D76)/D76%</f>
        <v>0.99999999999999312</v>
      </c>
      <c r="M77" s="265">
        <v>1</v>
      </c>
      <c r="N77" s="264">
        <f>(N78/F76-1)*100</f>
        <v>1.0000000000000231</v>
      </c>
      <c r="O77" s="266">
        <v>1</v>
      </c>
      <c r="P77" s="265">
        <v>1</v>
      </c>
      <c r="Q77" s="264">
        <f t="shared" ref="Q77:R77" si="188">(Q78-I76)/I76%</f>
        <v>1.0000000000000122</v>
      </c>
      <c r="R77" s="264">
        <f t="shared" si="188"/>
        <v>1.0000000000000122</v>
      </c>
      <c r="S77" s="266">
        <v>4</v>
      </c>
      <c r="T77" s="266">
        <v>4</v>
      </c>
      <c r="U77" s="266">
        <v>4</v>
      </c>
      <c r="V77" s="266">
        <v>4</v>
      </c>
      <c r="W77" s="266">
        <v>4</v>
      </c>
      <c r="X77" s="266">
        <v>4</v>
      </c>
      <c r="Y77" s="266">
        <v>4</v>
      </c>
      <c r="Z77" s="266">
        <v>4</v>
      </c>
      <c r="AA77" s="266">
        <v>4</v>
      </c>
    </row>
    <row r="78" spans="2:27" x14ac:dyDescent="0.2">
      <c r="B78" s="2" t="s">
        <v>4</v>
      </c>
      <c r="C78" s="154" t="s">
        <v>274</v>
      </c>
      <c r="D78" s="154" t="s">
        <v>274</v>
      </c>
      <c r="E78" s="154" t="s">
        <v>274</v>
      </c>
      <c r="F78" s="154" t="s">
        <v>274</v>
      </c>
      <c r="G78" s="154" t="s">
        <v>274</v>
      </c>
      <c r="H78" s="154" t="s">
        <v>274</v>
      </c>
      <c r="I78" s="154" t="s">
        <v>274</v>
      </c>
      <c r="J78" s="154" t="s">
        <v>274</v>
      </c>
      <c r="K78" s="248">
        <f>C76*(1+K77/100)</f>
        <v>37.369999999999997</v>
      </c>
      <c r="L78" s="248">
        <f>M78-K78</f>
        <v>37.369999999999997</v>
      </c>
      <c r="M78" s="248">
        <f>E76*(1+M77/100)</f>
        <v>74.739999999999995</v>
      </c>
      <c r="N78" s="248">
        <f>O78-M78</f>
        <v>47.470000000000013</v>
      </c>
      <c r="O78" s="248">
        <f>G76*(1+O77/100)</f>
        <v>122.21000000000001</v>
      </c>
      <c r="P78" s="248">
        <f>H76*(1+P77/100)</f>
        <v>27.27</v>
      </c>
      <c r="Q78" s="248">
        <f>N78+P78</f>
        <v>74.740000000000009</v>
      </c>
      <c r="R78" s="248">
        <f>M78+Q78</f>
        <v>149.48000000000002</v>
      </c>
      <c r="S78" s="248">
        <f>R76*(1+S77/100)</f>
        <v>141.79798133100056</v>
      </c>
      <c r="T78" s="248">
        <f t="shared" ref="T78" si="189">S76*(1+T77/100)</f>
        <v>147.21238797234193</v>
      </c>
      <c r="U78" s="248">
        <f t="shared" ref="U78" si="190">T76*(1+U77/100)</f>
        <v>153.10088349123561</v>
      </c>
      <c r="V78" s="248">
        <f t="shared" ref="V78" si="191">U76*(1+V77/100)</f>
        <v>159.22491883088503</v>
      </c>
      <c r="W78" s="248">
        <f t="shared" ref="W78" si="192">V76*(1+W77/100)</f>
        <v>165.59391558412042</v>
      </c>
      <c r="X78" s="248">
        <f t="shared" ref="X78" si="193">W76*(1+X77/100)</f>
        <v>172.21767220748524</v>
      </c>
      <c r="Y78" s="248">
        <f t="shared" ref="Y78" si="194">X76*(1+Y77/100)</f>
        <v>179.10637909578466</v>
      </c>
      <c r="Z78" s="248">
        <f t="shared" ref="Z78" si="195">Y76*(1+Z77/100)</f>
        <v>186.27063425961606</v>
      </c>
      <c r="AA78" s="248">
        <f t="shared" ref="AA78" si="196">Z76*(1+AA77/100)</f>
        <v>193.72145963000071</v>
      </c>
    </row>
    <row r="79" spans="2:27" x14ac:dyDescent="0.2">
      <c r="B79" s="35" t="s">
        <v>3</v>
      </c>
      <c r="C79" s="154" t="s">
        <v>274</v>
      </c>
      <c r="D79" s="154" t="s">
        <v>274</v>
      </c>
      <c r="E79" s="154" t="s">
        <v>274</v>
      </c>
      <c r="F79" s="154" t="s">
        <v>274</v>
      </c>
      <c r="G79" s="154" t="s">
        <v>274</v>
      </c>
      <c r="H79" s="154" t="s">
        <v>274</v>
      </c>
      <c r="I79" s="154" t="s">
        <v>274</v>
      </c>
      <c r="J79" s="154" t="s">
        <v>274</v>
      </c>
      <c r="K79" s="261">
        <f>(K76/C76-1)*100</f>
        <v>-12.397517239112666</v>
      </c>
      <c r="L79" s="261">
        <f t="shared" ref="L79" si="197">(L76/D76-1)*100</f>
        <v>-9.9684310003696481</v>
      </c>
      <c r="M79" s="261">
        <f t="shared" ref="M79" si="198">(M76/E76-1)*100</f>
        <v>-11.182974119741152</v>
      </c>
      <c r="N79" s="261">
        <f t="shared" ref="N79" si="199">(N76/F76-1)*100</f>
        <v>-5.0202833098944577</v>
      </c>
      <c r="O79" s="261">
        <f t="shared" ref="O79" si="200">(O76/G76-1)*100</f>
        <v>-8.7892016564122706</v>
      </c>
      <c r="P79" s="261">
        <f t="shared" ref="P79" si="201">(P76/H76-1)*100</f>
        <v>-3.7809376943384376</v>
      </c>
      <c r="Q79" s="261">
        <f t="shared" ref="Q79" si="202">(Q76/I76-1)*100</f>
        <v>-4.5680896393537562</v>
      </c>
      <c r="R79" s="261">
        <f t="shared" ref="R79" si="203">(R76/J76-1)*100</f>
        <v>-7.8755318795474594</v>
      </c>
      <c r="S79" s="261">
        <f>(S76/R76-1)*100</f>
        <v>3.8183947264400553</v>
      </c>
      <c r="T79" s="261">
        <f t="shared" ref="T79:AA79" si="204">(T76/S76-1)*100</f>
        <v>4.0000000000000036</v>
      </c>
      <c r="U79" s="261">
        <f t="shared" si="204"/>
        <v>4.0000000000000036</v>
      </c>
      <c r="V79" s="261">
        <f t="shared" si="204"/>
        <v>4.0000000000000036</v>
      </c>
      <c r="W79" s="261">
        <f t="shared" si="204"/>
        <v>4.0000000000000036</v>
      </c>
      <c r="X79" s="261">
        <f t="shared" si="204"/>
        <v>4.0000000000000036</v>
      </c>
      <c r="Y79" s="261">
        <f t="shared" si="204"/>
        <v>4.0000000000000036</v>
      </c>
      <c r="Z79" s="261">
        <f t="shared" si="204"/>
        <v>4.0000000000000036</v>
      </c>
      <c r="AA79" s="261">
        <f t="shared" si="204"/>
        <v>4.0000000000000036</v>
      </c>
    </row>
    <row r="80" spans="2:27" x14ac:dyDescent="0.2">
      <c r="B80" s="116"/>
      <c r="C80" s="17"/>
      <c r="D80" s="17"/>
      <c r="E80" s="17"/>
      <c r="F80" s="17"/>
      <c r="H80" s="17"/>
    </row>
    <row r="81" spans="2:27" x14ac:dyDescent="0.2">
      <c r="B81" s="101" t="s">
        <v>422</v>
      </c>
      <c r="C81" s="246">
        <v>44</v>
      </c>
      <c r="D81" s="246">
        <v>46</v>
      </c>
      <c r="E81" s="248">
        <f>C81+D81</f>
        <v>90</v>
      </c>
      <c r="F81" s="246">
        <v>48</v>
      </c>
      <c r="G81" s="248">
        <f>E81+F81</f>
        <v>138</v>
      </c>
      <c r="H81" s="246">
        <v>44</v>
      </c>
      <c r="I81" s="248">
        <f>F81+H81</f>
        <v>92</v>
      </c>
      <c r="J81" s="248">
        <f>C81+D81+F81+H81</f>
        <v>182</v>
      </c>
      <c r="K81" s="248">
        <f>(((K83)/(K$12/C$12)))</f>
        <v>39.335551768484137</v>
      </c>
      <c r="L81" s="248">
        <f>M81-K81</f>
        <v>38.542979334444922</v>
      </c>
      <c r="M81" s="248">
        <f>(((M83)/(M$12/E$12)))</f>
        <v>77.87853110292906</v>
      </c>
      <c r="N81" s="248">
        <f>O81-M81</f>
        <v>44.12664112767321</v>
      </c>
      <c r="O81" s="248">
        <f>(((O83)/(O$12/G$12)))</f>
        <v>122.00517223060227</v>
      </c>
      <c r="P81" s="248">
        <f>(((P83)/(P$12/H$12)))</f>
        <v>40.226006503275883</v>
      </c>
      <c r="Q81" s="248">
        <f>P81+N81</f>
        <v>84.352647630949093</v>
      </c>
      <c r="R81" s="248">
        <f>Q81+M81</f>
        <v>162.23117873387815</v>
      </c>
      <c r="S81" s="248">
        <f t="shared" ref="S81:AA81" si="205">(((S83)/(S$12/R$12)))</f>
        <v>164.03121546851335</v>
      </c>
      <c r="T81" s="248">
        <f t="shared" si="205"/>
        <v>168.95215193256877</v>
      </c>
      <c r="U81" s="248">
        <f t="shared" si="205"/>
        <v>174.02071649054582</v>
      </c>
      <c r="V81" s="248">
        <f t="shared" si="205"/>
        <v>177.50113082035674</v>
      </c>
      <c r="W81" s="248">
        <f t="shared" si="205"/>
        <v>181.05115343676388</v>
      </c>
      <c r="X81" s="248">
        <f t="shared" si="205"/>
        <v>184.67217650549915</v>
      </c>
      <c r="Y81" s="248">
        <f t="shared" si="205"/>
        <v>188.36562003560914</v>
      </c>
      <c r="Z81" s="248">
        <f t="shared" si="205"/>
        <v>192.13293243632134</v>
      </c>
      <c r="AA81" s="248">
        <f t="shared" si="205"/>
        <v>195.97559108504777</v>
      </c>
    </row>
    <row r="82" spans="2:27" x14ac:dyDescent="0.2">
      <c r="B82" s="35" t="s">
        <v>2</v>
      </c>
      <c r="C82" s="263">
        <v>6</v>
      </c>
      <c r="D82" s="264">
        <v>-1.2000000000000099</v>
      </c>
      <c r="E82" s="263">
        <v>2</v>
      </c>
      <c r="F82" s="264">
        <v>-3.0638297872340403</v>
      </c>
      <c r="G82" s="263">
        <v>0</v>
      </c>
      <c r="H82" s="264">
        <v>-7.0638297872340328</v>
      </c>
      <c r="I82" s="264">
        <v>-5.0638297872340328</v>
      </c>
      <c r="J82" s="263">
        <v>-2</v>
      </c>
      <c r="K82" s="265">
        <v>0</v>
      </c>
      <c r="L82" s="264">
        <v>0</v>
      </c>
      <c r="M82" s="265">
        <v>0</v>
      </c>
      <c r="N82" s="264">
        <v>0</v>
      </c>
      <c r="O82" s="266">
        <v>0</v>
      </c>
      <c r="P82" s="265">
        <v>0</v>
      </c>
      <c r="Q82" s="264">
        <v>0</v>
      </c>
      <c r="R82" s="264">
        <v>0</v>
      </c>
      <c r="S82" s="266">
        <v>3</v>
      </c>
      <c r="T82" s="266">
        <v>3</v>
      </c>
      <c r="U82" s="266">
        <v>3</v>
      </c>
      <c r="V82" s="266">
        <v>2</v>
      </c>
      <c r="W82" s="266">
        <v>2</v>
      </c>
      <c r="X82" s="266">
        <v>2</v>
      </c>
      <c r="Y82" s="266">
        <v>2</v>
      </c>
      <c r="Z82" s="266">
        <v>2</v>
      </c>
      <c r="AA82" s="266">
        <v>2</v>
      </c>
    </row>
    <row r="83" spans="2:27" x14ac:dyDescent="0.2">
      <c r="B83" s="2" t="s">
        <v>4</v>
      </c>
      <c r="C83" s="154" t="s">
        <v>274</v>
      </c>
      <c r="D83" s="154" t="s">
        <v>274</v>
      </c>
      <c r="E83" s="154" t="s">
        <v>274</v>
      </c>
      <c r="F83" s="154" t="s">
        <v>274</v>
      </c>
      <c r="G83" s="154" t="s">
        <v>274</v>
      </c>
      <c r="H83" s="154" t="s">
        <v>274</v>
      </c>
      <c r="I83" s="154" t="s">
        <v>274</v>
      </c>
      <c r="J83" s="154" t="s">
        <v>274</v>
      </c>
      <c r="K83" s="248">
        <f>C81*(1+K82/100)</f>
        <v>44</v>
      </c>
      <c r="L83" s="248">
        <f>M83-K83</f>
        <v>46</v>
      </c>
      <c r="M83" s="248">
        <f>E81*(1+M82/100)</f>
        <v>90</v>
      </c>
      <c r="N83" s="248">
        <f>O83-M83</f>
        <v>48</v>
      </c>
      <c r="O83" s="248">
        <f>G81*(1+O82/100)</f>
        <v>138</v>
      </c>
      <c r="P83" s="248">
        <f>H81*(1+P82/100)</f>
        <v>44</v>
      </c>
      <c r="Q83" s="248">
        <f>N83+P83</f>
        <v>92</v>
      </c>
      <c r="R83" s="248">
        <f>M83+Q83</f>
        <v>182</v>
      </c>
      <c r="S83" s="248">
        <f>R81*(1+S82/100)</f>
        <v>167.09811409589449</v>
      </c>
      <c r="T83" s="248">
        <f t="shared" ref="T83" si="206">S81*(1+T82/100)</f>
        <v>168.95215193256877</v>
      </c>
      <c r="U83" s="248">
        <f t="shared" ref="U83" si="207">T81*(1+U82/100)</f>
        <v>174.02071649054582</v>
      </c>
      <c r="V83" s="248">
        <f t="shared" ref="V83" si="208">U81*(1+V82/100)</f>
        <v>177.50113082035674</v>
      </c>
      <c r="W83" s="248">
        <f t="shared" ref="W83" si="209">V81*(1+W82/100)</f>
        <v>181.05115343676388</v>
      </c>
      <c r="X83" s="248">
        <f t="shared" ref="X83" si="210">W81*(1+X82/100)</f>
        <v>184.67217650549915</v>
      </c>
      <c r="Y83" s="248">
        <f t="shared" ref="Y83" si="211">X81*(1+Y82/100)</f>
        <v>188.36562003560914</v>
      </c>
      <c r="Z83" s="248">
        <f t="shared" ref="Z83" si="212">Y81*(1+Z82/100)</f>
        <v>192.13293243632134</v>
      </c>
      <c r="AA83" s="248">
        <f t="shared" ref="AA83" si="213">Z81*(1+AA82/100)</f>
        <v>195.97559108504777</v>
      </c>
    </row>
    <row r="84" spans="2:27" x14ac:dyDescent="0.2">
      <c r="B84" s="35" t="s">
        <v>3</v>
      </c>
      <c r="C84" s="154" t="s">
        <v>274</v>
      </c>
      <c r="D84" s="154" t="s">
        <v>274</v>
      </c>
      <c r="E84" s="154" t="s">
        <v>274</v>
      </c>
      <c r="F84" s="154" t="s">
        <v>274</v>
      </c>
      <c r="G84" s="154" t="s">
        <v>274</v>
      </c>
      <c r="H84" s="154" t="s">
        <v>274</v>
      </c>
      <c r="I84" s="154" t="s">
        <v>274</v>
      </c>
      <c r="J84" s="154" t="s">
        <v>274</v>
      </c>
      <c r="K84" s="261">
        <f>(K81/C81-1)*100</f>
        <v>-10.601018707990594</v>
      </c>
      <c r="L84" s="261">
        <f t="shared" ref="L84" si="214">(L81/D81-1)*100</f>
        <v>-16.210914490337125</v>
      </c>
      <c r="M84" s="261">
        <f t="shared" ref="M84" si="215">(M81/E81-1)*100</f>
        <v>-13.468298774523269</v>
      </c>
      <c r="N84" s="261">
        <f t="shared" ref="N84" si="216">(N81/F81-1)*100</f>
        <v>-8.0694976506808125</v>
      </c>
      <c r="O84" s="261">
        <f t="shared" ref="O84" si="217">(O81/G81-1)*100</f>
        <v>-11.590454905360669</v>
      </c>
      <c r="P84" s="261">
        <f t="shared" ref="P84" si="218">(P81/H81-1)*100</f>
        <v>-8.5772579471002697</v>
      </c>
      <c r="Q84" s="261">
        <f t="shared" ref="Q84" si="219">(Q81/I81-1)*100</f>
        <v>-8.3123395315770736</v>
      </c>
      <c r="R84" s="261">
        <f t="shared" ref="R84" si="220">(R81/J81-1)*100</f>
        <v>-10.861989706660358</v>
      </c>
      <c r="S84" s="261">
        <f>(S81/R81-1)*100</f>
        <v>1.1095504259313493</v>
      </c>
      <c r="T84" s="261">
        <f t="shared" ref="T84:AA84" si="221">(T81/S81-1)*100</f>
        <v>3.0000000000000027</v>
      </c>
      <c r="U84" s="261">
        <f t="shared" si="221"/>
        <v>3.0000000000000027</v>
      </c>
      <c r="V84" s="261">
        <f t="shared" si="221"/>
        <v>2.0000000000000018</v>
      </c>
      <c r="W84" s="261">
        <f t="shared" si="221"/>
        <v>2.0000000000000018</v>
      </c>
      <c r="X84" s="261">
        <f t="shared" si="221"/>
        <v>2.0000000000000018</v>
      </c>
      <c r="Y84" s="261">
        <f t="shared" si="221"/>
        <v>2.0000000000000018</v>
      </c>
      <c r="Z84" s="261">
        <f t="shared" si="221"/>
        <v>2.0000000000000018</v>
      </c>
      <c r="AA84" s="261">
        <f t="shared" si="221"/>
        <v>2.0000000000000018</v>
      </c>
    </row>
    <row r="85" spans="2:27" x14ac:dyDescent="0.2">
      <c r="E85" s="224"/>
    </row>
    <row r="86" spans="2:27" x14ac:dyDescent="0.2">
      <c r="B86" s="61" t="s">
        <v>424</v>
      </c>
      <c r="C86" s="247">
        <f>C56+C61+C66+C71+C76+C81</f>
        <v>492</v>
      </c>
      <c r="D86" s="247">
        <f t="shared" ref="D86:I86" si="222">D56+D61+D66+D71+D76+D81</f>
        <v>425</v>
      </c>
      <c r="E86" s="247">
        <f t="shared" si="222"/>
        <v>917</v>
      </c>
      <c r="F86" s="247">
        <f t="shared" si="222"/>
        <v>486</v>
      </c>
      <c r="G86" s="247">
        <f t="shared" si="222"/>
        <v>1403</v>
      </c>
      <c r="H86" s="247">
        <f t="shared" si="222"/>
        <v>429</v>
      </c>
      <c r="I86" s="247">
        <f t="shared" si="222"/>
        <v>915</v>
      </c>
      <c r="J86" s="247">
        <f>J56+J61+J66+J71+J76+J81</f>
        <v>1832</v>
      </c>
      <c r="K86" s="247">
        <f t="shared" ref="K86:AA86" si="223">K56+K61+K66+K71+K76+K81</f>
        <v>463.27754146382716</v>
      </c>
      <c r="L86" s="247">
        <f t="shared" si="223"/>
        <v>411.91694873417384</v>
      </c>
      <c r="M86" s="247">
        <f t="shared" si="223"/>
        <v>875.19449019800095</v>
      </c>
      <c r="N86" s="247">
        <f t="shared" si="223"/>
        <v>489.97123581312394</v>
      </c>
      <c r="O86" s="247">
        <f t="shared" si="223"/>
        <v>1365.1657260111249</v>
      </c>
      <c r="P86" s="247">
        <f t="shared" si="223"/>
        <v>430.55799715838731</v>
      </c>
      <c r="Q86" s="247">
        <f t="shared" si="223"/>
        <v>920.52923297151119</v>
      </c>
      <c r="R86" s="247">
        <f t="shared" si="223"/>
        <v>1795.7237231695124</v>
      </c>
      <c r="S86" s="247">
        <f t="shared" si="223"/>
        <v>1889.3125800952953</v>
      </c>
      <c r="T86" s="247">
        <f t="shared" si="223"/>
        <v>1976.047373111835</v>
      </c>
      <c r="U86" s="247">
        <f t="shared" si="223"/>
        <v>2054.7476243143769</v>
      </c>
      <c r="V86" s="247">
        <f t="shared" si="223"/>
        <v>2131.8532310850364</v>
      </c>
      <c r="W86" s="247">
        <f t="shared" si="223"/>
        <v>2212.1581094481539</v>
      </c>
      <c r="X86" s="247">
        <f t="shared" si="223"/>
        <v>2295.8087474744211</v>
      </c>
      <c r="Y86" s="247">
        <f t="shared" si="223"/>
        <v>2382.9589384956889</v>
      </c>
      <c r="Z86" s="247">
        <f t="shared" si="223"/>
        <v>2473.7701700381613</v>
      </c>
      <c r="AA86" s="247">
        <f t="shared" si="223"/>
        <v>2568.4120344217931</v>
      </c>
    </row>
    <row r="87" spans="2:27" x14ac:dyDescent="0.2">
      <c r="B87" s="105" t="s">
        <v>2</v>
      </c>
      <c r="C87" s="263">
        <v>13.3</v>
      </c>
      <c r="D87" s="261">
        <v>5.6700379266750973</v>
      </c>
      <c r="E87" s="261">
        <v>9.9031462060456619</v>
      </c>
      <c r="F87" s="261">
        <v>0.4641051567239553</v>
      </c>
      <c r="G87" s="261">
        <v>6.3264367816092086</v>
      </c>
      <c r="H87" s="263">
        <v>-0.7</v>
      </c>
      <c r="I87" s="261">
        <v>-0.99738219895288904</v>
      </c>
      <c r="J87" s="263">
        <v>4.4000000000000004</v>
      </c>
      <c r="K87" s="261">
        <f>(K88-C86)/C86%</f>
        <v>2.3191056910569157</v>
      </c>
      <c r="L87" s="261">
        <f t="shared" ref="L87" si="224">(L88-D86)/D86%</f>
        <v>5.3576470588235248</v>
      </c>
      <c r="M87" s="261">
        <f>(M88-E86)/E86%</f>
        <v>3.727371864776452</v>
      </c>
      <c r="N87" s="261">
        <f t="shared" ref="N87" si="225">(N88-F86)/F86%</f>
        <v>4.7325102880658667</v>
      </c>
      <c r="O87" s="261">
        <f>(O88-G86)/G86%</f>
        <v>4.0755523877405606</v>
      </c>
      <c r="P87" s="261">
        <f>(P88-H86)/H86%</f>
        <v>4.3613053613053561</v>
      </c>
      <c r="Q87" s="261">
        <f t="shared" ref="Q87" si="226">(Q88-I86)/I86%</f>
        <v>4.5584699453551947</v>
      </c>
      <c r="R87" s="261">
        <f>(R88-J86)/J86%</f>
        <v>4.1424672489082903</v>
      </c>
      <c r="S87" s="261">
        <f t="shared" ref="S87" si="227">(S88-R86)/R86%</f>
        <v>5.462505428362098</v>
      </c>
      <c r="T87" s="261">
        <f t="shared" ref="T87" si="228">(T88-S86)/S86%</f>
        <v>4.5908122314077255</v>
      </c>
      <c r="U87" s="261">
        <f t="shared" ref="U87" si="229">(U88-T86)/T86%</f>
        <v>3.982710752455624</v>
      </c>
      <c r="V87" s="261">
        <f t="shared" ref="V87" si="230">(V88-U86)/U86%</f>
        <v>3.752558506857401</v>
      </c>
      <c r="W87" s="261">
        <f t="shared" ref="W87" si="231">(W88-V86)/V86%</f>
        <v>3.7669046439114013</v>
      </c>
      <c r="X87" s="261">
        <f t="shared" ref="X87" si="232">(X88-W86)/W86%</f>
        <v>3.7814041260881788</v>
      </c>
      <c r="Y87" s="261">
        <f t="shared" ref="Y87" si="233">(Y88-X86)/X86%</f>
        <v>3.796056231475736</v>
      </c>
      <c r="Z87" s="261">
        <f t="shared" ref="Z87" si="234">(Z88-Y86)/Y86%</f>
        <v>3.8108601065446615</v>
      </c>
      <c r="AA87" s="261">
        <f t="shared" ref="AA87" si="235">(AA88-Z86)/Z86%</f>
        <v>3.8258147636314925</v>
      </c>
    </row>
    <row r="88" spans="2:27" x14ac:dyDescent="0.2">
      <c r="B88" s="91" t="s">
        <v>308</v>
      </c>
      <c r="C88" s="254">
        <v>472.84000000000003</v>
      </c>
      <c r="D88" s="254">
        <v>417.92500000000001</v>
      </c>
      <c r="E88" s="254">
        <v>890.7650000000001</v>
      </c>
      <c r="F88" s="254">
        <v>496.79499999999996</v>
      </c>
      <c r="G88" s="254">
        <v>1387.5600000000002</v>
      </c>
      <c r="H88" s="254">
        <v>448.68</v>
      </c>
      <c r="I88" s="254">
        <v>945.47499999999991</v>
      </c>
      <c r="J88" s="254">
        <v>1836.2400000000002</v>
      </c>
      <c r="K88" s="254">
        <f>K58+K63+K68+K73+K78+K83</f>
        <v>503.41</v>
      </c>
      <c r="L88" s="254">
        <f t="shared" ref="L88:AA88" si="236">L58+L63+L68+L73+L78+L83</f>
        <v>447.77</v>
      </c>
      <c r="M88" s="254">
        <f t="shared" si="236"/>
        <v>951.18000000000006</v>
      </c>
      <c r="N88" s="254">
        <f t="shared" si="236"/>
        <v>509.00000000000011</v>
      </c>
      <c r="O88" s="254">
        <f t="shared" si="236"/>
        <v>1460.18</v>
      </c>
      <c r="P88" s="254">
        <f t="shared" si="236"/>
        <v>447.71</v>
      </c>
      <c r="Q88" s="254">
        <f t="shared" si="236"/>
        <v>956.71</v>
      </c>
      <c r="R88" s="254">
        <f t="shared" si="236"/>
        <v>1907.8899999999999</v>
      </c>
      <c r="S88" s="254">
        <f t="shared" si="236"/>
        <v>1893.815229026033</v>
      </c>
      <c r="T88" s="254">
        <f t="shared" si="236"/>
        <v>1976.047373111835</v>
      </c>
      <c r="U88" s="254">
        <f t="shared" si="236"/>
        <v>2054.7476243143769</v>
      </c>
      <c r="V88" s="254">
        <f t="shared" si="236"/>
        <v>2131.8532310850364</v>
      </c>
      <c r="W88" s="254">
        <f t="shared" si="236"/>
        <v>2212.1581094481539</v>
      </c>
      <c r="X88" s="254">
        <f t="shared" si="236"/>
        <v>2295.8087474744207</v>
      </c>
      <c r="Y88" s="254">
        <f t="shared" si="236"/>
        <v>2382.9589384956889</v>
      </c>
      <c r="Z88" s="254">
        <f t="shared" si="236"/>
        <v>2473.7701700381613</v>
      </c>
      <c r="AA88" s="254">
        <f t="shared" si="236"/>
        <v>2568.4120344217931</v>
      </c>
    </row>
    <row r="89" spans="2:27" x14ac:dyDescent="0.2">
      <c r="B89" s="106" t="s">
        <v>3</v>
      </c>
      <c r="C89" s="262">
        <v>18.506024096385545</v>
      </c>
      <c r="D89" s="262">
        <v>7.5853350189633373</v>
      </c>
      <c r="E89" s="262">
        <v>13.177051202961129</v>
      </c>
      <c r="F89" s="262">
        <v>-1.9817997977755331</v>
      </c>
      <c r="G89" s="262">
        <v>7.4329501915708809</v>
      </c>
      <c r="H89" s="262">
        <v>-6.6232356134636259</v>
      </c>
      <c r="I89" s="262">
        <v>-4.21989528795811</v>
      </c>
      <c r="J89" s="262">
        <v>3.7666383460775981</v>
      </c>
      <c r="K89" s="262">
        <f>(K86-C86)/C86%</f>
        <v>-5.8378980764578943</v>
      </c>
      <c r="L89" s="262">
        <f t="shared" ref="L89" si="237">(L86-D86)/D86%</f>
        <v>-3.0783650037238015</v>
      </c>
      <c r="M89" s="262">
        <f t="shared" ref="M89" si="238">(M86-E86)/E86%</f>
        <v>-4.5589432717556218</v>
      </c>
      <c r="N89" s="262">
        <f t="shared" ref="N89" si="239">(N86-F86)/F86%</f>
        <v>0.81712671051932917</v>
      </c>
      <c r="O89" s="262">
        <f t="shared" ref="O89" si="240">(O86-G86)/G86%</f>
        <v>-2.6966695644244556</v>
      </c>
      <c r="P89" s="262">
        <f t="shared" ref="P89" si="241">(P86-H86)/H86%</f>
        <v>0.36316950078958249</v>
      </c>
      <c r="Q89" s="262">
        <f t="shared" ref="Q89" si="242">(Q86-I86)/I86%</f>
        <v>0.60428775644931054</v>
      </c>
      <c r="R89" s="262">
        <f t="shared" ref="R89" si="243">(R86-J86)/J86%</f>
        <v>-1.9801461152012898</v>
      </c>
      <c r="S89" s="262">
        <f>(S86-R86)/R86%</f>
        <v>5.2117625733982873</v>
      </c>
      <c r="T89" s="262">
        <f t="shared" ref="T89:AA89" si="244">(T86-S86)/S86%</f>
        <v>4.5908122314077255</v>
      </c>
      <c r="U89" s="262">
        <f t="shared" si="244"/>
        <v>3.982710752455624</v>
      </c>
      <c r="V89" s="262">
        <f t="shared" si="244"/>
        <v>3.752558506857401</v>
      </c>
      <c r="W89" s="262">
        <f t="shared" si="244"/>
        <v>3.7669046439114013</v>
      </c>
      <c r="X89" s="262">
        <f t="shared" si="244"/>
        <v>3.7814041260881992</v>
      </c>
      <c r="Y89" s="262">
        <f t="shared" si="244"/>
        <v>3.796056231475736</v>
      </c>
      <c r="Z89" s="262">
        <f t="shared" si="244"/>
        <v>3.8108601065446615</v>
      </c>
      <c r="AA89" s="262">
        <f t="shared" si="244"/>
        <v>3.8258147636314925</v>
      </c>
    </row>
    <row r="91" spans="2:27" x14ac:dyDescent="0.2">
      <c r="B91" s="142" t="s">
        <v>425</v>
      </c>
      <c r="C91" s="173" t="str">
        <f>C$3</f>
        <v>Q117</v>
      </c>
      <c r="D91" s="173" t="str">
        <f t="shared" ref="D91:AA91" si="245">D$3</f>
        <v>Q217</v>
      </c>
      <c r="E91" s="173" t="str">
        <f t="shared" si="245"/>
        <v>H117</v>
      </c>
      <c r="F91" s="173" t="str">
        <f t="shared" si="245"/>
        <v>Q317</v>
      </c>
      <c r="G91" s="173" t="str">
        <f t="shared" si="245"/>
        <v>9M17</v>
      </c>
      <c r="H91" s="173" t="str">
        <f t="shared" si="245"/>
        <v>Q417</v>
      </c>
      <c r="I91" s="173" t="str">
        <f t="shared" si="245"/>
        <v>2H17</v>
      </c>
      <c r="J91" s="249">
        <f t="shared" si="245"/>
        <v>2017</v>
      </c>
      <c r="K91" s="173" t="str">
        <f t="shared" si="245"/>
        <v>Q118e</v>
      </c>
      <c r="L91" s="173" t="str">
        <f t="shared" si="245"/>
        <v>Q218e</v>
      </c>
      <c r="M91" s="173" t="str">
        <f t="shared" si="245"/>
        <v>H118e</v>
      </c>
      <c r="N91" s="173" t="str">
        <f t="shared" si="245"/>
        <v>Q318e</v>
      </c>
      <c r="O91" s="173" t="str">
        <f t="shared" si="245"/>
        <v>9M18e</v>
      </c>
      <c r="P91" s="173" t="str">
        <f t="shared" si="245"/>
        <v>Q418e</v>
      </c>
      <c r="Q91" s="173" t="str">
        <f t="shared" si="245"/>
        <v>2H18e</v>
      </c>
      <c r="R91" s="173">
        <f t="shared" si="245"/>
        <v>2018</v>
      </c>
      <c r="S91" s="173">
        <f t="shared" si="245"/>
        <v>2019</v>
      </c>
      <c r="T91" s="173">
        <f t="shared" si="245"/>
        <v>2020</v>
      </c>
      <c r="U91" s="173">
        <f t="shared" si="245"/>
        <v>2021</v>
      </c>
      <c r="V91" s="173">
        <f t="shared" si="245"/>
        <v>2022</v>
      </c>
      <c r="W91" s="173">
        <f t="shared" si="245"/>
        <v>2023</v>
      </c>
      <c r="X91" s="173">
        <f t="shared" si="245"/>
        <v>2024</v>
      </c>
      <c r="Y91" s="173">
        <f t="shared" si="245"/>
        <v>2025</v>
      </c>
      <c r="Z91" s="173">
        <f t="shared" si="245"/>
        <v>2026</v>
      </c>
      <c r="AA91" s="173">
        <f t="shared" si="245"/>
        <v>2027</v>
      </c>
    </row>
    <row r="92" spans="2:27" x14ac:dyDescent="0.2">
      <c r="B92" s="101" t="s">
        <v>222</v>
      </c>
      <c r="C92" s="248">
        <f t="shared" ref="C92:K92" si="246">C20+C56</f>
        <v>1536</v>
      </c>
      <c r="D92" s="248">
        <f t="shared" si="246"/>
        <v>1432</v>
      </c>
      <c r="E92" s="248">
        <f t="shared" si="246"/>
        <v>2968</v>
      </c>
      <c r="F92" s="248">
        <f t="shared" si="246"/>
        <v>1671</v>
      </c>
      <c r="G92" s="248">
        <f t="shared" si="246"/>
        <v>4639</v>
      </c>
      <c r="H92" s="248">
        <f t="shared" si="246"/>
        <v>1292</v>
      </c>
      <c r="I92" s="248">
        <f t="shared" si="246"/>
        <v>2963</v>
      </c>
      <c r="J92" s="248">
        <f t="shared" si="246"/>
        <v>5931</v>
      </c>
      <c r="K92" s="248">
        <f t="shared" si="246"/>
        <v>1614.8501899929374</v>
      </c>
      <c r="L92" s="248">
        <f t="shared" ref="L92:Q92" si="247">L20+L56</f>
        <v>1513.93965055791</v>
      </c>
      <c r="M92" s="248">
        <f t="shared" si="247"/>
        <v>3128.7898405508472</v>
      </c>
      <c r="N92" s="248">
        <f t="shared" si="247"/>
        <v>1822.4003738345928</v>
      </c>
      <c r="O92" s="248">
        <f t="shared" si="247"/>
        <v>4951.1902143854404</v>
      </c>
      <c r="P92" s="248">
        <f t="shared" si="247"/>
        <v>1364.7763060477857</v>
      </c>
      <c r="Q92" s="248">
        <f t="shared" si="247"/>
        <v>3187.1766798823787</v>
      </c>
      <c r="R92" s="248">
        <f>R20+R56</f>
        <v>6315.9665204332268</v>
      </c>
      <c r="S92" s="248">
        <f>S20+S56</f>
        <v>6823.8216552057875</v>
      </c>
      <c r="T92" s="248">
        <f t="shared" ref="T92:AA92" si="248">T20+T56</f>
        <v>7295.6346425481624</v>
      </c>
      <c r="U92" s="248">
        <f t="shared" si="248"/>
        <v>7720.9611206343479</v>
      </c>
      <c r="V92" s="248">
        <f t="shared" si="248"/>
        <v>8168.0837072656932</v>
      </c>
      <c r="W92" s="248">
        <f t="shared" si="248"/>
        <v>8641.4689212736848</v>
      </c>
      <c r="X92" s="248">
        <f t="shared" si="248"/>
        <v>9063.1717863036138</v>
      </c>
      <c r="Y92" s="248">
        <f t="shared" si="248"/>
        <v>9505.5968242488561</v>
      </c>
      <c r="Z92" s="248">
        <f t="shared" si="248"/>
        <v>9969.7674397934115</v>
      </c>
      <c r="AA92" s="248">
        <f t="shared" si="248"/>
        <v>10456.75776321682</v>
      </c>
    </row>
    <row r="93" spans="2:27" x14ac:dyDescent="0.2">
      <c r="B93" s="35" t="s">
        <v>2</v>
      </c>
      <c r="C93" s="263">
        <v>9.6</v>
      </c>
      <c r="D93" s="264">
        <v>19.13272877164059</v>
      </c>
      <c r="E93" s="263">
        <v>14</v>
      </c>
      <c r="F93" s="264">
        <v>8.6242774566474107</v>
      </c>
      <c r="G93" s="263">
        <v>12</v>
      </c>
      <c r="H93" s="264">
        <v>16.600000000000001</v>
      </c>
      <c r="I93" s="264">
        <v>12.013143071723563</v>
      </c>
      <c r="J93" s="263">
        <v>13</v>
      </c>
      <c r="K93" s="264">
        <f>(K94-C92)/C92%</f>
        <v>6.0976562500000053</v>
      </c>
      <c r="L93" s="264">
        <f t="shared" ref="L93:Q93" si="249">(L94-D92)/D92%</f>
        <v>6.4336592178771026</v>
      </c>
      <c r="M93" s="264">
        <f t="shared" si="249"/>
        <v>6.2597708894878847</v>
      </c>
      <c r="N93" s="264">
        <f t="shared" si="249"/>
        <v>8.7959305804907117</v>
      </c>
      <c r="O93" s="264">
        <f t="shared" si="249"/>
        <v>7.1733132140547626</v>
      </c>
      <c r="P93" s="264">
        <f t="shared" si="249"/>
        <v>5.3715170278637663</v>
      </c>
      <c r="Q93" s="264">
        <f t="shared" si="249"/>
        <v>7.3027337158285404</v>
      </c>
      <c r="R93" s="264">
        <f>(R94-J92)/J92%</f>
        <v>6.7808126791434686</v>
      </c>
      <c r="S93" s="261">
        <f t="shared" ref="S93" si="250">(S94-R92)/R92%</f>
        <v>8.0000000000000071</v>
      </c>
      <c r="T93" s="261">
        <f t="shared" ref="T93" si="251">(T94-S92)/S92%</f>
        <v>6.9142045496226618</v>
      </c>
      <c r="U93" s="261">
        <f t="shared" ref="U93" si="252">(U94-T92)/T92%</f>
        <v>5.8298763428431606</v>
      </c>
      <c r="V93" s="261">
        <f t="shared" ref="V93" si="253">(V94-U92)/U92%</f>
        <v>5.7910223823871556</v>
      </c>
      <c r="W93" s="261">
        <f t="shared" ref="W93" si="254">(W94-V92)/V92%</f>
        <v>5.7955480253820726</v>
      </c>
      <c r="X93" s="261">
        <f t="shared" ref="X93" si="255">(X94-W92)/W92%</f>
        <v>4.8799905302184809</v>
      </c>
      <c r="Y93" s="261">
        <f t="shared" ref="Y93" si="256">(Y94-X92)/X92%</f>
        <v>4.8815695914960031</v>
      </c>
      <c r="Z93" s="261">
        <f t="shared" ref="Z93" si="257">(Z94-Y92)/Y92%</f>
        <v>4.8831296353791522</v>
      </c>
      <c r="AA93" s="261">
        <f t="shared" ref="AA93" si="258">(AA94-Z92)/Z92%</f>
        <v>4.8846708447744804</v>
      </c>
    </row>
    <row r="94" spans="2:27" x14ac:dyDescent="0.2">
      <c r="B94" s="2" t="s">
        <v>4</v>
      </c>
      <c r="C94" s="154" t="s">
        <v>274</v>
      </c>
      <c r="D94" s="154" t="s">
        <v>274</v>
      </c>
      <c r="E94" s="154" t="s">
        <v>274</v>
      </c>
      <c r="F94" s="154" t="s">
        <v>274</v>
      </c>
      <c r="G94" s="154" t="s">
        <v>274</v>
      </c>
      <c r="H94" s="154" t="s">
        <v>274</v>
      </c>
      <c r="I94" s="154" t="s">
        <v>274</v>
      </c>
      <c r="J94" s="154" t="s">
        <v>274</v>
      </c>
      <c r="K94" s="248">
        <f>K22+K58</f>
        <v>1629.66</v>
      </c>
      <c r="L94" s="248">
        <f t="shared" ref="L94:Q94" si="259">L22+L58</f>
        <v>1524.13</v>
      </c>
      <c r="M94" s="248">
        <f t="shared" si="259"/>
        <v>3153.7900000000004</v>
      </c>
      <c r="N94" s="248">
        <f t="shared" si="259"/>
        <v>1817.9799999999998</v>
      </c>
      <c r="O94" s="248">
        <f t="shared" si="259"/>
        <v>4971.7700000000004</v>
      </c>
      <c r="P94" s="248">
        <f t="shared" si="259"/>
        <v>1361.3999999999999</v>
      </c>
      <c r="Q94" s="248">
        <f t="shared" si="259"/>
        <v>3179.3799999999997</v>
      </c>
      <c r="R94" s="248">
        <f>R22+R58</f>
        <v>6333.1699999999992</v>
      </c>
      <c r="S94" s="248">
        <f>S22+S58</f>
        <v>6821.2438420678855</v>
      </c>
      <c r="T94" s="248">
        <f t="shared" ref="T94:AA94" si="260">T22+T58</f>
        <v>7295.6346425481624</v>
      </c>
      <c r="U94" s="248">
        <f t="shared" si="260"/>
        <v>7720.9611206343479</v>
      </c>
      <c r="V94" s="248">
        <f t="shared" si="260"/>
        <v>8168.0837072656932</v>
      </c>
      <c r="W94" s="248">
        <f t="shared" si="260"/>
        <v>8641.4689212736848</v>
      </c>
      <c r="X94" s="248">
        <f t="shared" si="260"/>
        <v>9063.1717863036138</v>
      </c>
      <c r="Y94" s="248">
        <f t="shared" si="260"/>
        <v>9505.5968242488561</v>
      </c>
      <c r="Z94" s="248">
        <f t="shared" si="260"/>
        <v>9969.7674397934115</v>
      </c>
      <c r="AA94" s="248">
        <f t="shared" si="260"/>
        <v>10456.75776321682</v>
      </c>
    </row>
    <row r="95" spans="2:27" x14ac:dyDescent="0.2">
      <c r="B95" s="35" t="s">
        <v>3</v>
      </c>
      <c r="C95" s="154" t="s">
        <v>274</v>
      </c>
      <c r="D95" s="154" t="s">
        <v>274</v>
      </c>
      <c r="E95" s="154" t="s">
        <v>274</v>
      </c>
      <c r="F95" s="154" t="s">
        <v>274</v>
      </c>
      <c r="G95" s="154" t="s">
        <v>274</v>
      </c>
      <c r="H95" s="154" t="s">
        <v>274</v>
      </c>
      <c r="I95" s="154" t="s">
        <v>274</v>
      </c>
      <c r="J95" s="154" t="s">
        <v>274</v>
      </c>
      <c r="K95" s="261">
        <f>(K92-C92)/C92%</f>
        <v>5.1334759109985306</v>
      </c>
      <c r="L95" s="261">
        <f t="shared" ref="L95:Q95" si="261">(L92-D92)/D92%</f>
        <v>5.7220426367255586</v>
      </c>
      <c r="M95" s="261">
        <f t="shared" si="261"/>
        <v>5.4174474579126413</v>
      </c>
      <c r="N95" s="261">
        <f t="shared" si="261"/>
        <v>9.0604652205022589</v>
      </c>
      <c r="O95" s="261">
        <f t="shared" si="261"/>
        <v>6.7296877427342192</v>
      </c>
      <c r="P95" s="261">
        <f t="shared" si="261"/>
        <v>5.6328410253704133</v>
      </c>
      <c r="Q95" s="261">
        <f t="shared" si="261"/>
        <v>7.5658683726756237</v>
      </c>
      <c r="R95" s="261">
        <f>(R92-J92)/J92%</f>
        <v>6.4907523256318802</v>
      </c>
      <c r="S95" s="261">
        <f>(S92-R92)/R92%</f>
        <v>8.0408142305625407</v>
      </c>
      <c r="T95" s="261">
        <f t="shared" ref="T95:AA95" si="262">(T92-S92)/S92%</f>
        <v>6.9142045496226618</v>
      </c>
      <c r="U95" s="261">
        <f t="shared" si="262"/>
        <v>5.8298763428431606</v>
      </c>
      <c r="V95" s="261">
        <f t="shared" si="262"/>
        <v>5.7910223823871556</v>
      </c>
      <c r="W95" s="261">
        <f t="shared" si="262"/>
        <v>5.7955480253820726</v>
      </c>
      <c r="X95" s="261">
        <f t="shared" si="262"/>
        <v>4.8799905302184809</v>
      </c>
      <c r="Y95" s="261">
        <f t="shared" si="262"/>
        <v>4.8815695914960031</v>
      </c>
      <c r="Z95" s="261">
        <f t="shared" si="262"/>
        <v>4.8831296353791522</v>
      </c>
      <c r="AA95" s="261">
        <f t="shared" si="262"/>
        <v>4.8846708447744804</v>
      </c>
    </row>
    <row r="96" spans="2:27" x14ac:dyDescent="0.2">
      <c r="B96" s="116"/>
      <c r="C96" s="17"/>
      <c r="D96" s="17"/>
      <c r="E96" s="17"/>
      <c r="F96" s="17"/>
      <c r="G96" s="17"/>
      <c r="H96" s="17"/>
      <c r="I96" s="17"/>
      <c r="J96" s="17"/>
    </row>
    <row r="97" spans="2:27" x14ac:dyDescent="0.2">
      <c r="B97" s="101" t="s">
        <v>66</v>
      </c>
      <c r="C97" s="248">
        <f t="shared" ref="C97:K97" si="263">C25+C61</f>
        <v>988</v>
      </c>
      <c r="D97" s="248">
        <f t="shared" si="263"/>
        <v>1014</v>
      </c>
      <c r="E97" s="248">
        <f t="shared" si="263"/>
        <v>2002</v>
      </c>
      <c r="F97" s="248">
        <f t="shared" si="263"/>
        <v>1099</v>
      </c>
      <c r="G97" s="248">
        <f t="shared" si="263"/>
        <v>3101</v>
      </c>
      <c r="H97" s="248">
        <f t="shared" si="263"/>
        <v>1175</v>
      </c>
      <c r="I97" s="248">
        <f t="shared" si="263"/>
        <v>2274</v>
      </c>
      <c r="J97" s="248">
        <f t="shared" si="263"/>
        <v>4276</v>
      </c>
      <c r="K97" s="248">
        <f t="shared" si="263"/>
        <v>1082.5895501695011</v>
      </c>
      <c r="L97" s="248">
        <f t="shared" ref="L97:Q97" si="264">L25+L61</f>
        <v>1145.325499795475</v>
      </c>
      <c r="M97" s="248">
        <f t="shared" si="264"/>
        <v>2227.9150499649763</v>
      </c>
      <c r="N97" s="248">
        <f t="shared" si="264"/>
        <v>1249.6384492674588</v>
      </c>
      <c r="O97" s="248">
        <f t="shared" si="264"/>
        <v>3477.5534992324351</v>
      </c>
      <c r="P97" s="248">
        <f t="shared" si="264"/>
        <v>1364.1575867188008</v>
      </c>
      <c r="Q97" s="248">
        <f t="shared" si="264"/>
        <v>2613.7960359862595</v>
      </c>
      <c r="R97" s="248">
        <f t="shared" ref="R97" si="265">R25+R61</f>
        <v>4841.7110859512359</v>
      </c>
      <c r="S97" s="248">
        <f>S25+S61</f>
        <v>5379.8351456616974</v>
      </c>
      <c r="T97" s="248">
        <f t="shared" ref="T97:AA97" si="266">T25+T61</f>
        <v>5912.7874744553328</v>
      </c>
      <c r="U97" s="248">
        <f t="shared" si="266"/>
        <v>6473.3705010447229</v>
      </c>
      <c r="V97" s="248">
        <f t="shared" si="266"/>
        <v>6968.6568607841382</v>
      </c>
      <c r="W97" s="248">
        <f t="shared" si="266"/>
        <v>7437.8542180354389</v>
      </c>
      <c r="X97" s="248">
        <f t="shared" si="266"/>
        <v>7904.5437207257564</v>
      </c>
      <c r="Y97" s="248">
        <f t="shared" si="266"/>
        <v>8401.0649104464846</v>
      </c>
      <c r="Z97" s="248">
        <f t="shared" si="266"/>
        <v>8929.3417529352664</v>
      </c>
      <c r="AA97" s="248">
        <f t="shared" si="266"/>
        <v>9449.3941312620009</v>
      </c>
    </row>
    <row r="98" spans="2:27" x14ac:dyDescent="0.2">
      <c r="B98" s="35" t="s">
        <v>2</v>
      </c>
      <c r="C98" s="263">
        <v>30.6</v>
      </c>
      <c r="D98" s="264">
        <v>25.601269035533001</v>
      </c>
      <c r="E98" s="263">
        <v>28</v>
      </c>
      <c r="F98" s="264">
        <v>22.734913793103427</v>
      </c>
      <c r="G98" s="263">
        <v>26</v>
      </c>
      <c r="H98" s="264">
        <v>30.8</v>
      </c>
      <c r="I98" s="264">
        <v>26.200949367088629</v>
      </c>
      <c r="J98" s="263">
        <v>27</v>
      </c>
      <c r="K98" s="264">
        <f>(K99-C97)/C97%</f>
        <v>19.048582995951396</v>
      </c>
      <c r="L98" s="264">
        <f t="shared" ref="L98" si="267">(L99-D97)/D97%</f>
        <v>20.86143984220908</v>
      </c>
      <c r="M98" s="264">
        <f t="shared" ref="M98" si="268">(M99-E97)/E97%</f>
        <v>19.966783216783224</v>
      </c>
      <c r="N98" s="264">
        <f t="shared" ref="N98" si="269">(N99-F97)/F97%</f>
        <v>17.42793448589628</v>
      </c>
      <c r="O98" s="264">
        <f t="shared" ref="O98" si="270">(O99-G97)/G97%</f>
        <v>19.067010641728476</v>
      </c>
      <c r="P98" s="264">
        <f t="shared" ref="P98" si="271">(P99-H97)/H97%</f>
        <v>19.491914893617039</v>
      </c>
      <c r="Q98" s="264">
        <f t="shared" ref="Q98:R98" si="272">(Q99-I97)/I97%</f>
        <v>18.49441512752859</v>
      </c>
      <c r="R98" s="264">
        <f t="shared" si="272"/>
        <v>19.183769878391036</v>
      </c>
      <c r="S98" s="261">
        <f t="shared" ref="S98" si="273">(S99-R97)/R97%</f>
        <v>11.230862134982207</v>
      </c>
      <c r="T98" s="261">
        <f t="shared" ref="T98" si="274">(T99-S97)/S97%</f>
        <v>9.9064806702006187</v>
      </c>
      <c r="U98" s="261">
        <f t="shared" ref="U98" si="275">(U99-T97)/T97%</f>
        <v>9.4808587153054944</v>
      </c>
      <c r="V98" s="261">
        <f t="shared" ref="V98" si="276">(V99-U97)/U97%</f>
        <v>7.6511356743675192</v>
      </c>
      <c r="W98" s="261">
        <f t="shared" ref="W98" si="277">(W99-V97)/V97%</f>
        <v>6.7329668632658848</v>
      </c>
      <c r="X98" s="261">
        <f t="shared" ref="X98" si="278">(X99-W97)/W97%</f>
        <v>6.2745180129866043</v>
      </c>
      <c r="Y98" s="261">
        <f t="shared" ref="Y98" si="279">(Y99-X97)/X97%</f>
        <v>6.2814655375850093</v>
      </c>
      <c r="Z98" s="261">
        <f t="shared" ref="Z98" si="280">(Z99-Y97)/Y97%</f>
        <v>6.2882128411111857</v>
      </c>
      <c r="AA98" s="261">
        <f t="shared" ref="AA98" si="281">(AA99-Z97)/Z97%</f>
        <v>5.8240841566600592</v>
      </c>
    </row>
    <row r="99" spans="2:27" x14ac:dyDescent="0.2">
      <c r="B99" s="2" t="s">
        <v>4</v>
      </c>
      <c r="C99" s="154" t="s">
        <v>274</v>
      </c>
      <c r="D99" s="154" t="s">
        <v>274</v>
      </c>
      <c r="E99" s="154" t="s">
        <v>274</v>
      </c>
      <c r="F99" s="154" t="s">
        <v>274</v>
      </c>
      <c r="G99" s="154" t="s">
        <v>274</v>
      </c>
      <c r="H99" s="154" t="s">
        <v>274</v>
      </c>
      <c r="I99" s="154" t="s">
        <v>274</v>
      </c>
      <c r="J99" s="154" t="s">
        <v>274</v>
      </c>
      <c r="K99" s="248">
        <f>K27+K63</f>
        <v>1176.1999999999998</v>
      </c>
      <c r="L99" s="248">
        <f t="shared" ref="L99:Q99" si="282">L27+L63</f>
        <v>1225.5350000000001</v>
      </c>
      <c r="M99" s="248">
        <f t="shared" si="282"/>
        <v>2401.7350000000001</v>
      </c>
      <c r="N99" s="248">
        <f t="shared" si="282"/>
        <v>1290.5330000000001</v>
      </c>
      <c r="O99" s="248">
        <f t="shared" si="282"/>
        <v>3692.268</v>
      </c>
      <c r="P99" s="248">
        <f t="shared" si="282"/>
        <v>1404.0300000000002</v>
      </c>
      <c r="Q99" s="248">
        <f t="shared" si="282"/>
        <v>2694.5630000000001</v>
      </c>
      <c r="R99" s="248">
        <f t="shared" ref="R99" si="283">R27+R63</f>
        <v>5096.2980000000007</v>
      </c>
      <c r="S99" s="248">
        <f>S27+S63</f>
        <v>5385.476982988569</v>
      </c>
      <c r="T99" s="248">
        <f t="shared" ref="T99:AA99" si="284">T27+T63</f>
        <v>5912.7874744553328</v>
      </c>
      <c r="U99" s="248">
        <f t="shared" si="284"/>
        <v>6473.3705010447229</v>
      </c>
      <c r="V99" s="248">
        <f t="shared" si="284"/>
        <v>6968.6568607841391</v>
      </c>
      <c r="W99" s="248">
        <f t="shared" si="284"/>
        <v>7437.8542180354389</v>
      </c>
      <c r="X99" s="248">
        <f t="shared" si="284"/>
        <v>7904.5437207257564</v>
      </c>
      <c r="Y99" s="248">
        <f t="shared" si="284"/>
        <v>8401.0649104464846</v>
      </c>
      <c r="Z99" s="248">
        <f t="shared" si="284"/>
        <v>8929.3417529352664</v>
      </c>
      <c r="AA99" s="248">
        <f t="shared" si="284"/>
        <v>9449.3941312620009</v>
      </c>
    </row>
    <row r="100" spans="2:27" x14ac:dyDescent="0.2">
      <c r="B100" s="35" t="s">
        <v>3</v>
      </c>
      <c r="C100" s="154" t="s">
        <v>274</v>
      </c>
      <c r="D100" s="154" t="s">
        <v>274</v>
      </c>
      <c r="E100" s="154" t="s">
        <v>274</v>
      </c>
      <c r="F100" s="154" t="s">
        <v>274</v>
      </c>
      <c r="G100" s="154" t="s">
        <v>274</v>
      </c>
      <c r="H100" s="154" t="s">
        <v>274</v>
      </c>
      <c r="I100" s="154" t="s">
        <v>274</v>
      </c>
      <c r="J100" s="154" t="s">
        <v>274</v>
      </c>
      <c r="K100" s="261">
        <f>(K97-C97)/C97%</f>
        <v>9.5738411102733885</v>
      </c>
      <c r="L100" s="261">
        <f t="shared" ref="L100" si="285">(L97-D97)/D97%</f>
        <v>12.951232721447241</v>
      </c>
      <c r="M100" s="261">
        <f t="shared" ref="M100" si="286">(M97-E97)/E97%</f>
        <v>11.284468030218598</v>
      </c>
      <c r="N100" s="261">
        <f t="shared" ref="N100" si="287">(N97-F97)/F97%</f>
        <v>13.706865265464858</v>
      </c>
      <c r="O100" s="261">
        <f t="shared" ref="O100" si="288">(O97-G97)/G97%</f>
        <v>12.142969984922125</v>
      </c>
      <c r="P100" s="261">
        <f t="shared" ref="P100" si="289">(P97-H97)/H97%</f>
        <v>16.098518018621341</v>
      </c>
      <c r="Q100" s="261">
        <f t="shared" ref="Q100:R100" si="290">(Q97-I97)/I97%</f>
        <v>14.942657695086172</v>
      </c>
      <c r="R100" s="261">
        <f t="shared" si="290"/>
        <v>13.229913141984001</v>
      </c>
      <c r="S100" s="261">
        <f>(S97-R97)/R97%</f>
        <v>11.114336443409201</v>
      </c>
      <c r="T100" s="261">
        <f t="shared" ref="T100:AA100" si="291">(T97-S97)/S97%</f>
        <v>9.9064806702006187</v>
      </c>
      <c r="U100" s="261">
        <f t="shared" si="291"/>
        <v>9.4808587153054944</v>
      </c>
      <c r="V100" s="261">
        <f t="shared" si="291"/>
        <v>7.651135674367505</v>
      </c>
      <c r="W100" s="261">
        <f t="shared" si="291"/>
        <v>6.7329668632658848</v>
      </c>
      <c r="X100" s="261">
        <f t="shared" si="291"/>
        <v>6.2745180129866043</v>
      </c>
      <c r="Y100" s="261">
        <f t="shared" si="291"/>
        <v>6.2814655375850093</v>
      </c>
      <c r="Z100" s="261">
        <f t="shared" si="291"/>
        <v>6.2882128411111857</v>
      </c>
      <c r="AA100" s="261">
        <f t="shared" si="291"/>
        <v>5.8240841566600592</v>
      </c>
    </row>
    <row r="101" spans="2:27" x14ac:dyDescent="0.2">
      <c r="B101" s="116"/>
      <c r="C101" s="17"/>
      <c r="D101" s="17"/>
      <c r="E101" s="17"/>
      <c r="F101" s="17"/>
      <c r="G101" s="17"/>
      <c r="H101" s="17"/>
      <c r="I101" s="17"/>
      <c r="J101" s="17"/>
    </row>
    <row r="102" spans="2:27" x14ac:dyDescent="0.2">
      <c r="B102" s="101" t="s">
        <v>476</v>
      </c>
      <c r="C102" s="248">
        <f t="shared" ref="C102:K102" si="292">C30+C66</f>
        <v>1745</v>
      </c>
      <c r="D102" s="248">
        <f t="shared" si="292"/>
        <v>1495</v>
      </c>
      <c r="E102" s="248">
        <f t="shared" si="292"/>
        <v>3240</v>
      </c>
      <c r="F102" s="248">
        <f t="shared" si="292"/>
        <v>1664</v>
      </c>
      <c r="G102" s="248">
        <f t="shared" si="292"/>
        <v>4904</v>
      </c>
      <c r="H102" s="248">
        <f t="shared" si="292"/>
        <v>1499</v>
      </c>
      <c r="I102" s="248">
        <f t="shared" si="292"/>
        <v>3163</v>
      </c>
      <c r="J102" s="248">
        <f t="shared" si="292"/>
        <v>6403</v>
      </c>
      <c r="K102" s="248">
        <f t="shared" si="292"/>
        <v>1861.5369927002594</v>
      </c>
      <c r="L102" s="248">
        <f t="shared" ref="L102:Q102" si="293">L30+L66</f>
        <v>1633.7961696859177</v>
      </c>
      <c r="M102" s="248">
        <f t="shared" si="293"/>
        <v>3495.3331623861768</v>
      </c>
      <c r="N102" s="248">
        <f t="shared" si="293"/>
        <v>1878.7605030806628</v>
      </c>
      <c r="O102" s="248">
        <f t="shared" si="293"/>
        <v>5374.0936654668403</v>
      </c>
      <c r="P102" s="248">
        <f t="shared" si="293"/>
        <v>1678.1807232059286</v>
      </c>
      <c r="Q102" s="248">
        <f t="shared" si="293"/>
        <v>3556.9412262865917</v>
      </c>
      <c r="R102" s="248">
        <f t="shared" ref="R102" si="294">R30+R66</f>
        <v>7052.2743886727685</v>
      </c>
      <c r="S102" s="248">
        <f>S30+S66</f>
        <v>7890.673125440524</v>
      </c>
      <c r="T102" s="248">
        <f t="shared" ref="T102:AA102" si="295">T30+T66</f>
        <v>8664.9720028951288</v>
      </c>
      <c r="U102" s="248">
        <f t="shared" si="295"/>
        <v>9350.3424925293311</v>
      </c>
      <c r="V102" s="248">
        <f t="shared" si="295"/>
        <v>10090.072985098428</v>
      </c>
      <c r="W102" s="248">
        <f t="shared" si="295"/>
        <v>10888.484102663055</v>
      </c>
      <c r="X102" s="248">
        <f t="shared" si="295"/>
        <v>11646.016787590548</v>
      </c>
      <c r="Y102" s="248">
        <f t="shared" si="295"/>
        <v>12456.297088327432</v>
      </c>
      <c r="Z102" s="248">
        <f t="shared" si="295"/>
        <v>13323.000557652229</v>
      </c>
      <c r="AA102" s="248">
        <f t="shared" si="295"/>
        <v>14250.059030218274</v>
      </c>
    </row>
    <row r="103" spans="2:27" x14ac:dyDescent="0.2">
      <c r="B103" s="35" t="s">
        <v>2</v>
      </c>
      <c r="C103" s="261">
        <v>24.841533524355302</v>
      </c>
      <c r="D103" s="261">
        <v>21.302531078484062</v>
      </c>
      <c r="E103" s="261">
        <v>23.177586900603941</v>
      </c>
      <c r="F103" s="261">
        <v>19.557570693669639</v>
      </c>
      <c r="G103" s="261">
        <v>21.747869086460032</v>
      </c>
      <c r="H103" s="261">
        <v>21.780333555703802</v>
      </c>
      <c r="I103" s="261">
        <v>19.818422073964197</v>
      </c>
      <c r="J103" s="261">
        <v>21.307121661721069</v>
      </c>
      <c r="K103" s="261">
        <f>(K104-C102)/C102%</f>
        <v>14.449856733524348</v>
      </c>
      <c r="L103" s="261">
        <f t="shared" ref="L103" si="296">(L104-D102)/D102%</f>
        <v>13.421070234113742</v>
      </c>
      <c r="M103" s="261">
        <f t="shared" ref="M103" si="297">(M104-E102)/E102%</f>
        <v>13.975154320987658</v>
      </c>
      <c r="N103" s="261">
        <f t="shared" ref="N103" si="298">(N104-F102)/F102%</f>
        <v>12.647536057692303</v>
      </c>
      <c r="O103" s="261">
        <f t="shared" ref="O103" si="299">(O104-G102)/G102%</f>
        <v>13.524673735725939</v>
      </c>
      <c r="P103" s="261">
        <f t="shared" ref="P103" si="300">(P104-H102)/H102%</f>
        <v>11.635757171447652</v>
      </c>
      <c r="Q103" s="261">
        <f t="shared" ref="Q103:R103" si="301">(Q104-I102)/I102%</f>
        <v>12.168036674043645</v>
      </c>
      <c r="R103" s="261">
        <f t="shared" si="301"/>
        <v>13.082461346243964</v>
      </c>
      <c r="S103" s="261">
        <f t="shared" ref="S103" si="302">(S104-R102)/R102%</f>
        <v>11.755647863027171</v>
      </c>
      <c r="T103" s="261">
        <f t="shared" ref="T103" si="303">(T104-S102)/S102%</f>
        <v>9.8128368156344941</v>
      </c>
      <c r="U103" s="261">
        <f t="shared" ref="U103" si="304">(U104-T102)/T102%</f>
        <v>7.9096676758471611</v>
      </c>
      <c r="V103" s="261">
        <f t="shared" ref="V103" si="305">(V104-U102)/U102%</f>
        <v>7.9112662788568588</v>
      </c>
      <c r="W103" s="261">
        <f t="shared" ref="W103" si="306">(W104-V102)/V102%</f>
        <v>7.9128378827761106</v>
      </c>
      <c r="X103" s="261">
        <f t="shared" ref="X103" si="307">(X104-W102)/W102%</f>
        <v>6.9571914491037328</v>
      </c>
      <c r="Y103" s="261">
        <f t="shared" ref="Y103" si="308">(Y104-X102)/X102%</f>
        <v>6.9575745554504156</v>
      </c>
      <c r="Z103" s="261">
        <f t="shared" ref="Z103" si="309">(Z104-Y102)/Y102%</f>
        <v>6.9579543838671682</v>
      </c>
      <c r="AA103" s="261">
        <f t="shared" ref="AA103" si="310">(AA104-Z102)/Z102%</f>
        <v>6.9583309597144556</v>
      </c>
    </row>
    <row r="104" spans="2:27" x14ac:dyDescent="0.2">
      <c r="B104" s="2" t="s">
        <v>4</v>
      </c>
      <c r="C104" s="154" t="s">
        <v>274</v>
      </c>
      <c r="D104" s="154" t="s">
        <v>274</v>
      </c>
      <c r="E104" s="154" t="s">
        <v>274</v>
      </c>
      <c r="F104" s="154" t="s">
        <v>274</v>
      </c>
      <c r="G104" s="154" t="s">
        <v>274</v>
      </c>
      <c r="H104" s="154" t="s">
        <v>274</v>
      </c>
      <c r="I104" s="154" t="s">
        <v>274</v>
      </c>
      <c r="J104" s="154" t="s">
        <v>274</v>
      </c>
      <c r="K104" s="248">
        <f>K32+K68</f>
        <v>1997.1499999999999</v>
      </c>
      <c r="L104" s="248">
        <f t="shared" ref="L104:Q104" si="311">L32+L68</f>
        <v>1695.6450000000004</v>
      </c>
      <c r="M104" s="248">
        <f t="shared" si="311"/>
        <v>3692.7950000000001</v>
      </c>
      <c r="N104" s="248">
        <f t="shared" si="311"/>
        <v>1874.4549999999999</v>
      </c>
      <c r="O104" s="248">
        <f t="shared" si="311"/>
        <v>5567.25</v>
      </c>
      <c r="P104" s="248">
        <f t="shared" si="311"/>
        <v>1673.4200000000003</v>
      </c>
      <c r="Q104" s="248">
        <f t="shared" si="311"/>
        <v>3547.8750000000005</v>
      </c>
      <c r="R104" s="248">
        <f t="shared" ref="R104" si="312">R32+R68</f>
        <v>7240.670000000001</v>
      </c>
      <c r="S104" s="248">
        <f>S32+S68</f>
        <v>7881.3149321395913</v>
      </c>
      <c r="T104" s="248">
        <f t="shared" ref="T104:AA104" si="313">T32+T68</f>
        <v>8664.9720028951288</v>
      </c>
      <c r="U104" s="248">
        <f t="shared" si="313"/>
        <v>9350.3424925293311</v>
      </c>
      <c r="V104" s="248">
        <f t="shared" si="313"/>
        <v>10090.072985098428</v>
      </c>
      <c r="W104" s="248">
        <f t="shared" si="313"/>
        <v>10888.484102663055</v>
      </c>
      <c r="X104" s="248">
        <f t="shared" si="313"/>
        <v>11646.016787590548</v>
      </c>
      <c r="Y104" s="248">
        <f t="shared" si="313"/>
        <v>12456.297088327432</v>
      </c>
      <c r="Z104" s="248">
        <f t="shared" si="313"/>
        <v>13323.000557652229</v>
      </c>
      <c r="AA104" s="248">
        <f t="shared" si="313"/>
        <v>14250.059030218274</v>
      </c>
    </row>
    <row r="105" spans="2:27" x14ac:dyDescent="0.2">
      <c r="B105" s="35" t="s">
        <v>3</v>
      </c>
      <c r="C105" s="154" t="s">
        <v>274</v>
      </c>
      <c r="D105" s="154" t="s">
        <v>274</v>
      </c>
      <c r="E105" s="154" t="s">
        <v>274</v>
      </c>
      <c r="F105" s="154" t="s">
        <v>274</v>
      </c>
      <c r="G105" s="154" t="s">
        <v>274</v>
      </c>
      <c r="H105" s="154" t="s">
        <v>274</v>
      </c>
      <c r="I105" s="154" t="s">
        <v>274</v>
      </c>
      <c r="J105" s="154" t="s">
        <v>274</v>
      </c>
      <c r="K105" s="261">
        <f>(K102-C102)/C102%</f>
        <v>6.6783376905592764</v>
      </c>
      <c r="L105" s="261">
        <f t="shared" ref="L105" si="314">(L102-D102)/D102%</f>
        <v>9.2840247281550283</v>
      </c>
      <c r="M105" s="261">
        <f t="shared" ref="M105" si="315">(M102-E102)/E102%</f>
        <v>7.8806531600671859</v>
      </c>
      <c r="N105" s="261">
        <f t="shared" ref="N105" si="316">(N102-F102)/F102%</f>
        <v>12.906280233212909</v>
      </c>
      <c r="O105" s="261">
        <f t="shared" ref="O105" si="317">(O102-G102)/G102%</f>
        <v>9.5859230315424213</v>
      </c>
      <c r="P105" s="261">
        <f t="shared" ref="P105" si="318">(P102-H102)/H102%</f>
        <v>11.953350447360149</v>
      </c>
      <c r="Q105" s="261">
        <f t="shared" ref="Q105:R105" si="319">(Q102-I102)/I102%</f>
        <v>12.454670448516968</v>
      </c>
      <c r="R105" s="261">
        <f t="shared" si="319"/>
        <v>10.140159123422903</v>
      </c>
      <c r="S105" s="261">
        <f>(S102-R102)/R102%</f>
        <v>11.888345384212162</v>
      </c>
      <c r="T105" s="261">
        <f t="shared" ref="T105:AA105" si="320">(T102-S102)/S102%</f>
        <v>9.8128368156344941</v>
      </c>
      <c r="U105" s="261">
        <f t="shared" si="320"/>
        <v>7.9096676758471611</v>
      </c>
      <c r="V105" s="261">
        <f t="shared" si="320"/>
        <v>7.9112662788568588</v>
      </c>
      <c r="W105" s="261">
        <f t="shared" si="320"/>
        <v>7.9128378827761106</v>
      </c>
      <c r="X105" s="261">
        <f t="shared" si="320"/>
        <v>6.9571914491037328</v>
      </c>
      <c r="Y105" s="261">
        <f t="shared" si="320"/>
        <v>6.9575745554504156</v>
      </c>
      <c r="Z105" s="261">
        <f t="shared" si="320"/>
        <v>6.9579543838671682</v>
      </c>
      <c r="AA105" s="261">
        <f t="shared" si="320"/>
        <v>6.9583309597144556</v>
      </c>
    </row>
    <row r="106" spans="2:27" x14ac:dyDescent="0.2">
      <c r="B106" s="116"/>
      <c r="C106" s="17"/>
      <c r="D106" s="17"/>
      <c r="E106" s="17"/>
      <c r="F106" s="17"/>
      <c r="G106" s="17"/>
      <c r="H106" s="17"/>
      <c r="I106" s="17"/>
      <c r="J106" s="17"/>
    </row>
    <row r="107" spans="2:27" x14ac:dyDescent="0.2">
      <c r="B107" s="101" t="s">
        <v>111</v>
      </c>
      <c r="C107" s="248">
        <f t="shared" ref="C107:K107" si="321">C35+C71</f>
        <v>454</v>
      </c>
      <c r="D107" s="248">
        <f t="shared" si="321"/>
        <v>440</v>
      </c>
      <c r="E107" s="248">
        <f t="shared" si="321"/>
        <v>894</v>
      </c>
      <c r="F107" s="248">
        <f t="shared" si="321"/>
        <v>502</v>
      </c>
      <c r="G107" s="248">
        <f t="shared" si="321"/>
        <v>1396</v>
      </c>
      <c r="H107" s="248">
        <f t="shared" si="321"/>
        <v>510</v>
      </c>
      <c r="I107" s="248">
        <f t="shared" si="321"/>
        <v>1012</v>
      </c>
      <c r="J107" s="248">
        <f t="shared" si="321"/>
        <v>1906</v>
      </c>
      <c r="K107" s="248">
        <f t="shared" si="321"/>
        <v>357.18112741995094</v>
      </c>
      <c r="L107" s="248">
        <f t="shared" ref="L107:Q107" si="322">L35+L71</f>
        <v>350.98230200255887</v>
      </c>
      <c r="M107" s="248">
        <f t="shared" si="322"/>
        <v>708.16342942250981</v>
      </c>
      <c r="N107" s="248">
        <f t="shared" si="322"/>
        <v>444.44001191074528</v>
      </c>
      <c r="O107" s="248">
        <f t="shared" si="322"/>
        <v>1152.6034413332552</v>
      </c>
      <c r="P107" s="248">
        <f t="shared" si="322"/>
        <v>462.42726406240524</v>
      </c>
      <c r="Q107" s="248">
        <f t="shared" si="322"/>
        <v>906.86727597315064</v>
      </c>
      <c r="R107" s="248">
        <f t="shared" ref="R107" si="323">R35+R71</f>
        <v>1615.0307053956603</v>
      </c>
      <c r="S107" s="248">
        <f>S35+S71</f>
        <v>1726.2872449594599</v>
      </c>
      <c r="T107" s="248">
        <f t="shared" ref="T107:AA107" si="324">T35+T71</f>
        <v>1823.7646063932489</v>
      </c>
      <c r="U107" s="248">
        <f t="shared" si="324"/>
        <v>1910.764257071783</v>
      </c>
      <c r="V107" s="248">
        <f t="shared" si="324"/>
        <v>2001.9882328950102</v>
      </c>
      <c r="W107" s="248">
        <f t="shared" si="324"/>
        <v>2097.6439803984881</v>
      </c>
      <c r="X107" s="248">
        <f t="shared" si="324"/>
        <v>2197.9492053529016</v>
      </c>
      <c r="Y107" s="248">
        <f t="shared" si="324"/>
        <v>2303.1323823330704</v>
      </c>
      <c r="Z107" s="248">
        <f t="shared" si="324"/>
        <v>2413.4332896636229</v>
      </c>
      <c r="AA107" s="248">
        <f t="shared" si="324"/>
        <v>2529.1035710071205</v>
      </c>
    </row>
    <row r="108" spans="2:27" x14ac:dyDescent="0.2">
      <c r="B108" s="35" t="s">
        <v>2</v>
      </c>
      <c r="C108" s="263">
        <v>8.6999999999999993</v>
      </c>
      <c r="D108" s="264">
        <v>13.391029023746734</v>
      </c>
      <c r="E108" s="263">
        <v>11</v>
      </c>
      <c r="F108" s="264">
        <v>8.412731006160147</v>
      </c>
      <c r="G108" s="263">
        <v>10</v>
      </c>
      <c r="H108" s="264">
        <v>18.600000000000001</v>
      </c>
      <c r="I108" s="264">
        <v>12.806889352818377</v>
      </c>
      <c r="J108" s="263">
        <v>12</v>
      </c>
      <c r="K108" s="264">
        <f>(K109-C107)/C107%</f>
        <v>4.6233480176211472</v>
      </c>
      <c r="L108" s="264">
        <f t="shared" ref="L108" si="325">(L109-D107)/D107%</f>
        <v>5.3886363636363717</v>
      </c>
      <c r="M108" s="264">
        <f t="shared" ref="M108" si="326">(M109-E107)/E107%</f>
        <v>5.0000000000000053</v>
      </c>
      <c r="N108" s="264">
        <f t="shared" ref="N108" si="327">(N109-F107)/F107%</f>
        <v>4.6593625498007949</v>
      </c>
      <c r="O108" s="264">
        <f t="shared" ref="O108" si="328">(O109-G107)/G107%</f>
        <v>4.8775071633237763</v>
      </c>
      <c r="P108" s="264">
        <f t="shared" ref="P108" si="329">(P109-H107)/H107%</f>
        <v>4.8764705882352954</v>
      </c>
      <c r="Q108" s="264">
        <f t="shared" ref="Q108:R108" si="330">(Q109-I107)/I107%</f>
        <v>4.7687747035573116</v>
      </c>
      <c r="R108" s="264">
        <f t="shared" si="330"/>
        <v>4.8772298006295927</v>
      </c>
      <c r="S108" s="261">
        <f>(S109-R107)/R107%</f>
        <v>7.5129495777462028</v>
      </c>
      <c r="T108" s="261">
        <f t="shared" ref="T108" si="331">(T109-S107)/S107%</f>
        <v>5.6466478402369153</v>
      </c>
      <c r="U108" s="261">
        <f t="shared" ref="U108" si="332">(U109-T107)/T107%</f>
        <v>4.7703333189795938</v>
      </c>
      <c r="V108" s="261">
        <f t="shared" ref="V108" si="333">(V109-U107)/U107%</f>
        <v>4.7742140604527821</v>
      </c>
      <c r="W108" s="261">
        <f t="shared" ref="W108" si="334">(W109-V107)/V107%</f>
        <v>4.778037449558469</v>
      </c>
      <c r="X108" s="261">
        <f t="shared" ref="X108" si="335">(X109-W107)/W107%</f>
        <v>4.7818040569190652</v>
      </c>
      <c r="Y108" s="261">
        <f t="shared" ref="Y108" si="336">(Y109-X107)/X107%</f>
        <v>4.7855144570222521</v>
      </c>
      <c r="Z108" s="261">
        <f t="shared" ref="Z108" si="337">(Z109-Y107)/Y107%</f>
        <v>4.7891692278156324</v>
      </c>
      <c r="AA108" s="261">
        <f t="shared" ref="AA108" si="338">(AA109-Z107)/Z107%</f>
        <v>4.7927689503122517</v>
      </c>
    </row>
    <row r="109" spans="2:27" x14ac:dyDescent="0.2">
      <c r="B109" s="2" t="s">
        <v>4</v>
      </c>
      <c r="C109" s="154" t="s">
        <v>274</v>
      </c>
      <c r="D109" s="154" t="s">
        <v>274</v>
      </c>
      <c r="E109" s="154" t="s">
        <v>274</v>
      </c>
      <c r="F109" s="154" t="s">
        <v>274</v>
      </c>
      <c r="G109" s="154" t="s">
        <v>274</v>
      </c>
      <c r="H109" s="154" t="s">
        <v>274</v>
      </c>
      <c r="I109" s="154" t="s">
        <v>274</v>
      </c>
      <c r="J109" s="154" t="s">
        <v>274</v>
      </c>
      <c r="K109" s="248">
        <f>K37+K73</f>
        <v>474.99</v>
      </c>
      <c r="L109" s="248">
        <f t="shared" ref="L109:Q109" si="339">L37+L73</f>
        <v>463.71000000000004</v>
      </c>
      <c r="M109" s="248">
        <f t="shared" si="339"/>
        <v>938.7</v>
      </c>
      <c r="N109" s="248">
        <f t="shared" si="339"/>
        <v>525.39</v>
      </c>
      <c r="O109" s="248">
        <f t="shared" si="339"/>
        <v>1464.09</v>
      </c>
      <c r="P109" s="248">
        <f t="shared" si="339"/>
        <v>534.87</v>
      </c>
      <c r="Q109" s="248">
        <f t="shared" si="339"/>
        <v>1060.26</v>
      </c>
      <c r="R109" s="248">
        <f t="shared" ref="R109" si="340">R37+R73</f>
        <v>1998.96</v>
      </c>
      <c r="S109" s="248">
        <f>S37+S73</f>
        <v>1736.3671479571551</v>
      </c>
      <c r="T109" s="248">
        <f t="shared" ref="T109:AA109" si="341">T37+T73</f>
        <v>1823.7646063932486</v>
      </c>
      <c r="U109" s="248">
        <f t="shared" si="341"/>
        <v>1910.764257071783</v>
      </c>
      <c r="V109" s="248">
        <f t="shared" si="341"/>
        <v>2001.9882328950102</v>
      </c>
      <c r="W109" s="248">
        <f t="shared" si="341"/>
        <v>2097.6439803984877</v>
      </c>
      <c r="X109" s="248">
        <f t="shared" si="341"/>
        <v>2197.9492053529016</v>
      </c>
      <c r="Y109" s="248">
        <f t="shared" si="341"/>
        <v>2303.1323823330704</v>
      </c>
      <c r="Z109" s="248">
        <f t="shared" si="341"/>
        <v>2413.4332896636229</v>
      </c>
      <c r="AA109" s="248">
        <f t="shared" si="341"/>
        <v>2529.1035710071205</v>
      </c>
    </row>
    <row r="110" spans="2:27" x14ac:dyDescent="0.2">
      <c r="B110" s="35" t="s">
        <v>3</v>
      </c>
      <c r="C110" s="154" t="s">
        <v>274</v>
      </c>
      <c r="D110" s="154" t="s">
        <v>274</v>
      </c>
      <c r="E110" s="154" t="s">
        <v>274</v>
      </c>
      <c r="F110" s="154" t="s">
        <v>274</v>
      </c>
      <c r="G110" s="154" t="s">
        <v>274</v>
      </c>
      <c r="H110" s="154" t="s">
        <v>274</v>
      </c>
      <c r="I110" s="154" t="s">
        <v>274</v>
      </c>
      <c r="J110" s="154" t="s">
        <v>274</v>
      </c>
      <c r="K110" s="261">
        <f>(K107-C107)/C107%</f>
        <v>-21.325742859041643</v>
      </c>
      <c r="L110" s="261">
        <f t="shared" ref="L110" si="342">(L107-D107)/D107%</f>
        <v>-20.231294999418438</v>
      </c>
      <c r="M110" s="261">
        <f t="shared" ref="M110" si="343">(M107-E107)/E107%</f>
        <v>-20.787088431486598</v>
      </c>
      <c r="N110" s="261">
        <f t="shared" ref="N110" si="344">(N107-F107)/F107%</f>
        <v>-11.466133085508909</v>
      </c>
      <c r="O110" s="261">
        <f t="shared" ref="O110" si="345">(O107-G107)/G107%</f>
        <v>-17.43528357211639</v>
      </c>
      <c r="P110" s="261">
        <f t="shared" ref="P110" si="346">(P107-H107)/H107%</f>
        <v>-9.3279874387440707</v>
      </c>
      <c r="Q110" s="261">
        <f t="shared" ref="Q110:R110" si="347">(Q107-I107)/I107%</f>
        <v>-10.38860909356219</v>
      </c>
      <c r="R110" s="261">
        <f t="shared" si="347"/>
        <v>-15.26596508941971</v>
      </c>
      <c r="S110" s="261">
        <f>(S107-R107)/R107%</f>
        <v>6.8888188436357494</v>
      </c>
      <c r="T110" s="261">
        <f t="shared" ref="T110:AA110" si="348">(T107-S107)/S107%</f>
        <v>5.6466478402369287</v>
      </c>
      <c r="U110" s="261">
        <f t="shared" si="348"/>
        <v>4.7703333189795938</v>
      </c>
      <c r="V110" s="261">
        <f t="shared" si="348"/>
        <v>4.7742140604527821</v>
      </c>
      <c r="W110" s="261">
        <f t="shared" si="348"/>
        <v>4.7780374495584921</v>
      </c>
      <c r="X110" s="261">
        <f t="shared" si="348"/>
        <v>4.7818040569190652</v>
      </c>
      <c r="Y110" s="261">
        <f t="shared" si="348"/>
        <v>4.7855144570222521</v>
      </c>
      <c r="Z110" s="261">
        <f t="shared" si="348"/>
        <v>4.7891692278156324</v>
      </c>
      <c r="AA110" s="261">
        <f t="shared" si="348"/>
        <v>4.7927689503122517</v>
      </c>
    </row>
    <row r="111" spans="2:27" x14ac:dyDescent="0.2">
      <c r="B111" s="116"/>
      <c r="C111" s="17"/>
      <c r="D111" s="17"/>
      <c r="E111" s="17"/>
      <c r="F111" s="17"/>
      <c r="G111" s="17"/>
      <c r="H111" s="17"/>
      <c r="I111" s="17"/>
      <c r="J111" s="17"/>
    </row>
    <row r="112" spans="2:27" x14ac:dyDescent="0.2">
      <c r="B112" s="101" t="s">
        <v>234</v>
      </c>
      <c r="C112" s="248">
        <f t="shared" ref="C112:K112" si="349">C40+C76</f>
        <v>367</v>
      </c>
      <c r="D112" s="248">
        <f t="shared" si="349"/>
        <v>277</v>
      </c>
      <c r="E112" s="248">
        <f t="shared" si="349"/>
        <v>644</v>
      </c>
      <c r="F112" s="248">
        <f t="shared" si="349"/>
        <v>376</v>
      </c>
      <c r="G112" s="248">
        <f t="shared" si="349"/>
        <v>1020</v>
      </c>
      <c r="H112" s="248">
        <f t="shared" si="349"/>
        <v>281</v>
      </c>
      <c r="I112" s="248">
        <f t="shared" si="349"/>
        <v>657</v>
      </c>
      <c r="J112" s="248">
        <f t="shared" si="349"/>
        <v>1301</v>
      </c>
      <c r="K112" s="248">
        <f t="shared" si="349"/>
        <v>333.29305349748142</v>
      </c>
      <c r="L112" s="248">
        <f t="shared" ref="L112:Q112" si="350">L40+L76</f>
        <v>257.72686065163725</v>
      </c>
      <c r="M112" s="248">
        <f t="shared" si="350"/>
        <v>591.01991414911868</v>
      </c>
      <c r="N112" s="248">
        <f t="shared" si="350"/>
        <v>373.51670448495042</v>
      </c>
      <c r="O112" s="248">
        <f t="shared" si="350"/>
        <v>964.5366186340691</v>
      </c>
      <c r="P112" s="248">
        <f t="shared" si="350"/>
        <v>277.69164081876568</v>
      </c>
      <c r="Q112" s="248">
        <f t="shared" si="350"/>
        <v>651.2083453037161</v>
      </c>
      <c r="R112" s="248">
        <f t="shared" ref="R112" si="351">R40+R76</f>
        <v>1242.2282594528349</v>
      </c>
      <c r="S112" s="248">
        <f>S40+S76</f>
        <v>1323.1932339996283</v>
      </c>
      <c r="T112" s="248">
        <f t="shared" ref="T112:AA112" si="352">T40+T76</f>
        <v>1399.7538205785995</v>
      </c>
      <c r="U112" s="248">
        <f t="shared" si="352"/>
        <v>1468.2693877278061</v>
      </c>
      <c r="V112" s="248">
        <f t="shared" si="352"/>
        <v>1540.151848279284</v>
      </c>
      <c r="W112" s="248">
        <f t="shared" si="352"/>
        <v>1615.5671915049395</v>
      </c>
      <c r="X112" s="248">
        <f t="shared" si="352"/>
        <v>1694.6896119243454</v>
      </c>
      <c r="Y112" s="248">
        <f t="shared" si="352"/>
        <v>1777.7019157984878</v>
      </c>
      <c r="Z112" s="248">
        <f t="shared" si="352"/>
        <v>1864.7959477974546</v>
      </c>
      <c r="AA112" s="248">
        <f t="shared" si="352"/>
        <v>1956.1730388447311</v>
      </c>
    </row>
    <row r="113" spans="2:27" x14ac:dyDescent="0.2">
      <c r="B113" s="35" t="s">
        <v>2</v>
      </c>
      <c r="C113" s="261">
        <v>6.7295062320230112</v>
      </c>
      <c r="D113" s="261">
        <v>6.0233856443085427</v>
      </c>
      <c r="E113" s="261">
        <v>6.4802848005003986</v>
      </c>
      <c r="F113" s="261">
        <v>2.1549994400826926</v>
      </c>
      <c r="G113" s="261">
        <v>4.8974247053688345</v>
      </c>
      <c r="H113" s="261">
        <v>3.1475649350649353</v>
      </c>
      <c r="I113" s="261">
        <v>2.5477656695677782</v>
      </c>
      <c r="J113" s="261">
        <v>4.4754041967664255</v>
      </c>
      <c r="K113" s="261">
        <f>(K114-C112)/C112%</f>
        <v>1.8991825613079094</v>
      </c>
      <c r="L113" s="261">
        <f t="shared" ref="L113" si="353">(L114-D112)/D112%</f>
        <v>1.8664259927797686</v>
      </c>
      <c r="M113" s="261">
        <f t="shared" ref="M113" si="354">(M114-E112)/E112%</f>
        <v>1.8850931677018612</v>
      </c>
      <c r="N113" s="261">
        <f t="shared" ref="N113" si="355">(N114-F112)/F112%</f>
        <v>4.2659574468085317</v>
      </c>
      <c r="O113" s="261">
        <f t="shared" ref="O113" si="356">(O114-G112)/G112%</f>
        <v>2.7627450980392223</v>
      </c>
      <c r="P113" s="261">
        <f t="shared" ref="P113" si="357">(P114-H112)/H112%</f>
        <v>2.807829181494657</v>
      </c>
      <c r="Q113" s="261">
        <f t="shared" ref="Q113:R113" si="358">(Q114-I112)/I112%</f>
        <v>3.6423135464231451</v>
      </c>
      <c r="R113" s="261">
        <f t="shared" si="358"/>
        <v>2.7724827056110812</v>
      </c>
      <c r="S113" s="261">
        <f>(S114-R112)/R112%</f>
        <v>6.6707266677100243</v>
      </c>
      <c r="T113" s="261">
        <f t="shared" ref="T113" si="359">(T114-S112)/S112%</f>
        <v>5.7860473143103075</v>
      </c>
      <c r="U113" s="261">
        <f t="shared" ref="U113" si="360">(U114-T112)/T112%</f>
        <v>4.8948298009206477</v>
      </c>
      <c r="V113" s="261">
        <f t="shared" ref="V113" si="361">(V114-U112)/U112%</f>
        <v>4.8957269798233849</v>
      </c>
      <c r="W113" s="261">
        <f t="shared" ref="W113" si="362">(W114-V112)/V112%</f>
        <v>4.896617389377055</v>
      </c>
      <c r="X113" s="261">
        <f t="shared" ref="X113" si="363">(X114-W112)/W112%</f>
        <v>4.8975010655979876</v>
      </c>
      <c r="Y113" s="261">
        <f t="shared" ref="Y113" si="364">(Y114-X112)/X112%</f>
        <v>4.8983780445718716</v>
      </c>
      <c r="Z113" s="261">
        <f t="shared" ref="Z113" si="365">(Z114-Y112)/Y112%</f>
        <v>4.8992483624481489</v>
      </c>
      <c r="AA113" s="261">
        <f t="shared" ref="AA113" si="366">(AA114-Z112)/Z112%</f>
        <v>4.9001120554344677</v>
      </c>
    </row>
    <row r="114" spans="2:27" x14ac:dyDescent="0.2">
      <c r="B114" s="2" t="s">
        <v>4</v>
      </c>
      <c r="C114" s="154" t="s">
        <v>274</v>
      </c>
      <c r="D114" s="154" t="s">
        <v>274</v>
      </c>
      <c r="E114" s="154" t="s">
        <v>274</v>
      </c>
      <c r="F114" s="154" t="s">
        <v>274</v>
      </c>
      <c r="G114" s="154" t="s">
        <v>274</v>
      </c>
      <c r="H114" s="154" t="s">
        <v>274</v>
      </c>
      <c r="I114" s="154" t="s">
        <v>274</v>
      </c>
      <c r="J114" s="154" t="s">
        <v>274</v>
      </c>
      <c r="K114" s="248">
        <f>K42+K78</f>
        <v>373.97</v>
      </c>
      <c r="L114" s="248">
        <f t="shared" ref="L114:Q114" si="367">L42+L78</f>
        <v>282.16999999999996</v>
      </c>
      <c r="M114" s="248">
        <f t="shared" si="367"/>
        <v>656.14</v>
      </c>
      <c r="N114" s="248">
        <f t="shared" si="367"/>
        <v>392.04000000000008</v>
      </c>
      <c r="O114" s="248">
        <f t="shared" si="367"/>
        <v>1048.18</v>
      </c>
      <c r="P114" s="248">
        <f t="shared" si="367"/>
        <v>288.89</v>
      </c>
      <c r="Q114" s="248">
        <f t="shared" si="367"/>
        <v>680.93000000000006</v>
      </c>
      <c r="R114" s="248">
        <f t="shared" ref="R114" si="368">R42+R78</f>
        <v>1337.0700000000002</v>
      </c>
      <c r="S114" s="248">
        <f>S42+S78</f>
        <v>1325.0939112299852</v>
      </c>
      <c r="T114" s="248">
        <f t="shared" ref="T114:AA114" si="369">T42+T78</f>
        <v>1399.7538205785995</v>
      </c>
      <c r="U114" s="248">
        <f t="shared" si="369"/>
        <v>1468.2693877278061</v>
      </c>
      <c r="V114" s="248">
        <f t="shared" si="369"/>
        <v>1540.151848279284</v>
      </c>
      <c r="W114" s="248">
        <f t="shared" si="369"/>
        <v>1615.5671915049395</v>
      </c>
      <c r="X114" s="248">
        <f t="shared" si="369"/>
        <v>1694.6896119243454</v>
      </c>
      <c r="Y114" s="248">
        <f t="shared" si="369"/>
        <v>1777.7019157984878</v>
      </c>
      <c r="Z114" s="248">
        <f t="shared" si="369"/>
        <v>1864.7959477974546</v>
      </c>
      <c r="AA114" s="248">
        <f t="shared" si="369"/>
        <v>1956.1730388447311</v>
      </c>
    </row>
    <row r="115" spans="2:27" x14ac:dyDescent="0.2">
      <c r="B115" s="35" t="s">
        <v>3</v>
      </c>
      <c r="C115" s="154" t="s">
        <v>274</v>
      </c>
      <c r="D115" s="154" t="s">
        <v>274</v>
      </c>
      <c r="E115" s="154" t="s">
        <v>274</v>
      </c>
      <c r="F115" s="154" t="s">
        <v>274</v>
      </c>
      <c r="G115" s="154" t="s">
        <v>274</v>
      </c>
      <c r="H115" s="154" t="s">
        <v>274</v>
      </c>
      <c r="I115" s="154" t="s">
        <v>274</v>
      </c>
      <c r="J115" s="154" t="s">
        <v>274</v>
      </c>
      <c r="K115" s="261">
        <f>(K112-C112)/C112%</f>
        <v>-9.1844540878797218</v>
      </c>
      <c r="L115" s="261">
        <f t="shared" ref="L115" si="370">(L112-D112)/D112%</f>
        <v>-6.9578120391201255</v>
      </c>
      <c r="M115" s="261">
        <f t="shared" ref="M115" si="371">(M112-E112)/E112%</f>
        <v>-8.2267214054163542</v>
      </c>
      <c r="N115" s="261">
        <f t="shared" ref="N115" si="372">(N112-F112)/F112%</f>
        <v>-0.66045093485361073</v>
      </c>
      <c r="O115" s="261">
        <f t="shared" ref="O115" si="373">(O112-G112)/G112%</f>
        <v>-5.4375864084245986</v>
      </c>
      <c r="P115" s="261">
        <f t="shared" ref="P115" si="374">(P112-H112)/H112%</f>
        <v>-1.1773520217915741</v>
      </c>
      <c r="Q115" s="261">
        <f t="shared" ref="Q115:R115" si="375">(Q112-I112)/I112%</f>
        <v>-0.88153039517258736</v>
      </c>
      <c r="R115" s="261">
        <f t="shared" si="375"/>
        <v>-4.5174281742632676</v>
      </c>
      <c r="S115" s="261">
        <f>(S112-R112)/R112%</f>
        <v>6.5177211942075868</v>
      </c>
      <c r="T115" s="261">
        <f t="shared" ref="T115:AA115" si="376">(T112-S112)/S112%</f>
        <v>5.7860473143103075</v>
      </c>
      <c r="U115" s="261">
        <f t="shared" si="376"/>
        <v>4.8948298009206477</v>
      </c>
      <c r="V115" s="261">
        <f t="shared" si="376"/>
        <v>4.8957269798233849</v>
      </c>
      <c r="W115" s="261">
        <f t="shared" si="376"/>
        <v>4.896617389377055</v>
      </c>
      <c r="X115" s="261">
        <f t="shared" si="376"/>
        <v>4.8975010655979876</v>
      </c>
      <c r="Y115" s="261">
        <f t="shared" si="376"/>
        <v>4.8983780445718716</v>
      </c>
      <c r="Z115" s="261">
        <f t="shared" si="376"/>
        <v>4.8992483624481489</v>
      </c>
      <c r="AA115" s="261">
        <f t="shared" si="376"/>
        <v>4.9001120554344677</v>
      </c>
    </row>
    <row r="116" spans="2:27" x14ac:dyDescent="0.2">
      <c r="B116" s="116"/>
      <c r="C116" s="17"/>
      <c r="D116" s="17"/>
      <c r="E116" s="17"/>
      <c r="F116" s="17"/>
      <c r="G116" s="17"/>
      <c r="H116" s="17"/>
      <c r="I116" s="17"/>
      <c r="J116" s="17"/>
    </row>
    <row r="117" spans="2:27" x14ac:dyDescent="0.2">
      <c r="B117" s="101" t="s">
        <v>422</v>
      </c>
      <c r="C117" s="248">
        <f t="shared" ref="C117:K117" si="377">C45+C81</f>
        <v>160</v>
      </c>
      <c r="D117" s="248">
        <f t="shared" si="377"/>
        <v>181</v>
      </c>
      <c r="E117" s="248">
        <f t="shared" si="377"/>
        <v>341</v>
      </c>
      <c r="F117" s="248">
        <f t="shared" si="377"/>
        <v>173</v>
      </c>
      <c r="G117" s="248">
        <f t="shared" si="377"/>
        <v>514</v>
      </c>
      <c r="H117" s="248">
        <f t="shared" si="377"/>
        <v>147</v>
      </c>
      <c r="I117" s="248">
        <f t="shared" si="377"/>
        <v>320</v>
      </c>
      <c r="J117" s="248">
        <f t="shared" si="377"/>
        <v>661</v>
      </c>
      <c r="K117" s="248">
        <f t="shared" si="377"/>
        <v>143.03837006721506</v>
      </c>
      <c r="L117" s="248">
        <f t="shared" ref="L117:Q117" si="378">L45+L81</f>
        <v>153.77228767226819</v>
      </c>
      <c r="M117" s="248">
        <f t="shared" si="378"/>
        <v>296.81065773948325</v>
      </c>
      <c r="N117" s="248">
        <f t="shared" si="378"/>
        <v>159.27650349474209</v>
      </c>
      <c r="O117" s="248">
        <f t="shared" si="378"/>
        <v>456.08716123422533</v>
      </c>
      <c r="P117" s="248">
        <f t="shared" si="378"/>
        <v>134.86225793933505</v>
      </c>
      <c r="Q117" s="248">
        <f t="shared" si="378"/>
        <v>294.13876143407708</v>
      </c>
      <c r="R117" s="248">
        <f t="shared" ref="R117" si="379">R45+R81</f>
        <v>590.94941917356027</v>
      </c>
      <c r="S117" s="248">
        <f>S45+S81</f>
        <v>597.50630097103942</v>
      </c>
      <c r="T117" s="248">
        <f t="shared" ref="T117:AA117" si="380">T45+T81</f>
        <v>615.4314900001707</v>
      </c>
      <c r="U117" s="248">
        <f t="shared" si="380"/>
        <v>633.89443470017579</v>
      </c>
      <c r="V117" s="248">
        <f t="shared" si="380"/>
        <v>651.17106057627564</v>
      </c>
      <c r="W117" s="248">
        <f t="shared" si="380"/>
        <v>668.93118108536032</v>
      </c>
      <c r="X117" s="248">
        <f t="shared" si="380"/>
        <v>687.18860498355355</v>
      </c>
      <c r="Y117" s="248">
        <f t="shared" si="380"/>
        <v>705.9575413680052</v>
      </c>
      <c r="Z117" s="248">
        <f t="shared" si="380"/>
        <v>725.25261140868929</v>
      </c>
      <c r="AA117" s="248">
        <f t="shared" si="380"/>
        <v>745.08886042658685</v>
      </c>
    </row>
    <row r="118" spans="2:27" x14ac:dyDescent="0.2">
      <c r="B118" s="35" t="s">
        <v>2</v>
      </c>
      <c r="C118" s="263">
        <v>-9.8000000000000007</v>
      </c>
      <c r="D118" s="264">
        <v>-10.406976744186034</v>
      </c>
      <c r="E118" s="263">
        <v>-10.283870967741933</v>
      </c>
      <c r="F118" s="264">
        <v>-17.31794871794871</v>
      </c>
      <c r="G118" s="263">
        <v>-13</v>
      </c>
      <c r="H118" s="264">
        <v>-13.9</v>
      </c>
      <c r="I118" s="264">
        <v>-15.27567567567567</v>
      </c>
      <c r="J118" s="263">
        <v>-13</v>
      </c>
      <c r="K118" s="264">
        <f>(K119-C117)/C117%</f>
        <v>0</v>
      </c>
      <c r="L118" s="264">
        <f t="shared" ref="L118" si="381">(L119-D117)/D117%</f>
        <v>1.1093922651933756</v>
      </c>
      <c r="M118" s="264">
        <f t="shared" ref="M118" si="382">(M119-E117)/E117%</f>
        <v>0.58885630498534847</v>
      </c>
      <c r="N118" s="264">
        <f t="shared" ref="N118" si="383">(N119-F117)/F117%</f>
        <v>-7.398843930639952E-2</v>
      </c>
      <c r="O118" s="264">
        <f t="shared" ref="O118" si="384">(O119-G117)/G117%</f>
        <v>0.36575875486379023</v>
      </c>
      <c r="P118" s="264">
        <f t="shared" ref="P118" si="385">(P119-H117)/H117%</f>
        <v>0.3503401360544125</v>
      </c>
      <c r="Q118" s="264">
        <f t="shared" ref="Q118:R118" si="386">(Q119-I117)/I117%</f>
        <v>0.12093749999998238</v>
      </c>
      <c r="R118" s="264">
        <f t="shared" si="386"/>
        <v>0.36232980332828768</v>
      </c>
      <c r="S118" s="261">
        <f>(S119-R117)/R117%</f>
        <v>3.0000000000000053</v>
      </c>
      <c r="T118" s="261">
        <f>(T119-S117)/S117%</f>
        <v>3.0000000000000155</v>
      </c>
      <c r="U118" s="261">
        <f t="shared" ref="U118" si="387">(U119-T117)/T117%</f>
        <v>2.999999999999996</v>
      </c>
      <c r="V118" s="261">
        <f t="shared" ref="V118" si="388">(V119-U117)/U117%</f>
        <v>2.7254736641238178</v>
      </c>
      <c r="W118" s="261">
        <f t="shared" ref="W118" si="389">(W119-V117)/V117%</f>
        <v>2.7274124395772859</v>
      </c>
      <c r="X118" s="261">
        <f t="shared" ref="X118" si="390">(X119-W117)/W117%</f>
        <v>2.7293426311164062</v>
      </c>
      <c r="Y118" s="261">
        <f t="shared" ref="Y118" si="391">(Y119-X117)/X117%</f>
        <v>2.7312642043738262</v>
      </c>
      <c r="Z118" s="261">
        <f t="shared" ref="Z118" si="392">(Z119-Y117)/Y117%</f>
        <v>2.7331771261050757</v>
      </c>
      <c r="AA118" s="261">
        <f t="shared" ref="AA118" si="393">(AA119-Z117)/Z117%</f>
        <v>2.7350813641840954</v>
      </c>
    </row>
    <row r="119" spans="2:27" x14ac:dyDescent="0.2">
      <c r="B119" s="2" t="s">
        <v>4</v>
      </c>
      <c r="C119" s="154" t="s">
        <v>274</v>
      </c>
      <c r="D119" s="154" t="s">
        <v>274</v>
      </c>
      <c r="E119" s="154" t="s">
        <v>274</v>
      </c>
      <c r="F119" s="154" t="s">
        <v>274</v>
      </c>
      <c r="G119" s="154" t="s">
        <v>274</v>
      </c>
      <c r="H119" s="154" t="s">
        <v>274</v>
      </c>
      <c r="I119" s="154" t="s">
        <v>274</v>
      </c>
      <c r="J119" s="154" t="s">
        <v>274</v>
      </c>
      <c r="K119" s="248">
        <f>K47+K83</f>
        <v>160</v>
      </c>
      <c r="L119" s="248">
        <f t="shared" ref="L119:Q119" si="394">L47+L83</f>
        <v>183.00800000000001</v>
      </c>
      <c r="M119" s="248">
        <f t="shared" si="394"/>
        <v>343.00800000000004</v>
      </c>
      <c r="N119" s="248">
        <f t="shared" si="394"/>
        <v>172.87199999999993</v>
      </c>
      <c r="O119" s="248">
        <f t="shared" si="394"/>
        <v>515.87999999999988</v>
      </c>
      <c r="P119" s="248">
        <f t="shared" si="394"/>
        <v>147.51499999999999</v>
      </c>
      <c r="Q119" s="248">
        <f t="shared" si="394"/>
        <v>320.38699999999994</v>
      </c>
      <c r="R119" s="248">
        <f t="shared" ref="R119" si="395">R47+R83</f>
        <v>663.39499999999998</v>
      </c>
      <c r="S119" s="248">
        <f>S47+S83</f>
        <v>608.67790174876711</v>
      </c>
      <c r="T119" s="248">
        <f>T47+T83</f>
        <v>615.4314900001707</v>
      </c>
      <c r="U119" s="248">
        <f t="shared" ref="U119:AA119" si="396">U47+U83</f>
        <v>633.89443470017579</v>
      </c>
      <c r="V119" s="248">
        <f t="shared" si="396"/>
        <v>651.17106057627564</v>
      </c>
      <c r="W119" s="248">
        <f t="shared" si="396"/>
        <v>668.93118108536032</v>
      </c>
      <c r="X119" s="248">
        <f t="shared" si="396"/>
        <v>687.18860498355355</v>
      </c>
      <c r="Y119" s="248">
        <f t="shared" si="396"/>
        <v>705.9575413680052</v>
      </c>
      <c r="Z119" s="248">
        <f t="shared" si="396"/>
        <v>725.25261140868929</v>
      </c>
      <c r="AA119" s="248">
        <f t="shared" si="396"/>
        <v>745.08886042658685</v>
      </c>
    </row>
    <row r="120" spans="2:27" x14ac:dyDescent="0.2">
      <c r="B120" s="35" t="s">
        <v>3</v>
      </c>
      <c r="C120" s="154" t="s">
        <v>274</v>
      </c>
      <c r="D120" s="154" t="s">
        <v>274</v>
      </c>
      <c r="E120" s="154" t="s">
        <v>274</v>
      </c>
      <c r="F120" s="154" t="s">
        <v>274</v>
      </c>
      <c r="G120" s="154" t="s">
        <v>274</v>
      </c>
      <c r="H120" s="154" t="s">
        <v>274</v>
      </c>
      <c r="I120" s="154" t="s">
        <v>274</v>
      </c>
      <c r="J120" s="154" t="s">
        <v>274</v>
      </c>
      <c r="K120" s="261">
        <f>(K117-C117)/C117%</f>
        <v>-10.60101870799059</v>
      </c>
      <c r="L120" s="261">
        <f t="shared" ref="L120" si="397">(L117-D117)/D117%</f>
        <v>-15.042934987697132</v>
      </c>
      <c r="M120" s="261">
        <f t="shared" ref="M120" si="398">(M117-E117)/E117%</f>
        <v>-12.958751396045969</v>
      </c>
      <c r="N120" s="261">
        <f t="shared" ref="N120" si="399">(N117-F117)/F117%</f>
        <v>-7.9326569394554411</v>
      </c>
      <c r="O120" s="261">
        <f t="shared" ref="O120" si="400">(O117-G117)/G117%</f>
        <v>-11.267089254041764</v>
      </c>
      <c r="P120" s="261">
        <f t="shared" ref="P120" si="401">(P117-H117)/H117%</f>
        <v>-8.2569673882074479</v>
      </c>
      <c r="Q120" s="261">
        <f t="shared" ref="Q120:R120" si="402">(Q117-I117)/I117%</f>
        <v>-8.0816370518509117</v>
      </c>
      <c r="R120" s="261">
        <f t="shared" si="402"/>
        <v>-10.597667295981804</v>
      </c>
      <c r="S120" s="261">
        <f>(S117-R117)/R117%</f>
        <v>1.1095504259313622</v>
      </c>
      <c r="T120" s="261">
        <f t="shared" ref="T120:AA120" si="403">(T117-S117)/S117%</f>
        <v>3.0000000000000155</v>
      </c>
      <c r="U120" s="261">
        <f t="shared" si="403"/>
        <v>2.999999999999996</v>
      </c>
      <c r="V120" s="261">
        <f t="shared" si="403"/>
        <v>2.7254736641238178</v>
      </c>
      <c r="W120" s="261">
        <f t="shared" si="403"/>
        <v>2.7274124395772859</v>
      </c>
      <c r="X120" s="261">
        <f t="shared" si="403"/>
        <v>2.7293426311164062</v>
      </c>
      <c r="Y120" s="261">
        <f t="shared" si="403"/>
        <v>2.7312642043738262</v>
      </c>
      <c r="Z120" s="261">
        <f t="shared" si="403"/>
        <v>2.7331771261050757</v>
      </c>
      <c r="AA120" s="261">
        <f t="shared" si="403"/>
        <v>2.7350813641840954</v>
      </c>
    </row>
    <row r="121" spans="2:27" x14ac:dyDescent="0.2">
      <c r="C121" s="224"/>
      <c r="D121" s="224"/>
      <c r="E121" s="224"/>
      <c r="F121" s="224"/>
      <c r="G121" s="224"/>
      <c r="H121" s="224"/>
      <c r="I121" s="224"/>
      <c r="J121" s="224"/>
    </row>
    <row r="122" spans="2:27" x14ac:dyDescent="0.2">
      <c r="B122" s="61" t="s">
        <v>425</v>
      </c>
      <c r="C122" s="247">
        <f t="shared" ref="C122:J122" si="404">C50+C86</f>
        <v>5250</v>
      </c>
      <c r="D122" s="247">
        <f t="shared" si="404"/>
        <v>4839</v>
      </c>
      <c r="E122" s="247">
        <f t="shared" si="404"/>
        <v>10089</v>
      </c>
      <c r="F122" s="247">
        <f t="shared" si="404"/>
        <v>5485</v>
      </c>
      <c r="G122" s="247">
        <f t="shared" si="404"/>
        <v>15574</v>
      </c>
      <c r="H122" s="247">
        <f t="shared" si="404"/>
        <v>4904</v>
      </c>
      <c r="I122" s="247">
        <f t="shared" si="404"/>
        <v>10389</v>
      </c>
      <c r="J122" s="247">
        <f t="shared" si="404"/>
        <v>20478</v>
      </c>
      <c r="K122" s="247">
        <f t="shared" ref="K122:S122" si="405">K92+K97+K102+K107+K112+K117</f>
        <v>5392.4892838473443</v>
      </c>
      <c r="L122" s="247">
        <f t="shared" si="405"/>
        <v>5055.542770365767</v>
      </c>
      <c r="M122" s="247">
        <f t="shared" si="405"/>
        <v>10448.032054213112</v>
      </c>
      <c r="N122" s="247">
        <f t="shared" si="405"/>
        <v>5928.0325460731519</v>
      </c>
      <c r="O122" s="247">
        <f t="shared" si="405"/>
        <v>16376.064600286265</v>
      </c>
      <c r="P122" s="247">
        <f t="shared" si="405"/>
        <v>5282.0957787930211</v>
      </c>
      <c r="Q122" s="247">
        <f t="shared" si="405"/>
        <v>11210.128324866173</v>
      </c>
      <c r="R122" s="247">
        <f t="shared" si="405"/>
        <v>21658.160379079287</v>
      </c>
      <c r="S122" s="247">
        <f t="shared" si="405"/>
        <v>23741.316706238136</v>
      </c>
      <c r="T122" s="247">
        <f t="shared" ref="T122:AA122" si="406">T92+T97+T102+T107+T112+T117</f>
        <v>25712.34403687064</v>
      </c>
      <c r="U122" s="247">
        <f t="shared" si="406"/>
        <v>27557.602193708164</v>
      </c>
      <c r="V122" s="247">
        <f t="shared" si="406"/>
        <v>29420.12469489883</v>
      </c>
      <c r="W122" s="247">
        <f t="shared" si="406"/>
        <v>31349.949594960966</v>
      </c>
      <c r="X122" s="247">
        <f t="shared" si="406"/>
        <v>33193.559716880722</v>
      </c>
      <c r="Y122" s="247">
        <f t="shared" si="406"/>
        <v>35149.75066252234</v>
      </c>
      <c r="Z122" s="247">
        <f t="shared" si="406"/>
        <v>37225.591599250671</v>
      </c>
      <c r="AA122" s="247">
        <f t="shared" si="406"/>
        <v>39386.576394975535</v>
      </c>
    </row>
    <row r="123" spans="2:27" x14ac:dyDescent="0.2">
      <c r="B123" s="105" t="s">
        <v>2</v>
      </c>
      <c r="C123" s="264">
        <v>17.578989483310465</v>
      </c>
      <c r="D123" s="264">
        <v>18.856683566217413</v>
      </c>
      <c r="E123" s="264">
        <v>18.192753192753216</v>
      </c>
      <c r="F123" s="264">
        <v>12.680499158165814</v>
      </c>
      <c r="G123" s="264">
        <v>16.126169612357071</v>
      </c>
      <c r="H123" s="264">
        <v>18.366896551724118</v>
      </c>
      <c r="I123" s="264">
        <v>15.312390275043873</v>
      </c>
      <c r="J123" s="264">
        <v>16.673271216883691</v>
      </c>
      <c r="K123" s="261">
        <f>(K124-C122)/C122%</f>
        <v>10.704190476190464</v>
      </c>
      <c r="L123" s="261">
        <f t="shared" ref="L123" si="407">(L124-D122)/D122%</f>
        <v>11.060095060963015</v>
      </c>
      <c r="M123" s="261">
        <f>(M124-E122)/E122%</f>
        <v>10.874893448310038</v>
      </c>
      <c r="N123" s="261">
        <f t="shared" ref="N123" si="408">(N124-F122)/F122%</f>
        <v>10.725068368277126</v>
      </c>
      <c r="O123" s="261">
        <f>(O124-G122)/G122%</f>
        <v>10.822126621291908</v>
      </c>
      <c r="P123" s="261">
        <f>(P124-H122)/H122%</f>
        <v>10.320656606851568</v>
      </c>
      <c r="Q123" s="261">
        <f t="shared" ref="Q123" si="409">(Q124-I122)/I122%</f>
        <v>10.534170757532008</v>
      </c>
      <c r="R123" s="261">
        <f t="shared" ref="R123" si="410">(R124-J122)/J122%</f>
        <v>10.702036331673025</v>
      </c>
      <c r="S123" s="261">
        <f t="shared" ref="S123" si="411">(S124-R122)/R122%</f>
        <v>9.6961805725715191</v>
      </c>
      <c r="T123" s="261">
        <f t="shared" ref="T123" si="412">(T124-S122)/S122%</f>
        <v>8.3020977944100594</v>
      </c>
      <c r="U123" s="261">
        <f t="shared" ref="U123" si="413">(U124-T122)/T122%</f>
        <v>7.1765458419173536</v>
      </c>
      <c r="V123" s="261">
        <f t="shared" ref="V123" si="414">(V124-U122)/U122%</f>
        <v>6.7586522517402221</v>
      </c>
      <c r="W123" s="261">
        <f t="shared" ref="W123" si="415">(W124-V122)/V122%</f>
        <v>6.5595401789603889</v>
      </c>
      <c r="X123" s="261">
        <f t="shared" ref="X123" si="416">(X124-W122)/W122%</f>
        <v>5.8807434963662208</v>
      </c>
      <c r="Y123" s="261">
        <f t="shared" ref="Y123" si="417">(Y124-X122)/X122%</f>
        <v>5.8932846079981864</v>
      </c>
      <c r="Z123" s="261">
        <f t="shared" ref="Z123" si="418">(Z124-Y122)/Y122%</f>
        <v>5.9057060081557031</v>
      </c>
      <c r="AA123" s="261">
        <f t="shared" ref="AA123" si="419">(AA124-Z122)/Z122%</f>
        <v>5.8051053130029056</v>
      </c>
    </row>
    <row r="124" spans="2:27" x14ac:dyDescent="0.2">
      <c r="B124" s="91" t="s">
        <v>308</v>
      </c>
      <c r="C124" s="254">
        <v>5142.9049999999997</v>
      </c>
      <c r="D124" s="254">
        <v>4805.9700000000012</v>
      </c>
      <c r="E124" s="254">
        <v>9948.8750000000018</v>
      </c>
      <c r="F124" s="254">
        <v>5688.6750000000011</v>
      </c>
      <c r="G124" s="254">
        <v>15637.550000000003</v>
      </c>
      <c r="H124" s="254">
        <v>5148.9599999999991</v>
      </c>
      <c r="I124" s="254">
        <v>10837.634999999998</v>
      </c>
      <c r="J124" s="254">
        <v>20786.509999999998</v>
      </c>
      <c r="K124" s="254">
        <f>K94+K99+K104+K109+K114+K119</f>
        <v>5811.9699999999993</v>
      </c>
      <c r="L124" s="254">
        <f t="shared" ref="L124:S124" si="420">L94+L99+L104+L109+L114+L119</f>
        <v>5374.1980000000003</v>
      </c>
      <c r="M124" s="254">
        <f t="shared" si="420"/>
        <v>11186.168</v>
      </c>
      <c r="N124" s="254">
        <f t="shared" si="420"/>
        <v>6073.27</v>
      </c>
      <c r="O124" s="254">
        <f t="shared" si="420"/>
        <v>17259.438000000002</v>
      </c>
      <c r="P124" s="254">
        <f t="shared" si="420"/>
        <v>5410.1250000000009</v>
      </c>
      <c r="Q124" s="254">
        <f t="shared" si="420"/>
        <v>11483.395</v>
      </c>
      <c r="R124" s="254">
        <f t="shared" si="420"/>
        <v>22669.563000000002</v>
      </c>
      <c r="S124" s="254">
        <f t="shared" si="420"/>
        <v>23758.174718131955</v>
      </c>
      <c r="T124" s="254">
        <f t="shared" ref="T124:AA124" si="421">T94+T99+T104+T109+T114+T119</f>
        <v>25712.34403687064</v>
      </c>
      <c r="U124" s="254">
        <f t="shared" si="421"/>
        <v>27557.602193708164</v>
      </c>
      <c r="V124" s="254">
        <f t="shared" si="421"/>
        <v>29420.124694898834</v>
      </c>
      <c r="W124" s="254">
        <f t="shared" si="421"/>
        <v>31349.949594960966</v>
      </c>
      <c r="X124" s="254">
        <f t="shared" si="421"/>
        <v>33193.559716880722</v>
      </c>
      <c r="Y124" s="254">
        <f t="shared" si="421"/>
        <v>35149.75066252234</v>
      </c>
      <c r="Z124" s="254">
        <f t="shared" si="421"/>
        <v>37225.591599250671</v>
      </c>
      <c r="AA124" s="254">
        <f t="shared" si="421"/>
        <v>39386.576394975535</v>
      </c>
    </row>
    <row r="125" spans="2:27" x14ac:dyDescent="0.2">
      <c r="B125" s="106" t="s">
        <v>3</v>
      </c>
      <c r="C125" s="262">
        <v>20.022862368541364</v>
      </c>
      <c r="D125" s="262">
        <v>19.685915667120067</v>
      </c>
      <c r="E125" s="262">
        <v>19.861003861003852</v>
      </c>
      <c r="F125" s="262">
        <v>8.6401901554917266</v>
      </c>
      <c r="G125" s="262">
        <v>15.654240308926186</v>
      </c>
      <c r="H125" s="262">
        <v>12.758620689655173</v>
      </c>
      <c r="I125" s="262">
        <v>10.546363781454495</v>
      </c>
      <c r="J125" s="262">
        <v>14.947238437359678</v>
      </c>
      <c r="K125" s="262">
        <f>(K122-C122)/C122%</f>
        <v>2.7140815970922718</v>
      </c>
      <c r="L125" s="262">
        <f t="shared" ref="L125" si="422">(L122-D122)/D122%</f>
        <v>4.4749487573004121</v>
      </c>
      <c r="M125" s="262">
        <f t="shared" ref="M125" si="423">(M122-E122)/E122%</f>
        <v>3.5586485698593728</v>
      </c>
      <c r="N125" s="262">
        <f t="shared" ref="N125" si="424">(N122-F122)/F122%</f>
        <v>8.0771658354266531</v>
      </c>
      <c r="O125" s="262">
        <f t="shared" ref="O125" si="425">(O122-G122)/G122%</f>
        <v>5.1500231172869197</v>
      </c>
      <c r="P125" s="262">
        <f t="shared" ref="P125" si="426">(P122-H122)/H122%</f>
        <v>7.7099465496129902</v>
      </c>
      <c r="Q125" s="262">
        <f t="shared" ref="Q125" si="427">(Q122-I122)/I122%</f>
        <v>7.9038244765249104</v>
      </c>
      <c r="R125" s="262">
        <f t="shared" ref="R125" si="428">(R122-J122)/J122%</f>
        <v>5.7630646502553322</v>
      </c>
      <c r="S125" s="262">
        <f>(S122-R122)/R122%</f>
        <v>9.6183438052803201</v>
      </c>
      <c r="T125" s="262">
        <f t="shared" ref="T125:AA125" si="429">(T122-S122)/S122%</f>
        <v>8.3020977944100594</v>
      </c>
      <c r="U125" s="262">
        <f t="shared" si="429"/>
        <v>7.1765458419173536</v>
      </c>
      <c r="V125" s="262">
        <f t="shared" si="429"/>
        <v>6.7586522517402088</v>
      </c>
      <c r="W125" s="262">
        <f t="shared" si="429"/>
        <v>6.5595401789603889</v>
      </c>
      <c r="X125" s="262">
        <f t="shared" si="429"/>
        <v>5.8807434963662208</v>
      </c>
      <c r="Y125" s="262">
        <f t="shared" si="429"/>
        <v>5.8932846079981864</v>
      </c>
      <c r="Z125" s="262">
        <f t="shared" si="429"/>
        <v>5.9057060081557031</v>
      </c>
      <c r="AA125" s="262">
        <f t="shared" si="429"/>
        <v>5.8051053130029056</v>
      </c>
    </row>
    <row r="127" spans="2:27" x14ac:dyDescent="0.2">
      <c r="B127" s="142"/>
      <c r="C127" s="173" t="str">
        <f>C$3</f>
        <v>Q117</v>
      </c>
      <c r="D127" s="173" t="str">
        <f t="shared" ref="D127:AA127" si="430">D$3</f>
        <v>Q217</v>
      </c>
      <c r="E127" s="173" t="str">
        <f t="shared" si="430"/>
        <v>H117</v>
      </c>
      <c r="F127" s="173" t="str">
        <f t="shared" si="430"/>
        <v>Q317</v>
      </c>
      <c r="G127" s="173" t="str">
        <f t="shared" si="430"/>
        <v>9M17</v>
      </c>
      <c r="H127" s="173" t="str">
        <f t="shared" si="430"/>
        <v>Q417</v>
      </c>
      <c r="I127" s="173" t="str">
        <f t="shared" si="430"/>
        <v>2H17</v>
      </c>
      <c r="J127" s="249">
        <f t="shared" si="430"/>
        <v>2017</v>
      </c>
      <c r="K127" s="173" t="str">
        <f t="shared" si="430"/>
        <v>Q118e</v>
      </c>
      <c r="L127" s="173" t="str">
        <f t="shared" si="430"/>
        <v>Q218e</v>
      </c>
      <c r="M127" s="173" t="str">
        <f t="shared" si="430"/>
        <v>H118e</v>
      </c>
      <c r="N127" s="173" t="str">
        <f t="shared" si="430"/>
        <v>Q318e</v>
      </c>
      <c r="O127" s="173" t="str">
        <f t="shared" si="430"/>
        <v>9M18e</v>
      </c>
      <c r="P127" s="173" t="str">
        <f t="shared" si="430"/>
        <v>Q418e</v>
      </c>
      <c r="Q127" s="173" t="str">
        <f t="shared" si="430"/>
        <v>2H18e</v>
      </c>
      <c r="R127" s="173">
        <f t="shared" si="430"/>
        <v>2018</v>
      </c>
      <c r="S127" s="173">
        <f t="shared" si="430"/>
        <v>2019</v>
      </c>
      <c r="T127" s="173">
        <f t="shared" si="430"/>
        <v>2020</v>
      </c>
      <c r="U127" s="173">
        <f t="shared" si="430"/>
        <v>2021</v>
      </c>
      <c r="V127" s="173">
        <f t="shared" si="430"/>
        <v>2022</v>
      </c>
      <c r="W127" s="173">
        <f t="shared" si="430"/>
        <v>2023</v>
      </c>
      <c r="X127" s="173">
        <f t="shared" si="430"/>
        <v>2024</v>
      </c>
      <c r="Y127" s="173">
        <f t="shared" si="430"/>
        <v>2025</v>
      </c>
      <c r="Z127" s="173">
        <f t="shared" si="430"/>
        <v>2026</v>
      </c>
      <c r="AA127" s="173">
        <f t="shared" si="430"/>
        <v>2027</v>
      </c>
    </row>
    <row r="128" spans="2:27" x14ac:dyDescent="0.2">
      <c r="B128" s="61" t="s">
        <v>223</v>
      </c>
      <c r="C128" s="251">
        <v>197</v>
      </c>
      <c r="D128" s="251">
        <v>198</v>
      </c>
      <c r="E128" s="252">
        <f>C128+D128</f>
        <v>395</v>
      </c>
      <c r="F128" s="251">
        <v>192</v>
      </c>
      <c r="G128" s="252">
        <f>E128+F128</f>
        <v>587</v>
      </c>
      <c r="H128" s="251">
        <v>152</v>
      </c>
      <c r="I128" s="252">
        <f>F128+H128</f>
        <v>344</v>
      </c>
      <c r="J128" s="252">
        <f>E128+I128</f>
        <v>739</v>
      </c>
      <c r="K128" s="252">
        <f>+((K130)/(K$7/C$7)*0.4)+((K130)/(K$9/C$9)*0.15)+((K130)*0.45)</f>
        <v>192.80632126160529</v>
      </c>
      <c r="L128" s="252">
        <f>M128-K128</f>
        <v>196.56267895789924</v>
      </c>
      <c r="M128" s="252">
        <f>+((M130)/(M$7/E$7)*0.4)+((M130)/(M$9/E$9)*0.15)+((M130)*0.45)</f>
        <v>389.36900021950453</v>
      </c>
      <c r="N128" s="252">
        <f>O128-M128</f>
        <v>196.34142544505141</v>
      </c>
      <c r="O128" s="252">
        <f>+((O130)/(O$7/G$7)*0.4)+((O130)/(O$9/G$9)*0.15)+((O130)*0.45)</f>
        <v>585.71042566455594</v>
      </c>
      <c r="P128" s="252">
        <f>+((P130)/(P$7/H$7)*0.4)+((P130)/(P$9/H$9)*0.15)+((P130)*0.45)</f>
        <v>160.359150824545</v>
      </c>
      <c r="Q128" s="252">
        <f>P128+N128</f>
        <v>356.70057626959641</v>
      </c>
      <c r="R128" s="252">
        <f>Q128+M128</f>
        <v>746.06957648910088</v>
      </c>
      <c r="S128" s="252">
        <f>+((S130)/(S$7/R$7)*0.4)+((S130)/(S$9/R$9)*0.15)+((S130)*0.45)</f>
        <v>779.56596618950653</v>
      </c>
      <c r="T128" s="252">
        <f t="shared" ref="T128:AA128" si="431">+((T130)/(T$7/S$7)*0.4)+((T130)/(T$9/S$9)*0.15)+((T130)*0.45)</f>
        <v>805.29164307376016</v>
      </c>
      <c r="U128" s="252">
        <f t="shared" si="431"/>
        <v>828.64510072289909</v>
      </c>
      <c r="V128" s="252">
        <f t="shared" si="431"/>
        <v>848.53258314024868</v>
      </c>
      <c r="W128" s="252">
        <f t="shared" si="431"/>
        <v>868.89736513561468</v>
      </c>
      <c r="X128" s="252">
        <f t="shared" si="431"/>
        <v>889.75090189886942</v>
      </c>
      <c r="Y128" s="252">
        <f t="shared" si="431"/>
        <v>911.10492354444227</v>
      </c>
      <c r="Z128" s="252">
        <f t="shared" si="431"/>
        <v>932.97144170950889</v>
      </c>
      <c r="AA128" s="252">
        <f t="shared" si="431"/>
        <v>955.36275631053718</v>
      </c>
    </row>
    <row r="129" spans="2:27" x14ac:dyDescent="0.2">
      <c r="B129" s="105" t="s">
        <v>2</v>
      </c>
      <c r="C129" s="263">
        <v>-4.0330687830687841</v>
      </c>
      <c r="D129" s="264">
        <v>36.059870550161833</v>
      </c>
      <c r="E129" s="263">
        <v>14</v>
      </c>
      <c r="F129" s="264">
        <v>22.182857142857138</v>
      </c>
      <c r="G129" s="263">
        <v>13.6</v>
      </c>
      <c r="H129" s="264">
        <v>7.2</v>
      </c>
      <c r="I129" s="264">
        <v>10.288717156105063</v>
      </c>
      <c r="J129" s="263">
        <v>12.2</v>
      </c>
      <c r="K129" s="265">
        <v>5.7</v>
      </c>
      <c r="L129" s="261">
        <f t="shared" ref="L129" si="432">(L130-D128)/D128%</f>
        <v>5.7000000000000011</v>
      </c>
      <c r="M129" s="265">
        <v>5.7</v>
      </c>
      <c r="N129" s="261">
        <f t="shared" ref="N129" si="433">(N130-F128)/F128%</f>
        <v>5.0885416666666572</v>
      </c>
      <c r="O129" s="266">
        <v>5.5</v>
      </c>
      <c r="P129" s="265">
        <v>8.4</v>
      </c>
      <c r="Q129" s="261">
        <f t="shared" ref="Q129" si="434">(Q130-I128)/I128%</f>
        <v>6.5517441860465153</v>
      </c>
      <c r="R129" s="261">
        <f t="shared" ref="R129" si="435">(R130-J128)/J128%</f>
        <v>6.096481732070365</v>
      </c>
      <c r="S129" s="266">
        <v>4.5999999999999996</v>
      </c>
      <c r="T129" s="266">
        <v>3.3</v>
      </c>
      <c r="U129" s="266">
        <v>2.9</v>
      </c>
      <c r="V129" s="266">
        <v>2.4</v>
      </c>
      <c r="W129" s="266">
        <v>2.4</v>
      </c>
      <c r="X129" s="266">
        <v>2.4</v>
      </c>
      <c r="Y129" s="266">
        <v>2.4</v>
      </c>
      <c r="Z129" s="266">
        <v>2.4</v>
      </c>
      <c r="AA129" s="266">
        <v>2.4</v>
      </c>
    </row>
    <row r="130" spans="2:27" x14ac:dyDescent="0.2">
      <c r="B130" s="91" t="s">
        <v>308</v>
      </c>
      <c r="C130" s="248">
        <v>181.3775</v>
      </c>
      <c r="D130" s="248">
        <v>210.21250000000003</v>
      </c>
      <c r="E130" s="248">
        <v>391.59000000000003</v>
      </c>
      <c r="F130" s="248">
        <v>213.82</v>
      </c>
      <c r="G130" s="248">
        <v>589.01600000000008</v>
      </c>
      <c r="H130" s="248">
        <v>159.19200000000001</v>
      </c>
      <c r="I130" s="248">
        <v>356.78399999999988</v>
      </c>
      <c r="J130" s="248">
        <v>748.37399999999991</v>
      </c>
      <c r="K130" s="248">
        <f>C128*(1+K129/100)</f>
        <v>208.22899999999998</v>
      </c>
      <c r="L130" s="248">
        <f>M130-K130</f>
        <v>209.286</v>
      </c>
      <c r="M130" s="248">
        <f>E128*(1+M129/100)</f>
        <v>417.51499999999999</v>
      </c>
      <c r="N130" s="248">
        <f>O130-M130</f>
        <v>201.76999999999998</v>
      </c>
      <c r="O130" s="248">
        <f>G128*(1+O129/100)</f>
        <v>619.28499999999997</v>
      </c>
      <c r="P130" s="248">
        <f>H128*(1+P129/100)</f>
        <v>164.768</v>
      </c>
      <c r="Q130" s="248">
        <f>N130+P130</f>
        <v>366.53800000000001</v>
      </c>
      <c r="R130" s="248">
        <f>M130+Q130</f>
        <v>784.053</v>
      </c>
      <c r="S130" s="248">
        <f>R128*(1+S129/100)</f>
        <v>780.38877700759951</v>
      </c>
      <c r="T130" s="248">
        <f t="shared" ref="T130" si="436">S128*(1+T129/100)</f>
        <v>805.29164307376016</v>
      </c>
      <c r="U130" s="248">
        <f t="shared" ref="U130" si="437">T128*(1+U129/100)</f>
        <v>828.64510072289909</v>
      </c>
      <c r="V130" s="248">
        <f t="shared" ref="V130" si="438">U128*(1+V129/100)</f>
        <v>848.53258314024868</v>
      </c>
      <c r="W130" s="248">
        <f t="shared" ref="W130" si="439">V128*(1+W129/100)</f>
        <v>868.89736513561468</v>
      </c>
      <c r="X130" s="248">
        <f t="shared" ref="X130" si="440">W128*(1+X129/100)</f>
        <v>889.75090189886942</v>
      </c>
      <c r="Y130" s="248">
        <f t="shared" ref="Y130" si="441">X128*(1+Y129/100)</f>
        <v>911.10492354444227</v>
      </c>
      <c r="Z130" s="248">
        <f t="shared" ref="Z130" si="442">Y128*(1+Z129/100)</f>
        <v>932.97144170950889</v>
      </c>
      <c r="AA130" s="248">
        <f t="shared" ref="AA130" si="443">Z128*(1+AA129/100)</f>
        <v>955.36275631053718</v>
      </c>
    </row>
    <row r="131" spans="2:27" x14ac:dyDescent="0.2">
      <c r="B131" s="106" t="s">
        <v>3</v>
      </c>
      <c r="C131" s="262">
        <v>4.2328042328042335</v>
      </c>
      <c r="D131" s="262">
        <v>28.349514563106805</v>
      </c>
      <c r="E131" s="262">
        <v>15.080058224163031</v>
      </c>
      <c r="F131" s="262">
        <v>9.5428571428571356</v>
      </c>
      <c r="G131" s="262">
        <v>13.211186113789779</v>
      </c>
      <c r="H131" s="262">
        <v>2.3569023569023568</v>
      </c>
      <c r="I131" s="262">
        <v>6.244204018547137</v>
      </c>
      <c r="J131" s="262">
        <v>10.794602698650674</v>
      </c>
      <c r="K131" s="262">
        <f>(K128-C128)/C128%</f>
        <v>-2.128770933195284</v>
      </c>
      <c r="L131" s="262">
        <f>(L128-D128)/D128%</f>
        <v>-0.7259197182327084</v>
      </c>
      <c r="M131" s="262">
        <f>(M128-E128)/E128%</f>
        <v>-1.4255695646823978</v>
      </c>
      <c r="N131" s="262">
        <f t="shared" ref="N131" si="444">(N128-F128)/F128%</f>
        <v>2.2611590859642781</v>
      </c>
      <c r="O131" s="262">
        <f t="shared" ref="O131" si="445">(O128-G128)/G128%</f>
        <v>-0.21968898389166239</v>
      </c>
      <c r="P131" s="262">
        <f t="shared" ref="P131" si="446">(P128-H128)/H128%</f>
        <v>5.499441331937498</v>
      </c>
      <c r="Q131" s="262">
        <f t="shared" ref="Q131" si="447">(Q128-I128)/I128%</f>
        <v>3.692027985347794</v>
      </c>
      <c r="R131" s="262">
        <f t="shared" ref="R131" si="448">(R128-J128)/J128%</f>
        <v>0.95664093221933455</v>
      </c>
      <c r="S131" s="262">
        <f>(S128-R128)/R128%</f>
        <v>4.4897139296357551</v>
      </c>
      <c r="T131" s="262">
        <f t="shared" ref="T131:AA131" si="449">(T128-S128)/S128%</f>
        <v>3.2999999999999892</v>
      </c>
      <c r="U131" s="262">
        <f t="shared" si="449"/>
        <v>2.8999999999999857</v>
      </c>
      <c r="V131" s="262">
        <f t="shared" si="449"/>
        <v>2.4000000000000012</v>
      </c>
      <c r="W131" s="262">
        <f t="shared" si="449"/>
        <v>2.4000000000000044</v>
      </c>
      <c r="X131" s="262">
        <f t="shared" si="449"/>
        <v>2.3999999999999986</v>
      </c>
      <c r="Y131" s="262">
        <f t="shared" si="449"/>
        <v>2.399999999999999</v>
      </c>
      <c r="Z131" s="262">
        <f t="shared" si="449"/>
        <v>2.4000000000000008</v>
      </c>
      <c r="AA131" s="262">
        <f t="shared" si="449"/>
        <v>2.4000000000000079</v>
      </c>
    </row>
    <row r="133" spans="2:27" x14ac:dyDescent="0.2">
      <c r="B133" s="213" t="s">
        <v>426</v>
      </c>
      <c r="C133" s="250">
        <f>C122+C128</f>
        <v>5447</v>
      </c>
      <c r="D133" s="250">
        <f t="shared" ref="D133:AA133" si="450">D122+D128</f>
        <v>5037</v>
      </c>
      <c r="E133" s="250">
        <f t="shared" si="450"/>
        <v>10484</v>
      </c>
      <c r="F133" s="250">
        <f t="shared" si="450"/>
        <v>5677</v>
      </c>
      <c r="G133" s="250">
        <f t="shared" si="450"/>
        <v>16161</v>
      </c>
      <c r="H133" s="250">
        <f t="shared" si="450"/>
        <v>5056</v>
      </c>
      <c r="I133" s="250">
        <f t="shared" si="450"/>
        <v>10733</v>
      </c>
      <c r="J133" s="250">
        <f t="shared" si="450"/>
        <v>21217</v>
      </c>
      <c r="K133" s="250">
        <f t="shared" si="450"/>
        <v>5585.2956051089495</v>
      </c>
      <c r="L133" s="250">
        <f t="shared" si="450"/>
        <v>5252.1054493236661</v>
      </c>
      <c r="M133" s="250">
        <f t="shared" si="450"/>
        <v>10837.401054432617</v>
      </c>
      <c r="N133" s="250">
        <f t="shared" si="450"/>
        <v>6124.3739715182037</v>
      </c>
      <c r="O133" s="250">
        <f t="shared" si="450"/>
        <v>16961.775025950821</v>
      </c>
      <c r="P133" s="250">
        <f t="shared" si="450"/>
        <v>5442.4549296175664</v>
      </c>
      <c r="Q133" s="250">
        <f t="shared" si="450"/>
        <v>11566.82890113577</v>
      </c>
      <c r="R133" s="250">
        <f t="shared" si="450"/>
        <v>22404.229955568389</v>
      </c>
      <c r="S133" s="250">
        <f t="shared" si="450"/>
        <v>24520.882672427644</v>
      </c>
      <c r="T133" s="250">
        <f t="shared" si="450"/>
        <v>26517.6356799444</v>
      </c>
      <c r="U133" s="250">
        <f t="shared" si="450"/>
        <v>28386.247294431065</v>
      </c>
      <c r="V133" s="250">
        <f t="shared" si="450"/>
        <v>30268.657278039078</v>
      </c>
      <c r="W133" s="250">
        <f t="shared" si="450"/>
        <v>32218.84696009658</v>
      </c>
      <c r="X133" s="250">
        <f t="shared" si="450"/>
        <v>34083.310618779593</v>
      </c>
      <c r="Y133" s="250">
        <f t="shared" si="450"/>
        <v>36060.855586066784</v>
      </c>
      <c r="Z133" s="250">
        <f t="shared" si="450"/>
        <v>38158.56304096018</v>
      </c>
      <c r="AA133" s="250">
        <f t="shared" si="450"/>
        <v>40341.939151286075</v>
      </c>
    </row>
    <row r="134" spans="2:27" x14ac:dyDescent="0.2">
      <c r="B134" s="120" t="s">
        <v>2</v>
      </c>
      <c r="C134" s="258">
        <v>16</v>
      </c>
      <c r="D134" s="258">
        <v>19.3</v>
      </c>
      <c r="E134" s="259">
        <v>17.649999999999999</v>
      </c>
      <c r="F134" s="258">
        <v>12</v>
      </c>
      <c r="G134" s="259">
        <v>15.766666666666666</v>
      </c>
      <c r="H134" s="260">
        <v>12.4</v>
      </c>
      <c r="I134" s="259">
        <v>12.2</v>
      </c>
      <c r="J134" s="260">
        <v>14.8</v>
      </c>
      <c r="K134" s="261">
        <f>(K135-C133)/C133%</f>
        <v>10.523205434183948</v>
      </c>
      <c r="L134" s="261">
        <f t="shared" ref="L134" si="451">(L135-D133)/D133%</f>
        <v>10.849394480841779</v>
      </c>
      <c r="M134" s="261">
        <f>(M135-E133)/E133%</f>
        <v>10.679921785578015</v>
      </c>
      <c r="N134" s="261">
        <f t="shared" ref="N134" si="452">(N135-F133)/F133%</f>
        <v>10.534437202747945</v>
      </c>
      <c r="O134" s="261">
        <f>(O135-G133)/G133%</f>
        <v>10.628816286120918</v>
      </c>
      <c r="P134" s="261">
        <f>(P135-H133)/H133%</f>
        <v>10.262915348101284</v>
      </c>
      <c r="Q134" s="261">
        <f t="shared" ref="Q134" si="453">(Q135-I133)/I133%</f>
        <v>10.406531258734752</v>
      </c>
      <c r="R134" s="261">
        <f t="shared" ref="R134" si="454">(R135-J133)/J133%</f>
        <v>10.541622284017542</v>
      </c>
      <c r="S134" s="261">
        <f t="shared" ref="S134" si="455">(S135-R133)/R133%</f>
        <v>9.5264757762437373</v>
      </c>
      <c r="T134" s="261">
        <f t="shared" ref="T134" si="456">(T135-S133)/S133%</f>
        <v>8.143071496206753</v>
      </c>
      <c r="U134" s="261">
        <f t="shared" ref="U134" si="457">(U135-T133)/T133%</f>
        <v>7.0466750393584956</v>
      </c>
      <c r="V134" s="261">
        <f t="shared" ref="V134" si="458">(V135-U133)/U133%</f>
        <v>6.6314154318570884</v>
      </c>
      <c r="W134" s="261">
        <f t="shared" ref="W134" si="459">(W135-V133)/V133%</f>
        <v>6.4429342343917897</v>
      </c>
      <c r="X134" s="261">
        <f t="shared" ref="X134" si="460">(X135-W133)/W133%</f>
        <v>5.7868726990514991</v>
      </c>
      <c r="Y134" s="261">
        <f t="shared" ref="Y134" si="461">(Y135-X133)/X133%</f>
        <v>5.8020917903367693</v>
      </c>
      <c r="Z134" s="261">
        <f t="shared" ref="Z134" si="462">(Z135-Y133)/Y133%</f>
        <v>5.8171316814343967</v>
      </c>
      <c r="AA134" s="261">
        <f t="shared" ref="AA134" si="463">(AA135-Z133)/Z133%</f>
        <v>5.7218509721716053</v>
      </c>
    </row>
    <row r="135" spans="2:27" x14ac:dyDescent="0.2">
      <c r="B135" s="47" t="s">
        <v>308</v>
      </c>
      <c r="C135" s="254">
        <v>5324.2824999999993</v>
      </c>
      <c r="D135" s="254">
        <v>5016.1825000000008</v>
      </c>
      <c r="E135" s="254">
        <v>10340.465</v>
      </c>
      <c r="F135" s="254">
        <v>5902.4950000000008</v>
      </c>
      <c r="G135" s="254">
        <v>16242.960000000001</v>
      </c>
      <c r="H135" s="254">
        <v>5308.1519999999991</v>
      </c>
      <c r="I135" s="254">
        <v>21551.112000000001</v>
      </c>
      <c r="J135" s="254">
        <v>31891.577000000001</v>
      </c>
      <c r="K135" s="254">
        <f>K130+K124</f>
        <v>6020.1989999999996</v>
      </c>
      <c r="L135" s="254">
        <f t="shared" ref="L135:AA135" si="464">L130+L124</f>
        <v>5583.4840000000004</v>
      </c>
      <c r="M135" s="254">
        <f t="shared" si="464"/>
        <v>11603.682999999999</v>
      </c>
      <c r="N135" s="254">
        <f t="shared" si="464"/>
        <v>6275.0400000000009</v>
      </c>
      <c r="O135" s="254">
        <f t="shared" si="464"/>
        <v>17878.723000000002</v>
      </c>
      <c r="P135" s="254">
        <f t="shared" si="464"/>
        <v>5574.8930000000009</v>
      </c>
      <c r="Q135" s="254">
        <f t="shared" si="464"/>
        <v>11849.933000000001</v>
      </c>
      <c r="R135" s="254">
        <f t="shared" si="464"/>
        <v>23453.616000000002</v>
      </c>
      <c r="S135" s="254">
        <f t="shared" si="464"/>
        <v>24538.563495139555</v>
      </c>
      <c r="T135" s="254">
        <f t="shared" si="464"/>
        <v>26517.6356799444</v>
      </c>
      <c r="U135" s="254">
        <f t="shared" si="464"/>
        <v>28386.247294431065</v>
      </c>
      <c r="V135" s="254">
        <f t="shared" si="464"/>
        <v>30268.657278039082</v>
      </c>
      <c r="W135" s="254">
        <f t="shared" si="464"/>
        <v>32218.84696009658</v>
      </c>
      <c r="X135" s="254">
        <f t="shared" si="464"/>
        <v>34083.310618779593</v>
      </c>
      <c r="Y135" s="254">
        <f t="shared" si="464"/>
        <v>36060.855586066784</v>
      </c>
      <c r="Z135" s="254">
        <f t="shared" si="464"/>
        <v>38158.56304096018</v>
      </c>
      <c r="AA135" s="254">
        <f t="shared" si="464"/>
        <v>40341.939151286075</v>
      </c>
    </row>
    <row r="136" spans="2:27" x14ac:dyDescent="0.2">
      <c r="B136" s="106" t="s">
        <v>3</v>
      </c>
      <c r="C136" s="262">
        <v>19.395002192021028</v>
      </c>
      <c r="D136" s="262">
        <v>19.976184805906172</v>
      </c>
      <c r="E136" s="262">
        <v>19.673553247346177</v>
      </c>
      <c r="F136" s="262">
        <v>8.6704317028812028</v>
      </c>
      <c r="G136" s="262">
        <v>15.563659766169687</v>
      </c>
      <c r="H136" s="262">
        <v>12.415249527620318</v>
      </c>
      <c r="I136" s="262">
        <v>10.403209216210671</v>
      </c>
      <c r="J136" s="262">
        <v>14.79738137748201</v>
      </c>
      <c r="K136" s="262">
        <f>(K133-C133)/C133%</f>
        <v>2.5389316157325048</v>
      </c>
      <c r="L136" s="262">
        <f t="shared" ref="L136" si="465">(L133-D133)/D133%</f>
        <v>4.2705072329494964</v>
      </c>
      <c r="M136" s="262">
        <f t="shared" ref="M136" si="466">(M133-E133)/E133%</f>
        <v>3.3708608778387776</v>
      </c>
      <c r="N136" s="262">
        <f t="shared" ref="N136" si="467">(N133-F133)/F133%</f>
        <v>7.8804645326440665</v>
      </c>
      <c r="O136" s="262">
        <f t="shared" ref="O136" si="468">(O133-G133)/G133%</f>
        <v>4.954984381850263</v>
      </c>
      <c r="P136" s="262">
        <f t="shared" ref="P136" si="469">(P133-H133)/H133%</f>
        <v>7.6434914876892091</v>
      </c>
      <c r="Q136" s="262">
        <f t="shared" ref="Q136" si="470">(Q133-I133)/I133%</f>
        <v>7.7688335147281293</v>
      </c>
      <c r="R136" s="262">
        <f t="shared" ref="R136" si="471">(R133-J133)/J133%</f>
        <v>5.5956542186378355</v>
      </c>
      <c r="S136" s="262">
        <f>(S133-R133)/R133%</f>
        <v>9.4475584345320378</v>
      </c>
      <c r="T136" s="262">
        <f t="shared" ref="T136:AA136" si="472">(T133-S133)/S133%</f>
        <v>8.143071496206753</v>
      </c>
      <c r="U136" s="262">
        <f t="shared" si="472"/>
        <v>7.0466750393584956</v>
      </c>
      <c r="V136" s="262">
        <f t="shared" si="472"/>
        <v>6.631415431857075</v>
      </c>
      <c r="W136" s="262">
        <f t="shared" si="472"/>
        <v>6.4429342343917897</v>
      </c>
      <c r="X136" s="262">
        <f t="shared" si="472"/>
        <v>5.7868726990514991</v>
      </c>
      <c r="Y136" s="262">
        <f t="shared" si="472"/>
        <v>5.8020917903367693</v>
      </c>
      <c r="Z136" s="262">
        <f t="shared" si="472"/>
        <v>5.8171316814343967</v>
      </c>
      <c r="AA136" s="262">
        <f t="shared" si="472"/>
        <v>5.7218509721716053</v>
      </c>
    </row>
    <row r="137" spans="2:27" x14ac:dyDescent="0.2">
      <c r="K137" s="165"/>
    </row>
    <row r="138" spans="2:27" x14ac:dyDescent="0.2">
      <c r="B138" s="142" t="s">
        <v>325</v>
      </c>
      <c r="C138" s="173" t="str">
        <f>C$3</f>
        <v>Q117</v>
      </c>
      <c r="D138" s="173" t="str">
        <f t="shared" ref="D138:AA138" si="473">D$3</f>
        <v>Q217</v>
      </c>
      <c r="E138" s="173" t="str">
        <f t="shared" si="473"/>
        <v>H117</v>
      </c>
      <c r="F138" s="173" t="str">
        <f t="shared" si="473"/>
        <v>Q317</v>
      </c>
      <c r="G138" s="173" t="str">
        <f t="shared" si="473"/>
        <v>9M17</v>
      </c>
      <c r="H138" s="173" t="str">
        <f t="shared" si="473"/>
        <v>Q417</v>
      </c>
      <c r="I138" s="173" t="str">
        <f t="shared" si="473"/>
        <v>2H17</v>
      </c>
      <c r="J138" s="249">
        <f t="shared" si="473"/>
        <v>2017</v>
      </c>
      <c r="K138" s="173" t="str">
        <f t="shared" si="473"/>
        <v>Q118e</v>
      </c>
      <c r="L138" s="173" t="str">
        <f t="shared" si="473"/>
        <v>Q218e</v>
      </c>
      <c r="M138" s="173" t="str">
        <f t="shared" si="473"/>
        <v>H118e</v>
      </c>
      <c r="N138" s="173" t="str">
        <f t="shared" si="473"/>
        <v>Q318e</v>
      </c>
      <c r="O138" s="173" t="str">
        <f t="shared" si="473"/>
        <v>9M18e</v>
      </c>
      <c r="P138" s="173" t="str">
        <f t="shared" si="473"/>
        <v>Q418e</v>
      </c>
      <c r="Q138" s="173" t="str">
        <f t="shared" si="473"/>
        <v>2H18e</v>
      </c>
      <c r="R138" s="173">
        <f t="shared" si="473"/>
        <v>2018</v>
      </c>
      <c r="S138" s="173">
        <f t="shared" si="473"/>
        <v>2019</v>
      </c>
      <c r="T138" s="173">
        <f t="shared" si="473"/>
        <v>2020</v>
      </c>
      <c r="U138" s="173">
        <f t="shared" si="473"/>
        <v>2021</v>
      </c>
      <c r="V138" s="173">
        <f t="shared" si="473"/>
        <v>2022</v>
      </c>
      <c r="W138" s="173">
        <f t="shared" si="473"/>
        <v>2023</v>
      </c>
      <c r="X138" s="173">
        <f t="shared" si="473"/>
        <v>2024</v>
      </c>
      <c r="Y138" s="173">
        <f t="shared" si="473"/>
        <v>2025</v>
      </c>
      <c r="Z138" s="173">
        <f t="shared" si="473"/>
        <v>2026</v>
      </c>
      <c r="AA138" s="173">
        <f t="shared" si="473"/>
        <v>2027</v>
      </c>
    </row>
    <row r="139" spans="2:27" x14ac:dyDescent="0.2">
      <c r="B139" s="101" t="s">
        <v>222</v>
      </c>
      <c r="C139" s="246">
        <v>686</v>
      </c>
      <c r="D139" s="246">
        <v>644</v>
      </c>
      <c r="E139" s="248">
        <f>C139+D139</f>
        <v>1330</v>
      </c>
      <c r="F139" s="246">
        <v>758</v>
      </c>
      <c r="G139" s="248">
        <f>E139+F139</f>
        <v>2088</v>
      </c>
      <c r="H139" s="246">
        <v>622</v>
      </c>
      <c r="I139" s="248">
        <f>F139+H139</f>
        <v>1380</v>
      </c>
      <c r="J139" s="248">
        <f>E139+I139</f>
        <v>2710</v>
      </c>
      <c r="K139" s="248">
        <f>K140*K92/100</f>
        <v>734.75683644678645</v>
      </c>
      <c r="L139" s="248">
        <f>M139-K139</f>
        <v>688.84254100384885</v>
      </c>
      <c r="M139" s="248">
        <f>M140*M92/100</f>
        <v>1423.5993774506353</v>
      </c>
      <c r="N139" s="248">
        <f>O139-M139</f>
        <v>853.94812116666731</v>
      </c>
      <c r="O139" s="248">
        <f t="shared" ref="O139:P139" si="474">O140*O92/100</f>
        <v>2277.5474986173026</v>
      </c>
      <c r="P139" s="248">
        <f t="shared" si="474"/>
        <v>620.97321925174253</v>
      </c>
      <c r="Q139" s="248">
        <f>P139+N139</f>
        <v>1474.9213404184097</v>
      </c>
      <c r="R139" s="248">
        <f>Q139+M139</f>
        <v>2898.5207178690453</v>
      </c>
      <c r="S139" s="248">
        <f t="shared" ref="S139:AA139" si="475">S140*S92/100</f>
        <v>3138.9579613946621</v>
      </c>
      <c r="T139" s="248">
        <f t="shared" si="475"/>
        <v>3370.5832048572511</v>
      </c>
      <c r="U139" s="248">
        <f t="shared" si="475"/>
        <v>3582.5259599743376</v>
      </c>
      <c r="V139" s="248">
        <f t="shared" si="475"/>
        <v>3806.327007585814</v>
      </c>
      <c r="W139" s="248">
        <f t="shared" si="475"/>
        <v>4044.2074551560854</v>
      </c>
      <c r="X139" s="248">
        <f t="shared" si="475"/>
        <v>4241.5643959900926</v>
      </c>
      <c r="Y139" s="248">
        <f t="shared" si="475"/>
        <v>4448.6193137484652</v>
      </c>
      <c r="Z139" s="248">
        <f t="shared" si="475"/>
        <v>4665.8511618233179</v>
      </c>
      <c r="AA139" s="248">
        <f t="shared" si="475"/>
        <v>4893.7626331854726</v>
      </c>
    </row>
    <row r="140" spans="2:27" x14ac:dyDescent="0.2">
      <c r="B140" s="116" t="s">
        <v>326</v>
      </c>
      <c r="C140" s="256">
        <f>C139/C$92%</f>
        <v>44.661458333333336</v>
      </c>
      <c r="D140" s="256">
        <f t="shared" ref="D140:N140" si="476">D139/D$92%</f>
        <v>44.972067039106143</v>
      </c>
      <c r="E140" s="256">
        <f t="shared" si="476"/>
        <v>44.811320754716981</v>
      </c>
      <c r="F140" s="256">
        <f t="shared" si="476"/>
        <v>45.362058647516456</v>
      </c>
      <c r="G140" s="256">
        <f t="shared" si="476"/>
        <v>45.00970036645829</v>
      </c>
      <c r="H140" s="256">
        <f t="shared" si="476"/>
        <v>48.142414860681114</v>
      </c>
      <c r="I140" s="256">
        <f t="shared" si="476"/>
        <v>46.574417819777253</v>
      </c>
      <c r="J140" s="256">
        <f t="shared" si="476"/>
        <v>45.692126117012307</v>
      </c>
      <c r="K140" s="267">
        <v>45.5</v>
      </c>
      <c r="L140" s="256">
        <f t="shared" si="476"/>
        <v>45.499999999999986</v>
      </c>
      <c r="M140" s="257">
        <v>45.5</v>
      </c>
      <c r="N140" s="256">
        <f t="shared" si="476"/>
        <v>46.858425482531999</v>
      </c>
      <c r="O140" s="257">
        <v>46</v>
      </c>
      <c r="P140" s="257">
        <v>45.5</v>
      </c>
      <c r="Q140" s="256">
        <f t="shared" ref="Q140:R140" si="477">Q139/Q$92%</f>
        <v>46.276736075793607</v>
      </c>
      <c r="R140" s="256">
        <f t="shared" si="477"/>
        <v>45.891958237774652</v>
      </c>
      <c r="S140" s="257">
        <v>46</v>
      </c>
      <c r="T140" s="257">
        <f>S140+0.2</f>
        <v>46.2</v>
      </c>
      <c r="U140" s="257">
        <f t="shared" ref="U140:W140" si="478">T140+0.2</f>
        <v>46.400000000000006</v>
      </c>
      <c r="V140" s="257">
        <f t="shared" si="478"/>
        <v>46.600000000000009</v>
      </c>
      <c r="W140" s="257">
        <f t="shared" si="478"/>
        <v>46.800000000000011</v>
      </c>
      <c r="X140" s="257">
        <f>W140</f>
        <v>46.800000000000011</v>
      </c>
      <c r="Y140" s="257">
        <f t="shared" ref="Y140:AA140" si="479">X140</f>
        <v>46.800000000000011</v>
      </c>
      <c r="Z140" s="257">
        <f t="shared" si="479"/>
        <v>46.800000000000011</v>
      </c>
      <c r="AA140" s="257">
        <f t="shared" si="479"/>
        <v>46.800000000000011</v>
      </c>
    </row>
    <row r="141" spans="2:27" x14ac:dyDescent="0.2">
      <c r="B141" s="116" t="s">
        <v>225</v>
      </c>
      <c r="C141" s="154" t="s">
        <v>274</v>
      </c>
      <c r="D141" s="154" t="s">
        <v>274</v>
      </c>
      <c r="E141" s="154" t="s">
        <v>274</v>
      </c>
      <c r="F141" s="154" t="s">
        <v>274</v>
      </c>
      <c r="G141" s="154" t="s">
        <v>274</v>
      </c>
      <c r="H141" s="154" t="s">
        <v>274</v>
      </c>
      <c r="I141" s="154" t="s">
        <v>274</v>
      </c>
      <c r="J141" s="154" t="s">
        <v>274</v>
      </c>
      <c r="K141" s="261">
        <f>(K139-C139)/C139%</f>
        <v>7.1074105607560423</v>
      </c>
      <c r="L141" s="261">
        <f t="shared" ref="L141:R141" si="480">(L139-D139)/D139%</f>
        <v>6.9631274850696965</v>
      </c>
      <c r="M141" s="261">
        <f t="shared" si="480"/>
        <v>7.0375471767394959</v>
      </c>
      <c r="N141" s="261">
        <f t="shared" si="480"/>
        <v>12.658063478452151</v>
      </c>
      <c r="O141" s="261">
        <f t="shared" si="480"/>
        <v>9.0779453360777111</v>
      </c>
      <c r="P141" s="261">
        <f>(P139-H139)/H139%</f>
        <v>-0.1650772907166343</v>
      </c>
      <c r="Q141" s="261">
        <f t="shared" si="480"/>
        <v>6.8783580013340382</v>
      </c>
      <c r="R141" s="261">
        <f t="shared" si="480"/>
        <v>6.9564840542083113</v>
      </c>
      <c r="S141" s="261">
        <f>(S139-R139)/R139%</f>
        <v>8.2951707760220259</v>
      </c>
      <c r="T141" s="261">
        <f t="shared" ref="T141:AA141" si="481">(T139-S139)/S139%</f>
        <v>7.3790489172297216</v>
      </c>
      <c r="U141" s="261">
        <f t="shared" si="481"/>
        <v>6.2880143356693265</v>
      </c>
      <c r="V141" s="261">
        <f t="shared" si="481"/>
        <v>6.2470181685181574</v>
      </c>
      <c r="W141" s="261">
        <f t="shared" si="481"/>
        <v>6.2496061714137499</v>
      </c>
      <c r="X141" s="261">
        <f t="shared" si="481"/>
        <v>4.8799905302184916</v>
      </c>
      <c r="Y141" s="261">
        <f t="shared" si="481"/>
        <v>4.8815695914959809</v>
      </c>
      <c r="Z141" s="261">
        <f t="shared" si="481"/>
        <v>4.8831296353791673</v>
      </c>
      <c r="AA141" s="261">
        <f t="shared" si="481"/>
        <v>4.884670844774476</v>
      </c>
    </row>
    <row r="142" spans="2:27" x14ac:dyDescent="0.2">
      <c r="B142" s="116"/>
    </row>
    <row r="143" spans="2:27" x14ac:dyDescent="0.2">
      <c r="B143" s="101" t="s">
        <v>66</v>
      </c>
      <c r="C143" s="246">
        <v>376</v>
      </c>
      <c r="D143" s="246">
        <v>420</v>
      </c>
      <c r="E143" s="248">
        <f>C143+D143</f>
        <v>796</v>
      </c>
      <c r="F143" s="246">
        <v>437</v>
      </c>
      <c r="G143" s="248">
        <f>E143+F143</f>
        <v>1233</v>
      </c>
      <c r="H143" s="246">
        <v>456</v>
      </c>
      <c r="I143" s="248">
        <f>F143+H143</f>
        <v>893</v>
      </c>
      <c r="J143" s="248">
        <f>E143+I143</f>
        <v>1689</v>
      </c>
      <c r="K143" s="248">
        <f>K144*K97/100</f>
        <v>433.03582006780044</v>
      </c>
      <c r="L143" s="248">
        <f>M143-K143</f>
        <v>480.40935041783979</v>
      </c>
      <c r="M143" s="248">
        <f>M144*M97/100</f>
        <v>913.44517048564023</v>
      </c>
      <c r="N143" s="248">
        <f>O143-M143</f>
        <v>512.35176419965831</v>
      </c>
      <c r="O143" s="248">
        <f t="shared" ref="O143:P143" si="482">O144*O97/100</f>
        <v>1425.7969346852985</v>
      </c>
      <c r="P143" s="248">
        <f t="shared" si="482"/>
        <v>559.30461055470835</v>
      </c>
      <c r="Q143" s="248">
        <f>P143+N143</f>
        <v>1071.6563747543667</v>
      </c>
      <c r="R143" s="248">
        <f>Q143+M143</f>
        <v>1985.101545240007</v>
      </c>
      <c r="S143" s="248">
        <f t="shared" ref="S143:AA143" si="483">S144*S97/100</f>
        <v>2248.7710908865893</v>
      </c>
      <c r="T143" s="248">
        <f t="shared" si="483"/>
        <v>2483.3707392712399</v>
      </c>
      <c r="U143" s="248">
        <f t="shared" si="483"/>
        <v>2731.7623514408733</v>
      </c>
      <c r="V143" s="248">
        <f t="shared" si="483"/>
        <v>2954.7105089724751</v>
      </c>
      <c r="W143" s="248">
        <f t="shared" si="483"/>
        <v>3168.5258968830976</v>
      </c>
      <c r="X143" s="248">
        <f t="shared" si="483"/>
        <v>3375.2401687498991</v>
      </c>
      <c r="Y143" s="248">
        <f t="shared" si="483"/>
        <v>3595.6557816710965</v>
      </c>
      <c r="Z143" s="248">
        <f t="shared" si="483"/>
        <v>3830.6876120092306</v>
      </c>
      <c r="AA143" s="248">
        <f t="shared" si="483"/>
        <v>4063.2394764426617</v>
      </c>
    </row>
    <row r="144" spans="2:27" x14ac:dyDescent="0.2">
      <c r="B144" s="116" t="s">
        <v>326</v>
      </c>
      <c r="C144" s="256">
        <f>C143/C$97%</f>
        <v>38.056680161943319</v>
      </c>
      <c r="D144" s="256">
        <f t="shared" ref="D144:N144" si="484">D143/D$97%</f>
        <v>41.420118343195263</v>
      </c>
      <c r="E144" s="256">
        <f t="shared" si="484"/>
        <v>39.760239760239763</v>
      </c>
      <c r="F144" s="256">
        <f t="shared" si="484"/>
        <v>39.763421292083713</v>
      </c>
      <c r="G144" s="256">
        <f t="shared" si="484"/>
        <v>39.761367300870688</v>
      </c>
      <c r="H144" s="256">
        <f t="shared" si="484"/>
        <v>38.808510638297875</v>
      </c>
      <c r="I144" s="256">
        <f t="shared" si="484"/>
        <v>39.270008795074759</v>
      </c>
      <c r="J144" s="256">
        <f t="shared" si="484"/>
        <v>39.499532273152482</v>
      </c>
      <c r="K144" s="257">
        <v>40</v>
      </c>
      <c r="L144" s="256">
        <f t="shared" si="484"/>
        <v>41.945224349202753</v>
      </c>
      <c r="M144" s="257">
        <v>41</v>
      </c>
      <c r="N144" s="256">
        <f t="shared" si="484"/>
        <v>41.000000000000014</v>
      </c>
      <c r="O144" s="257">
        <v>41</v>
      </c>
      <c r="P144" s="257">
        <v>41</v>
      </c>
      <c r="Q144" s="256">
        <f t="shared" ref="Q144:R144" si="485">Q143/Q$97%</f>
        <v>41.000000000000007</v>
      </c>
      <c r="R144" s="256">
        <f t="shared" si="485"/>
        <v>41.000000000000007</v>
      </c>
      <c r="S144" s="257">
        <v>41.8</v>
      </c>
      <c r="T144" s="257">
        <f>S144+0.2</f>
        <v>42</v>
      </c>
      <c r="U144" s="257">
        <f t="shared" ref="U144:W144" si="486">T144+0.2</f>
        <v>42.2</v>
      </c>
      <c r="V144" s="257">
        <f t="shared" si="486"/>
        <v>42.400000000000006</v>
      </c>
      <c r="W144" s="257">
        <f t="shared" si="486"/>
        <v>42.600000000000009</v>
      </c>
      <c r="X144" s="257">
        <f>W144+0.1</f>
        <v>42.70000000000001</v>
      </c>
      <c r="Y144" s="257">
        <f t="shared" ref="Y144:AA144" si="487">X144+0.1</f>
        <v>42.800000000000011</v>
      </c>
      <c r="Z144" s="257">
        <f t="shared" si="487"/>
        <v>42.900000000000013</v>
      </c>
      <c r="AA144" s="257">
        <f t="shared" si="487"/>
        <v>43.000000000000014</v>
      </c>
    </row>
    <row r="145" spans="2:27" x14ac:dyDescent="0.2">
      <c r="B145" s="116" t="s">
        <v>225</v>
      </c>
      <c r="C145" s="154" t="s">
        <v>274</v>
      </c>
      <c r="D145" s="154" t="s">
        <v>274</v>
      </c>
      <c r="E145" s="154" t="s">
        <v>274</v>
      </c>
      <c r="F145" s="154" t="s">
        <v>274</v>
      </c>
      <c r="G145" s="154" t="s">
        <v>274</v>
      </c>
      <c r="H145" s="154" t="s">
        <v>274</v>
      </c>
      <c r="I145" s="154" t="s">
        <v>274</v>
      </c>
      <c r="J145" s="154" t="s">
        <v>274</v>
      </c>
      <c r="K145" s="261">
        <f>(K143-C143)/C143%</f>
        <v>15.169101081861822</v>
      </c>
      <c r="L145" s="261">
        <f t="shared" ref="L145" si="488">(L143-D143)/D143%</f>
        <v>14.383178670914235</v>
      </c>
      <c r="M145" s="261">
        <f t="shared" ref="M145" si="489">(M143-E143)/E143%</f>
        <v>14.754418402718622</v>
      </c>
      <c r="N145" s="261">
        <f t="shared" ref="N145" si="490">(N143-F143)/F143%</f>
        <v>17.242966636077416</v>
      </c>
      <c r="O145" s="261">
        <f t="shared" ref="O145" si="491">(O143-G143)/G143%</f>
        <v>15.636409950145866</v>
      </c>
      <c r="P145" s="261">
        <f t="shared" ref="P145" si="492">(P143-H143)/H143%</f>
        <v>22.654519858488676</v>
      </c>
      <c r="Q145" s="261">
        <f t="shared" ref="Q145" si="493">(Q143-I143)/I143%</f>
        <v>20.00631296241508</v>
      </c>
      <c r="R145" s="261">
        <f t="shared" ref="R145" si="494">(R143-J143)/J143%</f>
        <v>17.531174969805033</v>
      </c>
      <c r="S145" s="261">
        <f>(S143-R143)/R143%</f>
        <v>13.282421056939107</v>
      </c>
      <c r="T145" s="261">
        <f t="shared" ref="T145:AA145" si="495">(T143-S143)/S143%</f>
        <v>10.432348998766193</v>
      </c>
      <c r="U145" s="261">
        <f t="shared" si="495"/>
        <v>10.002196137759334</v>
      </c>
      <c r="V145" s="261">
        <f t="shared" si="495"/>
        <v>8.1613306301702018</v>
      </c>
      <c r="W145" s="261">
        <f t="shared" si="495"/>
        <v>7.2364242541303518</v>
      </c>
      <c r="X145" s="261">
        <f t="shared" si="495"/>
        <v>6.5239887125476184</v>
      </c>
      <c r="Y145" s="261">
        <f t="shared" si="495"/>
        <v>6.5303682671812249</v>
      </c>
      <c r="Z145" s="261">
        <f t="shared" si="495"/>
        <v>6.536549787001638</v>
      </c>
      <c r="AA145" s="261">
        <f t="shared" si="495"/>
        <v>6.0707603435054187</v>
      </c>
    </row>
    <row r="146" spans="2:27" x14ac:dyDescent="0.2">
      <c r="B146" s="116"/>
    </row>
    <row r="147" spans="2:27" x14ac:dyDescent="0.2">
      <c r="B147" s="101" t="s">
        <v>476</v>
      </c>
      <c r="C147" s="246">
        <v>974</v>
      </c>
      <c r="D147" s="246">
        <v>854</v>
      </c>
      <c r="E147" s="248">
        <f>C147+D147</f>
        <v>1828</v>
      </c>
      <c r="F147" s="246">
        <v>921</v>
      </c>
      <c r="G147" s="248">
        <f>E147+F147</f>
        <v>2749</v>
      </c>
      <c r="H147" s="246">
        <v>815</v>
      </c>
      <c r="I147" s="248">
        <f>F147+H147</f>
        <v>1736</v>
      </c>
      <c r="J147" s="248">
        <f>E147+I147</f>
        <v>3564</v>
      </c>
      <c r="K147" s="248">
        <f>K148*K102/100</f>
        <v>1033.1530309486441</v>
      </c>
      <c r="L147" s="248">
        <f>M147-K147</f>
        <v>924.2335399876149</v>
      </c>
      <c r="M147" s="248">
        <f>M148*M102/100</f>
        <v>1957.386570936259</v>
      </c>
      <c r="N147" s="248">
        <f>O147-M147</f>
        <v>1052.1058817251715</v>
      </c>
      <c r="O147" s="248">
        <f t="shared" ref="O147:P147" si="496">O148*O102/100</f>
        <v>3009.4924526614304</v>
      </c>
      <c r="P147" s="248">
        <f t="shared" si="496"/>
        <v>939.78120499531997</v>
      </c>
      <c r="Q147" s="248">
        <f>P147+N147</f>
        <v>1991.8870867204914</v>
      </c>
      <c r="R147" s="248">
        <f>Q147+M147</f>
        <v>3949.2736576567504</v>
      </c>
      <c r="S147" s="248">
        <f t="shared" ref="S147:AA147" si="497">S148*S102/100</f>
        <v>4434.5582964975747</v>
      </c>
      <c r="T147" s="248">
        <f t="shared" si="497"/>
        <v>4887.0442096328534</v>
      </c>
      <c r="U147" s="248">
        <f t="shared" si="497"/>
        <v>5282.9435082790724</v>
      </c>
      <c r="V147" s="248">
        <f t="shared" si="497"/>
        <v>5700.8912365806118</v>
      </c>
      <c r="W147" s="248">
        <f t="shared" si="497"/>
        <v>6151.9935180046259</v>
      </c>
      <c r="X147" s="248">
        <f t="shared" si="497"/>
        <v>6579.9994849886598</v>
      </c>
      <c r="Y147" s="248">
        <f t="shared" si="497"/>
        <v>6975.5263694633613</v>
      </c>
      <c r="Z147" s="248">
        <f t="shared" si="497"/>
        <v>7460.8803122852487</v>
      </c>
      <c r="AA147" s="248">
        <f t="shared" si="497"/>
        <v>7980.0330569222333</v>
      </c>
    </row>
    <row r="148" spans="2:27" x14ac:dyDescent="0.2">
      <c r="B148" s="116" t="s">
        <v>326</v>
      </c>
      <c r="C148" s="256">
        <f>C147/C$102%</f>
        <v>55.816618911174785</v>
      </c>
      <c r="D148" s="256">
        <f t="shared" ref="D148:N148" si="498">D147/D$102%</f>
        <v>57.123745819397996</v>
      </c>
      <c r="E148" s="256">
        <f t="shared" si="498"/>
        <v>56.419753086419753</v>
      </c>
      <c r="F148" s="256">
        <f t="shared" si="498"/>
        <v>55.348557692307693</v>
      </c>
      <c r="G148" s="256">
        <f t="shared" si="498"/>
        <v>56.056280587275694</v>
      </c>
      <c r="H148" s="256">
        <f t="shared" si="498"/>
        <v>54.36957971981321</v>
      </c>
      <c r="I148" s="256">
        <f t="shared" si="498"/>
        <v>54.884603224786595</v>
      </c>
      <c r="J148" s="256">
        <f t="shared" si="498"/>
        <v>55.661408714665001</v>
      </c>
      <c r="K148" s="257">
        <v>55.5</v>
      </c>
      <c r="L148" s="256">
        <f t="shared" si="498"/>
        <v>56.569696828539527</v>
      </c>
      <c r="M148" s="257">
        <v>56</v>
      </c>
      <c r="N148" s="256">
        <f t="shared" si="498"/>
        <v>56.000000000000014</v>
      </c>
      <c r="O148" s="257">
        <v>56</v>
      </c>
      <c r="P148" s="257">
        <v>56</v>
      </c>
      <c r="Q148" s="256">
        <f t="shared" ref="Q148:R148" si="499">Q147/Q$102%</f>
        <v>56</v>
      </c>
      <c r="R148" s="256">
        <f t="shared" si="499"/>
        <v>56</v>
      </c>
      <c r="S148" s="257">
        <v>56.2</v>
      </c>
      <c r="T148" s="257">
        <f>S148+0.2</f>
        <v>56.400000000000006</v>
      </c>
      <c r="U148" s="257">
        <v>56.5</v>
      </c>
      <c r="V148" s="257">
        <v>56.5</v>
      </c>
      <c r="W148" s="257">
        <v>56.5</v>
      </c>
      <c r="X148" s="257">
        <v>56.5</v>
      </c>
      <c r="Y148" s="257">
        <v>56</v>
      </c>
      <c r="Z148" s="257">
        <v>56</v>
      </c>
      <c r="AA148" s="257">
        <v>56</v>
      </c>
    </row>
    <row r="149" spans="2:27" x14ac:dyDescent="0.2">
      <c r="B149" s="116" t="s">
        <v>225</v>
      </c>
      <c r="C149" s="154" t="s">
        <v>274</v>
      </c>
      <c r="D149" s="154" t="s">
        <v>274</v>
      </c>
      <c r="E149" s="154" t="s">
        <v>274</v>
      </c>
      <c r="F149" s="154" t="s">
        <v>274</v>
      </c>
      <c r="G149" s="154" t="s">
        <v>274</v>
      </c>
      <c r="H149" s="154" t="s">
        <v>274</v>
      </c>
      <c r="I149" s="154" t="s">
        <v>274</v>
      </c>
      <c r="J149" s="154" t="s">
        <v>274</v>
      </c>
      <c r="K149" s="261">
        <f>(K147-C147)/C147%</f>
        <v>6.0732064628998019</v>
      </c>
      <c r="L149" s="261">
        <f t="shared" ref="L149" si="500">(L147-D147)/D147%</f>
        <v>8.2240679142406226</v>
      </c>
      <c r="M149" s="261">
        <f t="shared" ref="M149" si="501">(M147-E147)/E147%</f>
        <v>7.0780399855721541</v>
      </c>
      <c r="N149" s="261">
        <f t="shared" ref="N149" si="502">(N147-F147)/F147%</f>
        <v>14.235166311093534</v>
      </c>
      <c r="O149" s="261">
        <f t="shared" ref="O149" si="503">(O147-G147)/G147%</f>
        <v>9.4758986053630583</v>
      </c>
      <c r="P149" s="261">
        <f t="shared" ref="P149" si="504">(P147-H147)/H147%</f>
        <v>15.31057730003926</v>
      </c>
      <c r="Q149" s="261">
        <f t="shared" ref="Q149" si="505">(Q147-I147)/I147%</f>
        <v>14.740039557631995</v>
      </c>
      <c r="R149" s="261">
        <f t="shared" ref="R149" si="506">(R147-J147)/J147%</f>
        <v>10.810147521233176</v>
      </c>
      <c r="S149" s="261">
        <f>(S147-R147)/R147%</f>
        <v>12.28794661772721</v>
      </c>
      <c r="T149" s="261">
        <f t="shared" ref="T149:AA149" si="507">(T147-S147)/S147%</f>
        <v>10.203629829213277</v>
      </c>
      <c r="U149" s="261">
        <f t="shared" si="507"/>
        <v>8.1009968738539726</v>
      </c>
      <c r="V149" s="261">
        <f t="shared" si="507"/>
        <v>7.9112662788568526</v>
      </c>
      <c r="W149" s="261">
        <f t="shared" si="507"/>
        <v>7.9128378827761106</v>
      </c>
      <c r="X149" s="261">
        <f t="shared" si="507"/>
        <v>6.9571914491037345</v>
      </c>
      <c r="Y149" s="261">
        <f t="shared" si="507"/>
        <v>6.0110473469950918</v>
      </c>
      <c r="Z149" s="261">
        <f t="shared" si="507"/>
        <v>6.9579543838671842</v>
      </c>
      <c r="AA149" s="261">
        <f t="shared" si="507"/>
        <v>6.9583309597144494</v>
      </c>
    </row>
    <row r="150" spans="2:27" x14ac:dyDescent="0.2">
      <c r="B150" s="116"/>
    </row>
    <row r="151" spans="2:27" x14ac:dyDescent="0.2">
      <c r="B151" s="101" t="s">
        <v>111</v>
      </c>
      <c r="C151" s="246">
        <v>181</v>
      </c>
      <c r="D151" s="246">
        <v>173</v>
      </c>
      <c r="E151" s="248">
        <f>C151+D151</f>
        <v>354</v>
      </c>
      <c r="F151" s="246">
        <v>200</v>
      </c>
      <c r="G151" s="248">
        <f>E151+F151</f>
        <v>554</v>
      </c>
      <c r="H151" s="246">
        <v>249</v>
      </c>
      <c r="I151" s="248">
        <f>F151+H151</f>
        <v>449</v>
      </c>
      <c r="J151" s="248">
        <f>E151+I151</f>
        <v>803</v>
      </c>
      <c r="K151" s="248">
        <f>K152*K107/100</f>
        <v>144.65835660508014</v>
      </c>
      <c r="L151" s="248">
        <f>M151-K151</f>
        <v>138.60701516392373</v>
      </c>
      <c r="M151" s="248">
        <f>M152*M107/100</f>
        <v>283.26537176900388</v>
      </c>
      <c r="N151" s="248">
        <f>O151-M151</f>
        <v>177.77600476429825</v>
      </c>
      <c r="O151" s="248">
        <f t="shared" ref="O151:P151" si="508">O152*O107/100</f>
        <v>461.04137653330213</v>
      </c>
      <c r="P151" s="248">
        <f t="shared" si="508"/>
        <v>184.97090562496211</v>
      </c>
      <c r="Q151" s="248">
        <f>P151+N151</f>
        <v>362.74691038926039</v>
      </c>
      <c r="R151" s="248">
        <f>Q151+M151</f>
        <v>646.01228215826427</v>
      </c>
      <c r="S151" s="248">
        <f t="shared" ref="S151:AA151" si="509">S152*S107/100</f>
        <v>685.33603624890554</v>
      </c>
      <c r="T151" s="248">
        <f t="shared" si="509"/>
        <v>725.85831334451302</v>
      </c>
      <c r="U151" s="248">
        <f t="shared" si="509"/>
        <v>760.48417431456949</v>
      </c>
      <c r="V151" s="248">
        <f t="shared" si="509"/>
        <v>796.79131669221397</v>
      </c>
      <c r="W151" s="248">
        <f t="shared" si="509"/>
        <v>834.86230419859817</v>
      </c>
      <c r="X151" s="248">
        <f t="shared" si="509"/>
        <v>874.78378373045473</v>
      </c>
      <c r="Y151" s="248">
        <f t="shared" si="509"/>
        <v>916.64668816856192</v>
      </c>
      <c r="Z151" s="248">
        <f t="shared" si="509"/>
        <v>960.54644928612174</v>
      </c>
      <c r="AA151" s="248">
        <f t="shared" si="509"/>
        <v>1006.583221260834</v>
      </c>
    </row>
    <row r="152" spans="2:27" x14ac:dyDescent="0.2">
      <c r="B152" s="116" t="s">
        <v>326</v>
      </c>
      <c r="C152" s="256">
        <f>C151/C$107%</f>
        <v>39.867841409691628</v>
      </c>
      <c r="D152" s="256">
        <f t="shared" ref="D152:N152" si="510">D151/D$107%</f>
        <v>39.318181818181813</v>
      </c>
      <c r="E152" s="256">
        <f t="shared" si="510"/>
        <v>39.597315436241615</v>
      </c>
      <c r="F152" s="256">
        <f t="shared" si="510"/>
        <v>39.840637450199203</v>
      </c>
      <c r="G152" s="256">
        <f t="shared" si="510"/>
        <v>39.684813753581658</v>
      </c>
      <c r="H152" s="256">
        <f t="shared" si="510"/>
        <v>48.82352941176471</v>
      </c>
      <c r="I152" s="256">
        <f t="shared" si="510"/>
        <v>44.367588932806328</v>
      </c>
      <c r="J152" s="256">
        <f t="shared" si="510"/>
        <v>42.130115424973766</v>
      </c>
      <c r="K152" s="257">
        <v>40.5</v>
      </c>
      <c r="L152" s="256">
        <f t="shared" si="510"/>
        <v>39.491169319105218</v>
      </c>
      <c r="M152" s="257">
        <v>40</v>
      </c>
      <c r="N152" s="256">
        <f t="shared" si="510"/>
        <v>40.000000000000028</v>
      </c>
      <c r="O152" s="257">
        <v>40</v>
      </c>
      <c r="P152" s="257">
        <v>40</v>
      </c>
      <c r="Q152" s="256">
        <f t="shared" ref="Q152:R152" si="511">Q151/Q$107%</f>
        <v>40.000000000000021</v>
      </c>
      <c r="R152" s="256">
        <f t="shared" si="511"/>
        <v>40.000000000000007</v>
      </c>
      <c r="S152" s="257">
        <v>39.700000000000003</v>
      </c>
      <c r="T152" s="257">
        <v>39.799999999999997</v>
      </c>
      <c r="U152" s="257">
        <f>T152</f>
        <v>39.799999999999997</v>
      </c>
      <c r="V152" s="257">
        <f t="shared" ref="V152:AA152" si="512">U152</f>
        <v>39.799999999999997</v>
      </c>
      <c r="W152" s="257">
        <f t="shared" si="512"/>
        <v>39.799999999999997</v>
      </c>
      <c r="X152" s="257">
        <f t="shared" si="512"/>
        <v>39.799999999999997</v>
      </c>
      <c r="Y152" s="257">
        <f t="shared" si="512"/>
        <v>39.799999999999997</v>
      </c>
      <c r="Z152" s="257">
        <f t="shared" si="512"/>
        <v>39.799999999999997</v>
      </c>
      <c r="AA152" s="257">
        <f t="shared" si="512"/>
        <v>39.799999999999997</v>
      </c>
    </row>
    <row r="153" spans="2:27" x14ac:dyDescent="0.2">
      <c r="B153" s="116" t="s">
        <v>225</v>
      </c>
      <c r="C153" s="154" t="s">
        <v>274</v>
      </c>
      <c r="D153" s="154" t="s">
        <v>274</v>
      </c>
      <c r="E153" s="154" t="s">
        <v>274</v>
      </c>
      <c r="F153" s="154" t="s">
        <v>274</v>
      </c>
      <c r="G153" s="154" t="s">
        <v>274</v>
      </c>
      <c r="H153" s="154" t="s">
        <v>274</v>
      </c>
      <c r="I153" s="154" t="s">
        <v>274</v>
      </c>
      <c r="J153" s="154" t="s">
        <v>274</v>
      </c>
      <c r="K153" s="261">
        <f>(K151-C151)/C151%</f>
        <v>-20.078256019292738</v>
      </c>
      <c r="L153" s="261">
        <f t="shared" ref="L153" si="513">(L151-D151)/D151%</f>
        <v>-19.880338055535415</v>
      </c>
      <c r="M153" s="261">
        <f t="shared" ref="M153" si="514">(M151-E151)/E151%</f>
        <v>-19.981533398586475</v>
      </c>
      <c r="N153" s="261">
        <f t="shared" ref="N153" si="515">(N151-F151)/F151%</f>
        <v>-11.111997617850875</v>
      </c>
      <c r="O153" s="261">
        <f t="shared" ref="O153" si="516">(O151-G151)/G151%</f>
        <v>-16.77953492178662</v>
      </c>
      <c r="P153" s="261">
        <f t="shared" ref="P153" si="517">(P151-H151)/H151%</f>
        <v>-25.71449573294694</v>
      </c>
      <c r="Q153" s="261">
        <f t="shared" ref="Q153" si="518">(Q151-I151)/I151%</f>
        <v>-19.210042229563385</v>
      </c>
      <c r="R153" s="261">
        <f t="shared" ref="R153" si="519">(R151-J151)/J151%</f>
        <v>-19.550151661486392</v>
      </c>
      <c r="S153" s="261">
        <f>(S151-R151)/R151%</f>
        <v>6.0871527023084502</v>
      </c>
      <c r="T153" s="261">
        <f t="shared" ref="T153:AA153" si="520">(T151-S151)/S151%</f>
        <v>5.912760303310578</v>
      </c>
      <c r="U153" s="261">
        <f t="shared" si="520"/>
        <v>4.7703333189795742</v>
      </c>
      <c r="V153" s="261">
        <f t="shared" si="520"/>
        <v>4.7742140604527901</v>
      </c>
      <c r="W153" s="261">
        <f t="shared" si="520"/>
        <v>4.7780374495584939</v>
      </c>
      <c r="X153" s="261">
        <f t="shared" si="520"/>
        <v>4.781804056919067</v>
      </c>
      <c r="Y153" s="261">
        <f t="shared" si="520"/>
        <v>4.785514457022253</v>
      </c>
      <c r="Z153" s="261">
        <f t="shared" si="520"/>
        <v>4.7891692278156253</v>
      </c>
      <c r="AA153" s="261">
        <f t="shared" si="520"/>
        <v>4.7927689503122686</v>
      </c>
    </row>
    <row r="154" spans="2:27" x14ac:dyDescent="0.2">
      <c r="B154" s="116"/>
    </row>
    <row r="155" spans="2:27" x14ac:dyDescent="0.2">
      <c r="B155" s="101" t="s">
        <v>234</v>
      </c>
      <c r="C155" s="246">
        <v>176</v>
      </c>
      <c r="D155" s="246">
        <v>137</v>
      </c>
      <c r="E155" s="248">
        <f>C155+D155</f>
        <v>313</v>
      </c>
      <c r="F155" s="246">
        <v>181</v>
      </c>
      <c r="G155" s="248">
        <f>E155+F155</f>
        <v>494</v>
      </c>
      <c r="H155" s="246">
        <v>146</v>
      </c>
      <c r="I155" s="248">
        <f>F155+H155</f>
        <v>327</v>
      </c>
      <c r="J155" s="248">
        <f>E155+I155</f>
        <v>640</v>
      </c>
      <c r="K155" s="248">
        <f>K156*K112/100</f>
        <v>161.64713094627848</v>
      </c>
      <c r="L155" s="248">
        <f>M155-K155</f>
        <v>127.95262698678965</v>
      </c>
      <c r="M155" s="248">
        <f>M156*M112/100</f>
        <v>289.59975793306813</v>
      </c>
      <c r="N155" s="248">
        <f>O155-M155</f>
        <v>183.02318519762576</v>
      </c>
      <c r="O155" s="248">
        <f t="shared" ref="O155:P155" si="521">O156*O112/100</f>
        <v>472.6229431306939</v>
      </c>
      <c r="P155" s="248">
        <f t="shared" si="521"/>
        <v>136.06890400119519</v>
      </c>
      <c r="Q155" s="248">
        <f>P155+N155</f>
        <v>319.09208919882099</v>
      </c>
      <c r="R155" s="248">
        <f>Q155+M155</f>
        <v>608.69184713188906</v>
      </c>
      <c r="S155" s="248">
        <f t="shared" ref="S155:AA155" si="522">S156*S112/100</f>
        <v>644.39510495781906</v>
      </c>
      <c r="T155" s="248">
        <f t="shared" si="522"/>
        <v>685.87937208351377</v>
      </c>
      <c r="U155" s="248">
        <f t="shared" si="522"/>
        <v>726.79334692526402</v>
      </c>
      <c r="V155" s="248">
        <f t="shared" si="522"/>
        <v>765.45546859480407</v>
      </c>
      <c r="W155" s="248">
        <f t="shared" si="522"/>
        <v>806.1680285609649</v>
      </c>
      <c r="X155" s="248">
        <f t="shared" si="522"/>
        <v>849.03949557409726</v>
      </c>
      <c r="Y155" s="248">
        <f t="shared" si="522"/>
        <v>890.62865981504251</v>
      </c>
      <c r="Z155" s="248">
        <f t="shared" si="522"/>
        <v>934.26276984652486</v>
      </c>
      <c r="AA155" s="248">
        <f t="shared" si="522"/>
        <v>980.04269246121044</v>
      </c>
    </row>
    <row r="156" spans="2:27" x14ac:dyDescent="0.2">
      <c r="B156" s="116" t="s">
        <v>326</v>
      </c>
      <c r="C156" s="256">
        <f>C155/C$112%</f>
        <v>47.956403269754766</v>
      </c>
      <c r="D156" s="256">
        <f t="shared" ref="D156:N156" si="523">D155/D$112%</f>
        <v>49.458483754512635</v>
      </c>
      <c r="E156" s="256">
        <f t="shared" si="523"/>
        <v>48.602484472049689</v>
      </c>
      <c r="F156" s="256">
        <f t="shared" si="523"/>
        <v>48.138297872340431</v>
      </c>
      <c r="G156" s="256">
        <f t="shared" si="523"/>
        <v>48.431372549019613</v>
      </c>
      <c r="H156" s="256">
        <f t="shared" si="523"/>
        <v>51.957295373665481</v>
      </c>
      <c r="I156" s="256">
        <f t="shared" si="523"/>
        <v>49.771689497716892</v>
      </c>
      <c r="J156" s="256">
        <f t="shared" si="523"/>
        <v>49.192928516525747</v>
      </c>
      <c r="K156" s="257">
        <v>48.5</v>
      </c>
      <c r="L156" s="256">
        <f t="shared" si="523"/>
        <v>49.646601313993393</v>
      </c>
      <c r="M156" s="257">
        <v>49</v>
      </c>
      <c r="N156" s="256">
        <f t="shared" si="523"/>
        <v>49.000000000000014</v>
      </c>
      <c r="O156" s="257">
        <v>49</v>
      </c>
      <c r="P156" s="257">
        <v>49</v>
      </c>
      <c r="Q156" s="256">
        <f t="shared" ref="Q156:R156" si="524">Q155/Q$112%</f>
        <v>49.000000000000014</v>
      </c>
      <c r="R156" s="256">
        <f t="shared" si="524"/>
        <v>48.999999999999993</v>
      </c>
      <c r="S156" s="257">
        <v>48.7</v>
      </c>
      <c r="T156" s="257">
        <v>49</v>
      </c>
      <c r="U156" s="257">
        <v>49.5</v>
      </c>
      <c r="V156" s="257">
        <f>U156+0.2</f>
        <v>49.7</v>
      </c>
      <c r="W156" s="257">
        <f t="shared" ref="W156:X156" si="525">V156+0.2</f>
        <v>49.900000000000006</v>
      </c>
      <c r="X156" s="257">
        <f t="shared" si="525"/>
        <v>50.100000000000009</v>
      </c>
      <c r="Y156" s="257">
        <f>X156</f>
        <v>50.100000000000009</v>
      </c>
      <c r="Z156" s="257">
        <f t="shared" ref="Z156:AA156" si="526">Y156</f>
        <v>50.100000000000009</v>
      </c>
      <c r="AA156" s="257">
        <f t="shared" si="526"/>
        <v>50.100000000000009</v>
      </c>
    </row>
    <row r="157" spans="2:27" x14ac:dyDescent="0.2">
      <c r="B157" s="116" t="s">
        <v>225</v>
      </c>
      <c r="C157" s="154" t="s">
        <v>274</v>
      </c>
      <c r="D157" s="154" t="s">
        <v>274</v>
      </c>
      <c r="E157" s="154" t="s">
        <v>274</v>
      </c>
      <c r="F157" s="154" t="s">
        <v>274</v>
      </c>
      <c r="G157" s="154" t="s">
        <v>274</v>
      </c>
      <c r="H157" s="154" t="s">
        <v>274</v>
      </c>
      <c r="I157" s="154" t="s">
        <v>274</v>
      </c>
      <c r="J157" s="154" t="s">
        <v>274</v>
      </c>
      <c r="K157" s="261">
        <f>(K155-C155)/C155%</f>
        <v>-8.1550392350690455</v>
      </c>
      <c r="L157" s="261">
        <f t="shared" ref="L157" si="527">(L155-D155)/D155%</f>
        <v>-6.6039219074528077</v>
      </c>
      <c r="M157" s="261">
        <f t="shared" ref="M157" si="528">(M155-E155)/E155%</f>
        <v>-7.4761156763360601</v>
      </c>
      <c r="N157" s="261">
        <f t="shared" ref="N157" si="529">(N155-F155)/F155%</f>
        <v>1.1177818771413064</v>
      </c>
      <c r="O157" s="261">
        <f t="shared" ref="O157" si="530">(O155-G155)/G155%</f>
        <v>-4.3273394472279554</v>
      </c>
      <c r="P157" s="261">
        <f t="shared" ref="P157" si="531">(P155-H155)/H155%</f>
        <v>-6.80212054712658</v>
      </c>
      <c r="Q157" s="261">
        <f t="shared" ref="Q157" si="532">(Q155-I155)/I155%</f>
        <v>-2.4183213459263038</v>
      </c>
      <c r="R157" s="261">
        <f t="shared" ref="R157" si="533">(R155-J155)/J155%</f>
        <v>-4.891898885642334</v>
      </c>
      <c r="S157" s="261">
        <f>(S155-R155)/R155%</f>
        <v>5.8655718807736799</v>
      </c>
      <c r="T157" s="261">
        <f t="shared" ref="T157:AA157" si="534">(T155-S155)/S155%</f>
        <v>6.4377067433512236</v>
      </c>
      <c r="U157" s="261">
        <f t="shared" si="534"/>
        <v>5.9651852070524862</v>
      </c>
      <c r="V157" s="261">
        <f t="shared" si="534"/>
        <v>5.3195480989337769</v>
      </c>
      <c r="W157" s="261">
        <f t="shared" si="534"/>
        <v>5.3187365740425756</v>
      </c>
      <c r="X157" s="261">
        <f t="shared" si="534"/>
        <v>5.3179319315923834</v>
      </c>
      <c r="Y157" s="261">
        <f t="shared" si="534"/>
        <v>4.8983780445718601</v>
      </c>
      <c r="Z157" s="261">
        <f t="shared" si="534"/>
        <v>4.8992483624481471</v>
      </c>
      <c r="AA157" s="261">
        <f t="shared" si="534"/>
        <v>4.9001120554344713</v>
      </c>
    </row>
    <row r="158" spans="2:27" x14ac:dyDescent="0.2">
      <c r="B158" s="116"/>
    </row>
    <row r="159" spans="2:27" x14ac:dyDescent="0.2">
      <c r="B159" s="101" t="s">
        <v>422</v>
      </c>
      <c r="C159" s="246">
        <v>100</v>
      </c>
      <c r="D159" s="246">
        <v>120</v>
      </c>
      <c r="E159" s="248">
        <f>C159+D159</f>
        <v>220</v>
      </c>
      <c r="F159" s="246">
        <v>114</v>
      </c>
      <c r="G159" s="248">
        <f>E159+F159</f>
        <v>334</v>
      </c>
      <c r="H159" s="246">
        <v>95</v>
      </c>
      <c r="I159" s="248">
        <f>F159+H159</f>
        <v>209</v>
      </c>
      <c r="J159" s="248">
        <f>E159+I159</f>
        <v>429</v>
      </c>
      <c r="K159" s="248">
        <f>K160*K117/100</f>
        <v>87.253405741001188</v>
      </c>
      <c r="L159" s="248">
        <f>M159-K159</f>
        <v>93.801095480083603</v>
      </c>
      <c r="M159" s="248">
        <f>M160*M117/100</f>
        <v>181.05450122108479</v>
      </c>
      <c r="N159" s="248">
        <f>O159-M159</f>
        <v>97.158667131792669</v>
      </c>
      <c r="O159" s="248">
        <f t="shared" ref="O159:P159" si="535">O160*O117/100</f>
        <v>278.21316835287746</v>
      </c>
      <c r="P159" s="248">
        <f t="shared" si="535"/>
        <v>82.265977342994375</v>
      </c>
      <c r="Q159" s="248">
        <f>P159+N159</f>
        <v>179.42464447478704</v>
      </c>
      <c r="R159" s="248">
        <f>Q159+M159</f>
        <v>360.47914569587181</v>
      </c>
      <c r="S159" s="248">
        <f t="shared" ref="S159:AA159" si="536">S160*S117/100</f>
        <v>352.52871757291325</v>
      </c>
      <c r="T159" s="248">
        <f t="shared" si="536"/>
        <v>363.10457910010075</v>
      </c>
      <c r="U159" s="248">
        <f t="shared" si="536"/>
        <v>370.82824429960283</v>
      </c>
      <c r="V159" s="248">
        <f t="shared" si="536"/>
        <v>380.93507043712123</v>
      </c>
      <c r="W159" s="248">
        <f t="shared" si="536"/>
        <v>391.32474093493579</v>
      </c>
      <c r="X159" s="248">
        <f t="shared" si="536"/>
        <v>402.0053339153788</v>
      </c>
      <c r="Y159" s="248">
        <f t="shared" si="536"/>
        <v>412.98516170028307</v>
      </c>
      <c r="Z159" s="248">
        <f t="shared" si="536"/>
        <v>424.27277767408327</v>
      </c>
      <c r="AA159" s="248">
        <f t="shared" si="536"/>
        <v>435.87698334955331</v>
      </c>
    </row>
    <row r="160" spans="2:27" x14ac:dyDescent="0.2">
      <c r="B160" s="116" t="s">
        <v>326</v>
      </c>
      <c r="C160" s="256">
        <f>C159/C$117%</f>
        <v>62.5</v>
      </c>
      <c r="D160" s="256">
        <f t="shared" ref="D160:N160" si="537">D159/D$117%</f>
        <v>66.298342541436469</v>
      </c>
      <c r="E160" s="256">
        <f t="shared" si="537"/>
        <v>64.516129032258064</v>
      </c>
      <c r="F160" s="256">
        <f t="shared" si="537"/>
        <v>65.895953757225428</v>
      </c>
      <c r="G160" s="256">
        <f t="shared" si="537"/>
        <v>64.980544747081723</v>
      </c>
      <c r="H160" s="256">
        <f t="shared" si="537"/>
        <v>64.625850340136054</v>
      </c>
      <c r="I160" s="256">
        <f t="shared" si="537"/>
        <v>65.3125</v>
      </c>
      <c r="J160" s="256">
        <f t="shared" si="537"/>
        <v>64.901664145234491</v>
      </c>
      <c r="K160" s="257">
        <v>61</v>
      </c>
      <c r="L160" s="256">
        <f t="shared" si="537"/>
        <v>61.000000000000007</v>
      </c>
      <c r="M160" s="257">
        <v>61</v>
      </c>
      <c r="N160" s="256">
        <f t="shared" si="537"/>
        <v>60.999999999999993</v>
      </c>
      <c r="O160" s="257">
        <v>61</v>
      </c>
      <c r="P160" s="257">
        <v>61</v>
      </c>
      <c r="Q160" s="256">
        <f t="shared" ref="Q160:R160" si="538">Q159/Q$117%</f>
        <v>61.000000000000007</v>
      </c>
      <c r="R160" s="256">
        <f t="shared" si="538"/>
        <v>61.000000000000007</v>
      </c>
      <c r="S160" s="257">
        <v>59</v>
      </c>
      <c r="T160" s="257">
        <v>59</v>
      </c>
      <c r="U160" s="257">
        <v>58.5</v>
      </c>
      <c r="V160" s="257">
        <v>58.5</v>
      </c>
      <c r="W160" s="257">
        <v>58.5</v>
      </c>
      <c r="X160" s="257">
        <v>58.5</v>
      </c>
      <c r="Y160" s="257">
        <v>58.5</v>
      </c>
      <c r="Z160" s="257">
        <v>58.5</v>
      </c>
      <c r="AA160" s="257">
        <v>58.5</v>
      </c>
    </row>
    <row r="161" spans="2:27" x14ac:dyDescent="0.2">
      <c r="B161" s="116" t="s">
        <v>225</v>
      </c>
      <c r="C161" s="154" t="s">
        <v>274</v>
      </c>
      <c r="D161" s="154" t="s">
        <v>274</v>
      </c>
      <c r="E161" s="154" t="s">
        <v>274</v>
      </c>
      <c r="F161" s="154" t="s">
        <v>274</v>
      </c>
      <c r="G161" s="154" t="s">
        <v>274</v>
      </c>
      <c r="H161" s="154" t="s">
        <v>274</v>
      </c>
      <c r="I161" s="154" t="s">
        <v>274</v>
      </c>
      <c r="J161" s="154" t="s">
        <v>274</v>
      </c>
      <c r="K161" s="261">
        <f>(K159-C159)/C159%</f>
        <v>-12.746594258998812</v>
      </c>
      <c r="L161" s="261">
        <f t="shared" ref="L161" si="539">(L159-D159)/D159%</f>
        <v>-21.832420433263664</v>
      </c>
      <c r="M161" s="261">
        <f t="shared" ref="M161" si="540">(M159-E159)/E159%</f>
        <v>-17.702499444961457</v>
      </c>
      <c r="N161" s="261">
        <f t="shared" ref="N161" si="541">(N159-F159)/F159%</f>
        <v>-14.773099007199415</v>
      </c>
      <c r="O161" s="261">
        <f t="shared" ref="O161" si="542">(O159-G159)/G159%</f>
        <v>-16.702644205725313</v>
      </c>
      <c r="P161" s="261">
        <f t="shared" ref="P161" si="543">(P159-H159)/H159%</f>
        <v>-13.404234375795395</v>
      </c>
      <c r="Q161" s="261">
        <f t="shared" ref="Q161" si="544">(Q159-I159)/I159%</f>
        <v>-14.150887811106678</v>
      </c>
      <c r="R161" s="261">
        <f t="shared" ref="R161" si="545">(R159-J159)/J159%</f>
        <v>-15.972227110519393</v>
      </c>
      <c r="S161" s="261">
        <f>(S159-R159)/R159%</f>
        <v>-2.2055168011483679</v>
      </c>
      <c r="T161" s="261">
        <f t="shared" ref="T161:AA161" si="546">(T159-S159)/S159%</f>
        <v>3.0000000000000284</v>
      </c>
      <c r="U161" s="261">
        <f t="shared" si="546"/>
        <v>2.127118644067779</v>
      </c>
      <c r="V161" s="261">
        <f t="shared" si="546"/>
        <v>2.7254736641238146</v>
      </c>
      <c r="W161" s="261">
        <f t="shared" si="546"/>
        <v>2.7274124395772921</v>
      </c>
      <c r="X161" s="261">
        <f t="shared" si="546"/>
        <v>2.7293426311163991</v>
      </c>
      <c r="Y161" s="261">
        <f t="shared" si="546"/>
        <v>2.7312642043738413</v>
      </c>
      <c r="Z161" s="261">
        <f t="shared" si="546"/>
        <v>2.7331771261050766</v>
      </c>
      <c r="AA161" s="261">
        <f t="shared" si="546"/>
        <v>2.7350813641840883</v>
      </c>
    </row>
    <row r="162" spans="2:27" x14ac:dyDescent="0.2">
      <c r="B162" s="116"/>
    </row>
    <row r="163" spans="2:27" x14ac:dyDescent="0.2">
      <c r="B163" s="101" t="s">
        <v>429</v>
      </c>
      <c r="C163" s="246">
        <v>82</v>
      </c>
      <c r="D163" s="246">
        <v>79</v>
      </c>
      <c r="E163" s="248">
        <f>C163+D163</f>
        <v>161</v>
      </c>
      <c r="F163" s="246">
        <v>68</v>
      </c>
      <c r="G163" s="248">
        <f>E163+F163</f>
        <v>229</v>
      </c>
      <c r="H163" s="246">
        <v>59</v>
      </c>
      <c r="I163" s="248">
        <f>F163+H163</f>
        <v>127</v>
      </c>
      <c r="J163" s="248">
        <f>E163+I163</f>
        <v>288</v>
      </c>
      <c r="K163" s="248">
        <f>K164*K128/100</f>
        <v>79.050591717258172</v>
      </c>
      <c r="L163" s="248">
        <f>M163-K163</f>
        <v>80.590698372738686</v>
      </c>
      <c r="M163" s="248">
        <f>M164*M128/100</f>
        <v>159.64129008999686</v>
      </c>
      <c r="N163" s="248">
        <f>O163-M163</f>
        <v>80.499984432471081</v>
      </c>
      <c r="O163" s="248">
        <f t="shared" ref="O163:P163" si="547">O164*O128/100</f>
        <v>240.14127452246794</v>
      </c>
      <c r="P163" s="248">
        <f t="shared" si="547"/>
        <v>65.747251838063448</v>
      </c>
      <c r="Q163" s="248">
        <f>P163+N163</f>
        <v>146.24723627053453</v>
      </c>
      <c r="R163" s="248">
        <f>Q163+M163</f>
        <v>305.88852636053139</v>
      </c>
      <c r="S163" s="248">
        <f t="shared" ref="S163:AA163" si="548">S164*S128/100</f>
        <v>327.41770579959274</v>
      </c>
      <c r="T163" s="248">
        <f t="shared" si="548"/>
        <v>338.22249009097925</v>
      </c>
      <c r="U163" s="248">
        <f t="shared" si="548"/>
        <v>348.03094230361762</v>
      </c>
      <c r="V163" s="248">
        <f t="shared" si="548"/>
        <v>356.38368491890446</v>
      </c>
      <c r="W163" s="248">
        <f t="shared" si="548"/>
        <v>364.93689335695819</v>
      </c>
      <c r="X163" s="248">
        <f t="shared" si="548"/>
        <v>373.69537879752517</v>
      </c>
      <c r="Y163" s="248">
        <f t="shared" si="548"/>
        <v>382.66406788866573</v>
      </c>
      <c r="Z163" s="248">
        <f t="shared" si="548"/>
        <v>391.84800551799373</v>
      </c>
      <c r="AA163" s="248">
        <f t="shared" si="548"/>
        <v>401.25235765042561</v>
      </c>
    </row>
    <row r="164" spans="2:27" x14ac:dyDescent="0.2">
      <c r="B164" s="116" t="s">
        <v>326</v>
      </c>
      <c r="C164" s="256">
        <f>C163/C$128%</f>
        <v>41.6243654822335</v>
      </c>
      <c r="D164" s="256">
        <f t="shared" ref="D164:N164" si="549">D163/D$128%</f>
        <v>39.898989898989896</v>
      </c>
      <c r="E164" s="256">
        <f t="shared" si="549"/>
        <v>40.759493670886073</v>
      </c>
      <c r="F164" s="256">
        <f t="shared" si="549"/>
        <v>35.416666666666671</v>
      </c>
      <c r="G164" s="256">
        <f t="shared" si="549"/>
        <v>39.011925042589439</v>
      </c>
      <c r="H164" s="256">
        <f t="shared" si="549"/>
        <v>38.815789473684212</v>
      </c>
      <c r="I164" s="256">
        <f t="shared" si="549"/>
        <v>36.918604651162788</v>
      </c>
      <c r="J164" s="256">
        <f t="shared" si="549"/>
        <v>38.971583220568334</v>
      </c>
      <c r="K164" s="257">
        <v>41</v>
      </c>
      <c r="L164" s="256">
        <f t="shared" si="549"/>
        <v>41</v>
      </c>
      <c r="M164" s="257">
        <v>41</v>
      </c>
      <c r="N164" s="256">
        <f t="shared" si="549"/>
        <v>41</v>
      </c>
      <c r="O164" s="257">
        <v>41</v>
      </c>
      <c r="P164" s="257">
        <v>41</v>
      </c>
      <c r="Q164" s="256">
        <f t="shared" ref="Q164:R164" si="550">Q163/Q$128%</f>
        <v>41</v>
      </c>
      <c r="R164" s="256">
        <f t="shared" si="550"/>
        <v>41.000000000000007</v>
      </c>
      <c r="S164" s="257">
        <v>42</v>
      </c>
      <c r="T164" s="257">
        <v>42</v>
      </c>
      <c r="U164" s="257">
        <v>42</v>
      </c>
      <c r="V164" s="257">
        <v>42</v>
      </c>
      <c r="W164" s="257">
        <v>42</v>
      </c>
      <c r="X164" s="257">
        <v>42</v>
      </c>
      <c r="Y164" s="257">
        <v>42</v>
      </c>
      <c r="Z164" s="257">
        <v>42</v>
      </c>
      <c r="AA164" s="257">
        <v>42</v>
      </c>
    </row>
    <row r="165" spans="2:27" x14ac:dyDescent="0.2">
      <c r="B165" s="116" t="s">
        <v>225</v>
      </c>
      <c r="C165" s="154" t="s">
        <v>274</v>
      </c>
      <c r="D165" s="154" t="s">
        <v>274</v>
      </c>
      <c r="E165" s="154" t="s">
        <v>274</v>
      </c>
      <c r="F165" s="154" t="s">
        <v>274</v>
      </c>
      <c r="G165" s="154" t="s">
        <v>274</v>
      </c>
      <c r="H165" s="154" t="s">
        <v>274</v>
      </c>
      <c r="I165" s="154" t="s">
        <v>274</v>
      </c>
      <c r="J165" s="154" t="s">
        <v>274</v>
      </c>
      <c r="K165" s="261">
        <f>(K163-C163)/C163%</f>
        <v>-3.5968393691973515</v>
      </c>
      <c r="L165" s="261">
        <f t="shared" ref="L165" si="551">(L163-D163)/D163%</f>
        <v>2.0135422439730202</v>
      </c>
      <c r="M165" s="261">
        <f t="shared" ref="M165" si="552">(M163-E163)/E163%</f>
        <v>-0.84391919875971566</v>
      </c>
      <c r="N165" s="261">
        <f t="shared" ref="N165" si="553">(N163-F163)/F163%</f>
        <v>18.382330047751587</v>
      </c>
      <c r="O165" s="261">
        <f t="shared" ref="O165" si="554">(O163-G163)/G163%</f>
        <v>4.8651853809903658</v>
      </c>
      <c r="P165" s="261">
        <f t="shared" ref="P165" si="555">(P163-H163)/H163%</f>
        <v>11.43602006451432</v>
      </c>
      <c r="Q165" s="261">
        <f t="shared" ref="Q165" si="556">(Q163-I163)/I163%</f>
        <v>15.155304150027188</v>
      </c>
      <c r="R165" s="261">
        <f t="shared" ref="R165" si="557">(R163-J163)/J163%</f>
        <v>6.2112938751845093</v>
      </c>
      <c r="S165" s="261">
        <f>(S163-R163)/R163%</f>
        <v>7.0382435376756423</v>
      </c>
      <c r="T165" s="261">
        <f t="shared" ref="T165:AA165" si="558">(T163-S163)/S163%</f>
        <v>3.2999999999999847</v>
      </c>
      <c r="U165" s="261">
        <f t="shared" si="558"/>
        <v>2.8999999999999924</v>
      </c>
      <c r="V165" s="261">
        <f t="shared" si="558"/>
        <v>2.4000000000000057</v>
      </c>
      <c r="W165" s="261">
        <f t="shared" si="558"/>
        <v>2.4000000000000066</v>
      </c>
      <c r="X165" s="261">
        <f t="shared" si="558"/>
        <v>2.3999999999999932</v>
      </c>
      <c r="Y165" s="261">
        <f t="shared" si="558"/>
        <v>2.3999999999999888</v>
      </c>
      <c r="Z165" s="261">
        <f t="shared" si="558"/>
        <v>2.4000000000000057</v>
      </c>
      <c r="AA165" s="261">
        <f t="shared" si="558"/>
        <v>2.4000000000000083</v>
      </c>
    </row>
    <row r="166" spans="2:27" outlineLevel="1" x14ac:dyDescent="0.2"/>
    <row r="167" spans="2:27" outlineLevel="1" x14ac:dyDescent="0.2">
      <c r="B167" s="19" t="s">
        <v>427</v>
      </c>
      <c r="C167" s="254">
        <f>C139+C143+C147+C151+C155+C159+C163</f>
        <v>2575</v>
      </c>
      <c r="D167" s="254">
        <f t="shared" ref="D167:AA167" si="559">D139+D143+D147+D151+D155+D159+D163</f>
        <v>2427</v>
      </c>
      <c r="E167" s="254">
        <f t="shared" si="559"/>
        <v>5002</v>
      </c>
      <c r="F167" s="254">
        <f t="shared" si="559"/>
        <v>2679</v>
      </c>
      <c r="G167" s="254">
        <f t="shared" si="559"/>
        <v>7681</v>
      </c>
      <c r="H167" s="254">
        <f t="shared" si="559"/>
        <v>2442</v>
      </c>
      <c r="I167" s="254">
        <f t="shared" si="559"/>
        <v>5121</v>
      </c>
      <c r="J167" s="254">
        <f t="shared" si="559"/>
        <v>10123</v>
      </c>
      <c r="K167" s="254">
        <f>K139+K143+K147+K151+K155+K159+K163</f>
        <v>2673.5551724728489</v>
      </c>
      <c r="L167" s="254">
        <f t="shared" si="559"/>
        <v>2534.4368674128391</v>
      </c>
      <c r="M167" s="254">
        <f t="shared" si="559"/>
        <v>5207.9920398856884</v>
      </c>
      <c r="N167" s="254">
        <f>N139+N143+N147+N151+N155+N159+N163</f>
        <v>2956.8636086176853</v>
      </c>
      <c r="O167" s="254">
        <f t="shared" si="559"/>
        <v>8164.8556485033732</v>
      </c>
      <c r="P167" s="254">
        <f t="shared" si="559"/>
        <v>2589.1120736089861</v>
      </c>
      <c r="Q167" s="254">
        <f t="shared" si="559"/>
        <v>5545.97568222667</v>
      </c>
      <c r="R167" s="254">
        <f t="shared" si="559"/>
        <v>10753.96772211236</v>
      </c>
      <c r="S167" s="254">
        <f t="shared" si="559"/>
        <v>11831.964913358057</v>
      </c>
      <c r="T167" s="254">
        <f t="shared" si="559"/>
        <v>12854.062908380452</v>
      </c>
      <c r="U167" s="254">
        <f t="shared" si="559"/>
        <v>13803.368527537337</v>
      </c>
      <c r="V167" s="254">
        <f t="shared" si="559"/>
        <v>14761.494293781945</v>
      </c>
      <c r="W167" s="254">
        <f t="shared" si="559"/>
        <v>15762.018837095266</v>
      </c>
      <c r="X167" s="254">
        <f t="shared" si="559"/>
        <v>16696.328041746106</v>
      </c>
      <c r="Y167" s="254">
        <f t="shared" si="559"/>
        <v>17622.726042455477</v>
      </c>
      <c r="Z167" s="254">
        <f t="shared" si="559"/>
        <v>18668.349088442519</v>
      </c>
      <c r="AA167" s="254">
        <f t="shared" si="559"/>
        <v>19760.790421272392</v>
      </c>
    </row>
    <row r="168" spans="2:27" outlineLevel="1" x14ac:dyDescent="0.2">
      <c r="B168" s="17" t="s">
        <v>477</v>
      </c>
      <c r="C168" s="222">
        <f>C170-C167</f>
        <v>127</v>
      </c>
      <c r="D168" s="222">
        <f t="shared" ref="D168:J168" si="560">D170-D167</f>
        <v>98</v>
      </c>
      <c r="E168" s="222">
        <f t="shared" si="560"/>
        <v>225</v>
      </c>
      <c r="F168" s="222">
        <f t="shared" si="560"/>
        <v>185</v>
      </c>
      <c r="G168" s="222">
        <f t="shared" si="560"/>
        <v>410</v>
      </c>
      <c r="H168" s="222">
        <f t="shared" si="560"/>
        <v>171</v>
      </c>
      <c r="I168" s="222">
        <f t="shared" si="560"/>
        <v>356</v>
      </c>
      <c r="J168" s="222">
        <f t="shared" si="560"/>
        <v>581</v>
      </c>
      <c r="K168" s="222">
        <f>C168/C167*K167</f>
        <v>131.8607793802143</v>
      </c>
      <c r="L168" s="222">
        <f>M168-K168</f>
        <v>102.4051560404734</v>
      </c>
      <c r="M168" s="222">
        <f>E168/E167*M167</f>
        <v>234.2659354206877</v>
      </c>
      <c r="N168" s="222">
        <f>O168-M168</f>
        <v>201.56153702904317</v>
      </c>
      <c r="O168" s="222">
        <f>G168/G167*O167</f>
        <v>435.82747244973086</v>
      </c>
      <c r="P168" s="222">
        <f>H168/H167*P167</f>
        <v>181.30145969989215</v>
      </c>
      <c r="Q168" s="222">
        <f>N168+P168</f>
        <v>382.86299672893529</v>
      </c>
      <c r="R168" s="222">
        <f>M168+Q168</f>
        <v>617.12893214962298</v>
      </c>
      <c r="S168" s="222">
        <f>R168/R167*S167</f>
        <v>678.99105343215501</v>
      </c>
      <c r="T168" s="222">
        <f>S168/S167*T167</f>
        <v>737.64533439335378</v>
      </c>
      <c r="U168" s="222">
        <f t="shared" ref="U168:AA168" si="561">T168/T167*U167</f>
        <v>792.12234029223794</v>
      </c>
      <c r="V168" s="222">
        <f t="shared" si="561"/>
        <v>847.10550057937246</v>
      </c>
      <c r="W168" s="222">
        <f t="shared" si="561"/>
        <v>904.52176394929404</v>
      </c>
      <c r="X168" s="222">
        <f t="shared" si="561"/>
        <v>958.13818317827793</v>
      </c>
      <c r="Y168" s="222">
        <f t="shared" si="561"/>
        <v>1011.3006087775079</v>
      </c>
      <c r="Z168" s="222">
        <f t="shared" si="561"/>
        <v>1071.304902120716</v>
      </c>
      <c r="AA168" s="222">
        <f t="shared" si="561"/>
        <v>1133.9959172498729</v>
      </c>
    </row>
    <row r="170" spans="2:27" x14ac:dyDescent="0.2">
      <c r="B170" s="61" t="s">
        <v>240</v>
      </c>
      <c r="C170" s="253">
        <v>2702</v>
      </c>
      <c r="D170" s="253">
        <v>2525</v>
      </c>
      <c r="E170" s="247">
        <f>C170+D170</f>
        <v>5227</v>
      </c>
      <c r="F170" s="253">
        <v>2864</v>
      </c>
      <c r="G170" s="247">
        <f>E170+F170</f>
        <v>8091</v>
      </c>
      <c r="H170" s="253">
        <v>2613</v>
      </c>
      <c r="I170" s="247">
        <f>F170+H170</f>
        <v>5477</v>
      </c>
      <c r="J170" s="247">
        <f>C170+D170+F170+H170</f>
        <v>10704</v>
      </c>
      <c r="K170" s="247">
        <f>K167+K168</f>
        <v>2805.4159518530632</v>
      </c>
      <c r="L170" s="247">
        <f t="shared" ref="L170:AA170" si="562">L167+L168</f>
        <v>2636.8420234533123</v>
      </c>
      <c r="M170" s="247">
        <f t="shared" si="562"/>
        <v>5442.2579753063765</v>
      </c>
      <c r="N170" s="247">
        <f>N167+N168</f>
        <v>3158.4251456467282</v>
      </c>
      <c r="O170" s="247">
        <f>O167+O168</f>
        <v>8600.6831209531047</v>
      </c>
      <c r="P170" s="247">
        <f t="shared" si="562"/>
        <v>2770.4135333088784</v>
      </c>
      <c r="Q170" s="247">
        <f t="shared" si="562"/>
        <v>5928.8386789556052</v>
      </c>
      <c r="R170" s="247">
        <f t="shared" si="562"/>
        <v>11371.096654261983</v>
      </c>
      <c r="S170" s="247">
        <f t="shared" si="562"/>
        <v>12510.955966790212</v>
      </c>
      <c r="T170" s="247">
        <f t="shared" si="562"/>
        <v>13591.708242773806</v>
      </c>
      <c r="U170" s="247">
        <f t="shared" si="562"/>
        <v>14595.490867829576</v>
      </c>
      <c r="V170" s="247">
        <f t="shared" si="562"/>
        <v>15608.599794361318</v>
      </c>
      <c r="W170" s="247">
        <f t="shared" si="562"/>
        <v>16666.540601044559</v>
      </c>
      <c r="X170" s="247">
        <f t="shared" si="562"/>
        <v>17654.466224924385</v>
      </c>
      <c r="Y170" s="247">
        <f t="shared" si="562"/>
        <v>18634.026651232984</v>
      </c>
      <c r="Z170" s="247">
        <f t="shared" si="562"/>
        <v>19739.653990563234</v>
      </c>
      <c r="AA170" s="247">
        <f t="shared" si="562"/>
        <v>20894.786338522266</v>
      </c>
    </row>
    <row r="171" spans="2:27" x14ac:dyDescent="0.2">
      <c r="B171" s="105" t="s">
        <v>326</v>
      </c>
      <c r="C171" s="152">
        <f t="shared" ref="C171:J171" si="563">C170/C$133</f>
        <v>0.49605287314117863</v>
      </c>
      <c r="D171" s="152">
        <f t="shared" si="563"/>
        <v>0.50129045066507838</v>
      </c>
      <c r="E171" s="152">
        <f t="shared" si="563"/>
        <v>0.49856924837848149</v>
      </c>
      <c r="F171" s="152">
        <f t="shared" si="563"/>
        <v>0.50449180905407787</v>
      </c>
      <c r="G171" s="152">
        <f t="shared" si="563"/>
        <v>0.50064971227028032</v>
      </c>
      <c r="H171" s="152">
        <f t="shared" si="563"/>
        <v>0.51681170886075944</v>
      </c>
      <c r="I171" s="152">
        <f t="shared" si="563"/>
        <v>0.51029535078729149</v>
      </c>
      <c r="J171" s="152">
        <f t="shared" si="563"/>
        <v>0.50450110760239431</v>
      </c>
      <c r="K171" s="152">
        <f t="shared" ref="K171:AA171" si="564">K170/K$133</f>
        <v>0.5022860292814062</v>
      </c>
      <c r="L171" s="152">
        <f t="shared" si="564"/>
        <v>0.50205428068716107</v>
      </c>
      <c r="M171" s="152">
        <f t="shared" si="564"/>
        <v>0.50217371747818007</v>
      </c>
      <c r="N171" s="152">
        <f t="shared" si="564"/>
        <v>0.51571395873850745</v>
      </c>
      <c r="O171" s="152">
        <f t="shared" si="564"/>
        <v>0.50706268110468455</v>
      </c>
      <c r="P171" s="152">
        <f t="shared" si="564"/>
        <v>0.50903747833214508</v>
      </c>
      <c r="Q171" s="152">
        <f t="shared" si="564"/>
        <v>0.51257252351795757</v>
      </c>
      <c r="R171" s="152">
        <f t="shared" si="564"/>
        <v>0.5075424005561856</v>
      </c>
      <c r="S171" s="152">
        <f t="shared" si="564"/>
        <v>0.51021637899104177</v>
      </c>
      <c r="T171" s="152">
        <f>T170/T$133</f>
        <v>0.51255354763974581</v>
      </c>
      <c r="U171" s="152">
        <f t="shared" si="564"/>
        <v>0.51417472399364961</v>
      </c>
      <c r="V171" s="152">
        <f t="shared" si="564"/>
        <v>0.51566872131080221</v>
      </c>
      <c r="W171" s="152">
        <f t="shared" si="564"/>
        <v>0.51729165297834101</v>
      </c>
      <c r="X171" s="152">
        <f t="shared" si="564"/>
        <v>0.51797979434535724</v>
      </c>
      <c r="Y171" s="152">
        <f t="shared" si="564"/>
        <v>0.51673833990874052</v>
      </c>
      <c r="Z171" s="152">
        <f t="shared" si="564"/>
        <v>0.5173060099085568</v>
      </c>
      <c r="AA171" s="152">
        <f t="shared" si="564"/>
        <v>0.51794204190742665</v>
      </c>
    </row>
    <row r="172" spans="2:27" x14ac:dyDescent="0.2">
      <c r="B172" s="106" t="s">
        <v>225</v>
      </c>
      <c r="C172" s="231" t="s">
        <v>274</v>
      </c>
      <c r="D172" s="231" t="s">
        <v>274</v>
      </c>
      <c r="E172" s="255" t="s">
        <v>274</v>
      </c>
      <c r="F172" s="231" t="s">
        <v>274</v>
      </c>
      <c r="G172" s="255" t="s">
        <v>274</v>
      </c>
      <c r="H172" s="231" t="s">
        <v>274</v>
      </c>
      <c r="I172" s="255" t="s">
        <v>274</v>
      </c>
      <c r="J172" s="255" t="s">
        <v>274</v>
      </c>
      <c r="K172" s="262">
        <f t="shared" ref="K172:R172" si="565">(K170-C170)/C170%</f>
        <v>3.827385338751415</v>
      </c>
      <c r="L172" s="262">
        <f t="shared" si="565"/>
        <v>4.4293870674579141</v>
      </c>
      <c r="M172" s="262">
        <f t="shared" si="565"/>
        <v>4.1181935203056526</v>
      </c>
      <c r="N172" s="262">
        <f t="shared" si="565"/>
        <v>10.280207599396935</v>
      </c>
      <c r="O172" s="262">
        <f t="shared" si="565"/>
        <v>6.2993835243246163</v>
      </c>
      <c r="P172" s="262">
        <f t="shared" si="565"/>
        <v>6.0242454385334261</v>
      </c>
      <c r="Q172" s="262">
        <f t="shared" si="565"/>
        <v>8.24974765301452</v>
      </c>
      <c r="R172" s="262">
        <f t="shared" si="565"/>
        <v>6.2322183694131406</v>
      </c>
      <c r="S172" s="262">
        <f t="shared" ref="S172:AA172" si="566">(S170-R170)/R170%</f>
        <v>10.024181019523747</v>
      </c>
      <c r="T172" s="262">
        <f t="shared" si="566"/>
        <v>8.6384468049636141</v>
      </c>
      <c r="U172" s="262">
        <f t="shared" si="566"/>
        <v>7.3852572989818492</v>
      </c>
      <c r="V172" s="262">
        <f t="shared" si="566"/>
        <v>6.9412460033445713</v>
      </c>
      <c r="W172" s="262">
        <f t="shared" si="566"/>
        <v>6.7779353729437428</v>
      </c>
      <c r="X172" s="262">
        <f t="shared" si="566"/>
        <v>5.9275985792631065</v>
      </c>
      <c r="Y172" s="262">
        <f t="shared" si="566"/>
        <v>5.548513412009398</v>
      </c>
      <c r="Z172" s="262">
        <f t="shared" si="566"/>
        <v>5.9333785446587477</v>
      </c>
      <c r="AA172" s="262">
        <f t="shared" si="566"/>
        <v>5.8518368584943588</v>
      </c>
    </row>
    <row r="173" spans="2:27" x14ac:dyDescent="0.2">
      <c r="S173" s="165"/>
      <c r="T173" s="165"/>
      <c r="U173" s="165"/>
      <c r="V173" s="165"/>
      <c r="W173" s="165"/>
      <c r="X173" s="165"/>
      <c r="Y173" s="165"/>
      <c r="Z173" s="165"/>
      <c r="AA173" s="165"/>
    </row>
    <row r="174" spans="2:27" x14ac:dyDescent="0.2">
      <c r="B174" s="142" t="s">
        <v>330</v>
      </c>
      <c r="C174" s="173" t="str">
        <f>C$3</f>
        <v>Q117</v>
      </c>
      <c r="D174" s="173" t="str">
        <f t="shared" ref="D174:AA174" si="567">D$3</f>
        <v>Q217</v>
      </c>
      <c r="E174" s="173" t="str">
        <f t="shared" si="567"/>
        <v>H117</v>
      </c>
      <c r="F174" s="173" t="str">
        <f t="shared" si="567"/>
        <v>Q317</v>
      </c>
      <c r="G174" s="173" t="str">
        <f t="shared" si="567"/>
        <v>9M17</v>
      </c>
      <c r="H174" s="173" t="str">
        <f t="shared" si="567"/>
        <v>Q417</v>
      </c>
      <c r="I174" s="173" t="str">
        <f t="shared" si="567"/>
        <v>2H17</v>
      </c>
      <c r="J174" s="249">
        <f t="shared" si="567"/>
        <v>2017</v>
      </c>
      <c r="K174" s="173" t="str">
        <f t="shared" si="567"/>
        <v>Q118e</v>
      </c>
      <c r="L174" s="173" t="str">
        <f t="shared" si="567"/>
        <v>Q218e</v>
      </c>
      <c r="M174" s="173" t="str">
        <f t="shared" si="567"/>
        <v>H118e</v>
      </c>
      <c r="N174" s="173" t="str">
        <f t="shared" si="567"/>
        <v>Q318e</v>
      </c>
      <c r="O174" s="173" t="str">
        <f t="shared" si="567"/>
        <v>9M18e</v>
      </c>
      <c r="P174" s="173" t="str">
        <f t="shared" si="567"/>
        <v>Q418e</v>
      </c>
      <c r="Q174" s="173" t="str">
        <f t="shared" si="567"/>
        <v>2H18e</v>
      </c>
      <c r="R174" s="173">
        <f t="shared" si="567"/>
        <v>2018</v>
      </c>
      <c r="S174" s="173">
        <f t="shared" si="567"/>
        <v>2019</v>
      </c>
      <c r="T174" s="173">
        <f t="shared" si="567"/>
        <v>2020</v>
      </c>
      <c r="U174" s="173">
        <f t="shared" si="567"/>
        <v>2021</v>
      </c>
      <c r="V174" s="173">
        <f t="shared" si="567"/>
        <v>2022</v>
      </c>
      <c r="W174" s="173">
        <f t="shared" si="567"/>
        <v>2023</v>
      </c>
      <c r="X174" s="173">
        <f t="shared" si="567"/>
        <v>2024</v>
      </c>
      <c r="Y174" s="173">
        <f t="shared" si="567"/>
        <v>2025</v>
      </c>
      <c r="Z174" s="173">
        <f t="shared" si="567"/>
        <v>2026</v>
      </c>
      <c r="AA174" s="173">
        <f t="shared" si="567"/>
        <v>2027</v>
      </c>
    </row>
    <row r="175" spans="2:27" x14ac:dyDescent="0.2">
      <c r="B175" s="101" t="s">
        <v>222</v>
      </c>
      <c r="C175" s="246">
        <v>332</v>
      </c>
      <c r="D175" s="246">
        <v>288</v>
      </c>
      <c r="E175" s="248">
        <f>C175+D175</f>
        <v>620</v>
      </c>
      <c r="F175" s="246">
        <v>389</v>
      </c>
      <c r="G175" s="248">
        <f>E175+F175</f>
        <v>1009</v>
      </c>
      <c r="H175" s="246">
        <v>182</v>
      </c>
      <c r="I175" s="248">
        <f>F175+H175</f>
        <v>571</v>
      </c>
      <c r="J175" s="248">
        <f>E175+I175</f>
        <v>1191</v>
      </c>
      <c r="K175" s="248">
        <f>K176*K92/100</f>
        <v>371.41554369837564</v>
      </c>
      <c r="L175" s="248">
        <f>M175-K175</f>
        <v>279.37274313620054</v>
      </c>
      <c r="M175" s="248">
        <f>M176*M92/100</f>
        <v>650.78828683457618</v>
      </c>
      <c r="N175" s="248">
        <f>O175-M175</f>
        <v>438.47356033022083</v>
      </c>
      <c r="O175" s="248">
        <f>O176*O92/100</f>
        <v>1089.261847164797</v>
      </c>
      <c r="P175" s="248">
        <f>P176*P92/100</f>
        <v>204.71644590716787</v>
      </c>
      <c r="Q175" s="248">
        <f>P175+N175</f>
        <v>643.19000623738873</v>
      </c>
      <c r="R175" s="248">
        <f>Q175+M175</f>
        <v>1293.9782930719648</v>
      </c>
      <c r="S175" s="248">
        <f t="shared" ref="S175:AA175" si="568">S176*S92/100</f>
        <v>1411.6723271120975</v>
      </c>
      <c r="T175" s="248">
        <f t="shared" si="568"/>
        <v>1516.5738740215943</v>
      </c>
      <c r="U175" s="248">
        <f t="shared" si="568"/>
        <v>1620.4301777661881</v>
      </c>
      <c r="V175" s="248">
        <f t="shared" si="568"/>
        <v>1726.5217776124823</v>
      </c>
      <c r="W175" s="248">
        <f t="shared" si="568"/>
        <v>1861.1490520877885</v>
      </c>
      <c r="X175" s="248">
        <f t="shared" si="568"/>
        <v>1951.9729495829235</v>
      </c>
      <c r="Y175" s="248">
        <f t="shared" si="568"/>
        <v>2047.2598675239913</v>
      </c>
      <c r="Z175" s="248">
        <f t="shared" si="568"/>
        <v>2147.2302208282795</v>
      </c>
      <c r="AA175" s="248">
        <f t="shared" si="568"/>
        <v>2252.1153493952647</v>
      </c>
    </row>
    <row r="176" spans="2:27" x14ac:dyDescent="0.2">
      <c r="B176" s="116" t="s">
        <v>326</v>
      </c>
      <c r="C176" s="152">
        <f t="shared" ref="C176:N176" si="569">C175/C$92</f>
        <v>0.21614583333333334</v>
      </c>
      <c r="D176" s="152">
        <f t="shared" si="569"/>
        <v>0.2011173184357542</v>
      </c>
      <c r="E176" s="152">
        <f t="shared" si="569"/>
        <v>0.20889487870619947</v>
      </c>
      <c r="F176" s="152">
        <f t="shared" si="569"/>
        <v>0.23279473369239975</v>
      </c>
      <c r="G176" s="152">
        <f t="shared" si="569"/>
        <v>0.21750377236473378</v>
      </c>
      <c r="H176" s="152">
        <f t="shared" si="569"/>
        <v>0.14086687306501547</v>
      </c>
      <c r="I176" s="152">
        <f t="shared" si="569"/>
        <v>0.19271009112386095</v>
      </c>
      <c r="J176" s="152">
        <f t="shared" si="569"/>
        <v>0.20080930703085484</v>
      </c>
      <c r="K176" s="257">
        <v>23</v>
      </c>
      <c r="L176" s="152">
        <f t="shared" si="569"/>
        <v>0.18453360610064437</v>
      </c>
      <c r="M176" s="257">
        <v>20.8</v>
      </c>
      <c r="N176" s="152">
        <f t="shared" si="569"/>
        <v>0.24060221158076769</v>
      </c>
      <c r="O176" s="257">
        <v>22</v>
      </c>
      <c r="P176" s="257">
        <v>15</v>
      </c>
      <c r="Q176" s="152">
        <f t="shared" ref="Q176:R176" si="570">Q175/Q$92</f>
        <v>0.20180556989426934</v>
      </c>
      <c r="R176" s="152">
        <f t="shared" si="570"/>
        <v>0.20487415328845154</v>
      </c>
      <c r="S176" s="257">
        <f>(R176)*100+0.2</f>
        <v>20.687415328845155</v>
      </c>
      <c r="T176" s="257">
        <f>S176+0.1</f>
        <v>20.787415328845157</v>
      </c>
      <c r="U176" s="257">
        <f>T176+0.2</f>
        <v>20.987415328845156</v>
      </c>
      <c r="V176" s="257">
        <f>U176+0.15</f>
        <v>21.137415328845155</v>
      </c>
      <c r="W176" s="257">
        <f>V176+0.4</f>
        <v>21.537415328845153</v>
      </c>
      <c r="X176" s="257">
        <f>W176</f>
        <v>21.537415328845153</v>
      </c>
      <c r="Y176" s="257">
        <f t="shared" ref="Y176:AA176" si="571">X176</f>
        <v>21.537415328845153</v>
      </c>
      <c r="Z176" s="257">
        <f t="shared" si="571"/>
        <v>21.537415328845153</v>
      </c>
      <c r="AA176" s="257">
        <f t="shared" si="571"/>
        <v>21.537415328845153</v>
      </c>
    </row>
    <row r="177" spans="2:27" x14ac:dyDescent="0.2">
      <c r="B177" s="116" t="s">
        <v>225</v>
      </c>
      <c r="C177" s="154" t="s">
        <v>274</v>
      </c>
      <c r="D177" s="154" t="s">
        <v>274</v>
      </c>
      <c r="E177" s="154" t="s">
        <v>274</v>
      </c>
      <c r="F177" s="154" t="s">
        <v>274</v>
      </c>
      <c r="G177" s="154" t="s">
        <v>274</v>
      </c>
      <c r="H177" s="154" t="s">
        <v>274</v>
      </c>
      <c r="I177" s="154" t="s">
        <v>274</v>
      </c>
      <c r="J177" s="154" t="s">
        <v>274</v>
      </c>
      <c r="K177" s="261">
        <f>(K175-C175)/C175%</f>
        <v>11.872151716378207</v>
      </c>
      <c r="L177" s="261">
        <f t="shared" ref="L177" si="572">(L175-D175)/D175%</f>
        <v>-2.9955752999303682</v>
      </c>
      <c r="M177" s="261">
        <f t="shared" ref="M177" si="573">(M175-E175)/E175%</f>
        <v>4.9658527152542229</v>
      </c>
      <c r="N177" s="261">
        <f t="shared" ref="N177" si="574">(N175-F175)/F175%</f>
        <v>12.718138902370393</v>
      </c>
      <c r="O177" s="261">
        <f t="shared" ref="O177" si="575">(O175-G175)/G175%</f>
        <v>7.9545933760948486</v>
      </c>
      <c r="P177" s="261">
        <f t="shared" ref="P177" si="576">(P175-H175)/H175%</f>
        <v>12.481563685257068</v>
      </c>
      <c r="Q177" s="261">
        <f t="shared" ref="Q177" si="577">(Q175-I175)/I175%</f>
        <v>12.642733141399077</v>
      </c>
      <c r="R177" s="261">
        <f t="shared" ref="R177" si="578">(R175-J175)/J175%</f>
        <v>8.6463722142707642</v>
      </c>
      <c r="S177" s="261">
        <f>(S175-R175)/R175%</f>
        <v>9.0955184233208097</v>
      </c>
      <c r="T177" s="261">
        <f t="shared" ref="T177:AA177" si="579">(T175-S175)/S175%</f>
        <v>7.4310124874443915</v>
      </c>
      <c r="U177" s="261">
        <f t="shared" si="579"/>
        <v>6.848087358197164</v>
      </c>
      <c r="V177" s="261">
        <f t="shared" si="579"/>
        <v>6.5471256523094805</v>
      </c>
      <c r="W177" s="261">
        <f t="shared" si="579"/>
        <v>7.797600714974779</v>
      </c>
      <c r="X177" s="261">
        <f t="shared" si="579"/>
        <v>4.8799905302184774</v>
      </c>
      <c r="Y177" s="261">
        <f t="shared" si="579"/>
        <v>4.8815695914960084</v>
      </c>
      <c r="Z177" s="261">
        <f t="shared" si="579"/>
        <v>4.8831296353791629</v>
      </c>
      <c r="AA177" s="261">
        <f t="shared" si="579"/>
        <v>4.8846708447744618</v>
      </c>
    </row>
    <row r="178" spans="2:27" x14ac:dyDescent="0.2">
      <c r="B178" s="116"/>
    </row>
    <row r="179" spans="2:27" x14ac:dyDescent="0.2">
      <c r="B179" s="101" t="s">
        <v>66</v>
      </c>
      <c r="C179" s="246">
        <v>97</v>
      </c>
      <c r="D179" s="246">
        <v>131</v>
      </c>
      <c r="E179" s="248">
        <f>C179+D179</f>
        <v>228</v>
      </c>
      <c r="F179" s="246">
        <v>123</v>
      </c>
      <c r="G179" s="248">
        <f>E179+F179</f>
        <v>351</v>
      </c>
      <c r="H179" s="246">
        <v>117</v>
      </c>
      <c r="I179" s="248">
        <f>F179+H179</f>
        <v>240</v>
      </c>
      <c r="J179" s="248">
        <f>E179+I179</f>
        <v>468</v>
      </c>
      <c r="K179" s="248">
        <f>K180*K97/100</f>
        <v>129.91074602034013</v>
      </c>
      <c r="L179" s="248">
        <f>M179-K179</f>
        <v>148.57863522528191</v>
      </c>
      <c r="M179" s="248">
        <f>M180*M97/100</f>
        <v>278.48938124562204</v>
      </c>
      <c r="N179" s="248">
        <f>O179-M179</f>
        <v>156.20480615843235</v>
      </c>
      <c r="O179" s="248">
        <f>O180*O97/100</f>
        <v>434.69418740405439</v>
      </c>
      <c r="P179" s="248">
        <f>P180*P97/100</f>
        <v>150.05733453906808</v>
      </c>
      <c r="Q179" s="248">
        <f>P179+N179</f>
        <v>306.2621406975004</v>
      </c>
      <c r="R179" s="248">
        <f>Q179+M179</f>
        <v>584.7515219431225</v>
      </c>
      <c r="S179" s="248">
        <f t="shared" ref="S179:AA179" si="580">S180*S97/100</f>
        <v>753.17692039263773</v>
      </c>
      <c r="T179" s="248">
        <f t="shared" si="580"/>
        <v>886.91812116829999</v>
      </c>
      <c r="U179" s="248">
        <f t="shared" si="580"/>
        <v>1106.9463556786477</v>
      </c>
      <c r="V179" s="248">
        <f t="shared" si="580"/>
        <v>1337.9821172705547</v>
      </c>
      <c r="W179" s="248">
        <f t="shared" si="580"/>
        <v>1539.6358231333361</v>
      </c>
      <c r="X179" s="248">
        <f t="shared" si="580"/>
        <v>1636.2405501902319</v>
      </c>
      <c r="Y179" s="248">
        <f t="shared" si="580"/>
        <v>1755.8225662833156</v>
      </c>
      <c r="Z179" s="248">
        <f t="shared" si="580"/>
        <v>1884.0911098693414</v>
      </c>
      <c r="AA179" s="248">
        <f t="shared" si="580"/>
        <v>2012.7209499588062</v>
      </c>
    </row>
    <row r="180" spans="2:27" x14ac:dyDescent="0.2">
      <c r="B180" s="116" t="s">
        <v>326</v>
      </c>
      <c r="C180" s="152">
        <f t="shared" ref="C180:N180" si="581">C179/C$97</f>
        <v>9.8178137651821859E-2</v>
      </c>
      <c r="D180" s="152">
        <f t="shared" si="581"/>
        <v>0.1291913214990138</v>
      </c>
      <c r="E180" s="152">
        <f t="shared" si="581"/>
        <v>0.11388611388611389</v>
      </c>
      <c r="F180" s="152">
        <f t="shared" si="581"/>
        <v>0.11191992720655142</v>
      </c>
      <c r="G180" s="152">
        <f t="shared" si="581"/>
        <v>0.11318929377620122</v>
      </c>
      <c r="H180" s="152">
        <f t="shared" si="581"/>
        <v>9.957446808510638E-2</v>
      </c>
      <c r="I180" s="152">
        <f t="shared" si="581"/>
        <v>0.10554089709762533</v>
      </c>
      <c r="J180" s="152">
        <f t="shared" si="581"/>
        <v>0.10944808231992516</v>
      </c>
      <c r="K180" s="257">
        <v>12</v>
      </c>
      <c r="L180" s="152">
        <f t="shared" si="581"/>
        <v>0.12972612174601381</v>
      </c>
      <c r="M180" s="257">
        <v>12.5</v>
      </c>
      <c r="N180" s="152">
        <f t="shared" si="581"/>
        <v>0.125</v>
      </c>
      <c r="O180" s="257">
        <v>12.5</v>
      </c>
      <c r="P180" s="257">
        <v>11</v>
      </c>
      <c r="Q180" s="152">
        <f t="shared" ref="Q180" si="582">Q179/Q$97</f>
        <v>0.11717139994128845</v>
      </c>
      <c r="R180" s="152">
        <f t="shared" ref="R180" si="583">R179/R$97</f>
        <v>0.12077373299696552</v>
      </c>
      <c r="S180" s="257">
        <v>14</v>
      </c>
      <c r="T180" s="257">
        <f>S180+1</f>
        <v>15</v>
      </c>
      <c r="U180" s="257">
        <f>T180+2.1</f>
        <v>17.100000000000001</v>
      </c>
      <c r="V180" s="257">
        <f>U180+2.1</f>
        <v>19.200000000000003</v>
      </c>
      <c r="W180" s="257">
        <f t="shared" ref="W180" si="584">V180+1.5</f>
        <v>20.700000000000003</v>
      </c>
      <c r="X180" s="257">
        <f>W180</f>
        <v>20.700000000000003</v>
      </c>
      <c r="Y180" s="257">
        <f>X180+0.2</f>
        <v>20.900000000000002</v>
      </c>
      <c r="Z180" s="257">
        <f t="shared" ref="Z180:AA180" si="585">Y180+0.2</f>
        <v>21.1</v>
      </c>
      <c r="AA180" s="257">
        <f t="shared" si="585"/>
        <v>21.3</v>
      </c>
    </row>
    <row r="181" spans="2:27" x14ac:dyDescent="0.2">
      <c r="B181" s="116" t="s">
        <v>225</v>
      </c>
      <c r="C181" s="154" t="s">
        <v>274</v>
      </c>
      <c r="D181" s="154" t="s">
        <v>274</v>
      </c>
      <c r="E181" s="154" t="s">
        <v>274</v>
      </c>
      <c r="F181" s="154" t="s">
        <v>274</v>
      </c>
      <c r="G181" s="154" t="s">
        <v>274</v>
      </c>
      <c r="H181" s="154" t="s">
        <v>274</v>
      </c>
      <c r="I181" s="154" t="s">
        <v>274</v>
      </c>
      <c r="J181" s="154" t="s">
        <v>274</v>
      </c>
      <c r="K181" s="261">
        <f>(K179-C179)/C179%</f>
        <v>33.928604144680541</v>
      </c>
      <c r="L181" s="261">
        <f t="shared" ref="L181" si="586">(L179-D179)/D179%</f>
        <v>13.418805515482378</v>
      </c>
      <c r="M181" s="261">
        <f t="shared" ref="M181" si="587">(M179-E179)/E179%</f>
        <v>22.14446545860616</v>
      </c>
      <c r="N181" s="261">
        <f t="shared" ref="N181" si="588">(N179-F179)/F179%</f>
        <v>26.995777364579144</v>
      </c>
      <c r="O181" s="261">
        <f t="shared" ref="O181" si="589">(O179-G179)/G179%</f>
        <v>23.844497835912932</v>
      </c>
      <c r="P181" s="261">
        <f t="shared" ref="P181" si="590">(P179-H179)/H179%</f>
        <v>28.254132084673575</v>
      </c>
      <c r="Q181" s="261">
        <f t="shared" ref="Q181" si="591">(Q179-I179)/I179%</f>
        <v>27.609225290625169</v>
      </c>
      <c r="R181" s="261">
        <f t="shared" ref="R181" si="592">(R179-J179)/J179%</f>
        <v>24.946906398103099</v>
      </c>
      <c r="S181" s="261">
        <f>(S179-R179)/R179%</f>
        <v>28.802900399444809</v>
      </c>
      <c r="T181" s="261">
        <f t="shared" ref="T181:AA181" si="593">(T179-S179)/S179%</f>
        <v>17.756943575214947</v>
      </c>
      <c r="U181" s="261">
        <f t="shared" si="593"/>
        <v>24.808178935448268</v>
      </c>
      <c r="V181" s="261">
        <f t="shared" si="593"/>
        <v>20.871450581745975</v>
      </c>
      <c r="W181" s="261">
        <f t="shared" si="593"/>
        <v>15.071479899458536</v>
      </c>
      <c r="X181" s="261">
        <f t="shared" si="593"/>
        <v>6.2745180129866114</v>
      </c>
      <c r="Y181" s="261">
        <f t="shared" si="593"/>
        <v>7.3083396007500774</v>
      </c>
      <c r="Z181" s="261">
        <f t="shared" si="593"/>
        <v>7.3053249257151105</v>
      </c>
      <c r="AA181" s="261">
        <f t="shared" si="593"/>
        <v>6.8271560444009021</v>
      </c>
    </row>
    <row r="182" spans="2:27" x14ac:dyDescent="0.2">
      <c r="B182" s="116"/>
    </row>
    <row r="183" spans="2:27" x14ac:dyDescent="0.2">
      <c r="B183" s="101" t="s">
        <v>476</v>
      </c>
      <c r="C183" s="246">
        <v>625</v>
      </c>
      <c r="D183" s="246">
        <v>497</v>
      </c>
      <c r="E183" s="248">
        <f>C183+D183</f>
        <v>1122</v>
      </c>
      <c r="F183" s="246">
        <v>576</v>
      </c>
      <c r="G183" s="248">
        <f>E183+F183</f>
        <v>1698</v>
      </c>
      <c r="H183" s="246">
        <v>418</v>
      </c>
      <c r="I183" s="248">
        <f>F183+H183</f>
        <v>994</v>
      </c>
      <c r="J183" s="248">
        <f>E183+I183</f>
        <v>2116</v>
      </c>
      <c r="K183" s="248">
        <f>K184*K102/100</f>
        <v>679.46100233559469</v>
      </c>
      <c r="L183" s="248">
        <f>M183-K183</f>
        <v>578.85893612342898</v>
      </c>
      <c r="M183" s="248">
        <f>M184*M102/100</f>
        <v>1258.3199384590237</v>
      </c>
      <c r="N183" s="248">
        <f>O183-M183</f>
        <v>622.61284445437036</v>
      </c>
      <c r="O183" s="248">
        <f>O184*O102/100</f>
        <v>1880.932782913394</v>
      </c>
      <c r="P183" s="248">
        <f>P184*P102/100</f>
        <v>419.5451808014821</v>
      </c>
      <c r="Q183" s="248">
        <f>P183+N183</f>
        <v>1042.1580252558524</v>
      </c>
      <c r="R183" s="248">
        <f>Q183+M183</f>
        <v>2300.4779637148758</v>
      </c>
      <c r="S183" s="248">
        <f t="shared" ref="S183:AA183" si="594">S184*S102/100</f>
        <v>2643.3754970225755</v>
      </c>
      <c r="T183" s="248">
        <f t="shared" si="594"/>
        <v>2911.430592972763</v>
      </c>
      <c r="U183" s="248">
        <f t="shared" si="594"/>
        <v>3151.0654199823848</v>
      </c>
      <c r="V183" s="248">
        <f t="shared" si="594"/>
        <v>3410.4446689632691</v>
      </c>
      <c r="W183" s="248">
        <f t="shared" si="594"/>
        <v>3691.1961108027758</v>
      </c>
      <c r="X183" s="248">
        <f t="shared" si="594"/>
        <v>3959.6457077807868</v>
      </c>
      <c r="Y183" s="248">
        <f t="shared" si="594"/>
        <v>4235.1410100313278</v>
      </c>
      <c r="Z183" s="248">
        <f t="shared" si="594"/>
        <v>4529.820189601759</v>
      </c>
      <c r="AA183" s="248">
        <f t="shared" si="594"/>
        <v>4845.020070274214</v>
      </c>
    </row>
    <row r="184" spans="2:27" x14ac:dyDescent="0.2">
      <c r="B184" s="116" t="s">
        <v>326</v>
      </c>
      <c r="C184" s="152">
        <f t="shared" ref="C184:J184" si="595">C183/C$102</f>
        <v>0.35816618911174786</v>
      </c>
      <c r="D184" s="152">
        <f t="shared" si="595"/>
        <v>0.33244147157190634</v>
      </c>
      <c r="E184" s="152">
        <f t="shared" si="595"/>
        <v>0.34629629629629627</v>
      </c>
      <c r="F184" s="152">
        <f t="shared" si="595"/>
        <v>0.34615384615384615</v>
      </c>
      <c r="G184" s="152">
        <f t="shared" si="595"/>
        <v>0.34624796084828713</v>
      </c>
      <c r="H184" s="152">
        <f t="shared" si="595"/>
        <v>0.27885256837891925</v>
      </c>
      <c r="I184" s="152">
        <f t="shared" si="595"/>
        <v>0.31425861523869741</v>
      </c>
      <c r="J184" s="152">
        <f t="shared" si="595"/>
        <v>0.33047009214430734</v>
      </c>
      <c r="K184" s="257">
        <v>36.5</v>
      </c>
      <c r="L184" s="256">
        <f t="shared" ref="L184" si="596">L183/L$102%</f>
        <v>35.430303171460444</v>
      </c>
      <c r="M184" s="257">
        <v>36</v>
      </c>
      <c r="N184" s="256">
        <f t="shared" ref="N184" si="597">N183/N$102%</f>
        <v>33.139553627695093</v>
      </c>
      <c r="O184" s="257">
        <v>35</v>
      </c>
      <c r="P184" s="257">
        <v>25</v>
      </c>
      <c r="Q184" s="256">
        <f t="shared" ref="Q184:R184" si="598">Q183/Q$102%</f>
        <v>29.299275949629738</v>
      </c>
      <c r="R184" s="256">
        <f t="shared" si="598"/>
        <v>32.620369499659013</v>
      </c>
      <c r="S184" s="257">
        <v>33.5</v>
      </c>
      <c r="T184" s="257">
        <f>S184+0.1</f>
        <v>33.6</v>
      </c>
      <c r="U184" s="257">
        <f>T184+0.1</f>
        <v>33.700000000000003</v>
      </c>
      <c r="V184" s="257">
        <f>U184+0.1</f>
        <v>33.800000000000004</v>
      </c>
      <c r="W184" s="257">
        <f>V184+0.1</f>
        <v>33.900000000000006</v>
      </c>
      <c r="X184" s="257">
        <f>W184+0.1</f>
        <v>34.000000000000007</v>
      </c>
      <c r="Y184" s="257">
        <f t="shared" ref="Y184:Z184" si="599">X184</f>
        <v>34.000000000000007</v>
      </c>
      <c r="Z184" s="257">
        <f t="shared" si="599"/>
        <v>34.000000000000007</v>
      </c>
      <c r="AA184" s="257">
        <f>Z184</f>
        <v>34.000000000000007</v>
      </c>
    </row>
    <row r="185" spans="2:27" x14ac:dyDescent="0.2">
      <c r="B185" s="116" t="s">
        <v>225</v>
      </c>
      <c r="C185" s="154" t="s">
        <v>274</v>
      </c>
      <c r="D185" s="154" t="s">
        <v>274</v>
      </c>
      <c r="E185" s="154" t="s">
        <v>274</v>
      </c>
      <c r="F185" s="154" t="s">
        <v>274</v>
      </c>
      <c r="G185" s="154" t="s">
        <v>274</v>
      </c>
      <c r="H185" s="154" t="s">
        <v>274</v>
      </c>
      <c r="I185" s="154" t="s">
        <v>274</v>
      </c>
      <c r="J185" s="154" t="s">
        <v>274</v>
      </c>
      <c r="K185" s="261">
        <f>(K183-C183)/C183%</f>
        <v>8.7137603736951501</v>
      </c>
      <c r="L185" s="261">
        <f t="shared" ref="L185" si="600">(L183-D183)/D183%</f>
        <v>16.470610890025952</v>
      </c>
      <c r="M185" s="261">
        <f t="shared" ref="M185" si="601">(M183-E183)/E183%</f>
        <v>12.149727135385353</v>
      </c>
      <c r="N185" s="261">
        <f t="shared" ref="N185" si="602">(N183-F183)/F183%</f>
        <v>8.0925077177726319</v>
      </c>
      <c r="O185" s="261">
        <f t="shared" ref="O185" si="603">(O183-G183)/G183%</f>
        <v>10.77342655555913</v>
      </c>
      <c r="P185" s="261">
        <f t="shared" ref="P185" si="604">(P183-H183)/H183%</f>
        <v>0.36966047882346986</v>
      </c>
      <c r="Q185" s="261">
        <f t="shared" ref="Q185" si="605">(Q183-I183)/I183%</f>
        <v>4.8448717561219725</v>
      </c>
      <c r="R185" s="261">
        <f t="shared" ref="R185" si="606">(R183-J183)/J183%</f>
        <v>8.7182402511756063</v>
      </c>
      <c r="S185" s="261">
        <f>(S183-R183)/R183%</f>
        <v>14.905490889987886</v>
      </c>
      <c r="T185" s="261">
        <f t="shared" ref="T185:AA185" si="607">(T183-S183)/S183%</f>
        <v>10.140636328516976</v>
      </c>
      <c r="U185" s="261">
        <f t="shared" si="607"/>
        <v>8.2308274010729168</v>
      </c>
      <c r="V185" s="261">
        <f t="shared" si="607"/>
        <v>8.231477751494424</v>
      </c>
      <c r="W185" s="261">
        <f t="shared" si="607"/>
        <v>8.2321066339085789</v>
      </c>
      <c r="X185" s="261">
        <f t="shared" si="607"/>
        <v>7.2726993884816231</v>
      </c>
      <c r="Y185" s="261">
        <f t="shared" si="607"/>
        <v>6.957574555450428</v>
      </c>
      <c r="Z185" s="261">
        <f t="shared" si="607"/>
        <v>6.9579543838671709</v>
      </c>
      <c r="AA185" s="261">
        <f t="shared" si="607"/>
        <v>6.9583309597144511</v>
      </c>
    </row>
    <row r="186" spans="2:27" x14ac:dyDescent="0.2">
      <c r="B186" s="116"/>
    </row>
    <row r="187" spans="2:27" x14ac:dyDescent="0.2">
      <c r="B187" s="101" t="s">
        <v>111</v>
      </c>
      <c r="C187" s="246">
        <v>49</v>
      </c>
      <c r="D187" s="246">
        <v>47</v>
      </c>
      <c r="E187" s="248">
        <f>C187+D187</f>
        <v>96</v>
      </c>
      <c r="F187" s="246">
        <v>68</v>
      </c>
      <c r="G187" s="248">
        <f>E187+F187</f>
        <v>164</v>
      </c>
      <c r="H187" s="246">
        <v>103</v>
      </c>
      <c r="I187" s="248">
        <f>F187+H187</f>
        <v>171</v>
      </c>
      <c r="J187" s="248">
        <f>E187+I187</f>
        <v>267</v>
      </c>
      <c r="K187" s="248">
        <f>K188*K107/100</f>
        <v>46.433546564593627</v>
      </c>
      <c r="L187" s="248">
        <f>M187-K187</f>
        <v>31.464430671882454</v>
      </c>
      <c r="M187" s="248">
        <f>M188*M107/100</f>
        <v>77.897977236476081</v>
      </c>
      <c r="N187" s="248">
        <f>O187-M187</f>
        <v>71.940470136847111</v>
      </c>
      <c r="O187" s="248">
        <f>O188*O107/100</f>
        <v>149.83844737332319</v>
      </c>
      <c r="P187" s="248">
        <f>P188*P107/100</f>
        <v>92.485452812481057</v>
      </c>
      <c r="Q187" s="248">
        <f>P187+N187</f>
        <v>164.42592294932817</v>
      </c>
      <c r="R187" s="248">
        <f>Q187+M187</f>
        <v>242.32390018580423</v>
      </c>
      <c r="S187" s="248">
        <f t="shared" ref="S187:AA187" si="608">S188*S107/100</f>
        <v>264.12194847879738</v>
      </c>
      <c r="T187" s="248">
        <f t="shared" si="608"/>
        <v>282.6835139909536</v>
      </c>
      <c r="U187" s="248">
        <f t="shared" si="608"/>
        <v>305.72228113148526</v>
      </c>
      <c r="V187" s="248">
        <f t="shared" si="608"/>
        <v>324.32209372899166</v>
      </c>
      <c r="W187" s="248">
        <f t="shared" si="608"/>
        <v>350.30654472654749</v>
      </c>
      <c r="X187" s="248">
        <f t="shared" si="608"/>
        <v>378.04726332069907</v>
      </c>
      <c r="Y187" s="248">
        <f t="shared" si="608"/>
        <v>412.26069643761957</v>
      </c>
      <c r="Z187" s="248">
        <f t="shared" si="608"/>
        <v>446.48515858777023</v>
      </c>
      <c r="AA187" s="248">
        <f t="shared" si="608"/>
        <v>483.05878206236002</v>
      </c>
    </row>
    <row r="188" spans="2:27" x14ac:dyDescent="0.2">
      <c r="B188" s="116" t="s">
        <v>326</v>
      </c>
      <c r="C188" s="152">
        <f t="shared" ref="C188:N188" si="609">C187/C$107</f>
        <v>0.10792951541850221</v>
      </c>
      <c r="D188" s="152">
        <f t="shared" si="609"/>
        <v>0.10681818181818181</v>
      </c>
      <c r="E188" s="152">
        <f t="shared" si="609"/>
        <v>0.10738255033557047</v>
      </c>
      <c r="F188" s="152">
        <f t="shared" si="609"/>
        <v>0.13545816733067728</v>
      </c>
      <c r="G188" s="152">
        <f t="shared" si="609"/>
        <v>0.1174785100286533</v>
      </c>
      <c r="H188" s="152">
        <f t="shared" si="609"/>
        <v>0.20196078431372549</v>
      </c>
      <c r="I188" s="152">
        <f t="shared" si="609"/>
        <v>0.16897233201581027</v>
      </c>
      <c r="J188" s="152">
        <f t="shared" si="609"/>
        <v>0.14008394543546696</v>
      </c>
      <c r="K188" s="257">
        <v>13</v>
      </c>
      <c r="L188" s="152">
        <f t="shared" si="609"/>
        <v>8.9646772764209237E-2</v>
      </c>
      <c r="M188" s="257">
        <v>11</v>
      </c>
      <c r="N188" s="152">
        <f t="shared" si="609"/>
        <v>0.16186767214670708</v>
      </c>
      <c r="O188" s="257">
        <v>13</v>
      </c>
      <c r="P188" s="257">
        <v>20</v>
      </c>
      <c r="Q188" s="152">
        <f t="shared" ref="Q188" si="610">Q187/Q$107</f>
        <v>0.18131200375808498</v>
      </c>
      <c r="R188" s="152">
        <f t="shared" ref="R188" si="611">R187/R$107</f>
        <v>0.15004290591889285</v>
      </c>
      <c r="S188" s="257">
        <v>15.3</v>
      </c>
      <c r="T188" s="257">
        <f>S188+0.2</f>
        <v>15.5</v>
      </c>
      <c r="U188" s="257">
        <f>T188+0.5</f>
        <v>16</v>
      </c>
      <c r="V188" s="257">
        <f t="shared" ref="V188" si="612">U188+0.2</f>
        <v>16.2</v>
      </c>
      <c r="W188" s="257">
        <f>V188+0.5</f>
        <v>16.7</v>
      </c>
      <c r="X188" s="257">
        <f t="shared" ref="X188" si="613">W188+0.5</f>
        <v>17.2</v>
      </c>
      <c r="Y188" s="257">
        <f>X188+0.7</f>
        <v>17.899999999999999</v>
      </c>
      <c r="Z188" s="257">
        <f t="shared" ref="Z188:AA188" si="614">Y188+0.6</f>
        <v>18.5</v>
      </c>
      <c r="AA188" s="257">
        <f t="shared" si="614"/>
        <v>19.100000000000001</v>
      </c>
    </row>
    <row r="189" spans="2:27" x14ac:dyDescent="0.2">
      <c r="B189" s="116" t="s">
        <v>225</v>
      </c>
      <c r="C189" s="154" t="s">
        <v>274</v>
      </c>
      <c r="D189" s="154" t="s">
        <v>274</v>
      </c>
      <c r="E189" s="154" t="s">
        <v>274</v>
      </c>
      <c r="F189" s="154" t="s">
        <v>274</v>
      </c>
      <c r="G189" s="154" t="s">
        <v>274</v>
      </c>
      <c r="H189" s="154" t="s">
        <v>274</v>
      </c>
      <c r="I189" s="154" t="s">
        <v>274</v>
      </c>
      <c r="J189" s="154" t="s">
        <v>274</v>
      </c>
      <c r="K189" s="261">
        <f>(K187-C187)/C187%</f>
        <v>-5.2376600722579045</v>
      </c>
      <c r="L189" s="261">
        <f t="shared" ref="L189" si="615">(L187-D187)/D187%</f>
        <v>-33.054402825782013</v>
      </c>
      <c r="M189" s="261">
        <f t="shared" ref="M189" si="616">(M187-E187)/E187%</f>
        <v>-18.856273712004082</v>
      </c>
      <c r="N189" s="261">
        <f t="shared" ref="N189" si="617">(N187-F187)/F187%</f>
        <v>5.7948090247751622</v>
      </c>
      <c r="O189" s="261">
        <f t="shared" ref="O189" si="618">(O187-G187)/G187%</f>
        <v>-8.6350930650468349</v>
      </c>
      <c r="P189" s="261">
        <f t="shared" ref="P189" si="619">(P187-H187)/H187%</f>
        <v>-10.208298240309652</v>
      </c>
      <c r="Q189" s="261">
        <f t="shared" ref="Q189" si="620">(Q187-I187)/I187%</f>
        <v>-3.8444895033168609</v>
      </c>
      <c r="R189" s="261">
        <f t="shared" ref="R189" si="621">(R187-J187)/J187%</f>
        <v>-9.2419849491369916</v>
      </c>
      <c r="S189" s="261">
        <f>(S187-R187)/R187%</f>
        <v>8.9954182300133319</v>
      </c>
      <c r="T189" s="261">
        <f t="shared" ref="T189:AA189" si="622">(T187-S187)/S187%</f>
        <v>7.0276497727890526</v>
      </c>
      <c r="U189" s="261">
        <f t="shared" si="622"/>
        <v>8.1500214905595616</v>
      </c>
      <c r="V189" s="261">
        <f t="shared" si="622"/>
        <v>6.083891736208451</v>
      </c>
      <c r="W189" s="261">
        <f t="shared" si="622"/>
        <v>8.0119274942979413</v>
      </c>
      <c r="X189" s="261">
        <f t="shared" si="622"/>
        <v>7.9189838191022801</v>
      </c>
      <c r="Y189" s="261">
        <f t="shared" si="622"/>
        <v>9.0500412081801258</v>
      </c>
      <c r="Z189" s="261">
        <f t="shared" si="622"/>
        <v>8.3016553471837611</v>
      </c>
      <c r="AA189" s="261">
        <f t="shared" si="622"/>
        <v>8.1914533487007581</v>
      </c>
    </row>
    <row r="190" spans="2:27" x14ac:dyDescent="0.2">
      <c r="B190" s="116"/>
    </row>
    <row r="191" spans="2:27" x14ac:dyDescent="0.2">
      <c r="B191" s="101" t="s">
        <v>234</v>
      </c>
      <c r="C191" s="246">
        <v>97</v>
      </c>
      <c r="D191" s="246">
        <v>61</v>
      </c>
      <c r="E191" s="248">
        <f>C191+D191</f>
        <v>158</v>
      </c>
      <c r="F191" s="246">
        <v>110</v>
      </c>
      <c r="G191" s="248">
        <f>E191+F191</f>
        <v>268</v>
      </c>
      <c r="H191" s="246">
        <v>58</v>
      </c>
      <c r="I191" s="248">
        <f>F191+H191</f>
        <v>168</v>
      </c>
      <c r="J191" s="248">
        <f>E191+I191</f>
        <v>326</v>
      </c>
      <c r="K191" s="248">
        <f>K192*K112/100</f>
        <v>93.322054979294805</v>
      </c>
      <c r="L191" s="248">
        <f>M191-K191</f>
        <v>60.343122699476041</v>
      </c>
      <c r="M191" s="248">
        <f>M192*M112/100</f>
        <v>153.66517767877085</v>
      </c>
      <c r="N191" s="248">
        <f>O191-M191</f>
        <v>111.58239244559817</v>
      </c>
      <c r="O191" s="248">
        <f>O192*O112/100</f>
        <v>265.24757012436902</v>
      </c>
      <c r="P191" s="248">
        <f>P192*P112/100</f>
        <v>58.315244571940795</v>
      </c>
      <c r="Q191" s="248">
        <f>P191+N191</f>
        <v>169.89763701753895</v>
      </c>
      <c r="R191" s="248">
        <f>Q191+M191</f>
        <v>323.56281469630983</v>
      </c>
      <c r="S191" s="248">
        <f t="shared" ref="S191:AA191" si="623">S192*S112/100</f>
        <v>344.03024083990334</v>
      </c>
      <c r="T191" s="248">
        <f t="shared" si="623"/>
        <v>365.33574717101453</v>
      </c>
      <c r="U191" s="248">
        <f t="shared" si="623"/>
        <v>390.55965713559641</v>
      </c>
      <c r="V191" s="248">
        <f t="shared" si="623"/>
        <v>411.2205434905689</v>
      </c>
      <c r="W191" s="248">
        <f t="shared" si="623"/>
        <v>434.58757451482876</v>
      </c>
      <c r="X191" s="248">
        <f t="shared" si="623"/>
        <v>459.26088483149761</v>
      </c>
      <c r="Y191" s="248">
        <f t="shared" si="623"/>
        <v>488.86802684458416</v>
      </c>
      <c r="Z191" s="248">
        <f t="shared" si="623"/>
        <v>516.54847753989486</v>
      </c>
      <c r="AA191" s="248">
        <f t="shared" si="623"/>
        <v>545.77227783767989</v>
      </c>
    </row>
    <row r="192" spans="2:27" x14ac:dyDescent="0.2">
      <c r="B192" s="116" t="s">
        <v>326</v>
      </c>
      <c r="C192" s="152">
        <f t="shared" ref="C192:L192" si="624">C191/C$112</f>
        <v>0.26430517711171664</v>
      </c>
      <c r="D192" s="152">
        <f t="shared" si="624"/>
        <v>0.22021660649819494</v>
      </c>
      <c r="E192" s="152">
        <f t="shared" si="624"/>
        <v>0.24534161490683229</v>
      </c>
      <c r="F192" s="152">
        <f t="shared" si="624"/>
        <v>0.29255319148936171</v>
      </c>
      <c r="G192" s="152">
        <f t="shared" si="624"/>
        <v>0.2627450980392157</v>
      </c>
      <c r="H192" s="152">
        <f t="shared" si="624"/>
        <v>0.20640569395017794</v>
      </c>
      <c r="I192" s="152">
        <f t="shared" si="624"/>
        <v>0.25570776255707761</v>
      </c>
      <c r="J192" s="152">
        <f t="shared" si="624"/>
        <v>0.25057647963105306</v>
      </c>
      <c r="K192" s="257">
        <v>28</v>
      </c>
      <c r="L192" s="152">
        <f t="shared" si="624"/>
        <v>0.23413594744026422</v>
      </c>
      <c r="M192" s="257">
        <v>26</v>
      </c>
      <c r="N192" s="256">
        <f t="shared" ref="N192" si="625">N191/N$112%</f>
        <v>29.873467800981309</v>
      </c>
      <c r="O192" s="257">
        <v>27.5</v>
      </c>
      <c r="P192" s="257">
        <v>21</v>
      </c>
      <c r="Q192" s="152">
        <f t="shared" ref="Q192" si="626">Q191/Q$112</f>
        <v>0.26089597629204314</v>
      </c>
      <c r="R192" s="152">
        <f t="shared" ref="R192" si="627">R191/R$112</f>
        <v>0.26046969406317466</v>
      </c>
      <c r="S192" s="257">
        <v>26</v>
      </c>
      <c r="T192" s="257">
        <f>S192+0.1</f>
        <v>26.1</v>
      </c>
      <c r="U192" s="257">
        <f>T192+0.5</f>
        <v>26.6</v>
      </c>
      <c r="V192" s="257">
        <f t="shared" ref="V192" si="628">U192+0.1</f>
        <v>26.700000000000003</v>
      </c>
      <c r="W192" s="257">
        <f>V192+0.2</f>
        <v>26.900000000000002</v>
      </c>
      <c r="X192" s="257">
        <f t="shared" ref="X192:AA192" si="629">W192+0.2</f>
        <v>27.1</v>
      </c>
      <c r="Y192" s="257">
        <f>X192+0.4</f>
        <v>27.5</v>
      </c>
      <c r="Z192" s="257">
        <f t="shared" si="629"/>
        <v>27.7</v>
      </c>
      <c r="AA192" s="257">
        <f t="shared" si="629"/>
        <v>27.9</v>
      </c>
    </row>
    <row r="193" spans="2:27" x14ac:dyDescent="0.2">
      <c r="B193" s="116" t="s">
        <v>225</v>
      </c>
      <c r="C193" s="154" t="s">
        <v>274</v>
      </c>
      <c r="D193" s="154" t="s">
        <v>274</v>
      </c>
      <c r="E193" s="154" t="s">
        <v>274</v>
      </c>
      <c r="F193" s="154" t="s">
        <v>274</v>
      </c>
      <c r="G193" s="154" t="s">
        <v>274</v>
      </c>
      <c r="H193" s="154" t="s">
        <v>274</v>
      </c>
      <c r="I193" s="154" t="s">
        <v>274</v>
      </c>
      <c r="J193" s="154" t="s">
        <v>274</v>
      </c>
      <c r="K193" s="261">
        <f>(K191-C191)/C191%</f>
        <v>-3.7916958976342219</v>
      </c>
      <c r="L193" s="261">
        <f t="shared" ref="L193" si="630">(L191-D191)/D191%</f>
        <v>-1.0768480336458348</v>
      </c>
      <c r="M193" s="261">
        <f t="shared" ref="M193" si="631">(M191-E191)/E191%</f>
        <v>-2.7435584311576924</v>
      </c>
      <c r="N193" s="261">
        <f t="shared" ref="N193" si="632">(N191-F191)/F191%</f>
        <v>1.4385385869074307</v>
      </c>
      <c r="O193" s="261">
        <f t="shared" ref="O193" si="633">(O191-G191)/G191%</f>
        <v>-1.0270260729966345</v>
      </c>
      <c r="P193" s="261">
        <f t="shared" ref="P193" si="634">(P191-H191)/H191%</f>
        <v>0.54352512403585351</v>
      </c>
      <c r="Q193" s="261">
        <f t="shared" ref="Q193" si="635">(Q191-I191)/I191%</f>
        <v>1.1295458437731873</v>
      </c>
      <c r="R193" s="261">
        <f t="shared" ref="R193" si="636">(R191-J191)/J191%</f>
        <v>-0.74760285389269054</v>
      </c>
      <c r="S193" s="261">
        <f>(S191-R191)/R191%</f>
        <v>6.3256422598511106</v>
      </c>
      <c r="T193" s="261">
        <f t="shared" ref="T193:AA193" si="637">(T191-S191)/S191%</f>
        <v>6.1929167270576784</v>
      </c>
      <c r="U193" s="261">
        <f t="shared" si="637"/>
        <v>6.9043092990225521</v>
      </c>
      <c r="V193" s="261">
        <f t="shared" si="637"/>
        <v>5.2900718180934243</v>
      </c>
      <c r="W193" s="261">
        <f t="shared" si="637"/>
        <v>5.6823598417319268</v>
      </c>
      <c r="X193" s="261">
        <f t="shared" si="637"/>
        <v>5.6774081367176681</v>
      </c>
      <c r="Y193" s="261">
        <f t="shared" si="637"/>
        <v>6.4466935876651883</v>
      </c>
      <c r="Z193" s="261">
        <f t="shared" si="637"/>
        <v>5.6621519869023009</v>
      </c>
      <c r="AA193" s="261">
        <f t="shared" si="637"/>
        <v>5.6575135865206327</v>
      </c>
    </row>
    <row r="194" spans="2:27" x14ac:dyDescent="0.2">
      <c r="B194" s="116"/>
    </row>
    <row r="195" spans="2:27" x14ac:dyDescent="0.2">
      <c r="B195" s="101" t="s">
        <v>422</v>
      </c>
      <c r="C195" s="246">
        <v>13</v>
      </c>
      <c r="D195" s="246">
        <v>45</v>
      </c>
      <c r="E195" s="248">
        <f>C195+D195</f>
        <v>58</v>
      </c>
      <c r="F195" s="246">
        <v>47</v>
      </c>
      <c r="G195" s="248">
        <f>E195+F195</f>
        <v>105</v>
      </c>
      <c r="H195" s="246">
        <v>31</v>
      </c>
      <c r="I195" s="248">
        <f>F195+H195</f>
        <v>78</v>
      </c>
      <c r="J195" s="248">
        <f>E195+I195</f>
        <v>136</v>
      </c>
      <c r="K195" s="248">
        <f>K196*K117/100</f>
        <v>13.159530046183784</v>
      </c>
      <c r="L195" s="248">
        <f>M195-K195</f>
        <v>39.079145715965275</v>
      </c>
      <c r="M195" s="248">
        <f>M196*M117/100</f>
        <v>52.238675762149057</v>
      </c>
      <c r="N195" s="248">
        <f>O195-M195</f>
        <v>43.539628097038275</v>
      </c>
      <c r="O195" s="248">
        <f>O196*O117/100</f>
        <v>95.778303859187332</v>
      </c>
      <c r="P195" s="248">
        <f>P196*P117/100</f>
        <v>26.298140298170335</v>
      </c>
      <c r="Q195" s="248">
        <f>P195+N195</f>
        <v>69.837768395208613</v>
      </c>
      <c r="R195" s="248">
        <f>Q195+M195</f>
        <v>122.07644415735767</v>
      </c>
      <c r="S195" s="248">
        <f t="shared" ref="S195:AA195" si="638">S196*S117/100</f>
        <v>125.47632320391827</v>
      </c>
      <c r="T195" s="248">
        <f t="shared" si="638"/>
        <v>129.24061290003584</v>
      </c>
      <c r="U195" s="248">
        <f t="shared" si="638"/>
        <v>134.38562015643728</v>
      </c>
      <c r="V195" s="248">
        <f t="shared" si="638"/>
        <v>138.04826484217043</v>
      </c>
      <c r="W195" s="248">
        <f t="shared" si="638"/>
        <v>141.81341039009638</v>
      </c>
      <c r="X195" s="248">
        <f t="shared" si="638"/>
        <v>145.68398425651333</v>
      </c>
      <c r="Y195" s="248">
        <f t="shared" si="638"/>
        <v>149.66299877001708</v>
      </c>
      <c r="Z195" s="248">
        <f t="shared" si="638"/>
        <v>153.75355361864212</v>
      </c>
      <c r="AA195" s="248">
        <f t="shared" si="638"/>
        <v>157.95883841043641</v>
      </c>
    </row>
    <row r="196" spans="2:27" x14ac:dyDescent="0.2">
      <c r="B196" s="116" t="s">
        <v>326</v>
      </c>
      <c r="C196" s="152">
        <f t="shared" ref="C196:N196" si="639">C195/C$117</f>
        <v>8.1250000000000003E-2</v>
      </c>
      <c r="D196" s="152">
        <f t="shared" si="639"/>
        <v>0.24861878453038674</v>
      </c>
      <c r="E196" s="152">
        <f t="shared" si="639"/>
        <v>0.17008797653958943</v>
      </c>
      <c r="F196" s="152">
        <f t="shared" si="639"/>
        <v>0.27167630057803466</v>
      </c>
      <c r="G196" s="152">
        <f t="shared" si="639"/>
        <v>0.20428015564202334</v>
      </c>
      <c r="H196" s="152">
        <f t="shared" si="639"/>
        <v>0.21088435374149661</v>
      </c>
      <c r="I196" s="152">
        <f t="shared" si="639"/>
        <v>0.24374999999999999</v>
      </c>
      <c r="J196" s="152">
        <f t="shared" si="639"/>
        <v>0.20574886535552195</v>
      </c>
      <c r="K196" s="257">
        <v>9.1999999999999993</v>
      </c>
      <c r="L196" s="152">
        <f t="shared" si="639"/>
        <v>0.25413646572816734</v>
      </c>
      <c r="M196" s="257">
        <v>17.600000000000001</v>
      </c>
      <c r="N196" s="152">
        <f t="shared" si="639"/>
        <v>0.27335876379578844</v>
      </c>
      <c r="O196" s="257">
        <v>21</v>
      </c>
      <c r="P196" s="257">
        <v>19.5</v>
      </c>
      <c r="Q196" s="152">
        <f t="shared" ref="Q196:R196" si="640">Q195/Q$117</f>
        <v>0.23743136761273398</v>
      </c>
      <c r="R196" s="152">
        <f t="shared" si="640"/>
        <v>0.20657680707780532</v>
      </c>
      <c r="S196" s="257">
        <v>21</v>
      </c>
      <c r="T196" s="257">
        <f>S196</f>
        <v>21</v>
      </c>
      <c r="U196" s="257">
        <f>T196+0.2</f>
        <v>21.2</v>
      </c>
      <c r="V196" s="257">
        <f t="shared" ref="V196:AA196" si="641">U196</f>
        <v>21.2</v>
      </c>
      <c r="W196" s="257">
        <f t="shared" si="641"/>
        <v>21.2</v>
      </c>
      <c r="X196" s="257">
        <f t="shared" si="641"/>
        <v>21.2</v>
      </c>
      <c r="Y196" s="257">
        <f t="shared" si="641"/>
        <v>21.2</v>
      </c>
      <c r="Z196" s="257">
        <f t="shared" si="641"/>
        <v>21.2</v>
      </c>
      <c r="AA196" s="257">
        <f t="shared" si="641"/>
        <v>21.2</v>
      </c>
    </row>
    <row r="197" spans="2:27" x14ac:dyDescent="0.2">
      <c r="B197" s="116" t="s">
        <v>225</v>
      </c>
      <c r="C197" s="154" t="s">
        <v>274</v>
      </c>
      <c r="D197" s="154" t="s">
        <v>274</v>
      </c>
      <c r="E197" s="154" t="s">
        <v>274</v>
      </c>
      <c r="F197" s="154" t="s">
        <v>274</v>
      </c>
      <c r="G197" s="154" t="s">
        <v>274</v>
      </c>
      <c r="H197" s="154" t="s">
        <v>274</v>
      </c>
      <c r="I197" s="154" t="s">
        <v>274</v>
      </c>
      <c r="J197" s="154" t="s">
        <v>274</v>
      </c>
      <c r="K197" s="261">
        <f>(K195-C195)/C195%</f>
        <v>1.2271542014137236</v>
      </c>
      <c r="L197" s="261">
        <f t="shared" ref="L197" si="642">(L195-D195)/D195%</f>
        <v>-13.157453964521611</v>
      </c>
      <c r="M197" s="261">
        <f t="shared" ref="M197" si="643">(M195-E195)/E195%</f>
        <v>-9.933317651467144</v>
      </c>
      <c r="N197" s="261">
        <f t="shared" ref="N197" si="644">(N195-F195)/F195%</f>
        <v>-7.3624934105568629</v>
      </c>
      <c r="O197" s="261">
        <f t="shared" ref="O197" si="645">(O195-G195)/G195%</f>
        <v>-8.7825677531549218</v>
      </c>
      <c r="P197" s="261">
        <f t="shared" ref="P197" si="646">(P195-H195)/H195%</f>
        <v>-15.167289360740856</v>
      </c>
      <c r="Q197" s="261">
        <f t="shared" ref="Q197" si="647">(Q195-I195)/I195%</f>
        <v>-10.46439949332229</v>
      </c>
      <c r="R197" s="261">
        <f t="shared" ref="R197" si="648">(R195-J195)/J195%</f>
        <v>-10.237908707825241</v>
      </c>
      <c r="S197" s="261">
        <f>(S195-R195)/R195%</f>
        <v>2.7850410208361929</v>
      </c>
      <c r="T197" s="261">
        <f t="shared" ref="T197:AA197" si="649">(T195-S195)/S195%</f>
        <v>3.0000000000000195</v>
      </c>
      <c r="U197" s="261">
        <f t="shared" si="649"/>
        <v>3.980952380952393</v>
      </c>
      <c r="V197" s="261">
        <f t="shared" si="649"/>
        <v>2.7254736641237987</v>
      </c>
      <c r="W197" s="261">
        <f t="shared" si="649"/>
        <v>2.7274124395772863</v>
      </c>
      <c r="X197" s="261">
        <f t="shared" si="649"/>
        <v>2.7293426311163946</v>
      </c>
      <c r="Y197" s="261">
        <f t="shared" si="649"/>
        <v>2.7312642043738311</v>
      </c>
      <c r="Z197" s="261">
        <f t="shared" si="649"/>
        <v>2.7331771261050792</v>
      </c>
      <c r="AA197" s="261">
        <f t="shared" si="649"/>
        <v>2.7350813641841065</v>
      </c>
    </row>
    <row r="198" spans="2:27" x14ac:dyDescent="0.2">
      <c r="B198" s="116"/>
    </row>
    <row r="199" spans="2:27" x14ac:dyDescent="0.2">
      <c r="B199" s="101" t="s">
        <v>429</v>
      </c>
      <c r="C199" s="246">
        <v>30</v>
      </c>
      <c r="D199" s="246">
        <v>20</v>
      </c>
      <c r="E199" s="248">
        <f>C199+D199</f>
        <v>50</v>
      </c>
      <c r="F199" s="246">
        <v>20</v>
      </c>
      <c r="G199" s="248">
        <f>E199+F199</f>
        <v>70</v>
      </c>
      <c r="H199" s="246">
        <v>-2</v>
      </c>
      <c r="I199" s="248">
        <f>F199+H199</f>
        <v>18</v>
      </c>
      <c r="J199" s="248">
        <f>E199+I199</f>
        <v>68</v>
      </c>
      <c r="K199" s="248">
        <f>K128*K200/100</f>
        <v>38.56126425232106</v>
      </c>
      <c r="L199" s="248">
        <f>M199-K199</f>
        <v>14.782288777751056</v>
      </c>
      <c r="M199" s="248">
        <f>M128*M200/100</f>
        <v>53.343553030072115</v>
      </c>
      <c r="N199" s="248">
        <f>O199-M199</f>
        <v>22.213091880655597</v>
      </c>
      <c r="O199" s="248">
        <f>O128*O200/100</f>
        <v>75.556644910727712</v>
      </c>
      <c r="P199" s="248">
        <f>P128*P200/100</f>
        <v>4.8107745247363498</v>
      </c>
      <c r="Q199" s="248">
        <f>P199+N199</f>
        <v>27.023866405391946</v>
      </c>
      <c r="R199" s="248">
        <f>Q199+M199</f>
        <v>80.367419435464058</v>
      </c>
      <c r="S199" s="248">
        <f t="shared" ref="S199:AA199" si="650">S128*S200/100</f>
        <v>85.752256280845728</v>
      </c>
      <c r="T199" s="248">
        <f t="shared" si="650"/>
        <v>88.582080738113618</v>
      </c>
      <c r="U199" s="248">
        <f t="shared" si="650"/>
        <v>99.437412086747898</v>
      </c>
      <c r="V199" s="248">
        <f t="shared" si="650"/>
        <v>101.82390997682984</v>
      </c>
      <c r="W199" s="248">
        <f t="shared" si="650"/>
        <v>112.9566574676299</v>
      </c>
      <c r="X199" s="248">
        <f t="shared" si="650"/>
        <v>124.56512626584171</v>
      </c>
      <c r="Y199" s="248">
        <f t="shared" si="650"/>
        <v>136.66573853166634</v>
      </c>
      <c r="Z199" s="248">
        <f t="shared" si="650"/>
        <v>149.27543067352141</v>
      </c>
      <c r="AA199" s="248">
        <f t="shared" si="650"/>
        <v>162.41166857279131</v>
      </c>
    </row>
    <row r="200" spans="2:27" x14ac:dyDescent="0.2">
      <c r="B200" s="116" t="s">
        <v>326</v>
      </c>
      <c r="C200" s="152">
        <f t="shared" ref="C200:N200" si="651">C199/C$128</f>
        <v>0.15228426395939088</v>
      </c>
      <c r="D200" s="152">
        <f t="shared" si="651"/>
        <v>0.10101010101010101</v>
      </c>
      <c r="E200" s="152">
        <f t="shared" si="651"/>
        <v>0.12658227848101267</v>
      </c>
      <c r="F200" s="152">
        <f t="shared" si="651"/>
        <v>0.10416666666666667</v>
      </c>
      <c r="G200" s="152">
        <f t="shared" si="651"/>
        <v>0.11925042589437819</v>
      </c>
      <c r="H200" s="152">
        <f t="shared" si="651"/>
        <v>-1.3157894736842105E-2</v>
      </c>
      <c r="I200" s="152">
        <f t="shared" si="651"/>
        <v>5.232558139534884E-2</v>
      </c>
      <c r="J200" s="152">
        <f t="shared" si="651"/>
        <v>9.2016238159675232E-2</v>
      </c>
      <c r="K200" s="257">
        <v>20</v>
      </c>
      <c r="L200" s="152">
        <f>L199/L$128</f>
        <v>7.5203944391280905E-2</v>
      </c>
      <c r="M200" s="257">
        <v>13.7</v>
      </c>
      <c r="N200" s="152">
        <f t="shared" si="651"/>
        <v>0.113135024003746</v>
      </c>
      <c r="O200" s="257">
        <v>12.9</v>
      </c>
      <c r="P200" s="257">
        <v>3</v>
      </c>
      <c r="Q200" s="152">
        <f t="shared" ref="Q200:R200" si="652">Q199/Q$128</f>
        <v>7.5760646893284378E-2</v>
      </c>
      <c r="R200" s="152">
        <f t="shared" si="652"/>
        <v>0.10772107852683378</v>
      </c>
      <c r="S200" s="257">
        <v>11</v>
      </c>
      <c r="T200" s="257">
        <f>S200</f>
        <v>11</v>
      </c>
      <c r="U200" s="257">
        <f>T200+1</f>
        <v>12</v>
      </c>
      <c r="V200" s="257">
        <f t="shared" ref="V200" si="653">U200</f>
        <v>12</v>
      </c>
      <c r="W200" s="257">
        <f>V200+1</f>
        <v>13</v>
      </c>
      <c r="X200" s="257">
        <f t="shared" ref="X200:AA200" si="654">W200+1</f>
        <v>14</v>
      </c>
      <c r="Y200" s="257">
        <f t="shared" si="654"/>
        <v>15</v>
      </c>
      <c r="Z200" s="257">
        <f t="shared" si="654"/>
        <v>16</v>
      </c>
      <c r="AA200" s="257">
        <f t="shared" si="654"/>
        <v>17</v>
      </c>
    </row>
    <row r="201" spans="2:27" x14ac:dyDescent="0.2">
      <c r="B201" s="116" t="s">
        <v>225</v>
      </c>
      <c r="C201" s="154" t="s">
        <v>274</v>
      </c>
      <c r="D201" s="154" t="s">
        <v>274</v>
      </c>
      <c r="E201" s="154" t="s">
        <v>274</v>
      </c>
      <c r="F201" s="154" t="s">
        <v>274</v>
      </c>
      <c r="G201" s="154" t="s">
        <v>274</v>
      </c>
      <c r="H201" s="154" t="s">
        <v>274</v>
      </c>
      <c r="I201" s="154" t="s">
        <v>274</v>
      </c>
      <c r="J201" s="154" t="s">
        <v>274</v>
      </c>
      <c r="K201" s="261">
        <f>(K199-C199)/C199%</f>
        <v>28.537547507736868</v>
      </c>
      <c r="L201" s="261">
        <f>(L199-D199)/D199%</f>
        <v>-26.088556111244721</v>
      </c>
      <c r="M201" s="261">
        <f>(M199-E199)/E199%</f>
        <v>6.6871060601442309</v>
      </c>
      <c r="N201" s="261">
        <f t="shared" ref="N201" si="655">(N199-F199)/F199%</f>
        <v>11.065459403277984</v>
      </c>
      <c r="O201" s="261">
        <f t="shared" ref="O201" si="656">(O199-G199)/G199%</f>
        <v>7.9380641581824465</v>
      </c>
      <c r="P201" s="261">
        <f t="shared" ref="P201" si="657">(P199-H199)/H199%</f>
        <v>-340.53872623681747</v>
      </c>
      <c r="Q201" s="261">
        <f t="shared" ref="Q201" si="658">(Q199-I199)/I199%</f>
        <v>50.132591141066364</v>
      </c>
      <c r="R201" s="261">
        <f t="shared" ref="R201" si="659">(R199-J199)/J199%</f>
        <v>18.187381522741259</v>
      </c>
      <c r="S201" s="261">
        <f>(S199-R199)/R199%</f>
        <v>6.7002734232442975</v>
      </c>
      <c r="T201" s="261">
        <f t="shared" ref="T201:AA201" si="660">(T199-S199)/S199%</f>
        <v>3.2999999999999772</v>
      </c>
      <c r="U201" s="261">
        <f t="shared" si="660"/>
        <v>12.254545454545447</v>
      </c>
      <c r="V201" s="261">
        <f t="shared" si="660"/>
        <v>2.399999999999991</v>
      </c>
      <c r="W201" s="261">
        <f t="shared" si="660"/>
        <v>10.933333333333328</v>
      </c>
      <c r="X201" s="261">
        <f t="shared" si="660"/>
        <v>10.276923076923081</v>
      </c>
      <c r="Y201" s="261">
        <f t="shared" si="660"/>
        <v>9.7142857142857135</v>
      </c>
      <c r="Z201" s="261">
        <f t="shared" si="660"/>
        <v>9.2266666666666648</v>
      </c>
      <c r="AA201" s="261">
        <f t="shared" si="660"/>
        <v>8.8000000000000114</v>
      </c>
    </row>
    <row r="203" spans="2:27" x14ac:dyDescent="0.2">
      <c r="B203" s="19" t="s">
        <v>427</v>
      </c>
      <c r="C203" s="254">
        <f>C175+C179+C183+C187+C191+C195+C199</f>
        <v>1243</v>
      </c>
      <c r="D203" s="254">
        <f t="shared" ref="D203:J203" si="661">D175+D179+D183+D187+D191+D195+D199</f>
        <v>1089</v>
      </c>
      <c r="E203" s="254">
        <f t="shared" si="661"/>
        <v>2332</v>
      </c>
      <c r="F203" s="254">
        <f t="shared" si="661"/>
        <v>1333</v>
      </c>
      <c r="G203" s="254">
        <f t="shared" si="661"/>
        <v>3665</v>
      </c>
      <c r="H203" s="254">
        <f t="shared" si="661"/>
        <v>907</v>
      </c>
      <c r="I203" s="254">
        <f t="shared" si="661"/>
        <v>2240</v>
      </c>
      <c r="J203" s="254">
        <f t="shared" si="661"/>
        <v>4572</v>
      </c>
      <c r="K203" s="254">
        <f>K175+K179+K183+K187+K191+K195+K199</f>
        <v>1372.2636878967037</v>
      </c>
      <c r="L203" s="254">
        <f>L175+L179+L183+L187+L191+L195+L199</f>
        <v>1152.4793023499863</v>
      </c>
      <c r="M203" s="254">
        <f t="shared" ref="M203:AA203" si="662">M175+M179+M183+M187+M191+M195+M199</f>
        <v>2524.7429902466897</v>
      </c>
      <c r="N203" s="254">
        <f t="shared" si="662"/>
        <v>1466.5667935031627</v>
      </c>
      <c r="O203" s="254">
        <f t="shared" si="662"/>
        <v>3991.3097837498526</v>
      </c>
      <c r="P203" s="254">
        <f t="shared" si="662"/>
        <v>956.22857345504656</v>
      </c>
      <c r="Q203" s="254">
        <f t="shared" si="662"/>
        <v>2422.7953669582089</v>
      </c>
      <c r="R203" s="254">
        <f t="shared" si="662"/>
        <v>4947.5383572048995</v>
      </c>
      <c r="S203" s="254">
        <f t="shared" si="662"/>
        <v>5627.6055133307746</v>
      </c>
      <c r="T203" s="254">
        <f t="shared" si="662"/>
        <v>6180.7645429627737</v>
      </c>
      <c r="U203" s="254">
        <f t="shared" si="662"/>
        <v>6808.546923937487</v>
      </c>
      <c r="V203" s="254">
        <f t="shared" si="662"/>
        <v>7450.3633758848673</v>
      </c>
      <c r="W203" s="254">
        <f t="shared" si="662"/>
        <v>8131.6451731230027</v>
      </c>
      <c r="X203" s="254">
        <f t="shared" si="662"/>
        <v>8655.4164662284929</v>
      </c>
      <c r="Y203" s="254">
        <f t="shared" si="662"/>
        <v>9225.6809044225211</v>
      </c>
      <c r="Z203" s="254">
        <f t="shared" si="662"/>
        <v>9827.2041407192064</v>
      </c>
      <c r="AA203" s="254">
        <f t="shared" si="662"/>
        <v>10459.057936511552</v>
      </c>
    </row>
    <row r="204" spans="2:27" x14ac:dyDescent="0.2">
      <c r="B204" s="17" t="s">
        <v>478</v>
      </c>
      <c r="C204" s="222">
        <f>C206-C203</f>
        <v>-606</v>
      </c>
      <c r="D204" s="222">
        <f t="shared" ref="D204" si="663">D206-D203</f>
        <v>-584</v>
      </c>
      <c r="E204" s="222">
        <f t="shared" ref="E204" si="664">E206-E203</f>
        <v>-1190</v>
      </c>
      <c r="F204" s="222">
        <f t="shared" ref="F204" si="665">F206-F203</f>
        <v>-538</v>
      </c>
      <c r="G204" s="222">
        <f t="shared" ref="G204" si="666">G206-G203</f>
        <v>-1728</v>
      </c>
      <c r="H204" s="222">
        <f t="shared" ref="H204" si="667">H206-H203</f>
        <v>-775</v>
      </c>
      <c r="I204" s="222">
        <f t="shared" ref="I204" si="668">I206-I203</f>
        <v>-1313</v>
      </c>
      <c r="J204" s="222">
        <f t="shared" ref="J204" si="669">J206-J203</f>
        <v>-2503</v>
      </c>
      <c r="K204" s="222">
        <f>C204/C203*K203</f>
        <v>-669.01994759887566</v>
      </c>
      <c r="L204" s="222">
        <f>M204-K204</f>
        <v>-619.33518035719658</v>
      </c>
      <c r="M204" s="222">
        <f>E204/E203*M203</f>
        <v>-1288.3551279560722</v>
      </c>
      <c r="N204" s="222">
        <f>O204-M204</f>
        <v>-593.49570596473131</v>
      </c>
      <c r="O204" s="222">
        <f>G204/G203*O203</f>
        <v>-1881.8508339208036</v>
      </c>
      <c r="P204" s="222">
        <f>R204-O204</f>
        <v>-721.66068133688646</v>
      </c>
      <c r="Q204" s="222">
        <f>N204+P204</f>
        <v>-1315.1563873016178</v>
      </c>
      <c r="R204" s="222">
        <f>R206-R203</f>
        <v>-2603.51151525769</v>
      </c>
      <c r="S204" s="222">
        <f t="shared" ref="S204" si="670">R204/R203*S203</f>
        <v>-2961.3789119892112</v>
      </c>
      <c r="T204" s="222">
        <f t="shared" ref="T204" si="671">S204/S203*T203</f>
        <v>-3252.4642557376715</v>
      </c>
      <c r="U204" s="222">
        <f t="shared" ref="U204" si="672">T204/T203*U203</f>
        <v>-3582.8181691264153</v>
      </c>
      <c r="V204" s="222">
        <f t="shared" ref="V204" si="673">U204/U203*V203</f>
        <v>-3920.5571420630199</v>
      </c>
      <c r="W204" s="222">
        <f t="shared" ref="W204" si="674">V204/V203*W203</f>
        <v>-4279.063711630477</v>
      </c>
      <c r="X204" s="222">
        <f t="shared" ref="X204" si="675">W204/W203*X203</f>
        <v>-4554.684534453555</v>
      </c>
      <c r="Y204" s="222">
        <f t="shared" ref="Y204" si="676">X204/X203*Y203</f>
        <v>-4854.7711481162905</v>
      </c>
      <c r="Z204" s="222">
        <f t="shared" ref="Z204" si="677">Y204/Y203*Z203</f>
        <v>-5171.3068794892233</v>
      </c>
      <c r="AA204" s="222">
        <f t="shared" ref="AA204" si="678">Z204/Z203*AA203</f>
        <v>-5503.8032674978276</v>
      </c>
    </row>
    <row r="206" spans="2:27" x14ac:dyDescent="0.2">
      <c r="B206" s="61" t="s">
        <v>229</v>
      </c>
      <c r="C206" s="253">
        <v>637</v>
      </c>
      <c r="D206" s="253">
        <v>505</v>
      </c>
      <c r="E206" s="247">
        <f>C206+D206</f>
        <v>1142</v>
      </c>
      <c r="F206" s="253">
        <v>795</v>
      </c>
      <c r="G206" s="247">
        <f>E206+F206</f>
        <v>1937</v>
      </c>
      <c r="H206" s="253">
        <v>132</v>
      </c>
      <c r="I206" s="247">
        <f>F206+H206</f>
        <v>927</v>
      </c>
      <c r="J206" s="247">
        <f>C206+D206+F206+H206</f>
        <v>2069</v>
      </c>
      <c r="K206" s="247">
        <f>K203+K204</f>
        <v>703.24374029782803</v>
      </c>
      <c r="L206" s="247">
        <f>L203+L204</f>
        <v>533.14412199278968</v>
      </c>
      <c r="M206" s="247">
        <f t="shared" ref="M206:Q206" si="679">M203+M204</f>
        <v>1236.3878622906175</v>
      </c>
      <c r="N206" s="247">
        <f t="shared" si="679"/>
        <v>873.07108753843136</v>
      </c>
      <c r="O206" s="247">
        <f t="shared" si="679"/>
        <v>2109.4589498290488</v>
      </c>
      <c r="P206" s="247">
        <f t="shared" si="679"/>
        <v>234.5678921181601</v>
      </c>
      <c r="Q206" s="247">
        <f t="shared" si="679"/>
        <v>1107.6389796565911</v>
      </c>
      <c r="R206" s="247">
        <f>Model!AC112</f>
        <v>2344.0268419472095</v>
      </c>
      <c r="S206" s="247">
        <f>Model!AD112</f>
        <v>2728.8995568254672</v>
      </c>
      <c r="T206" s="247">
        <f>Model!AE112</f>
        <v>3109.2905367598278</v>
      </c>
      <c r="U206" s="247">
        <f>Model!AF112</f>
        <v>3649.2935194102361</v>
      </c>
      <c r="V206" s="247">
        <f>Model!AG112</f>
        <v>4156.55475034352</v>
      </c>
      <c r="W206" s="247">
        <f>Model!AH112</f>
        <v>4701.3552616565694</v>
      </c>
      <c r="X206" s="247">
        <f>Model!AI112</f>
        <v>5144.3054760754794</v>
      </c>
      <c r="Y206" s="247">
        <f>Model!AJ112</f>
        <v>5516.1510280767352</v>
      </c>
      <c r="Z206" s="247">
        <f>Model!AK112</f>
        <v>5983.055579151207</v>
      </c>
      <c r="AA206" s="247">
        <f>Model!AL112</f>
        <v>6519.4538744859192</v>
      </c>
    </row>
    <row r="207" spans="2:27" x14ac:dyDescent="0.2">
      <c r="B207" s="105" t="s">
        <v>326</v>
      </c>
      <c r="C207" s="152">
        <f t="shared" ref="C207:S207" si="680">C206/C$133</f>
        <v>0.11694510739856802</v>
      </c>
      <c r="D207" s="152">
        <f t="shared" si="680"/>
        <v>0.10025809013301569</v>
      </c>
      <c r="E207" s="152">
        <f t="shared" si="680"/>
        <v>0.10892789011827547</v>
      </c>
      <c r="F207" s="152">
        <f t="shared" si="680"/>
        <v>0.14003875286242734</v>
      </c>
      <c r="G207" s="152">
        <f t="shared" si="680"/>
        <v>0.11985644452694759</v>
      </c>
      <c r="H207" s="152">
        <f t="shared" si="680"/>
        <v>2.6107594936708861E-2</v>
      </c>
      <c r="I207" s="152">
        <f t="shared" si="680"/>
        <v>8.636914189881674E-2</v>
      </c>
      <c r="J207" s="152">
        <f t="shared" si="680"/>
        <v>9.7516142715746809E-2</v>
      </c>
      <c r="K207" s="152">
        <f t="shared" si="680"/>
        <v>0.12590985151342052</v>
      </c>
      <c r="L207" s="152">
        <f>L206/L$133</f>
        <v>0.10151055174671801</v>
      </c>
      <c r="M207" s="152">
        <f t="shared" si="680"/>
        <v>0.11408527340463433</v>
      </c>
      <c r="N207" s="152">
        <f t="shared" si="680"/>
        <v>0.14255678892221552</v>
      </c>
      <c r="O207" s="152">
        <f t="shared" si="680"/>
        <v>0.12436545978246162</v>
      </c>
      <c r="P207" s="152">
        <f t="shared" si="680"/>
        <v>4.3099648072720528E-2</v>
      </c>
      <c r="Q207" s="152">
        <f t="shared" si="680"/>
        <v>9.5759951938757373E-2</v>
      </c>
      <c r="R207" s="152">
        <f>R206/R$133</f>
        <v>0.10462429847380765</v>
      </c>
      <c r="S207" s="152">
        <f t="shared" si="680"/>
        <v>0.11128879793115937</v>
      </c>
      <c r="T207" s="152">
        <f>T206/T$133</f>
        <v>0.11725368635000219</v>
      </c>
      <c r="U207" s="152">
        <f t="shared" ref="U207:AA207" si="681">U206/U$133</f>
        <v>0.128558505164794</v>
      </c>
      <c r="V207" s="152">
        <f t="shared" si="681"/>
        <v>0.13732207253736489</v>
      </c>
      <c r="W207" s="152">
        <f t="shared" si="681"/>
        <v>0.14591941379774556</v>
      </c>
      <c r="X207" s="152">
        <f t="shared" si="681"/>
        <v>0.15093326859043482</v>
      </c>
      <c r="Y207" s="152">
        <f t="shared" si="681"/>
        <v>0.15296783557759147</v>
      </c>
      <c r="Z207" s="152">
        <f t="shared" si="681"/>
        <v>0.1567945724981539</v>
      </c>
      <c r="AA207" s="152">
        <f t="shared" si="681"/>
        <v>0.16160487105087717</v>
      </c>
    </row>
    <row r="208" spans="2:27" x14ac:dyDescent="0.2">
      <c r="B208" s="106" t="s">
        <v>225</v>
      </c>
      <c r="C208" s="231" t="s">
        <v>274</v>
      </c>
      <c r="D208" s="231" t="s">
        <v>274</v>
      </c>
      <c r="E208" s="255" t="s">
        <v>274</v>
      </c>
      <c r="F208" s="231" t="s">
        <v>274</v>
      </c>
      <c r="G208" s="255" t="s">
        <v>274</v>
      </c>
      <c r="H208" s="231" t="s">
        <v>274</v>
      </c>
      <c r="I208" s="255" t="s">
        <v>274</v>
      </c>
      <c r="J208" s="255" t="s">
        <v>274</v>
      </c>
      <c r="K208" s="262">
        <f t="shared" ref="K208" si="682">(K206-C206)/C206%</f>
        <v>10.399331286943175</v>
      </c>
      <c r="L208" s="262">
        <f>(L206-D206)/D206%</f>
        <v>5.5730934639187479</v>
      </c>
      <c r="M208" s="262">
        <f t="shared" ref="M208" si="683">(M206-E206)/E206%</f>
        <v>8.2651368030313019</v>
      </c>
      <c r="N208" s="262">
        <f t="shared" ref="N208" si="684">(N206-F206)/F206%</f>
        <v>9.8202625834504857</v>
      </c>
      <c r="O208" s="262">
        <f t="shared" ref="O208" si="685">(O206-G206)/G206%</f>
        <v>8.9034047407872396</v>
      </c>
      <c r="P208" s="262">
        <f t="shared" ref="P208" si="686">(P206-H206)/H206%</f>
        <v>77.702948574363717</v>
      </c>
      <c r="Q208" s="262">
        <f t="shared" ref="Q208" si="687">(Q206-I206)/I206%</f>
        <v>19.486405572447801</v>
      </c>
      <c r="R208" s="262">
        <f>(R206-J206)/J206%</f>
        <v>13.292742481740429</v>
      </c>
      <c r="S208" s="262">
        <f t="shared" ref="S208:AA208" si="688">(S206-R206)/R206%</f>
        <v>16.419296400144447</v>
      </c>
      <c r="T208" s="262">
        <f t="shared" si="688"/>
        <v>13.939354381253588</v>
      </c>
      <c r="U208" s="262">
        <f t="shared" si="688"/>
        <v>17.367401864386146</v>
      </c>
      <c r="V208" s="262">
        <f t="shared" si="688"/>
        <v>13.900258453731141</v>
      </c>
      <c r="W208" s="262">
        <f t="shared" si="688"/>
        <v>13.107021175843387</v>
      </c>
      <c r="X208" s="262">
        <f t="shared" si="688"/>
        <v>9.4217558505211123</v>
      </c>
      <c r="Y208" s="262">
        <f t="shared" si="688"/>
        <v>7.2282945429774852</v>
      </c>
      <c r="Z208" s="262">
        <f t="shared" si="688"/>
        <v>8.4643177588497434</v>
      </c>
      <c r="AA208" s="262">
        <f t="shared" si="688"/>
        <v>8.9652901972675476</v>
      </c>
    </row>
  </sheetData>
  <dataValidations disablePrompts="1" count="1">
    <dataValidation type="list" allowBlank="1" showDropDown="1" showInputMessage="1" showErrorMessage="1" promptTitle="Please enter scenario" sqref="A1">
      <formula1>$AG$505:$AG$540</formula1>
    </dataValidation>
  </dataValidations>
  <hyperlinks>
    <hyperlink ref="A1" location="Index!A1" display="HOME"/>
  </hyperlinks>
  <pageMargins left="0.7" right="0.7" top="0.75" bottom="0.75" header="0.3" footer="0.3"/>
  <pageSetup orientation="portrait" r:id="rId1"/>
  <cellWatches>
    <cellWatch r="K134"/>
    <cellWatch r="L134"/>
    <cellWatch r="N134"/>
    <cellWatch r="P134"/>
    <cellWatch r="R134"/>
  </cellWatches>
  <ignoredErrors>
    <ignoredError sqref="A1:XFD20 A22:XFD25 A21:B21 L21:XFD21 A145:XFD1048576 A144:J144 L144:XFD144 A141:XFD143 A140:J140 L140:XFD140 A27:XFD30 A26:B26 L26:N26 Q26:XFD26 A32:XFD35 A31:B31 K31:XFD31 A37:XFD40 A36:B36 K36:XFD36 A42:XFD45 A41:B41 K41:XFD41 A47:XFD50 A46:B46 K46:XFD46 A54:XFD56 A51:B51 K51:XFD51 A52:B52 K52:XFD52 A53:B53 K53:XFD53 A58:XFD61 A57:B57 K57:XFD57 A63:XFD66 A62:B62 K62:XFD62 A68:XFD71 A67:B67 K67:XFD67 A73:XFD76 A72:B72 K72:XFD72 A78:XFD81 A77:B77 K77:XFD77 A83:XFD86 A82:B82 K82:XFD82 A90:XFD92 A87:B87 K87:XFD87 A88:B88 K88:XFD88 A89:B89 K89:XFD89 A94:XFD97 A93:B93 K93:XFD93 A99:XFD102 A98:B98 K98:XFD98 A104:XFD107 A103:B103 K103:XFD103 A109:XFD112 A108:B108 K108:XFD108 A114:XFD117 A113:B113 K113:XFD113 A119:XFD122 A118:B118 K118:XFD118 A126:XFD128 A123:B123 K123:XFD123 A124:B124 K124:XFD124 A125:B125 K125:XFD125 A132:XFD133 A129:B129 K129:XFD129 A130:B130 K130:XFD130 A131:B131 K131:XFD131 A137:XFD139 A134:B134 K134:XFD134 A135:B135 K135:XFD135 A136:B136 K136:XFD13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L47"/>
  <sheetViews>
    <sheetView showRuler="0" workbookViewId="0">
      <pane ySplit="3" topLeftCell="A4" activePane="bottomLeft" state="frozenSplit"/>
      <selection pane="bottomLeft" activeCell="A4" sqref="A4"/>
    </sheetView>
  </sheetViews>
  <sheetFormatPr defaultRowHeight="12.75" outlineLevelCol="1" x14ac:dyDescent="0.2"/>
  <cols>
    <col min="2" max="2" width="27.140625" customWidth="1"/>
    <col min="3" max="9" width="9.140625" hidden="1" customWidth="1" outlineLevel="1"/>
    <col min="10" max="10" width="9.140625" hidden="1" customWidth="1" collapsed="1"/>
    <col min="11" max="18" width="0" hidden="1" customWidth="1"/>
  </cols>
  <sheetData>
    <row r="1" spans="1:38" ht="15.75" x14ac:dyDescent="0.25">
      <c r="A1" s="150" t="s">
        <v>220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8" x14ac:dyDescent="0.2">
      <c r="A2" s="2"/>
      <c r="B2" s="5" t="s">
        <v>21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169"/>
      <c r="T2" s="169"/>
      <c r="U2" s="169"/>
      <c r="V2" s="169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</row>
    <row r="3" spans="1:38" x14ac:dyDescent="0.2">
      <c r="A3" s="2"/>
      <c r="B3" s="5" t="str">
        <f>+Model!B5</f>
        <v>€ Millions, Yr end December</v>
      </c>
      <c r="C3" s="5">
        <v>1992</v>
      </c>
      <c r="D3" s="5">
        <f>C3+1</f>
        <v>1993</v>
      </c>
      <c r="E3" s="5">
        <f t="shared" ref="E3:AA3" si="0">D3+1</f>
        <v>1994</v>
      </c>
      <c r="F3" s="5">
        <f t="shared" si="0"/>
        <v>1995</v>
      </c>
      <c r="G3" s="5">
        <f t="shared" si="0"/>
        <v>1996</v>
      </c>
      <c r="H3" s="5">
        <f t="shared" si="0"/>
        <v>1997</v>
      </c>
      <c r="I3" s="5">
        <f t="shared" si="0"/>
        <v>1998</v>
      </c>
      <c r="J3" s="5">
        <f t="shared" si="0"/>
        <v>1999</v>
      </c>
      <c r="K3" s="5">
        <f t="shared" si="0"/>
        <v>2000</v>
      </c>
      <c r="L3" s="5">
        <f t="shared" si="0"/>
        <v>2001</v>
      </c>
      <c r="M3" s="5">
        <f t="shared" si="0"/>
        <v>2002</v>
      </c>
      <c r="N3" s="5">
        <f t="shared" si="0"/>
        <v>2003</v>
      </c>
      <c r="O3" s="5">
        <f t="shared" si="0"/>
        <v>2004</v>
      </c>
      <c r="P3" s="5">
        <f t="shared" si="0"/>
        <v>2005</v>
      </c>
      <c r="Q3" s="5">
        <f t="shared" si="0"/>
        <v>2006</v>
      </c>
      <c r="R3" s="5">
        <f t="shared" si="0"/>
        <v>2007</v>
      </c>
      <c r="S3" s="169">
        <f t="shared" si="0"/>
        <v>2008</v>
      </c>
      <c r="T3" s="169">
        <f t="shared" si="0"/>
        <v>2009</v>
      </c>
      <c r="U3" s="169">
        <f t="shared" si="0"/>
        <v>2010</v>
      </c>
      <c r="V3" s="169">
        <f t="shared" si="0"/>
        <v>2011</v>
      </c>
      <c r="W3" s="169">
        <f t="shared" si="0"/>
        <v>2012</v>
      </c>
      <c r="X3" s="169">
        <f>W3+1</f>
        <v>2013</v>
      </c>
      <c r="Y3" s="169">
        <f t="shared" si="0"/>
        <v>2014</v>
      </c>
      <c r="Z3" s="169">
        <f t="shared" si="0"/>
        <v>2015</v>
      </c>
      <c r="AA3" s="65">
        <f t="shared" si="0"/>
        <v>2016</v>
      </c>
      <c r="AB3" s="65">
        <f t="shared" ref="AB3:AL3" si="1">AA3+1</f>
        <v>2017</v>
      </c>
      <c r="AC3" s="65">
        <f t="shared" si="1"/>
        <v>2018</v>
      </c>
      <c r="AD3" s="65">
        <f t="shared" si="1"/>
        <v>2019</v>
      </c>
      <c r="AE3" s="65">
        <f t="shared" si="1"/>
        <v>2020</v>
      </c>
      <c r="AF3" s="65">
        <f t="shared" si="1"/>
        <v>2021</v>
      </c>
      <c r="AG3" s="65">
        <f t="shared" si="1"/>
        <v>2022</v>
      </c>
      <c r="AH3" s="65">
        <f t="shared" si="1"/>
        <v>2023</v>
      </c>
      <c r="AI3" s="65">
        <f t="shared" si="1"/>
        <v>2024</v>
      </c>
      <c r="AJ3" s="65">
        <f t="shared" si="1"/>
        <v>2025</v>
      </c>
      <c r="AK3" s="65">
        <f t="shared" si="1"/>
        <v>2026</v>
      </c>
      <c r="AL3" s="65">
        <f t="shared" si="1"/>
        <v>2027</v>
      </c>
    </row>
    <row r="4" spans="1:38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2">
      <c r="A5" s="2"/>
      <c r="B5" s="2" t="s">
        <v>59</v>
      </c>
      <c r="C5" s="2"/>
      <c r="D5" s="2"/>
      <c r="E5" s="2"/>
      <c r="F5" s="2"/>
      <c r="G5" s="2"/>
      <c r="H5" s="2"/>
      <c r="I5" s="2"/>
      <c r="J5" s="9">
        <f>Model!J84</f>
        <v>5353.9489999999996</v>
      </c>
      <c r="K5" s="9">
        <f>Model!K84</f>
        <v>5834.8050000000003</v>
      </c>
      <c r="L5" s="9">
        <f>Model!L84</f>
        <v>6112.3469999999998</v>
      </c>
      <c r="M5" s="9">
        <f>Model!M84</f>
        <v>6523.4189999999999</v>
      </c>
      <c r="N5" s="9">
        <f>Model!N84</f>
        <v>6266.8</v>
      </c>
      <c r="O5" s="9">
        <f>Model!O84</f>
        <v>5860.0079999999998</v>
      </c>
      <c r="P5" s="9">
        <f>Model!P84</f>
        <v>6636</v>
      </c>
      <c r="Q5" s="9">
        <f>Model!Q84</f>
        <v>10084</v>
      </c>
      <c r="R5" s="9">
        <f>Model!R84</f>
        <v>10299</v>
      </c>
      <c r="S5" s="9">
        <f>Model!S84</f>
        <v>10799</v>
      </c>
      <c r="T5" s="9">
        <f>Model!T84</f>
        <v>10381</v>
      </c>
      <c r="U5" s="9">
        <f>Model!U84</f>
        <v>11990</v>
      </c>
      <c r="V5" s="9">
        <f>Model!V84</f>
        <v>13322</v>
      </c>
      <c r="W5" s="9">
        <f>Model!W84</f>
        <v>14883</v>
      </c>
      <c r="X5" s="9">
        <f>Model!X84</f>
        <v>14203</v>
      </c>
      <c r="Y5" s="9">
        <f>Model!Y84</f>
        <v>14533.9</v>
      </c>
      <c r="Z5" s="9">
        <f>Model!Z84</f>
        <v>16915.049641526937</v>
      </c>
      <c r="AA5" s="9">
        <f>Model!AA84</f>
        <v>18483</v>
      </c>
      <c r="AB5" s="9">
        <f>Model!AB84</f>
        <v>21217</v>
      </c>
      <c r="AC5" s="9">
        <f>Model!AC84</f>
        <v>22404.229955568389</v>
      </c>
      <c r="AD5" s="9">
        <f>Model!AD84</f>
        <v>24520.882672427644</v>
      </c>
      <c r="AE5" s="9">
        <f>Model!AE84</f>
        <v>26517.6356799444</v>
      </c>
      <c r="AF5" s="9">
        <f>Model!AF84</f>
        <v>28386.247294431065</v>
      </c>
      <c r="AG5" s="9">
        <f>Model!AG84</f>
        <v>30268.657278039078</v>
      </c>
      <c r="AH5" s="9">
        <f>Model!AH84</f>
        <v>32218.84696009658</v>
      </c>
      <c r="AI5" s="9">
        <f>Model!AI84</f>
        <v>34083.310618779593</v>
      </c>
      <c r="AJ5" s="9">
        <f>Model!AJ84</f>
        <v>36060.855586066784</v>
      </c>
      <c r="AK5" s="9">
        <f>Model!AK84</f>
        <v>38158.56304096018</v>
      </c>
      <c r="AL5" s="9">
        <f>Model!AL84</f>
        <v>40341.939151286075</v>
      </c>
    </row>
    <row r="6" spans="1:38" x14ac:dyDescent="0.2">
      <c r="A6" s="2"/>
      <c r="B6" s="2" t="s">
        <v>5</v>
      </c>
      <c r="C6" s="2"/>
      <c r="D6" s="2"/>
      <c r="E6" s="2"/>
      <c r="F6" s="2"/>
      <c r="G6" s="2"/>
      <c r="H6" s="2"/>
      <c r="I6" s="2"/>
      <c r="J6" s="6">
        <f>+J7-J5</f>
        <v>-3001.8829999999998</v>
      </c>
      <c r="K6" s="6">
        <f t="shared" ref="K6:AA6" si="2">+K7-K5</f>
        <v>-3306.886</v>
      </c>
      <c r="L6" s="6">
        <f t="shared" si="2"/>
        <v>-3511.1640000000002</v>
      </c>
      <c r="M6" s="6">
        <f t="shared" si="2"/>
        <v>-3704.2689999999998</v>
      </c>
      <c r="N6" s="6">
        <f t="shared" si="2"/>
        <v>-3453.1320000000001</v>
      </c>
      <c r="O6" s="6">
        <f t="shared" si="2"/>
        <v>-3046.6060000000002</v>
      </c>
      <c r="P6" s="6">
        <f t="shared" si="2"/>
        <v>-3439</v>
      </c>
      <c r="Q6" s="6">
        <f t="shared" si="2"/>
        <v>-5589</v>
      </c>
      <c r="R6" s="6">
        <f t="shared" si="2"/>
        <v>-5417</v>
      </c>
      <c r="S6" s="6">
        <f t="shared" si="2"/>
        <v>-5543</v>
      </c>
      <c r="T6" s="6">
        <f t="shared" si="2"/>
        <v>-5669</v>
      </c>
      <c r="U6" s="6">
        <f t="shared" si="2"/>
        <v>-6260</v>
      </c>
      <c r="V6" s="6">
        <f t="shared" si="2"/>
        <v>-6993</v>
      </c>
      <c r="W6" s="6">
        <f t="shared" si="2"/>
        <v>-7780</v>
      </c>
      <c r="X6" s="6">
        <f t="shared" si="2"/>
        <v>-7202</v>
      </c>
      <c r="Y6" s="6">
        <f t="shared" si="2"/>
        <v>-7610</v>
      </c>
      <c r="Z6" s="6">
        <f t="shared" si="2"/>
        <v>-8748</v>
      </c>
      <c r="AA6" s="6">
        <f t="shared" si="2"/>
        <v>-9383</v>
      </c>
      <c r="AB6" s="6">
        <f t="shared" ref="AB6:AH6" si="3">+AB7-AB5</f>
        <v>-10513</v>
      </c>
      <c r="AC6" s="6">
        <f t="shared" si="3"/>
        <v>-11033.133301306405</v>
      </c>
      <c r="AD6" s="6">
        <f t="shared" si="3"/>
        <v>-12009.926705637432</v>
      </c>
      <c r="AE6" s="6">
        <f t="shared" si="3"/>
        <v>-12925.927437170594</v>
      </c>
      <c r="AF6" s="6">
        <f t="shared" si="3"/>
        <v>-13790.756426601489</v>
      </c>
      <c r="AG6" s="6">
        <f t="shared" si="3"/>
        <v>-14660.05748367776</v>
      </c>
      <c r="AH6" s="6">
        <f t="shared" si="3"/>
        <v>-15552.306359052018</v>
      </c>
      <c r="AI6" s="6">
        <f t="shared" ref="AI6:AL6" si="4">+AI7-AI5</f>
        <v>-16428.844393855208</v>
      </c>
      <c r="AJ6" s="6">
        <f t="shared" si="4"/>
        <v>-17426.828934833797</v>
      </c>
      <c r="AK6" s="6">
        <f t="shared" si="4"/>
        <v>-18418.909050396946</v>
      </c>
      <c r="AL6" s="6">
        <f t="shared" si="4"/>
        <v>-19447.152812763805</v>
      </c>
    </row>
    <row r="7" spans="1:38" x14ac:dyDescent="0.2">
      <c r="A7" s="2"/>
      <c r="B7" s="2" t="s">
        <v>60</v>
      </c>
      <c r="C7" s="2"/>
      <c r="D7" s="2"/>
      <c r="E7" s="2"/>
      <c r="F7" s="2"/>
      <c r="G7" s="2"/>
      <c r="H7" s="2"/>
      <c r="I7" s="2"/>
      <c r="J7" s="9">
        <f>Model!J91</f>
        <v>2352.0659999999998</v>
      </c>
      <c r="K7" s="9">
        <f>Model!K91</f>
        <v>2527.9190000000003</v>
      </c>
      <c r="L7" s="9">
        <f>Model!L91</f>
        <v>2601.1829999999995</v>
      </c>
      <c r="M7" s="9">
        <f>Model!M91</f>
        <v>2819.15</v>
      </c>
      <c r="N7" s="9">
        <f>Model!N91</f>
        <v>2813.6680000000001</v>
      </c>
      <c r="O7" s="9">
        <f>Model!O91</f>
        <v>2813.4019999999996</v>
      </c>
      <c r="P7" s="9">
        <f>Model!P91</f>
        <v>3197</v>
      </c>
      <c r="Q7" s="9">
        <f>Model!Q91</f>
        <v>4495</v>
      </c>
      <c r="R7" s="9">
        <f>Model!R91</f>
        <v>4882</v>
      </c>
      <c r="S7" s="9">
        <f>Model!S91</f>
        <v>5256</v>
      </c>
      <c r="T7" s="9">
        <f>Model!T91</f>
        <v>4712</v>
      </c>
      <c r="U7" s="9">
        <f>Model!U91</f>
        <v>5730</v>
      </c>
      <c r="V7" s="9">
        <f>Model!V91</f>
        <v>6329</v>
      </c>
      <c r="W7" s="9">
        <f>Model!W91</f>
        <v>7103</v>
      </c>
      <c r="X7" s="9">
        <f>Model!X91</f>
        <v>7001</v>
      </c>
      <c r="Y7" s="9">
        <f>Model!Y91</f>
        <v>6923.9</v>
      </c>
      <c r="Z7" s="9">
        <f>Model!Z91</f>
        <v>8167.0496415269372</v>
      </c>
      <c r="AA7" s="9">
        <f>Model!AA91</f>
        <v>9100</v>
      </c>
      <c r="AB7" s="9">
        <f>Model!AB91</f>
        <v>10704</v>
      </c>
      <c r="AC7" s="9">
        <f>Model!AC91</f>
        <v>11371.096654261984</v>
      </c>
      <c r="AD7" s="9">
        <f>Model!AD91</f>
        <v>12510.955966790212</v>
      </c>
      <c r="AE7" s="9">
        <f>Model!AE91</f>
        <v>13591.708242773806</v>
      </c>
      <c r="AF7" s="9">
        <f>Model!AF91</f>
        <v>14595.490867829576</v>
      </c>
      <c r="AG7" s="9">
        <f>Model!AG91</f>
        <v>15608.599794361318</v>
      </c>
      <c r="AH7" s="9">
        <f>Model!AH91</f>
        <v>16666.540601044562</v>
      </c>
      <c r="AI7" s="9">
        <f>Model!AI91</f>
        <v>17654.466224924385</v>
      </c>
      <c r="AJ7" s="9">
        <f>Model!AJ91</f>
        <v>18634.026651232987</v>
      </c>
      <c r="AK7" s="9">
        <f>Model!AK91</f>
        <v>19739.653990563234</v>
      </c>
      <c r="AL7" s="9">
        <f>Model!AL91</f>
        <v>20894.78633852227</v>
      </c>
    </row>
    <row r="8" spans="1:38" x14ac:dyDescent="0.2">
      <c r="A8" s="2"/>
      <c r="B8" s="2" t="s">
        <v>264</v>
      </c>
      <c r="C8" s="2"/>
      <c r="D8" s="2"/>
      <c r="E8" s="2"/>
      <c r="F8" s="2"/>
      <c r="G8" s="2"/>
      <c r="H8" s="2"/>
      <c r="I8" s="2"/>
      <c r="J8" s="6">
        <f>J7/J5%</f>
        <v>43.931423328836345</v>
      </c>
      <c r="K8" s="6">
        <f t="shared" ref="K8:AA8" si="5">K7/K5%</f>
        <v>43.324824051532147</v>
      </c>
      <c r="L8" s="6">
        <f t="shared" si="5"/>
        <v>42.556206314857448</v>
      </c>
      <c r="M8" s="6">
        <f t="shared" si="5"/>
        <v>43.215835131853403</v>
      </c>
      <c r="N8" s="6">
        <f t="shared" si="5"/>
        <v>44.898002170166592</v>
      </c>
      <c r="O8" s="6">
        <f t="shared" si="5"/>
        <v>48.010207494597275</v>
      </c>
      <c r="P8" s="6">
        <f t="shared" si="5"/>
        <v>48.176612417118747</v>
      </c>
      <c r="Q8" s="6">
        <f t="shared" si="5"/>
        <v>44.575565251884171</v>
      </c>
      <c r="R8" s="6">
        <f t="shared" si="5"/>
        <v>47.402660452471117</v>
      </c>
      <c r="S8" s="6">
        <f t="shared" si="5"/>
        <v>48.671173256783035</v>
      </c>
      <c r="T8" s="6">
        <f t="shared" si="5"/>
        <v>45.390617474231767</v>
      </c>
      <c r="U8" s="6">
        <f t="shared" si="5"/>
        <v>47.789824854045037</v>
      </c>
      <c r="V8" s="6">
        <f t="shared" si="5"/>
        <v>47.507881699444525</v>
      </c>
      <c r="W8" s="6">
        <f t="shared" si="5"/>
        <v>47.725592958408917</v>
      </c>
      <c r="X8" s="6">
        <f t="shared" si="5"/>
        <v>49.29240301344786</v>
      </c>
      <c r="Y8" s="6">
        <f t="shared" si="5"/>
        <v>47.639656251935129</v>
      </c>
      <c r="Z8" s="6">
        <f t="shared" si="5"/>
        <v>48.282741195607215</v>
      </c>
      <c r="AA8" s="6">
        <f t="shared" si="5"/>
        <v>49.234431639885294</v>
      </c>
      <c r="AB8" s="6">
        <f t="shared" ref="AB8:AH8" si="6">AB7/AB5%</f>
        <v>50.450110760239433</v>
      </c>
      <c r="AC8" s="6">
        <f t="shared" si="6"/>
        <v>50.754240055618567</v>
      </c>
      <c r="AD8" s="6">
        <f t="shared" si="6"/>
        <v>51.021637899104178</v>
      </c>
      <c r="AE8" s="6">
        <f t="shared" si="6"/>
        <v>51.25535476397458</v>
      </c>
      <c r="AF8" s="6">
        <f t="shared" si="6"/>
        <v>51.417472399364961</v>
      </c>
      <c r="AG8" s="6">
        <f t="shared" si="6"/>
        <v>51.566872131080217</v>
      </c>
      <c r="AH8" s="6">
        <f t="shared" si="6"/>
        <v>51.729165297834115</v>
      </c>
      <c r="AI8" s="6">
        <f t="shared" ref="AI8:AL8" si="7">AI7/AI5%</f>
        <v>51.797979434535726</v>
      </c>
      <c r="AJ8" s="6">
        <f t="shared" si="7"/>
        <v>51.673833990874066</v>
      </c>
      <c r="AK8" s="6">
        <f t="shared" si="7"/>
        <v>51.730600990855677</v>
      </c>
      <c r="AL8" s="6">
        <f t="shared" si="7"/>
        <v>51.794204190742676</v>
      </c>
    </row>
    <row r="9" spans="1:38" x14ac:dyDescent="0.2">
      <c r="A9" s="2"/>
      <c r="B9" s="2" t="s">
        <v>61</v>
      </c>
      <c r="C9" s="2"/>
      <c r="D9" s="2"/>
      <c r="E9" s="2"/>
      <c r="F9" s="2"/>
      <c r="G9" s="2"/>
      <c r="H9" s="2"/>
      <c r="I9" s="2"/>
      <c r="J9" s="6">
        <f>+J10-J7</f>
        <v>-1874.932</v>
      </c>
      <c r="K9" s="6">
        <f t="shared" ref="K9:AA9" si="8">+K10-K7</f>
        <v>-2087.6049999999996</v>
      </c>
      <c r="L9" s="6">
        <f t="shared" si="8"/>
        <v>-2124.7370000000001</v>
      </c>
      <c r="M9" s="6">
        <f t="shared" si="8"/>
        <v>-2341.92</v>
      </c>
      <c r="N9" s="6">
        <f t="shared" si="8"/>
        <v>-2326.1750000000002</v>
      </c>
      <c r="O9" s="6">
        <f t="shared" si="8"/>
        <v>-2229.192</v>
      </c>
      <c r="P9" s="6">
        <f t="shared" si="8"/>
        <v>-2489.7930000000001</v>
      </c>
      <c r="Q9" s="6">
        <f t="shared" si="8"/>
        <v>-3614</v>
      </c>
      <c r="R9" s="6">
        <f t="shared" si="8"/>
        <v>-3933</v>
      </c>
      <c r="S9" s="6">
        <f t="shared" si="8"/>
        <v>-4186</v>
      </c>
      <c r="T9" s="6">
        <f t="shared" si="8"/>
        <v>-4204</v>
      </c>
      <c r="U9" s="6">
        <f t="shared" si="8"/>
        <v>-4836</v>
      </c>
      <c r="V9" s="6">
        <f t="shared" si="8"/>
        <v>-5376</v>
      </c>
      <c r="W9" s="6">
        <f t="shared" si="8"/>
        <v>-6183</v>
      </c>
      <c r="X9" s="6">
        <f t="shared" si="8"/>
        <v>-5820</v>
      </c>
      <c r="Y9" s="6">
        <f t="shared" si="8"/>
        <v>-6041</v>
      </c>
      <c r="Z9" s="6">
        <f t="shared" si="8"/>
        <v>-7107</v>
      </c>
      <c r="AA9" s="6">
        <f t="shared" si="8"/>
        <v>-7518</v>
      </c>
      <c r="AB9" s="6">
        <f t="shared" ref="AB9:AH9" si="9">+AB10-AB7</f>
        <v>-8633.4</v>
      </c>
      <c r="AC9" s="6">
        <f t="shared" si="9"/>
        <v>-9027.069812314774</v>
      </c>
      <c r="AD9" s="6">
        <f t="shared" si="9"/>
        <v>-9782.0564099647454</v>
      </c>
      <c r="AE9" s="6">
        <f t="shared" si="9"/>
        <v>-10482.417706013977</v>
      </c>
      <c r="AF9" s="6">
        <f t="shared" si="9"/>
        <v>-10946.19734841934</v>
      </c>
      <c r="AG9" s="6">
        <f t="shared" si="9"/>
        <v>-11452.045044017799</v>
      </c>
      <c r="AH9" s="6">
        <f t="shared" si="9"/>
        <v>-11965.185339387994</v>
      </c>
      <c r="AI9" s="6">
        <f t="shared" ref="AI9:AL9" si="10">+AI10-AI7</f>
        <v>-12510.160748848906</v>
      </c>
      <c r="AJ9" s="6">
        <f t="shared" si="10"/>
        <v>-13117.875623156251</v>
      </c>
      <c r="AK9" s="6">
        <f t="shared" si="10"/>
        <v>-13756.598411412027</v>
      </c>
      <c r="AL9" s="6">
        <f t="shared" si="10"/>
        <v>-14375.33246403635</v>
      </c>
    </row>
    <row r="10" spans="1:38" x14ac:dyDescent="0.2">
      <c r="A10" s="8"/>
      <c r="B10" s="8" t="s">
        <v>202</v>
      </c>
      <c r="C10" s="8"/>
      <c r="D10" s="8"/>
      <c r="E10" s="8"/>
      <c r="F10" s="8"/>
      <c r="G10" s="8"/>
      <c r="H10" s="8"/>
      <c r="I10" s="8"/>
      <c r="J10" s="9">
        <f>Model!J116</f>
        <v>477.13399999999979</v>
      </c>
      <c r="K10" s="9">
        <f>Model!K116</f>
        <v>440.31400000000053</v>
      </c>
      <c r="L10" s="9">
        <f>Model!L116</f>
        <v>476.44599999999957</v>
      </c>
      <c r="M10" s="9">
        <f>Model!M116</f>
        <v>477.23000000000013</v>
      </c>
      <c r="N10" s="9">
        <f>Model!N116</f>
        <v>487.49299999999994</v>
      </c>
      <c r="O10" s="9">
        <f>Model!O116</f>
        <v>584.2099999999997</v>
      </c>
      <c r="P10" s="9">
        <f>Model!P116</f>
        <v>707.20699999999988</v>
      </c>
      <c r="Q10" s="9">
        <f>Model!Q116</f>
        <v>881</v>
      </c>
      <c r="R10" s="9">
        <f>Model!R116</f>
        <v>949</v>
      </c>
      <c r="S10" s="9">
        <f>Model!S116</f>
        <v>1070</v>
      </c>
      <c r="T10" s="9">
        <f>Model!T116</f>
        <v>508</v>
      </c>
      <c r="U10" s="9">
        <f>Model!U116</f>
        <v>894</v>
      </c>
      <c r="V10" s="9">
        <f>Model!V116</f>
        <v>953</v>
      </c>
      <c r="W10" s="9">
        <f>Model!W116</f>
        <v>920</v>
      </c>
      <c r="X10" s="9">
        <f>Model!X116</f>
        <v>1181</v>
      </c>
      <c r="Y10" s="9">
        <f>Model!Y116</f>
        <v>882.89999999999964</v>
      </c>
      <c r="Z10" s="9">
        <f>Model!Z116</f>
        <v>1060.0496415269372</v>
      </c>
      <c r="AA10" s="9">
        <f>Model!AA116</f>
        <v>1582</v>
      </c>
      <c r="AB10" s="9">
        <f>Model!AB116</f>
        <v>2070.6000000000004</v>
      </c>
      <c r="AC10" s="9">
        <f>Model!AC116</f>
        <v>2344.0268419472095</v>
      </c>
      <c r="AD10" s="9">
        <f>Model!AD116</f>
        <v>2728.8995568254672</v>
      </c>
      <c r="AE10" s="9">
        <f>Model!AE116</f>
        <v>3109.2905367598278</v>
      </c>
      <c r="AF10" s="9">
        <f>Model!AF116</f>
        <v>3649.2935194102361</v>
      </c>
      <c r="AG10" s="9">
        <f>Model!AG116</f>
        <v>4156.55475034352</v>
      </c>
      <c r="AH10" s="9">
        <f>Model!AH116</f>
        <v>4701.3552616565694</v>
      </c>
      <c r="AI10" s="9">
        <f>Model!AI116</f>
        <v>5144.3054760754794</v>
      </c>
      <c r="AJ10" s="9">
        <f>Model!AJ116</f>
        <v>5516.1510280767352</v>
      </c>
      <c r="AK10" s="9">
        <f>Model!AK116</f>
        <v>5983.055579151207</v>
      </c>
      <c r="AL10" s="9">
        <f>Model!AL116</f>
        <v>6519.4538744859192</v>
      </c>
    </row>
    <row r="11" spans="1:38" x14ac:dyDescent="0.2">
      <c r="A11" s="2"/>
      <c r="B11" s="2" t="s">
        <v>264</v>
      </c>
      <c r="C11" s="2"/>
      <c r="D11" s="2"/>
      <c r="E11" s="2"/>
      <c r="F11" s="2"/>
      <c r="G11" s="2"/>
      <c r="H11" s="2"/>
      <c r="I11" s="2"/>
      <c r="J11" s="6">
        <f>J10/J5%</f>
        <v>8.9118144382772382</v>
      </c>
      <c r="K11" s="6">
        <f t="shared" ref="K11:AA11" si="11">K10/K5%</f>
        <v>7.5463361671898292</v>
      </c>
      <c r="L11" s="6">
        <f t="shared" si="11"/>
        <v>7.7948126963341506</v>
      </c>
      <c r="M11" s="6">
        <f t="shared" si="11"/>
        <v>7.3156423035221279</v>
      </c>
      <c r="N11" s="6">
        <f t="shared" si="11"/>
        <v>7.7789781068487898</v>
      </c>
      <c r="O11" s="6">
        <f t="shared" si="11"/>
        <v>9.9694403147572448</v>
      </c>
      <c r="P11" s="6">
        <f t="shared" si="11"/>
        <v>10.657127787823988</v>
      </c>
      <c r="Q11" s="6">
        <f t="shared" si="11"/>
        <v>8.7366124553748516</v>
      </c>
      <c r="R11" s="6">
        <f t="shared" si="11"/>
        <v>9.2144868433828524</v>
      </c>
      <c r="S11" s="6">
        <f t="shared" si="11"/>
        <v>9.9083248448930465</v>
      </c>
      <c r="T11" s="6">
        <f t="shared" si="11"/>
        <v>4.8935555341489261</v>
      </c>
      <c r="U11" s="6">
        <f t="shared" si="11"/>
        <v>7.4562135112593824</v>
      </c>
      <c r="V11" s="6">
        <f t="shared" si="11"/>
        <v>7.1535805434619428</v>
      </c>
      <c r="W11" s="6">
        <f t="shared" si="11"/>
        <v>6.1815494187999729</v>
      </c>
      <c r="X11" s="6">
        <f t="shared" si="11"/>
        <v>8.315144687742027</v>
      </c>
      <c r="Y11" s="6">
        <f t="shared" si="11"/>
        <v>6.0747631399693107</v>
      </c>
      <c r="Z11" s="6">
        <f t="shared" si="11"/>
        <v>6.2669023384033391</v>
      </c>
      <c r="AA11" s="6">
        <f t="shared" si="11"/>
        <v>8.5592165773954445</v>
      </c>
      <c r="AB11" s="6">
        <f t="shared" ref="AB11:AH11" si="12">AB10/AB5%</f>
        <v>9.7591553942593219</v>
      </c>
      <c r="AC11" s="6">
        <f t="shared" si="12"/>
        <v>10.462429847380765</v>
      </c>
      <c r="AD11" s="6">
        <f t="shared" si="12"/>
        <v>11.128879793115937</v>
      </c>
      <c r="AE11" s="6">
        <f t="shared" si="12"/>
        <v>11.725368635000217</v>
      </c>
      <c r="AF11" s="6">
        <f t="shared" si="12"/>
        <v>12.855850516479402</v>
      </c>
      <c r="AG11" s="6">
        <f t="shared" si="12"/>
        <v>13.732207253736489</v>
      </c>
      <c r="AH11" s="6">
        <f t="shared" si="12"/>
        <v>14.591941379774557</v>
      </c>
      <c r="AI11" s="6">
        <f t="shared" ref="AI11:AL11" si="13">AI10/AI5%</f>
        <v>15.093326859043483</v>
      </c>
      <c r="AJ11" s="6">
        <f t="shared" si="13"/>
        <v>15.296783557759149</v>
      </c>
      <c r="AK11" s="6">
        <f t="shared" si="13"/>
        <v>15.679457249815391</v>
      </c>
      <c r="AL11" s="6">
        <f t="shared" si="13"/>
        <v>16.160487105087718</v>
      </c>
    </row>
    <row r="12" spans="1:38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</row>
    <row r="13" spans="1:38" x14ac:dyDescent="0.2">
      <c r="A13" s="2"/>
      <c r="B13" s="2" t="s">
        <v>253</v>
      </c>
      <c r="C13" s="2"/>
      <c r="D13" s="2"/>
      <c r="E13" s="2"/>
      <c r="F13" s="2"/>
      <c r="G13" s="2"/>
      <c r="H13" s="2"/>
      <c r="I13" s="2"/>
      <c r="J13" s="6">
        <f>Model!J130</f>
        <v>38.896107693833407</v>
      </c>
      <c r="K13" s="6">
        <f>Model!K130</f>
        <v>40.307772260076163</v>
      </c>
      <c r="L13" s="6">
        <f>Model!L130</f>
        <v>39.230526900322545</v>
      </c>
      <c r="M13" s="6">
        <f>Model!M130</f>
        <v>37.902254212871092</v>
      </c>
      <c r="N13" s="6">
        <f>Model!N130</f>
        <v>38.034052513785497</v>
      </c>
      <c r="O13" s="6">
        <f>Model!O130</f>
        <v>36.75134821521987</v>
      </c>
      <c r="P13" s="6">
        <f>Model!P130</f>
        <v>33.729798369065051</v>
      </c>
      <c r="Q13" s="6">
        <f>Model!Q130</f>
        <v>31.396957123098201</v>
      </c>
      <c r="R13" s="6">
        <f>Model!R130</f>
        <v>31.901840490797543</v>
      </c>
      <c r="S13" s="6">
        <f>Model!S130</f>
        <v>28.761061946902657</v>
      </c>
      <c r="T13" s="6">
        <f>Model!T130</f>
        <v>31.564245810055866</v>
      </c>
      <c r="U13" s="6">
        <f>Model!U130</f>
        <v>29.528535980148881</v>
      </c>
      <c r="V13" s="6">
        <f>Model!V130</f>
        <v>30.034522439585732</v>
      </c>
      <c r="W13" s="6">
        <f>Model!W130</f>
        <v>29.3</v>
      </c>
      <c r="X13" s="6">
        <f>Model!X130</f>
        <v>29.184549356223176</v>
      </c>
      <c r="Y13" s="6">
        <f>Model!Y130</f>
        <v>29.685617263665257</v>
      </c>
      <c r="Z13" s="6">
        <f>Model!Z130</f>
        <v>32.85</v>
      </c>
      <c r="AA13" s="6">
        <f>Model!AA130</f>
        <v>29.53</v>
      </c>
      <c r="AB13" s="6">
        <f>Model!AB130</f>
        <v>33.033000000000001</v>
      </c>
      <c r="AC13" s="6">
        <f>Model!AC130</f>
        <v>29.5</v>
      </c>
      <c r="AD13" s="6">
        <f>Model!AD130</f>
        <v>29.5</v>
      </c>
      <c r="AE13" s="6">
        <f>Model!AE130</f>
        <v>29.5</v>
      </c>
      <c r="AF13" s="6">
        <f>Model!AF130</f>
        <v>29.5</v>
      </c>
      <c r="AG13" s="6">
        <f>Model!AG130</f>
        <v>29.5</v>
      </c>
      <c r="AH13" s="6">
        <f>Model!AH130</f>
        <v>29.5</v>
      </c>
      <c r="AI13" s="6">
        <f>Model!AI130</f>
        <v>29.5</v>
      </c>
      <c r="AJ13" s="6">
        <f>Model!AJ130</f>
        <v>29.5</v>
      </c>
      <c r="AK13" s="6">
        <f>Model!AK130</f>
        <v>29.5</v>
      </c>
      <c r="AL13" s="6">
        <f>Model!AL130</f>
        <v>29.5</v>
      </c>
    </row>
    <row r="14" spans="1:38" x14ac:dyDescent="0.2">
      <c r="A14" s="2"/>
      <c r="B14" s="2" t="s">
        <v>265</v>
      </c>
      <c r="C14" s="2"/>
      <c r="D14" s="2"/>
      <c r="E14" s="2"/>
      <c r="F14" s="2"/>
      <c r="G14" s="2"/>
      <c r="H14" s="2"/>
      <c r="I14" s="2"/>
      <c r="J14" s="6">
        <f>-(J13/100)*J10</f>
        <v>-185.58655448389501</v>
      </c>
      <c r="K14" s="6">
        <f t="shared" ref="K14:AA14" si="14">-(K13/100)*K10</f>
        <v>-177.48076434923198</v>
      </c>
      <c r="L14" s="6">
        <f t="shared" si="14"/>
        <v>-186.91227619551057</v>
      </c>
      <c r="M14" s="6">
        <f t="shared" si="14"/>
        <v>-180.88092778008479</v>
      </c>
      <c r="N14" s="6">
        <f t="shared" si="14"/>
        <v>-185.41334362102833</v>
      </c>
      <c r="O14" s="6">
        <f t="shared" si="14"/>
        <v>-214.70505140813589</v>
      </c>
      <c r="P14" s="6">
        <f t="shared" si="14"/>
        <v>-238.53949515191383</v>
      </c>
      <c r="Q14" s="6">
        <f t="shared" si="14"/>
        <v>-276.60719225449515</v>
      </c>
      <c r="R14" s="6">
        <f t="shared" si="14"/>
        <v>-302.74846625766872</v>
      </c>
      <c r="S14" s="6">
        <f t="shared" si="14"/>
        <v>-307.74336283185841</v>
      </c>
      <c r="T14" s="6">
        <f t="shared" si="14"/>
        <v>-160.3463687150838</v>
      </c>
      <c r="U14" s="6">
        <f t="shared" si="14"/>
        <v>-263.98511166253098</v>
      </c>
      <c r="V14" s="6">
        <f t="shared" si="14"/>
        <v>-286.22899884925204</v>
      </c>
      <c r="W14" s="6">
        <f t="shared" si="14"/>
        <v>-269.56</v>
      </c>
      <c r="X14" s="6">
        <f t="shared" si="14"/>
        <v>-344.6695278969957</v>
      </c>
      <c r="Y14" s="6">
        <f t="shared" si="14"/>
        <v>-262.09431482090048</v>
      </c>
      <c r="Z14" s="6">
        <f t="shared" si="14"/>
        <v>-348.22630724159887</v>
      </c>
      <c r="AA14" s="6">
        <f t="shared" si="14"/>
        <v>-467.16460000000001</v>
      </c>
      <c r="AB14" s="6">
        <f t="shared" ref="AB14:AH14" si="15">-(AB13/100)*AB10</f>
        <v>-683.98129800000015</v>
      </c>
      <c r="AC14" s="6">
        <f t="shared" si="15"/>
        <v>-691.48791837442673</v>
      </c>
      <c r="AD14" s="6">
        <f t="shared" si="15"/>
        <v>-805.02536926351274</v>
      </c>
      <c r="AE14" s="6">
        <f t="shared" si="15"/>
        <v>-917.2407083441492</v>
      </c>
      <c r="AF14" s="6">
        <f t="shared" si="15"/>
        <v>-1076.5415882260195</v>
      </c>
      <c r="AG14" s="6">
        <f t="shared" si="15"/>
        <v>-1226.1836513513383</v>
      </c>
      <c r="AH14" s="6">
        <f t="shared" si="15"/>
        <v>-1386.899802188688</v>
      </c>
      <c r="AI14" s="6">
        <f t="shared" ref="AI14:AL14" si="16">-(AI13/100)*AI10</f>
        <v>-1517.5701154422663</v>
      </c>
      <c r="AJ14" s="6">
        <f t="shared" si="16"/>
        <v>-1627.2645532826368</v>
      </c>
      <c r="AK14" s="6">
        <f t="shared" si="16"/>
        <v>-1765.0013958496061</v>
      </c>
      <c r="AL14" s="6">
        <f t="shared" si="16"/>
        <v>-1923.2388929733461</v>
      </c>
    </row>
    <row r="15" spans="1:38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</row>
    <row r="16" spans="1:38" x14ac:dyDescent="0.2">
      <c r="A16" s="2"/>
      <c r="B16" s="77" t="s">
        <v>254</v>
      </c>
      <c r="C16" s="78"/>
      <c r="D16" s="78"/>
      <c r="E16" s="78"/>
      <c r="F16" s="78"/>
      <c r="G16" s="78"/>
      <c r="H16" s="78"/>
      <c r="I16" s="78"/>
      <c r="J16" s="79">
        <f>J10+J14</f>
        <v>291.54744551610474</v>
      </c>
      <c r="K16" s="79">
        <f t="shared" ref="K16:AA16" si="17">K10+K14</f>
        <v>262.83323565076853</v>
      </c>
      <c r="L16" s="79">
        <f t="shared" si="17"/>
        <v>289.533723804489</v>
      </c>
      <c r="M16" s="79">
        <f t="shared" si="17"/>
        <v>296.34907221991534</v>
      </c>
      <c r="N16" s="79">
        <f t="shared" si="17"/>
        <v>302.07965637897161</v>
      </c>
      <c r="O16" s="79">
        <f t="shared" si="17"/>
        <v>369.50494859186381</v>
      </c>
      <c r="P16" s="79">
        <f t="shared" si="17"/>
        <v>468.66750484808608</v>
      </c>
      <c r="Q16" s="79">
        <f t="shared" si="17"/>
        <v>604.3928077455048</v>
      </c>
      <c r="R16" s="79">
        <f t="shared" si="17"/>
        <v>646.25153374233128</v>
      </c>
      <c r="S16" s="79">
        <f t="shared" si="17"/>
        <v>762.25663716814165</v>
      </c>
      <c r="T16" s="79">
        <f t="shared" si="17"/>
        <v>347.65363128491617</v>
      </c>
      <c r="U16" s="79">
        <f t="shared" si="17"/>
        <v>630.01488833746907</v>
      </c>
      <c r="V16" s="79">
        <f t="shared" si="17"/>
        <v>666.77100115074791</v>
      </c>
      <c r="W16" s="79">
        <f t="shared" si="17"/>
        <v>650.44000000000005</v>
      </c>
      <c r="X16" s="79">
        <f t="shared" si="17"/>
        <v>836.33047210300424</v>
      </c>
      <c r="Y16" s="79">
        <f t="shared" si="17"/>
        <v>620.8056851790991</v>
      </c>
      <c r="Z16" s="79">
        <f t="shared" si="17"/>
        <v>711.82333428533832</v>
      </c>
      <c r="AA16" s="79">
        <f t="shared" si="17"/>
        <v>1114.8353999999999</v>
      </c>
      <c r="AB16" s="79">
        <f t="shared" ref="AB16:AH16" si="18">AB10+AB14</f>
        <v>1386.6187020000002</v>
      </c>
      <c r="AC16" s="79">
        <f t="shared" si="18"/>
        <v>1652.5389235727828</v>
      </c>
      <c r="AD16" s="79">
        <f t="shared" si="18"/>
        <v>1923.8741875619544</v>
      </c>
      <c r="AE16" s="79">
        <f t="shared" si="18"/>
        <v>2192.0498284156783</v>
      </c>
      <c r="AF16" s="79">
        <f t="shared" si="18"/>
        <v>2572.7519311842166</v>
      </c>
      <c r="AG16" s="79">
        <f t="shared" si="18"/>
        <v>2930.3710989921819</v>
      </c>
      <c r="AH16" s="79">
        <f t="shared" si="18"/>
        <v>3314.4554594678812</v>
      </c>
      <c r="AI16" s="79">
        <f t="shared" ref="AI16:AL16" si="19">AI10+AI14</f>
        <v>3626.7353606332131</v>
      </c>
      <c r="AJ16" s="79">
        <f t="shared" si="19"/>
        <v>3888.8864747940984</v>
      </c>
      <c r="AK16" s="79">
        <f t="shared" si="19"/>
        <v>4218.0541833016014</v>
      </c>
      <c r="AL16" s="79">
        <f t="shared" si="19"/>
        <v>4596.2149815125731</v>
      </c>
    </row>
    <row r="17" spans="1:38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38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</row>
    <row r="19" spans="1:38" x14ac:dyDescent="0.2">
      <c r="A19" s="2"/>
      <c r="B19" s="35" t="s">
        <v>266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</row>
    <row r="20" spans="1:38" x14ac:dyDescent="0.2">
      <c r="A20" s="2"/>
      <c r="B20" s="2" t="s">
        <v>267</v>
      </c>
      <c r="C20" s="2"/>
      <c r="D20" s="2"/>
      <c r="E20" s="2"/>
      <c r="F20" s="2"/>
      <c r="G20" s="2"/>
      <c r="H20" s="2"/>
      <c r="I20" s="2"/>
      <c r="J20" s="15">
        <f>Model!J238</f>
        <v>284.19600000000003</v>
      </c>
      <c r="K20" s="15">
        <f>Model!K238</f>
        <v>310.06799999999998</v>
      </c>
      <c r="L20" s="15">
        <f>Model!L238</f>
        <v>377.86500000000001</v>
      </c>
      <c r="M20" s="15">
        <f>Model!M238</f>
        <v>365.75599999999997</v>
      </c>
      <c r="N20" s="15">
        <f>Model!N238</f>
        <v>344.55399999999997</v>
      </c>
      <c r="O20" s="15">
        <f>Model!O238</f>
        <v>367.928</v>
      </c>
      <c r="P20" s="15">
        <f>Model!P238</f>
        <v>424</v>
      </c>
      <c r="Q20" s="15">
        <f>Model!Q238</f>
        <v>689</v>
      </c>
      <c r="R20" s="15">
        <f>Model!R238</f>
        <v>702</v>
      </c>
      <c r="S20" s="15">
        <f>Model!S238</f>
        <v>886</v>
      </c>
      <c r="T20" s="15">
        <f>Model!T238</f>
        <v>723</v>
      </c>
      <c r="U20" s="15">
        <f>Model!U238</f>
        <v>855</v>
      </c>
      <c r="V20" s="15">
        <f>Model!V238</f>
        <v>963</v>
      </c>
      <c r="W20" s="15">
        <f>Model!W238</f>
        <v>1095</v>
      </c>
      <c r="X20" s="15">
        <f>Model!X238</f>
        <v>1238</v>
      </c>
      <c r="Y20" s="15">
        <f>Model!Y238</f>
        <v>1454</v>
      </c>
      <c r="Z20" s="15">
        <f>Model!Z238</f>
        <v>1638</v>
      </c>
      <c r="AA20" s="15">
        <f>Model!AA238</f>
        <v>1915</v>
      </c>
      <c r="AB20" s="15">
        <f>Model!AB238</f>
        <v>2000</v>
      </c>
      <c r="AC20" s="15">
        <f>Model!AC238</f>
        <v>2590.1586233338148</v>
      </c>
      <c r="AD20" s="15">
        <f>Model!AD238</f>
        <v>3182.3904544294055</v>
      </c>
      <c r="AE20" s="15">
        <f>Model!AE238</f>
        <v>3771.0545492405636</v>
      </c>
      <c r="AF20" s="15">
        <f>Model!AF238</f>
        <v>4349.4941615015932</v>
      </c>
      <c r="AG20" s="15">
        <f>Model!AG238</f>
        <v>4915.2751379029924</v>
      </c>
      <c r="AH20" s="15">
        <f>Model!AH238</f>
        <v>5528.5261876057339</v>
      </c>
      <c r="AI20" s="15">
        <f>Model!AI238</f>
        <v>6185.3450447276664</v>
      </c>
      <c r="AJ20" s="15">
        <f>Model!AJ238</f>
        <v>6888.4711745414879</v>
      </c>
      <c r="AK20" s="15">
        <f>Model!AK238</f>
        <v>7603.8910724564812</v>
      </c>
      <c r="AL20" s="15">
        <f>Model!AL238</f>
        <v>8331.2657081876641</v>
      </c>
    </row>
    <row r="21" spans="1:38" x14ac:dyDescent="0.2">
      <c r="A21" s="2"/>
      <c r="B21" s="2" t="s">
        <v>269</v>
      </c>
      <c r="C21" s="2"/>
      <c r="D21" s="2"/>
      <c r="E21" s="2"/>
      <c r="F21" s="2"/>
      <c r="G21" s="2"/>
      <c r="H21" s="2"/>
      <c r="I21" s="2"/>
      <c r="J21" s="9">
        <f>Model!J239+Model!J241+Model!J240</f>
        <v>708.99300000000005</v>
      </c>
      <c r="K21" s="9">
        <f>Model!K239+Model!K241+Model!K240</f>
        <v>678.66100000000006</v>
      </c>
      <c r="L21" s="9">
        <f>Model!L239+Model!L241+Model!L240</f>
        <v>671.19999999999993</v>
      </c>
      <c r="M21" s="9">
        <f>Model!M239+Model!M241+Model!M240</f>
        <v>754.23699999999997</v>
      </c>
      <c r="N21" s="9">
        <f>Model!N239+Model!N241+Model!N240</f>
        <v>694.84199999999998</v>
      </c>
      <c r="O21" s="9">
        <f>Model!O239+Model!O241+Model!O240</f>
        <v>668.73800000000006</v>
      </c>
      <c r="P21" s="9">
        <f>Model!P239+Model!P241+Model!P240</f>
        <v>527</v>
      </c>
      <c r="Q21" s="9">
        <f>Model!Q239+Model!Q241+Model!Q240</f>
        <v>3193</v>
      </c>
      <c r="R21" s="9">
        <f>Model!R239+Model!R241+Model!R240</f>
        <v>2921</v>
      </c>
      <c r="S21" s="9">
        <f>Model!S239+Model!S241+Model!S240</f>
        <v>3093</v>
      </c>
      <c r="T21" s="9">
        <f>Model!T239+Model!T241+Model!T240</f>
        <v>2980</v>
      </c>
      <c r="U21" s="9">
        <f>Model!U239+Model!U241+Model!U240</f>
        <v>3128</v>
      </c>
      <c r="V21" s="9">
        <f>Model!V239+Model!V241+Model!V240</f>
        <v>3216</v>
      </c>
      <c r="W21" s="9">
        <f>Model!W239+Model!W241+Model!W240</f>
        <v>2932</v>
      </c>
      <c r="X21" s="9">
        <f>Model!X239+Model!X241+Model!X240</f>
        <v>2787</v>
      </c>
      <c r="Y21" s="9">
        <f>Model!Y239+Model!Y241+Model!Y240</f>
        <v>2763</v>
      </c>
      <c r="Z21" s="9">
        <f>Model!Z239+Model!Z241+Model!Z240</f>
        <v>3208</v>
      </c>
      <c r="AA21" s="9">
        <f>Model!AA239+Model!AA241+Model!AA240</f>
        <v>3259</v>
      </c>
      <c r="AB21" s="9">
        <f>Model!AB239+Model!AB241+Model!AB240</f>
        <v>2683</v>
      </c>
      <c r="AC21" s="9">
        <f>Model!AC239+Model!AC241+Model!AC240</f>
        <v>2678.58</v>
      </c>
      <c r="AD21" s="9">
        <f>Model!AD239+Model!AD241+Model!AD240</f>
        <v>2672.8972847222221</v>
      </c>
      <c r="AE21" s="9">
        <f>Model!AE239+Model!AE241+Model!AE240</f>
        <v>2665.915459852381</v>
      </c>
      <c r="AF21" s="9">
        <f>Model!AF239+Model!AF241+Model!AF240</f>
        <v>2656.836707081653</v>
      </c>
      <c r="AG21" s="9">
        <f>Model!AG239+Model!AG241+Model!AG240</f>
        <v>2645.6610264100373</v>
      </c>
      <c r="AH21" s="9">
        <f>Model!AH239+Model!AH241+Model!AH240</f>
        <v>2632.3884178375351</v>
      </c>
      <c r="AI21" s="9">
        <f>Model!AI239+Model!AI241+Model!AI240</f>
        <v>2617.0188813641457</v>
      </c>
      <c r="AJ21" s="9">
        <f>Model!AJ239+Model!AJ241+Model!AJ240</f>
        <v>2599.5524169898695</v>
      </c>
      <c r="AK21" s="9">
        <f>Model!AK239+Model!AK241+Model!AK240</f>
        <v>2579.9890247147059</v>
      </c>
      <c r="AL21" s="9">
        <f>Model!AL239+Model!AL241+Model!AL240</f>
        <v>2558.328704538656</v>
      </c>
    </row>
    <row r="22" spans="1:38" x14ac:dyDescent="0.2">
      <c r="A22" s="11"/>
      <c r="B22" s="11" t="s">
        <v>270</v>
      </c>
      <c r="C22" s="11"/>
      <c r="D22" s="11"/>
      <c r="E22" s="11"/>
      <c r="F22" s="11"/>
      <c r="G22" s="11"/>
      <c r="H22" s="11"/>
      <c r="I22" s="11"/>
      <c r="J22" s="14">
        <f>Model!J243+Model!J242+Model!J244</f>
        <v>245.53399999999999</v>
      </c>
      <c r="K22" s="14">
        <f>Model!K243+Model!K242+Model!K244</f>
        <v>243.70599999999999</v>
      </c>
      <c r="L22" s="14">
        <f>Model!L243+Model!L242+Model!L244</f>
        <v>255.63299999999998</v>
      </c>
      <c r="M22" s="14">
        <f>Model!M243+Model!M242+Model!M244</f>
        <v>314.827</v>
      </c>
      <c r="N22" s="14">
        <f>Model!N243+Model!N242+Model!N244</f>
        <v>371.46100000000001</v>
      </c>
      <c r="O22" s="14">
        <f>Model!O243+Model!O242+Model!O244</f>
        <v>362.27199999999999</v>
      </c>
      <c r="P22" s="14">
        <f>Model!P243+Model!P242+Model!P244</f>
        <v>432</v>
      </c>
      <c r="Q22" s="14">
        <f>Model!Q243+Model!Q242+Model!Q244</f>
        <v>572</v>
      </c>
      <c r="R22" s="14">
        <f>Model!R243+Model!R242+Model!R244</f>
        <v>565</v>
      </c>
      <c r="S22" s="14">
        <f>Model!S243+Model!S242+Model!S244</f>
        <v>620</v>
      </c>
      <c r="T22" s="14">
        <f>Model!T243+Model!T242+Model!T244</f>
        <v>687</v>
      </c>
      <c r="U22" s="14">
        <f>Model!U243+Model!U242+Model!U244</f>
        <v>755</v>
      </c>
      <c r="V22" s="14">
        <f>Model!V243+Model!V242+Model!V244</f>
        <v>730</v>
      </c>
      <c r="W22" s="14">
        <f>Model!W243+Model!W242+Model!W244</f>
        <v>747</v>
      </c>
      <c r="X22" s="14">
        <f>Model!X243+Model!X242+Model!X244</f>
        <v>717</v>
      </c>
      <c r="Y22" s="14">
        <f>Model!Y243+Model!Y242+Model!Y244</f>
        <v>853</v>
      </c>
      <c r="Z22" s="14">
        <f>Model!Z243+Model!Z242+Model!Z244</f>
        <v>1000</v>
      </c>
      <c r="AA22" s="14">
        <f>Model!AA243+Model!AA242+Model!AA244</f>
        <v>1116</v>
      </c>
      <c r="AB22" s="14">
        <f>Model!AB243+Model!AB242+Model!AB244</f>
        <v>1193.4000000000001</v>
      </c>
      <c r="AC22" s="14">
        <f>Model!AC243+Model!AC242+Model!AC244</f>
        <v>1193.4000000000001</v>
      </c>
      <c r="AD22" s="14">
        <f>Model!AD243+Model!AD242+Model!AD244</f>
        <v>1193.4000000000001</v>
      </c>
      <c r="AE22" s="14">
        <f>Model!AE243+Model!AE242+Model!AE244</f>
        <v>1193.4000000000001</v>
      </c>
      <c r="AF22" s="14">
        <f>Model!AF243+Model!AF242+Model!AF244</f>
        <v>1193.4000000000001</v>
      </c>
      <c r="AG22" s="14">
        <f>Model!AG243+Model!AG242+Model!AG244</f>
        <v>1193.4000000000001</v>
      </c>
      <c r="AH22" s="14">
        <f>Model!AH243+Model!AH242+Model!AH244</f>
        <v>1193.4000000000001</v>
      </c>
      <c r="AI22" s="14">
        <f>Model!AI243+Model!AI242+Model!AI244</f>
        <v>1193.4000000000001</v>
      </c>
      <c r="AJ22" s="14">
        <f>Model!AJ243+Model!AJ242+Model!AJ244</f>
        <v>1193.4000000000001</v>
      </c>
      <c r="AK22" s="14">
        <f>Model!AK243+Model!AK242+Model!AK244</f>
        <v>1193.4000000000001</v>
      </c>
      <c r="AL22" s="14">
        <f>Model!AL243+Model!AL242+Model!AL244</f>
        <v>1193.4000000000001</v>
      </c>
    </row>
    <row r="23" spans="1:38" x14ac:dyDescent="0.2">
      <c r="A23" s="8"/>
      <c r="B23" s="8" t="s">
        <v>369</v>
      </c>
      <c r="C23" s="8"/>
      <c r="D23" s="8"/>
      <c r="E23" s="8"/>
      <c r="F23" s="8"/>
      <c r="G23" s="8"/>
      <c r="H23" s="8"/>
      <c r="I23" s="8"/>
      <c r="J23" s="9">
        <f>J20+J21+J22</f>
        <v>1238.723</v>
      </c>
      <c r="K23" s="9">
        <f t="shared" ref="K23:AA23" si="20">K20+K21+K22</f>
        <v>1232.4349999999999</v>
      </c>
      <c r="L23" s="9">
        <f t="shared" si="20"/>
        <v>1304.6980000000001</v>
      </c>
      <c r="M23" s="9">
        <f t="shared" si="20"/>
        <v>1434.82</v>
      </c>
      <c r="N23" s="9">
        <f t="shared" si="20"/>
        <v>1410.857</v>
      </c>
      <c r="O23" s="9">
        <f t="shared" si="20"/>
        <v>1398.9380000000001</v>
      </c>
      <c r="P23" s="9">
        <f t="shared" si="20"/>
        <v>1383</v>
      </c>
      <c r="Q23" s="9">
        <f t="shared" si="20"/>
        <v>4454</v>
      </c>
      <c r="R23" s="9">
        <f t="shared" si="20"/>
        <v>4188</v>
      </c>
      <c r="S23" s="9">
        <f t="shared" si="20"/>
        <v>4599</v>
      </c>
      <c r="T23" s="9">
        <f t="shared" si="20"/>
        <v>4390</v>
      </c>
      <c r="U23" s="9">
        <f t="shared" si="20"/>
        <v>4738</v>
      </c>
      <c r="V23" s="9">
        <f t="shared" si="20"/>
        <v>4909</v>
      </c>
      <c r="W23" s="9">
        <f t="shared" si="20"/>
        <v>4774</v>
      </c>
      <c r="X23" s="9">
        <f t="shared" si="20"/>
        <v>4742</v>
      </c>
      <c r="Y23" s="9">
        <f t="shared" si="20"/>
        <v>5070</v>
      </c>
      <c r="Z23" s="9">
        <f t="shared" si="20"/>
        <v>5846</v>
      </c>
      <c r="AA23" s="9">
        <f t="shared" si="20"/>
        <v>6290</v>
      </c>
      <c r="AB23" s="9">
        <f t="shared" ref="AB23:AH23" si="21">AB20+AB21+AB22</f>
        <v>5876.4</v>
      </c>
      <c r="AC23" s="9">
        <f t="shared" si="21"/>
        <v>6462.1386233338144</v>
      </c>
      <c r="AD23" s="9">
        <f t="shared" si="21"/>
        <v>7048.6877391516282</v>
      </c>
      <c r="AE23" s="9">
        <f t="shared" si="21"/>
        <v>7630.3700090929451</v>
      </c>
      <c r="AF23" s="9">
        <f t="shared" si="21"/>
        <v>8199.7308685832468</v>
      </c>
      <c r="AG23" s="9">
        <f t="shared" si="21"/>
        <v>8754.3361643130302</v>
      </c>
      <c r="AH23" s="9">
        <f t="shared" si="21"/>
        <v>9354.3146054432691</v>
      </c>
      <c r="AI23" s="9">
        <f t="shared" ref="AI23:AL23" si="22">AI20+AI21+AI22</f>
        <v>9995.7639260918113</v>
      </c>
      <c r="AJ23" s="9">
        <f t="shared" si="22"/>
        <v>10681.423591531357</v>
      </c>
      <c r="AK23" s="9">
        <f t="shared" si="22"/>
        <v>11377.280097171186</v>
      </c>
      <c r="AL23" s="9">
        <f t="shared" si="22"/>
        <v>12082.994412726321</v>
      </c>
    </row>
    <row r="24" spans="1:38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1:38" x14ac:dyDescent="0.2">
      <c r="A25" s="2"/>
      <c r="B25" s="2" t="s">
        <v>271</v>
      </c>
      <c r="C25" s="2"/>
      <c r="D25" s="2"/>
      <c r="E25" s="2"/>
      <c r="F25" s="2"/>
      <c r="G25" s="2"/>
      <c r="H25" s="2"/>
      <c r="I25" s="2"/>
      <c r="J25" s="6">
        <f>Model!J248+Model!J249-Model!J261</f>
        <v>1590.3200000000002</v>
      </c>
      <c r="K25" s="6">
        <f>Model!K248+Model!K249-Model!K261</f>
        <v>1894.837</v>
      </c>
      <c r="L25" s="6">
        <f>Model!L248+Model!L249-Model!L261</f>
        <v>1896.5540000000001</v>
      </c>
      <c r="M25" s="6">
        <f>Model!M248+Model!M249-Model!M261</f>
        <v>1814.1389999999999</v>
      </c>
      <c r="N25" s="6">
        <f>Model!N248+Model!N249-Model!N261</f>
        <v>1646.337</v>
      </c>
      <c r="O25" s="6">
        <f>Model!O248+Model!O249-Model!O261</f>
        <v>1610.0070000000001</v>
      </c>
      <c r="P25" s="6">
        <f>Model!P248+Model!P249-Model!P261</f>
        <v>1511</v>
      </c>
      <c r="Q25" s="6">
        <f>Model!Q248+Model!Q249-Model!Q261</f>
        <v>2270</v>
      </c>
      <c r="R25" s="6">
        <f>Model!R248+Model!R249-Model!R261</f>
        <v>2239</v>
      </c>
      <c r="S25" s="6">
        <f>Model!S248+Model!S249-Model!S261</f>
        <v>2401</v>
      </c>
      <c r="T25" s="6">
        <f>Model!T248+Model!T249-Model!T261</f>
        <v>1734</v>
      </c>
      <c r="U25" s="6">
        <f>Model!U248+Model!U249-Model!U261</f>
        <v>2092</v>
      </c>
      <c r="V25" s="6">
        <f>Model!V248+Model!V249-Model!V261</f>
        <v>2210</v>
      </c>
      <c r="W25" s="6">
        <f>Model!W248+Model!W249-Model!W261</f>
        <v>2384</v>
      </c>
      <c r="X25" s="6">
        <f>Model!X248+Model!X249-Model!X261</f>
        <v>2618</v>
      </c>
      <c r="Y25" s="6">
        <f>Model!Y248+Model!Y249-Model!Y261</f>
        <v>2820</v>
      </c>
      <c r="Z25" s="6">
        <f>Model!Z248+Model!Z249-Model!Z261</f>
        <v>3138</v>
      </c>
      <c r="AA25" s="6">
        <f>Model!AA248+Model!AA249-Model!AA261</f>
        <v>3467</v>
      </c>
      <c r="AB25" s="6">
        <f>Model!AB248+Model!AB249-Model!AB261</f>
        <v>4032.8</v>
      </c>
      <c r="AC25" s="6">
        <f>Model!AC248+Model!AC249-Model!AC261</f>
        <v>3817.3592424313283</v>
      </c>
      <c r="AD25" s="6">
        <f>Model!AD248+Model!AD249-Model!AD261</f>
        <v>4071.929553578585</v>
      </c>
      <c r="AE25" s="6">
        <f>Model!AE248+Model!AE249-Model!AE261</f>
        <v>4219.989873929575</v>
      </c>
      <c r="AF25" s="6">
        <f>Model!AF248+Model!AF249-Model!AF261</f>
        <v>4362.0666376371173</v>
      </c>
      <c r="AG25" s="6">
        <f>Model!AG248+Model!AG249-Model!AG261</f>
        <v>4607.5759321112837</v>
      </c>
      <c r="AH25" s="6">
        <f>Model!AH248+Model!AH249-Model!AH261</f>
        <v>4729.991575181657</v>
      </c>
      <c r="AI25" s="6">
        <f>Model!AI248+Model!AI249-Model!AI261</f>
        <v>5002.1679765514182</v>
      </c>
      <c r="AJ25" s="6">
        <f>Model!AJ248+Model!AJ249-Model!AJ261</f>
        <v>5295.3419973994978</v>
      </c>
      <c r="AK25" s="6">
        <f>Model!AK248+Model!AK249-Model!AK261</f>
        <v>5446.9479255849237</v>
      </c>
      <c r="AL25" s="6">
        <f>Model!AL248+Model!AL249-Model!AL261</f>
        <v>5703.7174440644712</v>
      </c>
    </row>
    <row r="26" spans="1:38" x14ac:dyDescent="0.2">
      <c r="A26" s="11"/>
      <c r="B26" s="11" t="s">
        <v>272</v>
      </c>
      <c r="C26" s="11"/>
      <c r="D26" s="11"/>
      <c r="E26" s="11"/>
      <c r="F26" s="11"/>
      <c r="G26" s="11"/>
      <c r="H26" s="11"/>
      <c r="I26" s="11"/>
      <c r="J26" s="14">
        <f>Model!J250+Model!J251+Model!J252-Model!J262-Model!J263-Model!J264-Model!J265-Model!J266-Model!J273-Model!J274-Model!J275</f>
        <v>-413.01400000000001</v>
      </c>
      <c r="K26" s="14">
        <f>Model!K250+Model!K251+Model!K252-Model!K262-Model!K263-Model!K264-Model!K265-Model!K266-Model!K273-Model!K274-Model!K275</f>
        <v>-345.09100000000001</v>
      </c>
      <c r="L26" s="14">
        <f>Model!L250+Model!L251+Model!L252-Model!L262-Model!L263-Model!L264-Model!L265-Model!L266-Model!L273-Model!L274-Model!L275</f>
        <v>-355.57800000000003</v>
      </c>
      <c r="M26" s="14">
        <f>Model!M250+Model!M251+Model!M252-Model!M262-Model!M263-Model!M264-Model!M265-Model!M266-Model!M273-Model!M274-Model!M275</f>
        <v>-515.03800000000001</v>
      </c>
      <c r="N26" s="14">
        <f>Model!N250+Model!N251+Model!N252-Model!N262-Model!N263-Model!N264-Model!N265-Model!N266-Model!N273-Model!N274-Model!N275</f>
        <v>-593.09</v>
      </c>
      <c r="O26" s="14">
        <f>Model!O250+Model!O251+Model!O252-Model!O262-Model!O263-Model!O264-Model!O265-Model!O266-Model!O273-Model!O274-Model!O275</f>
        <v>-651.7349999999999</v>
      </c>
      <c r="P26" s="14">
        <f>Model!P250+Model!P251+Model!P252-Model!P262-Model!P263-Model!P264-Model!P265-Model!P266-Model!P273-Model!P274-Model!P275</f>
        <v>-585</v>
      </c>
      <c r="Q26" s="14">
        <f>Model!Q250+Model!Q251+Model!Q252-Model!Q262-Model!Q263-Model!Q264-Model!Q265-Model!Q266-Model!Q273-Model!Q274-Model!Q275</f>
        <v>-1523</v>
      </c>
      <c r="R26" s="14">
        <f>Model!R250+Model!R251+Model!R252-Model!R262-Model!R263-Model!R264-Model!R265-Model!R266-Model!R273-Model!R274-Model!R275</f>
        <v>-1503</v>
      </c>
      <c r="S26" s="14">
        <f>Model!S250+Model!S251+Model!S252-Model!S262-Model!S263-Model!S264-Model!S265-Model!S266-Model!S273-Model!S274-Model!S275</f>
        <v>-1280</v>
      </c>
      <c r="T26" s="14">
        <f>Model!T250+Model!T251+Model!T252-Model!T262-Model!T263-Model!T264-Model!T265-Model!T266-Model!T273-Model!T274-Model!T275</f>
        <v>-1274</v>
      </c>
      <c r="U26" s="14">
        <f>Model!U250+Model!U251+Model!U252-Model!U262-Model!U263-Model!U264-Model!U265-Model!U266-Model!U273-Model!U274-Model!U275</f>
        <v>-1806</v>
      </c>
      <c r="V26" s="14">
        <f>Model!V250+Model!V251+Model!V252-Model!V262-Model!V263-Model!V264-Model!V265-Model!V266-Model!V273-Model!V274-Model!V275</f>
        <v>-1877</v>
      </c>
      <c r="W26" s="14">
        <f>Model!W250+Model!W251+Model!W252-Model!W262-Model!W263-Model!W264-Model!W265-Model!W266-Model!W273-Model!W274-Model!W275</f>
        <v>-2064</v>
      </c>
      <c r="X26" s="14">
        <f>Model!X250+Model!X251+Model!X252-Model!X262-Model!X263-Model!X264-Model!X265-Model!X266-Model!X273-Model!X274-Model!X275</f>
        <v>-1918</v>
      </c>
      <c r="Y26" s="14">
        <f>Model!Y250+Model!Y251+Model!Y252-Model!Y262-Model!Y263-Model!Y264-Model!Y265-Model!Y266-Model!Y273-Model!Y274-Model!Y275</f>
        <v>-1804.6000000000001</v>
      </c>
      <c r="Z26" s="14">
        <f>Model!Z250+Model!Z251+Model!Z252-Model!Z262-Model!Z263-Model!Z264-Model!Z265-Model!Z266-Model!Z273-Model!Z274-Model!Z275</f>
        <v>-2604</v>
      </c>
      <c r="AA26" s="14">
        <f>Model!AA250+Model!AA251+Model!AA252-Model!AA262-Model!AA263-Model!AA264-Model!AA265-Model!AA266-Model!AA273-Model!AA274-Model!AA275</f>
        <v>-2845</v>
      </c>
      <c r="AB26" s="14">
        <f>Model!AB250+Model!AB251+Model!AB252-Model!AB262-Model!AB263-Model!AB264-Model!AB265-Model!AB266-Model!AB273-Model!AB274-Model!AB275</f>
        <v>-3659.4</v>
      </c>
      <c r="AC26" s="14">
        <f>Model!AC250+Model!AC251+Model!AC252-Model!AC262-Model!AC263-Model!AC264-Model!AC265-Model!AC266-Model!AC273-Model!AC274-Model!AC275</f>
        <v>-3659.4</v>
      </c>
      <c r="AD26" s="14">
        <f>Model!AD250+Model!AD251+Model!AD252-Model!AD262-Model!AD263-Model!AD264-Model!AD265-Model!AD266-Model!AD273-Model!AD274-Model!AD275</f>
        <v>-3659.4</v>
      </c>
      <c r="AE26" s="14">
        <f>Model!AE250+Model!AE251+Model!AE252-Model!AE262-Model!AE263-Model!AE264-Model!AE265-Model!AE266-Model!AE273-Model!AE274-Model!AE275</f>
        <v>-3659.4</v>
      </c>
      <c r="AF26" s="14">
        <f>Model!AF250+Model!AF251+Model!AF252-Model!AF262-Model!AF263-Model!AF264-Model!AF265-Model!AF266-Model!AF273-Model!AF274-Model!AF275</f>
        <v>-3659.4</v>
      </c>
      <c r="AG26" s="14">
        <f>Model!AG250+Model!AG251+Model!AG252-Model!AG262-Model!AG263-Model!AG264-Model!AG265-Model!AG266-Model!AG273-Model!AG274-Model!AG275</f>
        <v>-3659.4</v>
      </c>
      <c r="AH26" s="14">
        <f>Model!AH250+Model!AH251+Model!AH252-Model!AH262-Model!AH263-Model!AH264-Model!AH265-Model!AH266-Model!AH273-Model!AH274-Model!AH275</f>
        <v>-3659.4</v>
      </c>
      <c r="AI26" s="14">
        <f>Model!AI250+Model!AI251+Model!AI252-Model!AI262-Model!AI263-Model!AI264-Model!AI265-Model!AI266-Model!AI273-Model!AI274-Model!AI275</f>
        <v>-3659.4</v>
      </c>
      <c r="AJ26" s="14">
        <f>Model!AJ250+Model!AJ251+Model!AJ252-Model!AJ262-Model!AJ263-Model!AJ264-Model!AJ265-Model!AJ266-Model!AJ273-Model!AJ274-Model!AJ275</f>
        <v>-3659.4</v>
      </c>
      <c r="AK26" s="14">
        <f>Model!AK250+Model!AK251+Model!AK252-Model!AK262-Model!AK263-Model!AK264-Model!AK265-Model!AK266-Model!AK273-Model!AK274-Model!AK275</f>
        <v>-3659.4</v>
      </c>
      <c r="AL26" s="14">
        <f>Model!AL250+Model!AL251+Model!AL252-Model!AL262-Model!AL263-Model!AL264-Model!AL265-Model!AL266-Model!AL273-Model!AL274-Model!AL275</f>
        <v>-3659.4</v>
      </c>
    </row>
    <row r="27" spans="1:38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</row>
    <row r="28" spans="1:38" x14ac:dyDescent="0.2">
      <c r="A28" s="8"/>
      <c r="B28" s="29" t="s">
        <v>273</v>
      </c>
      <c r="C28" s="29"/>
      <c r="D28" s="29"/>
      <c r="E28" s="29"/>
      <c r="F28" s="29"/>
      <c r="G28" s="29"/>
      <c r="H28" s="29"/>
      <c r="I28" s="29"/>
      <c r="J28" s="80" t="s">
        <v>274</v>
      </c>
      <c r="K28" s="30">
        <f>J23+J25+J26</f>
        <v>2416.029</v>
      </c>
      <c r="L28" s="30">
        <f t="shared" ref="L28:AC28" si="23">K23+K25+K26</f>
        <v>2782.181</v>
      </c>
      <c r="M28" s="30">
        <f t="shared" si="23"/>
        <v>2845.6740000000004</v>
      </c>
      <c r="N28" s="30">
        <f t="shared" si="23"/>
        <v>2733.9209999999998</v>
      </c>
      <c r="O28" s="30">
        <f t="shared" si="23"/>
        <v>2464.1039999999998</v>
      </c>
      <c r="P28" s="30">
        <f t="shared" si="23"/>
        <v>2357.21</v>
      </c>
      <c r="Q28" s="30">
        <f t="shared" si="23"/>
        <v>2309</v>
      </c>
      <c r="R28" s="30">
        <f t="shared" si="23"/>
        <v>5201</v>
      </c>
      <c r="S28" s="30">
        <f t="shared" si="23"/>
        <v>4924</v>
      </c>
      <c r="T28" s="30">
        <f t="shared" si="23"/>
        <v>5720</v>
      </c>
      <c r="U28" s="30">
        <f t="shared" si="23"/>
        <v>4850</v>
      </c>
      <c r="V28" s="30">
        <f t="shared" si="23"/>
        <v>5024</v>
      </c>
      <c r="W28" s="30">
        <f t="shared" si="23"/>
        <v>5242</v>
      </c>
      <c r="X28" s="30">
        <f t="shared" si="23"/>
        <v>5094</v>
      </c>
      <c r="Y28" s="30">
        <f t="shared" si="23"/>
        <v>5442</v>
      </c>
      <c r="Z28" s="30">
        <f t="shared" si="23"/>
        <v>6085.4</v>
      </c>
      <c r="AA28" s="30">
        <f t="shared" si="23"/>
        <v>6380</v>
      </c>
      <c r="AB28" s="30">
        <f t="shared" si="23"/>
        <v>6912</v>
      </c>
      <c r="AC28" s="30">
        <f t="shared" si="23"/>
        <v>6249.8000000000011</v>
      </c>
      <c r="AD28" s="30">
        <f t="shared" ref="AD28:AL28" si="24">AC23+AC25+AC26</f>
        <v>6620.0978657651431</v>
      </c>
      <c r="AE28" s="30">
        <f t="shared" si="24"/>
        <v>7461.2172927302145</v>
      </c>
      <c r="AF28" s="30">
        <f t="shared" si="24"/>
        <v>8190.9598830225204</v>
      </c>
      <c r="AG28" s="30">
        <f t="shared" si="24"/>
        <v>8902.3975062203644</v>
      </c>
      <c r="AH28" s="30">
        <f t="shared" si="24"/>
        <v>9702.5120964243142</v>
      </c>
      <c r="AI28" s="30">
        <f t="shared" si="24"/>
        <v>10424.906180624926</v>
      </c>
      <c r="AJ28" s="30">
        <f t="shared" si="24"/>
        <v>11338.53190264323</v>
      </c>
      <c r="AK28" s="30">
        <f t="shared" si="24"/>
        <v>12317.365588930856</v>
      </c>
      <c r="AL28" s="30">
        <f t="shared" si="24"/>
        <v>13164.82802275611</v>
      </c>
    </row>
    <row r="29" spans="1:38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1:38" x14ac:dyDescent="0.2">
      <c r="A30" s="8"/>
      <c r="B30" s="81" t="s">
        <v>275</v>
      </c>
      <c r="C30" s="81"/>
      <c r="D30" s="81"/>
      <c r="E30" s="81"/>
      <c r="F30" s="81"/>
      <c r="G30" s="81"/>
      <c r="H30" s="81"/>
      <c r="I30" s="81"/>
      <c r="J30" s="81"/>
      <c r="K30" s="82">
        <f>K16/K28%</f>
        <v>10.878728510740912</v>
      </c>
      <c r="L30" s="82">
        <f t="shared" ref="L30:AC30" si="25">L16/L28%</f>
        <v>10.40671774426211</v>
      </c>
      <c r="M30" s="82">
        <f t="shared" si="25"/>
        <v>10.414020447174037</v>
      </c>
      <c r="N30" s="82">
        <f t="shared" si="25"/>
        <v>11.049319141956612</v>
      </c>
      <c r="O30" s="82">
        <f t="shared" si="25"/>
        <v>14.995509466802694</v>
      </c>
      <c r="P30" s="82">
        <f t="shared" si="25"/>
        <v>19.88229749780826</v>
      </c>
      <c r="Q30" s="82">
        <f t="shared" si="25"/>
        <v>26.175522206388255</v>
      </c>
      <c r="R30" s="82">
        <f t="shared" si="25"/>
        <v>12.425524586470511</v>
      </c>
      <c r="S30" s="82">
        <f t="shared" si="25"/>
        <v>15.480435360847718</v>
      </c>
      <c r="T30" s="82">
        <f t="shared" si="25"/>
        <v>6.0778606867992337</v>
      </c>
      <c r="U30" s="82">
        <f t="shared" si="25"/>
        <v>12.989997697679774</v>
      </c>
      <c r="V30" s="82">
        <f t="shared" si="25"/>
        <v>13.271715787236223</v>
      </c>
      <c r="W30" s="82">
        <f t="shared" si="25"/>
        <v>12.408241129339947</v>
      </c>
      <c r="X30" s="82">
        <f t="shared" si="25"/>
        <v>16.417951945484969</v>
      </c>
      <c r="Y30" s="82">
        <f t="shared" si="25"/>
        <v>11.407675214610421</v>
      </c>
      <c r="Z30" s="82">
        <f t="shared" si="25"/>
        <v>11.697231641064487</v>
      </c>
      <c r="AA30" s="82">
        <f t="shared" si="25"/>
        <v>17.473909090909089</v>
      </c>
      <c r="AB30" s="82">
        <f t="shared" si="25"/>
        <v>20.061034461805558</v>
      </c>
      <c r="AC30" s="82">
        <f t="shared" si="25"/>
        <v>26.441468904169454</v>
      </c>
      <c r="AD30" s="82">
        <f t="shared" ref="AD30:AL30" si="26">AD16/AD28%</f>
        <v>29.061113998193065</v>
      </c>
      <c r="AE30" s="82">
        <f t="shared" si="26"/>
        <v>29.379251969400315</v>
      </c>
      <c r="AF30" s="82">
        <f t="shared" si="26"/>
        <v>31.409651224355081</v>
      </c>
      <c r="AG30" s="82">
        <f t="shared" si="26"/>
        <v>32.916650789235668</v>
      </c>
      <c r="AH30" s="82">
        <f t="shared" si="26"/>
        <v>34.160796982560463</v>
      </c>
      <c r="AI30" s="82">
        <f t="shared" si="26"/>
        <v>34.78914148286183</v>
      </c>
      <c r="AJ30" s="82">
        <f t="shared" si="26"/>
        <v>34.297971802571055</v>
      </c>
      <c r="AK30" s="82">
        <f t="shared" si="26"/>
        <v>34.244775417660776</v>
      </c>
      <c r="AL30" s="82">
        <f t="shared" si="26"/>
        <v>34.912837247609843</v>
      </c>
    </row>
    <row r="31" spans="1:38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</row>
    <row r="32" spans="1:38" x14ac:dyDescent="0.2">
      <c r="A32" s="2"/>
      <c r="B32" s="35" t="s">
        <v>276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1:38" x14ac:dyDescent="0.2">
      <c r="A33" s="2"/>
      <c r="B33" s="2" t="s">
        <v>380</v>
      </c>
      <c r="C33" s="2"/>
      <c r="D33" s="2"/>
      <c r="E33" s="2"/>
      <c r="F33" s="2"/>
      <c r="G33" s="2"/>
      <c r="H33" s="2"/>
      <c r="I33" s="2"/>
      <c r="J33" s="6">
        <f>Model!J282</f>
        <v>679.95699999999999</v>
      </c>
      <c r="K33" s="6">
        <f>Model!K282</f>
        <v>815.32400000000007</v>
      </c>
      <c r="L33" s="6">
        <f>Model!L282</f>
        <v>1014.6129999999999</v>
      </c>
      <c r="M33" s="6">
        <f>Model!M282</f>
        <v>1081.3589999999999</v>
      </c>
      <c r="N33" s="6">
        <f>Model!N282</f>
        <v>1355.79</v>
      </c>
      <c r="O33" s="6">
        <f>Model!O282</f>
        <v>1543.8969999999999</v>
      </c>
      <c r="P33" s="6">
        <f>Model!P282</f>
        <v>2684</v>
      </c>
      <c r="Q33" s="6">
        <f>Model!Q282</f>
        <v>2828</v>
      </c>
      <c r="R33" s="6">
        <f>Model!R282</f>
        <v>3023</v>
      </c>
      <c r="S33" s="6">
        <f>Model!S282</f>
        <v>3386</v>
      </c>
      <c r="T33" s="6">
        <f>Model!T282</f>
        <v>3771</v>
      </c>
      <c r="U33" s="6">
        <f>Model!U282</f>
        <v>4616</v>
      </c>
      <c r="V33" s="6">
        <f>Model!V282</f>
        <v>5137</v>
      </c>
      <c r="W33" s="6">
        <f>Model!W282</f>
        <v>5304</v>
      </c>
      <c r="X33" s="6">
        <f>Model!X282</f>
        <v>5489</v>
      </c>
      <c r="Y33" s="6">
        <f>Model!Y282</f>
        <v>5624</v>
      </c>
      <c r="Z33" s="6">
        <f>Model!Z282</f>
        <v>5666</v>
      </c>
      <c r="AA33" s="6">
        <f>Model!AA282</f>
        <v>6471</v>
      </c>
      <c r="AB33" s="6">
        <f>Model!AB282</f>
        <v>6449.7</v>
      </c>
      <c r="AC33" s="6">
        <f>Model!AC282</f>
        <v>6437.4184991436696</v>
      </c>
      <c r="AD33" s="6">
        <f>Model!AD282</f>
        <v>6578.3846529492248</v>
      </c>
      <c r="AE33" s="6">
        <f>Model!AE282</f>
        <v>7374.7767976673858</v>
      </c>
      <c r="AF33" s="6">
        <f>Model!AF282</f>
        <v>8401.1233066611512</v>
      </c>
      <c r="AG33" s="6">
        <f>Model!AG282</f>
        <v>10145.673770319088</v>
      </c>
      <c r="AH33" s="6">
        <f>Model!AH282</f>
        <v>12129.632152301592</v>
      </c>
      <c r="AI33" s="6">
        <f>Model!AI282</f>
        <v>14311.597704728749</v>
      </c>
      <c r="AJ33" s="6">
        <f>Model!AJ282</f>
        <v>16661.549468277502</v>
      </c>
      <c r="AK33" s="6">
        <f>Model!AK282</f>
        <v>19220.565865153985</v>
      </c>
      <c r="AL33" s="6">
        <f>Model!AL282</f>
        <v>22020.921767252752</v>
      </c>
    </row>
    <row r="34" spans="1:38" x14ac:dyDescent="0.2">
      <c r="A34" s="2"/>
      <c r="B34" s="11" t="s">
        <v>279</v>
      </c>
      <c r="C34" s="2"/>
      <c r="D34" s="2"/>
      <c r="E34" s="2"/>
      <c r="F34" s="2"/>
      <c r="G34" s="2"/>
      <c r="H34" s="2"/>
      <c r="I34" s="2"/>
      <c r="J34" s="6">
        <f>Model!J274</f>
        <v>0</v>
      </c>
      <c r="K34" s="6">
        <f>Model!K274</f>
        <v>0</v>
      </c>
      <c r="L34" s="6">
        <f>Model!L274</f>
        <v>0</v>
      </c>
      <c r="M34" s="6">
        <f>Model!M274</f>
        <v>0</v>
      </c>
      <c r="N34" s="6">
        <f>Model!N274</f>
        <v>0</v>
      </c>
      <c r="O34" s="6">
        <f>Model!O274</f>
        <v>0</v>
      </c>
      <c r="P34" s="6">
        <f>Model!P274</f>
        <v>67</v>
      </c>
      <c r="Q34" s="6">
        <f>Model!Q274</f>
        <v>74</v>
      </c>
      <c r="R34" s="6">
        <f>Model!R274</f>
        <v>73</v>
      </c>
      <c r="S34" s="6">
        <f>Model!S274</f>
        <v>65</v>
      </c>
      <c r="T34" s="6">
        <f>Model!T274</f>
        <v>51</v>
      </c>
      <c r="U34" s="6">
        <f>Model!U274</f>
        <v>68</v>
      </c>
      <c r="V34" s="6">
        <f>Model!V274</f>
        <v>100</v>
      </c>
      <c r="W34" s="6">
        <f>Model!W274</f>
        <v>109</v>
      </c>
      <c r="X34" s="6">
        <f>Model!X274</f>
        <v>89</v>
      </c>
      <c r="Y34" s="6">
        <f>Model!Y274</f>
        <v>119.4</v>
      </c>
      <c r="Z34" s="6">
        <f>Model!Z274</f>
        <v>170</v>
      </c>
      <c r="AA34" s="6">
        <f>Model!AA274</f>
        <v>164</v>
      </c>
      <c r="AB34" s="6">
        <f>Model!AB274</f>
        <v>165</v>
      </c>
      <c r="AC34" s="6">
        <f>Model!AC274</f>
        <v>165</v>
      </c>
      <c r="AD34" s="6">
        <f>Model!AD274</f>
        <v>165</v>
      </c>
      <c r="AE34" s="6">
        <f>Model!AE274</f>
        <v>165</v>
      </c>
      <c r="AF34" s="6">
        <f>Model!AF274</f>
        <v>165</v>
      </c>
      <c r="AG34" s="6">
        <f>Model!AG274</f>
        <v>165</v>
      </c>
      <c r="AH34" s="6">
        <f>Model!AH274</f>
        <v>165</v>
      </c>
      <c r="AI34" s="6">
        <f>Model!AI274</f>
        <v>165</v>
      </c>
      <c r="AJ34" s="6">
        <f>Model!AJ274</f>
        <v>165</v>
      </c>
      <c r="AK34" s="6">
        <f>Model!AK274</f>
        <v>165</v>
      </c>
      <c r="AL34" s="6">
        <f>Model!AL274</f>
        <v>165</v>
      </c>
    </row>
    <row r="35" spans="1:38" x14ac:dyDescent="0.2">
      <c r="A35" s="2"/>
      <c r="B35" s="2" t="s">
        <v>255</v>
      </c>
      <c r="C35" s="2"/>
      <c r="D35" s="2"/>
      <c r="E35" s="2"/>
      <c r="F35" s="2"/>
      <c r="G35" s="2"/>
      <c r="H35" s="2"/>
      <c r="I35" s="2"/>
      <c r="J35" s="6">
        <f>Model!J283</f>
        <v>63.424999999999997</v>
      </c>
      <c r="K35" s="6">
        <f>Model!K283</f>
        <v>89.75</v>
      </c>
      <c r="L35" s="6">
        <f>Model!L283</f>
        <v>58.156999999999996</v>
      </c>
      <c r="M35" s="6">
        <f>Model!M283</f>
        <v>55.512999999999998</v>
      </c>
      <c r="N35" s="6">
        <f>Model!N283</f>
        <v>56.579000000000001</v>
      </c>
      <c r="O35" s="6">
        <f>Model!O283</f>
        <v>19.797999999999998</v>
      </c>
      <c r="P35" s="6">
        <f>Model!P283</f>
        <v>28</v>
      </c>
      <c r="Q35" s="6">
        <f>Model!Q283</f>
        <v>8</v>
      </c>
      <c r="R35" s="6">
        <f>Model!R283</f>
        <v>11</v>
      </c>
      <c r="S35" s="6">
        <f>Model!S283</f>
        <v>14</v>
      </c>
      <c r="T35" s="6">
        <f>Model!T283</f>
        <v>5</v>
      </c>
      <c r="U35" s="6">
        <f>Model!U283</f>
        <v>7</v>
      </c>
      <c r="V35" s="6">
        <f>Model!V283</f>
        <v>-9</v>
      </c>
      <c r="W35" s="6">
        <f>Model!W283</f>
        <v>-13</v>
      </c>
      <c r="X35" s="6">
        <f>Model!X283</f>
        <v>-8</v>
      </c>
      <c r="Y35" s="6">
        <f>Model!Y283</f>
        <v>-6.6</v>
      </c>
      <c r="Z35" s="6">
        <f>Model!Z283</f>
        <v>-18</v>
      </c>
      <c r="AA35" s="6">
        <f>Model!AA283</f>
        <v>-17</v>
      </c>
      <c r="AB35" s="6">
        <f>Model!AB283</f>
        <v>-15.4</v>
      </c>
      <c r="AC35" s="6">
        <f>Model!AC283</f>
        <v>-12.361499999999999</v>
      </c>
      <c r="AD35" s="6">
        <f>Model!AD283</f>
        <v>-9.2318449999999999</v>
      </c>
      <c r="AE35" s="6">
        <f>Model!AE283</f>
        <v>-6.008300349999999</v>
      </c>
      <c r="AF35" s="6">
        <f>Model!AF283</f>
        <v>-2.6880493604999982</v>
      </c>
      <c r="AG35" s="6">
        <f>Model!AG283</f>
        <v>0.73180915868500263</v>
      </c>
      <c r="AH35" s="6">
        <f>Model!AH283</f>
        <v>4.2542634334455531</v>
      </c>
      <c r="AI35" s="6">
        <f>Model!AI283</f>
        <v>7.8823913364489204</v>
      </c>
      <c r="AJ35" s="6">
        <f>Model!AJ283</f>
        <v>11.619363076542388</v>
      </c>
      <c r="AK35" s="6">
        <f>Model!AK283</f>
        <v>15.468443968838661</v>
      </c>
      <c r="AL35" s="6">
        <f>Model!AL283</f>
        <v>19.432997287903824</v>
      </c>
    </row>
    <row r="36" spans="1:38" x14ac:dyDescent="0.2">
      <c r="A36" s="2"/>
      <c r="B36" s="2" t="s">
        <v>281</v>
      </c>
      <c r="C36" s="2"/>
      <c r="D36" s="2"/>
      <c r="E36" s="2"/>
      <c r="F36" s="2"/>
      <c r="G36" s="2"/>
      <c r="H36" s="2"/>
      <c r="I36" s="2"/>
      <c r="J36" s="6">
        <f>Model!J289</f>
        <v>1672.6470000000002</v>
      </c>
      <c r="K36" s="6">
        <f>Model!K289</f>
        <v>1877.107</v>
      </c>
      <c r="L36" s="6">
        <f>Model!L289</f>
        <v>1772.904</v>
      </c>
      <c r="M36" s="6">
        <f>Model!M289</f>
        <v>1597.0490000000002</v>
      </c>
      <c r="N36" s="6">
        <f>Model!N289</f>
        <v>1051.7349999999999</v>
      </c>
      <c r="O36" s="6">
        <f>Model!O289</f>
        <v>793.51499999999987</v>
      </c>
      <c r="P36" s="6">
        <f>Model!P289</f>
        <v>-403</v>
      </c>
      <c r="Q36" s="6">
        <f>Model!Q289</f>
        <v>2364.9969999999998</v>
      </c>
      <c r="R36" s="6">
        <f>Model!R289</f>
        <v>1889.9969999999998</v>
      </c>
      <c r="S36" s="6">
        <f>Model!S289</f>
        <v>2320</v>
      </c>
      <c r="T36" s="6">
        <f>Model!T289</f>
        <v>1074</v>
      </c>
      <c r="U36" s="6">
        <f>Model!U289</f>
        <v>401</v>
      </c>
      <c r="V36" s="6">
        <f>Model!V289</f>
        <v>114</v>
      </c>
      <c r="W36" s="6">
        <f>Model!W289</f>
        <v>-197</v>
      </c>
      <c r="X36" s="6">
        <f>Model!X289</f>
        <v>-39</v>
      </c>
      <c r="Y36" s="6">
        <f>Model!Y289</f>
        <v>468</v>
      </c>
      <c r="Z36" s="6">
        <f>Model!Z289</f>
        <v>732</v>
      </c>
      <c r="AA36" s="6">
        <f>Model!AA289</f>
        <v>458</v>
      </c>
      <c r="AB36" s="6">
        <f>Model!AB289</f>
        <v>-185.50000000000045</v>
      </c>
      <c r="AC36" s="6">
        <f>Model!AC289</f>
        <v>194.04086662147301</v>
      </c>
      <c r="AD36" s="6">
        <f>Model!AD289</f>
        <v>891.06448478098673</v>
      </c>
      <c r="AE36" s="6">
        <f>Model!AE289</f>
        <v>821.19138570513314</v>
      </c>
      <c r="AF36" s="6">
        <f>Model!AF289</f>
        <v>502.96224891971269</v>
      </c>
      <c r="AG36" s="6">
        <f>Model!AG289</f>
        <v>-444.89348305345834</v>
      </c>
      <c r="AH36" s="6">
        <f>Model!AH289</f>
        <v>-1709.9802351101116</v>
      </c>
      <c r="AI36" s="6">
        <f>Model!AI289</f>
        <v>-2981.9481934219675</v>
      </c>
      <c r="AJ36" s="6">
        <f>Model!AJ289</f>
        <v>-4356.8032424231906</v>
      </c>
      <c r="AK36" s="6">
        <f>Model!AK289</f>
        <v>-6072.2062863667143</v>
      </c>
      <c r="AL36" s="6">
        <f>Model!AL289</f>
        <v>-7914.0429077498648</v>
      </c>
    </row>
    <row r="37" spans="1:38" x14ac:dyDescent="0.2">
      <c r="A37" s="4"/>
      <c r="B37" s="4" t="s">
        <v>280</v>
      </c>
      <c r="C37" s="4"/>
      <c r="D37" s="4"/>
      <c r="E37" s="4"/>
      <c r="F37" s="4"/>
      <c r="G37" s="4"/>
      <c r="H37" s="4"/>
      <c r="I37" s="4"/>
      <c r="J37" s="15">
        <f>J33+J34+J35+J36</f>
        <v>2416.029</v>
      </c>
      <c r="K37" s="15">
        <f t="shared" ref="K37:AA37" si="27">K33+K34+K35+K36</f>
        <v>2782.181</v>
      </c>
      <c r="L37" s="15">
        <f t="shared" si="27"/>
        <v>2845.674</v>
      </c>
      <c r="M37" s="15">
        <f t="shared" si="27"/>
        <v>2733.9210000000003</v>
      </c>
      <c r="N37" s="15">
        <f t="shared" si="27"/>
        <v>2464.1039999999998</v>
      </c>
      <c r="O37" s="15">
        <f t="shared" si="27"/>
        <v>2357.21</v>
      </c>
      <c r="P37" s="15">
        <f t="shared" si="27"/>
        <v>2376</v>
      </c>
      <c r="Q37" s="15">
        <f t="shared" si="27"/>
        <v>5274.9969999999994</v>
      </c>
      <c r="R37" s="15">
        <f t="shared" si="27"/>
        <v>4996.9969999999994</v>
      </c>
      <c r="S37" s="15">
        <f t="shared" si="27"/>
        <v>5785</v>
      </c>
      <c r="T37" s="15">
        <f t="shared" si="27"/>
        <v>4901</v>
      </c>
      <c r="U37" s="15">
        <f t="shared" si="27"/>
        <v>5092</v>
      </c>
      <c r="V37" s="15">
        <f t="shared" si="27"/>
        <v>5342</v>
      </c>
      <c r="W37" s="15">
        <f t="shared" si="27"/>
        <v>5203</v>
      </c>
      <c r="X37" s="15">
        <f t="shared" si="27"/>
        <v>5531</v>
      </c>
      <c r="Y37" s="15">
        <f t="shared" si="27"/>
        <v>6204.7999999999993</v>
      </c>
      <c r="Z37" s="15">
        <f t="shared" si="27"/>
        <v>6550</v>
      </c>
      <c r="AA37" s="15">
        <f t="shared" si="27"/>
        <v>7076</v>
      </c>
      <c r="AB37" s="15">
        <f t="shared" ref="AB37:AH37" si="28">AB33+AB34+AB35+AB36</f>
        <v>6413.7999999999993</v>
      </c>
      <c r="AC37" s="15">
        <f t="shared" si="28"/>
        <v>6784.0978657651431</v>
      </c>
      <c r="AD37" s="15">
        <f t="shared" si="28"/>
        <v>7625.2172927302108</v>
      </c>
      <c r="AE37" s="15">
        <f t="shared" si="28"/>
        <v>8354.9598830225186</v>
      </c>
      <c r="AF37" s="15">
        <f t="shared" si="28"/>
        <v>9066.3975062203644</v>
      </c>
      <c r="AG37" s="15">
        <f t="shared" si="28"/>
        <v>9866.512096424316</v>
      </c>
      <c r="AH37" s="15">
        <f t="shared" si="28"/>
        <v>10588.906180624926</v>
      </c>
      <c r="AI37" s="15">
        <f t="shared" ref="AI37:AL37" si="29">AI33+AI34+AI35+AI36</f>
        <v>11502.53190264323</v>
      </c>
      <c r="AJ37" s="15">
        <f t="shared" si="29"/>
        <v>12481.365588930854</v>
      </c>
      <c r="AK37" s="15">
        <f t="shared" si="29"/>
        <v>13328.82802275611</v>
      </c>
      <c r="AL37" s="15">
        <f t="shared" si="29"/>
        <v>14291.31185679079</v>
      </c>
    </row>
    <row r="38" spans="1:38" x14ac:dyDescent="0.2">
      <c r="A38" s="8"/>
      <c r="B38" s="8" t="s">
        <v>278</v>
      </c>
      <c r="C38" s="8"/>
      <c r="D38" s="8"/>
      <c r="E38" s="8"/>
      <c r="F38" s="8"/>
      <c r="G38" s="8"/>
      <c r="H38" s="8"/>
      <c r="I38" s="8"/>
      <c r="J38" s="9"/>
      <c r="K38" s="9">
        <f>J37</f>
        <v>2416.029</v>
      </c>
      <c r="L38" s="9">
        <f t="shared" ref="L38:AA38" si="30">K37</f>
        <v>2782.181</v>
      </c>
      <c r="M38" s="9">
        <f t="shared" si="30"/>
        <v>2845.674</v>
      </c>
      <c r="N38" s="9">
        <f t="shared" si="30"/>
        <v>2733.9210000000003</v>
      </c>
      <c r="O38" s="9">
        <f t="shared" si="30"/>
        <v>2464.1039999999998</v>
      </c>
      <c r="P38" s="9">
        <f t="shared" si="30"/>
        <v>2357.21</v>
      </c>
      <c r="Q38" s="9">
        <f t="shared" si="30"/>
        <v>2376</v>
      </c>
      <c r="R38" s="9">
        <f t="shared" si="30"/>
        <v>5274.9969999999994</v>
      </c>
      <c r="S38" s="9">
        <f t="shared" si="30"/>
        <v>4996.9969999999994</v>
      </c>
      <c r="T38" s="9">
        <f t="shared" si="30"/>
        <v>5785</v>
      </c>
      <c r="U38" s="9">
        <f t="shared" si="30"/>
        <v>4901</v>
      </c>
      <c r="V38" s="9">
        <f t="shared" si="30"/>
        <v>5092</v>
      </c>
      <c r="W38" s="9">
        <f t="shared" si="30"/>
        <v>5342</v>
      </c>
      <c r="X38" s="9">
        <f t="shared" si="30"/>
        <v>5203</v>
      </c>
      <c r="Y38" s="9">
        <f t="shared" si="30"/>
        <v>5531</v>
      </c>
      <c r="Z38" s="9">
        <f t="shared" si="30"/>
        <v>6204.7999999999993</v>
      </c>
      <c r="AA38" s="9">
        <f t="shared" si="30"/>
        <v>6550</v>
      </c>
      <c r="AB38" s="9">
        <f t="shared" ref="AB38:AL38" si="31">AA37</f>
        <v>7076</v>
      </c>
      <c r="AC38" s="9">
        <f t="shared" si="31"/>
        <v>6413.7999999999993</v>
      </c>
      <c r="AD38" s="9">
        <f t="shared" si="31"/>
        <v>6784.0978657651431</v>
      </c>
      <c r="AE38" s="9">
        <f t="shared" si="31"/>
        <v>7625.2172927302108</v>
      </c>
      <c r="AF38" s="9">
        <f t="shared" si="31"/>
        <v>8354.9598830225186</v>
      </c>
      <c r="AG38" s="9">
        <f t="shared" si="31"/>
        <v>9066.3975062203644</v>
      </c>
      <c r="AH38" s="9">
        <f t="shared" si="31"/>
        <v>9866.512096424316</v>
      </c>
      <c r="AI38" s="9">
        <f t="shared" si="31"/>
        <v>10588.906180624926</v>
      </c>
      <c r="AJ38" s="9">
        <f t="shared" si="31"/>
        <v>11502.53190264323</v>
      </c>
      <c r="AK38" s="9">
        <f t="shared" si="31"/>
        <v>12481.365588930854</v>
      </c>
      <c r="AL38" s="9">
        <f t="shared" si="31"/>
        <v>13328.82802275611</v>
      </c>
    </row>
    <row r="39" spans="1:38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</row>
    <row r="40" spans="1:38" x14ac:dyDescent="0.2">
      <c r="A40" s="8"/>
      <c r="B40" s="81" t="s">
        <v>277</v>
      </c>
      <c r="C40" s="81"/>
      <c r="D40" s="81"/>
      <c r="E40" s="81"/>
      <c r="F40" s="81"/>
      <c r="G40" s="81"/>
      <c r="H40" s="81"/>
      <c r="I40" s="81"/>
      <c r="J40" s="81"/>
      <c r="K40" s="82">
        <f t="shared" ref="K40:AC40" si="32">K16/K38%</f>
        <v>10.878728510740912</v>
      </c>
      <c r="L40" s="82">
        <f t="shared" si="32"/>
        <v>10.40671774426211</v>
      </c>
      <c r="M40" s="82">
        <f t="shared" si="32"/>
        <v>10.414020447174039</v>
      </c>
      <c r="N40" s="82">
        <f t="shared" si="32"/>
        <v>11.049319141956611</v>
      </c>
      <c r="O40" s="82">
        <f t="shared" si="32"/>
        <v>14.995509466802694</v>
      </c>
      <c r="P40" s="82">
        <f t="shared" si="32"/>
        <v>19.88229749780826</v>
      </c>
      <c r="Q40" s="82">
        <f t="shared" si="32"/>
        <v>25.437407733396665</v>
      </c>
      <c r="R40" s="82">
        <f t="shared" si="32"/>
        <v>12.251220877326212</v>
      </c>
      <c r="S40" s="82">
        <f t="shared" si="32"/>
        <v>15.254294472623091</v>
      </c>
      <c r="T40" s="82">
        <f t="shared" si="32"/>
        <v>6.0095701172846354</v>
      </c>
      <c r="U40" s="82">
        <f t="shared" si="32"/>
        <v>12.85482326744479</v>
      </c>
      <c r="V40" s="82">
        <f t="shared" si="32"/>
        <v>13.094481562269204</v>
      </c>
      <c r="W40" s="82">
        <f t="shared" si="32"/>
        <v>12.175964058405093</v>
      </c>
      <c r="X40" s="82">
        <f t="shared" si="32"/>
        <v>16.07400484533931</v>
      </c>
      <c r="Y40" s="82">
        <f t="shared" si="32"/>
        <v>11.224112912296132</v>
      </c>
      <c r="Z40" s="82">
        <f t="shared" si="32"/>
        <v>11.472139864062314</v>
      </c>
      <c r="AA40" s="82">
        <f t="shared" si="32"/>
        <v>17.020387786259541</v>
      </c>
      <c r="AB40" s="82">
        <f t="shared" si="32"/>
        <v>19.596081147540986</v>
      </c>
      <c r="AC40" s="82">
        <f t="shared" si="32"/>
        <v>25.765364114452947</v>
      </c>
      <c r="AD40" s="82">
        <f t="shared" ref="AD40:AL40" si="33">AD16/AD38%</f>
        <v>28.358585410014136</v>
      </c>
      <c r="AE40" s="82">
        <f t="shared" si="33"/>
        <v>28.747375245365816</v>
      </c>
      <c r="AF40" s="82">
        <f t="shared" si="33"/>
        <v>30.793109329131678</v>
      </c>
      <c r="AG40" s="82">
        <f t="shared" si="33"/>
        <v>32.321228988489459</v>
      </c>
      <c r="AH40" s="82">
        <f t="shared" si="33"/>
        <v>33.592980245461412</v>
      </c>
      <c r="AI40" s="82">
        <f t="shared" si="33"/>
        <v>34.250330475769445</v>
      </c>
      <c r="AJ40" s="82">
        <f t="shared" si="33"/>
        <v>33.808960563721193</v>
      </c>
      <c r="AK40" s="82">
        <f t="shared" si="33"/>
        <v>33.794813181679402</v>
      </c>
      <c r="AL40" s="82">
        <f t="shared" si="33"/>
        <v>34.483264197463747</v>
      </c>
    </row>
    <row r="41" spans="1:38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6"/>
      <c r="S41" s="6"/>
      <c r="T41" s="6"/>
      <c r="U41" s="6"/>
      <c r="V41" s="6"/>
      <c r="W41" s="6"/>
      <c r="X41" s="6"/>
      <c r="Y41" s="6"/>
      <c r="Z41" s="6"/>
      <c r="AA41" s="6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</row>
    <row r="42" spans="1:38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</row>
    <row r="43" spans="1:38" x14ac:dyDescent="0.2">
      <c r="A43" s="2"/>
      <c r="B43" s="2" t="s">
        <v>24</v>
      </c>
      <c r="C43" s="2"/>
      <c r="D43" s="2"/>
      <c r="E43" s="2"/>
      <c r="F43" s="2"/>
      <c r="G43" s="2"/>
      <c r="H43" s="2"/>
      <c r="I43" s="2"/>
      <c r="J43" s="6">
        <f>Model!J141</f>
        <v>227.63199999999983</v>
      </c>
      <c r="K43" s="6">
        <f>Model!K141</f>
        <v>181.6830000000005</v>
      </c>
      <c r="L43" s="6">
        <f>Model!L141</f>
        <v>208.4929999999996</v>
      </c>
      <c r="M43" s="6">
        <f>Model!M141</f>
        <v>228.57100000000014</v>
      </c>
      <c r="N43" s="6">
        <f>Model!N141</f>
        <v>260.21999999999991</v>
      </c>
      <c r="O43" s="6">
        <f>Model!O141</f>
        <v>325.52999999999975</v>
      </c>
      <c r="P43" s="6">
        <f>Model!P141</f>
        <v>427.20699999999988</v>
      </c>
      <c r="Q43" s="6">
        <f>Model!Q141</f>
        <v>483</v>
      </c>
      <c r="R43" s="6">
        <f>Model!R141</f>
        <v>551</v>
      </c>
      <c r="S43" s="6">
        <f>Model!S141</f>
        <v>642</v>
      </c>
      <c r="T43" s="6">
        <f>Model!T141</f>
        <v>245</v>
      </c>
      <c r="U43" s="6">
        <f>Model!U141</f>
        <v>567</v>
      </c>
      <c r="V43" s="6">
        <f>Model!V141</f>
        <v>613</v>
      </c>
      <c r="W43" s="6">
        <f>Model!W141</f>
        <v>526.45000000000005</v>
      </c>
      <c r="X43" s="6">
        <f>Model!X141</f>
        <v>770</v>
      </c>
      <c r="Y43" s="6">
        <f>Model!Y141</f>
        <v>557.89999999999964</v>
      </c>
      <c r="Z43" s="6">
        <f>Model!Z141</f>
        <v>680.04964152693719</v>
      </c>
      <c r="AA43" s="6">
        <f>Model!AA141</f>
        <v>1080</v>
      </c>
      <c r="AB43" s="6">
        <f>Model!AB141</f>
        <v>1352.1942120000001</v>
      </c>
      <c r="AC43" s="6">
        <f>Model!AC141</f>
        <v>1646.1974985727827</v>
      </c>
      <c r="AD43" s="6">
        <f>Model!AD141</f>
        <v>1901.6102563425918</v>
      </c>
      <c r="AE43" s="6">
        <f>Model!AE141</f>
        <v>2160.6535745302672</v>
      </c>
      <c r="AF43" s="6">
        <f>Model!AF141</f>
        <v>2542.2441816562741</v>
      </c>
      <c r="AG43" s="6">
        <f>Model!AG141</f>
        <v>2904.2507727632292</v>
      </c>
      <c r="AH43" s="6">
        <f>Model!AH141</f>
        <v>3301.5973033041746</v>
      </c>
      <c r="AI43" s="6">
        <f>Model!AI141</f>
        <v>3631.6092540452619</v>
      </c>
      <c r="AJ43" s="6">
        <f>Model!AJ141</f>
        <v>3911.5862725812549</v>
      </c>
      <c r="AK43" s="6">
        <f>Model!AK141</f>
        <v>4260.0273281274722</v>
      </c>
      <c r="AL43" s="6">
        <f>Model!AL141</f>
        <v>4662.2598368312792</v>
      </c>
    </row>
    <row r="44" spans="1:38" x14ac:dyDescent="0.2">
      <c r="A44" s="2"/>
      <c r="B44" s="2" t="s">
        <v>25</v>
      </c>
      <c r="C44" s="2"/>
      <c r="D44" s="2"/>
      <c r="E44" s="2"/>
      <c r="F44" s="2"/>
      <c r="G44" s="2"/>
      <c r="H44" s="2"/>
      <c r="I44" s="2"/>
      <c r="J44" s="6">
        <f>Model!J282</f>
        <v>679.95699999999999</v>
      </c>
      <c r="K44" s="6">
        <f>Model!K282</f>
        <v>815.32400000000007</v>
      </c>
      <c r="L44" s="6">
        <f>Model!L282</f>
        <v>1014.6129999999999</v>
      </c>
      <c r="M44" s="6">
        <f>Model!M282</f>
        <v>1081.3589999999999</v>
      </c>
      <c r="N44" s="6">
        <f>Model!N282</f>
        <v>1355.79</v>
      </c>
      <c r="O44" s="6">
        <f>Model!O282</f>
        <v>1543.8969999999999</v>
      </c>
      <c r="P44" s="6">
        <f>Model!P282</f>
        <v>2684</v>
      </c>
      <c r="Q44" s="6">
        <f>Model!Q282</f>
        <v>2828</v>
      </c>
      <c r="R44" s="6">
        <f>Model!R282</f>
        <v>3023</v>
      </c>
      <c r="S44" s="6">
        <f>Model!S282</f>
        <v>3386</v>
      </c>
      <c r="T44" s="6">
        <f>Model!T282</f>
        <v>3771</v>
      </c>
      <c r="U44" s="6">
        <f>Model!U282</f>
        <v>4616</v>
      </c>
      <c r="V44" s="6">
        <f>Model!V282</f>
        <v>5137</v>
      </c>
      <c r="W44" s="6">
        <f>Model!W282</f>
        <v>5304</v>
      </c>
      <c r="X44" s="6">
        <f>Model!X282</f>
        <v>5489</v>
      </c>
      <c r="Y44" s="6">
        <f>Model!Y282</f>
        <v>5624</v>
      </c>
      <c r="Z44" s="6">
        <f>Model!Z282</f>
        <v>5666</v>
      </c>
      <c r="AA44" s="6">
        <f>Model!AA282</f>
        <v>6471</v>
      </c>
      <c r="AB44" s="6">
        <f>Model!AB282</f>
        <v>6449.7</v>
      </c>
      <c r="AC44" s="6">
        <f>Model!AC282</f>
        <v>6437.4184991436696</v>
      </c>
      <c r="AD44" s="6">
        <f>Model!AD282</f>
        <v>6578.3846529492248</v>
      </c>
      <c r="AE44" s="6">
        <f>Model!AE282</f>
        <v>7374.7767976673858</v>
      </c>
      <c r="AF44" s="6">
        <f>Model!AF282</f>
        <v>8401.1233066611512</v>
      </c>
      <c r="AG44" s="6">
        <f>Model!AG282</f>
        <v>10145.673770319088</v>
      </c>
      <c r="AH44" s="6">
        <f>Model!AH282</f>
        <v>12129.632152301592</v>
      </c>
      <c r="AI44" s="6">
        <f>Model!AI282</f>
        <v>14311.597704728749</v>
      </c>
      <c r="AJ44" s="6">
        <f>Model!AJ282</f>
        <v>16661.549468277502</v>
      </c>
      <c r="AK44" s="6">
        <f>Model!AK282</f>
        <v>19220.565865153985</v>
      </c>
      <c r="AL44" s="6">
        <f>Model!AL282</f>
        <v>22020.921767252752</v>
      </c>
    </row>
    <row r="45" spans="1:38" x14ac:dyDescent="0.2">
      <c r="A45" s="2"/>
      <c r="B45" s="2" t="s">
        <v>26</v>
      </c>
      <c r="C45" s="2"/>
      <c r="D45" s="2"/>
      <c r="E45" s="2"/>
      <c r="F45" s="2"/>
      <c r="G45" s="2"/>
      <c r="H45" s="2"/>
      <c r="I45" s="2"/>
      <c r="J45" s="2"/>
      <c r="K45" s="15">
        <f>AVERAGE(J44:K44)</f>
        <v>747.64049999999997</v>
      </c>
      <c r="L45" s="15">
        <f t="shared" ref="L45:AA45" si="34">AVERAGE(K44:L44)</f>
        <v>914.96849999999995</v>
      </c>
      <c r="M45" s="15">
        <f t="shared" si="34"/>
        <v>1047.9859999999999</v>
      </c>
      <c r="N45" s="15">
        <f t="shared" si="34"/>
        <v>1218.5744999999999</v>
      </c>
      <c r="O45" s="15">
        <f t="shared" si="34"/>
        <v>1449.8434999999999</v>
      </c>
      <c r="P45" s="15">
        <f t="shared" si="34"/>
        <v>2113.9485</v>
      </c>
      <c r="Q45" s="15">
        <f t="shared" si="34"/>
        <v>2756</v>
      </c>
      <c r="R45" s="15">
        <f t="shared" si="34"/>
        <v>2925.5</v>
      </c>
      <c r="S45" s="15">
        <f t="shared" si="34"/>
        <v>3204.5</v>
      </c>
      <c r="T45" s="15">
        <f t="shared" si="34"/>
        <v>3578.5</v>
      </c>
      <c r="U45" s="15">
        <f t="shared" si="34"/>
        <v>4193.5</v>
      </c>
      <c r="V45" s="15">
        <f t="shared" si="34"/>
        <v>4876.5</v>
      </c>
      <c r="W45" s="15">
        <f t="shared" si="34"/>
        <v>5220.5</v>
      </c>
      <c r="X45" s="15">
        <f t="shared" si="34"/>
        <v>5396.5</v>
      </c>
      <c r="Y45" s="15">
        <f t="shared" si="34"/>
        <v>5556.5</v>
      </c>
      <c r="Z45" s="15">
        <f t="shared" si="34"/>
        <v>5645</v>
      </c>
      <c r="AA45" s="15">
        <f t="shared" si="34"/>
        <v>6068.5</v>
      </c>
      <c r="AB45" s="15">
        <f t="shared" ref="AB45:AL45" si="35">AVERAGE(AA44:AB44)</f>
        <v>6460.35</v>
      </c>
      <c r="AC45" s="15">
        <f t="shared" si="35"/>
        <v>6443.5592495718347</v>
      </c>
      <c r="AD45" s="15">
        <f t="shared" si="35"/>
        <v>6507.9015760464472</v>
      </c>
      <c r="AE45" s="15">
        <f t="shared" si="35"/>
        <v>6976.5807253083058</v>
      </c>
      <c r="AF45" s="15">
        <f t="shared" si="35"/>
        <v>7887.9500521642685</v>
      </c>
      <c r="AG45" s="15">
        <f t="shared" si="35"/>
        <v>9273.3985384901207</v>
      </c>
      <c r="AH45" s="15">
        <f t="shared" si="35"/>
        <v>11137.652961310341</v>
      </c>
      <c r="AI45" s="15">
        <f t="shared" si="35"/>
        <v>13220.61492851517</v>
      </c>
      <c r="AJ45" s="15">
        <f t="shared" si="35"/>
        <v>15486.573586503126</v>
      </c>
      <c r="AK45" s="15">
        <f t="shared" si="35"/>
        <v>17941.057666715744</v>
      </c>
      <c r="AL45" s="15">
        <f t="shared" si="35"/>
        <v>20620.743816203369</v>
      </c>
    </row>
    <row r="46" spans="1:38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5"/>
      <c r="L46" s="15"/>
      <c r="M46" s="15"/>
      <c r="N46" s="15"/>
      <c r="O46" s="15"/>
      <c r="P46" s="15"/>
      <c r="Q46" s="15"/>
      <c r="R46" s="2"/>
      <c r="S46" s="2"/>
      <c r="T46" s="2"/>
      <c r="U46" s="2"/>
      <c r="V46" s="2"/>
      <c r="W46" s="2"/>
      <c r="X46" s="15"/>
      <c r="Y46" s="15"/>
      <c r="Z46" s="15"/>
      <c r="AA46" s="15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</row>
    <row r="47" spans="1:38" x14ac:dyDescent="0.2">
      <c r="A47" s="2"/>
      <c r="B47" s="81" t="s">
        <v>268</v>
      </c>
      <c r="C47" s="85"/>
      <c r="D47" s="85"/>
      <c r="E47" s="85"/>
      <c r="F47" s="85"/>
      <c r="G47" s="85"/>
      <c r="H47" s="85"/>
      <c r="I47" s="85"/>
      <c r="J47" s="85"/>
      <c r="K47" s="82">
        <f>K43/K45%</f>
        <v>24.300850475596295</v>
      </c>
      <c r="L47" s="82">
        <f t="shared" ref="L47:AC47" si="36">L43/L45%</f>
        <v>22.786904685789686</v>
      </c>
      <c r="M47" s="82">
        <f t="shared" si="36"/>
        <v>21.81050128532253</v>
      </c>
      <c r="N47" s="82">
        <f t="shared" si="36"/>
        <v>21.354459657575301</v>
      </c>
      <c r="O47" s="82">
        <f t="shared" si="36"/>
        <v>22.452768178082653</v>
      </c>
      <c r="P47" s="82">
        <f t="shared" si="36"/>
        <v>20.208959679008256</v>
      </c>
      <c r="Q47" s="82">
        <f t="shared" si="36"/>
        <v>17.525399129172715</v>
      </c>
      <c r="R47" s="82">
        <f t="shared" si="36"/>
        <v>18.83438728422492</v>
      </c>
      <c r="S47" s="82">
        <f t="shared" si="36"/>
        <v>20.034326728038696</v>
      </c>
      <c r="T47" s="82">
        <f t="shared" si="36"/>
        <v>6.8464440407992182</v>
      </c>
      <c r="U47" s="82">
        <f t="shared" si="36"/>
        <v>13.520925241445093</v>
      </c>
      <c r="V47" s="82">
        <f t="shared" si="36"/>
        <v>12.570491130934071</v>
      </c>
      <c r="W47" s="82">
        <f t="shared" si="36"/>
        <v>10.084283114644192</v>
      </c>
      <c r="X47" s="82">
        <f t="shared" si="36"/>
        <v>14.268507365885295</v>
      </c>
      <c r="Y47" s="82">
        <f t="shared" si="36"/>
        <v>10.040493116170245</v>
      </c>
      <c r="Z47" s="82">
        <f t="shared" si="36"/>
        <v>12.046937848129977</v>
      </c>
      <c r="AA47" s="82">
        <f t="shared" si="36"/>
        <v>17.796819642415752</v>
      </c>
      <c r="AB47" s="82">
        <f t="shared" si="36"/>
        <v>20.930664933014469</v>
      </c>
      <c r="AC47" s="82">
        <f t="shared" si="36"/>
        <v>25.547953154650823</v>
      </c>
      <c r="AD47" s="82">
        <f t="shared" ref="AD47:AL47" si="37">AD43/AD45%</f>
        <v>29.220021755427666</v>
      </c>
      <c r="AE47" s="82">
        <f t="shared" si="37"/>
        <v>30.970093511457002</v>
      </c>
      <c r="AF47" s="82">
        <f t="shared" si="37"/>
        <v>32.229466018978428</v>
      </c>
      <c r="AG47" s="82">
        <f t="shared" si="37"/>
        <v>31.318084310825864</v>
      </c>
      <c r="AH47" s="82">
        <f t="shared" si="37"/>
        <v>29.643564176161426</v>
      </c>
      <c r="AI47" s="82">
        <f t="shared" si="37"/>
        <v>27.469291509371072</v>
      </c>
      <c r="AJ47" s="82">
        <f t="shared" si="37"/>
        <v>25.257919388897516</v>
      </c>
      <c r="AK47" s="82">
        <f t="shared" si="37"/>
        <v>23.744571848908752</v>
      </c>
      <c r="AL47" s="82">
        <f t="shared" si="37"/>
        <v>22.609561897412103</v>
      </c>
    </row>
  </sheetData>
  <customSheetViews>
    <customSheetView guid="{F374C4C2-E461-4427-BC83-571704D130AE}" hiddenColumns="1" showRuler="0">
      <pane ySplit="3" topLeftCell="A4" activePane="bottomLeft" state="frozenSplit"/>
      <selection pane="bottomLeft" activeCell="B50" sqref="B50"/>
      <pageMargins left="0.75" right="0.75" top="1" bottom="1" header="0.5" footer="0.5"/>
      <pageSetup paperSize="9" orientation="portrait" r:id="rId1"/>
      <headerFooter alignWithMargins="0"/>
    </customSheetView>
    <customSheetView guid="{5F01622F-BD04-4698-B8E9-3B7E434CD47C}" showRuler="0">
      <pane ySplit="3" topLeftCell="A4" activePane="bottomLeft" state="frozenSplit"/>
      <selection pane="bottomLeft" activeCell="B50" sqref="B50"/>
      <pageMargins left="0.75" right="0.75" top="1" bottom="1" header="0.5" footer="0.5"/>
      <pageSetup paperSize="9" orientation="portrait" r:id="rId2"/>
      <headerFooter alignWithMargins="0"/>
    </customSheetView>
    <customSheetView guid="{BF409FF2-3E15-4B6B-AE18-50E58B89ECE7}" showRuler="0">
      <pane ySplit="3" topLeftCell="A4" activePane="bottomLeft" state="frozenSplit"/>
      <selection pane="bottomLeft" activeCell="B50" sqref="B50"/>
      <pageMargins left="0.75" right="0.75" top="1" bottom="1" header="0.5" footer="0.5"/>
      <pageSetup paperSize="9" orientation="portrait" r:id="rId3"/>
      <headerFooter alignWithMargins="0"/>
    </customSheetView>
  </customSheetViews>
  <phoneticPr fontId="4" type="noConversion"/>
  <dataValidations count="1">
    <dataValidation type="list" allowBlank="1" showDropDown="1" showInputMessage="1" showErrorMessage="1" promptTitle="Please enter scenario" sqref="A1">
      <formula1>$AG$324:$AG$335</formula1>
    </dataValidation>
  </dataValidations>
  <hyperlinks>
    <hyperlink ref="A1" location="Cover!A1" display="HOME"/>
  </hyperlinks>
  <pageMargins left="0.75" right="0.75" top="1" bottom="1" header="0.5" footer="0.5"/>
  <pageSetup paperSize="9" orientation="portrait" r:id="rId4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</sheetPr>
  <dimension ref="A1:AL29"/>
  <sheetViews>
    <sheetView showRuler="0" workbookViewId="0">
      <selection activeCell="A4" sqref="A4"/>
    </sheetView>
  </sheetViews>
  <sheetFormatPr defaultRowHeight="12.75" x14ac:dyDescent="0.2"/>
  <cols>
    <col min="2" max="2" width="45.42578125" customWidth="1"/>
    <col min="3" max="18" width="9.140625" hidden="1" customWidth="1"/>
  </cols>
  <sheetData>
    <row r="1" spans="1:38" ht="15.75" x14ac:dyDescent="0.25">
      <c r="A1" s="150" t="s">
        <v>220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8" x14ac:dyDescent="0.2">
      <c r="A2" s="2"/>
      <c r="B2" s="5" t="s">
        <v>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</row>
    <row r="3" spans="1:38" x14ac:dyDescent="0.2">
      <c r="A3" s="2"/>
      <c r="B3" s="5" t="str">
        <f>+Model!B5</f>
        <v>€ Millions, Yr end December</v>
      </c>
      <c r="C3" s="5">
        <v>1992</v>
      </c>
      <c r="D3" s="5">
        <f>C3+1</f>
        <v>1993</v>
      </c>
      <c r="E3" s="5">
        <f t="shared" ref="E3:U3" si="0">D3+1</f>
        <v>1994</v>
      </c>
      <c r="F3" s="5">
        <f t="shared" si="0"/>
        <v>1995</v>
      </c>
      <c r="G3" s="5">
        <f t="shared" si="0"/>
        <v>1996</v>
      </c>
      <c r="H3" s="5">
        <f t="shared" si="0"/>
        <v>1997</v>
      </c>
      <c r="I3" s="5">
        <f t="shared" si="0"/>
        <v>1998</v>
      </c>
      <c r="J3" s="5">
        <f t="shared" si="0"/>
        <v>1999</v>
      </c>
      <c r="K3" s="5">
        <f t="shared" si="0"/>
        <v>2000</v>
      </c>
      <c r="L3" s="5">
        <f t="shared" si="0"/>
        <v>2001</v>
      </c>
      <c r="M3" s="5">
        <f t="shared" si="0"/>
        <v>2002</v>
      </c>
      <c r="N3" s="5">
        <f t="shared" si="0"/>
        <v>2003</v>
      </c>
      <c r="O3" s="5">
        <f t="shared" si="0"/>
        <v>2004</v>
      </c>
      <c r="P3" s="5">
        <f t="shared" si="0"/>
        <v>2005</v>
      </c>
      <c r="Q3" s="5">
        <f t="shared" si="0"/>
        <v>2006</v>
      </c>
      <c r="R3" s="5">
        <f t="shared" si="0"/>
        <v>2007</v>
      </c>
      <c r="S3" s="5">
        <f t="shared" si="0"/>
        <v>2008</v>
      </c>
      <c r="T3" s="169">
        <f t="shared" si="0"/>
        <v>2009</v>
      </c>
      <c r="U3" s="169">
        <f t="shared" si="0"/>
        <v>2010</v>
      </c>
      <c r="V3" s="169">
        <f t="shared" ref="V3:AA3" si="1">U3+1</f>
        <v>2011</v>
      </c>
      <c r="W3" s="169">
        <f t="shared" si="1"/>
        <v>2012</v>
      </c>
      <c r="X3" s="169">
        <f t="shared" si="1"/>
        <v>2013</v>
      </c>
      <c r="Y3" s="169">
        <f t="shared" si="1"/>
        <v>2014</v>
      </c>
      <c r="Z3" s="169">
        <f t="shared" si="1"/>
        <v>2015</v>
      </c>
      <c r="AA3" s="169">
        <f t="shared" si="1"/>
        <v>2016</v>
      </c>
      <c r="AB3" s="169">
        <f t="shared" ref="AB3:AL3" si="2">AA3+1</f>
        <v>2017</v>
      </c>
      <c r="AC3" s="65">
        <f t="shared" si="2"/>
        <v>2018</v>
      </c>
      <c r="AD3" s="65">
        <f t="shared" si="2"/>
        <v>2019</v>
      </c>
      <c r="AE3" s="65">
        <f t="shared" si="2"/>
        <v>2020</v>
      </c>
      <c r="AF3" s="65">
        <f t="shared" si="2"/>
        <v>2021</v>
      </c>
      <c r="AG3" s="65">
        <f t="shared" si="2"/>
        <v>2022</v>
      </c>
      <c r="AH3" s="65">
        <f t="shared" si="2"/>
        <v>2023</v>
      </c>
      <c r="AI3" s="65">
        <f t="shared" si="2"/>
        <v>2024</v>
      </c>
      <c r="AJ3" s="65">
        <f t="shared" si="2"/>
        <v>2025</v>
      </c>
      <c r="AK3" s="65">
        <f t="shared" si="2"/>
        <v>2026</v>
      </c>
      <c r="AL3" s="65">
        <f t="shared" si="2"/>
        <v>2027</v>
      </c>
    </row>
    <row r="4" spans="1:38" x14ac:dyDescent="0.2">
      <c r="A4" s="2"/>
      <c r="B4" s="2"/>
      <c r="C4" s="2"/>
      <c r="D4" s="2"/>
      <c r="E4" s="2"/>
      <c r="F4" s="2"/>
      <c r="G4" s="2"/>
      <c r="H4" s="2"/>
      <c r="I4" s="2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</row>
    <row r="5" spans="1:38" x14ac:dyDescent="0.2">
      <c r="A5" s="2"/>
      <c r="B5" s="11" t="s">
        <v>209</v>
      </c>
      <c r="C5" s="2"/>
      <c r="D5" s="2"/>
      <c r="E5" s="2"/>
      <c r="F5" s="2"/>
      <c r="G5" s="2"/>
      <c r="H5" s="2"/>
      <c r="I5" s="2"/>
      <c r="J5" s="28">
        <f>Model!J6</f>
        <v>5353.9489999999996</v>
      </c>
      <c r="K5" s="28">
        <f>Model!K6</f>
        <v>5834.8050000000003</v>
      </c>
      <c r="L5" s="28">
        <f>Model!L6</f>
        <v>6112.3469999999998</v>
      </c>
      <c r="M5" s="28">
        <f>Model!M6</f>
        <v>6523.4189999999999</v>
      </c>
      <c r="N5" s="28">
        <f>Model!N6</f>
        <v>6266.8</v>
      </c>
      <c r="O5" s="28">
        <f>Model!O6</f>
        <v>5860.0079999999998</v>
      </c>
      <c r="P5" s="28">
        <f>Model!P6</f>
        <v>6636</v>
      </c>
      <c r="Q5" s="28">
        <f>Model!Q6</f>
        <v>10084</v>
      </c>
      <c r="R5" s="28">
        <f>Model!R6</f>
        <v>10299</v>
      </c>
      <c r="S5" s="28">
        <f>Model!S6</f>
        <v>10799</v>
      </c>
      <c r="T5" s="28">
        <f>Model!T6</f>
        <v>10381</v>
      </c>
      <c r="U5" s="28">
        <f>Model!U6</f>
        <v>11990</v>
      </c>
      <c r="V5" s="28">
        <f>Model!V6</f>
        <v>13322</v>
      </c>
      <c r="W5" s="28">
        <f>Model!W6</f>
        <v>14883</v>
      </c>
      <c r="X5" s="28">
        <f>Model!X6</f>
        <v>14203</v>
      </c>
      <c r="Y5" s="28">
        <f>Model!Y6</f>
        <v>14533.9</v>
      </c>
      <c r="Z5" s="28">
        <f>Model!Z6</f>
        <v>16915.049641526937</v>
      </c>
      <c r="AA5" s="28">
        <f>Model!AA6</f>
        <v>18483</v>
      </c>
      <c r="AB5" s="28">
        <f>Model!AB6</f>
        <v>21217</v>
      </c>
      <c r="AC5" s="28">
        <f>Model!AC6</f>
        <v>22404.229955568389</v>
      </c>
      <c r="AD5" s="28">
        <f>Model!AD6</f>
        <v>24520.882672427644</v>
      </c>
      <c r="AE5" s="28">
        <f>Model!AE6</f>
        <v>26517.6356799444</v>
      </c>
      <c r="AF5" s="28">
        <f>Model!AF6</f>
        <v>28386.247294431065</v>
      </c>
      <c r="AG5" s="28">
        <f>Model!AG6</f>
        <v>30268.657278039078</v>
      </c>
      <c r="AH5" s="28">
        <f>Model!AH6</f>
        <v>32218.84696009658</v>
      </c>
      <c r="AI5" s="28">
        <f>Model!AI6</f>
        <v>34083.310618779593</v>
      </c>
      <c r="AJ5" s="28">
        <f>Model!AJ6</f>
        <v>36060.855586066784</v>
      </c>
      <c r="AK5" s="28">
        <f>Model!AK6</f>
        <v>38158.56304096018</v>
      </c>
      <c r="AL5" s="28">
        <f>Model!AL6</f>
        <v>40341.939151286075</v>
      </c>
    </row>
    <row r="6" spans="1:38" x14ac:dyDescent="0.2">
      <c r="A6" s="2"/>
      <c r="B6" s="11" t="s">
        <v>210</v>
      </c>
      <c r="C6" s="2"/>
      <c r="D6" s="2"/>
      <c r="E6" s="2"/>
      <c r="F6" s="2"/>
      <c r="G6" s="2"/>
      <c r="H6" s="2"/>
      <c r="I6" s="2"/>
      <c r="J6" s="28">
        <f>Model!J88+Model!J95+Model!J96+Model!J104+Model!J115+Model!J111</f>
        <v>-4876.8150000000005</v>
      </c>
      <c r="K6" s="28">
        <f>Model!K88+Model!K95+Model!K96+Model!K104+Model!K115+Model!K111</f>
        <v>-5394.491</v>
      </c>
      <c r="L6" s="28">
        <f>Model!L88+Model!L95+Model!L96+Model!L104+Model!L115+Model!L111</f>
        <v>-5635.9009999999998</v>
      </c>
      <c r="M6" s="28">
        <f>Model!M88+Model!M95+Model!M96+Model!M104+Model!M115+Model!M111</f>
        <v>-6046.1889999999994</v>
      </c>
      <c r="N6" s="28">
        <f>Model!N88+Model!N95+Model!N96+Model!N104+Model!N115+Model!N111</f>
        <v>-5779.3070000000007</v>
      </c>
      <c r="O6" s="28">
        <f>Model!O88+Model!O95+Model!O96+Model!O104+Model!O115+Model!O111</f>
        <v>-5275.7979999999998</v>
      </c>
      <c r="P6" s="28">
        <f>Model!P88+Model!P95+Model!P96+Model!P104+Model!P115+Model!P111</f>
        <v>-5928.7929999999997</v>
      </c>
      <c r="Q6" s="28">
        <f>Model!Q88+Model!Q95+Model!Q96+Model!Q104+Model!Q115+Model!Q111</f>
        <v>-9203</v>
      </c>
      <c r="R6" s="28">
        <f>Model!R88+Model!R95+Model!R96+Model!R104+Model!R115+Model!R111</f>
        <v>-9350</v>
      </c>
      <c r="S6" s="28">
        <f>Model!S88+Model!S95+Model!S96+Model!S104+Model!S115+Model!S111</f>
        <v>-9729</v>
      </c>
      <c r="T6" s="28">
        <f>Model!T88+Model!T95+Model!T96+Model!T104+Model!T115+Model!T111</f>
        <v>-9873</v>
      </c>
      <c r="U6" s="28">
        <f>Model!U88+Model!U95+Model!U96+Model!U104+Model!U115+Model!U111</f>
        <v>-11096</v>
      </c>
      <c r="V6" s="28">
        <f>Model!V88+Model!V95+Model!V96+Model!V104+Model!V115+Model!V111</f>
        <v>-12369</v>
      </c>
      <c r="W6" s="28">
        <f>Model!W88+Model!W95+Model!W96+Model!W104+Model!W115+Model!W111</f>
        <v>-13963</v>
      </c>
      <c r="X6" s="28">
        <f>Model!X88+Model!X95+Model!X96+Model!X104+Model!X115+Model!X111</f>
        <v>-13022</v>
      </c>
      <c r="Y6" s="28">
        <f>Model!Y88+Model!Y95+Model!Y96+Model!Y104+Model!Y115+Model!Y111</f>
        <v>-13651</v>
      </c>
      <c r="Z6" s="28">
        <f>Model!Z88+Model!Z95+Model!Z96+Model!Z104+Model!Z115+Model!Z111</f>
        <v>-15855</v>
      </c>
      <c r="AA6" s="28">
        <f>Model!AA88+Model!AA95+Model!AA96+Model!AA104+Model!AA115+Model!AA111</f>
        <v>-16901</v>
      </c>
      <c r="AB6" s="28">
        <f>Model!AB88+Model!AB95+Model!AB96+Model!AB104+Model!AB115+Model!AB111</f>
        <v>-19146.400000000001</v>
      </c>
      <c r="AC6" s="28">
        <f>Model!AC88+Model!AC95+Model!AC96+Model!AC104+Model!AC115+Model!AC111</f>
        <v>-20060.203113621177</v>
      </c>
      <c r="AD6" s="28">
        <f>Model!AD88+Model!AD95+Model!AD96+Model!AD104+Model!AD115+Model!AD111</f>
        <v>-21791.983115602179</v>
      </c>
      <c r="AE6" s="28">
        <f>Model!AE88+Model!AE95+Model!AE96+Model!AE104+Model!AE115+Model!AE111</f>
        <v>-23408.345143184571</v>
      </c>
      <c r="AF6" s="28">
        <f>Model!AF88+Model!AF95+Model!AF96+Model!AF104+Model!AF115+Model!AF111</f>
        <v>-24736.953775020829</v>
      </c>
      <c r="AG6" s="28">
        <f>Model!AG88+Model!AG95+Model!AG96+Model!AG104+Model!AG115+Model!AG111</f>
        <v>-26112.102527695559</v>
      </c>
      <c r="AH6" s="28">
        <f>Model!AH88+Model!AH95+Model!AH96+Model!AH104+Model!AH115+Model!AH111</f>
        <v>-27517.491698440012</v>
      </c>
      <c r="AI6" s="28">
        <f>Model!AI88+Model!AI95+Model!AI96+Model!AI104+Model!AI115+Model!AI111</f>
        <v>-28939.005142704114</v>
      </c>
      <c r="AJ6" s="28">
        <f>Model!AJ88+Model!AJ95+Model!AJ96+Model!AJ104+Model!AJ115+Model!AJ111</f>
        <v>-30544.704557990051</v>
      </c>
      <c r="AK6" s="28">
        <f>Model!AK88+Model!AK95+Model!AK96+Model!AK104+Model!AK115+Model!AK111</f>
        <v>-32175.507461808971</v>
      </c>
      <c r="AL6" s="28">
        <f>Model!AL88+Model!AL95+Model!AL96+Model!AL104+Model!AL115+Model!AL111</f>
        <v>-33822.485276800151</v>
      </c>
    </row>
    <row r="7" spans="1:38" x14ac:dyDescent="0.2">
      <c r="A7" s="2"/>
      <c r="B7" s="11" t="s">
        <v>214</v>
      </c>
      <c r="C7" s="2"/>
      <c r="D7" s="2"/>
      <c r="E7" s="2"/>
      <c r="F7" s="2"/>
      <c r="G7" s="2"/>
      <c r="H7" s="2"/>
      <c r="I7" s="2"/>
      <c r="J7" s="6">
        <f>J5+J6</f>
        <v>477.13399999999911</v>
      </c>
      <c r="K7" s="6">
        <f t="shared" ref="K7:AC7" si="3">K5+K6</f>
        <v>440.31400000000031</v>
      </c>
      <c r="L7" s="6">
        <f t="shared" si="3"/>
        <v>476.44599999999991</v>
      </c>
      <c r="M7" s="6">
        <f t="shared" si="3"/>
        <v>477.23000000000047</v>
      </c>
      <c r="N7" s="6">
        <f t="shared" si="3"/>
        <v>487.49299999999948</v>
      </c>
      <c r="O7" s="6">
        <f t="shared" si="3"/>
        <v>584.21</v>
      </c>
      <c r="P7" s="6">
        <f t="shared" si="3"/>
        <v>707.20700000000033</v>
      </c>
      <c r="Q7" s="6">
        <f t="shared" si="3"/>
        <v>881</v>
      </c>
      <c r="R7" s="6">
        <f t="shared" si="3"/>
        <v>949</v>
      </c>
      <c r="S7" s="6">
        <f t="shared" si="3"/>
        <v>1070</v>
      </c>
      <c r="T7" s="6">
        <f t="shared" si="3"/>
        <v>508</v>
      </c>
      <c r="U7" s="6">
        <f t="shared" si="3"/>
        <v>894</v>
      </c>
      <c r="V7" s="6">
        <f t="shared" si="3"/>
        <v>953</v>
      </c>
      <c r="W7" s="6">
        <f t="shared" si="3"/>
        <v>920</v>
      </c>
      <c r="X7" s="6">
        <f t="shared" si="3"/>
        <v>1181</v>
      </c>
      <c r="Y7" s="6">
        <f t="shared" si="3"/>
        <v>882.89999999999964</v>
      </c>
      <c r="Z7" s="6">
        <f t="shared" si="3"/>
        <v>1060.0496415269372</v>
      </c>
      <c r="AA7" s="6">
        <f t="shared" si="3"/>
        <v>1582</v>
      </c>
      <c r="AB7" s="6">
        <f t="shared" si="3"/>
        <v>2070.5999999999985</v>
      </c>
      <c r="AC7" s="6">
        <f t="shared" si="3"/>
        <v>2344.0268419472122</v>
      </c>
      <c r="AD7" s="6">
        <f t="shared" ref="AD7:AL7" si="4">AD5+AD6</f>
        <v>2728.899556825465</v>
      </c>
      <c r="AE7" s="6">
        <f t="shared" si="4"/>
        <v>3109.2905367598287</v>
      </c>
      <c r="AF7" s="6">
        <f t="shared" si="4"/>
        <v>3649.2935194102356</v>
      </c>
      <c r="AG7" s="6">
        <f t="shared" si="4"/>
        <v>4156.5547503435191</v>
      </c>
      <c r="AH7" s="6">
        <f t="shared" si="4"/>
        <v>4701.3552616565685</v>
      </c>
      <c r="AI7" s="6">
        <f t="shared" si="4"/>
        <v>5144.3054760754785</v>
      </c>
      <c r="AJ7" s="6">
        <f t="shared" si="4"/>
        <v>5516.1510280767325</v>
      </c>
      <c r="AK7" s="6">
        <f t="shared" si="4"/>
        <v>5983.0555791512088</v>
      </c>
      <c r="AL7" s="6">
        <f t="shared" si="4"/>
        <v>6519.4538744859237</v>
      </c>
    </row>
    <row r="8" spans="1:38" x14ac:dyDescent="0.2">
      <c r="A8" s="2"/>
      <c r="B8" s="58" t="s">
        <v>211</v>
      </c>
      <c r="C8" s="2"/>
      <c r="D8" s="2"/>
      <c r="E8" s="2"/>
      <c r="F8" s="2"/>
      <c r="G8" s="2"/>
      <c r="H8" s="2"/>
      <c r="I8" s="2"/>
      <c r="J8" s="6">
        <f>-Model!J111</f>
        <v>102.366</v>
      </c>
      <c r="K8" s="6">
        <f>-Model!K111</f>
        <v>118.357</v>
      </c>
      <c r="L8" s="6">
        <f>-Model!L111</f>
        <v>130.352</v>
      </c>
      <c r="M8" s="6">
        <f>-Model!M111</f>
        <v>142.54300000000001</v>
      </c>
      <c r="N8" s="6">
        <f>-Model!N111</f>
        <v>140.328</v>
      </c>
      <c r="O8" s="6">
        <f>-Model!O111</f>
        <v>130.65</v>
      </c>
      <c r="P8" s="6">
        <f>-Model!P111</f>
        <v>112</v>
      </c>
      <c r="Q8" s="6">
        <f>-Model!Q111</f>
        <v>193</v>
      </c>
      <c r="R8" s="6">
        <f>-Model!R111</f>
        <v>204</v>
      </c>
      <c r="S8" s="6">
        <f>-Model!S111</f>
        <v>228</v>
      </c>
      <c r="T8" s="6">
        <f>-Model!T111</f>
        <v>294</v>
      </c>
      <c r="U8" s="6">
        <f>-Model!U111</f>
        <v>260</v>
      </c>
      <c r="V8" s="6">
        <f>-Model!V111</f>
        <v>249</v>
      </c>
      <c r="W8" s="6">
        <f>-Model!W111</f>
        <v>263</v>
      </c>
      <c r="X8" s="6">
        <f>-Model!X111</f>
        <v>282</v>
      </c>
      <c r="Y8" s="6">
        <f>-Model!Y111</f>
        <v>322</v>
      </c>
      <c r="Z8" s="6">
        <f>-Model!Z111</f>
        <v>352</v>
      </c>
      <c r="AA8" s="6">
        <f>-Model!AA111</f>
        <v>377</v>
      </c>
      <c r="AB8" s="6">
        <f>-Model!AB111</f>
        <v>452</v>
      </c>
      <c r="AC8" s="6">
        <f>-Model!AC111</f>
        <v>387.16557488892101</v>
      </c>
      <c r="AD8" s="6">
        <f>-Model!AD111</f>
        <v>422.74677573443779</v>
      </c>
      <c r="AE8" s="6">
        <f>-Model!AE111</f>
        <v>451.22998803668173</v>
      </c>
      <c r="AF8" s="6">
        <f>-Model!AF111</f>
        <v>474.04892202035484</v>
      </c>
      <c r="AG8" s="6">
        <f>-Model!AG111</f>
        <v>492.26911066746686</v>
      </c>
      <c r="AH8" s="6">
        <f>-Model!AH111</f>
        <v>509.30203509285144</v>
      </c>
      <c r="AI8" s="6">
        <f>-Model!AI111</f>
        <v>527.49399265240413</v>
      </c>
      <c r="AJ8" s="6">
        <f>-Model!AJ111</f>
        <v>546.56508681459206</v>
      </c>
      <c r="AK8" s="6">
        <f>-Model!AK111</f>
        <v>565.33632212993655</v>
      </c>
      <c r="AL8" s="6">
        <f>-Model!AL111</f>
        <v>582.82123248344874</v>
      </c>
    </row>
    <row r="9" spans="1:38" x14ac:dyDescent="0.2">
      <c r="A9" s="2"/>
      <c r="B9" s="58" t="s">
        <v>212</v>
      </c>
      <c r="C9" s="2"/>
      <c r="D9" s="2"/>
      <c r="E9" s="2"/>
      <c r="F9" s="2"/>
      <c r="G9" s="2"/>
      <c r="H9" s="2"/>
      <c r="I9" s="2"/>
      <c r="J9" s="6">
        <f>J7+J8</f>
        <v>579.49999999999909</v>
      </c>
      <c r="K9" s="6">
        <f t="shared" ref="K9:AC9" si="5">K7+K8</f>
        <v>558.67100000000028</v>
      </c>
      <c r="L9" s="6">
        <f t="shared" si="5"/>
        <v>606.79799999999989</v>
      </c>
      <c r="M9" s="6">
        <f t="shared" si="5"/>
        <v>619.77300000000048</v>
      </c>
      <c r="N9" s="6">
        <f t="shared" si="5"/>
        <v>627.82099999999946</v>
      </c>
      <c r="O9" s="6">
        <f t="shared" si="5"/>
        <v>714.86</v>
      </c>
      <c r="P9" s="6">
        <f t="shared" si="5"/>
        <v>819.20700000000033</v>
      </c>
      <c r="Q9" s="6">
        <f t="shared" si="5"/>
        <v>1074</v>
      </c>
      <c r="R9" s="6">
        <f t="shared" si="5"/>
        <v>1153</v>
      </c>
      <c r="S9" s="6">
        <f t="shared" si="5"/>
        <v>1298</v>
      </c>
      <c r="T9" s="6">
        <f t="shared" si="5"/>
        <v>802</v>
      </c>
      <c r="U9" s="6">
        <f t="shared" si="5"/>
        <v>1154</v>
      </c>
      <c r="V9" s="6">
        <f t="shared" si="5"/>
        <v>1202</v>
      </c>
      <c r="W9" s="6">
        <f t="shared" si="5"/>
        <v>1183</v>
      </c>
      <c r="X9" s="6">
        <f t="shared" si="5"/>
        <v>1463</v>
      </c>
      <c r="Y9" s="6">
        <f t="shared" si="5"/>
        <v>1204.8999999999996</v>
      </c>
      <c r="Z9" s="6">
        <f t="shared" si="5"/>
        <v>1412.0496415269372</v>
      </c>
      <c r="AA9" s="6">
        <f t="shared" si="5"/>
        <v>1959</v>
      </c>
      <c r="AB9" s="6">
        <f t="shared" si="5"/>
        <v>2522.5999999999985</v>
      </c>
      <c r="AC9" s="6">
        <f t="shared" si="5"/>
        <v>2731.1924168361334</v>
      </c>
      <c r="AD9" s="6">
        <f t="shared" ref="AD9:AL9" si="6">AD7+AD8</f>
        <v>3151.6463325599029</v>
      </c>
      <c r="AE9" s="6">
        <f t="shared" si="6"/>
        <v>3560.5205247965105</v>
      </c>
      <c r="AF9" s="6">
        <f t="shared" si="6"/>
        <v>4123.34244143059</v>
      </c>
      <c r="AG9" s="6">
        <f t="shared" si="6"/>
        <v>4648.8238610109856</v>
      </c>
      <c r="AH9" s="6">
        <f t="shared" si="6"/>
        <v>5210.6572967494203</v>
      </c>
      <c r="AI9" s="6">
        <f t="shared" si="6"/>
        <v>5671.7994687278824</v>
      </c>
      <c r="AJ9" s="6">
        <f t="shared" si="6"/>
        <v>6062.7161148913247</v>
      </c>
      <c r="AK9" s="6">
        <f t="shared" si="6"/>
        <v>6548.3919012811457</v>
      </c>
      <c r="AL9" s="6">
        <f t="shared" si="6"/>
        <v>7102.2751069693722</v>
      </c>
    </row>
    <row r="10" spans="1:38" x14ac:dyDescent="0.2">
      <c r="A10" s="2"/>
      <c r="B10" s="4" t="s">
        <v>9</v>
      </c>
      <c r="C10" s="2"/>
      <c r="D10" s="2"/>
      <c r="E10" s="2"/>
      <c r="F10" s="2"/>
      <c r="G10" s="2"/>
      <c r="H10" s="2"/>
      <c r="I10" s="2"/>
      <c r="J10" s="6">
        <f>Model!J195</f>
        <v>-9.8190000000000026</v>
      </c>
      <c r="K10" s="6">
        <f>Model!K195</f>
        <v>-338.14699999999999</v>
      </c>
      <c r="L10" s="6">
        <f>Model!L195</f>
        <v>-24.831000000000017</v>
      </c>
      <c r="M10" s="6">
        <f>Model!M195</f>
        <v>99.501000000000033</v>
      </c>
      <c r="N10" s="6">
        <f>Model!N195</f>
        <v>158.62100000000001</v>
      </c>
      <c r="O10" s="6">
        <f>Model!O195</f>
        <v>86.966999999999999</v>
      </c>
      <c r="P10" s="6">
        <f>Model!P195</f>
        <v>-184</v>
      </c>
      <c r="Q10" s="6">
        <f>Model!Q195</f>
        <v>52</v>
      </c>
      <c r="R10" s="6">
        <f>Model!R195</f>
        <v>57</v>
      </c>
      <c r="S10" s="6">
        <f>Model!S195</f>
        <v>-186</v>
      </c>
      <c r="T10" s="6">
        <f>Model!T195</f>
        <v>769</v>
      </c>
      <c r="U10" s="6">
        <f>Model!U195</f>
        <v>96</v>
      </c>
      <c r="V10" s="6">
        <f>Model!V195</f>
        <v>55</v>
      </c>
      <c r="W10" s="6">
        <f>Model!W195</f>
        <v>-18</v>
      </c>
      <c r="X10" s="6">
        <f>Model!X195</f>
        <v>-450</v>
      </c>
      <c r="Y10" s="6">
        <f>Model!Y195</f>
        <v>-229</v>
      </c>
      <c r="Z10" s="6">
        <f>Model!Z195</f>
        <v>1</v>
      </c>
      <c r="AA10" s="6">
        <f>Model!AA195</f>
        <v>-26</v>
      </c>
      <c r="AB10" s="6">
        <f>Model!AB195</f>
        <v>-271</v>
      </c>
      <c r="AC10" s="6">
        <f>Model!AC195</f>
        <v>215.44075756867142</v>
      </c>
      <c r="AD10" s="6">
        <f>Model!AD195</f>
        <v>-254.57031114725623</v>
      </c>
      <c r="AE10" s="6">
        <f>Model!AE195</f>
        <v>-148.06032035098951</v>
      </c>
      <c r="AF10" s="6">
        <f>Model!AF195</f>
        <v>-142.07676370754234</v>
      </c>
      <c r="AG10" s="6">
        <f>Model!AG195</f>
        <v>-245.50929447416729</v>
      </c>
      <c r="AH10" s="6">
        <f>Model!AH195</f>
        <v>-122.41564307037243</v>
      </c>
      <c r="AI10" s="6">
        <f>Model!AI195</f>
        <v>-272.17640136976206</v>
      </c>
      <c r="AJ10" s="6">
        <f>Model!AJ195</f>
        <v>-293.17402084807827</v>
      </c>
      <c r="AK10" s="6">
        <f>Model!AK195</f>
        <v>-151.60592818542682</v>
      </c>
      <c r="AL10" s="6">
        <f>Model!AL195</f>
        <v>-256.76951847954842</v>
      </c>
    </row>
    <row r="11" spans="1:38" x14ac:dyDescent="0.2">
      <c r="A11" s="2"/>
      <c r="B11" s="11" t="s">
        <v>10</v>
      </c>
      <c r="C11" s="2"/>
      <c r="D11" s="2"/>
      <c r="E11" s="2"/>
      <c r="F11" s="2"/>
      <c r="G11" s="2"/>
      <c r="H11" s="2"/>
      <c r="I11" s="2"/>
      <c r="J11" s="6">
        <f>Model!J199</f>
        <v>-84.766000000000005</v>
      </c>
      <c r="K11" s="6">
        <f>Model!K199</f>
        <v>-105.313</v>
      </c>
      <c r="L11" s="6">
        <f>Model!L199</f>
        <v>-110.4</v>
      </c>
      <c r="M11" s="6">
        <f>Model!M199</f>
        <v>-79.149000000000001</v>
      </c>
      <c r="N11" s="6">
        <f>Model!N199</f>
        <v>-60.161999999999999</v>
      </c>
      <c r="O11" s="6">
        <f>Model!O199</f>
        <v>-64.960999999999999</v>
      </c>
      <c r="P11" s="6">
        <f>Model!P199</f>
        <v>-68</v>
      </c>
      <c r="Q11" s="6">
        <f>Model!Q199</f>
        <v>-158</v>
      </c>
      <c r="R11" s="6">
        <f>Model!R199</f>
        <v>-161</v>
      </c>
      <c r="S11" s="6">
        <f>Model!S199</f>
        <v>-176</v>
      </c>
      <c r="T11" s="6">
        <f>Model!T199+Model!T210</f>
        <v>-115</v>
      </c>
      <c r="U11" s="6">
        <f>Model!U199+Model!U210</f>
        <v>-110</v>
      </c>
      <c r="V11" s="6">
        <f>Model!V199+Model!V210</f>
        <v>-83</v>
      </c>
      <c r="W11" s="6">
        <f>Model!W199+Model!W210</f>
        <v>-55</v>
      </c>
      <c r="X11" s="6">
        <f>Model!X199+Model!X210</f>
        <v>-42.5</v>
      </c>
      <c r="Y11" s="6">
        <f>Model!Y199+Model!Y210</f>
        <v>-42</v>
      </c>
      <c r="Z11" s="6">
        <f>Model!Z199+Model!Z210</f>
        <v>-35</v>
      </c>
      <c r="AA11" s="6">
        <f>Model!AA199+Model!AA210</f>
        <v>-25</v>
      </c>
      <c r="AB11" s="6">
        <f>Model!AB199+Model!AB210</f>
        <v>-39.6</v>
      </c>
      <c r="AC11" s="6">
        <f>Model!AC199+Model!AC210</f>
        <v>-4.6849999999999881</v>
      </c>
      <c r="AD11" s="6">
        <f>Model!AD199+Model!AD210</f>
        <v>-27.140817332429471</v>
      </c>
      <c r="AE11" s="6">
        <f>Model!AE199+Model!AE210</f>
        <v>-39.961289695619747</v>
      </c>
      <c r="AF11" s="6">
        <f>Model!AF199+Model!AF210</f>
        <v>-38.563827714102672</v>
      </c>
      <c r="AG11" s="6">
        <f>Model!AG199+Model!AG210</f>
        <v>-32.199244978394262</v>
      </c>
      <c r="AH11" s="6">
        <f>Model!AH199+Model!AH210</f>
        <v>-13.242130338930842</v>
      </c>
      <c r="AI11" s="6">
        <f>Model!AI199+Model!AI210</f>
        <v>12.059604702202222</v>
      </c>
      <c r="AJ11" s="6">
        <f>Model!AJ199+Model!AJ210</f>
        <v>37.49896386843934</v>
      </c>
      <c r="AK11" s="6">
        <f>Model!AK199+Model!AK210</f>
        <v>64.996064848463789</v>
      </c>
      <c r="AL11" s="6">
        <f>Model!AL199+Model!AL210</f>
        <v>99.304125727334281</v>
      </c>
    </row>
    <row r="12" spans="1:38" x14ac:dyDescent="0.2">
      <c r="A12" s="8"/>
      <c r="B12" s="11" t="s">
        <v>11</v>
      </c>
      <c r="C12" s="8"/>
      <c r="D12" s="8"/>
      <c r="E12" s="8"/>
      <c r="F12" s="8"/>
      <c r="G12" s="8"/>
      <c r="H12" s="8"/>
      <c r="I12" s="8"/>
      <c r="J12" s="6">
        <f>Model!J200</f>
        <v>-151.977</v>
      </c>
      <c r="K12" s="6">
        <f>Model!K200</f>
        <v>-144.99299999999999</v>
      </c>
      <c r="L12" s="6">
        <f>Model!L200</f>
        <v>-112.015</v>
      </c>
      <c r="M12" s="6">
        <f>Model!M200</f>
        <v>-167.58099999999999</v>
      </c>
      <c r="N12" s="6">
        <f>Model!N200</f>
        <v>-120.26</v>
      </c>
      <c r="O12" s="6">
        <f>Model!O200</f>
        <v>-198.92500000000001</v>
      </c>
      <c r="P12" s="6">
        <f>Model!P200</f>
        <v>-159</v>
      </c>
      <c r="Q12" s="6">
        <f>Model!Q200</f>
        <v>-297</v>
      </c>
      <c r="R12" s="6">
        <f>Model!R200</f>
        <v>-255</v>
      </c>
      <c r="S12" s="6">
        <f>Model!S200</f>
        <v>-346</v>
      </c>
      <c r="T12" s="6">
        <f>Model!T200</f>
        <v>-262</v>
      </c>
      <c r="U12" s="6">
        <f>Model!U200</f>
        <v>-235</v>
      </c>
      <c r="V12" s="6">
        <f>Model!V200</f>
        <v>-314</v>
      </c>
      <c r="W12" s="6">
        <f>Model!W200</f>
        <v>-380</v>
      </c>
      <c r="X12" s="6">
        <f>Model!X200</f>
        <v>-389.5</v>
      </c>
      <c r="Y12" s="6">
        <f>Model!Y200</f>
        <v>-284</v>
      </c>
      <c r="Z12" s="6">
        <f>Model!Z200</f>
        <v>-386</v>
      </c>
      <c r="AA12" s="6">
        <f>Model!AA200</f>
        <v>-439</v>
      </c>
      <c r="AB12" s="6">
        <f>Model!AB200</f>
        <v>-556</v>
      </c>
      <c r="AC12" s="6">
        <f>Model!AC200</f>
        <v>-690.10584337442674</v>
      </c>
      <c r="AD12" s="6">
        <f>Model!AD200</f>
        <v>-797.0188281504461</v>
      </c>
      <c r="AE12" s="6">
        <f>Model!AE200</f>
        <v>-905.45212788394133</v>
      </c>
      <c r="AF12" s="6">
        <f>Model!AF200</f>
        <v>-1065.1652590503593</v>
      </c>
      <c r="AG12" s="6">
        <f>Model!AG200</f>
        <v>-1216.6848740827122</v>
      </c>
      <c r="AH12" s="6">
        <f>Model!AH200</f>
        <v>-1382.9933737387032</v>
      </c>
      <c r="AI12" s="6">
        <f>Model!AI200</f>
        <v>-1521.127698829416</v>
      </c>
      <c r="AJ12" s="6">
        <f>Model!AJ200</f>
        <v>-1638.3267476238263</v>
      </c>
      <c r="AK12" s="6">
        <f>Model!AK200</f>
        <v>-1784.1752349799028</v>
      </c>
      <c r="AL12" s="6">
        <f>Model!AL200</f>
        <v>-1952.5336100629097</v>
      </c>
    </row>
    <row r="13" spans="1:38" x14ac:dyDescent="0.2">
      <c r="A13" s="8"/>
      <c r="B13" s="58" t="s">
        <v>12</v>
      </c>
      <c r="C13" s="4"/>
      <c r="D13" s="4"/>
      <c r="E13" s="4"/>
      <c r="F13" s="4"/>
      <c r="G13" s="4"/>
      <c r="H13" s="4"/>
      <c r="I13" s="4"/>
      <c r="J13" s="15">
        <f>Model!J204+Model!J205</f>
        <v>-132.536</v>
      </c>
      <c r="K13" s="15">
        <f>Model!K204+Model!K205</f>
        <v>-149.37700000000001</v>
      </c>
      <c r="L13" s="15">
        <f>Model!L204+Model!L205</f>
        <v>-202.071</v>
      </c>
      <c r="M13" s="15">
        <f>Model!M204+Model!M205</f>
        <v>-264.77999999999997</v>
      </c>
      <c r="N13" s="15">
        <f>Model!N204+Model!N205</f>
        <v>-144.70499999999998</v>
      </c>
      <c r="O13" s="15">
        <f>Model!O204+Model!O205</f>
        <v>-159.911</v>
      </c>
      <c r="P13" s="15">
        <f>Model!P204+Model!P205</f>
        <v>-209</v>
      </c>
      <c r="Q13" s="15">
        <f>Model!Q204+Model!Q205</f>
        <v>-258</v>
      </c>
      <c r="R13" s="15">
        <f>Model!R204+Model!R205</f>
        <v>-275</v>
      </c>
      <c r="S13" s="15">
        <f>Model!S204+Model!S205</f>
        <v>-368</v>
      </c>
      <c r="T13" s="15">
        <f>Model!T204+Model!T205</f>
        <v>-231</v>
      </c>
      <c r="U13" s="15">
        <f>Model!U204+Model!U205</f>
        <v>-252</v>
      </c>
      <c r="V13" s="15">
        <f>Model!V204+Model!V205</f>
        <v>-376</v>
      </c>
      <c r="W13" s="15">
        <f>Model!W204+Model!W205</f>
        <v>-433</v>
      </c>
      <c r="X13" s="15">
        <f>Model!X204+Model!X205</f>
        <v>-472.1</v>
      </c>
      <c r="Y13" s="15">
        <f>Model!Y204+Model!Y205</f>
        <v>-547</v>
      </c>
      <c r="Z13" s="15">
        <f>Model!Z204+Model!Z205</f>
        <v>-513</v>
      </c>
      <c r="AA13" s="15">
        <f>Model!AA204+Model!AA205</f>
        <v>-651</v>
      </c>
      <c r="AB13" s="15">
        <f>Model!AB204+Model!AB205</f>
        <v>-752.9</v>
      </c>
      <c r="AC13" s="15">
        <f>Model!AC204+Model!AC205</f>
        <v>-972.90419822273566</v>
      </c>
      <c r="AD13" s="15">
        <f>Model!AD204+Model!AD205</f>
        <v>-1009.2958915522504</v>
      </c>
      <c r="AE13" s="15">
        <f>Model!AE204+Model!AE205</f>
        <v>-1032.9122579779985</v>
      </c>
      <c r="AF13" s="15">
        <f>Model!AF204+Model!AF205</f>
        <v>-1043.4097815106563</v>
      </c>
      <c r="AG13" s="15">
        <f>Model!AG204+Model!AG205</f>
        <v>-1046.8744063972506</v>
      </c>
      <c r="AH13" s="15">
        <f>Model!AH204+Model!AH205</f>
        <v>-1109.2804762230905</v>
      </c>
      <c r="AI13" s="15">
        <f>Model!AI204+Model!AI205</f>
        <v>-1168.943313300947</v>
      </c>
      <c r="AJ13" s="15">
        <f>Model!AJ204+Model!AJ205</f>
        <v>-1232.2247522541372</v>
      </c>
      <c r="AK13" s="15">
        <f>Model!AK204+Model!AK205</f>
        <v>-1261.1928277697657</v>
      </c>
      <c r="AL13" s="15">
        <f>Model!AL204+Model!AL205</f>
        <v>-1288.5355480385822</v>
      </c>
    </row>
    <row r="14" spans="1:38" x14ac:dyDescent="0.2">
      <c r="A14" s="2"/>
      <c r="B14" s="11" t="s">
        <v>13</v>
      </c>
      <c r="C14" s="2"/>
      <c r="D14" s="2"/>
      <c r="E14" s="2"/>
      <c r="F14" s="2"/>
      <c r="G14" s="2"/>
      <c r="H14" s="2"/>
      <c r="I14" s="2"/>
      <c r="J14" s="6">
        <f>Model!J196</f>
        <v>0</v>
      </c>
      <c r="K14" s="6">
        <f>Model!K196</f>
        <v>0</v>
      </c>
      <c r="L14" s="6">
        <f>Model!L196</f>
        <v>0</v>
      </c>
      <c r="M14" s="6">
        <f>Model!M196</f>
        <v>0</v>
      </c>
      <c r="N14" s="6">
        <f>Model!N196</f>
        <v>0</v>
      </c>
      <c r="O14" s="6">
        <f>Model!O196</f>
        <v>0</v>
      </c>
      <c r="P14" s="6">
        <f>Model!P196</f>
        <v>0</v>
      </c>
      <c r="Q14" s="6">
        <f>Model!Q196</f>
        <v>0</v>
      </c>
      <c r="R14" s="6">
        <f>Model!R196</f>
        <v>0</v>
      </c>
      <c r="S14" s="6">
        <f>Model!S196</f>
        <v>-21</v>
      </c>
      <c r="T14" s="6">
        <f>Model!T196</f>
        <v>5</v>
      </c>
      <c r="U14" s="6">
        <f>Model!U196</f>
        <v>-7</v>
      </c>
      <c r="V14" s="6">
        <f>Model!V196</f>
        <v>-2</v>
      </c>
      <c r="W14" s="6">
        <f>Model!W196</f>
        <v>-5</v>
      </c>
      <c r="X14" s="6">
        <f>Model!X196</f>
        <v>25</v>
      </c>
      <c r="Y14" s="6">
        <f>Model!Y196</f>
        <v>-59</v>
      </c>
      <c r="Z14" s="6">
        <f>Model!Z196</f>
        <v>2</v>
      </c>
      <c r="AA14" s="6">
        <f>Model!AA196</f>
        <v>-1</v>
      </c>
      <c r="AB14" s="6">
        <f>Model!AB196</f>
        <v>55</v>
      </c>
      <c r="AC14" s="6">
        <f>Model!AC196</f>
        <v>0</v>
      </c>
      <c r="AD14" s="6">
        <f>Model!AD196</f>
        <v>0</v>
      </c>
      <c r="AE14" s="6">
        <f>Model!AE196</f>
        <v>0</v>
      </c>
      <c r="AF14" s="6">
        <f>Model!AF196</f>
        <v>0</v>
      </c>
      <c r="AG14" s="6">
        <f>Model!AG196</f>
        <v>0</v>
      </c>
      <c r="AH14" s="6">
        <f>Model!AH196</f>
        <v>0</v>
      </c>
      <c r="AI14" s="6">
        <f>Model!AI196</f>
        <v>0</v>
      </c>
      <c r="AJ14" s="6">
        <f>Model!AJ196</f>
        <v>0</v>
      </c>
      <c r="AK14" s="6">
        <f>Model!AK196</f>
        <v>0</v>
      </c>
      <c r="AL14" s="6">
        <f>Model!AL196</f>
        <v>0</v>
      </c>
    </row>
    <row r="15" spans="1:38" ht="13.5" thickBot="1" x14ac:dyDescent="0.25">
      <c r="A15" s="2"/>
      <c r="B15" s="42" t="s">
        <v>14</v>
      </c>
      <c r="C15" s="21"/>
      <c r="D15" s="21"/>
      <c r="E15" s="21"/>
      <c r="F15" s="21"/>
      <c r="G15" s="21"/>
      <c r="H15" s="21"/>
      <c r="I15" s="21"/>
      <c r="J15" s="40">
        <f>J9+J10+J11+J12+J13+J14</f>
        <v>200.40199999999908</v>
      </c>
      <c r="K15" s="40">
        <f t="shared" ref="K15:AC15" si="7">K9+K10+K11+K12+K13+K14</f>
        <v>-179.15899999999971</v>
      </c>
      <c r="L15" s="40">
        <f t="shared" si="7"/>
        <v>157.48099999999991</v>
      </c>
      <c r="M15" s="40">
        <f t="shared" si="7"/>
        <v>207.76400000000058</v>
      </c>
      <c r="N15" s="40">
        <f t="shared" si="7"/>
        <v>461.31499999999943</v>
      </c>
      <c r="O15" s="40">
        <f t="shared" si="7"/>
        <v>378.03000000000003</v>
      </c>
      <c r="P15" s="40">
        <f t="shared" si="7"/>
        <v>199.20700000000033</v>
      </c>
      <c r="Q15" s="40">
        <f t="shared" si="7"/>
        <v>413</v>
      </c>
      <c r="R15" s="40">
        <f t="shared" si="7"/>
        <v>519</v>
      </c>
      <c r="S15" s="40">
        <f t="shared" si="7"/>
        <v>201</v>
      </c>
      <c r="T15" s="40">
        <f t="shared" si="7"/>
        <v>968</v>
      </c>
      <c r="U15" s="40">
        <f t="shared" si="7"/>
        <v>646</v>
      </c>
      <c r="V15" s="40">
        <f t="shared" si="7"/>
        <v>482</v>
      </c>
      <c r="W15" s="40">
        <f t="shared" si="7"/>
        <v>292</v>
      </c>
      <c r="X15" s="40">
        <f t="shared" si="7"/>
        <v>133.89999999999998</v>
      </c>
      <c r="Y15" s="40">
        <f t="shared" si="7"/>
        <v>43.899999999999636</v>
      </c>
      <c r="Z15" s="40">
        <f t="shared" si="7"/>
        <v>481.04964152693719</v>
      </c>
      <c r="AA15" s="40">
        <f t="shared" si="7"/>
        <v>817</v>
      </c>
      <c r="AB15" s="40">
        <f t="shared" si="7"/>
        <v>958.09999999999866</v>
      </c>
      <c r="AC15" s="40">
        <f t="shared" si="7"/>
        <v>1278.9381328076422</v>
      </c>
      <c r="AD15" s="40">
        <f t="shared" ref="AD15:AL15" si="8">AD9+AD10+AD11+AD12+AD13+AD14</f>
        <v>1063.6204843775208</v>
      </c>
      <c r="AE15" s="40">
        <f t="shared" si="8"/>
        <v>1434.1345288879613</v>
      </c>
      <c r="AF15" s="40">
        <f t="shared" si="8"/>
        <v>1834.1268094479299</v>
      </c>
      <c r="AG15" s="40">
        <f t="shared" si="8"/>
        <v>2107.5560410784619</v>
      </c>
      <c r="AH15" s="40">
        <f t="shared" si="8"/>
        <v>2582.7256733783233</v>
      </c>
      <c r="AI15" s="40">
        <f t="shared" si="8"/>
        <v>2721.6116599299594</v>
      </c>
      <c r="AJ15" s="40">
        <f t="shared" si="8"/>
        <v>2936.4895580337225</v>
      </c>
      <c r="AK15" s="40">
        <f t="shared" si="8"/>
        <v>3416.4139751945145</v>
      </c>
      <c r="AL15" s="40">
        <f t="shared" si="8"/>
        <v>3703.7405561156665</v>
      </c>
    </row>
    <row r="16" spans="1:38" ht="13.5" thickTop="1" x14ac:dyDescent="0.2">
      <c r="A16" s="2"/>
      <c r="B16" s="41"/>
      <c r="C16" s="2"/>
      <c r="D16" s="2"/>
      <c r="E16" s="2"/>
      <c r="F16" s="2"/>
      <c r="G16" s="2"/>
      <c r="H16" s="2"/>
      <c r="I16" s="2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51">
        <f t="shared" ref="Z16:AE16" si="9">Z15/Y15-1</f>
        <v>9.9578506042583417</v>
      </c>
      <c r="AA16" s="151">
        <f t="shared" si="9"/>
        <v>0.69836941860448443</v>
      </c>
      <c r="AB16" s="151">
        <f t="shared" si="9"/>
        <v>0.17270501835985153</v>
      </c>
      <c r="AC16" s="151">
        <f t="shared" si="9"/>
        <v>0.33486915020106878</v>
      </c>
      <c r="AD16" s="151">
        <f t="shared" si="9"/>
        <v>-0.16835657871693632</v>
      </c>
      <c r="AE16" s="151">
        <f t="shared" si="9"/>
        <v>0.34835173819285936</v>
      </c>
      <c r="AF16" s="151">
        <f t="shared" ref="AF16:AL16" si="10">AF15/AE15-1</f>
        <v>0.27890847929735396</v>
      </c>
      <c r="AG16" s="151">
        <f t="shared" si="10"/>
        <v>0.14907869522545925</v>
      </c>
      <c r="AH16" s="151">
        <f t="shared" si="10"/>
        <v>0.22546002243276586</v>
      </c>
      <c r="AI16" s="151">
        <f t="shared" si="10"/>
        <v>5.3774966494976928E-2</v>
      </c>
      <c r="AJ16" s="151">
        <f t="shared" si="10"/>
        <v>7.8952446180103886E-2</v>
      </c>
      <c r="AK16" s="151">
        <f t="shared" si="10"/>
        <v>0.16343474331376484</v>
      </c>
      <c r="AL16" s="151">
        <f t="shared" si="10"/>
        <v>8.4101804701461225E-2</v>
      </c>
    </row>
    <row r="17" spans="1:38" x14ac:dyDescent="0.2">
      <c r="A17" s="35"/>
      <c r="B17" s="35" t="s">
        <v>15</v>
      </c>
      <c r="C17" s="35"/>
      <c r="D17" s="35"/>
      <c r="E17" s="35"/>
      <c r="F17" s="35"/>
      <c r="G17" s="35"/>
      <c r="H17" s="35"/>
      <c r="I17" s="35"/>
      <c r="J17" s="36">
        <f>J15/J5%</f>
        <v>3.7430689011045697</v>
      </c>
      <c r="K17" s="36">
        <f t="shared" ref="K17:AC17" si="11">K15/K5%</f>
        <v>-3.0705224938965348</v>
      </c>
      <c r="L17" s="36">
        <f t="shared" si="11"/>
        <v>2.5764407681697379</v>
      </c>
      <c r="M17" s="36">
        <f t="shared" si="11"/>
        <v>3.1848943015924713</v>
      </c>
      <c r="N17" s="36">
        <f t="shared" si="11"/>
        <v>7.3612529520648406</v>
      </c>
      <c r="O17" s="36">
        <f t="shared" si="11"/>
        <v>6.4510150839384526</v>
      </c>
      <c r="P17" s="36">
        <f t="shared" si="11"/>
        <v>3.0019138034960871</v>
      </c>
      <c r="Q17" s="36">
        <f t="shared" si="11"/>
        <v>4.0955969853232839</v>
      </c>
      <c r="R17" s="36">
        <f t="shared" si="11"/>
        <v>5.0393242062336148</v>
      </c>
      <c r="S17" s="36">
        <f t="shared" si="11"/>
        <v>1.8612834521714974</v>
      </c>
      <c r="T17" s="36">
        <f t="shared" si="11"/>
        <v>9.324727868220787</v>
      </c>
      <c r="U17" s="36">
        <f t="shared" si="11"/>
        <v>5.3878231859883234</v>
      </c>
      <c r="V17" s="36">
        <f t="shared" si="11"/>
        <v>3.6180753640594507</v>
      </c>
      <c r="W17" s="36">
        <f t="shared" si="11"/>
        <v>1.9619700329234695</v>
      </c>
      <c r="X17" s="36">
        <f t="shared" si="11"/>
        <v>0.94275857213264791</v>
      </c>
      <c r="Y17" s="36">
        <f t="shared" si="11"/>
        <v>0.30205244290933358</v>
      </c>
      <c r="Z17" s="36">
        <f t="shared" si="11"/>
        <v>2.8439150444226091</v>
      </c>
      <c r="AA17" s="36">
        <f t="shared" si="11"/>
        <v>4.4202780933831081</v>
      </c>
      <c r="AB17" s="36">
        <f t="shared" si="11"/>
        <v>4.5157185275957898</v>
      </c>
      <c r="AC17" s="36">
        <f t="shared" si="11"/>
        <v>5.7084672641907632</v>
      </c>
      <c r="AD17" s="36">
        <f t="shared" ref="AD17:AL17" si="12">AD15/AD5%</f>
        <v>4.3376109195836676</v>
      </c>
      <c r="AE17" s="36">
        <f t="shared" si="12"/>
        <v>5.4082292486302395</v>
      </c>
      <c r="AF17" s="36">
        <f t="shared" si="12"/>
        <v>6.4613218874048091</v>
      </c>
      <c r="AG17" s="36">
        <f t="shared" si="12"/>
        <v>6.9628329453766824</v>
      </c>
      <c r="AH17" s="36">
        <f t="shared" si="12"/>
        <v>8.0161952306271527</v>
      </c>
      <c r="AI17" s="36">
        <f t="shared" si="12"/>
        <v>7.985174006043815</v>
      </c>
      <c r="AJ17" s="36">
        <f t="shared" si="12"/>
        <v>8.143149989952887</v>
      </c>
      <c r="AK17" s="36">
        <f t="shared" si="12"/>
        <v>8.9532039545809585</v>
      </c>
      <c r="AL17" s="36">
        <f t="shared" si="12"/>
        <v>9.1808689270644397</v>
      </c>
    </row>
    <row r="18" spans="1:38" x14ac:dyDescent="0.2">
      <c r="A18" s="35"/>
      <c r="B18" s="35" t="s">
        <v>16</v>
      </c>
      <c r="C18" s="35"/>
      <c r="D18" s="35"/>
      <c r="E18" s="35"/>
      <c r="F18" s="35"/>
      <c r="G18" s="35"/>
      <c r="H18" s="35"/>
      <c r="I18" s="35"/>
      <c r="J18" s="36">
        <f>J15/J9%</f>
        <v>34.581880931837688</v>
      </c>
      <c r="K18" s="36">
        <f t="shared" ref="K18:AC18" si="13">K15/K9%</f>
        <v>-32.068784669331258</v>
      </c>
      <c r="L18" s="36">
        <f t="shared" si="13"/>
        <v>25.952788242545285</v>
      </c>
      <c r="M18" s="36">
        <f t="shared" si="13"/>
        <v>33.522596176342056</v>
      </c>
      <c r="N18" s="36">
        <f t="shared" si="13"/>
        <v>73.478746330562345</v>
      </c>
      <c r="O18" s="36">
        <f t="shared" si="13"/>
        <v>52.881683126766085</v>
      </c>
      <c r="P18" s="36">
        <f t="shared" si="13"/>
        <v>24.317052954869801</v>
      </c>
      <c r="Q18" s="36">
        <f t="shared" si="13"/>
        <v>38.45437616387337</v>
      </c>
      <c r="R18" s="36">
        <f t="shared" si="13"/>
        <v>45.013009540329577</v>
      </c>
      <c r="S18" s="36">
        <f t="shared" si="13"/>
        <v>15.485362095531586</v>
      </c>
      <c r="T18" s="36">
        <f t="shared" si="13"/>
        <v>120.69825436408978</v>
      </c>
      <c r="U18" s="36">
        <f t="shared" si="13"/>
        <v>55.97920277296361</v>
      </c>
      <c r="V18" s="36">
        <f t="shared" si="13"/>
        <v>40.099833610648922</v>
      </c>
      <c r="W18" s="36">
        <f t="shared" si="13"/>
        <v>24.683009298393912</v>
      </c>
      <c r="X18" s="36">
        <f t="shared" si="13"/>
        <v>9.1524265208475715</v>
      </c>
      <c r="Y18" s="36">
        <f t="shared" si="13"/>
        <v>3.6434558884554447</v>
      </c>
      <c r="Z18" s="36">
        <f t="shared" si="13"/>
        <v>34.067473789855455</v>
      </c>
      <c r="AA18" s="36">
        <f t="shared" si="13"/>
        <v>41.704951505870341</v>
      </c>
      <c r="AB18" s="36">
        <f t="shared" si="13"/>
        <v>37.980654879885805</v>
      </c>
      <c r="AC18" s="36">
        <f t="shared" si="13"/>
        <v>46.827097385148321</v>
      </c>
      <c r="AD18" s="36">
        <f t="shared" ref="AD18:AL18" si="14">AD15/AD9%</f>
        <v>33.748091382880588</v>
      </c>
      <c r="AE18" s="36">
        <f t="shared" si="14"/>
        <v>40.278788421530713</v>
      </c>
      <c r="AF18" s="36">
        <f t="shared" si="14"/>
        <v>44.481554357915059</v>
      </c>
      <c r="AG18" s="36">
        <f t="shared" si="14"/>
        <v>45.335252616349486</v>
      </c>
      <c r="AH18" s="36">
        <f t="shared" si="14"/>
        <v>49.566216434719529</v>
      </c>
      <c r="AI18" s="36">
        <f t="shared" si="14"/>
        <v>47.984976812665501</v>
      </c>
      <c r="AJ18" s="36">
        <f t="shared" si="14"/>
        <v>48.435214553771985</v>
      </c>
      <c r="AK18" s="36">
        <f t="shared" si="14"/>
        <v>52.17180075196962</v>
      </c>
      <c r="AL18" s="36">
        <f t="shared" si="14"/>
        <v>52.148649557114915</v>
      </c>
    </row>
    <row r="19" spans="1:38" x14ac:dyDescent="0.2">
      <c r="A19" s="35"/>
      <c r="B19" s="35" t="s">
        <v>213</v>
      </c>
      <c r="C19" s="35"/>
      <c r="D19" s="35"/>
      <c r="E19" s="35"/>
      <c r="F19" s="35"/>
      <c r="G19" s="35"/>
      <c r="H19" s="35"/>
      <c r="I19" s="35"/>
      <c r="J19" s="36">
        <f>J15/J7%</f>
        <v>42.001198824648725</v>
      </c>
      <c r="K19" s="36">
        <f t="shared" ref="K19:AC19" si="15">K15/K7%</f>
        <v>-40.68891745436202</v>
      </c>
      <c r="L19" s="36">
        <f t="shared" si="15"/>
        <v>33.053273613379048</v>
      </c>
      <c r="M19" s="36">
        <f t="shared" si="15"/>
        <v>43.535402216960449</v>
      </c>
      <c r="N19" s="36">
        <f t="shared" si="15"/>
        <v>94.630076739563421</v>
      </c>
      <c r="O19" s="36">
        <f t="shared" si="15"/>
        <v>64.707896133239757</v>
      </c>
      <c r="P19" s="36">
        <f t="shared" si="15"/>
        <v>28.168131819962223</v>
      </c>
      <c r="Q19" s="36">
        <f t="shared" si="15"/>
        <v>46.878547105561857</v>
      </c>
      <c r="R19" s="36">
        <f t="shared" si="15"/>
        <v>54.689146469968385</v>
      </c>
      <c r="S19" s="36">
        <f t="shared" si="15"/>
        <v>18.785046728971963</v>
      </c>
      <c r="T19" s="36">
        <f t="shared" si="15"/>
        <v>190.55118110236219</v>
      </c>
      <c r="U19" s="36">
        <f t="shared" si="15"/>
        <v>72.259507829977636</v>
      </c>
      <c r="V19" s="36">
        <f t="shared" si="15"/>
        <v>50.577124868835263</v>
      </c>
      <c r="W19" s="36">
        <f t="shared" si="15"/>
        <v>31.739130434782613</v>
      </c>
      <c r="X19" s="36">
        <f t="shared" si="15"/>
        <v>11.337849280270955</v>
      </c>
      <c r="Y19" s="36">
        <f t="shared" si="15"/>
        <v>4.9722505379997335</v>
      </c>
      <c r="Z19" s="36">
        <f t="shared" si="15"/>
        <v>45.379916438065521</v>
      </c>
      <c r="AA19" s="36">
        <f t="shared" si="15"/>
        <v>51.643489254108722</v>
      </c>
      <c r="AB19" s="36">
        <f t="shared" si="15"/>
        <v>46.271612093113077</v>
      </c>
      <c r="AC19" s="36">
        <f t="shared" si="15"/>
        <v>54.561582227668197</v>
      </c>
      <c r="AD19" s="36">
        <f t="shared" ref="AD19:AL19" si="16">AD15/AD7%</f>
        <v>38.97616831360525</v>
      </c>
      <c r="AE19" s="36">
        <f t="shared" si="16"/>
        <v>46.124172441680649</v>
      </c>
      <c r="AF19" s="36">
        <f t="shared" si="16"/>
        <v>50.259777671825752</v>
      </c>
      <c r="AG19" s="36">
        <f t="shared" si="16"/>
        <v>50.704397455712154</v>
      </c>
      <c r="AH19" s="36">
        <f t="shared" si="16"/>
        <v>54.935769148155693</v>
      </c>
      <c r="AI19" s="36">
        <f t="shared" si="16"/>
        <v>52.905327504117047</v>
      </c>
      <c r="AJ19" s="36">
        <f t="shared" si="16"/>
        <v>53.23439374823576</v>
      </c>
      <c r="AK19" s="36">
        <f t="shared" si="16"/>
        <v>57.101491537191883</v>
      </c>
      <c r="AL19" s="36">
        <f t="shared" si="16"/>
        <v>56.810595295571687</v>
      </c>
    </row>
    <row r="20" spans="1:38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</row>
    <row r="21" spans="1:38" x14ac:dyDescent="0.2">
      <c r="A21" s="2"/>
      <c r="B21" s="8" t="s">
        <v>17</v>
      </c>
      <c r="C21" s="8"/>
      <c r="D21" s="8"/>
      <c r="E21" s="8"/>
      <c r="F21" s="8"/>
      <c r="G21" s="8"/>
      <c r="H21" s="8"/>
      <c r="I21" s="8"/>
      <c r="J21" s="102">
        <f>J15/J22</f>
        <v>1.1047714182389052</v>
      </c>
      <c r="K21" s="102">
        <f t="shared" ref="K21:AC21" si="17">K15/K22</f>
        <v>-0.98766350894833699</v>
      </c>
      <c r="L21" s="102">
        <f t="shared" si="17"/>
        <v>0.86815754191915129</v>
      </c>
      <c r="M21" s="102">
        <f t="shared" si="17"/>
        <v>1.1446627523509683</v>
      </c>
      <c r="N21" s="102">
        <f t="shared" si="17"/>
        <v>2.5364054999139389</v>
      </c>
      <c r="O21" s="102">
        <f t="shared" si="17"/>
        <v>1.9027329250520031</v>
      </c>
      <c r="P21" s="102">
        <f t="shared" si="17"/>
        <v>0.97876266754199459</v>
      </c>
      <c r="Q21" s="102">
        <f t="shared" si="17"/>
        <v>1.8824106645045471</v>
      </c>
      <c r="R21" s="102">
        <f t="shared" si="17"/>
        <v>2.3648183163170682</v>
      </c>
      <c r="S21" s="102">
        <f t="shared" si="17"/>
        <v>0.94218807561802742</v>
      </c>
      <c r="T21" s="102">
        <f t="shared" si="17"/>
        <v>4.6246890678929145</v>
      </c>
      <c r="U21" s="102">
        <f t="shared" si="17"/>
        <v>3.086833577030323</v>
      </c>
      <c r="V21" s="102">
        <f t="shared" si="17"/>
        <v>2.3038444682820653</v>
      </c>
      <c r="W21" s="102">
        <f t="shared" si="17"/>
        <v>1.3956900098306286</v>
      </c>
      <c r="X21" s="102">
        <f t="shared" si="17"/>
        <v>0.6400099051928807</v>
      </c>
      <c r="Y21" s="102">
        <f t="shared" si="17"/>
        <v>0.2102727512039331</v>
      </c>
      <c r="Z21" s="102">
        <f t="shared" si="17"/>
        <v>2.3869117368501467</v>
      </c>
      <c r="AA21" s="102">
        <f t="shared" si="17"/>
        <v>3.9631930836430493</v>
      </c>
      <c r="AB21" s="102">
        <f t="shared" si="17"/>
        <v>4.6910352983685657</v>
      </c>
      <c r="AC21" s="102">
        <f t="shared" si="17"/>
        <v>6.4574253770299608</v>
      </c>
      <c r="AD21" s="102">
        <f t="shared" ref="AD21:AL21" si="18">AD15/AD22</f>
        <v>5.4414435882824854</v>
      </c>
      <c r="AE21" s="102">
        <f t="shared" si="18"/>
        <v>7.3903327918063688</v>
      </c>
      <c r="AF21" s="102">
        <f t="shared" si="18"/>
        <v>9.5653489918576682</v>
      </c>
      <c r="AG21" s="102">
        <f t="shared" si="18"/>
        <v>11.056452917615257</v>
      </c>
      <c r="AH21" s="102">
        <f t="shared" si="18"/>
        <v>13.545687937754224</v>
      </c>
      <c r="AI21" s="102">
        <f t="shared" si="18"/>
        <v>14.270364645286717</v>
      </c>
      <c r="AJ21" s="102">
        <f t="shared" si="18"/>
        <v>15.393009294542452</v>
      </c>
      <c r="AK21" s="102">
        <f t="shared" si="18"/>
        <v>17.904069181915254</v>
      </c>
      <c r="AL21" s="102">
        <f t="shared" si="18"/>
        <v>19.404749082342772</v>
      </c>
    </row>
    <row r="22" spans="1:38" x14ac:dyDescent="0.2">
      <c r="A22" s="4"/>
      <c r="B22" s="32" t="s">
        <v>18</v>
      </c>
      <c r="C22" s="32"/>
      <c r="D22" s="32"/>
      <c r="E22" s="32"/>
      <c r="F22" s="32"/>
      <c r="G22" s="32"/>
      <c r="H22" s="32"/>
      <c r="I22" s="32"/>
      <c r="J22" s="33">
        <f>Model!J171</f>
        <v>181.39680000000001</v>
      </c>
      <c r="K22" s="33">
        <f>Model!K171</f>
        <v>181.39680000000001</v>
      </c>
      <c r="L22" s="33">
        <f>Model!L171</f>
        <v>181.39680000000001</v>
      </c>
      <c r="M22" s="33">
        <f>Model!M171</f>
        <v>181.50673599999999</v>
      </c>
      <c r="N22" s="33">
        <f>Model!N171</f>
        <v>181.877464</v>
      </c>
      <c r="O22" s="33">
        <f>Model!O171</f>
        <v>198.67738399999999</v>
      </c>
      <c r="P22" s="33">
        <f>Model!P171</f>
        <v>203.52942200000001</v>
      </c>
      <c r="Q22" s="33">
        <f>Model!Q171</f>
        <v>219.39952199999999</v>
      </c>
      <c r="R22" s="33">
        <f>Model!R171</f>
        <v>219.46717699999999</v>
      </c>
      <c r="S22" s="33">
        <f>Model!S171</f>
        <v>213.333203</v>
      </c>
      <c r="T22" s="33">
        <f>Model!T171</f>
        <v>209.31136900000001</v>
      </c>
      <c r="U22" s="33">
        <f>Model!U171</f>
        <v>209.27594049999999</v>
      </c>
      <c r="V22" s="33">
        <f>Model!V171</f>
        <v>209.21551199999999</v>
      </c>
      <c r="W22" s="33">
        <f>Model!W171</f>
        <v>209.21551199999999</v>
      </c>
      <c r="X22" s="33">
        <f>Model!X171</f>
        <v>209.21551199999999</v>
      </c>
      <c r="Y22" s="33">
        <f>Model!Y171</f>
        <v>208.77645699999999</v>
      </c>
      <c r="Z22" s="33">
        <f>Model!Z171</f>
        <v>201.536418</v>
      </c>
      <c r="AA22" s="33">
        <f>Model!AA171</f>
        <v>206.146908</v>
      </c>
      <c r="AB22" s="33">
        <f>Model!AB171</f>
        <v>204.24062900000001</v>
      </c>
      <c r="AC22" s="33">
        <f>Model!AC171</f>
        <v>198.0569744339623</v>
      </c>
      <c r="AD22" s="33">
        <f>Model!AD171</f>
        <v>195.46660130188681</v>
      </c>
      <c r="AE22" s="33">
        <f>Model!AE171</f>
        <v>194.0554734528302</v>
      </c>
      <c r="AF22" s="33">
        <f>Model!AF171</f>
        <v>191.74698288679247</v>
      </c>
      <c r="AG22" s="33">
        <f>Model!AG171</f>
        <v>190.61773760377358</v>
      </c>
      <c r="AH22" s="33">
        <f>Model!AH171</f>
        <v>190.66773760377359</v>
      </c>
      <c r="AI22" s="33">
        <f>Model!AI171</f>
        <v>190.71773760377357</v>
      </c>
      <c r="AJ22" s="33">
        <f>Model!AJ171</f>
        <v>190.76773760377358</v>
      </c>
      <c r="AK22" s="33">
        <f>Model!AK171</f>
        <v>190.81773760377359</v>
      </c>
      <c r="AL22" s="33">
        <f>Model!AL171</f>
        <v>190.86773760377358</v>
      </c>
    </row>
    <row r="23" spans="1:38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</row>
    <row r="24" spans="1:38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8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</row>
    <row r="26" spans="1:38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</row>
    <row r="27" spans="1:38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8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8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10">
        <f>Model!R64</f>
        <v>1.5316539462272332</v>
      </c>
      <c r="S29" s="10"/>
      <c r="T29" s="10"/>
      <c r="U29" s="10"/>
      <c r="V29" s="10"/>
      <c r="W29" s="10"/>
      <c r="X29" s="2"/>
      <c r="Y29" s="2"/>
      <c r="Z29" s="2"/>
      <c r="AA29" s="2"/>
      <c r="AB29" s="2"/>
      <c r="AC29" s="2"/>
      <c r="AD29" s="2"/>
      <c r="AE29" s="2"/>
    </row>
  </sheetData>
  <customSheetViews>
    <customSheetView guid="{F374C4C2-E461-4427-BC83-571704D130AE}" hiddenColumns="1" showRuler="0">
      <selection activeCell="L26" sqref="L26"/>
      <pageMargins left="0.75" right="0.75" top="1" bottom="1" header="0.5" footer="0.5"/>
      <pageSetup paperSize="9" orientation="portrait" r:id="rId1"/>
      <headerFooter alignWithMargins="0"/>
    </customSheetView>
    <customSheetView guid="{5F01622F-BD04-4698-B8E9-3B7E434CD47C}" showRuler="0">
      <selection activeCell="B59" sqref="B59"/>
      <pageMargins left="0.75" right="0.75" top="1" bottom="1" header="0.5" footer="0.5"/>
      <pageSetup paperSize="9" orientation="portrait" r:id="rId2"/>
      <headerFooter alignWithMargins="0"/>
    </customSheetView>
    <customSheetView guid="{BF409FF2-3E15-4B6B-AE18-50E58B89ECE7}" showRuler="0">
      <selection activeCell="B59" sqref="B59"/>
      <pageMargins left="0.75" right="0.75" top="1" bottom="1" header="0.5" footer="0.5"/>
      <pageSetup paperSize="9" orientation="portrait" r:id="rId3"/>
      <headerFooter alignWithMargins="0"/>
    </customSheetView>
  </customSheetViews>
  <phoneticPr fontId="4" type="noConversion"/>
  <dataValidations count="1">
    <dataValidation type="list" allowBlank="1" showDropDown="1" showInputMessage="1" showErrorMessage="1" promptTitle="Please enter scenario" sqref="A1">
      <formula1>$AG$324:$AG$335</formula1>
    </dataValidation>
  </dataValidations>
  <hyperlinks>
    <hyperlink ref="A1" location="Cover!A1" display="HOME"/>
  </hyperlinks>
  <pageMargins left="0.75" right="0.75" top="1" bottom="1" header="0.5" footer="0.5"/>
  <pageSetup paperSize="9" orientation="portrait" r:id="rId4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236" bestFit="1" customWidth="1"/>
    <col min="2" max="2" width="19.85546875" style="281" customWidth="1"/>
    <col min="3" max="3" width="12" style="236" bestFit="1" customWidth="1"/>
    <col min="4" max="256" width="9.140625" style="236"/>
    <col min="257" max="257" width="29.5703125" style="236" bestFit="1" customWidth="1"/>
    <col min="258" max="258" width="19.85546875" style="236" customWidth="1"/>
    <col min="259" max="259" width="12" style="236" bestFit="1" customWidth="1"/>
    <col min="260" max="512" width="9.140625" style="236"/>
    <col min="513" max="513" width="29.5703125" style="236" bestFit="1" customWidth="1"/>
    <col min="514" max="514" width="19.85546875" style="236" customWidth="1"/>
    <col min="515" max="515" width="12" style="236" bestFit="1" customWidth="1"/>
    <col min="516" max="768" width="9.140625" style="236"/>
    <col min="769" max="769" width="29.5703125" style="236" bestFit="1" customWidth="1"/>
    <col min="770" max="770" width="19.85546875" style="236" customWidth="1"/>
    <col min="771" max="771" width="12" style="236" bestFit="1" customWidth="1"/>
    <col min="772" max="1024" width="9.140625" style="236"/>
    <col min="1025" max="1025" width="29.5703125" style="236" bestFit="1" customWidth="1"/>
    <col min="1026" max="1026" width="19.85546875" style="236" customWidth="1"/>
    <col min="1027" max="1027" width="12" style="236" bestFit="1" customWidth="1"/>
    <col min="1028" max="1280" width="9.140625" style="236"/>
    <col min="1281" max="1281" width="29.5703125" style="236" bestFit="1" customWidth="1"/>
    <col min="1282" max="1282" width="19.85546875" style="236" customWidth="1"/>
    <col min="1283" max="1283" width="12" style="236" bestFit="1" customWidth="1"/>
    <col min="1284" max="1536" width="9.140625" style="236"/>
    <col min="1537" max="1537" width="29.5703125" style="236" bestFit="1" customWidth="1"/>
    <col min="1538" max="1538" width="19.85546875" style="236" customWidth="1"/>
    <col min="1539" max="1539" width="12" style="236" bestFit="1" customWidth="1"/>
    <col min="1540" max="1792" width="9.140625" style="236"/>
    <col min="1793" max="1793" width="29.5703125" style="236" bestFit="1" customWidth="1"/>
    <col min="1794" max="1794" width="19.85546875" style="236" customWidth="1"/>
    <col min="1795" max="1795" width="12" style="236" bestFit="1" customWidth="1"/>
    <col min="1796" max="2048" width="9.140625" style="236"/>
    <col min="2049" max="2049" width="29.5703125" style="236" bestFit="1" customWidth="1"/>
    <col min="2050" max="2050" width="19.85546875" style="236" customWidth="1"/>
    <col min="2051" max="2051" width="12" style="236" bestFit="1" customWidth="1"/>
    <col min="2052" max="2304" width="9.140625" style="236"/>
    <col min="2305" max="2305" width="29.5703125" style="236" bestFit="1" customWidth="1"/>
    <col min="2306" max="2306" width="19.85546875" style="236" customWidth="1"/>
    <col min="2307" max="2307" width="12" style="236" bestFit="1" customWidth="1"/>
    <col min="2308" max="2560" width="9.140625" style="236"/>
    <col min="2561" max="2561" width="29.5703125" style="236" bestFit="1" customWidth="1"/>
    <col min="2562" max="2562" width="19.85546875" style="236" customWidth="1"/>
    <col min="2563" max="2563" width="12" style="236" bestFit="1" customWidth="1"/>
    <col min="2564" max="2816" width="9.140625" style="236"/>
    <col min="2817" max="2817" width="29.5703125" style="236" bestFit="1" customWidth="1"/>
    <col min="2818" max="2818" width="19.85546875" style="236" customWidth="1"/>
    <col min="2819" max="2819" width="12" style="236" bestFit="1" customWidth="1"/>
    <col min="2820" max="3072" width="9.140625" style="236"/>
    <col min="3073" max="3073" width="29.5703125" style="236" bestFit="1" customWidth="1"/>
    <col min="3074" max="3074" width="19.85546875" style="236" customWidth="1"/>
    <col min="3075" max="3075" width="12" style="236" bestFit="1" customWidth="1"/>
    <col min="3076" max="3328" width="9.140625" style="236"/>
    <col min="3329" max="3329" width="29.5703125" style="236" bestFit="1" customWidth="1"/>
    <col min="3330" max="3330" width="19.85546875" style="236" customWidth="1"/>
    <col min="3331" max="3331" width="12" style="236" bestFit="1" customWidth="1"/>
    <col min="3332" max="3584" width="9.140625" style="236"/>
    <col min="3585" max="3585" width="29.5703125" style="236" bestFit="1" customWidth="1"/>
    <col min="3586" max="3586" width="19.85546875" style="236" customWidth="1"/>
    <col min="3587" max="3587" width="12" style="236" bestFit="1" customWidth="1"/>
    <col min="3588" max="3840" width="9.140625" style="236"/>
    <col min="3841" max="3841" width="29.5703125" style="236" bestFit="1" customWidth="1"/>
    <col min="3842" max="3842" width="19.85546875" style="236" customWidth="1"/>
    <col min="3843" max="3843" width="12" style="236" bestFit="1" customWidth="1"/>
    <col min="3844" max="4096" width="9.140625" style="236"/>
    <col min="4097" max="4097" width="29.5703125" style="236" bestFit="1" customWidth="1"/>
    <col min="4098" max="4098" width="19.85546875" style="236" customWidth="1"/>
    <col min="4099" max="4099" width="12" style="236" bestFit="1" customWidth="1"/>
    <col min="4100" max="4352" width="9.140625" style="236"/>
    <col min="4353" max="4353" width="29.5703125" style="236" bestFit="1" customWidth="1"/>
    <col min="4354" max="4354" width="19.85546875" style="236" customWidth="1"/>
    <col min="4355" max="4355" width="12" style="236" bestFit="1" customWidth="1"/>
    <col min="4356" max="4608" width="9.140625" style="236"/>
    <col min="4609" max="4609" width="29.5703125" style="236" bestFit="1" customWidth="1"/>
    <col min="4610" max="4610" width="19.85546875" style="236" customWidth="1"/>
    <col min="4611" max="4611" width="12" style="236" bestFit="1" customWidth="1"/>
    <col min="4612" max="4864" width="9.140625" style="236"/>
    <col min="4865" max="4865" width="29.5703125" style="236" bestFit="1" customWidth="1"/>
    <col min="4866" max="4866" width="19.85546875" style="236" customWidth="1"/>
    <col min="4867" max="4867" width="12" style="236" bestFit="1" customWidth="1"/>
    <col min="4868" max="5120" width="9.140625" style="236"/>
    <col min="5121" max="5121" width="29.5703125" style="236" bestFit="1" customWidth="1"/>
    <col min="5122" max="5122" width="19.85546875" style="236" customWidth="1"/>
    <col min="5123" max="5123" width="12" style="236" bestFit="1" customWidth="1"/>
    <col min="5124" max="5376" width="9.140625" style="236"/>
    <col min="5377" max="5377" width="29.5703125" style="236" bestFit="1" customWidth="1"/>
    <col min="5378" max="5378" width="19.85546875" style="236" customWidth="1"/>
    <col min="5379" max="5379" width="12" style="236" bestFit="1" customWidth="1"/>
    <col min="5380" max="5632" width="9.140625" style="236"/>
    <col min="5633" max="5633" width="29.5703125" style="236" bestFit="1" customWidth="1"/>
    <col min="5634" max="5634" width="19.85546875" style="236" customWidth="1"/>
    <col min="5635" max="5635" width="12" style="236" bestFit="1" customWidth="1"/>
    <col min="5636" max="5888" width="9.140625" style="236"/>
    <col min="5889" max="5889" width="29.5703125" style="236" bestFit="1" customWidth="1"/>
    <col min="5890" max="5890" width="19.85546875" style="236" customWidth="1"/>
    <col min="5891" max="5891" width="12" style="236" bestFit="1" customWidth="1"/>
    <col min="5892" max="6144" width="9.140625" style="236"/>
    <col min="6145" max="6145" width="29.5703125" style="236" bestFit="1" customWidth="1"/>
    <col min="6146" max="6146" width="19.85546875" style="236" customWidth="1"/>
    <col min="6147" max="6147" width="12" style="236" bestFit="1" customWidth="1"/>
    <col min="6148" max="6400" width="9.140625" style="236"/>
    <col min="6401" max="6401" width="29.5703125" style="236" bestFit="1" customWidth="1"/>
    <col min="6402" max="6402" width="19.85546875" style="236" customWidth="1"/>
    <col min="6403" max="6403" width="12" style="236" bestFit="1" customWidth="1"/>
    <col min="6404" max="6656" width="9.140625" style="236"/>
    <col min="6657" max="6657" width="29.5703125" style="236" bestFit="1" customWidth="1"/>
    <col min="6658" max="6658" width="19.85546875" style="236" customWidth="1"/>
    <col min="6659" max="6659" width="12" style="236" bestFit="1" customWidth="1"/>
    <col min="6660" max="6912" width="9.140625" style="236"/>
    <col min="6913" max="6913" width="29.5703125" style="236" bestFit="1" customWidth="1"/>
    <col min="6914" max="6914" width="19.85546875" style="236" customWidth="1"/>
    <col min="6915" max="6915" width="12" style="236" bestFit="1" customWidth="1"/>
    <col min="6916" max="7168" width="9.140625" style="236"/>
    <col min="7169" max="7169" width="29.5703125" style="236" bestFit="1" customWidth="1"/>
    <col min="7170" max="7170" width="19.85546875" style="236" customWidth="1"/>
    <col min="7171" max="7171" width="12" style="236" bestFit="1" customWidth="1"/>
    <col min="7172" max="7424" width="9.140625" style="236"/>
    <col min="7425" max="7425" width="29.5703125" style="236" bestFit="1" customWidth="1"/>
    <col min="7426" max="7426" width="19.85546875" style="236" customWidth="1"/>
    <col min="7427" max="7427" width="12" style="236" bestFit="1" customWidth="1"/>
    <col min="7428" max="7680" width="9.140625" style="236"/>
    <col min="7681" max="7681" width="29.5703125" style="236" bestFit="1" customWidth="1"/>
    <col min="7682" max="7682" width="19.85546875" style="236" customWidth="1"/>
    <col min="7683" max="7683" width="12" style="236" bestFit="1" customWidth="1"/>
    <col min="7684" max="7936" width="9.140625" style="236"/>
    <col min="7937" max="7937" width="29.5703125" style="236" bestFit="1" customWidth="1"/>
    <col min="7938" max="7938" width="19.85546875" style="236" customWidth="1"/>
    <col min="7939" max="7939" width="12" style="236" bestFit="1" customWidth="1"/>
    <col min="7940" max="8192" width="9.140625" style="236"/>
    <col min="8193" max="8193" width="29.5703125" style="236" bestFit="1" customWidth="1"/>
    <col min="8194" max="8194" width="19.85546875" style="236" customWidth="1"/>
    <col min="8195" max="8195" width="12" style="236" bestFit="1" customWidth="1"/>
    <col min="8196" max="8448" width="9.140625" style="236"/>
    <col min="8449" max="8449" width="29.5703125" style="236" bestFit="1" customWidth="1"/>
    <col min="8450" max="8450" width="19.85546875" style="236" customWidth="1"/>
    <col min="8451" max="8451" width="12" style="236" bestFit="1" customWidth="1"/>
    <col min="8452" max="8704" width="9.140625" style="236"/>
    <col min="8705" max="8705" width="29.5703125" style="236" bestFit="1" customWidth="1"/>
    <col min="8706" max="8706" width="19.85546875" style="236" customWidth="1"/>
    <col min="8707" max="8707" width="12" style="236" bestFit="1" customWidth="1"/>
    <col min="8708" max="8960" width="9.140625" style="236"/>
    <col min="8961" max="8961" width="29.5703125" style="236" bestFit="1" customWidth="1"/>
    <col min="8962" max="8962" width="19.85546875" style="236" customWidth="1"/>
    <col min="8963" max="8963" width="12" style="236" bestFit="1" customWidth="1"/>
    <col min="8964" max="9216" width="9.140625" style="236"/>
    <col min="9217" max="9217" width="29.5703125" style="236" bestFit="1" customWidth="1"/>
    <col min="9218" max="9218" width="19.85546875" style="236" customWidth="1"/>
    <col min="9219" max="9219" width="12" style="236" bestFit="1" customWidth="1"/>
    <col min="9220" max="9472" width="9.140625" style="236"/>
    <col min="9473" max="9473" width="29.5703125" style="236" bestFit="1" customWidth="1"/>
    <col min="9474" max="9474" width="19.85546875" style="236" customWidth="1"/>
    <col min="9475" max="9475" width="12" style="236" bestFit="1" customWidth="1"/>
    <col min="9476" max="9728" width="9.140625" style="236"/>
    <col min="9729" max="9729" width="29.5703125" style="236" bestFit="1" customWidth="1"/>
    <col min="9730" max="9730" width="19.85546875" style="236" customWidth="1"/>
    <col min="9731" max="9731" width="12" style="236" bestFit="1" customWidth="1"/>
    <col min="9732" max="9984" width="9.140625" style="236"/>
    <col min="9985" max="9985" width="29.5703125" style="236" bestFit="1" customWidth="1"/>
    <col min="9986" max="9986" width="19.85546875" style="236" customWidth="1"/>
    <col min="9987" max="9987" width="12" style="236" bestFit="1" customWidth="1"/>
    <col min="9988" max="10240" width="9.140625" style="236"/>
    <col min="10241" max="10241" width="29.5703125" style="236" bestFit="1" customWidth="1"/>
    <col min="10242" max="10242" width="19.85546875" style="236" customWidth="1"/>
    <col min="10243" max="10243" width="12" style="236" bestFit="1" customWidth="1"/>
    <col min="10244" max="10496" width="9.140625" style="236"/>
    <col min="10497" max="10497" width="29.5703125" style="236" bestFit="1" customWidth="1"/>
    <col min="10498" max="10498" width="19.85546875" style="236" customWidth="1"/>
    <col min="10499" max="10499" width="12" style="236" bestFit="1" customWidth="1"/>
    <col min="10500" max="10752" width="9.140625" style="236"/>
    <col min="10753" max="10753" width="29.5703125" style="236" bestFit="1" customWidth="1"/>
    <col min="10754" max="10754" width="19.85546875" style="236" customWidth="1"/>
    <col min="10755" max="10755" width="12" style="236" bestFit="1" customWidth="1"/>
    <col min="10756" max="11008" width="9.140625" style="236"/>
    <col min="11009" max="11009" width="29.5703125" style="236" bestFit="1" customWidth="1"/>
    <col min="11010" max="11010" width="19.85546875" style="236" customWidth="1"/>
    <col min="11011" max="11011" width="12" style="236" bestFit="1" customWidth="1"/>
    <col min="11012" max="11264" width="9.140625" style="236"/>
    <col min="11265" max="11265" width="29.5703125" style="236" bestFit="1" customWidth="1"/>
    <col min="11266" max="11266" width="19.85546875" style="236" customWidth="1"/>
    <col min="11267" max="11267" width="12" style="236" bestFit="1" customWidth="1"/>
    <col min="11268" max="11520" width="9.140625" style="236"/>
    <col min="11521" max="11521" width="29.5703125" style="236" bestFit="1" customWidth="1"/>
    <col min="11522" max="11522" width="19.85546875" style="236" customWidth="1"/>
    <col min="11523" max="11523" width="12" style="236" bestFit="1" customWidth="1"/>
    <col min="11524" max="11776" width="9.140625" style="236"/>
    <col min="11777" max="11777" width="29.5703125" style="236" bestFit="1" customWidth="1"/>
    <col min="11778" max="11778" width="19.85546875" style="236" customWidth="1"/>
    <col min="11779" max="11779" width="12" style="236" bestFit="1" customWidth="1"/>
    <col min="11780" max="12032" width="9.140625" style="236"/>
    <col min="12033" max="12033" width="29.5703125" style="236" bestFit="1" customWidth="1"/>
    <col min="12034" max="12034" width="19.85546875" style="236" customWidth="1"/>
    <col min="12035" max="12035" width="12" style="236" bestFit="1" customWidth="1"/>
    <col min="12036" max="12288" width="9.140625" style="236"/>
    <col min="12289" max="12289" width="29.5703125" style="236" bestFit="1" customWidth="1"/>
    <col min="12290" max="12290" width="19.85546875" style="236" customWidth="1"/>
    <col min="12291" max="12291" width="12" style="236" bestFit="1" customWidth="1"/>
    <col min="12292" max="12544" width="9.140625" style="236"/>
    <col min="12545" max="12545" width="29.5703125" style="236" bestFit="1" customWidth="1"/>
    <col min="12546" max="12546" width="19.85546875" style="236" customWidth="1"/>
    <col min="12547" max="12547" width="12" style="236" bestFit="1" customWidth="1"/>
    <col min="12548" max="12800" width="9.140625" style="236"/>
    <col min="12801" max="12801" width="29.5703125" style="236" bestFit="1" customWidth="1"/>
    <col min="12802" max="12802" width="19.85546875" style="236" customWidth="1"/>
    <col min="12803" max="12803" width="12" style="236" bestFit="1" customWidth="1"/>
    <col min="12804" max="13056" width="9.140625" style="236"/>
    <col min="13057" max="13057" width="29.5703125" style="236" bestFit="1" customWidth="1"/>
    <col min="13058" max="13058" width="19.85546875" style="236" customWidth="1"/>
    <col min="13059" max="13059" width="12" style="236" bestFit="1" customWidth="1"/>
    <col min="13060" max="13312" width="9.140625" style="236"/>
    <col min="13313" max="13313" width="29.5703125" style="236" bestFit="1" customWidth="1"/>
    <col min="13314" max="13314" width="19.85546875" style="236" customWidth="1"/>
    <col min="13315" max="13315" width="12" style="236" bestFit="1" customWidth="1"/>
    <col min="13316" max="13568" width="9.140625" style="236"/>
    <col min="13569" max="13569" width="29.5703125" style="236" bestFit="1" customWidth="1"/>
    <col min="13570" max="13570" width="19.85546875" style="236" customWidth="1"/>
    <col min="13571" max="13571" width="12" style="236" bestFit="1" customWidth="1"/>
    <col min="13572" max="13824" width="9.140625" style="236"/>
    <col min="13825" max="13825" width="29.5703125" style="236" bestFit="1" customWidth="1"/>
    <col min="13826" max="13826" width="19.85546875" style="236" customWidth="1"/>
    <col min="13827" max="13827" width="12" style="236" bestFit="1" customWidth="1"/>
    <col min="13828" max="14080" width="9.140625" style="236"/>
    <col min="14081" max="14081" width="29.5703125" style="236" bestFit="1" customWidth="1"/>
    <col min="14082" max="14082" width="19.85546875" style="236" customWidth="1"/>
    <col min="14083" max="14083" width="12" style="236" bestFit="1" customWidth="1"/>
    <col min="14084" max="14336" width="9.140625" style="236"/>
    <col min="14337" max="14337" width="29.5703125" style="236" bestFit="1" customWidth="1"/>
    <col min="14338" max="14338" width="19.85546875" style="236" customWidth="1"/>
    <col min="14339" max="14339" width="12" style="236" bestFit="1" customWidth="1"/>
    <col min="14340" max="14592" width="9.140625" style="236"/>
    <col min="14593" max="14593" width="29.5703125" style="236" bestFit="1" customWidth="1"/>
    <col min="14594" max="14594" width="19.85546875" style="236" customWidth="1"/>
    <col min="14595" max="14595" width="12" style="236" bestFit="1" customWidth="1"/>
    <col min="14596" max="14848" width="9.140625" style="236"/>
    <col min="14849" max="14849" width="29.5703125" style="236" bestFit="1" customWidth="1"/>
    <col min="14850" max="14850" width="19.85546875" style="236" customWidth="1"/>
    <col min="14851" max="14851" width="12" style="236" bestFit="1" customWidth="1"/>
    <col min="14852" max="15104" width="9.140625" style="236"/>
    <col min="15105" max="15105" width="29.5703125" style="236" bestFit="1" customWidth="1"/>
    <col min="15106" max="15106" width="19.85546875" style="236" customWidth="1"/>
    <col min="15107" max="15107" width="12" style="236" bestFit="1" customWidth="1"/>
    <col min="15108" max="15360" width="9.140625" style="236"/>
    <col min="15361" max="15361" width="29.5703125" style="236" bestFit="1" customWidth="1"/>
    <col min="15362" max="15362" width="19.85546875" style="236" customWidth="1"/>
    <col min="15363" max="15363" width="12" style="236" bestFit="1" customWidth="1"/>
    <col min="15364" max="15616" width="9.140625" style="236"/>
    <col min="15617" max="15617" width="29.5703125" style="236" bestFit="1" customWidth="1"/>
    <col min="15618" max="15618" width="19.85546875" style="236" customWidth="1"/>
    <col min="15619" max="15619" width="12" style="236" bestFit="1" customWidth="1"/>
    <col min="15620" max="15872" width="9.140625" style="236"/>
    <col min="15873" max="15873" width="29.5703125" style="236" bestFit="1" customWidth="1"/>
    <col min="15874" max="15874" width="19.85546875" style="236" customWidth="1"/>
    <col min="15875" max="15875" width="12" style="236" bestFit="1" customWidth="1"/>
    <col min="15876" max="16128" width="9.140625" style="236"/>
    <col min="16129" max="16129" width="29.5703125" style="236" bestFit="1" customWidth="1"/>
    <col min="16130" max="16130" width="19.85546875" style="236" customWidth="1"/>
    <col min="16131" max="16131" width="12" style="236" bestFit="1" customWidth="1"/>
    <col min="16132" max="16384" width="9.140625" style="236"/>
  </cols>
  <sheetData>
    <row r="1" spans="1:2" x14ac:dyDescent="0.2">
      <c r="A1" s="236" t="s">
        <v>778</v>
      </c>
      <c r="B1" s="280">
        <v>6.1</v>
      </c>
    </row>
    <row r="2" spans="1:2" x14ac:dyDescent="0.2">
      <c r="A2" s="236" t="s">
        <v>779</v>
      </c>
      <c r="B2" s="284">
        <v>43216.404710648145</v>
      </c>
    </row>
    <row r="3" spans="1:2" x14ac:dyDescent="0.2">
      <c r="A3" s="236" t="s">
        <v>780</v>
      </c>
      <c r="B3" s="281" t="s">
        <v>479</v>
      </c>
    </row>
    <row r="4" spans="1:2" x14ac:dyDescent="0.2">
      <c r="A4" s="236" t="s">
        <v>781</v>
      </c>
      <c r="B4" s="281" t="s">
        <v>782</v>
      </c>
    </row>
    <row r="5" spans="1:2" x14ac:dyDescent="0.2">
      <c r="A5" s="236" t="s">
        <v>783</v>
      </c>
      <c r="B5" s="281" t="s">
        <v>784</v>
      </c>
    </row>
    <row r="6" spans="1:2" x14ac:dyDescent="0.2">
      <c r="A6" s="236" t="s">
        <v>785</v>
      </c>
    </row>
    <row r="7" spans="1:2" x14ac:dyDescent="0.2">
      <c r="A7" s="236" t="s">
        <v>786</v>
      </c>
      <c r="B7" s="281" t="s">
        <v>122</v>
      </c>
    </row>
    <row r="8" spans="1:2" x14ac:dyDescent="0.2">
      <c r="A8" s="236" t="s">
        <v>787</v>
      </c>
      <c r="B8" s="281" t="s">
        <v>788</v>
      </c>
    </row>
    <row r="9" spans="1:2" x14ac:dyDescent="0.2">
      <c r="A9" s="236" t="s">
        <v>789</v>
      </c>
      <c r="B9" s="281" t="s">
        <v>825</v>
      </c>
    </row>
    <row r="10" spans="1:2" x14ac:dyDescent="0.2">
      <c r="A10" s="236" t="s">
        <v>790</v>
      </c>
    </row>
    <row r="11" spans="1:2" x14ac:dyDescent="0.2">
      <c r="A11" s="236" t="s">
        <v>791</v>
      </c>
    </row>
    <row r="12" spans="1:2" x14ac:dyDescent="0.2">
      <c r="A12" s="236" t="s">
        <v>792</v>
      </c>
    </row>
    <row r="13" spans="1:2" x14ac:dyDescent="0.2">
      <c r="A13" s="236" t="s">
        <v>793</v>
      </c>
    </row>
    <row r="14" spans="1:2" x14ac:dyDescent="0.2">
      <c r="A14" s="236" t="s">
        <v>794</v>
      </c>
    </row>
    <row r="15" spans="1:2" x14ac:dyDescent="0.2">
      <c r="A15" s="236" t="s">
        <v>795</v>
      </c>
    </row>
    <row r="16" spans="1:2" x14ac:dyDescent="0.2">
      <c r="A16" s="236" t="s">
        <v>796</v>
      </c>
    </row>
    <row r="17" spans="1:4" x14ac:dyDescent="0.2">
      <c r="A17" s="236" t="s">
        <v>797</v>
      </c>
      <c r="B17" s="281" t="s">
        <v>826</v>
      </c>
    </row>
    <row r="18" spans="1:4" x14ac:dyDescent="0.2">
      <c r="A18" s="236" t="s">
        <v>798</v>
      </c>
      <c r="B18" s="281" t="s">
        <v>828</v>
      </c>
    </row>
    <row r="19" spans="1:4" x14ac:dyDescent="0.2">
      <c r="A19" s="236" t="s">
        <v>799</v>
      </c>
      <c r="B19" s="281" t="s">
        <v>231</v>
      </c>
    </row>
    <row r="20" spans="1:4" x14ac:dyDescent="0.2">
      <c r="A20" s="236" t="s">
        <v>800</v>
      </c>
      <c r="B20" s="282"/>
    </row>
    <row r="21" spans="1:4" x14ac:dyDescent="0.2">
      <c r="A21" s="236" t="s">
        <v>801</v>
      </c>
      <c r="B21" s="281" t="s">
        <v>231</v>
      </c>
    </row>
    <row r="22" spans="1:4" x14ac:dyDescent="0.2">
      <c r="A22" s="236" t="s">
        <v>802</v>
      </c>
      <c r="B22" s="282">
        <v>4031976</v>
      </c>
    </row>
    <row r="23" spans="1:4" x14ac:dyDescent="0.2">
      <c r="A23" s="236" t="s">
        <v>149</v>
      </c>
      <c r="B23" s="280">
        <v>201.9</v>
      </c>
    </row>
    <row r="24" spans="1:4" x14ac:dyDescent="0.2">
      <c r="A24" s="236" t="s">
        <v>148</v>
      </c>
      <c r="B24" s="281" t="s">
        <v>282</v>
      </c>
      <c r="D24" s="236" t="s">
        <v>50</v>
      </c>
    </row>
    <row r="25" spans="1:4" x14ac:dyDescent="0.2">
      <c r="A25" s="236" t="s">
        <v>803</v>
      </c>
      <c r="B25" s="281" t="s">
        <v>829</v>
      </c>
    </row>
    <row r="26" spans="1:4" x14ac:dyDescent="0.2">
      <c r="A26" s="236" t="s">
        <v>804</v>
      </c>
      <c r="B26" s="281">
        <v>0</v>
      </c>
    </row>
    <row r="27" spans="1:4" x14ac:dyDescent="0.2">
      <c r="A27" s="236" t="s">
        <v>805</v>
      </c>
      <c r="B27" s="281" t="s">
        <v>806</v>
      </c>
    </row>
    <row r="28" spans="1:4" x14ac:dyDescent="0.2">
      <c r="A28" s="236" t="s">
        <v>807</v>
      </c>
      <c r="B28" s="281" t="s">
        <v>444</v>
      </c>
    </row>
    <row r="29" spans="1:4" x14ac:dyDescent="0.2">
      <c r="A29" s="236" t="s">
        <v>808</v>
      </c>
    </row>
    <row r="30" spans="1:4" x14ac:dyDescent="0.2">
      <c r="A30" s="236" t="s">
        <v>809</v>
      </c>
    </row>
    <row r="31" spans="1:4" x14ac:dyDescent="0.2">
      <c r="A31" s="236" t="s">
        <v>810</v>
      </c>
    </row>
    <row r="32" spans="1:4" x14ac:dyDescent="0.2">
      <c r="A32" s="236" t="s">
        <v>811</v>
      </c>
      <c r="B32" s="280"/>
    </row>
    <row r="33" spans="1:2" x14ac:dyDescent="0.2">
      <c r="A33" s="236" t="s">
        <v>812</v>
      </c>
      <c r="B33" s="280"/>
    </row>
    <row r="34" spans="1:2" x14ac:dyDescent="0.2">
      <c r="A34" s="236" t="s">
        <v>813</v>
      </c>
      <c r="B34" s="280"/>
    </row>
    <row r="35" spans="1:2" x14ac:dyDescent="0.2">
      <c r="A35" s="236" t="s">
        <v>814</v>
      </c>
      <c r="B35" s="281">
        <v>1000000</v>
      </c>
    </row>
    <row r="36" spans="1:2" x14ac:dyDescent="0.2">
      <c r="A36" s="236" t="s">
        <v>815</v>
      </c>
      <c r="B36" s="281" t="s">
        <v>110</v>
      </c>
    </row>
    <row r="37" spans="1:2" x14ac:dyDescent="0.2">
      <c r="A37" s="236" t="s">
        <v>816</v>
      </c>
      <c r="B37" s="281" t="s">
        <v>817</v>
      </c>
    </row>
    <row r="38" spans="1:2" x14ac:dyDescent="0.2">
      <c r="A38" s="236" t="s">
        <v>818</v>
      </c>
      <c r="B38" s="281" t="s">
        <v>819</v>
      </c>
    </row>
    <row r="39" spans="1:2" x14ac:dyDescent="0.2">
      <c r="A39" s="236" t="s">
        <v>820</v>
      </c>
      <c r="B39" s="281" t="s">
        <v>827</v>
      </c>
    </row>
    <row r="40" spans="1:2" x14ac:dyDescent="0.2">
      <c r="A40" s="236" t="s">
        <v>821</v>
      </c>
      <c r="B40" s="281">
        <v>1700001293</v>
      </c>
    </row>
    <row r="41" spans="1:2" x14ac:dyDescent="0.2">
      <c r="A41" s="236" t="s">
        <v>822</v>
      </c>
      <c r="B41" s="281">
        <v>4</v>
      </c>
    </row>
    <row r="42" spans="1:2" x14ac:dyDescent="0.2">
      <c r="A42" s="283" t="s">
        <v>823</v>
      </c>
    </row>
    <row r="43" spans="1:2" x14ac:dyDescent="0.2">
      <c r="A43" s="236" t="s">
        <v>824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236" bestFit="1" customWidth="1"/>
    <col min="2" max="256" width="9.140625" style="236"/>
    <col min="257" max="257" width="28.5703125" style="236" bestFit="1" customWidth="1"/>
    <col min="258" max="512" width="9.140625" style="236"/>
    <col min="513" max="513" width="28.5703125" style="236" bestFit="1" customWidth="1"/>
    <col min="514" max="768" width="9.140625" style="236"/>
    <col min="769" max="769" width="28.5703125" style="236" bestFit="1" customWidth="1"/>
    <col min="770" max="1024" width="9.140625" style="236"/>
    <col min="1025" max="1025" width="28.5703125" style="236" bestFit="1" customWidth="1"/>
    <col min="1026" max="1280" width="9.140625" style="236"/>
    <col min="1281" max="1281" width="28.5703125" style="236" bestFit="1" customWidth="1"/>
    <col min="1282" max="1536" width="9.140625" style="236"/>
    <col min="1537" max="1537" width="28.5703125" style="236" bestFit="1" customWidth="1"/>
    <col min="1538" max="1792" width="9.140625" style="236"/>
    <col min="1793" max="1793" width="28.5703125" style="236" bestFit="1" customWidth="1"/>
    <col min="1794" max="2048" width="9.140625" style="236"/>
    <col min="2049" max="2049" width="28.5703125" style="236" bestFit="1" customWidth="1"/>
    <col min="2050" max="2304" width="9.140625" style="236"/>
    <col min="2305" max="2305" width="28.5703125" style="236" bestFit="1" customWidth="1"/>
    <col min="2306" max="2560" width="9.140625" style="236"/>
    <col min="2561" max="2561" width="28.5703125" style="236" bestFit="1" customWidth="1"/>
    <col min="2562" max="2816" width="9.140625" style="236"/>
    <col min="2817" max="2817" width="28.5703125" style="236" bestFit="1" customWidth="1"/>
    <col min="2818" max="3072" width="9.140625" style="236"/>
    <col min="3073" max="3073" width="28.5703125" style="236" bestFit="1" customWidth="1"/>
    <col min="3074" max="3328" width="9.140625" style="236"/>
    <col min="3329" max="3329" width="28.5703125" style="236" bestFit="1" customWidth="1"/>
    <col min="3330" max="3584" width="9.140625" style="236"/>
    <col min="3585" max="3585" width="28.5703125" style="236" bestFit="1" customWidth="1"/>
    <col min="3586" max="3840" width="9.140625" style="236"/>
    <col min="3841" max="3841" width="28.5703125" style="236" bestFit="1" customWidth="1"/>
    <col min="3842" max="4096" width="9.140625" style="236"/>
    <col min="4097" max="4097" width="28.5703125" style="236" bestFit="1" customWidth="1"/>
    <col min="4098" max="4352" width="9.140625" style="236"/>
    <col min="4353" max="4353" width="28.5703125" style="236" bestFit="1" customWidth="1"/>
    <col min="4354" max="4608" width="9.140625" style="236"/>
    <col min="4609" max="4609" width="28.5703125" style="236" bestFit="1" customWidth="1"/>
    <col min="4610" max="4864" width="9.140625" style="236"/>
    <col min="4865" max="4865" width="28.5703125" style="236" bestFit="1" customWidth="1"/>
    <col min="4866" max="5120" width="9.140625" style="236"/>
    <col min="5121" max="5121" width="28.5703125" style="236" bestFit="1" customWidth="1"/>
    <col min="5122" max="5376" width="9.140625" style="236"/>
    <col min="5377" max="5377" width="28.5703125" style="236" bestFit="1" customWidth="1"/>
    <col min="5378" max="5632" width="9.140625" style="236"/>
    <col min="5633" max="5633" width="28.5703125" style="236" bestFit="1" customWidth="1"/>
    <col min="5634" max="5888" width="9.140625" style="236"/>
    <col min="5889" max="5889" width="28.5703125" style="236" bestFit="1" customWidth="1"/>
    <col min="5890" max="6144" width="9.140625" style="236"/>
    <col min="6145" max="6145" width="28.5703125" style="236" bestFit="1" customWidth="1"/>
    <col min="6146" max="6400" width="9.140625" style="236"/>
    <col min="6401" max="6401" width="28.5703125" style="236" bestFit="1" customWidth="1"/>
    <col min="6402" max="6656" width="9.140625" style="236"/>
    <col min="6657" max="6657" width="28.5703125" style="236" bestFit="1" customWidth="1"/>
    <col min="6658" max="6912" width="9.140625" style="236"/>
    <col min="6913" max="6913" width="28.5703125" style="236" bestFit="1" customWidth="1"/>
    <col min="6914" max="7168" width="9.140625" style="236"/>
    <col min="7169" max="7169" width="28.5703125" style="236" bestFit="1" customWidth="1"/>
    <col min="7170" max="7424" width="9.140625" style="236"/>
    <col min="7425" max="7425" width="28.5703125" style="236" bestFit="1" customWidth="1"/>
    <col min="7426" max="7680" width="9.140625" style="236"/>
    <col min="7681" max="7681" width="28.5703125" style="236" bestFit="1" customWidth="1"/>
    <col min="7682" max="7936" width="9.140625" style="236"/>
    <col min="7937" max="7937" width="28.5703125" style="236" bestFit="1" customWidth="1"/>
    <col min="7938" max="8192" width="9.140625" style="236"/>
    <col min="8193" max="8193" width="28.5703125" style="236" bestFit="1" customWidth="1"/>
    <col min="8194" max="8448" width="9.140625" style="236"/>
    <col min="8449" max="8449" width="28.5703125" style="236" bestFit="1" customWidth="1"/>
    <col min="8450" max="8704" width="9.140625" style="236"/>
    <col min="8705" max="8705" width="28.5703125" style="236" bestFit="1" customWidth="1"/>
    <col min="8706" max="8960" width="9.140625" style="236"/>
    <col min="8961" max="8961" width="28.5703125" style="236" bestFit="1" customWidth="1"/>
    <col min="8962" max="9216" width="9.140625" style="236"/>
    <col min="9217" max="9217" width="28.5703125" style="236" bestFit="1" customWidth="1"/>
    <col min="9218" max="9472" width="9.140625" style="236"/>
    <col min="9473" max="9473" width="28.5703125" style="236" bestFit="1" customWidth="1"/>
    <col min="9474" max="9728" width="9.140625" style="236"/>
    <col min="9729" max="9729" width="28.5703125" style="236" bestFit="1" customWidth="1"/>
    <col min="9730" max="9984" width="9.140625" style="236"/>
    <col min="9985" max="9985" width="28.5703125" style="236" bestFit="1" customWidth="1"/>
    <col min="9986" max="10240" width="9.140625" style="236"/>
    <col min="10241" max="10241" width="28.5703125" style="236" bestFit="1" customWidth="1"/>
    <col min="10242" max="10496" width="9.140625" style="236"/>
    <col min="10497" max="10497" width="28.5703125" style="236" bestFit="1" customWidth="1"/>
    <col min="10498" max="10752" width="9.140625" style="236"/>
    <col min="10753" max="10753" width="28.5703125" style="236" bestFit="1" customWidth="1"/>
    <col min="10754" max="11008" width="9.140625" style="236"/>
    <col min="11009" max="11009" width="28.5703125" style="236" bestFit="1" customWidth="1"/>
    <col min="11010" max="11264" width="9.140625" style="236"/>
    <col min="11265" max="11265" width="28.5703125" style="236" bestFit="1" customWidth="1"/>
    <col min="11266" max="11520" width="9.140625" style="236"/>
    <col min="11521" max="11521" width="28.5703125" style="236" bestFit="1" customWidth="1"/>
    <col min="11522" max="11776" width="9.140625" style="236"/>
    <col min="11777" max="11777" width="28.5703125" style="236" bestFit="1" customWidth="1"/>
    <col min="11778" max="12032" width="9.140625" style="236"/>
    <col min="12033" max="12033" width="28.5703125" style="236" bestFit="1" customWidth="1"/>
    <col min="12034" max="12288" width="9.140625" style="236"/>
    <col min="12289" max="12289" width="28.5703125" style="236" bestFit="1" customWidth="1"/>
    <col min="12290" max="12544" width="9.140625" style="236"/>
    <col min="12545" max="12545" width="28.5703125" style="236" bestFit="1" customWidth="1"/>
    <col min="12546" max="12800" width="9.140625" style="236"/>
    <col min="12801" max="12801" width="28.5703125" style="236" bestFit="1" customWidth="1"/>
    <col min="12802" max="13056" width="9.140625" style="236"/>
    <col min="13057" max="13057" width="28.5703125" style="236" bestFit="1" customWidth="1"/>
    <col min="13058" max="13312" width="9.140625" style="236"/>
    <col min="13313" max="13313" width="28.5703125" style="236" bestFit="1" customWidth="1"/>
    <col min="13314" max="13568" width="9.140625" style="236"/>
    <col min="13569" max="13569" width="28.5703125" style="236" bestFit="1" customWidth="1"/>
    <col min="13570" max="13824" width="9.140625" style="236"/>
    <col min="13825" max="13825" width="28.5703125" style="236" bestFit="1" customWidth="1"/>
    <col min="13826" max="14080" width="9.140625" style="236"/>
    <col min="14081" max="14081" width="28.5703125" style="236" bestFit="1" customWidth="1"/>
    <col min="14082" max="14336" width="9.140625" style="236"/>
    <col min="14337" max="14337" width="28.5703125" style="236" bestFit="1" customWidth="1"/>
    <col min="14338" max="14592" width="9.140625" style="236"/>
    <col min="14593" max="14593" width="28.5703125" style="236" bestFit="1" customWidth="1"/>
    <col min="14594" max="14848" width="9.140625" style="236"/>
    <col min="14849" max="14849" width="28.5703125" style="236" bestFit="1" customWidth="1"/>
    <col min="14850" max="15104" width="9.140625" style="236"/>
    <col min="15105" max="15105" width="28.5703125" style="236" bestFit="1" customWidth="1"/>
    <col min="15106" max="15360" width="9.140625" style="236"/>
    <col min="15361" max="15361" width="28.5703125" style="236" bestFit="1" customWidth="1"/>
    <col min="15362" max="15616" width="9.140625" style="236"/>
    <col min="15617" max="15617" width="28.5703125" style="236" bestFit="1" customWidth="1"/>
    <col min="15618" max="15872" width="9.140625" style="236"/>
    <col min="15873" max="15873" width="28.5703125" style="236" bestFit="1" customWidth="1"/>
    <col min="15874" max="16128" width="9.140625" style="236"/>
    <col min="16129" max="16129" width="28.5703125" style="236" bestFit="1" customWidth="1"/>
    <col min="16130" max="16384" width="9.140625" style="236"/>
  </cols>
  <sheetData>
    <row r="1" spans="1:1" x14ac:dyDescent="0.2">
      <c r="A1" s="285" t="s">
        <v>830</v>
      </c>
    </row>
    <row r="2" spans="1:1" x14ac:dyDescent="0.2">
      <c r="A2" s="285" t="s">
        <v>835</v>
      </c>
    </row>
    <row r="3" spans="1:1" x14ac:dyDescent="0.2">
      <c r="A3" s="285" t="s">
        <v>836</v>
      </c>
    </row>
    <row r="4" spans="1:1" x14ac:dyDescent="0.2">
      <c r="A4" s="285" t="s">
        <v>837</v>
      </c>
    </row>
    <row r="5" spans="1:1" x14ac:dyDescent="0.2">
      <c r="A5" s="285" t="s">
        <v>838</v>
      </c>
    </row>
    <row r="6" spans="1:1" x14ac:dyDescent="0.2">
      <c r="A6" s="285" t="s">
        <v>831</v>
      </c>
    </row>
    <row r="7" spans="1:1" x14ac:dyDescent="0.2">
      <c r="A7" s="285" t="s">
        <v>839</v>
      </c>
    </row>
    <row r="8" spans="1:1" x14ac:dyDescent="0.2">
      <c r="A8" s="285" t="s">
        <v>840</v>
      </c>
    </row>
    <row r="9" spans="1:1" x14ac:dyDescent="0.2">
      <c r="A9" s="285" t="s">
        <v>841</v>
      </c>
    </row>
    <row r="10" spans="1:1" x14ac:dyDescent="0.2">
      <c r="A10" s="285" t="s">
        <v>832</v>
      </c>
    </row>
    <row r="11" spans="1:1" x14ac:dyDescent="0.2">
      <c r="A11" s="285" t="s">
        <v>842</v>
      </c>
    </row>
    <row r="12" spans="1:1" x14ac:dyDescent="0.2">
      <c r="A12" s="285" t="s">
        <v>833</v>
      </c>
    </row>
    <row r="13" spans="1:1" x14ac:dyDescent="0.2">
      <c r="A13" s="285" t="s">
        <v>834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"/>
  <sheetViews>
    <sheetView workbookViewId="0"/>
  </sheetViews>
  <sheetFormatPr defaultRowHeight="12.75" x14ac:dyDescent="0.2"/>
  <sheetData>
    <row r="1" spans="1:8" x14ac:dyDescent="0.2">
      <c r="A1" t="s">
        <v>459</v>
      </c>
    </row>
    <row r="2" spans="1:8" x14ac:dyDescent="0.2">
      <c r="A2" s="223" t="s">
        <v>446</v>
      </c>
      <c r="B2" s="223" t="s">
        <v>454</v>
      </c>
      <c r="C2" s="223" t="s">
        <v>448</v>
      </c>
      <c r="D2" s="223" t="s">
        <v>449</v>
      </c>
      <c r="E2" s="223" t="s">
        <v>447</v>
      </c>
      <c r="F2" s="223" t="s">
        <v>282</v>
      </c>
      <c r="G2" s="223" t="s">
        <v>458</v>
      </c>
      <c r="H2" s="223" t="s">
        <v>460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3"/>
  </sheetPr>
  <dimension ref="A1"/>
  <sheetViews>
    <sheetView showRuler="0" workbookViewId="0"/>
  </sheetViews>
  <sheetFormatPr defaultRowHeight="12.75" x14ac:dyDescent="0.2"/>
  <sheetData/>
  <customSheetViews>
    <customSheetView guid="{F374C4C2-E461-4427-BC83-571704D130AE}" state="veryHidden" showRuler="0">
      <pageMargins left="0.75" right="0.75" top="1" bottom="1" header="0.5" footer="0.5"/>
      <headerFooter alignWithMargins="0"/>
    </customSheetView>
    <customSheetView guid="{5F01622F-BD04-4698-B8E9-3B7E434CD47C}" state="veryHidden" showRuler="0">
      <pageMargins left="0.75" right="0.75" top="1" bottom="1" header="0.5" footer="0.5"/>
      <headerFooter alignWithMargins="0"/>
    </customSheetView>
    <customSheetView guid="{BF409FF2-3E15-4B6B-AE18-50E58B89ECE7}" state="veryHidden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46516AA1-526E-40CF-BDD1-296251C7257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50EE0217-C738-44AA-A343-15B9431926E6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89</vt:i4>
      </vt:variant>
    </vt:vector>
  </HeadingPairs>
  <TitlesOfParts>
    <vt:vector size="98" baseType="lpstr">
      <vt:lpstr>ImportantDisclosures</vt:lpstr>
      <vt:lpstr>CircularReferenceAlert</vt:lpstr>
      <vt:lpstr>Index</vt:lpstr>
      <vt:lpstr>Model</vt:lpstr>
      <vt:lpstr>Revs</vt:lpstr>
      <vt:lpstr>Returns</vt:lpstr>
      <vt:lpstr>FCF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Linking_29</vt:lpstr>
      <vt:lpstr>Linking_44</vt:lpstr>
      <vt:lpstr>Linking_56</vt:lpstr>
      <vt:lpstr>Linking_Range_21</vt:lpstr>
      <vt:lpstr>Linking_Range_22</vt:lpstr>
      <vt:lpstr>Linking_Range_23</vt:lpstr>
      <vt:lpstr>Linking_Range_24</vt:lpstr>
      <vt:lpstr>Linking_Range_25</vt:lpstr>
      <vt:lpstr>Linking_Range_40</vt:lpstr>
      <vt:lpstr>Linking_Range_46</vt:lpstr>
      <vt:lpstr>Linking_Range_52</vt:lpstr>
      <vt:lpstr>Linking_Range_53</vt:lpstr>
      <vt:lpstr>Linking_Range_54</vt:lpstr>
      <vt:lpstr>Linking_Range_55</vt:lpstr>
      <vt:lpstr>Linking_Range_56</vt:lpstr>
      <vt:lpstr>Linking_Range_58</vt:lpstr>
      <vt:lpstr>Linking_Range_6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2007-06-13T13:34:16Z</dcterms:created>
  <dc:creator>Louise Singlehurst</dc:creator>
  <cp:lastModifiedBy>Cicolecchia, Rebecca (Research)</cp:lastModifiedBy>
  <cp:lastPrinted>2018-04-24T10:00:13Z</cp:lastPrinted>
  <dcterms:modified xsi:type="dcterms:W3CDTF">2018-04-26T08:51:23Z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64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764253</vt:lpwstr>
  </property>
  <property fmtid="{D5CDD505-2E9C-101B-9397-08002B2CF9AE}" name="ERModPubCompanyName" pid="6">
    <vt:lpwstr>Adidas</vt:lpwstr>
  </property>
  <property fmtid="{D5CDD505-2E9C-101B-9397-08002B2CF9AE}" name="ERModPubMaxIterations" pid="7">
    <vt:i4>100</vt:i4>
  </property>
  <property fmtid="{D5CDD505-2E9C-101B-9397-08002B2CF9AE}" name="ERModPubMaxChange" pid="8">
    <vt:r8>0.001</vt:r8>
  </property>
  <property fmtid="{D5CDD505-2E9C-101B-9397-08002B2CF9AE}" name="MSDH34TAG" pid="9">
    <vt:lpwstr>.TEZUF76X5TAHATHESADREYAK-00-INB160+*94600-06=d17e7bba/-492d/-11e8/-adef/-6a0a1ce82510,MD=20180426045227/-0400,ZZ=000Z-1578.</vt:lpwstr>
  </property>
</Properties>
</file>