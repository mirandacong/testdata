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420" yWindow="2445" windowWidth="15195" windowHeight="4500" tabRatio="962"/>
  </bookViews>
  <sheets>
    <sheet name="ImportantDisclosures" sheetId="47" r:id="rId1"/>
    <sheet name="CircularReferenceAlert" sheetId="50" r:id="rId2"/>
    <sheet name="Cover" sheetId="3" r:id="rId3"/>
    <sheet name="Financials" sheetId="1" r:id="rId4"/>
    <sheet name="SegmentData" sheetId="2" r:id="rId5"/>
    <sheet name="IndexInformation" sheetId="48" r:id="rId6"/>
    <sheet name="ModPubIndex" sheetId="49" r:id="rId7"/>
    <sheet name="__FDSCACHE__" sheetId="11" state="veryHidden" r:id="rId8"/>
    <sheet name="MW-Cache" sheetId="16" state="veryHidden" r:id="rId9"/>
  </sheets>
  <externalReferences>
    <externalReference r:id="rId10"/>
    <externalReference r:id="rId11"/>
    <externalReference r:id="rId12"/>
    <externalReference r:id="rId13"/>
  </externalReferences>
  <definedNames>
    <definedName name="__FDS_HYPERLINK_TOGGLE_STATE__" hidden="1">"ON"</definedName>
    <definedName name="__FDS_UNIQUE_RANGE_ID_GENERATOR_COUNTER" hidden="1">1</definedName>
    <definedName name="_bdm.04BBD7C21A534B63A0CE38EA6B08D7A9.edm" hidden="1">SegmentData!$1:$1048576</definedName>
    <definedName name="_bdm.24FE4D2A1BDB4B4B96FF994D81CA4AA4.edm" localSheetId="4" hidden="1">SegmentData!$A$2:$BJ$69</definedName>
    <definedName name="_bdm.2CCBBFB421D94C7FBCDAD7A7C906AA31.edm" localSheetId="3" hidden="1">Financials!$A$168:$BN$199</definedName>
    <definedName name="_bdm.65D2367E6C7A45DAAD1748CD289220CA.edm" localSheetId="3" hidden="1">Financials!$A$5:$BN$98</definedName>
    <definedName name="_bdm.6D6F0B88E61448AD852F4D6897E34DBB.edm" localSheetId="4" hidden="1">SegmentData!$A$151:$BJ$219</definedName>
    <definedName name="_bdm.79B4120A22694770931F6730F043D9FE.edm" localSheetId="3" hidden="1">Financials!$A$168:$BI$199</definedName>
    <definedName name="_bdm.7A4E974B93C04D86BA1270069842A88B.edm" localSheetId="3" hidden="1">Financials!$A$128:$BN$165</definedName>
    <definedName name="_bdm.AC25CDDDEBE34A49B96A1903F5B3CC61.edm" hidden="1">Financials!$1:$1048576</definedName>
    <definedName name="_bdm.B1409B6F5EC24994B345A0E7F45B786F.edm" localSheetId="4" hidden="1">SegmentData!$A$151:$BJ$234</definedName>
    <definedName name="_bdm.B5351B8A3C944477BD268BB6A0A45B94.edm" localSheetId="3" hidden="1">Financials!$A$168:$BS$199</definedName>
    <definedName name="_bdm.B7200DF0D0D0440DA61482E52931D3C8.edm" localSheetId="3" hidden="1">Financials!$A$128:$BI$165</definedName>
    <definedName name="_bdm.BA6EF1574E1F4FA29B9009B3C6A1FAEA.edm" localSheetId="4" hidden="1">SegmentData!$A$2:$BO$69</definedName>
    <definedName name="_bdm.D74F91247C02492D907158D120BC0E86.edm" localSheetId="3" hidden="1">Financials!$A$168:$BN$199</definedName>
    <definedName name="_bdm.E33E507939754CB5A44552D20CF0CA72.edm" localSheetId="3" hidden="1">Financials!$A$5:$BI$98</definedName>
    <definedName name="_xlnm._FilterDatabase" localSheetId="4" hidden="1">SegmentData!$A$2:$A$267</definedName>
    <definedName name="AdditionalInstructions">IndexInformation!$B$42</definedName>
    <definedName name="Address" localSheetId="0">ImportantDisclosures!$A$2:$A$2</definedName>
    <definedName name="ANA" localSheetId="6">ModPubIndex!$A$7</definedName>
    <definedName name="Authors" localSheetId="0">ImportantDisclosures!$A$7</definedName>
    <definedName name="Authors" localSheetId="5">IndexInformation!$B$18</definedName>
    <definedName name="BRO" localSheetId="6">ModPubIndex!$A$1</definedName>
    <definedName name="Buttons" localSheetId="1">CircularReferenceAlert!$B$13:$B$15</definedName>
    <definedName name="CopyrightStamp">ImportantDisclosures!$A$27</definedName>
    <definedName name="COU" localSheetId="6">ModPubIndex!$A$5</definedName>
    <definedName name="CQEnd" localSheetId="5">IndexInformation!$B$31</definedName>
    <definedName name="Currency" localSheetId="5">IndexInformation!$B$24</definedName>
    <definedName name="CurrentStockPrice" localSheetId="5">IndexInformation!$B$23</definedName>
    <definedName name="CurrQtrEPS" localSheetId="5">IndexInformation!$B$29</definedName>
    <definedName name="CurrYearEPS" localSheetId="5">IndexInformation!$B$11</definedName>
    <definedName name="CurrYearTotalRevenue" localSheetId="5">IndexInformation!$B$10</definedName>
    <definedName name="CurrYearTotalRevenueActual" localSheetId="5">IndexInformation!$B$32</definedName>
    <definedName name="CUSIP" localSheetId="5">IndexInformation!$B$20</definedName>
    <definedName name="CYEnd" localSheetId="5">IndexInformation!$B$30</definedName>
    <definedName name="dataseries4">OFFSET([1]c1!$G$12,0,0,COUNTA([1]c1!$G$12:$G$31),1)</definedName>
    <definedName name="Date" localSheetId="0">ImportantDisclosures!$A$8</definedName>
    <definedName name="Deleted" localSheetId="5">IndexInformation!$B$27</definedName>
    <definedName name="Description" localSheetId="5">IndexInformation!$B$7</definedName>
    <definedName name="DEVELOPMENT">5</definedName>
    <definedName name="Discipline" localSheetId="5">IndexInformation!$B$3</definedName>
    <definedName name="DISCIPLINE" localSheetId="6">ModPubIndex!$A$12</definedName>
    <definedName name="DisclosuresText">ImportantDisclosures!$A$22</definedName>
    <definedName name="Distribution" localSheetId="5">IndexInformation!$B$26</definedName>
    <definedName name="DistTable" localSheetId="0">ImportantDisclosures!#REF!</definedName>
    <definedName name="DistTablePreamble" localSheetId="0">ImportantDisclosures!#REF!</definedName>
    <definedName name="DOCDAT" localSheetId="6">ModPubIndex!$A$2</definedName>
    <definedName name="DOCTIME" localSheetId="6">ModPubIndex!$A$3</definedName>
    <definedName name="DocType" localSheetId="5">IndexInformation!$B$5</definedName>
    <definedName name="EMAIL_ALERT" localSheetId="6">ModPubIndex!$A$10</definedName>
    <definedName name="EmailAlert" localSheetId="5">IndexInformation!$B$28</definedName>
    <definedName name="ExpandModel" localSheetId="4">SegmentData!ExpandModel</definedName>
    <definedName name="ExpandModel">[0]!ExpandModel</definedName>
    <definedName name="ExpandOutputs" localSheetId="4">SegmentData!ExpandOutputs</definedName>
    <definedName name="ExpandOutputs">[0]!ExpandOutputs</definedName>
    <definedName name="ExpandVPeriods" localSheetId="4">SegmentData!ExpandVPeriods</definedName>
    <definedName name="ExpandVPeriods">[0]!ExpandVPeriods</definedName>
    <definedName name="ExportFile" localSheetId="4">SegmentData!ExportFile</definedName>
    <definedName name="ExportFile">[0]!ExportFile</definedName>
    <definedName name="FCF">[2]L!$C$13:$P$20</definedName>
    <definedName name="FiveYearGrowthRate" localSheetId="5">IndexInformation!$B$16</definedName>
    <definedName name="FollowingYearEPS" localSheetId="5">IndexInformation!$B$15</definedName>
    <definedName name="FollowingYearTotalRevenue" localSheetId="5">IndexInformation!$B$14</definedName>
    <definedName name="FollowingYearTotalRevenueActual" localSheetId="5">IndexInformation!$B$34</definedName>
    <definedName name="HL" localSheetId="6">ModPubIndex!$A$8</definedName>
    <definedName name="ImportFile" localSheetId="4">SegmentData!ImportFile</definedName>
    <definedName name="ImportFile">[0]!ImportFile</definedName>
    <definedName name="IND" localSheetId="6">ModPubIndex!$A$9</definedName>
    <definedName name="Industry" localSheetId="0">ImportantDisclosures!$A$12</definedName>
    <definedName name="IndustryId">IndexInformation!$B$40</definedName>
    <definedName name="IndustryRating" localSheetId="0">ImportantDisclosures!$A$13</definedName>
    <definedName name="KeepVersions" localSheetId="5">IndexInformation!$B$8</definedName>
    <definedName name="LanguageCode">IndexInformation!$B$38</definedName>
    <definedName name="LastCell" localSheetId="0">ImportantDisclosures!$A$22</definedName>
    <definedName name="Linking_Range_2">Financials!$A$5:$BS$98</definedName>
    <definedName name="Linking_Range_22">Financials!$A$5:$CC$98</definedName>
    <definedName name="Linking_Range_3">Financials!$A$128:$BS$165</definedName>
    <definedName name="Linking_Range_4">Financials!$A$168:$BS$199</definedName>
    <definedName name="Linking_Range_7">Financials!$A$5:$BX$98</definedName>
    <definedName name="Linking_Range_8">Financials!$A$128:$BX$165</definedName>
    <definedName name="Linking_Range_9">Financials!$A$168:$BX$199</definedName>
    <definedName name="Linking_Text_1">SegmentData!$BM$28</definedName>
    <definedName name="Linking_Text_5">22</definedName>
    <definedName name="Linking_Text_6">16</definedName>
    <definedName name="Linking_Text_7">Financials!$CI$20</definedName>
    <definedName name="MacroVersion" localSheetId="5">IndexInformation!$B$1</definedName>
    <definedName name="MaxChange" localSheetId="1">CircularReferenceAlert!$B$9</definedName>
    <definedName name="MaxIterations" localSheetId="1">CircularReferenceAlert!$B$8</definedName>
    <definedName name="ModelPrice" localSheetId="0">ImportantDisclosures!$A$14</definedName>
    <definedName name="MtCap">10000000000</definedName>
    <definedName name="Multiplier" localSheetId="5">IndexInformation!$B$35</definedName>
    <definedName name="NextYearEPS" localSheetId="5">IndexInformation!$B$13</definedName>
    <definedName name="NextYearTotalRevenue" localSheetId="5">IndexInformation!$B$12</definedName>
    <definedName name="NextYearTotalRevenueActual" localSheetId="5">IndexInformation!$B$33</definedName>
    <definedName name="NVCURR">[3]I!$B$1:$U$51</definedName>
    <definedName name="ObjectType">IndexInformation!$B$37</definedName>
    <definedName name="PANA" localSheetId="6">ModPubIndex!$A$11</definedName>
    <definedName name="PathName" localSheetId="5">IndexInformation!$B$25</definedName>
    <definedName name="Performance">Financials!$BM$6:$DG$99</definedName>
    <definedName name="_xlnm.Print_Area" localSheetId="2">Cover!$A$1:$L$39</definedName>
    <definedName name="_xlnm.Print_Area" localSheetId="3">Financials!$A$1:$CJ$201</definedName>
    <definedName name="_xlnm.Print_Area" localSheetId="4">SegmentData!$AK$2:$BT$259</definedName>
    <definedName name="_xlnm.Print_Area">[4]CENMODEL!#REF!</definedName>
    <definedName name="_xlnm.Print_Titles" localSheetId="4">SegmentData!$A:$A,SegmentData!$1:$3</definedName>
    <definedName name="_xlnm.Print_Titles">#REF!</definedName>
    <definedName name="PRODUCT" localSheetId="6">ModPubIndex!$A$6</definedName>
    <definedName name="ProImportExport.ImportFile" localSheetId="4">SegmentData!ProImportExport.ImportFile</definedName>
    <definedName name="ProImportExport.ImportFile">[0]!ProImportExport.ImportFile</definedName>
    <definedName name="ProImportExport.SaveNewFile" localSheetId="4">SegmentData!ProImportExport.SaveNewFile</definedName>
    <definedName name="ProImportExport.SaveNewFile">[0]!ProImportExport.SaveNewFile</definedName>
    <definedName name="PSYM" localSheetId="6">ModPubIndex!$A$4</definedName>
    <definedName name="PublishDate" localSheetId="5">IndexInformation!$B$2</definedName>
    <definedName name="Rating" localSheetId="5">IndexInformation!$B$9</definedName>
    <definedName name="RatingsDefined" localSheetId="0">ImportantDisclosures!$A$21</definedName>
    <definedName name="RatingsDefs" localSheetId="0">ImportantDisclosures!#REF!</definedName>
    <definedName name="RegACDisclosure" localSheetId="0">ImportantDisclosures!#REF!</definedName>
    <definedName name="ResearchTopic" localSheetId="5">IndexInformation!$B$4</definedName>
    <definedName name="RIC" localSheetId="5">IndexInformation!$B$21</definedName>
    <definedName name="SaveNewFile" localSheetId="4">SegmentData!SaveNewFile</definedName>
    <definedName name="SaveNewFile">[0]!SaveNewFile</definedName>
    <definedName name="SECSettlement" localSheetId="0">ImportantDisclosures!#REF!</definedName>
    <definedName name="SEDOL" localSheetId="5">IndexInformation!$B$22</definedName>
    <definedName name="SourceDefined" localSheetId="0">ImportantDisclosures!$A$19</definedName>
    <definedName name="StockRating" localSheetId="0">ImportantDisclosures!$A$11</definedName>
    <definedName name="SubjectCode" localSheetId="5">IndexInformation!$B$6</definedName>
    <definedName name="SubmitterUserId">IndexInformation!$B$39</definedName>
    <definedName name="SUPPRESSED" localSheetId="6">ModPubIndex!$A$13</definedName>
    <definedName name="TargetPrice" localSheetId="0">ImportantDisclosures!$A$15</definedName>
    <definedName name="TemplateRegion">IndexInformation!$B$36</definedName>
    <definedName name="Ticker" localSheetId="0">ImportantDisclosures!$A$10</definedName>
    <definedName name="TickerRegion">IndexInformation!$B$41</definedName>
    <definedName name="Tickers" localSheetId="5">IndexInformation!$B$19</definedName>
    <definedName name="UpdateReason" localSheetId="5">IndexInformation!$B$17</definedName>
    <definedName name="USRegDisclosures" localSheetId="0">ImportantDisclosures!#REF!</definedName>
  </definedNames>
  <calcPr calcId="145621" calcMode="autoNoTable" calcOnSave="0"/>
</workbook>
</file>

<file path=xl/calcChain.xml><?xml version="1.0" encoding="utf-8"?>
<calcChain xmlns="http://schemas.openxmlformats.org/spreadsheetml/2006/main">
  <c r="CL152" i="1" l="1"/>
  <c r="CL305" i="2" l="1"/>
  <c r="CL304" i="2"/>
  <c r="CO301" i="2"/>
  <c r="CO303" i="2" s="1"/>
  <c r="CG301" i="2"/>
  <c r="CL301" i="2" s="1"/>
  <c r="CQ301" i="2" s="1"/>
  <c r="CQ303" i="2" s="1"/>
  <c r="CH301" i="2"/>
  <c r="CM301" i="2" s="1"/>
  <c r="CJ301" i="2"/>
  <c r="CK301" i="2"/>
  <c r="CP301" i="2" s="1"/>
  <c r="CM303" i="2" l="1"/>
  <c r="CR301" i="2"/>
  <c r="CR303" i="2" s="1"/>
  <c r="CN301" i="2"/>
  <c r="CO305" i="2"/>
  <c r="CO66" i="2" s="1"/>
  <c r="CO304" i="2"/>
  <c r="CO48" i="2" s="1"/>
  <c r="CP303" i="2"/>
  <c r="CP305" i="2" l="1"/>
  <c r="CP66" i="2" s="1"/>
  <c r="CP304" i="2"/>
  <c r="CP48" i="2" s="1"/>
  <c r="CS301" i="2"/>
  <c r="CM305" i="2"/>
  <c r="CM66" i="2" s="1"/>
  <c r="CM304" i="2"/>
  <c r="CM48" i="2" s="1"/>
  <c r="CJ225" i="1"/>
  <c r="CJ223" i="1"/>
  <c r="CJ215" i="1"/>
  <c r="CO215" i="1" s="1"/>
  <c r="CT215" i="1" s="1"/>
  <c r="CY215" i="1" s="1"/>
  <c r="DD215" i="1" s="1"/>
  <c r="CJ194" i="1"/>
  <c r="CJ191" i="1"/>
  <c r="CJ190" i="1"/>
  <c r="CJ125" i="1" s="1"/>
  <c r="CJ124" i="1" s="1"/>
  <c r="CJ188" i="1"/>
  <c r="CJ229" i="1" s="1"/>
  <c r="CJ185" i="1"/>
  <c r="CJ184" i="1"/>
  <c r="CJ180" i="1"/>
  <c r="CJ178" i="1"/>
  <c r="CJ177" i="1"/>
  <c r="CJ176" i="1"/>
  <c r="CJ175" i="1"/>
  <c r="CJ182" i="1"/>
  <c r="CJ172" i="1"/>
  <c r="CJ220" i="1" s="1"/>
  <c r="CJ219" i="1" l="1"/>
  <c r="CJ120" i="1"/>
  <c r="CJ118" i="1"/>
  <c r="CJ119" i="1" l="1"/>
  <c r="CJ158" i="1" l="1"/>
  <c r="CJ140" i="1"/>
  <c r="CK191" i="2"/>
  <c r="CK190" i="2"/>
  <c r="CK189" i="2"/>
  <c r="CK188" i="2"/>
  <c r="CK164" i="2"/>
  <c r="CK67" i="2"/>
  <c r="CK58" i="2"/>
  <c r="CK54" i="2"/>
  <c r="CJ76" i="1"/>
  <c r="CK49" i="2"/>
  <c r="CK46" i="2"/>
  <c r="CK38" i="2"/>
  <c r="CK41" i="2"/>
  <c r="CK55" i="2" l="1"/>
  <c r="CK47" i="2"/>
  <c r="CK39" i="2"/>
  <c r="CJ46" i="1"/>
  <c r="CJ41" i="1"/>
  <c r="CJ30" i="1"/>
  <c r="CJ14" i="1"/>
  <c r="CI229" i="1" l="1"/>
  <c r="CI219" i="1"/>
  <c r="CI215" i="1"/>
  <c r="CN215" i="1" s="1"/>
  <c r="CS215" i="1" s="1"/>
  <c r="CX215" i="1" s="1"/>
  <c r="DC215" i="1" s="1"/>
  <c r="CI118" i="1"/>
  <c r="CI116" i="1"/>
  <c r="CI125" i="1"/>
  <c r="CI124" i="1" s="1"/>
  <c r="CI189" i="1"/>
  <c r="CJ189" i="1" s="1"/>
  <c r="CI120" i="1" l="1"/>
  <c r="CI119" i="1" l="1"/>
  <c r="CN119" i="1" s="1"/>
  <c r="CJ54" i="2" l="1"/>
  <c r="CJ46" i="2"/>
  <c r="CS159" i="2"/>
  <c r="CX159" i="2" s="1"/>
  <c r="DC159" i="2" s="1"/>
  <c r="DH159" i="2" s="1"/>
  <c r="CQ66" i="1"/>
  <c r="CP66" i="1"/>
  <c r="CO66" i="1"/>
  <c r="CN66" i="1"/>
  <c r="CJ191" i="2" l="1"/>
  <c r="CJ190" i="2"/>
  <c r="CJ189" i="2"/>
  <c r="CJ188" i="2"/>
  <c r="CJ164" i="2"/>
  <c r="CH117" i="1"/>
  <c r="CG120" i="1"/>
  <c r="CG118" i="1"/>
  <c r="CG123" i="1"/>
  <c r="CD125" i="1"/>
  <c r="CD124" i="1" s="1"/>
  <c r="CC117" i="1"/>
  <c r="CI158" i="1"/>
  <c r="CI140" i="1"/>
  <c r="CJ67" i="2"/>
  <c r="CJ58" i="2"/>
  <c r="CJ55" i="2" s="1"/>
  <c r="CJ49" i="2"/>
  <c r="CJ47" i="2" s="1"/>
  <c r="CJ38" i="2"/>
  <c r="CJ41" i="2"/>
  <c r="CI46" i="1"/>
  <c r="CI41" i="1"/>
  <c r="CI30" i="1"/>
  <c r="CI14" i="1"/>
  <c r="CJ39" i="2" l="1"/>
  <c r="CG119" i="1"/>
  <c r="CK84" i="1" l="1"/>
  <c r="CN84" i="1"/>
  <c r="CO84" i="1"/>
  <c r="CP84" i="1"/>
  <c r="CL61" i="2"/>
  <c r="CD229" i="1"/>
  <c r="CD228" i="1"/>
  <c r="CD227" i="1"/>
  <c r="CD226" i="1"/>
  <c r="CD221" i="1"/>
  <c r="CD219" i="1"/>
  <c r="CD218" i="1"/>
  <c r="CD217" i="1"/>
  <c r="CG216" i="1"/>
  <c r="CF216" i="1"/>
  <c r="CE216" i="1"/>
  <c r="CE256" i="1" s="1"/>
  <c r="CG215" i="1"/>
  <c r="CL215" i="1" s="1"/>
  <c r="CQ215" i="1" s="1"/>
  <c r="CV215" i="1" s="1"/>
  <c r="DA215" i="1" s="1"/>
  <c r="DF215" i="1" s="1"/>
  <c r="CF215" i="1"/>
  <c r="CK215" i="1" s="1"/>
  <c r="CP215" i="1" s="1"/>
  <c r="CU215" i="1" s="1"/>
  <c r="CZ215" i="1" s="1"/>
  <c r="DE215" i="1" s="1"/>
  <c r="CE215" i="1"/>
  <c r="CD215" i="1"/>
  <c r="CD214" i="1"/>
  <c r="CE189" i="1"/>
  <c r="CF189" i="1" s="1"/>
  <c r="CB191" i="1"/>
  <c r="CC185" i="1"/>
  <c r="CC190" i="1"/>
  <c r="CC184" i="1"/>
  <c r="CI157" i="2"/>
  <c r="CI156" i="2"/>
  <c r="CI155" i="2"/>
  <c r="CI154" i="2"/>
  <c r="CD155" i="2"/>
  <c r="CD156" i="2"/>
  <c r="CE181" i="1"/>
  <c r="CF181" i="1" s="1"/>
  <c r="CE191" i="1"/>
  <c r="CE194" i="1"/>
  <c r="CF194" i="1" s="1"/>
  <c r="CE190" i="1"/>
  <c r="CF190" i="1" s="1"/>
  <c r="CF125" i="1" s="1"/>
  <c r="CF124" i="1" s="1"/>
  <c r="CE188" i="1"/>
  <c r="CE229" i="1" s="1"/>
  <c r="CE185" i="1"/>
  <c r="CE184" i="1"/>
  <c r="CE182" i="1"/>
  <c r="CF182" i="1" s="1"/>
  <c r="CE172" i="1"/>
  <c r="CE219" i="1" s="1"/>
  <c r="CO219" i="1" s="1"/>
  <c r="CT219" i="1" s="1"/>
  <c r="CY219" i="1" s="1"/>
  <c r="DD219" i="1" s="1"/>
  <c r="CH43" i="1"/>
  <c r="CH38" i="1"/>
  <c r="CH11" i="1"/>
  <c r="CI8" i="2"/>
  <c r="CI7" i="2"/>
  <c r="CI6" i="2"/>
  <c r="CN48" i="2" s="1"/>
  <c r="CI5" i="2"/>
  <c r="CH67" i="2"/>
  <c r="CG67" i="2"/>
  <c r="CH58" i="2"/>
  <c r="CH49" i="2"/>
  <c r="CH41" i="2"/>
  <c r="CH28" i="2"/>
  <c r="CG158" i="1"/>
  <c r="CG140" i="1"/>
  <c r="CF158" i="1"/>
  <c r="CF140" i="1"/>
  <c r="F65" i="1"/>
  <c r="K65" i="1"/>
  <c r="L181" i="2" s="1"/>
  <c r="P65" i="1"/>
  <c r="U65" i="1"/>
  <c r="Z65" i="1"/>
  <c r="AE65" i="1"/>
  <c r="AJ65" i="1"/>
  <c r="AO65" i="1"/>
  <c r="AT65" i="1"/>
  <c r="AY65" i="1"/>
  <c r="BD65" i="1"/>
  <c r="BI65" i="1"/>
  <c r="BN65" i="1"/>
  <c r="BS65" i="1"/>
  <c r="BS268" i="1" s="1"/>
  <c r="BX65" i="1"/>
  <c r="CC65" i="1"/>
  <c r="CL119" i="1"/>
  <c r="CQ119" i="1" s="1"/>
  <c r="CF118" i="1"/>
  <c r="CF119" i="1" s="1"/>
  <c r="CK119" i="1" s="1"/>
  <c r="CP119" i="1" s="1"/>
  <c r="CF120" i="1"/>
  <c r="CF358" i="1" s="1"/>
  <c r="CE76" i="1"/>
  <c r="CG158" i="2"/>
  <c r="CH66" i="1"/>
  <c r="CE163" i="2"/>
  <c r="CF158" i="2"/>
  <c r="CF166" i="2" s="1"/>
  <c r="CG163" i="2"/>
  <c r="CG159" i="2" s="1"/>
  <c r="CF163" i="2"/>
  <c r="CF159" i="2" s="1"/>
  <c r="CE158" i="2"/>
  <c r="CG36" i="2"/>
  <c r="CF36" i="2"/>
  <c r="CE36" i="2"/>
  <c r="CG28" i="2"/>
  <c r="CG191" i="2"/>
  <c r="CG190" i="2"/>
  <c r="CL190" i="2" s="1"/>
  <c r="CQ190" i="2" s="1"/>
  <c r="CG189" i="2"/>
  <c r="CG188" i="2"/>
  <c r="CG58" i="2"/>
  <c r="CG55" i="2" s="1"/>
  <c r="CG59" i="2" s="1"/>
  <c r="CG49" i="2"/>
  <c r="CG41" i="2"/>
  <c r="CG39" i="2" s="1"/>
  <c r="CG42" i="2" s="1"/>
  <c r="CF46" i="1"/>
  <c r="CF41" i="1"/>
  <c r="CF14" i="1"/>
  <c r="BS27" i="1"/>
  <c r="BX27" i="1"/>
  <c r="CC27" i="1"/>
  <c r="CB62" i="2"/>
  <c r="CA62" i="2"/>
  <c r="BZ62" i="2"/>
  <c r="CG61" i="2"/>
  <c r="CF61" i="2"/>
  <c r="CB61" i="2"/>
  <c r="CA61" i="2"/>
  <c r="BZ61" i="2"/>
  <c r="CC53" i="2"/>
  <c r="CB53" i="2"/>
  <c r="CA53" i="2"/>
  <c r="BZ53" i="2"/>
  <c r="CG52" i="2"/>
  <c r="CF52" i="2"/>
  <c r="CE52" i="2"/>
  <c r="CC52" i="2"/>
  <c r="CB52" i="2"/>
  <c r="CA52" i="2"/>
  <c r="BZ52" i="2"/>
  <c r="CB45" i="2"/>
  <c r="CA45" i="2"/>
  <c r="BZ45" i="2"/>
  <c r="CB44" i="2"/>
  <c r="CA44" i="2"/>
  <c r="BZ44" i="2"/>
  <c r="CC36" i="2"/>
  <c r="CB36" i="2"/>
  <c r="CA36" i="2"/>
  <c r="BZ36" i="2"/>
  <c r="CE175" i="1"/>
  <c r="CE176" i="1"/>
  <c r="CE177" i="1"/>
  <c r="CE158" i="1"/>
  <c r="CE140" i="1"/>
  <c r="CE120" i="1"/>
  <c r="CE118" i="1"/>
  <c r="CF28" i="2"/>
  <c r="B7" i="1"/>
  <c r="G8" i="1" s="1"/>
  <c r="G335" i="1" s="1"/>
  <c r="C7" i="1"/>
  <c r="D7" i="1"/>
  <c r="E7" i="1"/>
  <c r="K7" i="1"/>
  <c r="P7" i="1"/>
  <c r="U7" i="1"/>
  <c r="Z7" i="1"/>
  <c r="AE7" i="1"/>
  <c r="AJ7" i="1"/>
  <c r="AY7" i="1"/>
  <c r="AZ7" i="1"/>
  <c r="BI7" i="1"/>
  <c r="L8" i="1"/>
  <c r="L335" i="1" s="1"/>
  <c r="M8" i="1"/>
  <c r="N8" i="1"/>
  <c r="O8" i="1"/>
  <c r="O335" i="1" s="1"/>
  <c r="V8" i="1"/>
  <c r="W8" i="1"/>
  <c r="X8" i="1"/>
  <c r="Y8" i="1"/>
  <c r="Y335" i="1" s="1"/>
  <c r="AA8" i="1"/>
  <c r="AA335" i="1" s="1"/>
  <c r="AB8" i="1"/>
  <c r="AC8" i="1"/>
  <c r="AC335" i="1" s="1"/>
  <c r="AD8" i="1"/>
  <c r="AF8" i="1"/>
  <c r="AF335" i="1" s="1"/>
  <c r="AG8" i="1"/>
  <c r="AH8" i="1"/>
  <c r="AH335" i="1" s="1"/>
  <c r="AI8" i="1"/>
  <c r="AK8" i="1"/>
  <c r="AK335" i="1" s="1"/>
  <c r="AL8" i="1"/>
  <c r="AM8" i="1"/>
  <c r="AM335" i="1" s="1"/>
  <c r="AN8" i="1"/>
  <c r="BA8" i="1"/>
  <c r="BA335" i="1" s="1"/>
  <c r="BB8" i="1"/>
  <c r="BC8" i="1"/>
  <c r="BC335" i="1" s="1"/>
  <c r="BF8" i="1"/>
  <c r="BG8" i="1"/>
  <c r="BG335" i="1" s="1"/>
  <c r="BH8" i="1"/>
  <c r="BJ8" i="1"/>
  <c r="BJ335" i="1" s="1"/>
  <c r="BK8" i="1"/>
  <c r="BM8" i="1"/>
  <c r="B11" i="1"/>
  <c r="C11" i="1"/>
  <c r="D11" i="1"/>
  <c r="E11" i="1"/>
  <c r="K11" i="1"/>
  <c r="L11" i="1"/>
  <c r="M11" i="1"/>
  <c r="N11" i="1"/>
  <c r="Q11" i="1"/>
  <c r="R11" i="1"/>
  <c r="R12" i="1" s="1"/>
  <c r="S11" i="1"/>
  <c r="T11" i="1"/>
  <c r="V11" i="1"/>
  <c r="AE11" i="1"/>
  <c r="AJ11" i="1"/>
  <c r="AO11" i="1"/>
  <c r="AT11" i="1"/>
  <c r="BD11" i="1"/>
  <c r="BD14" i="1" s="1"/>
  <c r="BI11" i="1"/>
  <c r="BN11" i="1"/>
  <c r="BS11" i="1"/>
  <c r="BX11" i="1"/>
  <c r="CC11" i="1"/>
  <c r="G12" i="1"/>
  <c r="H12" i="1"/>
  <c r="I12" i="1"/>
  <c r="J12" i="1"/>
  <c r="M12" i="1"/>
  <c r="O12" i="1"/>
  <c r="S12" i="1"/>
  <c r="W12" i="1"/>
  <c r="X12" i="1"/>
  <c r="Y12" i="1"/>
  <c r="AA12" i="1"/>
  <c r="AB12" i="1"/>
  <c r="AB13" i="1" s="1"/>
  <c r="AC12" i="1"/>
  <c r="AD12" i="1"/>
  <c r="AF12" i="1"/>
  <c r="AF13" i="1" s="1"/>
  <c r="AG12" i="1"/>
  <c r="AG13" i="1" s="1"/>
  <c r="AH12" i="1"/>
  <c r="AI12" i="1"/>
  <c r="AK12" i="1"/>
  <c r="AK13" i="1" s="1"/>
  <c r="AL12" i="1"/>
  <c r="AM12" i="1"/>
  <c r="AM13" i="1" s="1"/>
  <c r="AN12" i="1"/>
  <c r="AN13" i="1" s="1"/>
  <c r="AU12" i="1"/>
  <c r="AV12" i="1"/>
  <c r="AW12" i="1"/>
  <c r="AX12" i="1"/>
  <c r="AZ12" i="1"/>
  <c r="AZ13" i="1" s="1"/>
  <c r="BA12" i="1"/>
  <c r="BB12" i="1"/>
  <c r="BC12" i="1"/>
  <c r="BC13" i="1" s="1"/>
  <c r="BE12" i="1"/>
  <c r="BE13" i="1" s="1"/>
  <c r="BF12" i="1"/>
  <c r="BG12" i="1"/>
  <c r="BG13" i="1" s="1"/>
  <c r="BH12" i="1"/>
  <c r="BJ12" i="1"/>
  <c r="BJ13" i="1" s="1"/>
  <c r="BK12" i="1"/>
  <c r="BM12" i="1"/>
  <c r="BT12" i="1"/>
  <c r="CD12" i="1"/>
  <c r="M13" i="1"/>
  <c r="CS13" i="1"/>
  <c r="CT13" i="1"/>
  <c r="CU13" i="1"/>
  <c r="CX13" i="1"/>
  <c r="CY13" i="1"/>
  <c r="CZ13" i="1"/>
  <c r="DC13" i="1"/>
  <c r="DD13" i="1"/>
  <c r="DE13" i="1"/>
  <c r="I14" i="1"/>
  <c r="M14" i="1"/>
  <c r="O14" i="1"/>
  <c r="R14" i="1"/>
  <c r="W14" i="1"/>
  <c r="X14" i="1"/>
  <c r="AB14" i="1"/>
  <c r="AC14" i="1"/>
  <c r="AD14" i="1"/>
  <c r="AF14" i="1"/>
  <c r="AG14" i="1"/>
  <c r="AH14" i="1"/>
  <c r="AI14" i="1"/>
  <c r="AK14" i="1"/>
  <c r="AL14" i="1"/>
  <c r="AM14" i="1"/>
  <c r="AN14" i="1"/>
  <c r="AP14" i="1"/>
  <c r="AQ14" i="1"/>
  <c r="AR14" i="1"/>
  <c r="AS14" i="1"/>
  <c r="AU14" i="1"/>
  <c r="AV14" i="1"/>
  <c r="AW14" i="1"/>
  <c r="AX14" i="1"/>
  <c r="AZ14" i="1"/>
  <c r="BA14" i="1"/>
  <c r="BB14" i="1"/>
  <c r="BC14" i="1"/>
  <c r="BE14" i="1"/>
  <c r="BF14" i="1"/>
  <c r="BG14" i="1"/>
  <c r="BH14" i="1"/>
  <c r="BJ14" i="1"/>
  <c r="BK14" i="1"/>
  <c r="BL14" i="1"/>
  <c r="BM14" i="1"/>
  <c r="BO14" i="1"/>
  <c r="BP14" i="1"/>
  <c r="BQ14" i="1"/>
  <c r="BR14" i="1"/>
  <c r="BT14" i="1"/>
  <c r="BU14" i="1"/>
  <c r="BV14" i="1"/>
  <c r="BW14" i="1"/>
  <c r="BY14" i="1"/>
  <c r="BZ14" i="1"/>
  <c r="CA14" i="1"/>
  <c r="CB14" i="1"/>
  <c r="CD14" i="1"/>
  <c r="K15" i="1"/>
  <c r="P15" i="1"/>
  <c r="U15" i="1"/>
  <c r="Z15" i="1"/>
  <c r="AE15" i="1"/>
  <c r="AJ15" i="1"/>
  <c r="AK15" i="1"/>
  <c r="AL15" i="1"/>
  <c r="AM15" i="1"/>
  <c r="AN15" i="1"/>
  <c r="AP15" i="1"/>
  <c r="AT15" i="1" s="1"/>
  <c r="AX15" i="1"/>
  <c r="AZ15" i="1"/>
  <c r="BA15" i="1"/>
  <c r="BB15" i="1"/>
  <c r="BY15" i="1"/>
  <c r="BZ15" i="1"/>
  <c r="CA15" i="1"/>
  <c r="CN15" i="1"/>
  <c r="CO15" i="1"/>
  <c r="CP15" i="1"/>
  <c r="CS15" i="1"/>
  <c r="CT15" i="1"/>
  <c r="CU15" i="1"/>
  <c r="CX15" i="1"/>
  <c r="CY15" i="1"/>
  <c r="CZ15" i="1"/>
  <c r="DC15" i="1"/>
  <c r="DD15" i="1"/>
  <c r="DE15" i="1"/>
  <c r="G17" i="1"/>
  <c r="H17" i="1"/>
  <c r="I17" i="1"/>
  <c r="I22" i="1" s="1"/>
  <c r="I23" i="1" s="1"/>
  <c r="J17" i="1"/>
  <c r="J50" i="1" s="1"/>
  <c r="M17" i="1"/>
  <c r="O17" i="1"/>
  <c r="O18" i="1" s="1"/>
  <c r="R17" i="1"/>
  <c r="S17" i="1"/>
  <c r="V17" i="1"/>
  <c r="W17" i="1"/>
  <c r="X17" i="1"/>
  <c r="Y17" i="1"/>
  <c r="AA17" i="1"/>
  <c r="AA18" i="1" s="1"/>
  <c r="AB17" i="1"/>
  <c r="AC17" i="1"/>
  <c r="AC18" i="1" s="1"/>
  <c r="AD17" i="1"/>
  <c r="AF17" i="1"/>
  <c r="AG17" i="1"/>
  <c r="AH17" i="1"/>
  <c r="AH18" i="1" s="1"/>
  <c r="AH19" i="1" s="1"/>
  <c r="AI17" i="1"/>
  <c r="AK17" i="1"/>
  <c r="AK18" i="1" s="1"/>
  <c r="AL17" i="1"/>
  <c r="AM17" i="1"/>
  <c r="AM18" i="1" s="1"/>
  <c r="AM19" i="1" s="1"/>
  <c r="AN17" i="1"/>
  <c r="AU17" i="1"/>
  <c r="AV17" i="1"/>
  <c r="AW17" i="1"/>
  <c r="AX17" i="1"/>
  <c r="BA17" i="1"/>
  <c r="BB17" i="1"/>
  <c r="BC17" i="1"/>
  <c r="BE17" i="1"/>
  <c r="BF17" i="1"/>
  <c r="BF18" i="1" s="1"/>
  <c r="BG17" i="1"/>
  <c r="BG20" i="1" s="1"/>
  <c r="BH17" i="1"/>
  <c r="BJ17" i="1"/>
  <c r="BK17" i="1"/>
  <c r="BK20" i="1" s="1"/>
  <c r="BM17" i="1"/>
  <c r="BT17" i="1"/>
  <c r="BT18" i="1" s="1"/>
  <c r="CD17" i="1"/>
  <c r="CD18" i="1" s="1"/>
  <c r="S18" i="1"/>
  <c r="W18" i="1"/>
  <c r="Y18" i="1"/>
  <c r="AI18" i="1"/>
  <c r="AV18" i="1"/>
  <c r="BG18" i="1"/>
  <c r="BJ18" i="1"/>
  <c r="S22" i="1"/>
  <c r="S23" i="1" s="1"/>
  <c r="W22" i="1"/>
  <c r="W23" i="1" s="1"/>
  <c r="Y22" i="1"/>
  <c r="AA22" i="1"/>
  <c r="AA23" i="1" s="1"/>
  <c r="AU22" i="1"/>
  <c r="AV22" i="1"/>
  <c r="AV23" i="1" s="1"/>
  <c r="AW22" i="1"/>
  <c r="AW23" i="1" s="1"/>
  <c r="BE22" i="1"/>
  <c r="BF22" i="1"/>
  <c r="BG22" i="1"/>
  <c r="BJ22" i="1"/>
  <c r="Y23" i="1"/>
  <c r="F27" i="1"/>
  <c r="F33" i="1" s="1"/>
  <c r="F36" i="1" s="1"/>
  <c r="K27" i="1"/>
  <c r="P27" i="1"/>
  <c r="U27" i="1"/>
  <c r="Z27" i="1"/>
  <c r="AE30" i="1" s="1"/>
  <c r="AE27" i="1"/>
  <c r="AJ27" i="1"/>
  <c r="AO27" i="1"/>
  <c r="AT27" i="1"/>
  <c r="BD27" i="1"/>
  <c r="BD30" i="1" s="1"/>
  <c r="BI27" i="1"/>
  <c r="BI28" i="1" s="1"/>
  <c r="BN27" i="1"/>
  <c r="CA163" i="2"/>
  <c r="BZ163" i="2"/>
  <c r="BZ159" i="2" s="1"/>
  <c r="CB163" i="2"/>
  <c r="CC163" i="2"/>
  <c r="CC159" i="2"/>
  <c r="G28" i="1"/>
  <c r="H28" i="1"/>
  <c r="I28" i="1"/>
  <c r="J28" i="1"/>
  <c r="L28" i="1"/>
  <c r="L29" i="1" s="1"/>
  <c r="M28" i="1"/>
  <c r="N28" i="1"/>
  <c r="N29" i="1" s="1"/>
  <c r="O28" i="1"/>
  <c r="O29" i="1" s="1"/>
  <c r="Q28" i="1"/>
  <c r="Q29" i="1" s="1"/>
  <c r="R28" i="1"/>
  <c r="R29" i="1" s="1"/>
  <c r="S28" i="1"/>
  <c r="T28" i="1"/>
  <c r="T29" i="1" s="1"/>
  <c r="V28" i="1"/>
  <c r="V29" i="1" s="1"/>
  <c r="W28" i="1"/>
  <c r="X28" i="1"/>
  <c r="Y28" i="1"/>
  <c r="Y29" i="1" s="1"/>
  <c r="AA28" i="1"/>
  <c r="AB28" i="1"/>
  <c r="AC28" i="1"/>
  <c r="AD28" i="1"/>
  <c r="AD29" i="1" s="1"/>
  <c r="AE28" i="1"/>
  <c r="AF28" i="1"/>
  <c r="AG28" i="1"/>
  <c r="AH28" i="1"/>
  <c r="AI28" i="1"/>
  <c r="AK28" i="1"/>
  <c r="AL28" i="1"/>
  <c r="AM28" i="1"/>
  <c r="AM29" i="1" s="1"/>
  <c r="AN28" i="1"/>
  <c r="AU28" i="1"/>
  <c r="AV28" i="1"/>
  <c r="AW28" i="1"/>
  <c r="AX28" i="1"/>
  <c r="AZ28" i="1"/>
  <c r="BA28" i="1"/>
  <c r="BB28" i="1"/>
  <c r="BC28" i="1"/>
  <c r="BC29" i="1" s="1"/>
  <c r="BE28" i="1"/>
  <c r="BF28" i="1"/>
  <c r="BF29" i="1" s="1"/>
  <c r="BG28" i="1"/>
  <c r="BG29" i="1" s="1"/>
  <c r="BH28" i="1"/>
  <c r="BH29" i="1" s="1"/>
  <c r="BJ28" i="1"/>
  <c r="BK28" i="1"/>
  <c r="BK29" i="1" s="1"/>
  <c r="BM28" i="1"/>
  <c r="BT28" i="1"/>
  <c r="CD28" i="1"/>
  <c r="X29" i="1"/>
  <c r="AK29" i="1"/>
  <c r="AZ29" i="1"/>
  <c r="BE29" i="1"/>
  <c r="BJ29" i="1"/>
  <c r="G30" i="1"/>
  <c r="H30" i="1"/>
  <c r="I30" i="1"/>
  <c r="J30" i="1"/>
  <c r="L30" i="1"/>
  <c r="M30" i="1"/>
  <c r="N30" i="1"/>
  <c r="O30" i="1"/>
  <c r="Q30" i="1"/>
  <c r="R30" i="1"/>
  <c r="S30" i="1"/>
  <c r="T30" i="1"/>
  <c r="V30" i="1"/>
  <c r="W30" i="1"/>
  <c r="X30" i="1"/>
  <c r="Y30" i="1"/>
  <c r="AA30" i="1"/>
  <c r="AB30" i="1"/>
  <c r="AC30" i="1"/>
  <c r="AD30" i="1"/>
  <c r="AF30" i="1"/>
  <c r="AG30" i="1"/>
  <c r="AH30" i="1"/>
  <c r="AI30" i="1"/>
  <c r="AK30" i="1"/>
  <c r="AL30" i="1"/>
  <c r="AM30" i="1"/>
  <c r="AN30" i="1"/>
  <c r="AP30" i="1"/>
  <c r="AQ30" i="1"/>
  <c r="AR30" i="1"/>
  <c r="AS30" i="1"/>
  <c r="AU30" i="1"/>
  <c r="AV30" i="1"/>
  <c r="AW30" i="1"/>
  <c r="AX30" i="1"/>
  <c r="AY30" i="1"/>
  <c r="AZ30" i="1"/>
  <c r="BA30" i="1"/>
  <c r="BB30" i="1"/>
  <c r="BC30" i="1"/>
  <c r="BE30" i="1"/>
  <c r="BF30" i="1"/>
  <c r="BG30" i="1"/>
  <c r="BH30" i="1"/>
  <c r="BI30" i="1"/>
  <c r="BJ30" i="1"/>
  <c r="BK30" i="1"/>
  <c r="BL30" i="1"/>
  <c r="BM30" i="1"/>
  <c r="BN30" i="1"/>
  <c r="BO30" i="1"/>
  <c r="BP30" i="1"/>
  <c r="BQ30" i="1"/>
  <c r="BR30" i="1"/>
  <c r="BS30" i="1"/>
  <c r="BT30" i="1"/>
  <c r="BU30" i="1"/>
  <c r="BV30" i="1"/>
  <c r="BW30" i="1"/>
  <c r="BY30" i="1"/>
  <c r="BZ30" i="1"/>
  <c r="CA30" i="1"/>
  <c r="CB30" i="1"/>
  <c r="CD30" i="1"/>
  <c r="K31" i="1"/>
  <c r="P31" i="1"/>
  <c r="P33" i="1" s="1"/>
  <c r="U31" i="1"/>
  <c r="Z31" i="1"/>
  <c r="AE31" i="1"/>
  <c r="AJ31" i="1"/>
  <c r="AJ33" i="1" s="1"/>
  <c r="AO31" i="1"/>
  <c r="AT31" i="1"/>
  <c r="AX31" i="1"/>
  <c r="AX33" i="1" s="1"/>
  <c r="AZ31" i="1"/>
  <c r="BA31" i="1"/>
  <c r="BA33" i="1" s="1"/>
  <c r="BB31" i="1"/>
  <c r="BE31" i="1"/>
  <c r="BE33" i="1" s="1"/>
  <c r="BF31" i="1"/>
  <c r="BF33" i="1" s="1"/>
  <c r="BG31" i="1"/>
  <c r="BJ31" i="1"/>
  <c r="BK31" i="1"/>
  <c r="BL31" i="1"/>
  <c r="BL33" i="1" s="1"/>
  <c r="BO31" i="1"/>
  <c r="BP31" i="1"/>
  <c r="BQ31" i="1"/>
  <c r="BQ33" i="1" s="1"/>
  <c r="BT31" i="1"/>
  <c r="BT102" i="1" s="1"/>
  <c r="BU31" i="1"/>
  <c r="BV31" i="1"/>
  <c r="BV102" i="1" s="1"/>
  <c r="BY31" i="1"/>
  <c r="BY33" i="1" s="1"/>
  <c r="BZ31" i="1"/>
  <c r="BZ33" i="1" s="1"/>
  <c r="CA31" i="1"/>
  <c r="CD31" i="1"/>
  <c r="CE31" i="1"/>
  <c r="CF31" i="1"/>
  <c r="CJ31" i="1"/>
  <c r="CK31" i="1"/>
  <c r="CN31" i="1"/>
  <c r="CO31" i="1"/>
  <c r="CP31" i="1"/>
  <c r="CS31" i="1"/>
  <c r="CT31" i="1"/>
  <c r="CU31" i="1"/>
  <c r="CX31" i="1"/>
  <c r="CY31" i="1"/>
  <c r="CZ31" i="1"/>
  <c r="DC31" i="1"/>
  <c r="DD31" i="1"/>
  <c r="DE31" i="1"/>
  <c r="B33" i="1"/>
  <c r="C33" i="1"/>
  <c r="D33" i="1"/>
  <c r="E33" i="1"/>
  <c r="G33" i="1"/>
  <c r="G34" i="1" s="1"/>
  <c r="H33" i="1"/>
  <c r="H34" i="1" s="1"/>
  <c r="I33" i="1"/>
  <c r="J33" i="1"/>
  <c r="L33" i="1"/>
  <c r="M33" i="1"/>
  <c r="M34" i="1" s="1"/>
  <c r="N33" i="1"/>
  <c r="N34" i="1" s="1"/>
  <c r="O33" i="1"/>
  <c r="O34" i="1" s="1"/>
  <c r="Q33" i="1"/>
  <c r="Q36" i="1" s="1"/>
  <c r="R33" i="1"/>
  <c r="S33" i="1"/>
  <c r="T33" i="1"/>
  <c r="T34" i="1" s="1"/>
  <c r="V33" i="1"/>
  <c r="V36" i="1" s="1"/>
  <c r="W33" i="1"/>
  <c r="X33" i="1"/>
  <c r="Y33" i="1"/>
  <c r="Y34" i="1" s="1"/>
  <c r="Y35" i="1" s="1"/>
  <c r="AA33" i="1"/>
  <c r="AA34" i="1" s="1"/>
  <c r="AB33" i="1"/>
  <c r="AC33" i="1"/>
  <c r="AD33" i="1"/>
  <c r="AF33" i="1"/>
  <c r="AF34" i="1" s="1"/>
  <c r="AG33" i="1"/>
  <c r="AG34" i="1" s="1"/>
  <c r="AH33" i="1"/>
  <c r="AI33" i="1"/>
  <c r="AI34" i="1" s="1"/>
  <c r="AK33" i="1"/>
  <c r="AL33" i="1"/>
  <c r="AM33" i="1"/>
  <c r="AM34" i="1" s="1"/>
  <c r="AN33" i="1"/>
  <c r="AN34" i="1" s="1"/>
  <c r="AP33" i="1"/>
  <c r="AQ33" i="1"/>
  <c r="AR33" i="1"/>
  <c r="AS33" i="1"/>
  <c r="AS36" i="1" s="1"/>
  <c r="AU33" i="1"/>
  <c r="AU34" i="1" s="1"/>
  <c r="AV33" i="1"/>
  <c r="AV36" i="1" s="1"/>
  <c r="AW33" i="1"/>
  <c r="AW36" i="1" s="1"/>
  <c r="CD33" i="1"/>
  <c r="Q34" i="1"/>
  <c r="AV34" i="1"/>
  <c r="BA36" i="1"/>
  <c r="F38" i="1"/>
  <c r="K38" i="1"/>
  <c r="K39" i="1" s="1"/>
  <c r="P38" i="1"/>
  <c r="Q38" i="1"/>
  <c r="R38" i="1"/>
  <c r="S38" i="1"/>
  <c r="S41" i="1" s="1"/>
  <c r="T38" i="1"/>
  <c r="T39" i="1" s="1"/>
  <c r="V38" i="1"/>
  <c r="W38" i="1"/>
  <c r="Z38" i="1" s="1"/>
  <c r="X38" i="1"/>
  <c r="X39" i="1" s="1"/>
  <c r="Y38" i="1"/>
  <c r="AA38" i="1"/>
  <c r="AB38" i="1"/>
  <c r="AE38" i="1" s="1"/>
  <c r="AC38" i="1"/>
  <c r="AD38" i="1"/>
  <c r="AF38" i="1"/>
  <c r="AG38" i="1"/>
  <c r="AH38" i="1"/>
  <c r="AI38" i="1"/>
  <c r="AO38" i="1"/>
  <c r="AT38" i="1"/>
  <c r="AY41" i="1" s="1"/>
  <c r="BD38" i="1"/>
  <c r="BI38" i="1"/>
  <c r="BN38" i="1"/>
  <c r="BS38" i="1"/>
  <c r="BX38" i="1"/>
  <c r="CC38" i="1"/>
  <c r="G39" i="1"/>
  <c r="H39" i="1"/>
  <c r="I39" i="1"/>
  <c r="J39" i="1"/>
  <c r="L39" i="1"/>
  <c r="M39" i="1"/>
  <c r="N39" i="1"/>
  <c r="O39" i="1"/>
  <c r="Q39" i="1"/>
  <c r="Q40" i="1" s="1"/>
  <c r="S39" i="1"/>
  <c r="V39" i="1"/>
  <c r="AC39" i="1"/>
  <c r="AD39" i="1"/>
  <c r="AH39" i="1"/>
  <c r="AK39" i="1"/>
  <c r="AL39" i="1"/>
  <c r="AM39" i="1"/>
  <c r="AN39" i="1"/>
  <c r="AU39" i="1"/>
  <c r="AV39" i="1"/>
  <c r="AW39" i="1"/>
  <c r="AX39" i="1"/>
  <c r="AZ39" i="1"/>
  <c r="BA39" i="1"/>
  <c r="BA40" i="1" s="1"/>
  <c r="BB39" i="1"/>
  <c r="BB40" i="1" s="1"/>
  <c r="BC39" i="1"/>
  <c r="BE39" i="1"/>
  <c r="BF39" i="1"/>
  <c r="BG39" i="1"/>
  <c r="BH39" i="1"/>
  <c r="BJ39" i="1"/>
  <c r="BK39" i="1"/>
  <c r="BK40" i="1" s="1"/>
  <c r="BM39" i="1"/>
  <c r="BT39" i="1"/>
  <c r="CD39" i="1"/>
  <c r="BG40" i="1"/>
  <c r="CN40" i="1"/>
  <c r="CO40" i="1"/>
  <c r="CP40" i="1"/>
  <c r="CS40" i="1"/>
  <c r="CT40" i="1"/>
  <c r="CU40" i="1"/>
  <c r="CX40" i="1"/>
  <c r="CY40" i="1"/>
  <c r="CZ40" i="1"/>
  <c r="DC40" i="1"/>
  <c r="DD40" i="1"/>
  <c r="DE40" i="1"/>
  <c r="G41" i="1"/>
  <c r="H41" i="1"/>
  <c r="I41" i="1"/>
  <c r="J41" i="1"/>
  <c r="L41" i="1"/>
  <c r="M41" i="1"/>
  <c r="N41" i="1"/>
  <c r="O41" i="1"/>
  <c r="T41" i="1"/>
  <c r="V41" i="1"/>
  <c r="X41" i="1"/>
  <c r="AM41" i="1"/>
  <c r="AP41" i="1"/>
  <c r="AQ41" i="1"/>
  <c r="AR41" i="1"/>
  <c r="AS41" i="1"/>
  <c r="AU41" i="1"/>
  <c r="AV41" i="1"/>
  <c r="AW41" i="1"/>
  <c r="AX41" i="1"/>
  <c r="AZ41" i="1"/>
  <c r="BA41" i="1"/>
  <c r="BB41" i="1"/>
  <c r="BC41" i="1"/>
  <c r="BE41" i="1"/>
  <c r="BF41" i="1"/>
  <c r="BG41" i="1"/>
  <c r="BH41" i="1"/>
  <c r="BJ41" i="1"/>
  <c r="BK41" i="1"/>
  <c r="BL41" i="1"/>
  <c r="BM41" i="1"/>
  <c r="BO41" i="1"/>
  <c r="BP41" i="1"/>
  <c r="BQ41" i="1"/>
  <c r="BR41" i="1"/>
  <c r="BT41" i="1"/>
  <c r="BU41" i="1"/>
  <c r="BV41" i="1"/>
  <c r="BW41" i="1"/>
  <c r="BY41" i="1"/>
  <c r="BZ41" i="1"/>
  <c r="CA41" i="1"/>
  <c r="CB41" i="1"/>
  <c r="CD41" i="1"/>
  <c r="F43" i="1"/>
  <c r="K43" i="1"/>
  <c r="K44" i="1" s="1"/>
  <c r="P43" i="1"/>
  <c r="U43" i="1"/>
  <c r="Z43" i="1"/>
  <c r="AE43" i="1"/>
  <c r="AE44" i="1" s="1"/>
  <c r="AJ43" i="1"/>
  <c r="AO43" i="1"/>
  <c r="AT46" i="1" s="1"/>
  <c r="AT43" i="1"/>
  <c r="AY46" i="1" s="1"/>
  <c r="BD43" i="1"/>
  <c r="BI43" i="1"/>
  <c r="BN43" i="1"/>
  <c r="BS43" i="1"/>
  <c r="BX43" i="1"/>
  <c r="CC43" i="1"/>
  <c r="G44" i="1"/>
  <c r="H44" i="1"/>
  <c r="I44" i="1"/>
  <c r="J44" i="1"/>
  <c r="L44" i="1"/>
  <c r="M44" i="1"/>
  <c r="N44" i="1"/>
  <c r="O44" i="1"/>
  <c r="Q44" i="1"/>
  <c r="R44" i="1"/>
  <c r="S44" i="1"/>
  <c r="T44" i="1"/>
  <c r="V44" i="1"/>
  <c r="W44" i="1"/>
  <c r="X44" i="1"/>
  <c r="Y44" i="1"/>
  <c r="AA44" i="1"/>
  <c r="AA45" i="1" s="1"/>
  <c r="AB44" i="1"/>
  <c r="AC44" i="1"/>
  <c r="AC45" i="1" s="1"/>
  <c r="AD44" i="1"/>
  <c r="AF44" i="1"/>
  <c r="AG44" i="1"/>
  <c r="AH44" i="1"/>
  <c r="AH45" i="1" s="1"/>
  <c r="AI44" i="1"/>
  <c r="AK44" i="1"/>
  <c r="AL44" i="1"/>
  <c r="AM44" i="1"/>
  <c r="AN44" i="1"/>
  <c r="AU44" i="1"/>
  <c r="AV44" i="1"/>
  <c r="AW44" i="1"/>
  <c r="AX44" i="1"/>
  <c r="AZ44" i="1"/>
  <c r="AZ45" i="1" s="1"/>
  <c r="BA44" i="1"/>
  <c r="BB44" i="1"/>
  <c r="BB45" i="1" s="1"/>
  <c r="BC44" i="1"/>
  <c r="BC45" i="1" s="1"/>
  <c r="BE44" i="1"/>
  <c r="BF44" i="1"/>
  <c r="BF45" i="1" s="1"/>
  <c r="BG44" i="1"/>
  <c r="BH44" i="1"/>
  <c r="BJ44" i="1"/>
  <c r="BJ45" i="1" s="1"/>
  <c r="BK44" i="1"/>
  <c r="BK45" i="1" s="1"/>
  <c r="BM44" i="1"/>
  <c r="BT44" i="1"/>
  <c r="CD44" i="1"/>
  <c r="CN45" i="1"/>
  <c r="CO45" i="1"/>
  <c r="CP45" i="1"/>
  <c r="CS45" i="1"/>
  <c r="CT45" i="1"/>
  <c r="CU45" i="1"/>
  <c r="CX45" i="1"/>
  <c r="CY45" i="1"/>
  <c r="CZ45" i="1"/>
  <c r="DC45" i="1"/>
  <c r="DD45" i="1"/>
  <c r="DE45" i="1"/>
  <c r="G46" i="1"/>
  <c r="H46" i="1"/>
  <c r="I46" i="1"/>
  <c r="J46" i="1"/>
  <c r="L46" i="1"/>
  <c r="M46" i="1"/>
  <c r="N46" i="1"/>
  <c r="O46" i="1"/>
  <c r="Q46" i="1"/>
  <c r="R46" i="1"/>
  <c r="S46" i="1"/>
  <c r="T46" i="1"/>
  <c r="V46" i="1"/>
  <c r="W46" i="1"/>
  <c r="X46" i="1"/>
  <c r="Y46" i="1"/>
  <c r="AA46" i="1"/>
  <c r="AB46" i="1"/>
  <c r="AC46" i="1"/>
  <c r="AD46" i="1"/>
  <c r="AF46" i="1"/>
  <c r="AG46" i="1"/>
  <c r="AH46" i="1"/>
  <c r="AI46" i="1"/>
  <c r="AK46" i="1"/>
  <c r="AL46" i="1"/>
  <c r="AM46" i="1"/>
  <c r="AN46" i="1"/>
  <c r="AP46" i="1"/>
  <c r="AQ46" i="1"/>
  <c r="AR46" i="1"/>
  <c r="AS46" i="1"/>
  <c r="AU46" i="1"/>
  <c r="AV46" i="1"/>
  <c r="AW46" i="1"/>
  <c r="AX46" i="1"/>
  <c r="AZ46" i="1"/>
  <c r="BA46" i="1"/>
  <c r="BB46" i="1"/>
  <c r="BC46" i="1"/>
  <c r="BE46" i="1"/>
  <c r="BF46" i="1"/>
  <c r="BG46" i="1"/>
  <c r="BH46" i="1"/>
  <c r="BJ46" i="1"/>
  <c r="BK46" i="1"/>
  <c r="BL46" i="1"/>
  <c r="BM46" i="1"/>
  <c r="BO46" i="1"/>
  <c r="BP46" i="1"/>
  <c r="BQ46" i="1"/>
  <c r="BR46" i="1"/>
  <c r="BT46" i="1"/>
  <c r="BU46" i="1"/>
  <c r="BV46" i="1"/>
  <c r="BW46" i="1"/>
  <c r="BY46" i="1"/>
  <c r="BZ46" i="1"/>
  <c r="CA46" i="1"/>
  <c r="CB46" i="1"/>
  <c r="CD46" i="1"/>
  <c r="K48" i="1"/>
  <c r="P48" i="1"/>
  <c r="U48" i="1"/>
  <c r="Z48" i="1"/>
  <c r="AE48" i="1"/>
  <c r="AJ48" i="1"/>
  <c r="AO48" i="1"/>
  <c r="AT48" i="1"/>
  <c r="AY48" i="1"/>
  <c r="BC48" i="1"/>
  <c r="BE48" i="1"/>
  <c r="BF48" i="1"/>
  <c r="BG48" i="1"/>
  <c r="BG50" i="1" s="1"/>
  <c r="BG60" i="1" s="1"/>
  <c r="BG61" i="1" s="1"/>
  <c r="BM48" i="1"/>
  <c r="BM50" i="1" s="1"/>
  <c r="BO48" i="1"/>
  <c r="BP48" i="1"/>
  <c r="BQ48" i="1"/>
  <c r="BQ102" i="1" s="1"/>
  <c r="BY48" i="1"/>
  <c r="BZ48" i="1"/>
  <c r="CA48" i="1"/>
  <c r="CD48" i="1"/>
  <c r="CE48" i="1"/>
  <c r="CF48" i="1"/>
  <c r="CJ48" i="1"/>
  <c r="CK48" i="1"/>
  <c r="CN48" i="1"/>
  <c r="CO48" i="1"/>
  <c r="CP48" i="1"/>
  <c r="CS48" i="1"/>
  <c r="CT48" i="1"/>
  <c r="CU48" i="1"/>
  <c r="CX48" i="1"/>
  <c r="CY48" i="1"/>
  <c r="CY102" i="1" s="1"/>
  <c r="CZ48" i="1"/>
  <c r="DC48" i="1"/>
  <c r="DD48" i="1"/>
  <c r="DE48" i="1"/>
  <c r="J51" i="1"/>
  <c r="K211" i="2" s="1"/>
  <c r="S50" i="1"/>
  <c r="S54" i="1" s="1"/>
  <c r="AC50" i="1"/>
  <c r="AK50" i="1"/>
  <c r="AV50" i="1"/>
  <c r="BB50" i="1"/>
  <c r="BJ50" i="1"/>
  <c r="BJ74" i="1" s="1"/>
  <c r="CD50" i="1"/>
  <c r="F66" i="1"/>
  <c r="K66" i="1"/>
  <c r="P66" i="1"/>
  <c r="Q180" i="2" s="1"/>
  <c r="U66" i="1"/>
  <c r="V180" i="2" s="1"/>
  <c r="Z66" i="1"/>
  <c r="AE66" i="1"/>
  <c r="AJ66" i="1"/>
  <c r="AO66" i="1"/>
  <c r="AO72" i="1" s="1"/>
  <c r="AT66" i="1"/>
  <c r="AU66" i="1"/>
  <c r="AU352" i="1" s="1"/>
  <c r="AV66" i="1"/>
  <c r="BD66" i="1"/>
  <c r="BI66" i="1"/>
  <c r="BI352" i="1" s="1"/>
  <c r="BN66" i="1"/>
  <c r="BO66" i="1"/>
  <c r="BS66" i="1" s="1"/>
  <c r="BX66" i="1"/>
  <c r="CC66" i="1"/>
  <c r="CC352" i="1" s="1"/>
  <c r="CM66" i="1"/>
  <c r="CM352" i="1" s="1"/>
  <c r="CR66" i="1"/>
  <c r="CW66" i="1"/>
  <c r="DB66" i="1"/>
  <c r="DG66" i="1"/>
  <c r="DG352" i="1" s="1"/>
  <c r="BF67" i="1"/>
  <c r="BG67" i="1"/>
  <c r="BH67" i="1"/>
  <c r="BJ67" i="1"/>
  <c r="BK67" i="1"/>
  <c r="BL67" i="1"/>
  <c r="BM67" i="1"/>
  <c r="BO67" i="1"/>
  <c r="BP67" i="1"/>
  <c r="BQ67" i="1"/>
  <c r="BR67" i="1"/>
  <c r="BT67" i="1"/>
  <c r="BU67" i="1"/>
  <c r="BV67" i="1"/>
  <c r="BW67" i="1"/>
  <c r="BY67" i="1"/>
  <c r="BZ67" i="1"/>
  <c r="CA67" i="1"/>
  <c r="CB67" i="1"/>
  <c r="CD67" i="1"/>
  <c r="CE67" i="1"/>
  <c r="CF67" i="1"/>
  <c r="CG67" i="1"/>
  <c r="CI67" i="1"/>
  <c r="CJ67" i="1"/>
  <c r="CK67" i="1"/>
  <c r="CL67" i="1"/>
  <c r="CN67" i="1"/>
  <c r="CO67" i="1"/>
  <c r="CP67" i="1"/>
  <c r="CQ67" i="1"/>
  <c r="CS67" i="1"/>
  <c r="CT67" i="1"/>
  <c r="CU67" i="1"/>
  <c r="CV67" i="1"/>
  <c r="CX67" i="1"/>
  <c r="CY67" i="1"/>
  <c r="CZ67" i="1"/>
  <c r="DA67" i="1"/>
  <c r="DC67" i="1"/>
  <c r="DD67" i="1"/>
  <c r="DE67" i="1"/>
  <c r="DF67" i="1"/>
  <c r="AX68" i="1"/>
  <c r="BF68" i="1"/>
  <c r="BG68" i="1"/>
  <c r="BH68" i="1"/>
  <c r="BJ68" i="1"/>
  <c r="BK68" i="1"/>
  <c r="BL68" i="1"/>
  <c r="BM68" i="1"/>
  <c r="BO68" i="1"/>
  <c r="BP68" i="1"/>
  <c r="BQ68" i="1"/>
  <c r="BR68" i="1"/>
  <c r="BT68" i="1"/>
  <c r="BU68" i="1"/>
  <c r="BV68" i="1"/>
  <c r="BW68" i="1"/>
  <c r="BY68" i="1"/>
  <c r="BZ68" i="1"/>
  <c r="CA68" i="1"/>
  <c r="CB68" i="1"/>
  <c r="CD68" i="1"/>
  <c r="CE68" i="1"/>
  <c r="CF68" i="1"/>
  <c r="CG68" i="1"/>
  <c r="CI68" i="1"/>
  <c r="CJ68" i="1"/>
  <c r="CK68" i="1"/>
  <c r="CL68" i="1"/>
  <c r="CN68" i="1"/>
  <c r="CO68" i="1"/>
  <c r="CP68" i="1"/>
  <c r="CQ68" i="1"/>
  <c r="CS68" i="1"/>
  <c r="CT68" i="1"/>
  <c r="CU68" i="1"/>
  <c r="CV68" i="1"/>
  <c r="CX68" i="1"/>
  <c r="CY68" i="1"/>
  <c r="CZ68" i="1"/>
  <c r="DA68" i="1"/>
  <c r="DC68" i="1"/>
  <c r="DD68" i="1"/>
  <c r="DE68" i="1"/>
  <c r="DF68" i="1"/>
  <c r="AX69" i="1"/>
  <c r="BF69" i="1"/>
  <c r="BG69" i="1"/>
  <c r="BH69" i="1"/>
  <c r="BJ69" i="1"/>
  <c r="BK69" i="1"/>
  <c r="BL69" i="1"/>
  <c r="BM69" i="1"/>
  <c r="BO69" i="1"/>
  <c r="BP69" i="1"/>
  <c r="BQ69" i="1"/>
  <c r="BR69" i="1"/>
  <c r="BT69" i="1"/>
  <c r="BU69" i="1"/>
  <c r="BV69" i="1"/>
  <c r="BW69" i="1"/>
  <c r="BY69" i="1"/>
  <c r="BZ69" i="1"/>
  <c r="CA69" i="1"/>
  <c r="CB69" i="1"/>
  <c r="CD69" i="1"/>
  <c r="CE69" i="1"/>
  <c r="CF69" i="1"/>
  <c r="CG69" i="1"/>
  <c r="CI69" i="1"/>
  <c r="CJ69" i="1"/>
  <c r="CK69" i="1"/>
  <c r="CL69" i="1"/>
  <c r="CN69" i="1"/>
  <c r="CO69" i="1"/>
  <c r="CP69" i="1"/>
  <c r="CQ69" i="1"/>
  <c r="CS69" i="1"/>
  <c r="CT69" i="1"/>
  <c r="CU69" i="1"/>
  <c r="CV69" i="1"/>
  <c r="CX69" i="1"/>
  <c r="CY69" i="1"/>
  <c r="CZ69" i="1"/>
  <c r="DA69" i="1"/>
  <c r="DC69" i="1"/>
  <c r="DD69" i="1"/>
  <c r="DE69" i="1"/>
  <c r="DF69" i="1"/>
  <c r="AX70" i="1"/>
  <c r="BF70" i="1"/>
  <c r="BG70" i="1"/>
  <c r="BH70" i="1"/>
  <c r="BJ70" i="1"/>
  <c r="BK70" i="1"/>
  <c r="BL70" i="1"/>
  <c r="BM70" i="1"/>
  <c r="BO70" i="1"/>
  <c r="BP70" i="1"/>
  <c r="BQ70" i="1"/>
  <c r="BR70" i="1"/>
  <c r="BT70" i="1"/>
  <c r="BU70" i="1"/>
  <c r="BV70" i="1"/>
  <c r="BW70" i="1"/>
  <c r="BY70" i="1"/>
  <c r="BZ70" i="1"/>
  <c r="CA70" i="1"/>
  <c r="CB70" i="1"/>
  <c r="CD70" i="1"/>
  <c r="CE70" i="1"/>
  <c r="CF70" i="1"/>
  <c r="CG70" i="1"/>
  <c r="CI70" i="1"/>
  <c r="CJ70" i="1"/>
  <c r="CK70" i="1"/>
  <c r="CL70" i="1"/>
  <c r="CN70" i="1"/>
  <c r="CO70" i="1"/>
  <c r="CP70" i="1"/>
  <c r="CQ70" i="1"/>
  <c r="CS70" i="1"/>
  <c r="CT70" i="1"/>
  <c r="CU70" i="1"/>
  <c r="CV70" i="1"/>
  <c r="CX70" i="1"/>
  <c r="CY70" i="1"/>
  <c r="CZ70" i="1"/>
  <c r="DA70" i="1"/>
  <c r="DC70" i="1"/>
  <c r="DD70" i="1"/>
  <c r="DE70" i="1"/>
  <c r="DF70" i="1"/>
  <c r="BJ72" i="1"/>
  <c r="BK72" i="1"/>
  <c r="BL72" i="1"/>
  <c r="BO72" i="1"/>
  <c r="BP72" i="1"/>
  <c r="BQ72" i="1"/>
  <c r="BR72" i="1"/>
  <c r="BT72" i="1"/>
  <c r="BU72" i="1"/>
  <c r="BV72" i="1"/>
  <c r="BW72" i="1"/>
  <c r="BY72" i="1"/>
  <c r="BZ72" i="1"/>
  <c r="CA72" i="1"/>
  <c r="CB72" i="1"/>
  <c r="CD72" i="1"/>
  <c r="CE72" i="1"/>
  <c r="CF72" i="1"/>
  <c r="CG72" i="1"/>
  <c r="CI72" i="1"/>
  <c r="CJ72" i="1"/>
  <c r="CK72" i="1"/>
  <c r="CL72" i="1"/>
  <c r="CN72" i="1"/>
  <c r="CO72" i="1"/>
  <c r="CP72" i="1"/>
  <c r="CQ72" i="1"/>
  <c r="CS72" i="1"/>
  <c r="CT72" i="1"/>
  <c r="CU72" i="1"/>
  <c r="CV72" i="1"/>
  <c r="CX72" i="1"/>
  <c r="CY72" i="1"/>
  <c r="CZ72" i="1"/>
  <c r="DA72" i="1"/>
  <c r="DC72" i="1"/>
  <c r="DD72" i="1"/>
  <c r="DE72" i="1"/>
  <c r="DF72" i="1"/>
  <c r="AK74" i="1"/>
  <c r="F76" i="1"/>
  <c r="K76" i="1"/>
  <c r="P76" i="1"/>
  <c r="U76" i="1"/>
  <c r="Z76" i="1"/>
  <c r="AE76" i="1"/>
  <c r="AJ76" i="1"/>
  <c r="AL76" i="1"/>
  <c r="AO76" i="1" s="1"/>
  <c r="AT76" i="1"/>
  <c r="BL76" i="1"/>
  <c r="BS76" i="1"/>
  <c r="BX76" i="1"/>
  <c r="CC76" i="1"/>
  <c r="BC77" i="1"/>
  <c r="BF77" i="1"/>
  <c r="BG77" i="1"/>
  <c r="BH77" i="1"/>
  <c r="BM77" i="1"/>
  <c r="CN77" i="1"/>
  <c r="CN250" i="1" s="1"/>
  <c r="CO77" i="1"/>
  <c r="CO250" i="1" s="1"/>
  <c r="CP77" i="1"/>
  <c r="CW77" i="1"/>
  <c r="F84" i="1"/>
  <c r="K84" i="1"/>
  <c r="P84" i="1"/>
  <c r="U84" i="1"/>
  <c r="Z84" i="1"/>
  <c r="AE84" i="1"/>
  <c r="AJ84" i="1"/>
  <c r="AO84" i="1"/>
  <c r="AT84" i="1"/>
  <c r="AY84" i="1"/>
  <c r="BD84" i="1"/>
  <c r="BE84" i="1"/>
  <c r="BF84" i="1"/>
  <c r="BG84" i="1"/>
  <c r="BJ84" i="1"/>
  <c r="BK84" i="1"/>
  <c r="BL84" i="1"/>
  <c r="BS84" i="1"/>
  <c r="BX84" i="1"/>
  <c r="BY84" i="1"/>
  <c r="BZ84" i="1"/>
  <c r="CA84" i="1"/>
  <c r="CD84" i="1"/>
  <c r="CE84" i="1"/>
  <c r="CF84" i="1"/>
  <c r="CS84" i="1"/>
  <c r="CT84" i="1"/>
  <c r="CU84" i="1"/>
  <c r="CX84" i="1"/>
  <c r="CY84" i="1"/>
  <c r="CZ84" i="1"/>
  <c r="DC84" i="1"/>
  <c r="DD84" i="1"/>
  <c r="DE84" i="1"/>
  <c r="G102" i="1"/>
  <c r="H102" i="1"/>
  <c r="H103" i="1" s="1"/>
  <c r="H106" i="1" s="1"/>
  <c r="I102" i="1"/>
  <c r="J102" i="1"/>
  <c r="J103" i="1" s="1"/>
  <c r="J106" i="1" s="1"/>
  <c r="L102" i="1"/>
  <c r="L103" i="1" s="1"/>
  <c r="L106" i="1" s="1"/>
  <c r="M102" i="1"/>
  <c r="N102" i="1"/>
  <c r="O102" i="1"/>
  <c r="O103" i="1" s="1"/>
  <c r="O106" i="1" s="1"/>
  <c r="U102" i="1"/>
  <c r="Z102" i="1"/>
  <c r="AE102" i="1"/>
  <c r="AJ102" i="1"/>
  <c r="AO102" i="1"/>
  <c r="AT102" i="1"/>
  <c r="AX102" i="1"/>
  <c r="AY102" i="1" s="1"/>
  <c r="BA102" i="1"/>
  <c r="BL102" i="1"/>
  <c r="BO102" i="1"/>
  <c r="DC102" i="1"/>
  <c r="Q103" i="1"/>
  <c r="R103" i="1"/>
  <c r="R106" i="1" s="1"/>
  <c r="S103" i="1"/>
  <c r="S106" i="1" s="1"/>
  <c r="T103" i="1"/>
  <c r="T106" i="1" s="1"/>
  <c r="V103" i="1"/>
  <c r="W103" i="1"/>
  <c r="W106" i="1" s="1"/>
  <c r="X103" i="1"/>
  <c r="X106" i="1"/>
  <c r="Y103" i="1"/>
  <c r="Y106" i="1" s="1"/>
  <c r="AA103" i="1"/>
  <c r="AA106" i="1" s="1"/>
  <c r="AB103" i="1"/>
  <c r="AC103" i="1"/>
  <c r="AC106" i="1" s="1"/>
  <c r="AD103" i="1"/>
  <c r="AF103" i="1"/>
  <c r="AF106" i="1" s="1"/>
  <c r="AG103" i="1"/>
  <c r="AH103" i="1"/>
  <c r="AH106" i="1" s="1"/>
  <c r="K104" i="1"/>
  <c r="P104" i="1"/>
  <c r="U104" i="1"/>
  <c r="Z104" i="1"/>
  <c r="AE104" i="1"/>
  <c r="AJ104" i="1"/>
  <c r="AQ104" i="1"/>
  <c r="AY104" i="1"/>
  <c r="BD104" i="1"/>
  <c r="BI104" i="1"/>
  <c r="BN104" i="1"/>
  <c r="BS104" i="1"/>
  <c r="BX104" i="1"/>
  <c r="CC104" i="1"/>
  <c r="CH104" i="1"/>
  <c r="CM104" i="1"/>
  <c r="CR104" i="1"/>
  <c r="CW104" i="1"/>
  <c r="DB104" i="1"/>
  <c r="DG104" i="1"/>
  <c r="K105" i="1"/>
  <c r="P105" i="1"/>
  <c r="U105" i="1"/>
  <c r="Z105" i="1"/>
  <c r="AE105" i="1"/>
  <c r="AJ105" i="1"/>
  <c r="AQ105" i="1"/>
  <c r="AR105" i="1"/>
  <c r="AW105" i="1"/>
  <c r="AX105" i="1"/>
  <c r="BA105" i="1"/>
  <c r="BI105" i="1"/>
  <c r="BN105" i="1"/>
  <c r="BS105" i="1"/>
  <c r="BX105" i="1"/>
  <c r="CC105" i="1"/>
  <c r="CH105" i="1"/>
  <c r="CM105" i="1"/>
  <c r="CR105" i="1"/>
  <c r="CW105" i="1"/>
  <c r="DB105" i="1"/>
  <c r="DG105" i="1"/>
  <c r="AG106" i="1"/>
  <c r="K108" i="1"/>
  <c r="P108" i="1"/>
  <c r="U108" i="1"/>
  <c r="Z108" i="1"/>
  <c r="AE108" i="1"/>
  <c r="AJ108" i="1"/>
  <c r="AO108" i="1"/>
  <c r="AT108" i="1"/>
  <c r="AY108" i="1"/>
  <c r="BB108" i="1"/>
  <c r="BN108" i="1"/>
  <c r="BO108" i="1"/>
  <c r="BP108" i="1" s="1"/>
  <c r="BR108" i="1" s="1"/>
  <c r="C114" i="1"/>
  <c r="D114" i="1"/>
  <c r="E114" i="1"/>
  <c r="F114" i="1"/>
  <c r="G114" i="1"/>
  <c r="H114" i="1"/>
  <c r="I114" i="1"/>
  <c r="J114" i="1"/>
  <c r="K114" i="1"/>
  <c r="L114" i="1"/>
  <c r="M114" i="1"/>
  <c r="N114" i="1"/>
  <c r="O114" i="1"/>
  <c r="Q114" i="1"/>
  <c r="R114" i="1"/>
  <c r="S114" i="1"/>
  <c r="T114" i="1"/>
  <c r="V114" i="1"/>
  <c r="W114" i="1"/>
  <c r="X114" i="1"/>
  <c r="Y114" i="1"/>
  <c r="AA114" i="1"/>
  <c r="AB114" i="1"/>
  <c r="AC114" i="1"/>
  <c r="AD114" i="1"/>
  <c r="AF114" i="1"/>
  <c r="AG114" i="1"/>
  <c r="AH114" i="1"/>
  <c r="AI114" i="1"/>
  <c r="AK114" i="1"/>
  <c r="AL114" i="1"/>
  <c r="AM114" i="1"/>
  <c r="AN114" i="1"/>
  <c r="AP114" i="1"/>
  <c r="AQ114" i="1"/>
  <c r="AR114" i="1"/>
  <c r="AS114" i="1"/>
  <c r="AU114" i="1"/>
  <c r="AV114" i="1"/>
  <c r="AW114" i="1"/>
  <c r="AX114" i="1"/>
  <c r="AZ114" i="1"/>
  <c r="BA114" i="1"/>
  <c r="BB114" i="1"/>
  <c r="BC114" i="1"/>
  <c r="BE114" i="1"/>
  <c r="BH114" i="1"/>
  <c r="BJ114" i="1"/>
  <c r="BK114" i="1"/>
  <c r="BL114" i="1"/>
  <c r="BM114" i="1"/>
  <c r="BP114" i="1"/>
  <c r="BV114" i="1"/>
  <c r="BW114" i="1"/>
  <c r="BY114" i="1"/>
  <c r="BZ114" i="1"/>
  <c r="CA114" i="1"/>
  <c r="CB114" i="1"/>
  <c r="G116" i="1"/>
  <c r="H116" i="1"/>
  <c r="I116" i="1"/>
  <c r="J116" i="1"/>
  <c r="L116" i="1"/>
  <c r="M116" i="1"/>
  <c r="N116" i="1"/>
  <c r="O116" i="1"/>
  <c r="Q116" i="1"/>
  <c r="R116" i="1"/>
  <c r="S116" i="1"/>
  <c r="T116" i="1"/>
  <c r="V116" i="1"/>
  <c r="W116" i="1"/>
  <c r="X116" i="1"/>
  <c r="Y116" i="1"/>
  <c r="AA116" i="1"/>
  <c r="AB116" i="1"/>
  <c r="AC116" i="1"/>
  <c r="AD116" i="1"/>
  <c r="AF116" i="1"/>
  <c r="AG116" i="1"/>
  <c r="AH116" i="1"/>
  <c r="AI116" i="1"/>
  <c r="AK116" i="1"/>
  <c r="AL116" i="1"/>
  <c r="AM116" i="1"/>
  <c r="AN116" i="1"/>
  <c r="AP116" i="1"/>
  <c r="AQ116" i="1"/>
  <c r="AR116" i="1"/>
  <c r="AS116" i="1"/>
  <c r="AU116" i="1"/>
  <c r="AV116" i="1"/>
  <c r="AW116" i="1"/>
  <c r="AX116" i="1"/>
  <c r="AZ116" i="1"/>
  <c r="BA116" i="1"/>
  <c r="BB116" i="1"/>
  <c r="BC116" i="1"/>
  <c r="BC115" i="1" s="1"/>
  <c r="BE116" i="1"/>
  <c r="BF116" i="1"/>
  <c r="BG116" i="1"/>
  <c r="BG115" i="1" s="1"/>
  <c r="BI116" i="1"/>
  <c r="BJ116" i="1"/>
  <c r="BK116" i="1"/>
  <c r="BM116" i="1"/>
  <c r="BO116" i="1"/>
  <c r="BP116" i="1"/>
  <c r="BQ116" i="1"/>
  <c r="BS116" i="1"/>
  <c r="BT116" i="1"/>
  <c r="BU116" i="1"/>
  <c r="BV116" i="1"/>
  <c r="BX116" i="1"/>
  <c r="BY116" i="1"/>
  <c r="BY115" i="1" s="1"/>
  <c r="BZ116" i="1"/>
  <c r="CA116" i="1"/>
  <c r="CC116" i="1"/>
  <c r="CH116" i="1"/>
  <c r="CM116" i="1"/>
  <c r="K117" i="1"/>
  <c r="P117" i="1"/>
  <c r="U114" i="1" s="1"/>
  <c r="U117" i="1"/>
  <c r="Z114" i="1" s="1"/>
  <c r="Z117" i="1"/>
  <c r="AE114" i="1" s="1"/>
  <c r="AE117" i="1"/>
  <c r="AJ117" i="1"/>
  <c r="AO114" i="1" s="1"/>
  <c r="AO117" i="1"/>
  <c r="AT114" i="1" s="1"/>
  <c r="AT117" i="1"/>
  <c r="AY114" i="1" s="1"/>
  <c r="AY117" i="1"/>
  <c r="BD114" i="1" s="1"/>
  <c r="BD117" i="1"/>
  <c r="BI114" i="1" s="1"/>
  <c r="BI117" i="1"/>
  <c r="BN114" i="1" s="1"/>
  <c r="BN117" i="1"/>
  <c r="BO114" i="1" s="1"/>
  <c r="BP117" i="1"/>
  <c r="BQ117" i="1"/>
  <c r="BR114" i="1" s="1"/>
  <c r="BR117" i="1"/>
  <c r="BT117" i="1"/>
  <c r="BU114" i="1" s="1"/>
  <c r="BX117" i="1"/>
  <c r="CC114" i="1" s="1"/>
  <c r="G118" i="1"/>
  <c r="H118" i="1"/>
  <c r="I118" i="1"/>
  <c r="J118" i="1"/>
  <c r="K118" i="1"/>
  <c r="L118" i="1"/>
  <c r="M118" i="1"/>
  <c r="N118" i="1"/>
  <c r="O118" i="1"/>
  <c r="P118" i="1"/>
  <c r="Q118" i="1"/>
  <c r="R118" i="1"/>
  <c r="S118" i="1"/>
  <c r="T118" i="1"/>
  <c r="U118" i="1"/>
  <c r="V118" i="1"/>
  <c r="W118" i="1"/>
  <c r="X118" i="1"/>
  <c r="Y118" i="1"/>
  <c r="Z118" i="1"/>
  <c r="AA118" i="1"/>
  <c r="AB118" i="1"/>
  <c r="AB119" i="1" s="1"/>
  <c r="AC118" i="1"/>
  <c r="AD118" i="1"/>
  <c r="AE118" i="1"/>
  <c r="AF118" i="1"/>
  <c r="AG118" i="1"/>
  <c r="AH118" i="1"/>
  <c r="AI118" i="1"/>
  <c r="AJ118" i="1"/>
  <c r="AK118" i="1"/>
  <c r="AL118" i="1"/>
  <c r="AM118" i="1"/>
  <c r="AN118" i="1"/>
  <c r="AN119" i="1" s="1"/>
  <c r="AO118" i="1"/>
  <c r="AP118" i="1"/>
  <c r="AQ118" i="1"/>
  <c r="AR118" i="1"/>
  <c r="AR119" i="1" s="1"/>
  <c r="AS118" i="1"/>
  <c r="AT118" i="1"/>
  <c r="AU118" i="1"/>
  <c r="AV118" i="1"/>
  <c r="AW118" i="1"/>
  <c r="AX118" i="1"/>
  <c r="AZ118" i="1"/>
  <c r="BA118" i="1"/>
  <c r="BB118" i="1"/>
  <c r="BC118" i="1"/>
  <c r="BE118" i="1"/>
  <c r="BF118" i="1"/>
  <c r="BG118" i="1"/>
  <c r="BH118" i="1"/>
  <c r="BJ118" i="1"/>
  <c r="BK118" i="1"/>
  <c r="BL118" i="1"/>
  <c r="BM118" i="1"/>
  <c r="BO118" i="1"/>
  <c r="BP118" i="1"/>
  <c r="BQ118" i="1"/>
  <c r="BR118" i="1"/>
  <c r="BT118" i="1"/>
  <c r="BU118" i="1"/>
  <c r="BV118" i="1"/>
  <c r="BW118" i="1"/>
  <c r="BY118" i="1"/>
  <c r="BZ118" i="1"/>
  <c r="CA118" i="1"/>
  <c r="CB118" i="1"/>
  <c r="CD118" i="1"/>
  <c r="CH118" i="1" s="1"/>
  <c r="B119" i="1"/>
  <c r="C119" i="1"/>
  <c r="D119" i="1"/>
  <c r="E119" i="1"/>
  <c r="F119" i="1"/>
  <c r="G120" i="1"/>
  <c r="H120" i="1"/>
  <c r="I120" i="1"/>
  <c r="J120" i="1"/>
  <c r="K120" i="1"/>
  <c r="L120" i="1"/>
  <c r="M120" i="1"/>
  <c r="N120" i="1"/>
  <c r="O120" i="1"/>
  <c r="P120" i="1"/>
  <c r="Q120" i="1"/>
  <c r="R120" i="1"/>
  <c r="S120" i="1"/>
  <c r="T120" i="1"/>
  <c r="U120" i="1"/>
  <c r="V120" i="1"/>
  <c r="W120" i="1"/>
  <c r="X120" i="1"/>
  <c r="Y120" i="1"/>
  <c r="Z120" i="1"/>
  <c r="AA120" i="1"/>
  <c r="AB120" i="1"/>
  <c r="AC120" i="1"/>
  <c r="AD120" i="1"/>
  <c r="AE120" i="1"/>
  <c r="AF120" i="1"/>
  <c r="AG120" i="1"/>
  <c r="AH120" i="1"/>
  <c r="AI120" i="1"/>
  <c r="AJ120" i="1"/>
  <c r="AK120" i="1"/>
  <c r="AL120" i="1"/>
  <c r="AM120" i="1"/>
  <c r="AN120" i="1"/>
  <c r="AO120" i="1"/>
  <c r="AP120" i="1"/>
  <c r="AQ120" i="1"/>
  <c r="AR120" i="1"/>
  <c r="AS120" i="1"/>
  <c r="AT120" i="1"/>
  <c r="AU120" i="1"/>
  <c r="AV120" i="1"/>
  <c r="AW120" i="1"/>
  <c r="AX120" i="1"/>
  <c r="AZ120" i="1"/>
  <c r="BA120" i="1"/>
  <c r="BB120" i="1"/>
  <c r="BC120" i="1"/>
  <c r="BE120" i="1"/>
  <c r="BF120" i="1"/>
  <c r="BG120" i="1"/>
  <c r="BH120" i="1"/>
  <c r="BJ120" i="1"/>
  <c r="BK120" i="1"/>
  <c r="BL120" i="1"/>
  <c r="BM120" i="1"/>
  <c r="BM119" i="1" s="1"/>
  <c r="BO120" i="1"/>
  <c r="BP120" i="1"/>
  <c r="BQ120" i="1"/>
  <c r="BQ358" i="1" s="1"/>
  <c r="BR120" i="1"/>
  <c r="BR119" i="1" s="1"/>
  <c r="BT120" i="1"/>
  <c r="BU120" i="1"/>
  <c r="BV120" i="1"/>
  <c r="BW120" i="1"/>
  <c r="BW119" i="1" s="1"/>
  <c r="BY120" i="1"/>
  <c r="BZ120" i="1"/>
  <c r="BZ358" i="1" s="1"/>
  <c r="CA120" i="1"/>
  <c r="CB120" i="1"/>
  <c r="CD120" i="1"/>
  <c r="K123" i="1"/>
  <c r="K116" i="1" s="1"/>
  <c r="P123" i="1"/>
  <c r="P116" i="1" s="1"/>
  <c r="U123" i="1"/>
  <c r="U116" i="1" s="1"/>
  <c r="Z123" i="1"/>
  <c r="Z116" i="1" s="1"/>
  <c r="AE123" i="1"/>
  <c r="AE116" i="1" s="1"/>
  <c r="AJ123" i="1"/>
  <c r="AJ116" i="1" s="1"/>
  <c r="AO123" i="1"/>
  <c r="AO116" i="1" s="1"/>
  <c r="AT123" i="1"/>
  <c r="AT116" i="1" s="1"/>
  <c r="AY123" i="1"/>
  <c r="AY116" i="1" s="1"/>
  <c r="BD123" i="1"/>
  <c r="BD116" i="1" s="1"/>
  <c r="BH123" i="1"/>
  <c r="BH116" i="1" s="1"/>
  <c r="BH115" i="1" s="1"/>
  <c r="BL123" i="1"/>
  <c r="BR123" i="1"/>
  <c r="BR116" i="1" s="1"/>
  <c r="BW123" i="1"/>
  <c r="BW116" i="1" s="1"/>
  <c r="CB123" i="1"/>
  <c r="CD116" i="1"/>
  <c r="CE116" i="1"/>
  <c r="CF116" i="1"/>
  <c r="CJ116" i="1"/>
  <c r="CK116" i="1"/>
  <c r="CR123" i="1"/>
  <c r="AX124" i="1"/>
  <c r="AZ124" i="1"/>
  <c r="BA124" i="1"/>
  <c r="BB124" i="1"/>
  <c r="BC124" i="1"/>
  <c r="BE124" i="1"/>
  <c r="BF124" i="1"/>
  <c r="BI124" i="1"/>
  <c r="G125" i="1"/>
  <c r="G124" i="1" s="1"/>
  <c r="K125" i="1"/>
  <c r="L125" i="1"/>
  <c r="L124" i="1" s="1"/>
  <c r="P125" i="1"/>
  <c r="Q125" i="1"/>
  <c r="Q124" i="1" s="1"/>
  <c r="V125" i="1"/>
  <c r="V124" i="1" s="1"/>
  <c r="Y125" i="1"/>
  <c r="Y124" i="1" s="1"/>
  <c r="AA125" i="1"/>
  <c r="AA124" i="1" s="1"/>
  <c r="AF125" i="1"/>
  <c r="AF124" i="1" s="1"/>
  <c r="AJ125" i="1"/>
  <c r="AK125" i="1"/>
  <c r="AK124" i="1" s="1"/>
  <c r="AO125" i="1"/>
  <c r="AP125" i="1"/>
  <c r="AP124" i="1" s="1"/>
  <c r="AU125" i="1"/>
  <c r="AU124" i="1" s="1"/>
  <c r="BD125" i="1"/>
  <c r="BG125" i="1"/>
  <c r="BH125" i="1" s="1"/>
  <c r="BJ125" i="1"/>
  <c r="BJ190" i="1" s="1"/>
  <c r="BK125" i="1"/>
  <c r="BK190" i="1" s="1"/>
  <c r="BO125" i="1"/>
  <c r="BO124" i="1" s="1"/>
  <c r="BT125" i="1"/>
  <c r="BT124" i="1" s="1"/>
  <c r="BY125" i="1"/>
  <c r="AK128" i="1"/>
  <c r="AL128" i="1"/>
  <c r="AM128" i="1"/>
  <c r="AN128" i="1"/>
  <c r="AO128" i="1"/>
  <c r="AP128" i="1"/>
  <c r="AQ128" i="1"/>
  <c r="AR128" i="1"/>
  <c r="AS128" i="1"/>
  <c r="AT128" i="1"/>
  <c r="AU128" i="1"/>
  <c r="AV128" i="1"/>
  <c r="AW128" i="1"/>
  <c r="AX128" i="1"/>
  <c r="AY128" i="1"/>
  <c r="AZ128" i="1"/>
  <c r="BA128" i="1"/>
  <c r="BB128" i="1"/>
  <c r="BC128" i="1"/>
  <c r="BD128" i="1"/>
  <c r="BE128" i="1"/>
  <c r="BF128" i="1"/>
  <c r="BG128" i="1"/>
  <c r="BH128" i="1"/>
  <c r="BI128" i="1"/>
  <c r="BJ128" i="1"/>
  <c r="BK128" i="1"/>
  <c r="BL128" i="1"/>
  <c r="BM128" i="1"/>
  <c r="BN128" i="1"/>
  <c r="BO128" i="1"/>
  <c r="BP128" i="1"/>
  <c r="BQ128" i="1"/>
  <c r="BR128" i="1"/>
  <c r="BS128" i="1"/>
  <c r="BT128" i="1"/>
  <c r="BU128" i="1"/>
  <c r="BV128" i="1"/>
  <c r="BW128" i="1"/>
  <c r="BX128" i="1"/>
  <c r="BY128" i="1"/>
  <c r="BZ128" i="1"/>
  <c r="CA128" i="1"/>
  <c r="CB128" i="1"/>
  <c r="CC128" i="1"/>
  <c r="CD128" i="1"/>
  <c r="CE128" i="1"/>
  <c r="CF128" i="1"/>
  <c r="CG128" i="1"/>
  <c r="CH128" i="1"/>
  <c r="CI128" i="1"/>
  <c r="CJ128" i="1"/>
  <c r="CK128" i="1"/>
  <c r="CL128" i="1"/>
  <c r="CM128" i="1"/>
  <c r="CN128" i="1"/>
  <c r="CO128" i="1"/>
  <c r="CP128" i="1"/>
  <c r="CQ128" i="1"/>
  <c r="CR128" i="1"/>
  <c r="CS128" i="1"/>
  <c r="CT128" i="1"/>
  <c r="CU128" i="1"/>
  <c r="CV128" i="1"/>
  <c r="CW128" i="1"/>
  <c r="CX128" i="1"/>
  <c r="CY128" i="1"/>
  <c r="CZ128" i="1"/>
  <c r="DA128" i="1"/>
  <c r="DB128" i="1"/>
  <c r="DC128" i="1"/>
  <c r="DD128" i="1"/>
  <c r="DE128" i="1"/>
  <c r="DF128" i="1"/>
  <c r="DG128" i="1"/>
  <c r="K131" i="1"/>
  <c r="P131" i="1"/>
  <c r="U131" i="1"/>
  <c r="Z131" i="1"/>
  <c r="AE131" i="1"/>
  <c r="AJ131" i="1"/>
  <c r="AO131" i="1"/>
  <c r="AT131" i="1"/>
  <c r="AY131" i="1"/>
  <c r="BD131" i="1"/>
  <c r="BI131" i="1"/>
  <c r="BN131" i="1"/>
  <c r="F132" i="1"/>
  <c r="K132" i="1"/>
  <c r="K199" i="1" s="1"/>
  <c r="P132" i="1"/>
  <c r="U132" i="1"/>
  <c r="Z132" i="1"/>
  <c r="AE132" i="1"/>
  <c r="AJ132" i="1"/>
  <c r="AO132" i="1"/>
  <c r="AT132" i="1"/>
  <c r="AY132" i="1"/>
  <c r="BD132" i="1"/>
  <c r="BI132" i="1"/>
  <c r="BN132" i="1"/>
  <c r="BS132" i="1"/>
  <c r="BX132" i="1"/>
  <c r="CC132" i="1"/>
  <c r="CK132" i="1"/>
  <c r="CL132" i="1" s="1"/>
  <c r="F133" i="1"/>
  <c r="K214" i="1" s="1"/>
  <c r="K133" i="1"/>
  <c r="L213" i="1" s="1"/>
  <c r="L257" i="1" s="1"/>
  <c r="P133" i="1"/>
  <c r="U133" i="1"/>
  <c r="Z133" i="1"/>
  <c r="AE214" i="1" s="1"/>
  <c r="AE133" i="1"/>
  <c r="AJ133" i="1"/>
  <c r="AK175" i="1" s="1"/>
  <c r="AO133" i="1"/>
  <c r="AP175" i="1" s="1"/>
  <c r="AT133" i="1"/>
  <c r="AU175" i="1" s="1"/>
  <c r="AY133" i="1"/>
  <c r="BD133" i="1"/>
  <c r="BE213" i="1" s="1"/>
  <c r="BI133" i="1"/>
  <c r="BN133" i="1"/>
  <c r="BO175" i="1" s="1"/>
  <c r="BS133" i="1"/>
  <c r="BT213" i="1" s="1"/>
  <c r="BX133" i="1"/>
  <c r="CC133" i="1"/>
  <c r="CD213" i="1" s="1"/>
  <c r="CD257" i="1" s="1"/>
  <c r="F134" i="1"/>
  <c r="K134" i="1"/>
  <c r="P134" i="1"/>
  <c r="U134" i="1"/>
  <c r="Z134" i="1"/>
  <c r="AA176" i="1" s="1"/>
  <c r="AE134" i="1"/>
  <c r="AJ134" i="1"/>
  <c r="AK176" i="1" s="1"/>
  <c r="AO134" i="1"/>
  <c r="AT134" i="1"/>
  <c r="AU176" i="1" s="1"/>
  <c r="AY134" i="1"/>
  <c r="BD134" i="1"/>
  <c r="BI134" i="1"/>
  <c r="BJ216" i="1" s="1"/>
  <c r="BN134" i="1"/>
  <c r="BS215" i="1" s="1"/>
  <c r="BS134" i="1"/>
  <c r="BT216" i="1" s="1"/>
  <c r="BX134" i="1"/>
  <c r="CC134" i="1"/>
  <c r="CD176" i="1" s="1"/>
  <c r="B135" i="1"/>
  <c r="B137" i="1" s="1"/>
  <c r="C135" i="1"/>
  <c r="C137" i="1" s="1"/>
  <c r="F135" i="1"/>
  <c r="K217" i="1" s="1"/>
  <c r="K135" i="1"/>
  <c r="L177" i="1" s="1"/>
  <c r="P135" i="1"/>
  <c r="Q177" i="1" s="1"/>
  <c r="U135" i="1"/>
  <c r="V177" i="1" s="1"/>
  <c r="W135" i="1"/>
  <c r="Z135" i="1"/>
  <c r="AA177" i="1" s="1"/>
  <c r="AE135" i="1"/>
  <c r="AJ135" i="1"/>
  <c r="AK177" i="1" s="1"/>
  <c r="AO135" i="1"/>
  <c r="AT135" i="1"/>
  <c r="AU177" i="1" s="1"/>
  <c r="AY135" i="1"/>
  <c r="BD135" i="1"/>
  <c r="BE177" i="1" s="1"/>
  <c r="BI135" i="1"/>
  <c r="BN135" i="1"/>
  <c r="BO177" i="1" s="1"/>
  <c r="BS135" i="1"/>
  <c r="BT177" i="1" s="1"/>
  <c r="BX135" i="1"/>
  <c r="CC135" i="1"/>
  <c r="F136" i="1"/>
  <c r="K136" i="1"/>
  <c r="P136" i="1"/>
  <c r="U136" i="1"/>
  <c r="X136" i="1"/>
  <c r="AE136" i="1"/>
  <c r="AJ136" i="1"/>
  <c r="AO136" i="1"/>
  <c r="AT136" i="1"/>
  <c r="AY136" i="1"/>
  <c r="BB136" i="1"/>
  <c r="BC136" i="1" s="1"/>
  <c r="BC137" i="1" s="1"/>
  <c r="BL136" i="1"/>
  <c r="BM136" i="1" s="1"/>
  <c r="BQ136" i="1"/>
  <c r="BR136" i="1" s="1"/>
  <c r="BS136" i="1" s="1"/>
  <c r="BT136" i="1" s="1"/>
  <c r="BU136" i="1" s="1"/>
  <c r="D137" i="1"/>
  <c r="E137" i="1"/>
  <c r="G137" i="1"/>
  <c r="G142" i="1" s="1"/>
  <c r="G283" i="1" s="1"/>
  <c r="H137" i="1"/>
  <c r="I137" i="1"/>
  <c r="J137" i="1"/>
  <c r="J142" i="1" s="1"/>
  <c r="J283" i="1" s="1"/>
  <c r="L137" i="1"/>
  <c r="L142" i="1" s="1"/>
  <c r="L283" i="1" s="1"/>
  <c r="M137" i="1"/>
  <c r="N137" i="1"/>
  <c r="O137" i="1"/>
  <c r="Q137" i="1"/>
  <c r="R137" i="1"/>
  <c r="S137" i="1"/>
  <c r="T137" i="1"/>
  <c r="V137" i="1"/>
  <c r="AA137" i="1"/>
  <c r="AB137" i="1"/>
  <c r="AC137" i="1"/>
  <c r="AD137" i="1"/>
  <c r="AF137" i="1"/>
  <c r="AG137" i="1"/>
  <c r="AH137" i="1"/>
  <c r="AI137" i="1"/>
  <c r="AK137" i="1"/>
  <c r="AL137" i="1"/>
  <c r="AM137" i="1"/>
  <c r="AN137" i="1"/>
  <c r="AN142" i="1" s="1"/>
  <c r="AP137" i="1"/>
  <c r="AQ137" i="1"/>
  <c r="AR137" i="1"/>
  <c r="AS137" i="1"/>
  <c r="AU137" i="1"/>
  <c r="AV137" i="1"/>
  <c r="AW137" i="1"/>
  <c r="AX137" i="1"/>
  <c r="AZ137" i="1"/>
  <c r="BA137" i="1"/>
  <c r="BA142" i="1" s="1"/>
  <c r="BK137" i="1"/>
  <c r="BL137" i="1"/>
  <c r="BO137" i="1"/>
  <c r="F139" i="1"/>
  <c r="K139" i="1"/>
  <c r="P139" i="1"/>
  <c r="U139" i="1"/>
  <c r="Z139" i="1"/>
  <c r="AA220" i="1" s="1"/>
  <c r="AE139" i="1"/>
  <c r="AJ139" i="1"/>
  <c r="AO139" i="1"/>
  <c r="AT139" i="1"/>
  <c r="AU220" i="1" s="1"/>
  <c r="AY139" i="1"/>
  <c r="BD139" i="1"/>
  <c r="BE220" i="1" s="1"/>
  <c r="BI139" i="1"/>
  <c r="BN139" i="1"/>
  <c r="BO220" i="1" s="1"/>
  <c r="BS139" i="1"/>
  <c r="BX139" i="1"/>
  <c r="BY220" i="1" s="1"/>
  <c r="CC139" i="1"/>
  <c r="CD220" i="1" s="1"/>
  <c r="B140" i="1"/>
  <c r="E140" i="1"/>
  <c r="F140" i="1" s="1"/>
  <c r="G140" i="1"/>
  <c r="H140" i="1"/>
  <c r="I140" i="1"/>
  <c r="J140" i="1"/>
  <c r="K140" i="1"/>
  <c r="L140" i="1"/>
  <c r="M140" i="1"/>
  <c r="N140" i="1"/>
  <c r="O140" i="1"/>
  <c r="Q140" i="1"/>
  <c r="R140" i="1"/>
  <c r="S140" i="1"/>
  <c r="T140" i="1"/>
  <c r="V140" i="1"/>
  <c r="W140" i="1"/>
  <c r="X140" i="1"/>
  <c r="Y140" i="1"/>
  <c r="Z140" i="1" s="1"/>
  <c r="AA140" i="1"/>
  <c r="AB140" i="1"/>
  <c r="AC140" i="1"/>
  <c r="AD140" i="1"/>
  <c r="AF140" i="1"/>
  <c r="AG140" i="1"/>
  <c r="AH140" i="1"/>
  <c r="AI140" i="1"/>
  <c r="AJ140" i="1" s="1"/>
  <c r="AK140" i="1"/>
  <c r="AL140" i="1"/>
  <c r="AM140" i="1"/>
  <c r="AN140" i="1"/>
  <c r="AO140" i="1" s="1"/>
  <c r="AP140" i="1"/>
  <c r="AQ140" i="1"/>
  <c r="AR140" i="1"/>
  <c r="AS140" i="1"/>
  <c r="AU140" i="1"/>
  <c r="AV140" i="1"/>
  <c r="AW140" i="1"/>
  <c r="AX140" i="1"/>
  <c r="AY140" i="1" s="1"/>
  <c r="AZ140" i="1"/>
  <c r="BA140" i="1"/>
  <c r="BB140" i="1"/>
  <c r="BC140" i="1"/>
  <c r="BD140" i="1" s="1"/>
  <c r="BE140" i="1"/>
  <c r="BF140" i="1"/>
  <c r="BG140" i="1"/>
  <c r="BH140" i="1"/>
  <c r="BI140" i="1"/>
  <c r="BJ140" i="1"/>
  <c r="BK140" i="1"/>
  <c r="BL140" i="1"/>
  <c r="BM140" i="1"/>
  <c r="BN140" i="1" s="1"/>
  <c r="BO140" i="1"/>
  <c r="BP140" i="1"/>
  <c r="BQ140" i="1"/>
  <c r="BR140" i="1"/>
  <c r="BS140" i="1" s="1"/>
  <c r="BT140" i="1"/>
  <c r="BU140" i="1"/>
  <c r="BV140" i="1"/>
  <c r="BW140" i="1"/>
  <c r="BY140" i="1"/>
  <c r="BZ140" i="1"/>
  <c r="CA140" i="1"/>
  <c r="CB140" i="1"/>
  <c r="CC140" i="1" s="1"/>
  <c r="CD140" i="1"/>
  <c r="B141" i="1"/>
  <c r="C141" i="1"/>
  <c r="D141" i="1"/>
  <c r="F141" i="1"/>
  <c r="K221" i="1" s="1"/>
  <c r="K141" i="1"/>
  <c r="P141" i="1"/>
  <c r="U141" i="1"/>
  <c r="Z221" i="1" s="1"/>
  <c r="Z141" i="1"/>
  <c r="AE221" i="1" s="1"/>
  <c r="AE141" i="1"/>
  <c r="AJ141" i="1"/>
  <c r="AO141" i="1"/>
  <c r="AT141" i="1"/>
  <c r="AY141" i="1"/>
  <c r="BC141" i="1"/>
  <c r="BI141" i="1"/>
  <c r="BN141" i="1"/>
  <c r="BQ141" i="1"/>
  <c r="BS141" i="1"/>
  <c r="BX141" i="1"/>
  <c r="CC141" i="1"/>
  <c r="AI142" i="1"/>
  <c r="F145" i="1"/>
  <c r="K145" i="1"/>
  <c r="P145" i="1"/>
  <c r="U145" i="1"/>
  <c r="V145" i="1"/>
  <c r="Z145" i="1"/>
  <c r="Z238" i="1" s="1"/>
  <c r="AE145" i="1"/>
  <c r="AJ145" i="1"/>
  <c r="AO145" i="1"/>
  <c r="AT145" i="1"/>
  <c r="AY145" i="1"/>
  <c r="BD145" i="1"/>
  <c r="BI145" i="1"/>
  <c r="BN145" i="1"/>
  <c r="BS145" i="1"/>
  <c r="BX145" i="1"/>
  <c r="CC145" i="1"/>
  <c r="CC238" i="1" s="1"/>
  <c r="F146" i="1"/>
  <c r="K146" i="1"/>
  <c r="P146" i="1"/>
  <c r="U146" i="1"/>
  <c r="Z146" i="1"/>
  <c r="AE146" i="1"/>
  <c r="AE239" i="1" s="1"/>
  <c r="AJ146" i="1"/>
  <c r="AO146" i="1"/>
  <c r="AT146" i="1"/>
  <c r="AY146" i="1"/>
  <c r="BC146" i="1"/>
  <c r="BD146" i="1" s="1"/>
  <c r="BI146" i="1"/>
  <c r="BI239" i="1" s="1"/>
  <c r="BN146" i="1"/>
  <c r="BS146" i="1"/>
  <c r="BX146" i="1"/>
  <c r="BX239" i="1" s="1"/>
  <c r="CB146" i="1"/>
  <c r="F147" i="1"/>
  <c r="K147" i="1"/>
  <c r="P147" i="1"/>
  <c r="Q178" i="1" s="1"/>
  <c r="U147" i="1"/>
  <c r="Z147" i="1"/>
  <c r="AE147" i="1"/>
  <c r="AJ147" i="1"/>
  <c r="AO147" i="1"/>
  <c r="AT147" i="1"/>
  <c r="AY147" i="1"/>
  <c r="BD147" i="1"/>
  <c r="BI147" i="1"/>
  <c r="BN147" i="1"/>
  <c r="BS147" i="1"/>
  <c r="BT222" i="1" s="1"/>
  <c r="BX147" i="1"/>
  <c r="BY222" i="1" s="1"/>
  <c r="BY258" i="1" s="1"/>
  <c r="B148" i="1"/>
  <c r="B150" i="1" s="1"/>
  <c r="C148" i="1"/>
  <c r="F148" i="1"/>
  <c r="G179" i="1" s="1"/>
  <c r="K148" i="1"/>
  <c r="P148" i="1"/>
  <c r="U148" i="1"/>
  <c r="Z148" i="1"/>
  <c r="AE148" i="1"/>
  <c r="AJ148" i="1"/>
  <c r="AO148" i="1"/>
  <c r="AP148" i="1"/>
  <c r="AT148" i="1"/>
  <c r="AY225" i="1" s="1"/>
  <c r="AY148" i="1"/>
  <c r="BD148" i="1"/>
  <c r="BI148" i="1"/>
  <c r="BN148" i="1"/>
  <c r="BO179" i="1" s="1"/>
  <c r="BS148" i="1"/>
  <c r="BX148" i="1"/>
  <c r="F149" i="1"/>
  <c r="G180" i="1" s="1"/>
  <c r="K149" i="1"/>
  <c r="L180" i="1" s="1"/>
  <c r="P149" i="1"/>
  <c r="U149" i="1"/>
  <c r="V180" i="1" s="1"/>
  <c r="Z149" i="1"/>
  <c r="AE149" i="1"/>
  <c r="AJ149" i="1"/>
  <c r="AO149" i="1"/>
  <c r="AP180" i="1" s="1"/>
  <c r="AT149" i="1"/>
  <c r="AU180" i="1" s="1"/>
  <c r="AY149" i="1"/>
  <c r="BD149" i="1"/>
  <c r="BI149" i="1"/>
  <c r="BJ180" i="1" s="1"/>
  <c r="BN149" i="1"/>
  <c r="BN288" i="1" s="1"/>
  <c r="BS149" i="1"/>
  <c r="BX149" i="1"/>
  <c r="C150" i="1"/>
  <c r="C155" i="1" s="1"/>
  <c r="D150" i="1"/>
  <c r="E150" i="1"/>
  <c r="E155" i="1" s="1"/>
  <c r="G150" i="1"/>
  <c r="G155" i="1" s="1"/>
  <c r="H150" i="1"/>
  <c r="H155" i="1" s="1"/>
  <c r="I150" i="1"/>
  <c r="I155" i="1" s="1"/>
  <c r="J150" i="1"/>
  <c r="L150" i="1"/>
  <c r="L155" i="1" s="1"/>
  <c r="M150" i="1"/>
  <c r="N150" i="1"/>
  <c r="N155" i="1" s="1"/>
  <c r="O150" i="1"/>
  <c r="Q150" i="1"/>
  <c r="Q155" i="1" s="1"/>
  <c r="R150" i="1"/>
  <c r="R155" i="1" s="1"/>
  <c r="S150" i="1"/>
  <c r="T150" i="1"/>
  <c r="W150" i="1"/>
  <c r="W155" i="1" s="1"/>
  <c r="X150" i="1"/>
  <c r="X155" i="1" s="1"/>
  <c r="Y150" i="1"/>
  <c r="Y155" i="1" s="1"/>
  <c r="AA150" i="1"/>
  <c r="AA155" i="1" s="1"/>
  <c r="AB150" i="1"/>
  <c r="AC150" i="1"/>
  <c r="AC155" i="1" s="1"/>
  <c r="AD150" i="1"/>
  <c r="AF150" i="1"/>
  <c r="AF155" i="1" s="1"/>
  <c r="AG150" i="1"/>
  <c r="AH150" i="1"/>
  <c r="AH155" i="1" s="1"/>
  <c r="AI150" i="1"/>
  <c r="AK150" i="1"/>
  <c r="AK155" i="1" s="1"/>
  <c r="AL150" i="1"/>
  <c r="AM150" i="1"/>
  <c r="AM155" i="1" s="1"/>
  <c r="AN150" i="1"/>
  <c r="AQ150" i="1"/>
  <c r="AQ155" i="1" s="1"/>
  <c r="AR150" i="1"/>
  <c r="AR155" i="1" s="1"/>
  <c r="AS150" i="1"/>
  <c r="AU150" i="1"/>
  <c r="AV150" i="1"/>
  <c r="AW150" i="1"/>
  <c r="AW155" i="1" s="1"/>
  <c r="AX150" i="1"/>
  <c r="AX155" i="1" s="1"/>
  <c r="AZ150" i="1"/>
  <c r="BA150" i="1"/>
  <c r="BA155" i="1" s="1"/>
  <c r="BB150" i="1"/>
  <c r="BB155" i="1" s="1"/>
  <c r="BC150" i="1"/>
  <c r="BC155" i="1" s="1"/>
  <c r="BF150" i="1"/>
  <c r="BF155" i="1" s="1"/>
  <c r="BG150" i="1"/>
  <c r="BG155" i="1" s="1"/>
  <c r="BH150" i="1"/>
  <c r="BH155" i="1" s="1"/>
  <c r="BJ150" i="1"/>
  <c r="BJ155" i="1" s="1"/>
  <c r="BK150" i="1"/>
  <c r="BL150" i="1"/>
  <c r="BL155" i="1" s="1"/>
  <c r="BM150" i="1"/>
  <c r="BM155" i="1" s="1"/>
  <c r="BO150" i="1"/>
  <c r="BO155" i="1" s="1"/>
  <c r="BP150" i="1"/>
  <c r="BQ150" i="1"/>
  <c r="BQ155" i="1" s="1"/>
  <c r="BR150" i="1"/>
  <c r="BR155" i="1" s="1"/>
  <c r="BT150" i="1"/>
  <c r="BT155" i="1" s="1"/>
  <c r="BU150" i="1"/>
  <c r="BV150" i="1"/>
  <c r="BW150" i="1"/>
  <c r="BW155" i="1" s="1"/>
  <c r="BY150" i="1"/>
  <c r="BY155" i="1" s="1"/>
  <c r="BZ150" i="1"/>
  <c r="CA150" i="1"/>
  <c r="CA155" i="1" s="1"/>
  <c r="F152" i="1"/>
  <c r="K152" i="1"/>
  <c r="P152" i="1"/>
  <c r="U152" i="1"/>
  <c r="Z152" i="1"/>
  <c r="Z240" i="1" s="1"/>
  <c r="AE152" i="1"/>
  <c r="AJ152" i="1"/>
  <c r="AO152" i="1"/>
  <c r="AT152" i="1"/>
  <c r="AY152" i="1"/>
  <c r="BD152" i="1"/>
  <c r="BI152" i="1"/>
  <c r="BN152" i="1"/>
  <c r="BS152" i="1"/>
  <c r="BS240" i="1" s="1"/>
  <c r="BX152" i="1"/>
  <c r="BX240" i="1" s="1"/>
  <c r="CC152" i="1"/>
  <c r="F153" i="1"/>
  <c r="K227" i="1" s="1"/>
  <c r="K153" i="1"/>
  <c r="P153" i="1"/>
  <c r="P289" i="1" s="1"/>
  <c r="U153" i="1"/>
  <c r="Z153" i="1"/>
  <c r="Z289" i="1" s="1"/>
  <c r="AE153" i="1"/>
  <c r="AJ153" i="1"/>
  <c r="AO153" i="1"/>
  <c r="AT153" i="1"/>
  <c r="AT289" i="1" s="1"/>
  <c r="AY153" i="1"/>
  <c r="BD153" i="1"/>
  <c r="BD289" i="1" s="1"/>
  <c r="BI153" i="1"/>
  <c r="BN153" i="1"/>
  <c r="BN289" i="1" s="1"/>
  <c r="BS153" i="1"/>
  <c r="BX153" i="1"/>
  <c r="BX289" i="1" s="1"/>
  <c r="CC153" i="1"/>
  <c r="CC289" i="1" s="1"/>
  <c r="F154" i="1"/>
  <c r="K154" i="1"/>
  <c r="P154" i="1"/>
  <c r="U228" i="1" s="1"/>
  <c r="U154" i="1"/>
  <c r="Z154" i="1"/>
  <c r="AE154" i="1"/>
  <c r="AJ154" i="1"/>
  <c r="AO154" i="1"/>
  <c r="AO290" i="1" s="1"/>
  <c r="AT154" i="1"/>
  <c r="AY154" i="1"/>
  <c r="BD154" i="1"/>
  <c r="BI228" i="1" s="1"/>
  <c r="BI154" i="1"/>
  <c r="BI290" i="1" s="1"/>
  <c r="BN154" i="1"/>
  <c r="BS154" i="1"/>
  <c r="BX154" i="1"/>
  <c r="BX290" i="1" s="1"/>
  <c r="CC154" i="1"/>
  <c r="B155" i="1"/>
  <c r="D155" i="1"/>
  <c r="T155" i="1"/>
  <c r="AD155" i="1"/>
  <c r="AL155" i="1"/>
  <c r="AU155" i="1"/>
  <c r="AZ155" i="1"/>
  <c r="BP155" i="1"/>
  <c r="BZ155" i="1"/>
  <c r="B158" i="1"/>
  <c r="C158" i="1"/>
  <c r="D158" i="1"/>
  <c r="E158" i="1"/>
  <c r="G158" i="1"/>
  <c r="G163" i="1"/>
  <c r="H158" i="1"/>
  <c r="H163" i="1" s="1"/>
  <c r="H245" i="1" s="1"/>
  <c r="I158" i="1"/>
  <c r="I163" i="1" s="1"/>
  <c r="J158" i="1"/>
  <c r="K158" i="1"/>
  <c r="L158" i="1"/>
  <c r="M158" i="1"/>
  <c r="M163" i="1" s="1"/>
  <c r="M245" i="1" s="1"/>
  <c r="N158" i="1"/>
  <c r="O158" i="1"/>
  <c r="Q158" i="1"/>
  <c r="Q163" i="1" s="1"/>
  <c r="R158" i="1"/>
  <c r="R163" i="1" s="1"/>
  <c r="S158" i="1"/>
  <c r="S163" i="1"/>
  <c r="T158" i="1"/>
  <c r="V158" i="1"/>
  <c r="V163" i="1" s="1"/>
  <c r="W158" i="1"/>
  <c r="W163" i="1" s="1"/>
  <c r="X158" i="1"/>
  <c r="X163" i="1" s="1"/>
  <c r="Y158" i="1"/>
  <c r="Z158" i="1" s="1"/>
  <c r="AA158" i="1"/>
  <c r="AA163" i="1" s="1"/>
  <c r="AB158" i="1"/>
  <c r="AC158" i="1"/>
  <c r="AD158" i="1"/>
  <c r="AE158" i="1" s="1"/>
  <c r="AF158" i="1"/>
  <c r="AG158" i="1"/>
  <c r="AH158" i="1"/>
  <c r="AI158" i="1"/>
  <c r="AK158" i="1"/>
  <c r="AL158" i="1"/>
  <c r="AM158" i="1"/>
  <c r="AN158" i="1"/>
  <c r="AO158" i="1" s="1"/>
  <c r="AP158" i="1"/>
  <c r="AQ158" i="1"/>
  <c r="AR158" i="1"/>
  <c r="AS158" i="1"/>
  <c r="AT158" i="1" s="1"/>
  <c r="AU158" i="1"/>
  <c r="AV158" i="1"/>
  <c r="AW158" i="1"/>
  <c r="AX158" i="1"/>
  <c r="AY158" i="1" s="1"/>
  <c r="AZ158" i="1"/>
  <c r="BA158" i="1"/>
  <c r="BB158" i="1"/>
  <c r="BC158" i="1"/>
  <c r="BE158" i="1"/>
  <c r="BF158" i="1"/>
  <c r="BG158" i="1"/>
  <c r="BH158" i="1"/>
  <c r="BI158" i="1" s="1"/>
  <c r="BJ158" i="1"/>
  <c r="BK158" i="1"/>
  <c r="BL158" i="1"/>
  <c r="BM158" i="1"/>
  <c r="BN158" i="1" s="1"/>
  <c r="BO158" i="1"/>
  <c r="BP158" i="1"/>
  <c r="BP131" i="1" s="1"/>
  <c r="BP237" i="1" s="1"/>
  <c r="BQ158" i="1"/>
  <c r="BQ131" i="1" s="1"/>
  <c r="BQ137" i="1" s="1"/>
  <c r="BR158" i="1"/>
  <c r="BS158" i="1" s="1"/>
  <c r="BT158" i="1"/>
  <c r="BT131" i="1" s="1"/>
  <c r="BT237" i="1" s="1"/>
  <c r="BU158" i="1"/>
  <c r="BV158" i="1"/>
  <c r="BW158" i="1"/>
  <c r="BY158" i="1"/>
  <c r="BZ158" i="1"/>
  <c r="BZ131" i="1" s="1"/>
  <c r="BZ199" i="1" s="1"/>
  <c r="CA198" i="1" s="1"/>
  <c r="CA158" i="1"/>
  <c r="CB158" i="1"/>
  <c r="CC158" i="1" s="1"/>
  <c r="CD158" i="1"/>
  <c r="F159" i="1"/>
  <c r="K159" i="1"/>
  <c r="P159" i="1"/>
  <c r="U159" i="1"/>
  <c r="Z159" i="1"/>
  <c r="AE159" i="1"/>
  <c r="AJ159" i="1"/>
  <c r="AO159" i="1"/>
  <c r="AT159" i="1"/>
  <c r="AY159" i="1"/>
  <c r="BD159" i="1"/>
  <c r="BI159" i="1"/>
  <c r="BN159" i="1"/>
  <c r="BS159" i="1"/>
  <c r="BX159" i="1"/>
  <c r="CC159" i="1"/>
  <c r="C160" i="1"/>
  <c r="D160" i="1"/>
  <c r="F160" i="1"/>
  <c r="K160" i="1"/>
  <c r="P160" i="1"/>
  <c r="U160" i="1"/>
  <c r="Z160" i="1"/>
  <c r="AD160" i="1"/>
  <c r="AE160" i="1" s="1"/>
  <c r="AJ160" i="1"/>
  <c r="AO160" i="1"/>
  <c r="AT160" i="1"/>
  <c r="AY160" i="1"/>
  <c r="BD160" i="1"/>
  <c r="BI160" i="1"/>
  <c r="BN160" i="1"/>
  <c r="BS160" i="1"/>
  <c r="BX160" i="1"/>
  <c r="CC160" i="1"/>
  <c r="F161" i="1"/>
  <c r="K161" i="1"/>
  <c r="L161" i="1"/>
  <c r="P161" i="1"/>
  <c r="U161" i="1"/>
  <c r="Z161" i="1"/>
  <c r="AE161" i="1"/>
  <c r="AJ161" i="1"/>
  <c r="AO161" i="1"/>
  <c r="AT161" i="1"/>
  <c r="AY161" i="1"/>
  <c r="BC161" i="1"/>
  <c r="BI161" i="1"/>
  <c r="BN161" i="1"/>
  <c r="BS161" i="1"/>
  <c r="BX161" i="1"/>
  <c r="CC161" i="1"/>
  <c r="F162" i="1"/>
  <c r="K162" i="1"/>
  <c r="P162" i="1"/>
  <c r="U162" i="1"/>
  <c r="Z162" i="1"/>
  <c r="AB162" i="1"/>
  <c r="BB162" i="1"/>
  <c r="BC162" i="1" s="1"/>
  <c r="BD162" i="1" s="1"/>
  <c r="B163" i="1"/>
  <c r="J163" i="1"/>
  <c r="N163" i="1"/>
  <c r="Y163" i="1"/>
  <c r="BA163" i="1"/>
  <c r="AK168" i="1"/>
  <c r="AL168" i="1"/>
  <c r="AM168" i="1"/>
  <c r="AN168" i="1"/>
  <c r="AO168" i="1"/>
  <c r="AP168" i="1"/>
  <c r="AQ168" i="1"/>
  <c r="AR168" i="1"/>
  <c r="AS168" i="1"/>
  <c r="AT168" i="1"/>
  <c r="AU168" i="1"/>
  <c r="AV168" i="1"/>
  <c r="AW168" i="1"/>
  <c r="AX168" i="1"/>
  <c r="AY168" i="1"/>
  <c r="AZ168" i="1"/>
  <c r="BA168" i="1"/>
  <c r="BB168" i="1"/>
  <c r="BC168" i="1"/>
  <c r="BD168" i="1"/>
  <c r="BE168" i="1"/>
  <c r="BF168" i="1"/>
  <c r="BG168" i="1"/>
  <c r="BH168" i="1"/>
  <c r="BI168" i="1"/>
  <c r="BJ168" i="1"/>
  <c r="BK168" i="1"/>
  <c r="BL168" i="1"/>
  <c r="BM168" i="1"/>
  <c r="BN168" i="1"/>
  <c r="BO168" i="1"/>
  <c r="BP168" i="1"/>
  <c r="BQ168" i="1"/>
  <c r="BR168" i="1"/>
  <c r="BS168" i="1"/>
  <c r="BT168" i="1"/>
  <c r="BU168" i="1"/>
  <c r="BV168" i="1"/>
  <c r="BW168" i="1"/>
  <c r="BX168" i="1"/>
  <c r="BY168" i="1"/>
  <c r="BZ168" i="1"/>
  <c r="CA168" i="1"/>
  <c r="CB168" i="1"/>
  <c r="CC168" i="1"/>
  <c r="CD168" i="1"/>
  <c r="CE168" i="1"/>
  <c r="CF168" i="1"/>
  <c r="CG168" i="1"/>
  <c r="CH168" i="1"/>
  <c r="CI168" i="1"/>
  <c r="CJ168" i="1"/>
  <c r="CK168" i="1"/>
  <c r="CL168" i="1"/>
  <c r="CM168" i="1"/>
  <c r="CN168" i="1"/>
  <c r="CO168" i="1"/>
  <c r="CP168" i="1"/>
  <c r="CQ168" i="1"/>
  <c r="CR168" i="1"/>
  <c r="CS168" i="1"/>
  <c r="CT168" i="1"/>
  <c r="CU168" i="1"/>
  <c r="CV168" i="1"/>
  <c r="CW168" i="1"/>
  <c r="CX168" i="1"/>
  <c r="CY168" i="1"/>
  <c r="CZ168" i="1"/>
  <c r="DA168" i="1"/>
  <c r="DB168" i="1"/>
  <c r="DC168" i="1"/>
  <c r="DD168" i="1"/>
  <c r="DE168" i="1"/>
  <c r="DF168" i="1"/>
  <c r="DG168" i="1"/>
  <c r="H172" i="1"/>
  <c r="M172" i="1"/>
  <c r="N172" i="1" s="1"/>
  <c r="R172" i="1"/>
  <c r="W172" i="1"/>
  <c r="AB172" i="1"/>
  <c r="AG172" i="1"/>
  <c r="AH172" i="1" s="1"/>
  <c r="AL172" i="1"/>
  <c r="AR172" i="1"/>
  <c r="AV172" i="1"/>
  <c r="AY172" i="1" s="1"/>
  <c r="BD172" i="1"/>
  <c r="BI172" i="1"/>
  <c r="BL172" i="1"/>
  <c r="BM172" i="1" s="1"/>
  <c r="BP172" i="1"/>
  <c r="BQ172" i="1" s="1"/>
  <c r="BS172" i="1" s="1"/>
  <c r="BU172" i="1"/>
  <c r="BV172" i="1" s="1"/>
  <c r="BZ172" i="1"/>
  <c r="H175" i="1"/>
  <c r="I175" i="1"/>
  <c r="J175" i="1"/>
  <c r="M175" i="1"/>
  <c r="N175" i="1"/>
  <c r="O175" i="1"/>
  <c r="Q175" i="1"/>
  <c r="R175" i="1"/>
  <c r="S175" i="1"/>
  <c r="T175" i="1"/>
  <c r="W175" i="1"/>
  <c r="X175" i="1"/>
  <c r="Y175" i="1"/>
  <c r="AA175" i="1"/>
  <c r="AB175" i="1"/>
  <c r="AC175" i="1"/>
  <c r="AD175" i="1"/>
  <c r="AG175" i="1"/>
  <c r="AH175" i="1"/>
  <c r="AI175" i="1"/>
  <c r="AL175" i="1"/>
  <c r="AM175" i="1"/>
  <c r="AN175" i="1"/>
  <c r="AQ175" i="1"/>
  <c r="AR175" i="1"/>
  <c r="AS175" i="1"/>
  <c r="AV175" i="1"/>
  <c r="AW175" i="1"/>
  <c r="AX175" i="1"/>
  <c r="BA175" i="1"/>
  <c r="BB175" i="1"/>
  <c r="BC175" i="1"/>
  <c r="BE175" i="1"/>
  <c r="BF175" i="1"/>
  <c r="BG175" i="1"/>
  <c r="BH175" i="1"/>
  <c r="BJ175" i="1"/>
  <c r="BK175" i="1"/>
  <c r="BL175" i="1"/>
  <c r="BM175" i="1"/>
  <c r="BP175" i="1"/>
  <c r="BQ175" i="1"/>
  <c r="BR175" i="1"/>
  <c r="BU175" i="1"/>
  <c r="BV175" i="1"/>
  <c r="BW175" i="1"/>
  <c r="BY175" i="1"/>
  <c r="BZ175" i="1"/>
  <c r="CA175" i="1"/>
  <c r="CB175" i="1"/>
  <c r="CD175" i="1"/>
  <c r="H176" i="1"/>
  <c r="I176" i="1"/>
  <c r="J176" i="1"/>
  <c r="M176" i="1"/>
  <c r="N176" i="1"/>
  <c r="O176" i="1"/>
  <c r="Q176" i="1"/>
  <c r="R176" i="1"/>
  <c r="S176" i="1"/>
  <c r="T176" i="1"/>
  <c r="V176" i="1"/>
  <c r="W176" i="1"/>
  <c r="X176" i="1"/>
  <c r="Y176" i="1"/>
  <c r="AB176" i="1"/>
  <c r="AC176" i="1"/>
  <c r="AD176" i="1"/>
  <c r="AG176" i="1"/>
  <c r="AH176" i="1"/>
  <c r="AI176" i="1"/>
  <c r="AL176" i="1"/>
  <c r="AM176" i="1"/>
  <c r="AN176" i="1"/>
  <c r="AP176" i="1"/>
  <c r="AQ176" i="1"/>
  <c r="AR176" i="1"/>
  <c r="AS176" i="1"/>
  <c r="AV176" i="1"/>
  <c r="AW176" i="1"/>
  <c r="AX176" i="1"/>
  <c r="AZ176" i="1"/>
  <c r="BA176" i="1"/>
  <c r="BB176" i="1"/>
  <c r="BC176" i="1"/>
  <c r="BF176" i="1"/>
  <c r="BG176" i="1"/>
  <c r="BH176" i="1"/>
  <c r="BJ176" i="1"/>
  <c r="BK176" i="1"/>
  <c r="BL176" i="1"/>
  <c r="BM176" i="1"/>
  <c r="BP176" i="1"/>
  <c r="BQ176" i="1"/>
  <c r="BR176" i="1"/>
  <c r="BT176" i="1"/>
  <c r="BU176" i="1"/>
  <c r="BV176" i="1"/>
  <c r="BW176" i="1"/>
  <c r="BZ176" i="1"/>
  <c r="CA176" i="1"/>
  <c r="CB176" i="1"/>
  <c r="G177" i="1"/>
  <c r="H177" i="1"/>
  <c r="I177" i="1"/>
  <c r="J177" i="1"/>
  <c r="M177" i="1"/>
  <c r="N177" i="1"/>
  <c r="O177" i="1"/>
  <c r="R177" i="1"/>
  <c r="S177" i="1"/>
  <c r="T177" i="1"/>
  <c r="W177" i="1"/>
  <c r="Y177" i="1"/>
  <c r="AB177" i="1"/>
  <c r="AC177" i="1"/>
  <c r="AD177" i="1"/>
  <c r="AF177" i="1"/>
  <c r="AG177" i="1"/>
  <c r="AH177" i="1"/>
  <c r="AI177" i="1"/>
  <c r="AL177" i="1"/>
  <c r="AM177" i="1"/>
  <c r="AN177" i="1"/>
  <c r="AP177" i="1"/>
  <c r="AQ177" i="1"/>
  <c r="AR177" i="1"/>
  <c r="AS177" i="1"/>
  <c r="AV177" i="1"/>
  <c r="AW177" i="1"/>
  <c r="AX177" i="1"/>
  <c r="BA177" i="1"/>
  <c r="BB177" i="1"/>
  <c r="BC177" i="1"/>
  <c r="BF177" i="1"/>
  <c r="BG177" i="1"/>
  <c r="BH177" i="1"/>
  <c r="BJ177" i="1"/>
  <c r="BK177" i="1"/>
  <c r="BL177" i="1"/>
  <c r="BM177" i="1"/>
  <c r="BP177" i="1"/>
  <c r="BQ177" i="1"/>
  <c r="BR177" i="1"/>
  <c r="BU177" i="1"/>
  <c r="BV177" i="1"/>
  <c r="BW177" i="1"/>
  <c r="BY177" i="1"/>
  <c r="BZ177" i="1"/>
  <c r="CA177" i="1"/>
  <c r="CB177" i="1"/>
  <c r="CD177" i="1"/>
  <c r="H178" i="1"/>
  <c r="I178" i="1"/>
  <c r="J178" i="1"/>
  <c r="M178" i="1"/>
  <c r="N178" i="1"/>
  <c r="O178" i="1"/>
  <c r="R178" i="1"/>
  <c r="S178" i="1"/>
  <c r="T178" i="1"/>
  <c r="W178" i="1"/>
  <c r="X178" i="1"/>
  <c r="Y178" i="1"/>
  <c r="AB178" i="1"/>
  <c r="AC178" i="1"/>
  <c r="AD178" i="1"/>
  <c r="AF178" i="1"/>
  <c r="AG178" i="1"/>
  <c r="AH178" i="1"/>
  <c r="AI178" i="1"/>
  <c r="AL178" i="1"/>
  <c r="AM178" i="1"/>
  <c r="AN178" i="1"/>
  <c r="AQ178" i="1"/>
  <c r="AR178" i="1"/>
  <c r="AS178" i="1"/>
  <c r="AV178" i="1"/>
  <c r="AW178" i="1"/>
  <c r="AX178" i="1"/>
  <c r="AZ178" i="1"/>
  <c r="BA178" i="1"/>
  <c r="BB178" i="1"/>
  <c r="BC178" i="1"/>
  <c r="BE178" i="1"/>
  <c r="BF178" i="1"/>
  <c r="BG178" i="1"/>
  <c r="BH178" i="1"/>
  <c r="BK178" i="1"/>
  <c r="BL178" i="1"/>
  <c r="BM178" i="1"/>
  <c r="BP178" i="1"/>
  <c r="BQ178" i="1"/>
  <c r="BR178" i="1"/>
  <c r="BT178" i="1"/>
  <c r="BU178" i="1"/>
  <c r="BV178" i="1"/>
  <c r="BW178" i="1"/>
  <c r="BZ178" i="1"/>
  <c r="CA178" i="1"/>
  <c r="H179" i="1"/>
  <c r="I179" i="1"/>
  <c r="J179" i="1"/>
  <c r="M179" i="1"/>
  <c r="N179" i="1"/>
  <c r="O179" i="1"/>
  <c r="R179" i="1"/>
  <c r="S179" i="1"/>
  <c r="T179" i="1"/>
  <c r="V179" i="1"/>
  <c r="W179" i="1"/>
  <c r="X179" i="1"/>
  <c r="Y179" i="1"/>
  <c r="AB179" i="1"/>
  <c r="AC179" i="1"/>
  <c r="AD179" i="1"/>
  <c r="AG179" i="1"/>
  <c r="AH179" i="1"/>
  <c r="AI179" i="1"/>
  <c r="AK179" i="1"/>
  <c r="AL179" i="1"/>
  <c r="AM179" i="1"/>
  <c r="AN179" i="1"/>
  <c r="AQ179" i="1"/>
  <c r="AR179" i="1"/>
  <c r="AS179" i="1"/>
  <c r="AV179" i="1"/>
  <c r="AW179" i="1"/>
  <c r="AX179" i="1"/>
  <c r="AZ179" i="1"/>
  <c r="BA179" i="1"/>
  <c r="BB179" i="1"/>
  <c r="BC179" i="1"/>
  <c r="BE179" i="1"/>
  <c r="BF179" i="1"/>
  <c r="BG179" i="1"/>
  <c r="BH179" i="1"/>
  <c r="BK179" i="1"/>
  <c r="BL179" i="1"/>
  <c r="BM179" i="1"/>
  <c r="BP179" i="1"/>
  <c r="BQ179" i="1"/>
  <c r="BR179" i="1"/>
  <c r="BU179" i="1"/>
  <c r="BV179" i="1"/>
  <c r="BW179" i="1"/>
  <c r="BY179" i="1"/>
  <c r="BZ179" i="1"/>
  <c r="CA179" i="1"/>
  <c r="H180" i="1"/>
  <c r="I180" i="1"/>
  <c r="J180" i="1"/>
  <c r="M180" i="1"/>
  <c r="N180" i="1"/>
  <c r="O180" i="1"/>
  <c r="R180" i="1"/>
  <c r="S180" i="1"/>
  <c r="T180" i="1"/>
  <c r="W180" i="1"/>
  <c r="X180" i="1"/>
  <c r="Y180" i="1"/>
  <c r="AA180" i="1"/>
  <c r="AB180" i="1"/>
  <c r="AC180" i="1"/>
  <c r="AD180" i="1"/>
  <c r="AG180" i="1"/>
  <c r="AH180" i="1"/>
  <c r="AI180" i="1"/>
  <c r="AL180" i="1"/>
  <c r="AM180" i="1"/>
  <c r="AN180" i="1"/>
  <c r="AQ180" i="1"/>
  <c r="AR180" i="1"/>
  <c r="AS180" i="1"/>
  <c r="AV180" i="1"/>
  <c r="AW180" i="1"/>
  <c r="AX180" i="1"/>
  <c r="BA180" i="1"/>
  <c r="BB180" i="1"/>
  <c r="BC180" i="1"/>
  <c r="BF180" i="1"/>
  <c r="BG180" i="1"/>
  <c r="BH180" i="1"/>
  <c r="BK180" i="1"/>
  <c r="BL180" i="1"/>
  <c r="BM180" i="1"/>
  <c r="BO180" i="1"/>
  <c r="BP180" i="1"/>
  <c r="BQ180" i="1"/>
  <c r="BR180" i="1"/>
  <c r="BU180" i="1"/>
  <c r="BV180" i="1"/>
  <c r="BW180" i="1"/>
  <c r="BZ180" i="1"/>
  <c r="CA180" i="1"/>
  <c r="H181" i="1"/>
  <c r="I181" i="1" s="1"/>
  <c r="J181" i="1" s="1"/>
  <c r="M181" i="1"/>
  <c r="N181" i="1" s="1"/>
  <c r="O181" i="1" s="1"/>
  <c r="R181" i="1"/>
  <c r="S181" i="1" s="1"/>
  <c r="U181" i="1"/>
  <c r="W181" i="1"/>
  <c r="X181" i="1" s="1"/>
  <c r="Y181" i="1" s="1"/>
  <c r="AB181" i="1"/>
  <c r="AC181" i="1" s="1"/>
  <c r="AE181" i="1"/>
  <c r="AJ181" i="1"/>
  <c r="AO181" i="1"/>
  <c r="AT181" i="1"/>
  <c r="AY181" i="1"/>
  <c r="BD181" i="1"/>
  <c r="BI181" i="1"/>
  <c r="BN181" i="1"/>
  <c r="BS181" i="1"/>
  <c r="BU181" i="1"/>
  <c r="BV181" i="1" s="1"/>
  <c r="BZ181" i="1"/>
  <c r="CM181" i="1"/>
  <c r="CR181" i="1"/>
  <c r="CW181" i="1"/>
  <c r="DB181" i="1"/>
  <c r="DG181" i="1"/>
  <c r="AR182" i="1"/>
  <c r="AR203" i="1" s="1"/>
  <c r="AV182" i="1"/>
  <c r="BG182" i="1"/>
  <c r="BL182" i="1"/>
  <c r="BP182" i="1"/>
  <c r="BU182" i="1"/>
  <c r="BZ182" i="1"/>
  <c r="H184" i="1"/>
  <c r="H205" i="1" s="1"/>
  <c r="M184" i="1"/>
  <c r="R184" i="1"/>
  <c r="R218" i="1" s="1"/>
  <c r="U184" i="1"/>
  <c r="W184" i="1"/>
  <c r="X184" i="1" s="1"/>
  <c r="AB184" i="1"/>
  <c r="AC184" i="1" s="1"/>
  <c r="AG184" i="1"/>
  <c r="AL184" i="1"/>
  <c r="AR184" i="1"/>
  <c r="AV184" i="1"/>
  <c r="AZ184" i="1"/>
  <c r="BG184" i="1"/>
  <c r="BL184" i="1"/>
  <c r="BP184" i="1"/>
  <c r="BV184" i="1"/>
  <c r="CA184" i="1"/>
  <c r="CD204" i="1"/>
  <c r="H185" i="1"/>
  <c r="I185" i="1" s="1"/>
  <c r="K185" i="1"/>
  <c r="L185" i="1"/>
  <c r="M185" i="1" s="1"/>
  <c r="N185" i="1" s="1"/>
  <c r="N334" i="1" s="1"/>
  <c r="P185" i="1"/>
  <c r="P186" i="1" s="1"/>
  <c r="Q185" i="1"/>
  <c r="R185" i="1" s="1"/>
  <c r="U185" i="1"/>
  <c r="V185" i="1"/>
  <c r="Z185" i="1"/>
  <c r="AB185" i="1"/>
  <c r="AE185" i="1"/>
  <c r="AE186" i="1" s="1"/>
  <c r="AG185" i="1"/>
  <c r="AH185" i="1" s="1"/>
  <c r="AJ185" i="1"/>
  <c r="AJ334" i="1" s="1"/>
  <c r="AL185" i="1"/>
  <c r="AO185" i="1"/>
  <c r="AQ185" i="1"/>
  <c r="AQ186" i="1" s="1"/>
  <c r="AV185" i="1"/>
  <c r="BA185" i="1"/>
  <c r="BI185" i="1"/>
  <c r="BK185" i="1"/>
  <c r="BK186" i="1" s="1"/>
  <c r="BN185" i="1"/>
  <c r="BN186" i="1" s="1"/>
  <c r="BP185" i="1"/>
  <c r="BQ185" i="1" s="1"/>
  <c r="BU185" i="1"/>
  <c r="CM185" i="1"/>
  <c r="CM334" i="1" s="1"/>
  <c r="CR185" i="1"/>
  <c r="CW185" i="1"/>
  <c r="CW334" i="1" s="1"/>
  <c r="DB185" i="1"/>
  <c r="DB334" i="1" s="1"/>
  <c r="DG185" i="1"/>
  <c r="G186" i="1"/>
  <c r="Q186" i="1"/>
  <c r="AA186" i="1"/>
  <c r="AF186" i="1"/>
  <c r="AK186" i="1"/>
  <c r="AO186" i="1"/>
  <c r="AP186" i="1"/>
  <c r="AU186" i="1"/>
  <c r="BB186" i="1"/>
  <c r="BE186" i="1"/>
  <c r="BF186" i="1"/>
  <c r="BH186" i="1"/>
  <c r="BJ186" i="1"/>
  <c r="BO186" i="1"/>
  <c r="BS186" i="1"/>
  <c r="BT186" i="1"/>
  <c r="BX186" i="1"/>
  <c r="BY186" i="1"/>
  <c r="BZ186" i="1"/>
  <c r="H188" i="1"/>
  <c r="M188" i="1"/>
  <c r="N188" i="1" s="1"/>
  <c r="O188" i="1" s="1"/>
  <c r="O229" i="1" s="1"/>
  <c r="R188" i="1"/>
  <c r="W188" i="1"/>
  <c r="AB188" i="1"/>
  <c r="AC188" i="1" s="1"/>
  <c r="AE188" i="1"/>
  <c r="AG188" i="1"/>
  <c r="AH188" i="1" s="1"/>
  <c r="AL188" i="1"/>
  <c r="AQ188" i="1"/>
  <c r="AV188" i="1"/>
  <c r="AW188" i="1" s="1"/>
  <c r="BC188" i="1"/>
  <c r="BG188" i="1"/>
  <c r="BK188" i="1"/>
  <c r="BP188" i="1"/>
  <c r="BU188" i="1"/>
  <c r="BZ188" i="1"/>
  <c r="CA188" i="1" s="1"/>
  <c r="G189" i="1"/>
  <c r="H189" i="1" s="1"/>
  <c r="I189" i="1" s="1"/>
  <c r="K189" i="1"/>
  <c r="L189" i="1"/>
  <c r="P189" i="1"/>
  <c r="P192" i="1" s="1"/>
  <c r="Q189" i="1"/>
  <c r="R189" i="1" s="1"/>
  <c r="U189" i="1"/>
  <c r="W189" i="1"/>
  <c r="Z189" i="1"/>
  <c r="AB189" i="1"/>
  <c r="AC189" i="1" s="1"/>
  <c r="AE189" i="1"/>
  <c r="AG189" i="1"/>
  <c r="AJ189" i="1"/>
  <c r="AJ192" i="1" s="1"/>
  <c r="AK189" i="1"/>
  <c r="AL189" i="1" s="1"/>
  <c r="AM189" i="1" s="1"/>
  <c r="AO189" i="1"/>
  <c r="AO192" i="1" s="1"/>
  <c r="AQ189" i="1"/>
  <c r="AU189" i="1"/>
  <c r="BA189" i="1"/>
  <c r="BB189" i="1"/>
  <c r="BG189" i="1"/>
  <c r="BH189" i="1"/>
  <c r="BK189" i="1"/>
  <c r="BL189" i="1"/>
  <c r="BN189" i="1"/>
  <c r="BN192" i="1" s="1"/>
  <c r="BP189" i="1"/>
  <c r="BQ189" i="1"/>
  <c r="BR189" i="1"/>
  <c r="BU189" i="1"/>
  <c r="BV189" i="1"/>
  <c r="BW189" i="1"/>
  <c r="BZ189" i="1"/>
  <c r="CA189" i="1"/>
  <c r="H190" i="1"/>
  <c r="M190" i="1"/>
  <c r="R190" i="1"/>
  <c r="U190" i="1"/>
  <c r="U125" i="1" s="1"/>
  <c r="U124" i="1" s="1"/>
  <c r="W190" i="1"/>
  <c r="AB190" i="1"/>
  <c r="AE190" i="1"/>
  <c r="AE125" i="1" s="1"/>
  <c r="AG190" i="1"/>
  <c r="AL190" i="1"/>
  <c r="AL125" i="1" s="1"/>
  <c r="AL124" i="1" s="1"/>
  <c r="AQ190" i="1"/>
  <c r="AV190" i="1"/>
  <c r="BA190" i="1"/>
  <c r="BB190" i="1"/>
  <c r="BB209" i="1" s="1"/>
  <c r="BC190" i="1"/>
  <c r="BE190" i="1"/>
  <c r="BE209" i="1" s="1"/>
  <c r="BF190" i="1"/>
  <c r="BF209" i="1" s="1"/>
  <c r="BU190" i="1"/>
  <c r="BZ190" i="1"/>
  <c r="H191" i="1"/>
  <c r="I191" i="1" s="1"/>
  <c r="K191" i="1"/>
  <c r="L191" i="1"/>
  <c r="M191" i="1"/>
  <c r="N191" i="1" s="1"/>
  <c r="O191" i="1" s="1"/>
  <c r="P191" i="1"/>
  <c r="Q191" i="1"/>
  <c r="R191" i="1" s="1"/>
  <c r="U191" i="1"/>
  <c r="W191" i="1"/>
  <c r="AB191" i="1"/>
  <c r="AC191" i="1" s="1"/>
  <c r="AD191" i="1" s="1"/>
  <c r="AG191" i="1"/>
  <c r="AH191" i="1" s="1"/>
  <c r="AI191" i="1" s="1"/>
  <c r="AL191" i="1"/>
  <c r="AM191" i="1" s="1"/>
  <c r="AN191" i="1" s="1"/>
  <c r="AQ191" i="1"/>
  <c r="AR191" i="1" s="1"/>
  <c r="AS191" i="1" s="1"/>
  <c r="AT191" i="1" s="1"/>
  <c r="AV191" i="1"/>
  <c r="BD191" i="1"/>
  <c r="BI191" i="1"/>
  <c r="BM191" i="1"/>
  <c r="BS191" i="1"/>
  <c r="BX191" i="1"/>
  <c r="CM191" i="1"/>
  <c r="CR191" i="1"/>
  <c r="CW191" i="1"/>
  <c r="DB191" i="1"/>
  <c r="DG191" i="1"/>
  <c r="G192" i="1"/>
  <c r="G196" i="1" s="1"/>
  <c r="V192" i="1"/>
  <c r="AA192" i="1"/>
  <c r="AF192" i="1"/>
  <c r="AK192" i="1"/>
  <c r="AP192" i="1"/>
  <c r="AP196" i="1" s="1"/>
  <c r="AZ192" i="1"/>
  <c r="BO192" i="1"/>
  <c r="BT192" i="1"/>
  <c r="BY192" i="1"/>
  <c r="H194" i="1"/>
  <c r="I194" i="1" s="1"/>
  <c r="J194" i="1" s="1"/>
  <c r="M194" i="1"/>
  <c r="N194" i="1" s="1"/>
  <c r="O194" i="1" s="1"/>
  <c r="R194" i="1"/>
  <c r="S194" i="1" s="1"/>
  <c r="W194" i="1"/>
  <c r="X194" i="1" s="1"/>
  <c r="Y194" i="1" s="1"/>
  <c r="AE194" i="1"/>
  <c r="AG194" i="1"/>
  <c r="AL194" i="1"/>
  <c r="AM194" i="1" s="1"/>
  <c r="AN194" i="1" s="1"/>
  <c r="AQ194" i="1"/>
  <c r="AV194" i="1"/>
  <c r="BD194" i="1"/>
  <c r="BK194" i="1"/>
  <c r="BM194" i="1" s="1"/>
  <c r="BP194" i="1"/>
  <c r="BU194" i="1"/>
  <c r="BZ194" i="1"/>
  <c r="CA194" i="1" s="1"/>
  <c r="CM194" i="1"/>
  <c r="CR194" i="1"/>
  <c r="CW194" i="1"/>
  <c r="DB194" i="1"/>
  <c r="DG194" i="1"/>
  <c r="G199" i="1"/>
  <c r="H199" i="1"/>
  <c r="I198" i="1" s="1"/>
  <c r="I199" i="1"/>
  <c r="K198" i="1"/>
  <c r="L199" i="1"/>
  <c r="M198" i="1" s="1"/>
  <c r="M199" i="1"/>
  <c r="N199" i="1"/>
  <c r="O198" i="1" s="1"/>
  <c r="J199" i="1"/>
  <c r="O199" i="1"/>
  <c r="Q199" i="1"/>
  <c r="R198" i="1" s="1"/>
  <c r="R199" i="1"/>
  <c r="S198" i="1" s="1"/>
  <c r="S199" i="1"/>
  <c r="T198" i="1" s="1"/>
  <c r="T199" i="1"/>
  <c r="U199" i="1" s="1"/>
  <c r="V199" i="1"/>
  <c r="W198" i="1" s="1"/>
  <c r="W199" i="1"/>
  <c r="X198" i="1" s="1"/>
  <c r="X199" i="1"/>
  <c r="Y198" i="1" s="1"/>
  <c r="Y199" i="1"/>
  <c r="AA199" i="1"/>
  <c r="AB198" i="1" s="1"/>
  <c r="AB199" i="1"/>
  <c r="AC198" i="1" s="1"/>
  <c r="AC199" i="1"/>
  <c r="AD198" i="1" s="1"/>
  <c r="AD199" i="1"/>
  <c r="AE199" i="1" s="1"/>
  <c r="AF199" i="1"/>
  <c r="AG198" i="1" s="1"/>
  <c r="AG199" i="1"/>
  <c r="AH198" i="1" s="1"/>
  <c r="AH199" i="1"/>
  <c r="AI198" i="1" s="1"/>
  <c r="AI199" i="1"/>
  <c r="AJ199" i="1" s="1"/>
  <c r="AK199" i="1"/>
  <c r="AL198" i="1" s="1"/>
  <c r="AL199" i="1"/>
  <c r="AM198" i="1" s="1"/>
  <c r="AM199" i="1"/>
  <c r="AN198" i="1" s="1"/>
  <c r="AN199" i="1"/>
  <c r="AP199" i="1"/>
  <c r="AQ198" i="1" s="1"/>
  <c r="AQ199" i="1"/>
  <c r="AR198" i="1" s="1"/>
  <c r="AR199" i="1"/>
  <c r="AS198" i="1" s="1"/>
  <c r="AS199" i="1"/>
  <c r="AT199" i="1" s="1"/>
  <c r="AU199" i="1"/>
  <c r="AV198" i="1" s="1"/>
  <c r="AV199" i="1"/>
  <c r="AW198" i="1" s="1"/>
  <c r="AW199" i="1"/>
  <c r="AX198" i="1" s="1"/>
  <c r="AX199" i="1"/>
  <c r="AY199" i="1" s="1"/>
  <c r="BD198" i="1" s="1"/>
  <c r="AZ199" i="1"/>
  <c r="BA199" i="1"/>
  <c r="BB198" i="1" s="1"/>
  <c r="BB199" i="1"/>
  <c r="BC199" i="1"/>
  <c r="BD199" i="1" s="1"/>
  <c r="BE199" i="1"/>
  <c r="BF198" i="1" s="1"/>
  <c r="BF199" i="1"/>
  <c r="BG198" i="1" s="1"/>
  <c r="BG199" i="1"/>
  <c r="BH198" i="1" s="1"/>
  <c r="BH199" i="1"/>
  <c r="BI199" i="1" s="1"/>
  <c r="BJ199" i="1"/>
  <c r="BK198" i="1" s="1"/>
  <c r="BK199" i="1"/>
  <c r="BL198" i="1" s="1"/>
  <c r="BL199" i="1"/>
  <c r="BM198" i="1" s="1"/>
  <c r="BM199" i="1"/>
  <c r="BO199" i="1"/>
  <c r="BP198" i="1" s="1"/>
  <c r="G203" i="1"/>
  <c r="H203" i="1"/>
  <c r="I203" i="1"/>
  <c r="J203" i="1"/>
  <c r="K203" i="1"/>
  <c r="L203" i="1"/>
  <c r="M203" i="1"/>
  <c r="N203" i="1"/>
  <c r="O203" i="1"/>
  <c r="P203" i="1"/>
  <c r="Q203" i="1"/>
  <c r="R203" i="1"/>
  <c r="S203" i="1"/>
  <c r="T203" i="1"/>
  <c r="U203" i="1"/>
  <c r="V203" i="1"/>
  <c r="W203" i="1"/>
  <c r="X203" i="1"/>
  <c r="Y203" i="1"/>
  <c r="Z203" i="1"/>
  <c r="AA203" i="1"/>
  <c r="AB203" i="1"/>
  <c r="AC203" i="1"/>
  <c r="AD203" i="1"/>
  <c r="AE203" i="1"/>
  <c r="AF203" i="1"/>
  <c r="AG203" i="1"/>
  <c r="AH203" i="1"/>
  <c r="AI203" i="1"/>
  <c r="AJ203" i="1"/>
  <c r="AK203" i="1"/>
  <c r="AL203" i="1"/>
  <c r="AM203" i="1"/>
  <c r="AN203" i="1"/>
  <c r="AO203" i="1"/>
  <c r="AP203" i="1"/>
  <c r="AQ203" i="1"/>
  <c r="AU203" i="1"/>
  <c r="AW203" i="1"/>
  <c r="AX203" i="1"/>
  <c r="AZ203" i="1"/>
  <c r="BA203" i="1"/>
  <c r="BB203" i="1"/>
  <c r="BE203" i="1"/>
  <c r="BF203" i="1"/>
  <c r="BH203" i="1"/>
  <c r="BJ203" i="1"/>
  <c r="BK203" i="1"/>
  <c r="BN203" i="1"/>
  <c r="BO203" i="1"/>
  <c r="BS203" i="1"/>
  <c r="BT203" i="1"/>
  <c r="BX203" i="1"/>
  <c r="BY203" i="1"/>
  <c r="CC203" i="1"/>
  <c r="G204" i="1"/>
  <c r="K204" i="1"/>
  <c r="L204" i="1"/>
  <c r="Q204" i="1"/>
  <c r="R204" i="1"/>
  <c r="V204" i="1"/>
  <c r="W204" i="1"/>
  <c r="AA204" i="1"/>
  <c r="AB204" i="1"/>
  <c r="AE204" i="1"/>
  <c r="AF204" i="1"/>
  <c r="AG204" i="1"/>
  <c r="AI204" i="1"/>
  <c r="AK204" i="1"/>
  <c r="AL204" i="1"/>
  <c r="AM204" i="1"/>
  <c r="AU204" i="1"/>
  <c r="AW204" i="1"/>
  <c r="AX204" i="1"/>
  <c r="BA204" i="1"/>
  <c r="BB204" i="1"/>
  <c r="BE204" i="1"/>
  <c r="BF204" i="1"/>
  <c r="BH204" i="1"/>
  <c r="BJ204" i="1"/>
  <c r="BK204" i="1"/>
  <c r="BT204" i="1"/>
  <c r="G205" i="1"/>
  <c r="K205" i="1"/>
  <c r="K206" i="1" s="1"/>
  <c r="L205" i="1"/>
  <c r="L208" i="1" s="1"/>
  <c r="P205" i="1"/>
  <c r="Q205" i="1"/>
  <c r="V205" i="1"/>
  <c r="Z205" i="1"/>
  <c r="AA205" i="1"/>
  <c r="AB205" i="1"/>
  <c r="AE205" i="1"/>
  <c r="AE206" i="1" s="1"/>
  <c r="AF205" i="1"/>
  <c r="AG205" i="1"/>
  <c r="AG208" i="1" s="1"/>
  <c r="AI205" i="1"/>
  <c r="AI206" i="1" s="1"/>
  <c r="AK205" i="1"/>
  <c r="AM205" i="1"/>
  <c r="AM208" i="1" s="1"/>
  <c r="AO205" i="1"/>
  <c r="AP205" i="1"/>
  <c r="AP206" i="1" s="1"/>
  <c r="AQ205" i="1"/>
  <c r="AU205" i="1"/>
  <c r="AW205" i="1"/>
  <c r="AX205" i="1"/>
  <c r="AZ205" i="1"/>
  <c r="AZ208" i="1" s="1"/>
  <c r="BA205" i="1"/>
  <c r="BA206" i="1" s="1"/>
  <c r="BB205" i="1"/>
  <c r="BE205" i="1"/>
  <c r="BE208" i="1" s="1"/>
  <c r="BF205" i="1"/>
  <c r="BF206" i="1" s="1"/>
  <c r="BH205" i="1"/>
  <c r="BJ205" i="1"/>
  <c r="BJ206" i="1" s="1"/>
  <c r="BK205" i="1"/>
  <c r="BK208" i="1" s="1"/>
  <c r="BN205" i="1"/>
  <c r="BN206" i="1" s="1"/>
  <c r="BO205" i="1"/>
  <c r="BO206" i="1" s="1"/>
  <c r="BS205" i="1"/>
  <c r="BT205" i="1"/>
  <c r="BX205" i="1"/>
  <c r="BY205" i="1"/>
  <c r="BY206" i="1" s="1"/>
  <c r="AQ206" i="1"/>
  <c r="AE208" i="1"/>
  <c r="G209" i="1"/>
  <c r="K209" i="1"/>
  <c r="L209" i="1"/>
  <c r="L210" i="1" s="1"/>
  <c r="P209" i="1"/>
  <c r="Q209" i="1"/>
  <c r="U209" i="1"/>
  <c r="V209" i="1"/>
  <c r="W209" i="1"/>
  <c r="AA209" i="1"/>
  <c r="AE209" i="1"/>
  <c r="AF209" i="1"/>
  <c r="AJ209" i="1"/>
  <c r="AK209" i="1"/>
  <c r="AO209" i="1"/>
  <c r="AP209" i="1"/>
  <c r="AU209" i="1"/>
  <c r="AZ209" i="1"/>
  <c r="AZ210" i="1" s="1"/>
  <c r="BN209" i="1"/>
  <c r="BO209" i="1"/>
  <c r="BS209" i="1"/>
  <c r="BT209" i="1"/>
  <c r="BX209" i="1"/>
  <c r="BY209" i="1"/>
  <c r="H213" i="1"/>
  <c r="I213" i="1"/>
  <c r="I257" i="1" s="1"/>
  <c r="J213" i="1"/>
  <c r="J257" i="1" s="1"/>
  <c r="M213" i="1"/>
  <c r="M257" i="1" s="1"/>
  <c r="N213" i="1"/>
  <c r="N257" i="1" s="1"/>
  <c r="O213" i="1"/>
  <c r="O257" i="1" s="1"/>
  <c r="Q213" i="1"/>
  <c r="R213" i="1"/>
  <c r="S213" i="1"/>
  <c r="S257" i="1" s="1"/>
  <c r="T213" i="1"/>
  <c r="T257" i="1" s="1"/>
  <c r="W213" i="1"/>
  <c r="W257" i="1" s="1"/>
  <c r="X213" i="1"/>
  <c r="Y213" i="1"/>
  <c r="Y257" i="1" s="1"/>
  <c r="AA213" i="1"/>
  <c r="AA257" i="1" s="1"/>
  <c r="AB213" i="1"/>
  <c r="AC213" i="1"/>
  <c r="AD213" i="1"/>
  <c r="AD257" i="1" s="1"/>
  <c r="AE213" i="1"/>
  <c r="AE257" i="1" s="1"/>
  <c r="AG213" i="1"/>
  <c r="AH213" i="1"/>
  <c r="AI213" i="1"/>
  <c r="AI257" i="1" s="1"/>
  <c r="AK213" i="1"/>
  <c r="AK257" i="1" s="1"/>
  <c r="AL213" i="1"/>
  <c r="AM213" i="1"/>
  <c r="AM257" i="1" s="1"/>
  <c r="AN213" i="1"/>
  <c r="AU213" i="1"/>
  <c r="AU257" i="1" s="1"/>
  <c r="AV213" i="1"/>
  <c r="AW213" i="1"/>
  <c r="AW257" i="1" s="1"/>
  <c r="AX213" i="1"/>
  <c r="AY213" i="1"/>
  <c r="AY257" i="1" s="1"/>
  <c r="BA213" i="1"/>
  <c r="BB213" i="1"/>
  <c r="BC213" i="1"/>
  <c r="BC257" i="1" s="1"/>
  <c r="BF213" i="1"/>
  <c r="BF257" i="1" s="1"/>
  <c r="BG213" i="1"/>
  <c r="BH213" i="1"/>
  <c r="BJ213" i="1"/>
  <c r="BJ257" i="1" s="1"/>
  <c r="BK213" i="1"/>
  <c r="BK257" i="1" s="1"/>
  <c r="BM213" i="1"/>
  <c r="BM257" i="1" s="1"/>
  <c r="G214" i="1"/>
  <c r="H214" i="1"/>
  <c r="I214" i="1"/>
  <c r="J214" i="1"/>
  <c r="L214" i="1"/>
  <c r="M214" i="1"/>
  <c r="N214" i="1"/>
  <c r="O214" i="1"/>
  <c r="Q214" i="1"/>
  <c r="R214" i="1"/>
  <c r="S214" i="1"/>
  <c r="T214" i="1"/>
  <c r="V214" i="1"/>
  <c r="W214" i="1"/>
  <c r="X214" i="1"/>
  <c r="Y214" i="1"/>
  <c r="AA214" i="1"/>
  <c r="AB214" i="1"/>
  <c r="AC214" i="1"/>
  <c r="AD214" i="1"/>
  <c r="AF214" i="1"/>
  <c r="AG214" i="1"/>
  <c r="AH214" i="1"/>
  <c r="AI214" i="1"/>
  <c r="AK214" i="1"/>
  <c r="AL214" i="1"/>
  <c r="AM214" i="1"/>
  <c r="AN214" i="1"/>
  <c r="AU214" i="1"/>
  <c r="AV214" i="1"/>
  <c r="AW214" i="1"/>
  <c r="AX214" i="1"/>
  <c r="AZ214" i="1"/>
  <c r="BA214" i="1"/>
  <c r="BB214" i="1"/>
  <c r="BC214" i="1"/>
  <c r="BE214" i="1"/>
  <c r="BF214" i="1"/>
  <c r="BG214" i="1"/>
  <c r="BH214" i="1"/>
  <c r="BJ214" i="1"/>
  <c r="BK214" i="1"/>
  <c r="BM214" i="1"/>
  <c r="BT214" i="1"/>
  <c r="G215" i="1"/>
  <c r="H215" i="1"/>
  <c r="I215" i="1"/>
  <c r="J215" i="1"/>
  <c r="L215" i="1"/>
  <c r="M215" i="1"/>
  <c r="O215" i="1"/>
  <c r="Q215" i="1"/>
  <c r="R215" i="1"/>
  <c r="S215" i="1"/>
  <c r="W215" i="1"/>
  <c r="X215" i="1"/>
  <c r="Y215" i="1"/>
  <c r="AA215" i="1"/>
  <c r="AB215" i="1"/>
  <c r="AC215" i="1"/>
  <c r="AD215" i="1"/>
  <c r="AF215" i="1"/>
  <c r="AG215" i="1"/>
  <c r="AH215" i="1"/>
  <c r="AI215" i="1"/>
  <c r="AK215" i="1"/>
  <c r="AL215" i="1"/>
  <c r="AM215" i="1"/>
  <c r="AN215" i="1"/>
  <c r="AP215" i="1"/>
  <c r="AQ215" i="1"/>
  <c r="AR215" i="1"/>
  <c r="AS215" i="1"/>
  <c r="AU215" i="1"/>
  <c r="AV215" i="1"/>
  <c r="AW215" i="1"/>
  <c r="AX215" i="1"/>
  <c r="AZ215" i="1"/>
  <c r="BA215" i="1"/>
  <c r="BB215" i="1"/>
  <c r="BC215" i="1"/>
  <c r="BD215" i="1"/>
  <c r="BE215" i="1"/>
  <c r="BF215" i="1"/>
  <c r="BG215" i="1"/>
  <c r="BH215" i="1"/>
  <c r="BJ215" i="1"/>
  <c r="BK215" i="1"/>
  <c r="BL215" i="1"/>
  <c r="BM215" i="1"/>
  <c r="BO215" i="1"/>
  <c r="BP215" i="1"/>
  <c r="BQ215" i="1"/>
  <c r="BR215" i="1"/>
  <c r="BT215" i="1"/>
  <c r="BU215" i="1"/>
  <c r="BV215" i="1"/>
  <c r="BW215" i="1"/>
  <c r="BY215" i="1"/>
  <c r="BZ215" i="1"/>
  <c r="CA215" i="1"/>
  <c r="CB215" i="1"/>
  <c r="H216" i="1"/>
  <c r="H256" i="1" s="1"/>
  <c r="I216" i="1"/>
  <c r="J216" i="1"/>
  <c r="M216" i="1"/>
  <c r="M256" i="1" s="1"/>
  <c r="N216" i="1"/>
  <c r="N256" i="1" s="1"/>
  <c r="O216" i="1"/>
  <c r="R216" i="1"/>
  <c r="S216" i="1"/>
  <c r="S256" i="1" s="1"/>
  <c r="W216" i="1"/>
  <c r="W256" i="1" s="1"/>
  <c r="X216" i="1"/>
  <c r="Y216" i="1"/>
  <c r="Y256" i="1" s="1"/>
  <c r="AB216" i="1"/>
  <c r="AB256" i="1" s="1"/>
  <c r="AC216" i="1"/>
  <c r="AD216" i="1"/>
  <c r="AG216" i="1"/>
  <c r="AG256" i="1" s="1"/>
  <c r="AH216" i="1"/>
  <c r="AH256" i="1" s="1"/>
  <c r="AI216" i="1"/>
  <c r="AI256" i="1" s="1"/>
  <c r="AK216" i="1"/>
  <c r="AK256" i="1" s="1"/>
  <c r="AL216" i="1"/>
  <c r="AL256" i="1" s="1"/>
  <c r="AM216" i="1"/>
  <c r="AM256" i="1" s="1"/>
  <c r="AN216" i="1"/>
  <c r="AP216" i="1"/>
  <c r="AQ216" i="1"/>
  <c r="AR216" i="1"/>
  <c r="AR256" i="1" s="1"/>
  <c r="AS216" i="1"/>
  <c r="AS256" i="1" s="1"/>
  <c r="AV216" i="1"/>
  <c r="AW216" i="1"/>
  <c r="AW256" i="1" s="1"/>
  <c r="AX216" i="1"/>
  <c r="AX256" i="1" s="1"/>
  <c r="AZ216" i="1"/>
  <c r="BA216" i="1"/>
  <c r="BA256" i="1" s="1"/>
  <c r="BB216" i="1"/>
  <c r="BC216" i="1"/>
  <c r="BD216" i="1"/>
  <c r="BF216" i="1"/>
  <c r="BF256" i="1" s="1"/>
  <c r="BG216" i="1"/>
  <c r="BH216" i="1"/>
  <c r="BH256" i="1" s="1"/>
  <c r="BK216" i="1"/>
  <c r="BK256" i="1" s="1"/>
  <c r="BL216" i="1"/>
  <c r="BL256" i="1" s="1"/>
  <c r="BM216" i="1"/>
  <c r="BP216" i="1"/>
  <c r="BP256" i="1" s="1"/>
  <c r="BQ216" i="1"/>
  <c r="BQ256" i="1" s="1"/>
  <c r="BR216" i="1"/>
  <c r="BU216" i="1"/>
  <c r="BU256" i="1" s="1"/>
  <c r="BV216" i="1"/>
  <c r="BW216" i="1"/>
  <c r="BZ216" i="1"/>
  <c r="BZ256" i="1" s="1"/>
  <c r="CA216" i="1"/>
  <c r="CB216" i="1"/>
  <c r="CB256" i="1" s="1"/>
  <c r="G217" i="1"/>
  <c r="H217" i="1"/>
  <c r="I217" i="1"/>
  <c r="J217" i="1"/>
  <c r="L217" i="1"/>
  <c r="M217" i="1"/>
  <c r="N217" i="1"/>
  <c r="O217" i="1"/>
  <c r="Q217" i="1"/>
  <c r="R217" i="1"/>
  <c r="S217" i="1"/>
  <c r="T217" i="1"/>
  <c r="V217" i="1"/>
  <c r="X217" i="1"/>
  <c r="Y217" i="1"/>
  <c r="Z217" i="1"/>
  <c r="AA217" i="1"/>
  <c r="AB217" i="1"/>
  <c r="AC217" i="1"/>
  <c r="AD217" i="1"/>
  <c r="AE217" i="1"/>
  <c r="AF217" i="1"/>
  <c r="AG217" i="1"/>
  <c r="AH217" i="1"/>
  <c r="AI217" i="1"/>
  <c r="AK217" i="1"/>
  <c r="AL217" i="1"/>
  <c r="AM217" i="1"/>
  <c r="AN217" i="1"/>
  <c r="AU217" i="1"/>
  <c r="AV217" i="1"/>
  <c r="AW217" i="1"/>
  <c r="AX217" i="1"/>
  <c r="AZ217" i="1"/>
  <c r="BA217" i="1"/>
  <c r="BB217" i="1"/>
  <c r="BC217" i="1"/>
  <c r="BE217" i="1"/>
  <c r="BF217" i="1"/>
  <c r="BG217" i="1"/>
  <c r="BH217" i="1"/>
  <c r="BJ217" i="1"/>
  <c r="BK217" i="1"/>
  <c r="BM217" i="1"/>
  <c r="BT217" i="1"/>
  <c r="G218" i="1"/>
  <c r="K218" i="1"/>
  <c r="L218" i="1"/>
  <c r="Q218" i="1"/>
  <c r="V218" i="1"/>
  <c r="W218" i="1"/>
  <c r="AA218" i="1"/>
  <c r="AB218" i="1"/>
  <c r="AE218" i="1"/>
  <c r="AF218" i="1"/>
  <c r="AG218" i="1"/>
  <c r="AI218" i="1"/>
  <c r="AK218" i="1"/>
  <c r="AL218" i="1"/>
  <c r="AM218" i="1"/>
  <c r="AU218" i="1"/>
  <c r="AW218" i="1"/>
  <c r="AX218" i="1"/>
  <c r="BA218" i="1"/>
  <c r="BB218" i="1"/>
  <c r="BE218" i="1"/>
  <c r="BF218" i="1"/>
  <c r="BH218" i="1"/>
  <c r="BJ218" i="1"/>
  <c r="BK218" i="1"/>
  <c r="BT218" i="1"/>
  <c r="G219" i="1"/>
  <c r="L219" i="1"/>
  <c r="M219" i="1"/>
  <c r="P219" i="1"/>
  <c r="Q219" i="1"/>
  <c r="V219" i="1"/>
  <c r="Z219" i="1"/>
  <c r="AA219" i="1"/>
  <c r="AF219" i="1"/>
  <c r="AG219" i="1"/>
  <c r="AI219" i="1"/>
  <c r="AK219" i="1"/>
  <c r="AM219" i="1"/>
  <c r="AP219" i="1"/>
  <c r="AQ219" i="1"/>
  <c r="AU219" i="1"/>
  <c r="AV219" i="1"/>
  <c r="AW219" i="1"/>
  <c r="AX219" i="1"/>
  <c r="BC219" i="1" s="1"/>
  <c r="AZ219" i="1"/>
  <c r="BA219" i="1"/>
  <c r="BB219" i="1"/>
  <c r="BD219" i="1"/>
  <c r="BE219" i="1"/>
  <c r="BF219" i="1"/>
  <c r="BG219" i="1"/>
  <c r="BH219" i="1"/>
  <c r="BJ219" i="1"/>
  <c r="BK219" i="1"/>
  <c r="BL219" i="1"/>
  <c r="BN219" i="1"/>
  <c r="BO219" i="1"/>
  <c r="BP219" i="1"/>
  <c r="BR219" i="1"/>
  <c r="BT219" i="1"/>
  <c r="BU219" i="1"/>
  <c r="BW219" i="1"/>
  <c r="CB219" i="1" s="1"/>
  <c r="BY219" i="1"/>
  <c r="BZ219" i="1"/>
  <c r="G220" i="1"/>
  <c r="L220" i="1"/>
  <c r="M220" i="1"/>
  <c r="P220" i="1"/>
  <c r="R220" i="1"/>
  <c r="V220" i="1"/>
  <c r="Z220" i="1"/>
  <c r="AF220" i="1"/>
  <c r="AG220" i="1"/>
  <c r="AI220" i="1"/>
  <c r="AK220" i="1"/>
  <c r="AM220" i="1"/>
  <c r="AP220" i="1"/>
  <c r="AQ220" i="1"/>
  <c r="AV220" i="1"/>
  <c r="AW220" i="1"/>
  <c r="AX220" i="1"/>
  <c r="AZ220" i="1"/>
  <c r="BA220" i="1"/>
  <c r="BB220" i="1"/>
  <c r="BC220" i="1"/>
  <c r="BD220" i="1"/>
  <c r="BF220" i="1"/>
  <c r="BG220" i="1"/>
  <c r="BH220" i="1"/>
  <c r="BJ220" i="1"/>
  <c r="BK220" i="1"/>
  <c r="BL220" i="1"/>
  <c r="BN220" i="1"/>
  <c r="BP220" i="1"/>
  <c r="BR220" i="1"/>
  <c r="BT220" i="1"/>
  <c r="BW220" i="1"/>
  <c r="CB220" i="1" s="1"/>
  <c r="G221" i="1"/>
  <c r="H221" i="1"/>
  <c r="I221" i="1"/>
  <c r="J221" i="1"/>
  <c r="L221" i="1"/>
  <c r="M221" i="1"/>
  <c r="N221" i="1"/>
  <c r="O221" i="1"/>
  <c r="Q221" i="1"/>
  <c r="R221" i="1"/>
  <c r="S221" i="1"/>
  <c r="T221" i="1"/>
  <c r="V221" i="1"/>
  <c r="W221" i="1"/>
  <c r="X221" i="1"/>
  <c r="Y221" i="1"/>
  <c r="AA221" i="1"/>
  <c r="AB221" i="1"/>
  <c r="AC221" i="1"/>
  <c r="AD221" i="1"/>
  <c r="AF221" i="1"/>
  <c r="AG221" i="1"/>
  <c r="AH221" i="1"/>
  <c r="AI221" i="1"/>
  <c r="AJ221" i="1"/>
  <c r="AK221" i="1"/>
  <c r="AL221" i="1"/>
  <c r="AM221" i="1"/>
  <c r="AN221" i="1"/>
  <c r="AU221" i="1"/>
  <c r="AV221" i="1"/>
  <c r="AW221" i="1"/>
  <c r="AX221" i="1"/>
  <c r="AZ221" i="1"/>
  <c r="BA221" i="1"/>
  <c r="BB221" i="1"/>
  <c r="BC221" i="1"/>
  <c r="BE221" i="1"/>
  <c r="BF221" i="1"/>
  <c r="BG221" i="1"/>
  <c r="BH221" i="1"/>
  <c r="BJ221" i="1"/>
  <c r="BK221" i="1"/>
  <c r="BM221" i="1"/>
  <c r="BT221" i="1"/>
  <c r="H222" i="1"/>
  <c r="I222" i="1"/>
  <c r="J222" i="1"/>
  <c r="J258" i="1" s="1"/>
  <c r="L222" i="1"/>
  <c r="L258" i="1" s="1"/>
  <c r="M222" i="1"/>
  <c r="O222" i="1"/>
  <c r="R222" i="1"/>
  <c r="S222" i="1"/>
  <c r="W222" i="1"/>
  <c r="X222" i="1"/>
  <c r="X258" i="1" s="1"/>
  <c r="Y222" i="1"/>
  <c r="Y258" i="1" s="1"/>
  <c r="AB222" i="1"/>
  <c r="AC222" i="1"/>
  <c r="AC258" i="1" s="1"/>
  <c r="AD222" i="1"/>
  <c r="AF222" i="1"/>
  <c r="AF258" i="1" s="1"/>
  <c r="AG222" i="1"/>
  <c r="AG258" i="1" s="1"/>
  <c r="AH222" i="1"/>
  <c r="AI222" i="1"/>
  <c r="AL222" i="1"/>
  <c r="AL258" i="1" s="1"/>
  <c r="AM222" i="1"/>
  <c r="AM258" i="1" s="1"/>
  <c r="AN222" i="1"/>
  <c r="AQ222" i="1"/>
  <c r="AQ258" i="1" s="1"/>
  <c r="AR222" i="1"/>
  <c r="AR258" i="1" s="1"/>
  <c r="AS222" i="1"/>
  <c r="AV222" i="1"/>
  <c r="AW222" i="1"/>
  <c r="AW258" i="1" s="1"/>
  <c r="AX222" i="1"/>
  <c r="AX258" i="1" s="1"/>
  <c r="BA222" i="1"/>
  <c r="BA258" i="1" s="1"/>
  <c r="BB222" i="1"/>
  <c r="BB258" i="1" s="1"/>
  <c r="BC222" i="1"/>
  <c r="BE222" i="1"/>
  <c r="BE258" i="1" s="1"/>
  <c r="BF222" i="1"/>
  <c r="BG222" i="1"/>
  <c r="BG258" i="1" s="1"/>
  <c r="BH222" i="1"/>
  <c r="BK222" i="1"/>
  <c r="BK258" i="1" s="1"/>
  <c r="BL222" i="1"/>
  <c r="BL258" i="1" s="1"/>
  <c r="BM222" i="1"/>
  <c r="BP222" i="1"/>
  <c r="BQ222" i="1"/>
  <c r="BQ258" i="1" s="1"/>
  <c r="BR222" i="1"/>
  <c r="BU222" i="1"/>
  <c r="BV222" i="1"/>
  <c r="BV258" i="1" s="1"/>
  <c r="BW222" i="1"/>
  <c r="BW258" i="1" s="1"/>
  <c r="BZ222" i="1"/>
  <c r="CA222" i="1"/>
  <c r="CA258" i="1" s="1"/>
  <c r="G223" i="1"/>
  <c r="H223" i="1"/>
  <c r="I223" i="1"/>
  <c r="J223" i="1"/>
  <c r="L223" i="1"/>
  <c r="M223" i="1"/>
  <c r="O223" i="1"/>
  <c r="R223" i="1"/>
  <c r="S223" i="1"/>
  <c r="V223" i="1"/>
  <c r="W223" i="1"/>
  <c r="X223" i="1"/>
  <c r="Y223" i="1"/>
  <c r="AA223" i="1"/>
  <c r="AB223" i="1"/>
  <c r="AC223" i="1"/>
  <c r="AD223" i="1"/>
  <c r="AF223" i="1"/>
  <c r="AG223" i="1"/>
  <c r="AH223" i="1"/>
  <c r="AI223" i="1"/>
  <c r="AK223" i="1"/>
  <c r="AL223" i="1"/>
  <c r="AM223" i="1"/>
  <c r="AN223" i="1"/>
  <c r="AP223" i="1"/>
  <c r="AQ223" i="1"/>
  <c r="AR223" i="1"/>
  <c r="AS223" i="1"/>
  <c r="AU223" i="1"/>
  <c r="AV223" i="1"/>
  <c r="AW223" i="1"/>
  <c r="AX223" i="1"/>
  <c r="AZ223" i="1"/>
  <c r="BA223" i="1"/>
  <c r="BB223" i="1"/>
  <c r="BC223" i="1"/>
  <c r="BE223" i="1"/>
  <c r="BF223" i="1"/>
  <c r="BG223" i="1"/>
  <c r="BH223" i="1"/>
  <c r="BJ223" i="1"/>
  <c r="BK223" i="1"/>
  <c r="BL223" i="1"/>
  <c r="BM223" i="1"/>
  <c r="BO223" i="1"/>
  <c r="BP223" i="1"/>
  <c r="BQ223" i="1"/>
  <c r="BR223" i="1"/>
  <c r="BS223" i="1"/>
  <c r="BT223" i="1"/>
  <c r="BU223" i="1"/>
  <c r="BV223" i="1"/>
  <c r="BW223" i="1"/>
  <c r="BY223" i="1"/>
  <c r="BZ223" i="1"/>
  <c r="CA223" i="1"/>
  <c r="H224" i="1"/>
  <c r="I224" i="1"/>
  <c r="J224" i="1"/>
  <c r="M224" i="1"/>
  <c r="O224" i="1"/>
  <c r="R224" i="1"/>
  <c r="S224" i="1"/>
  <c r="W224" i="1"/>
  <c r="X224" i="1"/>
  <c r="Y224" i="1"/>
  <c r="AB224" i="1"/>
  <c r="AC224" i="1"/>
  <c r="AD224" i="1"/>
  <c r="AG224" i="1"/>
  <c r="AH224" i="1"/>
  <c r="AI224" i="1"/>
  <c r="AK224" i="1"/>
  <c r="AL224" i="1"/>
  <c r="AM224" i="1"/>
  <c r="AN224" i="1"/>
  <c r="AR224" i="1"/>
  <c r="AS224" i="1"/>
  <c r="AV224" i="1"/>
  <c r="AW224" i="1"/>
  <c r="AX224" i="1"/>
  <c r="AZ224" i="1"/>
  <c r="BA224" i="1"/>
  <c r="BB224" i="1"/>
  <c r="BC224" i="1"/>
  <c r="BD224" i="1"/>
  <c r="BE224" i="1"/>
  <c r="BF224" i="1"/>
  <c r="BG224" i="1"/>
  <c r="BH224" i="1"/>
  <c r="BK224" i="1"/>
  <c r="BL224" i="1"/>
  <c r="BM224" i="1"/>
  <c r="BO224" i="1"/>
  <c r="BP224" i="1"/>
  <c r="BQ224" i="1"/>
  <c r="BR224" i="1"/>
  <c r="BS224" i="1"/>
  <c r="BU224" i="1"/>
  <c r="BV224" i="1"/>
  <c r="BW224" i="1"/>
  <c r="BY224" i="1"/>
  <c r="BZ224" i="1"/>
  <c r="CA224" i="1"/>
  <c r="G225" i="1"/>
  <c r="H225" i="1"/>
  <c r="I225" i="1"/>
  <c r="J225" i="1"/>
  <c r="L225" i="1"/>
  <c r="M225" i="1"/>
  <c r="O225" i="1"/>
  <c r="Q225" i="1"/>
  <c r="R225" i="1"/>
  <c r="S225" i="1"/>
  <c r="W225" i="1"/>
  <c r="X225" i="1"/>
  <c r="Y225" i="1"/>
  <c r="AA225" i="1"/>
  <c r="AB225" i="1"/>
  <c r="AC225" i="1"/>
  <c r="AD225" i="1"/>
  <c r="AF225" i="1"/>
  <c r="AG225" i="1"/>
  <c r="AH225" i="1"/>
  <c r="AI225" i="1"/>
  <c r="AK225" i="1"/>
  <c r="AL225" i="1"/>
  <c r="AM225" i="1"/>
  <c r="AN225" i="1"/>
  <c r="AQ225" i="1"/>
  <c r="AR225" i="1"/>
  <c r="AS225" i="1"/>
  <c r="AU225" i="1"/>
  <c r="AV225" i="1"/>
  <c r="AW225" i="1"/>
  <c r="AX225" i="1"/>
  <c r="AZ225" i="1"/>
  <c r="BA225" i="1"/>
  <c r="BB225" i="1"/>
  <c r="BC225" i="1"/>
  <c r="BD225" i="1"/>
  <c r="BE225" i="1"/>
  <c r="BF225" i="1"/>
  <c r="BG225" i="1"/>
  <c r="BH225" i="1"/>
  <c r="BJ225" i="1"/>
  <c r="BK225" i="1"/>
  <c r="BL225" i="1"/>
  <c r="BM225" i="1"/>
  <c r="BO225" i="1"/>
  <c r="BP225" i="1"/>
  <c r="BQ225" i="1"/>
  <c r="BR225" i="1"/>
  <c r="BT225" i="1"/>
  <c r="BU225" i="1"/>
  <c r="BV225" i="1"/>
  <c r="BW225" i="1"/>
  <c r="CB225" i="1" s="1"/>
  <c r="CB148" i="1" s="1"/>
  <c r="BY225" i="1"/>
  <c r="BZ225" i="1"/>
  <c r="CA225" i="1"/>
  <c r="G226" i="1"/>
  <c r="H226" i="1"/>
  <c r="I226" i="1"/>
  <c r="J226" i="1"/>
  <c r="K226" i="1"/>
  <c r="L226" i="1"/>
  <c r="M226" i="1"/>
  <c r="N226" i="1"/>
  <c r="O226" i="1"/>
  <c r="Q226" i="1"/>
  <c r="R226" i="1"/>
  <c r="S226" i="1"/>
  <c r="T226" i="1"/>
  <c r="V226" i="1"/>
  <c r="W226" i="1"/>
  <c r="X226" i="1"/>
  <c r="Y226" i="1"/>
  <c r="AA226" i="1"/>
  <c r="AB226" i="1"/>
  <c r="AC226" i="1"/>
  <c r="AD226" i="1"/>
  <c r="AE226" i="1"/>
  <c r="AF226" i="1"/>
  <c r="AG226" i="1"/>
  <c r="AH226" i="1"/>
  <c r="AI226" i="1"/>
  <c r="AK226" i="1"/>
  <c r="AL226" i="1"/>
  <c r="AM226" i="1"/>
  <c r="AN226" i="1"/>
  <c r="AU226" i="1"/>
  <c r="AV226" i="1"/>
  <c r="AW226" i="1"/>
  <c r="AX226" i="1"/>
  <c r="AZ226" i="1"/>
  <c r="BA226" i="1"/>
  <c r="BB226" i="1"/>
  <c r="BC226" i="1"/>
  <c r="BE226" i="1"/>
  <c r="BF226" i="1"/>
  <c r="BG226" i="1"/>
  <c r="BH226" i="1"/>
  <c r="BJ226" i="1"/>
  <c r="BK226" i="1"/>
  <c r="BM226" i="1"/>
  <c r="BT226" i="1"/>
  <c r="G227" i="1"/>
  <c r="H227" i="1"/>
  <c r="I227" i="1"/>
  <c r="J227" i="1"/>
  <c r="L227" i="1"/>
  <c r="M227" i="1"/>
  <c r="N227" i="1"/>
  <c r="O227" i="1"/>
  <c r="Q227" i="1"/>
  <c r="R227" i="1"/>
  <c r="S227" i="1"/>
  <c r="T227" i="1"/>
  <c r="V227" i="1"/>
  <c r="W227" i="1"/>
  <c r="X227" i="1"/>
  <c r="Y227" i="1"/>
  <c r="AA227" i="1"/>
  <c r="AB227" i="1"/>
  <c r="AC227" i="1"/>
  <c r="AD227" i="1"/>
  <c r="AE227" i="1"/>
  <c r="AF227" i="1"/>
  <c r="AG227" i="1"/>
  <c r="AH227" i="1"/>
  <c r="AI227" i="1"/>
  <c r="AK227" i="1"/>
  <c r="AL227" i="1"/>
  <c r="AM227" i="1"/>
  <c r="AN227" i="1"/>
  <c r="AU227" i="1"/>
  <c r="AV227" i="1"/>
  <c r="AW227" i="1"/>
  <c r="AX227" i="1"/>
  <c r="AZ227" i="1"/>
  <c r="BA227" i="1"/>
  <c r="BB227" i="1"/>
  <c r="BC227" i="1"/>
  <c r="BE227" i="1"/>
  <c r="BF227" i="1"/>
  <c r="BG227" i="1"/>
  <c r="BH227" i="1"/>
  <c r="BJ227" i="1"/>
  <c r="BK227" i="1"/>
  <c r="BM227" i="1"/>
  <c r="BT227" i="1"/>
  <c r="G228" i="1"/>
  <c r="H228" i="1"/>
  <c r="I228" i="1"/>
  <c r="J228" i="1"/>
  <c r="K228" i="1"/>
  <c r="L228" i="1"/>
  <c r="M228" i="1"/>
  <c r="N228" i="1"/>
  <c r="O228" i="1"/>
  <c r="Q228" i="1"/>
  <c r="R228" i="1"/>
  <c r="S228" i="1"/>
  <c r="T228" i="1"/>
  <c r="V228" i="1"/>
  <c r="W228" i="1"/>
  <c r="X228" i="1"/>
  <c r="Y228" i="1"/>
  <c r="AA228" i="1"/>
  <c r="AB228" i="1"/>
  <c r="AC228" i="1"/>
  <c r="AD228" i="1"/>
  <c r="AE228" i="1"/>
  <c r="AF228" i="1"/>
  <c r="AG228" i="1"/>
  <c r="AH228" i="1"/>
  <c r="AI228" i="1"/>
  <c r="AK228" i="1"/>
  <c r="AL228" i="1"/>
  <c r="AM228" i="1"/>
  <c r="AN228" i="1"/>
  <c r="AU228" i="1"/>
  <c r="AV228" i="1"/>
  <c r="AW228" i="1"/>
  <c r="AX228" i="1"/>
  <c r="AZ228" i="1"/>
  <c r="BA228" i="1"/>
  <c r="BB228" i="1"/>
  <c r="BC228" i="1"/>
  <c r="BE228" i="1"/>
  <c r="BF228" i="1"/>
  <c r="BG228" i="1"/>
  <c r="BH228" i="1"/>
  <c r="BJ228" i="1"/>
  <c r="BK228" i="1"/>
  <c r="BM228" i="1"/>
  <c r="BT228" i="1"/>
  <c r="G229" i="1"/>
  <c r="K229" i="1"/>
  <c r="L229" i="1"/>
  <c r="P229" i="1"/>
  <c r="Q229" i="1"/>
  <c r="U229" i="1"/>
  <c r="V229" i="1"/>
  <c r="Z229" i="1"/>
  <c r="AA229" i="1"/>
  <c r="AB229" i="1"/>
  <c r="AE229" i="1"/>
  <c r="AF229" i="1"/>
  <c r="AG229" i="1"/>
  <c r="AJ229" i="1"/>
  <c r="AK229" i="1"/>
  <c r="AO229" i="1"/>
  <c r="AP229" i="1"/>
  <c r="AU229" i="1"/>
  <c r="AZ229" i="1"/>
  <c r="BB229" i="1"/>
  <c r="BK229" i="1"/>
  <c r="BL229" i="1" s="1"/>
  <c r="BM229" i="1" s="1"/>
  <c r="BN229" i="1"/>
  <c r="BO229" i="1"/>
  <c r="BT229" i="1"/>
  <c r="BX229" i="1"/>
  <c r="BY229" i="1"/>
  <c r="BZ229" i="1"/>
  <c r="G231" i="1"/>
  <c r="I231" i="1"/>
  <c r="L231" i="1"/>
  <c r="N231" i="1"/>
  <c r="Q231" i="1"/>
  <c r="R231" i="1"/>
  <c r="T231" i="1"/>
  <c r="AD231" i="1"/>
  <c r="AH231" i="1"/>
  <c r="AL231" i="1"/>
  <c r="AQ231" i="1"/>
  <c r="AA233" i="1"/>
  <c r="AE233" i="1" s="1"/>
  <c r="G237" i="1"/>
  <c r="H237" i="1"/>
  <c r="I237" i="1"/>
  <c r="J237" i="1"/>
  <c r="L237" i="1"/>
  <c r="M237" i="1"/>
  <c r="N237" i="1"/>
  <c r="O237" i="1"/>
  <c r="Q237" i="1"/>
  <c r="R237" i="1"/>
  <c r="S237" i="1"/>
  <c r="T237" i="1"/>
  <c r="V237" i="1"/>
  <c r="W237" i="1"/>
  <c r="X237" i="1"/>
  <c r="Y237" i="1"/>
  <c r="AA237" i="1"/>
  <c r="AB237" i="1"/>
  <c r="AC237" i="1"/>
  <c r="AD237" i="1"/>
  <c r="AF237" i="1"/>
  <c r="AG237" i="1"/>
  <c r="AH237" i="1"/>
  <c r="AI237" i="1"/>
  <c r="AK237" i="1"/>
  <c r="AL237" i="1"/>
  <c r="AM237" i="1"/>
  <c r="AN237" i="1"/>
  <c r="AP237" i="1"/>
  <c r="AQ237" i="1"/>
  <c r="AR237" i="1"/>
  <c r="AS237" i="1"/>
  <c r="AT237" i="1"/>
  <c r="AU237" i="1"/>
  <c r="AV237" i="1"/>
  <c r="AW237" i="1"/>
  <c r="AX237" i="1"/>
  <c r="AZ237" i="1"/>
  <c r="BA237" i="1"/>
  <c r="BB237" i="1"/>
  <c r="BC237" i="1"/>
  <c r="BD237" i="1"/>
  <c r="BE237" i="1"/>
  <c r="BF237" i="1"/>
  <c r="BG237" i="1"/>
  <c r="BH237" i="1"/>
  <c r="BJ237" i="1"/>
  <c r="BK237" i="1"/>
  <c r="BL237" i="1"/>
  <c r="BM237" i="1"/>
  <c r="BO237" i="1"/>
  <c r="G238" i="1"/>
  <c r="H238" i="1"/>
  <c r="I238" i="1"/>
  <c r="J238" i="1"/>
  <c r="K238" i="1"/>
  <c r="L238" i="1"/>
  <c r="M238" i="1"/>
  <c r="N238" i="1"/>
  <c r="O238" i="1"/>
  <c r="P238" i="1"/>
  <c r="Q238" i="1"/>
  <c r="R238" i="1"/>
  <c r="S238" i="1"/>
  <c r="T238" i="1"/>
  <c r="W238" i="1"/>
  <c r="X238" i="1"/>
  <c r="Y238" i="1"/>
  <c r="AA238" i="1"/>
  <c r="AB238" i="1"/>
  <c r="AC238" i="1"/>
  <c r="AD238" i="1"/>
  <c r="AE238" i="1"/>
  <c r="AF238" i="1"/>
  <c r="AF241" i="1" s="1"/>
  <c r="AF242" i="1" s="1"/>
  <c r="AF235" i="1" s="1"/>
  <c r="AG238" i="1"/>
  <c r="AH238" i="1"/>
  <c r="AI238" i="1"/>
  <c r="AK238" i="1"/>
  <c r="AL238" i="1"/>
  <c r="AM238" i="1"/>
  <c r="AN238" i="1"/>
  <c r="AP238" i="1"/>
  <c r="AQ238" i="1"/>
  <c r="AR238" i="1"/>
  <c r="AS238" i="1"/>
  <c r="AT238" i="1"/>
  <c r="AU238" i="1"/>
  <c r="AV238" i="1"/>
  <c r="AW238" i="1"/>
  <c r="AX238" i="1"/>
  <c r="AY238" i="1"/>
  <c r="AZ238" i="1"/>
  <c r="BA238" i="1"/>
  <c r="BB238" i="1"/>
  <c r="BC238" i="1"/>
  <c r="BE238" i="1"/>
  <c r="BF238" i="1"/>
  <c r="BG238" i="1"/>
  <c r="BH238" i="1"/>
  <c r="BJ238" i="1"/>
  <c r="BK238" i="1"/>
  <c r="BL238" i="1"/>
  <c r="BM238" i="1"/>
  <c r="BN238" i="1"/>
  <c r="BO238" i="1"/>
  <c r="BP238" i="1"/>
  <c r="BQ238" i="1"/>
  <c r="BR238" i="1"/>
  <c r="BS238" i="1"/>
  <c r="BT238" i="1"/>
  <c r="BU238" i="1"/>
  <c r="BV238" i="1"/>
  <c r="BW238" i="1"/>
  <c r="BY238" i="1"/>
  <c r="BZ238" i="1"/>
  <c r="CA238" i="1"/>
  <c r="CB238" i="1"/>
  <c r="CD238" i="1"/>
  <c r="G239" i="1"/>
  <c r="H239" i="1"/>
  <c r="I239" i="1"/>
  <c r="J239" i="1"/>
  <c r="L239" i="1"/>
  <c r="M239" i="1"/>
  <c r="N239" i="1"/>
  <c r="O239" i="1"/>
  <c r="P239" i="1"/>
  <c r="Q239" i="1"/>
  <c r="R239" i="1"/>
  <c r="S239" i="1"/>
  <c r="T239" i="1"/>
  <c r="U239" i="1"/>
  <c r="V239" i="1"/>
  <c r="W239" i="1"/>
  <c r="X239" i="1"/>
  <c r="Y239" i="1"/>
  <c r="AA239" i="1"/>
  <c r="AB239" i="1"/>
  <c r="AC239" i="1"/>
  <c r="AD239" i="1"/>
  <c r="AF239" i="1"/>
  <c r="AG239" i="1"/>
  <c r="AH239" i="1"/>
  <c r="AI239" i="1"/>
  <c r="AJ239" i="1"/>
  <c r="AK239" i="1"/>
  <c r="AL239" i="1"/>
  <c r="AM239" i="1"/>
  <c r="AN239" i="1"/>
  <c r="AO239" i="1"/>
  <c r="AP239" i="1"/>
  <c r="AQ239" i="1"/>
  <c r="AR239" i="1"/>
  <c r="AS239" i="1"/>
  <c r="AU239" i="1"/>
  <c r="AV239" i="1"/>
  <c r="AW239" i="1"/>
  <c r="AX239" i="1"/>
  <c r="AZ239" i="1"/>
  <c r="BA239" i="1"/>
  <c r="BB239" i="1"/>
  <c r="BC239" i="1"/>
  <c r="BF239" i="1"/>
  <c r="BG239" i="1"/>
  <c r="BH239" i="1"/>
  <c r="BJ239" i="1"/>
  <c r="BK239" i="1"/>
  <c r="BL239" i="1"/>
  <c r="BM239" i="1"/>
  <c r="BO239" i="1"/>
  <c r="BP239" i="1"/>
  <c r="BQ239" i="1"/>
  <c r="BR239" i="1"/>
  <c r="BS239" i="1"/>
  <c r="BT239" i="1"/>
  <c r="BU239" i="1"/>
  <c r="BV239" i="1"/>
  <c r="BW239" i="1"/>
  <c r="BY239" i="1"/>
  <c r="BZ239" i="1"/>
  <c r="CA239" i="1"/>
  <c r="CE239" i="1"/>
  <c r="G240" i="1"/>
  <c r="H240" i="1"/>
  <c r="I240" i="1"/>
  <c r="J240" i="1"/>
  <c r="L240" i="1"/>
  <c r="M240" i="1"/>
  <c r="N240" i="1"/>
  <c r="O240" i="1"/>
  <c r="Q240" i="1"/>
  <c r="R240" i="1"/>
  <c r="S240" i="1"/>
  <c r="T240" i="1"/>
  <c r="U240" i="1"/>
  <c r="V240" i="1"/>
  <c r="W240" i="1"/>
  <c r="X240" i="1"/>
  <c r="Y240" i="1"/>
  <c r="AA240" i="1"/>
  <c r="AB240" i="1"/>
  <c r="AC240" i="1"/>
  <c r="AD240" i="1"/>
  <c r="AE240" i="1"/>
  <c r="AF240" i="1"/>
  <c r="AG240" i="1"/>
  <c r="AH240" i="1"/>
  <c r="AI240" i="1"/>
  <c r="AK240" i="1"/>
  <c r="AL240" i="1"/>
  <c r="AM240" i="1"/>
  <c r="AN240" i="1"/>
  <c r="AO240" i="1"/>
  <c r="AP240" i="1"/>
  <c r="AQ240" i="1"/>
  <c r="AR240" i="1"/>
  <c r="AS240" i="1"/>
  <c r="AT240" i="1"/>
  <c r="AU240" i="1"/>
  <c r="AU241" i="1" s="1"/>
  <c r="AV240" i="1"/>
  <c r="AW240" i="1"/>
  <c r="AX240" i="1"/>
  <c r="AZ240" i="1"/>
  <c r="BA240" i="1"/>
  <c r="BB240" i="1"/>
  <c r="BC240" i="1"/>
  <c r="BE240" i="1"/>
  <c r="BF240" i="1"/>
  <c r="BG240" i="1"/>
  <c r="BH240" i="1"/>
  <c r="BI240" i="1"/>
  <c r="BJ240" i="1"/>
  <c r="BK240" i="1"/>
  <c r="BL240" i="1"/>
  <c r="BM240" i="1"/>
  <c r="BO240" i="1"/>
  <c r="BP240" i="1"/>
  <c r="BQ240" i="1"/>
  <c r="BR240" i="1"/>
  <c r="BT240" i="1"/>
  <c r="BU240" i="1"/>
  <c r="BV240" i="1"/>
  <c r="BW240" i="1"/>
  <c r="BY240" i="1"/>
  <c r="BZ240" i="1"/>
  <c r="CA240" i="1"/>
  <c r="CB240" i="1"/>
  <c r="CC240" i="1"/>
  <c r="CD240" i="1"/>
  <c r="CE240" i="1"/>
  <c r="AR241" i="1"/>
  <c r="CW244" i="1"/>
  <c r="DB244" i="1"/>
  <c r="DG244" i="1"/>
  <c r="G245" i="1"/>
  <c r="J245" i="1"/>
  <c r="BA250" i="1"/>
  <c r="BF250" i="1"/>
  <c r="BG250" i="1"/>
  <c r="BM250" i="1"/>
  <c r="CM250" i="1"/>
  <c r="CR250" i="1"/>
  <c r="I256" i="1"/>
  <c r="J256" i="1"/>
  <c r="O256" i="1"/>
  <c r="R256" i="1"/>
  <c r="X256" i="1"/>
  <c r="AC256" i="1"/>
  <c r="AD256" i="1"/>
  <c r="AD259" i="1" s="1"/>
  <c r="AN256" i="1"/>
  <c r="AP256" i="1"/>
  <c r="AQ256" i="1"/>
  <c r="AV256" i="1"/>
  <c r="AZ256" i="1"/>
  <c r="BB256" i="1"/>
  <c r="BC256" i="1"/>
  <c r="BD256" i="1"/>
  <c r="BG256" i="1"/>
  <c r="BJ256" i="1"/>
  <c r="BM256" i="1"/>
  <c r="BR256" i="1"/>
  <c r="BT256" i="1"/>
  <c r="BV256" i="1"/>
  <c r="BW256" i="1"/>
  <c r="CA256" i="1"/>
  <c r="H257" i="1"/>
  <c r="Q257" i="1"/>
  <c r="R257" i="1"/>
  <c r="X257" i="1"/>
  <c r="AB257" i="1"/>
  <c r="AC257" i="1"/>
  <c r="AG257" i="1"/>
  <c r="AH257" i="1"/>
  <c r="AL257" i="1"/>
  <c r="AN257" i="1"/>
  <c r="AV257" i="1"/>
  <c r="AX257" i="1"/>
  <c r="BA257" i="1"/>
  <c r="BB257" i="1"/>
  <c r="BE257" i="1"/>
  <c r="BG257" i="1"/>
  <c r="BH257" i="1"/>
  <c r="BT257" i="1"/>
  <c r="H258" i="1"/>
  <c r="I258" i="1"/>
  <c r="M258" i="1"/>
  <c r="O258" i="1"/>
  <c r="R258" i="1"/>
  <c r="S258" i="1"/>
  <c r="W258" i="1"/>
  <c r="AB258" i="1"/>
  <c r="AD258" i="1"/>
  <c r="AH258" i="1"/>
  <c r="AI258" i="1"/>
  <c r="AN258" i="1"/>
  <c r="AS258" i="1"/>
  <c r="AV258" i="1"/>
  <c r="BC258" i="1"/>
  <c r="BF258" i="1"/>
  <c r="BH258" i="1"/>
  <c r="BM258" i="1"/>
  <c r="BP258" i="1"/>
  <c r="BR258" i="1"/>
  <c r="BT258" i="1"/>
  <c r="BU258" i="1"/>
  <c r="BZ258" i="1"/>
  <c r="CL262" i="1"/>
  <c r="CN262" i="1" s="1"/>
  <c r="CO262" i="1" s="1"/>
  <c r="CP262" i="1" s="1"/>
  <c r="CQ262" i="1" s="1"/>
  <c r="CS262" i="1" s="1"/>
  <c r="CT262" i="1" s="1"/>
  <c r="CU262" i="1" s="1"/>
  <c r="CV262" i="1" s="1"/>
  <c r="CX262" i="1" s="1"/>
  <c r="CY262" i="1" s="1"/>
  <c r="CZ262" i="1" s="1"/>
  <c r="DA262" i="1" s="1"/>
  <c r="DC262" i="1" s="1"/>
  <c r="DD262" i="1" s="1"/>
  <c r="DE262" i="1" s="1"/>
  <c r="DF262" i="1" s="1"/>
  <c r="BI267" i="1"/>
  <c r="BI294" i="1" s="1"/>
  <c r="BN267" i="1"/>
  <c r="BN294" i="1" s="1"/>
  <c r="BS267" i="1"/>
  <c r="BS294" i="1" s="1"/>
  <c r="BX267" i="1"/>
  <c r="BX294" i="1" s="1"/>
  <c r="CC267" i="1"/>
  <c r="CC294" i="1" s="1"/>
  <c r="CH267" i="1"/>
  <c r="CH294" i="1" s="1"/>
  <c r="CM267" i="1"/>
  <c r="CM294" i="1" s="1"/>
  <c r="CR267" i="1"/>
  <c r="CR294" i="1" s="1"/>
  <c r="CW267" i="1"/>
  <c r="CW294" i="1" s="1"/>
  <c r="DB267" i="1"/>
  <c r="DB294" i="1" s="1"/>
  <c r="DG267" i="1"/>
  <c r="DG294" i="1" s="1"/>
  <c r="AJ268" i="1"/>
  <c r="AO268" i="1"/>
  <c r="AT268" i="1"/>
  <c r="BD268" i="1"/>
  <c r="BI268" i="1"/>
  <c r="BN268" i="1"/>
  <c r="BX268" i="1"/>
  <c r="CC268" i="1"/>
  <c r="AI283" i="1"/>
  <c r="G286" i="1"/>
  <c r="H286" i="1"/>
  <c r="I286" i="1"/>
  <c r="J286" i="1"/>
  <c r="L286" i="1"/>
  <c r="M286" i="1"/>
  <c r="N286" i="1"/>
  <c r="O286" i="1"/>
  <c r="P286" i="1"/>
  <c r="Q286" i="1"/>
  <c r="R286" i="1"/>
  <c r="S286" i="1"/>
  <c r="T286" i="1"/>
  <c r="V286" i="1"/>
  <c r="W286" i="1"/>
  <c r="X286" i="1"/>
  <c r="Y286" i="1"/>
  <c r="AA286" i="1"/>
  <c r="AB286" i="1"/>
  <c r="AC286" i="1"/>
  <c r="AD286" i="1"/>
  <c r="AE286" i="1"/>
  <c r="AF286" i="1"/>
  <c r="AG286" i="1"/>
  <c r="AH286" i="1"/>
  <c r="AI286" i="1"/>
  <c r="AK286" i="1"/>
  <c r="AL286" i="1"/>
  <c r="AM286" i="1"/>
  <c r="AN286" i="1"/>
  <c r="AP286" i="1"/>
  <c r="AQ286" i="1"/>
  <c r="AR286" i="1"/>
  <c r="AS286" i="1"/>
  <c r="AU286" i="1"/>
  <c r="AV286" i="1"/>
  <c r="AW286" i="1"/>
  <c r="AX286" i="1"/>
  <c r="AY286" i="1"/>
  <c r="AZ286" i="1"/>
  <c r="BA286" i="1"/>
  <c r="BB286" i="1"/>
  <c r="BC286" i="1"/>
  <c r="BD286" i="1"/>
  <c r="BE286" i="1"/>
  <c r="BF286" i="1"/>
  <c r="BG286" i="1"/>
  <c r="BH286" i="1"/>
  <c r="BI286" i="1"/>
  <c r="BJ286" i="1"/>
  <c r="BK286" i="1"/>
  <c r="BL286" i="1"/>
  <c r="BM286" i="1"/>
  <c r="BO286" i="1"/>
  <c r="BP286" i="1"/>
  <c r="BQ286" i="1"/>
  <c r="BR286" i="1"/>
  <c r="BS286" i="1"/>
  <c r="BT286" i="1"/>
  <c r="BU286" i="1"/>
  <c r="BV286" i="1"/>
  <c r="BW286" i="1"/>
  <c r="BX286" i="1"/>
  <c r="BY286" i="1"/>
  <c r="BZ286" i="1"/>
  <c r="CA286" i="1"/>
  <c r="G287" i="1"/>
  <c r="H287" i="1"/>
  <c r="I287" i="1"/>
  <c r="J287" i="1"/>
  <c r="K287" i="1"/>
  <c r="L287" i="1"/>
  <c r="M287" i="1"/>
  <c r="N287" i="1"/>
  <c r="O287" i="1"/>
  <c r="Q287" i="1"/>
  <c r="R287" i="1"/>
  <c r="S287" i="1"/>
  <c r="T287" i="1"/>
  <c r="U287" i="1"/>
  <c r="V287" i="1"/>
  <c r="W287" i="1"/>
  <c r="X287" i="1"/>
  <c r="Y287" i="1"/>
  <c r="Z287" i="1"/>
  <c r="AA287" i="1"/>
  <c r="AB287" i="1"/>
  <c r="AC287" i="1"/>
  <c r="AD287" i="1"/>
  <c r="AF287" i="1"/>
  <c r="AG287" i="1"/>
  <c r="AH287" i="1"/>
  <c r="AI287" i="1"/>
  <c r="AJ287" i="1"/>
  <c r="AK287" i="1"/>
  <c r="AL287" i="1"/>
  <c r="AM287" i="1"/>
  <c r="AN287" i="1"/>
  <c r="AO287" i="1"/>
  <c r="AQ287" i="1"/>
  <c r="AR287" i="1"/>
  <c r="AS287" i="1"/>
  <c r="AU287" i="1"/>
  <c r="AV287" i="1"/>
  <c r="AW287" i="1"/>
  <c r="AX287" i="1"/>
  <c r="AY287" i="1"/>
  <c r="AZ287" i="1"/>
  <c r="BA287" i="1"/>
  <c r="BB287" i="1"/>
  <c r="BC287" i="1"/>
  <c r="BD287" i="1"/>
  <c r="BE287" i="1"/>
  <c r="BF287" i="1"/>
  <c r="BG287" i="1"/>
  <c r="BH287" i="1"/>
  <c r="BJ287" i="1"/>
  <c r="BK287" i="1"/>
  <c r="BL287" i="1"/>
  <c r="BM287" i="1"/>
  <c r="BN287" i="1"/>
  <c r="BO287" i="1"/>
  <c r="BP287" i="1"/>
  <c r="BQ287" i="1"/>
  <c r="BR287" i="1"/>
  <c r="BS287" i="1"/>
  <c r="BT287" i="1"/>
  <c r="BU287" i="1"/>
  <c r="BV287" i="1"/>
  <c r="BW287" i="1"/>
  <c r="BX287" i="1"/>
  <c r="BY287" i="1"/>
  <c r="BZ287" i="1"/>
  <c r="CA287" i="1"/>
  <c r="G288" i="1"/>
  <c r="H288" i="1"/>
  <c r="I288" i="1"/>
  <c r="J288" i="1"/>
  <c r="K288" i="1"/>
  <c r="L288" i="1"/>
  <c r="M288" i="1"/>
  <c r="N288" i="1"/>
  <c r="O288" i="1"/>
  <c r="Q288" i="1"/>
  <c r="R288" i="1"/>
  <c r="S288" i="1"/>
  <c r="T288" i="1"/>
  <c r="U288" i="1"/>
  <c r="V288" i="1"/>
  <c r="W288" i="1"/>
  <c r="X288" i="1"/>
  <c r="Y288" i="1"/>
  <c r="Z288" i="1"/>
  <c r="AA288" i="1"/>
  <c r="AB288" i="1"/>
  <c r="AC288" i="1"/>
  <c r="AD288" i="1"/>
  <c r="AF288" i="1"/>
  <c r="AG288" i="1"/>
  <c r="AH288" i="1"/>
  <c r="AI288" i="1"/>
  <c r="AK288" i="1"/>
  <c r="AL288" i="1"/>
  <c r="AM288" i="1"/>
  <c r="AN288" i="1"/>
  <c r="AO288" i="1"/>
  <c r="AP288" i="1"/>
  <c r="AQ288" i="1"/>
  <c r="AR288" i="1"/>
  <c r="AS288" i="1"/>
  <c r="AT288" i="1"/>
  <c r="AU288" i="1"/>
  <c r="AV288" i="1"/>
  <c r="AW288" i="1"/>
  <c r="AX288" i="1"/>
  <c r="AZ288" i="1"/>
  <c r="BA288" i="1"/>
  <c r="BB288" i="1"/>
  <c r="BC288" i="1"/>
  <c r="BE288" i="1"/>
  <c r="BF288" i="1"/>
  <c r="BG288" i="1"/>
  <c r="BH288" i="1"/>
  <c r="BI288" i="1"/>
  <c r="BJ288" i="1"/>
  <c r="BK288" i="1"/>
  <c r="BL288" i="1"/>
  <c r="BM288" i="1"/>
  <c r="BO288" i="1"/>
  <c r="BP288" i="1"/>
  <c r="BQ288" i="1"/>
  <c r="BR288" i="1"/>
  <c r="BT288" i="1"/>
  <c r="BU288" i="1"/>
  <c r="BV288" i="1"/>
  <c r="BW288" i="1"/>
  <c r="BX288" i="1"/>
  <c r="BY288" i="1"/>
  <c r="BZ288" i="1"/>
  <c r="CA288" i="1"/>
  <c r="CD288" i="1"/>
  <c r="G289" i="1"/>
  <c r="H289" i="1"/>
  <c r="I289" i="1"/>
  <c r="J289" i="1"/>
  <c r="K289" i="1"/>
  <c r="L289" i="1"/>
  <c r="M289" i="1"/>
  <c r="N289" i="1"/>
  <c r="O289" i="1"/>
  <c r="Q289" i="1"/>
  <c r="R289" i="1"/>
  <c r="S289" i="1"/>
  <c r="T289" i="1"/>
  <c r="U289" i="1"/>
  <c r="V289" i="1"/>
  <c r="W289" i="1"/>
  <c r="X289" i="1"/>
  <c r="Y289" i="1"/>
  <c r="AA289" i="1"/>
  <c r="AB289" i="1"/>
  <c r="AC289" i="1"/>
  <c r="AD289" i="1"/>
  <c r="AE289" i="1"/>
  <c r="AF289" i="1"/>
  <c r="AG289" i="1"/>
  <c r="AH289" i="1"/>
  <c r="AI289" i="1"/>
  <c r="AK289" i="1"/>
  <c r="AL289" i="1"/>
  <c r="AM289" i="1"/>
  <c r="AN289" i="1"/>
  <c r="AO289" i="1"/>
  <c r="AP289" i="1"/>
  <c r="AQ289" i="1"/>
  <c r="AR289" i="1"/>
  <c r="AS289" i="1"/>
  <c r="AU289" i="1"/>
  <c r="AV289" i="1"/>
  <c r="AW289" i="1"/>
  <c r="AX289" i="1"/>
  <c r="AY289" i="1"/>
  <c r="AZ289" i="1"/>
  <c r="BA289" i="1"/>
  <c r="BB289" i="1"/>
  <c r="BC289" i="1"/>
  <c r="BE289" i="1"/>
  <c r="BF289" i="1"/>
  <c r="BG289" i="1"/>
  <c r="BH289" i="1"/>
  <c r="BI289" i="1"/>
  <c r="BJ289" i="1"/>
  <c r="BK289" i="1"/>
  <c r="BL289" i="1"/>
  <c r="BM289" i="1"/>
  <c r="BO289" i="1"/>
  <c r="BP289" i="1"/>
  <c r="BQ289" i="1"/>
  <c r="BR289" i="1"/>
  <c r="BS289" i="1"/>
  <c r="BT289" i="1"/>
  <c r="BU289" i="1"/>
  <c r="BV289" i="1"/>
  <c r="BW289" i="1"/>
  <c r="BY289" i="1"/>
  <c r="BZ289" i="1"/>
  <c r="CA289" i="1"/>
  <c r="CB289" i="1"/>
  <c r="CD289" i="1"/>
  <c r="G290" i="1"/>
  <c r="H290" i="1"/>
  <c r="I290" i="1"/>
  <c r="J290" i="1"/>
  <c r="K290" i="1"/>
  <c r="L290" i="1"/>
  <c r="M290" i="1"/>
  <c r="N290" i="1"/>
  <c r="O290" i="1"/>
  <c r="Q290" i="1"/>
  <c r="R290" i="1"/>
  <c r="S290" i="1"/>
  <c r="T290" i="1"/>
  <c r="U290" i="1"/>
  <c r="V290" i="1"/>
  <c r="W290" i="1"/>
  <c r="X290" i="1"/>
  <c r="Y290" i="1"/>
  <c r="Z290" i="1"/>
  <c r="AA290" i="1"/>
  <c r="AB290" i="1"/>
  <c r="AC290" i="1"/>
  <c r="AD290" i="1"/>
  <c r="AE290" i="1"/>
  <c r="AF290" i="1"/>
  <c r="AG290" i="1"/>
  <c r="AH290" i="1"/>
  <c r="AI290" i="1"/>
  <c r="AK290" i="1"/>
  <c r="AL290" i="1"/>
  <c r="AM290" i="1"/>
  <c r="AN290" i="1"/>
  <c r="AP290" i="1"/>
  <c r="AQ290" i="1"/>
  <c r="AR290" i="1"/>
  <c r="AS290" i="1"/>
  <c r="AT290" i="1"/>
  <c r="AU290" i="1"/>
  <c r="AV290" i="1"/>
  <c r="AW290" i="1"/>
  <c r="AX290" i="1"/>
  <c r="AY290" i="1"/>
  <c r="AZ290" i="1"/>
  <c r="BA290" i="1"/>
  <c r="BB290" i="1"/>
  <c r="BC290" i="1"/>
  <c r="BE290" i="1"/>
  <c r="BF290" i="1"/>
  <c r="BG290" i="1"/>
  <c r="BH290" i="1"/>
  <c r="BJ290" i="1"/>
  <c r="BK290" i="1"/>
  <c r="BL290" i="1"/>
  <c r="BM290" i="1"/>
  <c r="BN290" i="1"/>
  <c r="BO290" i="1"/>
  <c r="BP290" i="1"/>
  <c r="BQ290" i="1"/>
  <c r="BR290" i="1"/>
  <c r="BS290" i="1"/>
  <c r="BT290" i="1"/>
  <c r="BU290" i="1"/>
  <c r="BV290" i="1"/>
  <c r="BW290" i="1"/>
  <c r="BY290" i="1"/>
  <c r="BZ290" i="1"/>
  <c r="CA290" i="1"/>
  <c r="CB290" i="1"/>
  <c r="CC290" i="1"/>
  <c r="CD290" i="1"/>
  <c r="AJ294" i="1"/>
  <c r="AO294" i="1"/>
  <c r="AT294" i="1"/>
  <c r="AY294" i="1"/>
  <c r="BD294" i="1"/>
  <c r="AR299" i="1"/>
  <c r="AP304" i="1"/>
  <c r="AQ304" i="1"/>
  <c r="AR304" i="1"/>
  <c r="AS304" i="1"/>
  <c r="AU329" i="1"/>
  <c r="L330" i="1"/>
  <c r="M330" i="1"/>
  <c r="N330" i="1"/>
  <c r="O330" i="1"/>
  <c r="P330" i="1"/>
  <c r="Q330" i="1"/>
  <c r="R330" i="1"/>
  <c r="S330" i="1"/>
  <c r="T330" i="1"/>
  <c r="U330" i="1"/>
  <c r="V330" i="1"/>
  <c r="W330" i="1"/>
  <c r="X330" i="1"/>
  <c r="Y330" i="1"/>
  <c r="Z330" i="1"/>
  <c r="AA330" i="1"/>
  <c r="AB330" i="1"/>
  <c r="AC330" i="1"/>
  <c r="AD330" i="1"/>
  <c r="AE330" i="1"/>
  <c r="AF330" i="1"/>
  <c r="AG330" i="1"/>
  <c r="AH330" i="1"/>
  <c r="AI330" i="1"/>
  <c r="AJ330" i="1"/>
  <c r="AK330" i="1"/>
  <c r="AL330" i="1"/>
  <c r="AM330" i="1"/>
  <c r="AN330" i="1"/>
  <c r="AO330" i="1"/>
  <c r="AP330" i="1"/>
  <c r="AQ330" i="1"/>
  <c r="AR330" i="1"/>
  <c r="AS330" i="1"/>
  <c r="AT330" i="1"/>
  <c r="AU330" i="1"/>
  <c r="AV330" i="1"/>
  <c r="AW330" i="1"/>
  <c r="AX330" i="1"/>
  <c r="AZ330" i="1"/>
  <c r="BD330" i="1"/>
  <c r="BG330" i="1"/>
  <c r="BH330" i="1"/>
  <c r="BJ330" i="1"/>
  <c r="BK330" i="1"/>
  <c r="BL330" i="1"/>
  <c r="BM330" i="1"/>
  <c r="BO330" i="1"/>
  <c r="BP330" i="1"/>
  <c r="BQ330" i="1"/>
  <c r="BR330" i="1"/>
  <c r="BT330" i="1"/>
  <c r="BU330" i="1"/>
  <c r="BV330" i="1"/>
  <c r="BW330" i="1"/>
  <c r="BY330" i="1"/>
  <c r="BZ330" i="1"/>
  <c r="CA330" i="1"/>
  <c r="CB330" i="1"/>
  <c r="CD330" i="1"/>
  <c r="CE330" i="1"/>
  <c r="CF330" i="1"/>
  <c r="CG330" i="1"/>
  <c r="CI330" i="1"/>
  <c r="CK330" i="1"/>
  <c r="AK332" i="1"/>
  <c r="AL332" i="1"/>
  <c r="AM332" i="1"/>
  <c r="AN332" i="1"/>
  <c r="AP332" i="1"/>
  <c r="AQ332" i="1"/>
  <c r="AR332" i="1"/>
  <c r="AS332" i="1"/>
  <c r="G334" i="1"/>
  <c r="H334" i="1"/>
  <c r="I334" i="1"/>
  <c r="K334" i="1"/>
  <c r="L334" i="1"/>
  <c r="M334" i="1"/>
  <c r="P334" i="1"/>
  <c r="Q334" i="1"/>
  <c r="U334" i="1"/>
  <c r="Z334" i="1"/>
  <c r="AA334" i="1"/>
  <c r="AE334" i="1"/>
  <c r="AF334" i="1"/>
  <c r="AG334" i="1"/>
  <c r="AK334" i="1"/>
  <c r="AL334" i="1"/>
  <c r="AO334" i="1"/>
  <c r="AP334" i="1"/>
  <c r="AQ334" i="1"/>
  <c r="AU334" i="1"/>
  <c r="AZ334" i="1"/>
  <c r="BA334" i="1"/>
  <c r="BB334" i="1"/>
  <c r="BC334" i="1"/>
  <c r="BE334" i="1"/>
  <c r="BF334" i="1"/>
  <c r="BG334" i="1"/>
  <c r="BH334" i="1"/>
  <c r="BI334" i="1"/>
  <c r="BJ334" i="1"/>
  <c r="BK334" i="1"/>
  <c r="BN334" i="1"/>
  <c r="BO334" i="1"/>
  <c r="BP334" i="1"/>
  <c r="BQ334" i="1"/>
  <c r="BS334" i="1"/>
  <c r="BT334" i="1"/>
  <c r="BX334" i="1"/>
  <c r="BY334" i="1"/>
  <c r="BZ334" i="1"/>
  <c r="CA334" i="1"/>
  <c r="CD334" i="1"/>
  <c r="CI334" i="1"/>
  <c r="CJ334" i="1"/>
  <c r="CK334" i="1"/>
  <c r="CL334" i="1"/>
  <c r="CN334" i="1"/>
  <c r="CO334" i="1"/>
  <c r="CP334" i="1"/>
  <c r="CQ334" i="1"/>
  <c r="CR334" i="1"/>
  <c r="CS334" i="1"/>
  <c r="CT334" i="1"/>
  <c r="CU334" i="1"/>
  <c r="CV334" i="1"/>
  <c r="CX334" i="1"/>
  <c r="CY334" i="1"/>
  <c r="CZ334" i="1"/>
  <c r="DA334" i="1"/>
  <c r="DC334" i="1"/>
  <c r="DD334" i="1"/>
  <c r="DE334" i="1"/>
  <c r="DF334" i="1"/>
  <c r="DG334" i="1"/>
  <c r="M335" i="1"/>
  <c r="N335" i="1"/>
  <c r="V335" i="1"/>
  <c r="W335" i="1"/>
  <c r="X335" i="1"/>
  <c r="AB335" i="1"/>
  <c r="AD335" i="1"/>
  <c r="AG335" i="1"/>
  <c r="AI335" i="1"/>
  <c r="AL335" i="1"/>
  <c r="AN335" i="1"/>
  <c r="BB335" i="1"/>
  <c r="BF335" i="1"/>
  <c r="BH335" i="1"/>
  <c r="BK335" i="1"/>
  <c r="BM335" i="1"/>
  <c r="AK343" i="1"/>
  <c r="AV343" i="1"/>
  <c r="BA344" i="1"/>
  <c r="BF344" i="1"/>
  <c r="BG344" i="1"/>
  <c r="BM344" i="1"/>
  <c r="CM344" i="1"/>
  <c r="CR344" i="1"/>
  <c r="CW344" i="1"/>
  <c r="AU350" i="1"/>
  <c r="AV350" i="1"/>
  <c r="AW350" i="1"/>
  <c r="AX350" i="1"/>
  <c r="AZ350" i="1"/>
  <c r="BA350" i="1"/>
  <c r="BB350" i="1"/>
  <c r="BC350" i="1"/>
  <c r="BE350" i="1"/>
  <c r="BF350" i="1"/>
  <c r="BG350" i="1"/>
  <c r="BH350" i="1"/>
  <c r="BI350" i="1"/>
  <c r="BJ350" i="1"/>
  <c r="BK350" i="1"/>
  <c r="BM350" i="1"/>
  <c r="BT350" i="1"/>
  <c r="CD350" i="1"/>
  <c r="AV351" i="1"/>
  <c r="CD351" i="1"/>
  <c r="AV352" i="1"/>
  <c r="AW352" i="1"/>
  <c r="AX352" i="1"/>
  <c r="AY352" i="1"/>
  <c r="AZ352" i="1"/>
  <c r="BA352" i="1"/>
  <c r="BB352" i="1"/>
  <c r="BC352" i="1"/>
  <c r="BD352" i="1"/>
  <c r="BE352" i="1"/>
  <c r="BF352" i="1"/>
  <c r="BG352" i="1"/>
  <c r="BH352" i="1"/>
  <c r="BJ352" i="1"/>
  <c r="BK352" i="1"/>
  <c r="BL352" i="1"/>
  <c r="BM352" i="1"/>
  <c r="BN352" i="1"/>
  <c r="BO352" i="1"/>
  <c r="BP352" i="1"/>
  <c r="BQ352" i="1"/>
  <c r="BR352" i="1"/>
  <c r="BS352" i="1"/>
  <c r="BT352" i="1"/>
  <c r="BU352" i="1"/>
  <c r="BV352" i="1"/>
  <c r="BW352" i="1"/>
  <c r="BX352" i="1"/>
  <c r="BY352" i="1"/>
  <c r="BZ352" i="1"/>
  <c r="CA352" i="1"/>
  <c r="CB352" i="1"/>
  <c r="CD352" i="1"/>
  <c r="CE352" i="1"/>
  <c r="CF352" i="1"/>
  <c r="CG352" i="1"/>
  <c r="CI352" i="1"/>
  <c r="CJ352" i="1"/>
  <c r="CK352" i="1"/>
  <c r="CL352" i="1"/>
  <c r="CN352" i="1"/>
  <c r="CO352" i="1"/>
  <c r="CP352" i="1"/>
  <c r="CQ352" i="1"/>
  <c r="CR352" i="1"/>
  <c r="CS352" i="1"/>
  <c r="CT352" i="1"/>
  <c r="CU352" i="1"/>
  <c r="CV352" i="1"/>
  <c r="CW352" i="1"/>
  <c r="CX352" i="1"/>
  <c r="CY352" i="1"/>
  <c r="CZ352" i="1"/>
  <c r="DA352" i="1"/>
  <c r="DB352" i="1"/>
  <c r="DC352" i="1"/>
  <c r="DD352" i="1"/>
  <c r="DE352" i="1"/>
  <c r="DF352" i="1"/>
  <c r="BQ355" i="1"/>
  <c r="AU356" i="1"/>
  <c r="AV356" i="1"/>
  <c r="AW356" i="1"/>
  <c r="AX356" i="1"/>
  <c r="AZ356" i="1"/>
  <c r="BA356" i="1"/>
  <c r="BB356" i="1"/>
  <c r="BE356" i="1"/>
  <c r="BF356" i="1"/>
  <c r="BH356" i="1"/>
  <c r="BJ356" i="1"/>
  <c r="BK356" i="1"/>
  <c r="BL356" i="1"/>
  <c r="BN356" i="1"/>
  <c r="BO356" i="1"/>
  <c r="BS356" i="1"/>
  <c r="BT356" i="1"/>
  <c r="BU356" i="1"/>
  <c r="BX356" i="1"/>
  <c r="BY356" i="1"/>
  <c r="BZ356" i="1"/>
  <c r="CA356" i="1"/>
  <c r="AT358" i="1"/>
  <c r="AW358" i="1"/>
  <c r="AX358" i="1"/>
  <c r="BA358" i="1"/>
  <c r="BB358" i="1"/>
  <c r="BE358" i="1"/>
  <c r="BG358" i="1"/>
  <c r="BJ358" i="1"/>
  <c r="BL358" i="1"/>
  <c r="BM358" i="1"/>
  <c r="BP358" i="1"/>
  <c r="BR358" i="1"/>
  <c r="BT358" i="1"/>
  <c r="BW358" i="1"/>
  <c r="BY358" i="1"/>
  <c r="CB358" i="1"/>
  <c r="BD359" i="1"/>
  <c r="BI359" i="1"/>
  <c r="C2" i="2"/>
  <c r="H2" i="2"/>
  <c r="W2" i="2"/>
  <c r="AB2" i="2"/>
  <c r="AG2" i="2"/>
  <c r="AL2" i="2"/>
  <c r="AL151" i="2" s="1"/>
  <c r="AQ2" i="2"/>
  <c r="AQ151" i="2" s="1"/>
  <c r="AV2" i="2"/>
  <c r="AV151" i="2" s="1"/>
  <c r="BE3" i="2"/>
  <c r="BA2" i="2" s="1"/>
  <c r="BA151" i="2" s="1"/>
  <c r="BJ3" i="2"/>
  <c r="BO3" i="2"/>
  <c r="BK2" i="2" s="1"/>
  <c r="BK151" i="2" s="1"/>
  <c r="BP2" i="2"/>
  <c r="BY3" i="2"/>
  <c r="BY152" i="2" s="1"/>
  <c r="CD3" i="2"/>
  <c r="CI3" i="2"/>
  <c r="CN3" i="2"/>
  <c r="CS3" i="2"/>
  <c r="CX3" i="2"/>
  <c r="CT2" i="2" s="1"/>
  <c r="CT151" i="2" s="1"/>
  <c r="DC3" i="2"/>
  <c r="DH3" i="2"/>
  <c r="AL3" i="2"/>
  <c r="AL152" i="2" s="1"/>
  <c r="AM3" i="2"/>
  <c r="AN3" i="2"/>
  <c r="AN152" i="2" s="1"/>
  <c r="AO3" i="2"/>
  <c r="AO152" i="2" s="1"/>
  <c r="AQ3" i="2"/>
  <c r="AQ152" i="2" s="1"/>
  <c r="AR3" i="2"/>
  <c r="AS3" i="2"/>
  <c r="AS152" i="2" s="1"/>
  <c r="AT3" i="2"/>
  <c r="AV3" i="2"/>
  <c r="AV152" i="2" s="1"/>
  <c r="AW3" i="2"/>
  <c r="AW152" i="2" s="1"/>
  <c r="AX3" i="2"/>
  <c r="AX152" i="2" s="1"/>
  <c r="AY3" i="2"/>
  <c r="AY152" i="2" s="1"/>
  <c r="BA3" i="2"/>
  <c r="BA152" i="2" s="1"/>
  <c r="BB3" i="2"/>
  <c r="BB152" i="2" s="1"/>
  <c r="BC3" i="2"/>
  <c r="BD3" i="2"/>
  <c r="BD152" i="2" s="1"/>
  <c r="BF3" i="2"/>
  <c r="BF152" i="2" s="1"/>
  <c r="BG3" i="2"/>
  <c r="BG152" i="2" s="1"/>
  <c r="BH3" i="2"/>
  <c r="BH152" i="2" s="1"/>
  <c r="BI3" i="2"/>
  <c r="BK3" i="2"/>
  <c r="BK152" i="2" s="1"/>
  <c r="BL3" i="2"/>
  <c r="BL152" i="2" s="1"/>
  <c r="BM3" i="2"/>
  <c r="BM152" i="2" s="1"/>
  <c r="BN3" i="2"/>
  <c r="BP3" i="2"/>
  <c r="BP152" i="2" s="1"/>
  <c r="BQ3" i="2"/>
  <c r="BQ152" i="2" s="1"/>
  <c r="BR3" i="2"/>
  <c r="BR152" i="2" s="1"/>
  <c r="BS3" i="2"/>
  <c r="BS152" i="2" s="1"/>
  <c r="BU3" i="2"/>
  <c r="BU152" i="2" s="1"/>
  <c r="BV3" i="2"/>
  <c r="BV152" i="2" s="1"/>
  <c r="BW3" i="2"/>
  <c r="BW152" i="2" s="1"/>
  <c r="BX3" i="2"/>
  <c r="BX152" i="2" s="1"/>
  <c r="BZ3" i="2"/>
  <c r="BZ152" i="2" s="1"/>
  <c r="CA3" i="2"/>
  <c r="CA152" i="2" s="1"/>
  <c r="CB3" i="2"/>
  <c r="CB152" i="2" s="1"/>
  <c r="CC3" i="2"/>
  <c r="CC152" i="2" s="1"/>
  <c r="CE3" i="2"/>
  <c r="CE152" i="2" s="1"/>
  <c r="CF3" i="2"/>
  <c r="CG3" i="2"/>
  <c r="CG152" i="2" s="1"/>
  <c r="CH3" i="2"/>
  <c r="CJ3" i="2"/>
  <c r="CK3" i="2"/>
  <c r="CL3" i="2"/>
  <c r="CL152" i="2" s="1"/>
  <c r="CM3" i="2"/>
  <c r="CO3" i="2"/>
  <c r="CO152" i="2" s="1"/>
  <c r="CP3" i="2"/>
  <c r="CP152" i="2" s="1"/>
  <c r="CQ3" i="2"/>
  <c r="CQ152" i="2" s="1"/>
  <c r="CR3" i="2"/>
  <c r="CT3" i="2"/>
  <c r="CT152" i="2" s="1"/>
  <c r="CU3" i="2"/>
  <c r="CU152" i="2" s="1"/>
  <c r="CV3" i="2"/>
  <c r="CV152" i="2" s="1"/>
  <c r="CW3" i="2"/>
  <c r="CW152" i="2" s="1"/>
  <c r="CY3" i="2"/>
  <c r="CY152" i="2" s="1"/>
  <c r="CZ3" i="2"/>
  <c r="CZ152" i="2" s="1"/>
  <c r="DA3" i="2"/>
  <c r="DA152" i="2" s="1"/>
  <c r="DB3" i="2"/>
  <c r="DD3" i="2"/>
  <c r="DD152" i="2" s="1"/>
  <c r="DE3" i="2"/>
  <c r="DE152" i="2" s="1"/>
  <c r="DF3" i="2"/>
  <c r="DF152" i="2" s="1"/>
  <c r="DG3" i="2"/>
  <c r="DG152" i="2" s="1"/>
  <c r="AZ5" i="2"/>
  <c r="BE5" i="2"/>
  <c r="BJ5" i="2"/>
  <c r="BO5" i="2"/>
  <c r="BT5" i="2"/>
  <c r="BY5" i="2"/>
  <c r="CD5" i="2"/>
  <c r="AZ6" i="2"/>
  <c r="AZ189" i="2" s="1"/>
  <c r="BE6" i="2"/>
  <c r="BJ6" i="2"/>
  <c r="BO6" i="2"/>
  <c r="BT6" i="2"/>
  <c r="BY6" i="2"/>
  <c r="CD6" i="2"/>
  <c r="CD49" i="2" s="1"/>
  <c r="AZ7" i="2"/>
  <c r="AZ190" i="2" s="1"/>
  <c r="BE7" i="2"/>
  <c r="BJ57" i="2" s="1"/>
  <c r="BJ7" i="2"/>
  <c r="BO7" i="2"/>
  <c r="BT7" i="2"/>
  <c r="BY54" i="2" s="1"/>
  <c r="BY7" i="2"/>
  <c r="CD7" i="2"/>
  <c r="AZ8" i="2"/>
  <c r="BE8" i="2"/>
  <c r="BJ66" i="2" s="1"/>
  <c r="BJ8" i="2"/>
  <c r="BO8" i="2"/>
  <c r="BT8" i="2"/>
  <c r="BY8" i="2"/>
  <c r="CD8" i="2"/>
  <c r="AG9" i="2"/>
  <c r="AG15" i="2" s="1"/>
  <c r="AH9" i="2"/>
  <c r="AH16" i="2" s="1"/>
  <c r="AI9" i="2"/>
  <c r="AJ9" i="2"/>
  <c r="AK9" i="2"/>
  <c r="AK15" i="2" s="1"/>
  <c r="AL9" i="2"/>
  <c r="AM9" i="2"/>
  <c r="AN9" i="2"/>
  <c r="AO9" i="2"/>
  <c r="AO15" i="2" s="1"/>
  <c r="AP9" i="2"/>
  <c r="AQ9" i="2"/>
  <c r="AV31" i="2" s="1"/>
  <c r="AV48" i="2" s="1"/>
  <c r="AZ48" i="2" s="1"/>
  <c r="AR9" i="2"/>
  <c r="AS9" i="2"/>
  <c r="AR7" i="1" s="1"/>
  <c r="AT9" i="2"/>
  <c r="AU9" i="2"/>
  <c r="AU16" i="2" s="1"/>
  <c r="AV9" i="2"/>
  <c r="AW9" i="2"/>
  <c r="AW15" i="2" s="1"/>
  <c r="AX9" i="2"/>
  <c r="AX15" i="2" s="1"/>
  <c r="AY9" i="2"/>
  <c r="BA9" i="2"/>
  <c r="BA15" i="2" s="1"/>
  <c r="BB9" i="2"/>
  <c r="BB16" i="2" s="1"/>
  <c r="BC9" i="2"/>
  <c r="BH40" i="2" s="1"/>
  <c r="BD9" i="2"/>
  <c r="BI65" i="2" s="1"/>
  <c r="BF9" i="2"/>
  <c r="BF13" i="2" s="1"/>
  <c r="BG9" i="2"/>
  <c r="BG13" i="2" s="1"/>
  <c r="BH9" i="2"/>
  <c r="BI9" i="2"/>
  <c r="BN65" i="2" s="1"/>
  <c r="BK9" i="2"/>
  <c r="BK13" i="2" s="1"/>
  <c r="BL9" i="2"/>
  <c r="BM9" i="2"/>
  <c r="BM16" i="2" s="1"/>
  <c r="BN9" i="2"/>
  <c r="BN14" i="2" s="1"/>
  <c r="BP9" i="2"/>
  <c r="BP16" i="2" s="1"/>
  <c r="BQ9" i="2"/>
  <c r="BP7" i="1" s="1"/>
  <c r="BP217" i="1" s="1"/>
  <c r="BR9" i="2"/>
  <c r="BS9" i="2"/>
  <c r="BU9" i="2"/>
  <c r="BU15" i="2" s="1"/>
  <c r="BV9" i="2"/>
  <c r="BU7" i="1" s="1"/>
  <c r="BW9" i="2"/>
  <c r="BW14" i="2" s="1"/>
  <c r="BX9" i="2"/>
  <c r="BZ9" i="2"/>
  <c r="BZ12" i="2" s="1"/>
  <c r="CA9" i="2"/>
  <c r="BZ7" i="1" s="1"/>
  <c r="CB9" i="2"/>
  <c r="CB32" i="2" s="1"/>
  <c r="CB29" i="2" s="1"/>
  <c r="CB33" i="2" s="1"/>
  <c r="CC9" i="2"/>
  <c r="CC13" i="2" s="1"/>
  <c r="CE9" i="2"/>
  <c r="CE32" i="2" s="1"/>
  <c r="AG12" i="2"/>
  <c r="AO12" i="2"/>
  <c r="AQ12" i="2"/>
  <c r="BB12" i="2"/>
  <c r="BG12" i="2"/>
  <c r="BQ12" i="2"/>
  <c r="BV12" i="2"/>
  <c r="BW12" i="2"/>
  <c r="BB13" i="2"/>
  <c r="BQ13" i="2"/>
  <c r="BV13" i="2"/>
  <c r="BB14" i="2"/>
  <c r="BG14" i="2"/>
  <c r="BV14" i="2"/>
  <c r="CA14" i="2"/>
  <c r="BB15" i="2"/>
  <c r="BK15" i="2"/>
  <c r="BV15" i="2"/>
  <c r="CA15" i="2"/>
  <c r="CE15" i="2"/>
  <c r="AK16" i="2"/>
  <c r="AS16" i="2"/>
  <c r="BG16" i="2"/>
  <c r="BL16" i="2"/>
  <c r="BQ16" i="2"/>
  <c r="BU16" i="2"/>
  <c r="CA16" i="2"/>
  <c r="H19" i="2"/>
  <c r="I19" i="2"/>
  <c r="J19" i="2"/>
  <c r="I332" i="1" s="1"/>
  <c r="K19" i="2"/>
  <c r="M19" i="2"/>
  <c r="N19" i="2"/>
  <c r="O19" i="2"/>
  <c r="N332" i="1" s="1"/>
  <c r="P19" i="2"/>
  <c r="R19" i="2"/>
  <c r="S19" i="2"/>
  <c r="T19" i="2"/>
  <c r="U19" i="2"/>
  <c r="W19" i="2"/>
  <c r="X19" i="2"/>
  <c r="W332" i="1" s="1"/>
  <c r="Y19" i="2"/>
  <c r="X332" i="1" s="1"/>
  <c r="Z19" i="2"/>
  <c r="AB19" i="2"/>
  <c r="AC19" i="2"/>
  <c r="AD19" i="2"/>
  <c r="AC332" i="1" s="1"/>
  <c r="AE19" i="2"/>
  <c r="AG19" i="2"/>
  <c r="AH19" i="2"/>
  <c r="AG332" i="1" s="1"/>
  <c r="AI19" i="2"/>
  <c r="AH332" i="1" s="1"/>
  <c r="AJ19" i="2"/>
  <c r="AP19" i="2"/>
  <c r="AU19" i="2"/>
  <c r="AT332" i="1" s="1"/>
  <c r="L20" i="2"/>
  <c r="Q20" i="2"/>
  <c r="V20" i="2"/>
  <c r="AA20" i="2"/>
  <c r="AA206" i="2" s="1"/>
  <c r="AF20" i="2"/>
  <c r="AK20" i="2"/>
  <c r="L21" i="2"/>
  <c r="Q21" i="2"/>
  <c r="V21" i="2"/>
  <c r="AA21" i="2"/>
  <c r="AF21" i="2"/>
  <c r="AF23" i="2" s="1"/>
  <c r="AK21" i="2"/>
  <c r="L22" i="2"/>
  <c r="Q22" i="2"/>
  <c r="V22" i="2"/>
  <c r="AA22" i="2"/>
  <c r="AF22" i="2"/>
  <c r="AK22" i="2"/>
  <c r="AP146" i="2" s="1"/>
  <c r="AP22" i="2"/>
  <c r="AU22" i="2"/>
  <c r="AU23" i="2" s="1"/>
  <c r="H23" i="2"/>
  <c r="H24" i="2" s="1"/>
  <c r="I23" i="2"/>
  <c r="J23" i="2"/>
  <c r="J24" i="2" s="1"/>
  <c r="K23" i="2"/>
  <c r="K24" i="2" s="1"/>
  <c r="M23" i="2"/>
  <c r="N23" i="2"/>
  <c r="O23" i="2"/>
  <c r="T78" i="2" s="1"/>
  <c r="P23" i="2"/>
  <c r="P32" i="2" s="1"/>
  <c r="P29" i="2" s="1"/>
  <c r="P33" i="2" s="1"/>
  <c r="R23" i="2"/>
  <c r="S23" i="2"/>
  <c r="T23" i="2"/>
  <c r="Y78" i="2" s="1"/>
  <c r="U23" i="2"/>
  <c r="Z77" i="2" s="1"/>
  <c r="W23" i="2"/>
  <c r="X23" i="2"/>
  <c r="Y23" i="2"/>
  <c r="Y32" i="2" s="1"/>
  <c r="Y29" i="2" s="1"/>
  <c r="Y33" i="2" s="1"/>
  <c r="X9" i="1" s="1"/>
  <c r="X329" i="1" s="1"/>
  <c r="Z23" i="2"/>
  <c r="AB23" i="2"/>
  <c r="AC23" i="2"/>
  <c r="AC32" i="2" s="1"/>
  <c r="AD23" i="2"/>
  <c r="AD24" i="2" s="1"/>
  <c r="AE23" i="2"/>
  <c r="AG23" i="2"/>
  <c r="AH23" i="2"/>
  <c r="AH24" i="2" s="1"/>
  <c r="AI23" i="2"/>
  <c r="AJ23" i="2"/>
  <c r="AL23" i="2"/>
  <c r="AM23" i="2"/>
  <c r="AN23" i="2"/>
  <c r="AO23" i="2"/>
  <c r="AQ23" i="2"/>
  <c r="AQ24" i="2" s="1"/>
  <c r="AR23" i="2"/>
  <c r="AS23" i="2"/>
  <c r="AT23" i="2"/>
  <c r="AL24" i="2"/>
  <c r="AT24" i="2"/>
  <c r="AI28" i="2"/>
  <c r="AJ28" i="2"/>
  <c r="AK28" i="2"/>
  <c r="AL28" i="2"/>
  <c r="AM28" i="2"/>
  <c r="AN28" i="2"/>
  <c r="AO28" i="2"/>
  <c r="AQ28" i="2"/>
  <c r="AR28" i="2"/>
  <c r="AS28" i="2"/>
  <c r="AT28" i="2"/>
  <c r="AV28" i="2"/>
  <c r="CE28" i="2"/>
  <c r="AC29" i="2"/>
  <c r="AC33" i="2" s="1"/>
  <c r="BA29" i="2"/>
  <c r="BA33" i="2" s="1"/>
  <c r="BB29" i="2"/>
  <c r="BB33" i="2" s="1"/>
  <c r="BC29" i="2"/>
  <c r="BC33" i="2" s="1"/>
  <c r="BB9" i="1" s="1"/>
  <c r="BB329" i="1" s="1"/>
  <c r="AU30" i="2"/>
  <c r="AW30" i="2"/>
  <c r="BA330" i="1" s="1"/>
  <c r="AX30" i="2"/>
  <c r="AY30" i="2"/>
  <c r="BC330" i="1" s="1"/>
  <c r="BA30" i="2"/>
  <c r="BE330" i="1" s="1"/>
  <c r="BB30" i="2"/>
  <c r="BF330" i="1" s="1"/>
  <c r="BE30" i="2"/>
  <c r="BI330" i="1" s="1"/>
  <c r="AL31" i="2"/>
  <c r="AM31" i="2"/>
  <c r="AN31" i="2"/>
  <c r="AO31" i="2"/>
  <c r="AP31" i="2"/>
  <c r="AQ31" i="2"/>
  <c r="AR31" i="2"/>
  <c r="AU31" i="2"/>
  <c r="BB31" i="2"/>
  <c r="BB32" i="2"/>
  <c r="BG32" i="2"/>
  <c r="BG29" i="2" s="1"/>
  <c r="BG33" i="2" s="1"/>
  <c r="CA32" i="2"/>
  <c r="CA29" i="2" s="1"/>
  <c r="CA33" i="2" s="1"/>
  <c r="BU37" i="2"/>
  <c r="BV37" i="2"/>
  <c r="BW37" i="2"/>
  <c r="BX37" i="2"/>
  <c r="BZ37" i="2"/>
  <c r="CA37" i="2"/>
  <c r="CB37" i="2"/>
  <c r="CC37" i="2"/>
  <c r="BE38" i="2"/>
  <c r="BY38" i="2"/>
  <c r="CH36" i="2"/>
  <c r="CK36" i="2"/>
  <c r="CL36" i="2"/>
  <c r="AP39" i="2"/>
  <c r="AU39" i="2"/>
  <c r="CL37" i="2"/>
  <c r="AV40" i="2"/>
  <c r="AW40" i="2"/>
  <c r="AX40" i="2"/>
  <c r="AY40" i="2"/>
  <c r="AZ40" i="2"/>
  <c r="BE40" i="2"/>
  <c r="BL40" i="2"/>
  <c r="BL38" i="2" s="1"/>
  <c r="BP40" i="2"/>
  <c r="BQ40" i="2"/>
  <c r="BV40" i="2"/>
  <c r="CA40" i="2"/>
  <c r="CO40" i="2"/>
  <c r="CP40" i="2"/>
  <c r="CQ40" i="2"/>
  <c r="CT40" i="2"/>
  <c r="CU40" i="2"/>
  <c r="CV40" i="2"/>
  <c r="CY40" i="2"/>
  <c r="CZ40" i="2"/>
  <c r="DA40" i="2"/>
  <c r="DD40" i="2"/>
  <c r="DE40" i="2"/>
  <c r="DF40" i="2"/>
  <c r="AL41" i="2"/>
  <c r="AM41" i="2"/>
  <c r="AN41" i="2"/>
  <c r="AO41" i="2"/>
  <c r="AP41" i="2"/>
  <c r="AQ41" i="2"/>
  <c r="AQ39" i="2" s="1"/>
  <c r="AQ42" i="2" s="1"/>
  <c r="AR41" i="2"/>
  <c r="AR39" i="2" s="1"/>
  <c r="AR42" i="2" s="1"/>
  <c r="AS41" i="2"/>
  <c r="AS39" i="2" s="1"/>
  <c r="AS42" i="2" s="1"/>
  <c r="AT41" i="2"/>
  <c r="AT39" i="2" s="1"/>
  <c r="AT42" i="2" s="1"/>
  <c r="AU41" i="2"/>
  <c r="AV41" i="2"/>
  <c r="AV39" i="2" s="1"/>
  <c r="AV42" i="2" s="1"/>
  <c r="AW41" i="2"/>
  <c r="AX41" i="2"/>
  <c r="AY41" i="2"/>
  <c r="AZ41" i="2"/>
  <c r="AZ39" i="2" s="1"/>
  <c r="AZ42" i="2" s="1"/>
  <c r="BA41" i="2"/>
  <c r="BA39" i="2" s="1"/>
  <c r="BA42" i="2" s="1"/>
  <c r="BB41" i="2"/>
  <c r="BB39" i="2" s="1"/>
  <c r="BB42" i="2" s="1"/>
  <c r="BC41" i="2"/>
  <c r="BC39" i="2" s="1"/>
  <c r="BC42" i="2" s="1"/>
  <c r="BD41" i="2"/>
  <c r="BD39" i="2" s="1"/>
  <c r="BD42" i="2" s="1"/>
  <c r="BF41" i="2"/>
  <c r="BF39" i="2" s="1"/>
  <c r="BF42" i="2" s="1"/>
  <c r="BG41" i="2"/>
  <c r="BG39" i="2" s="1"/>
  <c r="BH41" i="2"/>
  <c r="BI41" i="2"/>
  <c r="BK41" i="2"/>
  <c r="BL41" i="2"/>
  <c r="BM41" i="2"/>
  <c r="BM39" i="2" s="1"/>
  <c r="BM42" i="2" s="1"/>
  <c r="BN41" i="2"/>
  <c r="BP41" i="2"/>
  <c r="BQ41" i="2"/>
  <c r="BR41" i="2"/>
  <c r="BS41" i="2"/>
  <c r="BU41" i="2"/>
  <c r="BV41" i="2"/>
  <c r="BW41" i="2"/>
  <c r="BX41" i="2"/>
  <c r="BZ41" i="2"/>
  <c r="CA41" i="2"/>
  <c r="CB41" i="2"/>
  <c r="CC41" i="2"/>
  <c r="CE41" i="2"/>
  <c r="CE39" i="2" s="1"/>
  <c r="CN41" i="2"/>
  <c r="AP42" i="2"/>
  <c r="AU42" i="2"/>
  <c r="CL42" i="2"/>
  <c r="CN42" i="2"/>
  <c r="BU45" i="2"/>
  <c r="BV45" i="2"/>
  <c r="BW45" i="2"/>
  <c r="BX45" i="2"/>
  <c r="AP46" i="2"/>
  <c r="AP50" i="2" s="1"/>
  <c r="AQ46" i="2"/>
  <c r="AR46" i="2"/>
  <c r="AS46" i="2"/>
  <c r="AT46" i="2"/>
  <c r="BJ46" i="2"/>
  <c r="AP47" i="2"/>
  <c r="AP48" i="2"/>
  <c r="AQ48" i="2"/>
  <c r="AT48" i="2"/>
  <c r="BJ48" i="2"/>
  <c r="BO48" i="2"/>
  <c r="CE48" i="2"/>
  <c r="CE46" i="2" s="1"/>
  <c r="CE44" i="2" s="1"/>
  <c r="CT48" i="2"/>
  <c r="CU48" i="2"/>
  <c r="CV48" i="2"/>
  <c r="CY48" i="2"/>
  <c r="CZ48" i="2"/>
  <c r="DA48" i="2"/>
  <c r="DD48" i="2"/>
  <c r="DE48" i="2"/>
  <c r="DF48" i="2"/>
  <c r="AL49" i="2"/>
  <c r="AM49" i="2"/>
  <c r="AN49" i="2"/>
  <c r="AO49" i="2"/>
  <c r="AP49" i="2"/>
  <c r="AQ49" i="2"/>
  <c r="AR49" i="2"/>
  <c r="AS49" i="2"/>
  <c r="AT49" i="2"/>
  <c r="AU49" i="2"/>
  <c r="AV49" i="2"/>
  <c r="AW49" i="2"/>
  <c r="AW47" i="2" s="1"/>
  <c r="AW50" i="2" s="1"/>
  <c r="AX49" i="2"/>
  <c r="AX47" i="2" s="1"/>
  <c r="AX50" i="2" s="1"/>
  <c r="AY49" i="2"/>
  <c r="AY47" i="2" s="1"/>
  <c r="AY50" i="2" s="1"/>
  <c r="BA49" i="2"/>
  <c r="BA47" i="2" s="1"/>
  <c r="BA50" i="2" s="1"/>
  <c r="BB49" i="2"/>
  <c r="BB47" i="2" s="1"/>
  <c r="BB50" i="2" s="1"/>
  <c r="BC49" i="2"/>
  <c r="BC47" i="2" s="1"/>
  <c r="BC50" i="2" s="1"/>
  <c r="BC51" i="2" s="1"/>
  <c r="BD49" i="2"/>
  <c r="BD47" i="2" s="1"/>
  <c r="BD50" i="2" s="1"/>
  <c r="BD51" i="2" s="1"/>
  <c r="BF49" i="2"/>
  <c r="BF47" i="2" s="1"/>
  <c r="BG49" i="2"/>
  <c r="BG47" i="2" s="1"/>
  <c r="BG50" i="2" s="1"/>
  <c r="BG51" i="2" s="1"/>
  <c r="BH49" i="2"/>
  <c r="BH47" i="2" s="1"/>
  <c r="BH50" i="2" s="1"/>
  <c r="BI49" i="2"/>
  <c r="BI47" i="2" s="1"/>
  <c r="BI50" i="2" s="1"/>
  <c r="BK49" i="2"/>
  <c r="BK47" i="2" s="1"/>
  <c r="BL49" i="2"/>
  <c r="BL47" i="2" s="1"/>
  <c r="BL50" i="2" s="1"/>
  <c r="BM49" i="2"/>
  <c r="BM47" i="2" s="1"/>
  <c r="BM50" i="2" s="1"/>
  <c r="BN49" i="2"/>
  <c r="BN47" i="2" s="1"/>
  <c r="BN50" i="2" s="1"/>
  <c r="BP49" i="2"/>
  <c r="BP47" i="2" s="1"/>
  <c r="BP50" i="2" s="1"/>
  <c r="BQ49" i="2"/>
  <c r="BQ47" i="2" s="1"/>
  <c r="BQ50" i="2" s="1"/>
  <c r="BR49" i="2"/>
  <c r="BR47" i="2" s="1"/>
  <c r="BR50" i="2" s="1"/>
  <c r="BS49" i="2"/>
  <c r="BS47" i="2" s="1"/>
  <c r="BS50" i="2" s="1"/>
  <c r="BU49" i="2"/>
  <c r="BU47" i="2" s="1"/>
  <c r="BU50" i="2" s="1"/>
  <c r="BU51" i="2" s="1"/>
  <c r="BV49" i="2"/>
  <c r="BV47" i="2" s="1"/>
  <c r="BV50" i="2" s="1"/>
  <c r="BW49" i="2"/>
  <c r="BW47" i="2" s="1"/>
  <c r="BW50" i="2" s="1"/>
  <c r="BW51" i="2" s="1"/>
  <c r="BX49" i="2"/>
  <c r="BX47" i="2" s="1"/>
  <c r="BX50" i="2" s="1"/>
  <c r="BZ49" i="2"/>
  <c r="BZ47" i="2" s="1"/>
  <c r="CA49" i="2"/>
  <c r="CA47" i="2" s="1"/>
  <c r="CA50" i="2" s="1"/>
  <c r="CA51" i="2" s="1"/>
  <c r="CB49" i="2"/>
  <c r="CB47" i="2" s="1"/>
  <c r="CB50" i="2" s="1"/>
  <c r="CB51" i="2" s="1"/>
  <c r="CC49" i="2"/>
  <c r="CE49" i="2"/>
  <c r="BU53" i="2"/>
  <c r="BV53" i="2"/>
  <c r="BW53" i="2"/>
  <c r="BX53" i="2"/>
  <c r="AP54" i="2"/>
  <c r="AQ54" i="2"/>
  <c r="AR54" i="2"/>
  <c r="BO54" i="2"/>
  <c r="CH52" i="2"/>
  <c r="CJ52" i="2"/>
  <c r="CK52" i="2"/>
  <c r="CL52" i="2"/>
  <c r="AP55" i="2"/>
  <c r="BA55" i="2"/>
  <c r="BA59" i="2" s="1"/>
  <c r="BB55" i="2"/>
  <c r="BB59" i="2" s="1"/>
  <c r="BC55" i="2"/>
  <c r="BC59" i="2" s="1"/>
  <c r="BD55" i="2"/>
  <c r="BD59" i="2" s="1"/>
  <c r="AZ56" i="2"/>
  <c r="CL330" i="1"/>
  <c r="CN330" i="1"/>
  <c r="CL56" i="2"/>
  <c r="CO56" i="2"/>
  <c r="CP56" i="2"/>
  <c r="CQ56" i="2"/>
  <c r="CT56" i="2"/>
  <c r="CU56" i="2"/>
  <c r="CV56" i="2"/>
  <c r="CY56" i="2"/>
  <c r="CZ56" i="2"/>
  <c r="DA56" i="2"/>
  <c r="DD56" i="2"/>
  <c r="DE56" i="2"/>
  <c r="DF56" i="2"/>
  <c r="AP57" i="2"/>
  <c r="BO57" i="2"/>
  <c r="CL57" i="2"/>
  <c r="CO57" i="2"/>
  <c r="CP57" i="2"/>
  <c r="CQ57" i="2"/>
  <c r="CT57" i="2"/>
  <c r="CU57" i="2"/>
  <c r="CV57" i="2"/>
  <c r="CY57" i="2"/>
  <c r="CZ57" i="2"/>
  <c r="DA57" i="2"/>
  <c r="DD57" i="2"/>
  <c r="DE57" i="2"/>
  <c r="DF57" i="2"/>
  <c r="AL58" i="2"/>
  <c r="AM58" i="2"/>
  <c r="AN58" i="2"/>
  <c r="AO58" i="2"/>
  <c r="AP58" i="2"/>
  <c r="AQ58" i="2"/>
  <c r="AR58" i="2"/>
  <c r="AS58" i="2"/>
  <c r="AS55" i="2" s="1"/>
  <c r="AS59" i="2" s="1"/>
  <c r="AT58" i="2"/>
  <c r="AT55" i="2" s="1"/>
  <c r="AT59" i="2" s="1"/>
  <c r="AU58" i="2"/>
  <c r="AV58" i="2"/>
  <c r="AV55" i="2" s="1"/>
  <c r="AW58" i="2"/>
  <c r="AW55" i="2" s="1"/>
  <c r="AW59" i="2" s="1"/>
  <c r="AX58" i="2"/>
  <c r="AX55" i="2" s="1"/>
  <c r="AX59" i="2" s="1"/>
  <c r="AY58" i="2"/>
  <c r="AY55" i="2" s="1"/>
  <c r="AY59" i="2" s="1"/>
  <c r="BF58" i="2"/>
  <c r="BF55" i="2" s="1"/>
  <c r="BG58" i="2"/>
  <c r="BG55" i="2" s="1"/>
  <c r="BG59" i="2" s="1"/>
  <c r="BH58" i="2"/>
  <c r="BH55" i="2" s="1"/>
  <c r="BH59" i="2" s="1"/>
  <c r="BI58" i="2"/>
  <c r="BI55" i="2" s="1"/>
  <c r="BI59" i="2" s="1"/>
  <c r="BK58" i="2"/>
  <c r="BK55" i="2" s="1"/>
  <c r="BK59" i="2" s="1"/>
  <c r="BL58" i="2"/>
  <c r="BL55" i="2" s="1"/>
  <c r="BL59" i="2" s="1"/>
  <c r="BL60" i="2" s="1"/>
  <c r="BM58" i="2"/>
  <c r="BN58" i="2"/>
  <c r="BN55" i="2" s="1"/>
  <c r="BN59" i="2" s="1"/>
  <c r="BP58" i="2"/>
  <c r="BP55" i="2" s="1"/>
  <c r="BQ58" i="2"/>
  <c r="BQ55" i="2" s="1"/>
  <c r="BQ59" i="2" s="1"/>
  <c r="BR58" i="2"/>
  <c r="BR55" i="2" s="1"/>
  <c r="BR59" i="2" s="1"/>
  <c r="BS58" i="2"/>
  <c r="BS55" i="2" s="1"/>
  <c r="BS59" i="2" s="1"/>
  <c r="BU58" i="2"/>
  <c r="BU55" i="2" s="1"/>
  <c r="BV58" i="2"/>
  <c r="BV55" i="2" s="1"/>
  <c r="BV59" i="2" s="1"/>
  <c r="BW58" i="2"/>
  <c r="BW55" i="2" s="1"/>
  <c r="BW59" i="2" s="1"/>
  <c r="BX58" i="2"/>
  <c r="BX55" i="2" s="1"/>
  <c r="BX59" i="2" s="1"/>
  <c r="BZ58" i="2"/>
  <c r="BZ55" i="2" s="1"/>
  <c r="BZ59" i="2" s="1"/>
  <c r="CA58" i="2"/>
  <c r="CA55" i="2" s="1"/>
  <c r="CA59" i="2" s="1"/>
  <c r="CB58" i="2"/>
  <c r="CB55" i="2" s="1"/>
  <c r="CC58" i="2"/>
  <c r="CE58" i="2"/>
  <c r="CE55" i="2" s="1"/>
  <c r="CN58" i="2"/>
  <c r="AP59" i="2"/>
  <c r="CN59" i="2"/>
  <c r="BT63" i="2"/>
  <c r="CS63" i="2"/>
  <c r="CX63" i="2" s="1"/>
  <c r="AP64" i="2"/>
  <c r="AP68" i="2" s="1"/>
  <c r="AU64" i="2"/>
  <c r="AU68" i="2" s="1"/>
  <c r="CS64" i="2"/>
  <c r="CP64" i="2" s="1"/>
  <c r="AT65" i="2"/>
  <c r="AX65" i="2"/>
  <c r="BA65" i="2"/>
  <c r="BA64" i="2" s="1"/>
  <c r="BA68" i="2" s="1"/>
  <c r="BB65" i="2"/>
  <c r="BB64" i="2" s="1"/>
  <c r="BB68" i="2" s="1"/>
  <c r="BG65" i="2"/>
  <c r="BK65" i="2"/>
  <c r="BL65" i="2"/>
  <c r="BQ65" i="2"/>
  <c r="BU65" i="2"/>
  <c r="BV65" i="2"/>
  <c r="BX65" i="2"/>
  <c r="CA65" i="2"/>
  <c r="AV66" i="2"/>
  <c r="AW66" i="2"/>
  <c r="AX66" i="2"/>
  <c r="AY66" i="2"/>
  <c r="AZ66" i="2"/>
  <c r="BT66" i="2"/>
  <c r="CE66" i="2"/>
  <c r="CE63" i="2" s="1"/>
  <c r="CL67" i="2"/>
  <c r="CL8" i="2" s="1"/>
  <c r="CQ305" i="2" s="1"/>
  <c r="CQ66" i="2" s="1"/>
  <c r="CT66" i="2"/>
  <c r="CU66" i="2"/>
  <c r="CV66" i="2"/>
  <c r="CY66" i="2"/>
  <c r="CZ66" i="2"/>
  <c r="DA66" i="2"/>
  <c r="DD66" i="2"/>
  <c r="DE66" i="2"/>
  <c r="DF66" i="2"/>
  <c r="AL67" i="2"/>
  <c r="AM67" i="2"/>
  <c r="AN67" i="2"/>
  <c r="AO67" i="2"/>
  <c r="AP67" i="2"/>
  <c r="AQ67" i="2"/>
  <c r="AR67" i="2"/>
  <c r="AS67" i="2"/>
  <c r="AT67" i="2"/>
  <c r="AT64" i="2" s="1"/>
  <c r="AT68" i="2" s="1"/>
  <c r="AU67" i="2"/>
  <c r="AV67" i="2"/>
  <c r="AW67" i="2"/>
  <c r="AX67" i="2"/>
  <c r="AY67" i="2"/>
  <c r="AZ67" i="2"/>
  <c r="BF67" i="2"/>
  <c r="BG67" i="2"/>
  <c r="BG64" i="2" s="1"/>
  <c r="BG68" i="2" s="1"/>
  <c r="BH67" i="2"/>
  <c r="BI67" i="2"/>
  <c r="BK67" i="2"/>
  <c r="BL67" i="2"/>
  <c r="BL64" i="2" s="1"/>
  <c r="BL68" i="2" s="1"/>
  <c r="BM67" i="2"/>
  <c r="BN67" i="2"/>
  <c r="BP67" i="2"/>
  <c r="BQ67" i="2"/>
  <c r="BR67" i="2"/>
  <c r="BS67" i="2"/>
  <c r="BU67" i="2"/>
  <c r="BV67" i="2"/>
  <c r="BW67" i="2"/>
  <c r="BX67" i="2"/>
  <c r="BZ67" i="2"/>
  <c r="CA67" i="2"/>
  <c r="CB67" i="2"/>
  <c r="CC67" i="2"/>
  <c r="CE67" i="2"/>
  <c r="AY68" i="2"/>
  <c r="CL68" i="2"/>
  <c r="CN68" i="2"/>
  <c r="AL75" i="2"/>
  <c r="AM75" i="2"/>
  <c r="AN75" i="2"/>
  <c r="AO75" i="2"/>
  <c r="AQ75" i="2"/>
  <c r="AR75" i="2"/>
  <c r="AS75" i="2"/>
  <c r="AT75" i="2"/>
  <c r="AU75" i="2"/>
  <c r="H77" i="2"/>
  <c r="I77" i="2"/>
  <c r="J77" i="2"/>
  <c r="T77" i="2"/>
  <c r="AC77" i="2"/>
  <c r="AD77" i="2"/>
  <c r="AQ77" i="2"/>
  <c r="AS77" i="2"/>
  <c r="H78" i="2"/>
  <c r="I78" i="2"/>
  <c r="J78" i="2"/>
  <c r="K78" i="2"/>
  <c r="L78" i="2"/>
  <c r="AQ78" i="2"/>
  <c r="AS78" i="2"/>
  <c r="J79" i="2"/>
  <c r="O79" i="2"/>
  <c r="Y79" i="2"/>
  <c r="Z79" i="2"/>
  <c r="AI79" i="2"/>
  <c r="AN79" i="2"/>
  <c r="AQ79" i="2"/>
  <c r="AR79" i="2"/>
  <c r="AS79" i="2"/>
  <c r="AT79" i="2"/>
  <c r="H84" i="2"/>
  <c r="H88" i="2" s="1"/>
  <c r="I84" i="2"/>
  <c r="I88" i="2" s="1"/>
  <c r="J84" i="2"/>
  <c r="K84" i="2"/>
  <c r="K88" i="2" s="1"/>
  <c r="L84" i="2"/>
  <c r="L88" i="2" s="1"/>
  <c r="M84" i="2"/>
  <c r="M88" i="2" s="1"/>
  <c r="N84" i="2"/>
  <c r="N88" i="2" s="1"/>
  <c r="O84" i="2"/>
  <c r="O88" i="2" s="1"/>
  <c r="P84" i="2"/>
  <c r="P88" i="2" s="1"/>
  <c r="Q84" i="2"/>
  <c r="Q88" i="2" s="1"/>
  <c r="R84" i="2"/>
  <c r="R88" i="2" s="1"/>
  <c r="S84" i="2"/>
  <c r="S88" i="2" s="1"/>
  <c r="T84" i="2"/>
  <c r="T88" i="2" s="1"/>
  <c r="U84" i="2"/>
  <c r="U88" i="2" s="1"/>
  <c r="V84" i="2"/>
  <c r="V88" i="2" s="1"/>
  <c r="W84" i="2"/>
  <c r="W88" i="2" s="1"/>
  <c r="X84" i="2"/>
  <c r="X88" i="2" s="1"/>
  <c r="Y84" i="2"/>
  <c r="Z84" i="2"/>
  <c r="AA84" i="2"/>
  <c r="AA88" i="2" s="1"/>
  <c r="AB84" i="2"/>
  <c r="AB88" i="2" s="1"/>
  <c r="AC84" i="2"/>
  <c r="AC88" i="2" s="1"/>
  <c r="AD84" i="2"/>
  <c r="AD88" i="2" s="1"/>
  <c r="AE84" i="2"/>
  <c r="AE88" i="2" s="1"/>
  <c r="AF84" i="2"/>
  <c r="AF88" i="2" s="1"/>
  <c r="AG84" i="2"/>
  <c r="AG88" i="2" s="1"/>
  <c r="AH84" i="2"/>
  <c r="AJ84" i="2"/>
  <c r="AJ88" i="2" s="1"/>
  <c r="J88" i="2"/>
  <c r="Y88" i="2"/>
  <c r="Z88" i="2"/>
  <c r="AH88" i="2"/>
  <c r="B95" i="2"/>
  <c r="L95" i="2" s="1"/>
  <c r="Q95" i="2"/>
  <c r="AB96" i="2"/>
  <c r="AC96" i="2"/>
  <c r="AD96" i="2"/>
  <c r="AE96" i="2"/>
  <c r="AF96" i="2"/>
  <c r="AG96" i="2"/>
  <c r="AH96" i="2"/>
  <c r="AI96" i="2"/>
  <c r="AJ96" i="2"/>
  <c r="AK96" i="2"/>
  <c r="B104" i="2"/>
  <c r="S104" i="2" s="1"/>
  <c r="M104" i="2"/>
  <c r="AB105" i="2"/>
  <c r="AC105" i="2"/>
  <c r="AD105" i="2"/>
  <c r="AE105" i="2"/>
  <c r="AF105" i="2"/>
  <c r="AG105" i="2"/>
  <c r="AH105" i="2"/>
  <c r="AI105" i="2"/>
  <c r="AJ105" i="2"/>
  <c r="AK105" i="2"/>
  <c r="H111" i="2"/>
  <c r="H115" i="2" s="1"/>
  <c r="I111" i="2"/>
  <c r="I115" i="2" s="1"/>
  <c r="J111" i="2"/>
  <c r="K111" i="2"/>
  <c r="L111" i="2"/>
  <c r="L115" i="2" s="1"/>
  <c r="M111" i="2"/>
  <c r="M115" i="2" s="1"/>
  <c r="N111" i="2"/>
  <c r="N115" i="2" s="1"/>
  <c r="O111" i="2"/>
  <c r="O115" i="2" s="1"/>
  <c r="P111" i="2"/>
  <c r="P115" i="2" s="1"/>
  <c r="Q111" i="2"/>
  <c r="Q115" i="2" s="1"/>
  <c r="R111" i="2"/>
  <c r="R115" i="2" s="1"/>
  <c r="S111" i="2"/>
  <c r="S115" i="2" s="1"/>
  <c r="T111" i="2"/>
  <c r="T115" i="2" s="1"/>
  <c r="U111" i="2"/>
  <c r="U115" i="2" s="1"/>
  <c r="V111" i="2"/>
  <c r="V115" i="2" s="1"/>
  <c r="W111" i="2"/>
  <c r="W115" i="2" s="1"/>
  <c r="X111" i="2"/>
  <c r="X115" i="2" s="1"/>
  <c r="Y111" i="2"/>
  <c r="Y115" i="2" s="1"/>
  <c r="Z111" i="2"/>
  <c r="Z115" i="2" s="1"/>
  <c r="AA111" i="2"/>
  <c r="AB111" i="2"/>
  <c r="AB115" i="2" s="1"/>
  <c r="AC111" i="2"/>
  <c r="AC115" i="2" s="1"/>
  <c r="AD111" i="2"/>
  <c r="AD115" i="2" s="1"/>
  <c r="AE111" i="2"/>
  <c r="AE115" i="2" s="1"/>
  <c r="AF111" i="2"/>
  <c r="AF115" i="2" s="1"/>
  <c r="AG111" i="2"/>
  <c r="AG115" i="2" s="1"/>
  <c r="AH111" i="2"/>
  <c r="AH115" i="2" s="1"/>
  <c r="AI111" i="2"/>
  <c r="AI115" i="2" s="1"/>
  <c r="AJ111" i="2"/>
  <c r="AJ115" i="2" s="1"/>
  <c r="AK111" i="2"/>
  <c r="AK115" i="2" s="1"/>
  <c r="J115" i="2"/>
  <c r="K115" i="2"/>
  <c r="AA115" i="2"/>
  <c r="W120" i="2"/>
  <c r="W124" i="2" s="1"/>
  <c r="X120" i="2"/>
  <c r="X124" i="2" s="1"/>
  <c r="Y120" i="2"/>
  <c r="Y124" i="2" s="1"/>
  <c r="Z120" i="2"/>
  <c r="Z124" i="2" s="1"/>
  <c r="AA120" i="2"/>
  <c r="AA124" i="2" s="1"/>
  <c r="AB120" i="2"/>
  <c r="AB124" i="2" s="1"/>
  <c r="AC120" i="2"/>
  <c r="AC124" i="2" s="1"/>
  <c r="AD120" i="2"/>
  <c r="AD124" i="2" s="1"/>
  <c r="AE120" i="2"/>
  <c r="AE124" i="2" s="1"/>
  <c r="AF120" i="2"/>
  <c r="AF124" i="2" s="1"/>
  <c r="AG120" i="2"/>
  <c r="AG124" i="2" s="1"/>
  <c r="AH120" i="2"/>
  <c r="AH124" i="2" s="1"/>
  <c r="AI120" i="2"/>
  <c r="AI124" i="2" s="1"/>
  <c r="AJ120" i="2"/>
  <c r="AJ124" i="2" s="1"/>
  <c r="AK120" i="2"/>
  <c r="AK124" i="2" s="1"/>
  <c r="B133" i="2"/>
  <c r="W133" i="2" s="1"/>
  <c r="W134" i="2" s="1"/>
  <c r="W138" i="2" s="1"/>
  <c r="AB134" i="2"/>
  <c r="AB138" i="2" s="1"/>
  <c r="AC134" i="2"/>
  <c r="AC138" i="2" s="1"/>
  <c r="AD134" i="2"/>
  <c r="AD138" i="2" s="1"/>
  <c r="AE134" i="2"/>
  <c r="AE138" i="2" s="1"/>
  <c r="AF134" i="2"/>
  <c r="AF138" i="2" s="1"/>
  <c r="AG134" i="2"/>
  <c r="AG138" i="2" s="1"/>
  <c r="AH134" i="2"/>
  <c r="AH138" i="2" s="1"/>
  <c r="AI134" i="2"/>
  <c r="AI138" i="2" s="1"/>
  <c r="AJ134" i="2"/>
  <c r="AJ138" i="2" s="1"/>
  <c r="AK134" i="2"/>
  <c r="AK138" i="2" s="1"/>
  <c r="AL142" i="2"/>
  <c r="AM142" i="2"/>
  <c r="AN142" i="2"/>
  <c r="AO142" i="2"/>
  <c r="AQ142" i="2"/>
  <c r="AR142" i="2"/>
  <c r="AS142" i="2"/>
  <c r="AT142" i="2"/>
  <c r="AI143" i="2"/>
  <c r="AJ143" i="2"/>
  <c r="AK143" i="2"/>
  <c r="AL143" i="2"/>
  <c r="AM143" i="2"/>
  <c r="AN143" i="2"/>
  <c r="H144" i="2"/>
  <c r="H148" i="2" s="1"/>
  <c r="I144" i="2"/>
  <c r="I148" i="2" s="1"/>
  <c r="J144" i="2"/>
  <c r="J148" i="2" s="1"/>
  <c r="R144" i="2"/>
  <c r="R148" i="2" s="1"/>
  <c r="S144" i="2"/>
  <c r="S148" i="2" s="1"/>
  <c r="T144" i="2"/>
  <c r="T148" i="2" s="1"/>
  <c r="U144" i="2"/>
  <c r="U148" i="2" s="1"/>
  <c r="W144" i="2"/>
  <c r="W148" i="2" s="1"/>
  <c r="X144" i="2"/>
  <c r="X148" i="2" s="1"/>
  <c r="Y144" i="2"/>
  <c r="Y148" i="2" s="1"/>
  <c r="Z144" i="2"/>
  <c r="Z148" i="2" s="1"/>
  <c r="AA144" i="2"/>
  <c r="AA148" i="2" s="1"/>
  <c r="AB144" i="2"/>
  <c r="AB148" i="2" s="1"/>
  <c r="AC144" i="2"/>
  <c r="AC148" i="2" s="1"/>
  <c r="AD144" i="2"/>
  <c r="AD148" i="2" s="1"/>
  <c r="AE144" i="2"/>
  <c r="AE148" i="2" s="1"/>
  <c r="AF144" i="2"/>
  <c r="AF148" i="2" s="1"/>
  <c r="AG144" i="2"/>
  <c r="AG148" i="2" s="1"/>
  <c r="AH144" i="2"/>
  <c r="AH148" i="2" s="1"/>
  <c r="AN144" i="2"/>
  <c r="AO144" i="2"/>
  <c r="AO148" i="2" s="1"/>
  <c r="AQ144" i="2"/>
  <c r="AQ148" i="2" s="1"/>
  <c r="AR144" i="2"/>
  <c r="K145" i="2"/>
  <c r="AK145" i="2"/>
  <c r="AP145" i="2"/>
  <c r="AJ146" i="2"/>
  <c r="AJ144" i="2" s="1"/>
  <c r="M147" i="2"/>
  <c r="N147" i="2"/>
  <c r="O147" i="2"/>
  <c r="P147" i="2"/>
  <c r="AS147" i="2"/>
  <c r="AT147" i="2"/>
  <c r="AT144" i="2" s="1"/>
  <c r="AT148" i="2" s="1"/>
  <c r="H151" i="2"/>
  <c r="W151" i="2"/>
  <c r="AB151" i="2"/>
  <c r="AG151" i="2"/>
  <c r="BP151" i="2"/>
  <c r="AG152" i="2"/>
  <c r="AH152" i="2"/>
  <c r="AI152" i="2"/>
  <c r="AJ152" i="2"/>
  <c r="AM152" i="2"/>
  <c r="AP152" i="2"/>
  <c r="AR152" i="2"/>
  <c r="AT152" i="2"/>
  <c r="AU152" i="2"/>
  <c r="AZ152" i="2"/>
  <c r="BC152" i="2"/>
  <c r="BI152" i="2"/>
  <c r="BN152" i="2"/>
  <c r="BT152" i="2"/>
  <c r="CF152" i="2"/>
  <c r="CH152" i="2"/>
  <c r="CM152" i="2"/>
  <c r="CR152" i="2"/>
  <c r="CX152" i="2"/>
  <c r="DB152" i="2"/>
  <c r="AZ154" i="2"/>
  <c r="BE154" i="2"/>
  <c r="BJ154" i="2"/>
  <c r="BO154" i="2"/>
  <c r="BT154" i="2"/>
  <c r="BY154" i="2"/>
  <c r="CD154" i="2"/>
  <c r="BE155" i="2"/>
  <c r="BE189" i="2" s="1"/>
  <c r="BJ155" i="2"/>
  <c r="BO155" i="2"/>
  <c r="BT155" i="2"/>
  <c r="BY155" i="2"/>
  <c r="BB156" i="2"/>
  <c r="BJ156" i="2"/>
  <c r="BO156" i="2"/>
  <c r="BT156" i="2"/>
  <c r="BY156" i="2"/>
  <c r="AZ157" i="2"/>
  <c r="BB157" i="2"/>
  <c r="BE157" i="2" s="1"/>
  <c r="BJ157" i="2"/>
  <c r="BO157" i="2"/>
  <c r="BT157" i="2"/>
  <c r="BY157" i="2"/>
  <c r="CD157" i="2"/>
  <c r="AG158" i="2"/>
  <c r="AH158" i="2"/>
  <c r="AH166" i="2" s="1"/>
  <c r="AI158" i="2"/>
  <c r="AI166" i="2" s="1"/>
  <c r="AI193" i="2" s="1"/>
  <c r="AJ158" i="2"/>
  <c r="AK158" i="2"/>
  <c r="AK256" i="2" s="1"/>
  <c r="AL158" i="2"/>
  <c r="AL166" i="2" s="1"/>
  <c r="AM158" i="2"/>
  <c r="AM166" i="2" s="1"/>
  <c r="AN158" i="2"/>
  <c r="AO158" i="2"/>
  <c r="AO256" i="2" s="1"/>
  <c r="AP158" i="2"/>
  <c r="AP166" i="2" s="1"/>
  <c r="AQ158" i="2"/>
  <c r="AR158" i="2"/>
  <c r="AR254" i="2" s="1"/>
  <c r="AS158" i="2"/>
  <c r="AS256" i="2" s="1"/>
  <c r="AT158" i="2"/>
  <c r="AT166" i="2" s="1"/>
  <c r="AU158" i="2"/>
  <c r="AU166" i="2" s="1"/>
  <c r="AV158" i="2"/>
  <c r="AV255" i="2" s="1"/>
  <c r="AW158" i="2"/>
  <c r="AW256" i="2" s="1"/>
  <c r="AX158" i="2"/>
  <c r="AX166" i="2" s="1"/>
  <c r="AY158" i="2"/>
  <c r="AY166" i="2" s="1"/>
  <c r="BA158" i="2"/>
  <c r="BA226" i="2" s="1"/>
  <c r="BC158" i="2"/>
  <c r="BC258" i="2" s="1"/>
  <c r="BD158" i="2"/>
  <c r="BF158" i="2"/>
  <c r="BF166" i="2" s="1"/>
  <c r="BG158" i="2"/>
  <c r="BH158" i="2"/>
  <c r="BH258" i="2" s="1"/>
  <c r="BI158" i="2"/>
  <c r="BK158" i="2"/>
  <c r="BL158" i="2"/>
  <c r="BM158" i="2"/>
  <c r="BM226" i="2" s="1"/>
  <c r="BN158" i="2"/>
  <c r="BP158" i="2"/>
  <c r="BP166" i="2" s="1"/>
  <c r="BQ158" i="2"/>
  <c r="BR158" i="2"/>
  <c r="BS158" i="2"/>
  <c r="BU158" i="2"/>
  <c r="BV158" i="2"/>
  <c r="BW158" i="2"/>
  <c r="BW254" i="2" s="1"/>
  <c r="BX158" i="2"/>
  <c r="BZ158" i="2"/>
  <c r="BZ166" i="2" s="1"/>
  <c r="CA158" i="2"/>
  <c r="CB158" i="2"/>
  <c r="CB255" i="2" s="1"/>
  <c r="CC158" i="2"/>
  <c r="AG163" i="2"/>
  <c r="AG159" i="2" s="1"/>
  <c r="AH163" i="2"/>
  <c r="AH159" i="2" s="1"/>
  <c r="AH160" i="2" s="1"/>
  <c r="AI163" i="2"/>
  <c r="AI159" i="2" s="1"/>
  <c r="AJ163" i="2"/>
  <c r="AJ159" i="2" s="1"/>
  <c r="AK163" i="2"/>
  <c r="AL163" i="2"/>
  <c r="AM163" i="2"/>
  <c r="AN163" i="2"/>
  <c r="AN159" i="2" s="1"/>
  <c r="AO163" i="2"/>
  <c r="AP163" i="2"/>
  <c r="AQ163" i="2"/>
  <c r="AQ159" i="2" s="1"/>
  <c r="AQ160" i="2" s="1"/>
  <c r="AR163" i="2"/>
  <c r="AR159" i="2" s="1"/>
  <c r="AS163" i="2"/>
  <c r="AT163" i="2"/>
  <c r="AU163" i="2"/>
  <c r="AU159" i="2" s="1"/>
  <c r="AV163" i="2"/>
  <c r="AV159" i="2" s="1"/>
  <c r="AW163" i="2"/>
  <c r="AW159" i="2" s="1"/>
  <c r="AX163" i="2"/>
  <c r="AY163" i="2"/>
  <c r="AZ164" i="2"/>
  <c r="AZ232" i="2" s="1"/>
  <c r="BA163" i="2"/>
  <c r="BA159" i="2" s="1"/>
  <c r="BB163" i="2"/>
  <c r="BC163" i="2"/>
  <c r="BC159" i="2" s="1"/>
  <c r="BD163" i="2"/>
  <c r="BD159" i="2" s="1"/>
  <c r="BE164" i="2"/>
  <c r="BF163" i="2"/>
  <c r="BG163" i="2"/>
  <c r="BG159" i="2" s="1"/>
  <c r="BH163" i="2"/>
  <c r="BI163" i="2"/>
  <c r="BK163" i="2"/>
  <c r="BL163" i="2"/>
  <c r="BL159" i="2" s="1"/>
  <c r="BM163" i="2"/>
  <c r="BN163" i="2"/>
  <c r="BN159" i="2" s="1"/>
  <c r="BP163" i="2"/>
  <c r="BQ163" i="2"/>
  <c r="BV231" i="2" s="1"/>
  <c r="BR164" i="2"/>
  <c r="BR163" i="2"/>
  <c r="BS163" i="2"/>
  <c r="BS159" i="2" s="1"/>
  <c r="BU163" i="2"/>
  <c r="BZ231" i="2" s="1"/>
  <c r="BV163" i="2"/>
  <c r="BV159" i="2" s="1"/>
  <c r="BW163" i="2"/>
  <c r="BX163" i="2"/>
  <c r="CC231" i="2" s="1"/>
  <c r="AW161" i="2"/>
  <c r="AQ166" i="2"/>
  <c r="BD166" i="2"/>
  <c r="BK166" i="2"/>
  <c r="BN166" i="2"/>
  <c r="H171" i="2"/>
  <c r="I171" i="2"/>
  <c r="J171" i="2"/>
  <c r="J205" i="2" s="1"/>
  <c r="K171" i="2"/>
  <c r="M171" i="2"/>
  <c r="M238" i="2" s="1"/>
  <c r="N171" i="2"/>
  <c r="O171" i="2"/>
  <c r="P171" i="2"/>
  <c r="P238" i="2" s="1"/>
  <c r="R171" i="2"/>
  <c r="S171" i="2"/>
  <c r="T171" i="2"/>
  <c r="T238" i="2" s="1"/>
  <c r="U171" i="2"/>
  <c r="W171" i="2"/>
  <c r="W238" i="2" s="1"/>
  <c r="X171" i="2"/>
  <c r="Y171" i="2"/>
  <c r="Z171" i="2"/>
  <c r="AB171" i="2"/>
  <c r="AB238" i="2" s="1"/>
  <c r="AC171" i="2"/>
  <c r="AD171" i="2"/>
  <c r="AD205" i="2" s="1"/>
  <c r="AE171" i="2"/>
  <c r="AG171" i="2"/>
  <c r="AH171" i="2"/>
  <c r="AI171" i="2"/>
  <c r="AJ171" i="2"/>
  <c r="AP171" i="2"/>
  <c r="AU171" i="2"/>
  <c r="L172" i="2"/>
  <c r="Q172" i="2"/>
  <c r="V172" i="2"/>
  <c r="AA239" i="2" s="1"/>
  <c r="AA172" i="2"/>
  <c r="AF172" i="2"/>
  <c r="AK172" i="2"/>
  <c r="L173" i="2"/>
  <c r="Q173" i="2"/>
  <c r="V173" i="2"/>
  <c r="AA173" i="2"/>
  <c r="AF173" i="2"/>
  <c r="AK173" i="2"/>
  <c r="L174" i="2"/>
  <c r="Q174" i="2"/>
  <c r="R174" i="2"/>
  <c r="AA174" i="2"/>
  <c r="AF174" i="2"/>
  <c r="AK174" i="2"/>
  <c r="AP174" i="2"/>
  <c r="AU241" i="2" s="1"/>
  <c r="AU174" i="2"/>
  <c r="H175" i="2"/>
  <c r="I175" i="2"/>
  <c r="I184" i="2" s="1"/>
  <c r="J175" i="2"/>
  <c r="K175" i="2"/>
  <c r="M175" i="2"/>
  <c r="N175" i="2"/>
  <c r="O175" i="2"/>
  <c r="O184" i="2" s="1"/>
  <c r="P175" i="2"/>
  <c r="S175" i="2"/>
  <c r="T175" i="2"/>
  <c r="U175" i="2"/>
  <c r="W175" i="2"/>
  <c r="W184" i="2" s="1"/>
  <c r="X175" i="2"/>
  <c r="Y175" i="2"/>
  <c r="Y184" i="2" s="1"/>
  <c r="Z175" i="2"/>
  <c r="Z242" i="2" s="1"/>
  <c r="AB175" i="2"/>
  <c r="AC175" i="2"/>
  <c r="AC184" i="2" s="1"/>
  <c r="AD175" i="2"/>
  <c r="AE175" i="2"/>
  <c r="AG175" i="2"/>
  <c r="AG184" i="2" s="1"/>
  <c r="AH175" i="2"/>
  <c r="AH184" i="2" s="1"/>
  <c r="AI175" i="2"/>
  <c r="AI184" i="2" s="1"/>
  <c r="AJ175" i="2"/>
  <c r="AL175" i="2"/>
  <c r="AL184" i="2" s="1"/>
  <c r="AM175" i="2"/>
  <c r="AM184" i="2" s="1"/>
  <c r="AN175" i="2"/>
  <c r="AO175" i="2"/>
  <c r="AQ175" i="2"/>
  <c r="AR175" i="2"/>
  <c r="AS175" i="2"/>
  <c r="AS184" i="2" s="1"/>
  <c r="AT175" i="2"/>
  <c r="H181" i="2"/>
  <c r="H180" i="2"/>
  <c r="I181" i="2"/>
  <c r="I180" i="2"/>
  <c r="J181" i="2"/>
  <c r="J180" i="2"/>
  <c r="K181" i="2"/>
  <c r="K180" i="2"/>
  <c r="L180" i="2"/>
  <c r="M181" i="2"/>
  <c r="M180" i="2"/>
  <c r="N181" i="2"/>
  <c r="N180" i="2"/>
  <c r="O181" i="2"/>
  <c r="O180" i="2"/>
  <c r="P181" i="2"/>
  <c r="P180" i="2"/>
  <c r="Q181" i="2"/>
  <c r="R181" i="2"/>
  <c r="R180" i="2"/>
  <c r="S181" i="2"/>
  <c r="S180" i="2"/>
  <c r="T181" i="2"/>
  <c r="T180" i="2"/>
  <c r="U181" i="2"/>
  <c r="U180" i="2"/>
  <c r="V181" i="2"/>
  <c r="W181" i="2"/>
  <c r="W180" i="2"/>
  <c r="X181" i="2"/>
  <c r="X180" i="2"/>
  <c r="Y181" i="2"/>
  <c r="AD248" i="2" s="1"/>
  <c r="Y180" i="2"/>
  <c r="Z181" i="2"/>
  <c r="Z180" i="2"/>
  <c r="AA181" i="2"/>
  <c r="AA180" i="2"/>
  <c r="AB181" i="2"/>
  <c r="AB180" i="2"/>
  <c r="AC181" i="2"/>
  <c r="AC180" i="2"/>
  <c r="AD181" i="2"/>
  <c r="AD180" i="2"/>
  <c r="AE181" i="2"/>
  <c r="AE248" i="2" s="1"/>
  <c r="AE180" i="2"/>
  <c r="AF180" i="2"/>
  <c r="AG181" i="2"/>
  <c r="AG180" i="2"/>
  <c r="AH181" i="2"/>
  <c r="AH180" i="2"/>
  <c r="AI181" i="2"/>
  <c r="AI180" i="2"/>
  <c r="AJ181" i="2"/>
  <c r="AJ180" i="2"/>
  <c r="AK181" i="2"/>
  <c r="AL181" i="2"/>
  <c r="AL180" i="2"/>
  <c r="AM181" i="2"/>
  <c r="AM180" i="2"/>
  <c r="AN181" i="2"/>
  <c r="AS248" i="2" s="1"/>
  <c r="AN180" i="2"/>
  <c r="AO181" i="2"/>
  <c r="AO180" i="2"/>
  <c r="AP181" i="2"/>
  <c r="AP180" i="2"/>
  <c r="AQ181" i="2"/>
  <c r="AQ180" i="2"/>
  <c r="AR181" i="2"/>
  <c r="AR180" i="2"/>
  <c r="AS181" i="2"/>
  <c r="AS180" i="2"/>
  <c r="AT181" i="2"/>
  <c r="AT180" i="2"/>
  <c r="AT247" i="2" s="1"/>
  <c r="AU181" i="2"/>
  <c r="AU180" i="2"/>
  <c r="K178" i="2"/>
  <c r="T178" i="2"/>
  <c r="AL178" i="2"/>
  <c r="AU182" i="2"/>
  <c r="J184" i="2"/>
  <c r="K184" i="2"/>
  <c r="S184" i="2"/>
  <c r="AQ184" i="2"/>
  <c r="AL185" i="2"/>
  <c r="AG188" i="2"/>
  <c r="AH188" i="2"/>
  <c r="AI188" i="2"/>
  <c r="AJ188" i="2"/>
  <c r="AK188" i="2"/>
  <c r="AL188" i="2"/>
  <c r="AM188" i="2"/>
  <c r="AN188" i="2"/>
  <c r="AO188" i="2"/>
  <c r="AP188" i="2"/>
  <c r="AQ188" i="2"/>
  <c r="AR188" i="2"/>
  <c r="AS188" i="2"/>
  <c r="AT188" i="2"/>
  <c r="AU188" i="2"/>
  <c r="AV188" i="2"/>
  <c r="AW188" i="2"/>
  <c r="AX188" i="2"/>
  <c r="AY188" i="2"/>
  <c r="BA188" i="2"/>
  <c r="BB188" i="2"/>
  <c r="BC188" i="2"/>
  <c r="BC214" i="2" s="1"/>
  <c r="BD188" i="2"/>
  <c r="BF188" i="2"/>
  <c r="BF214" i="2" s="1"/>
  <c r="BG188" i="2"/>
  <c r="BH188" i="2"/>
  <c r="BI188" i="2"/>
  <c r="BK188" i="2"/>
  <c r="BK214" i="2" s="1"/>
  <c r="BL188" i="2"/>
  <c r="BM188" i="2"/>
  <c r="BN188" i="2"/>
  <c r="BN214" i="2" s="1"/>
  <c r="BP188" i="2"/>
  <c r="BQ188" i="2"/>
  <c r="BR188" i="2"/>
  <c r="BR214" i="2" s="1"/>
  <c r="BS188" i="2"/>
  <c r="BS214" i="2" s="1"/>
  <c r="BU188" i="2"/>
  <c r="BV188" i="2"/>
  <c r="BV214" i="2" s="1"/>
  <c r="BW188" i="2"/>
  <c r="BW214" i="2" s="1"/>
  <c r="BX188" i="2"/>
  <c r="BZ188" i="2"/>
  <c r="CA188" i="2"/>
  <c r="CA214" i="2" s="1"/>
  <c r="CB188" i="2"/>
  <c r="CC188" i="2"/>
  <c r="CE188" i="2"/>
  <c r="CJ214" i="2" s="1"/>
  <c r="AG189" i="2"/>
  <c r="AH189" i="2"/>
  <c r="AI189" i="2"/>
  <c r="AJ189" i="2"/>
  <c r="AK189" i="2"/>
  <c r="AL189" i="2"/>
  <c r="AM189" i="2"/>
  <c r="AN189" i="2"/>
  <c r="AO189" i="2"/>
  <c r="AP189" i="2"/>
  <c r="AQ189" i="2"/>
  <c r="AR189" i="2"/>
  <c r="AS189" i="2"/>
  <c r="AT189" i="2"/>
  <c r="AU189" i="2"/>
  <c r="AV189" i="2"/>
  <c r="AW189" i="2"/>
  <c r="AX189" i="2"/>
  <c r="AY189" i="2"/>
  <c r="BA189" i="2"/>
  <c r="BB189" i="2"/>
  <c r="BC189" i="2"/>
  <c r="BD189" i="2"/>
  <c r="BF189" i="2"/>
  <c r="BG189" i="2"/>
  <c r="BG215" i="2" s="1"/>
  <c r="BH189" i="2"/>
  <c r="BI189" i="2"/>
  <c r="BK189" i="2"/>
  <c r="BK215" i="2" s="1"/>
  <c r="BL189" i="2"/>
  <c r="BM189" i="2"/>
  <c r="BN189" i="2"/>
  <c r="BP189" i="2"/>
  <c r="BQ189" i="2"/>
  <c r="BR189" i="2"/>
  <c r="BS189" i="2"/>
  <c r="BT189" i="2"/>
  <c r="BU189" i="2"/>
  <c r="BV189" i="2"/>
  <c r="BW189" i="2"/>
  <c r="BX189" i="2"/>
  <c r="BZ189" i="2"/>
  <c r="CA189" i="2"/>
  <c r="CB189" i="2"/>
  <c r="CC189" i="2"/>
  <c r="CE189" i="2"/>
  <c r="CJ215" i="2" s="1"/>
  <c r="AG190" i="2"/>
  <c r="AH190" i="2"/>
  <c r="AI190" i="2"/>
  <c r="AJ190" i="2"/>
  <c r="AK190" i="2"/>
  <c r="AL190" i="2"/>
  <c r="AM190" i="2"/>
  <c r="AN190" i="2"/>
  <c r="AO190" i="2"/>
  <c r="AP190" i="2"/>
  <c r="AP198" i="2" s="1"/>
  <c r="AQ190" i="2"/>
  <c r="AR190" i="2"/>
  <c r="AS190" i="2"/>
  <c r="AT190" i="2"/>
  <c r="AU190" i="2"/>
  <c r="AU198" i="2" s="1"/>
  <c r="AV190" i="2"/>
  <c r="AV198" i="2" s="1"/>
  <c r="AW190" i="2"/>
  <c r="AW198" i="2" s="1"/>
  <c r="AX190" i="2"/>
  <c r="AY190" i="2"/>
  <c r="BA190" i="2"/>
  <c r="BC190" i="2"/>
  <c r="BD190" i="2"/>
  <c r="BF190" i="2"/>
  <c r="BG190" i="2"/>
  <c r="BH190" i="2"/>
  <c r="BI190" i="2"/>
  <c r="BK190" i="2"/>
  <c r="BL190" i="2"/>
  <c r="BL216" i="2" s="1"/>
  <c r="BM190" i="2"/>
  <c r="BN190" i="2"/>
  <c r="BN216" i="2" s="1"/>
  <c r="BP190" i="2"/>
  <c r="BQ190" i="2"/>
  <c r="BR190" i="2"/>
  <c r="BR216" i="2" s="1"/>
  <c r="BS190" i="2"/>
  <c r="BU190" i="2"/>
  <c r="BV190" i="2"/>
  <c r="BV216" i="2" s="1"/>
  <c r="BW190" i="2"/>
  <c r="BW216" i="2" s="1"/>
  <c r="BX190" i="2"/>
  <c r="BZ190" i="2"/>
  <c r="BZ216" i="2" s="1"/>
  <c r="CA190" i="2"/>
  <c r="CA216" i="2" s="1"/>
  <c r="CB190" i="2"/>
  <c r="CC190" i="2"/>
  <c r="CE190" i="2"/>
  <c r="CJ216" i="2" s="1"/>
  <c r="AG191" i="2"/>
  <c r="AH191" i="2"/>
  <c r="AI191" i="2"/>
  <c r="AJ191" i="2"/>
  <c r="AK191" i="2"/>
  <c r="AL191" i="2"/>
  <c r="AM191" i="2"/>
  <c r="AN191" i="2"/>
  <c r="AO191" i="2"/>
  <c r="AP191" i="2"/>
  <c r="AQ191" i="2"/>
  <c r="AR191" i="2"/>
  <c r="AS191" i="2"/>
  <c r="AT191" i="2"/>
  <c r="AU191" i="2"/>
  <c r="AV191" i="2"/>
  <c r="AW191" i="2"/>
  <c r="AX191" i="2"/>
  <c r="AY191" i="2"/>
  <c r="BA191" i="2"/>
  <c r="BB191" i="2"/>
  <c r="BB217" i="2" s="1"/>
  <c r="BC191" i="2"/>
  <c r="BD191" i="2"/>
  <c r="BD217" i="2" s="1"/>
  <c r="BF191" i="2"/>
  <c r="BF217" i="2" s="1"/>
  <c r="BG191" i="2"/>
  <c r="BG217" i="2" s="1"/>
  <c r="BH191" i="2"/>
  <c r="BI191" i="2"/>
  <c r="BK191" i="2"/>
  <c r="BK217" i="2" s="1"/>
  <c r="BL191" i="2"/>
  <c r="BL217" i="2" s="1"/>
  <c r="BM191" i="2"/>
  <c r="BN191" i="2"/>
  <c r="BN217" i="2" s="1"/>
  <c r="BP191" i="2"/>
  <c r="BQ191" i="2"/>
  <c r="BR191" i="2"/>
  <c r="BS191" i="2"/>
  <c r="BS217" i="2" s="1"/>
  <c r="BU191" i="2"/>
  <c r="BV191" i="2"/>
  <c r="BW191" i="2"/>
  <c r="BX191" i="2"/>
  <c r="BZ191" i="2"/>
  <c r="CA191" i="2"/>
  <c r="CA217" i="2" s="1"/>
  <c r="CB191" i="2"/>
  <c r="CC191" i="2"/>
  <c r="CE191" i="2"/>
  <c r="CJ217" i="2" s="1"/>
  <c r="AH205" i="2"/>
  <c r="AM262" i="2" s="1"/>
  <c r="AL205" i="2"/>
  <c r="AM205" i="2"/>
  <c r="AN205" i="2"/>
  <c r="AO205" i="2"/>
  <c r="AQ205" i="2"/>
  <c r="AR205" i="2"/>
  <c r="AR262" i="2" s="1"/>
  <c r="AS205" i="2"/>
  <c r="AT205" i="2"/>
  <c r="H206" i="2"/>
  <c r="I206" i="2"/>
  <c r="J206" i="2"/>
  <c r="K206" i="2"/>
  <c r="M206" i="2"/>
  <c r="M263" i="2" s="1"/>
  <c r="N206" i="2"/>
  <c r="O206" i="2"/>
  <c r="P206" i="2"/>
  <c r="P263" i="2" s="1"/>
  <c r="R206" i="2"/>
  <c r="S206" i="2"/>
  <c r="S263" i="2" s="1"/>
  <c r="T206" i="2"/>
  <c r="U206" i="2"/>
  <c r="W206" i="2"/>
  <c r="W263" i="2" s="1"/>
  <c r="X206" i="2"/>
  <c r="Y206" i="2"/>
  <c r="Z206" i="2"/>
  <c r="AB206" i="2"/>
  <c r="AC206" i="2"/>
  <c r="AD206" i="2"/>
  <c r="AE206" i="2"/>
  <c r="AG206" i="2"/>
  <c r="AG263" i="2" s="1"/>
  <c r="AH206" i="2"/>
  <c r="AI206" i="2"/>
  <c r="AI263" i="2" s="1"/>
  <c r="AJ206" i="2"/>
  <c r="AJ263" i="2" s="1"/>
  <c r="H207" i="2"/>
  <c r="I207" i="2"/>
  <c r="J207" i="2"/>
  <c r="K207" i="2"/>
  <c r="M207" i="2"/>
  <c r="N207" i="2"/>
  <c r="O207" i="2"/>
  <c r="O264" i="2" s="1"/>
  <c r="P207" i="2"/>
  <c r="R207" i="2"/>
  <c r="S207" i="2"/>
  <c r="S264" i="2" s="1"/>
  <c r="T207" i="2"/>
  <c r="T264" i="2" s="1"/>
  <c r="U207" i="2"/>
  <c r="U264" i="2" s="1"/>
  <c r="W207" i="2"/>
  <c r="W264" i="2" s="1"/>
  <c r="X207" i="2"/>
  <c r="Y207" i="2"/>
  <c r="Y264" i="2" s="1"/>
  <c r="Z207" i="2"/>
  <c r="AB207" i="2"/>
  <c r="AC207" i="2"/>
  <c r="AD207" i="2"/>
  <c r="AD264" i="2" s="1"/>
  <c r="AE207" i="2"/>
  <c r="AE264" i="2" s="1"/>
  <c r="AG207" i="2"/>
  <c r="AH207" i="2"/>
  <c r="AI207" i="2"/>
  <c r="AJ207" i="2"/>
  <c r="AJ264" i="2" s="1"/>
  <c r="H208" i="2"/>
  <c r="I208" i="2"/>
  <c r="J208" i="2"/>
  <c r="K208" i="2"/>
  <c r="M208" i="2"/>
  <c r="N208" i="2"/>
  <c r="O208" i="2"/>
  <c r="P208" i="2"/>
  <c r="P265" i="2" s="1"/>
  <c r="S208" i="2"/>
  <c r="T208" i="2"/>
  <c r="U208" i="2"/>
  <c r="W208" i="2"/>
  <c r="X208" i="2"/>
  <c r="X265" i="2" s="1"/>
  <c r="Y208" i="2"/>
  <c r="Z208" i="2"/>
  <c r="AB208" i="2"/>
  <c r="AC208" i="2"/>
  <c r="AD208" i="2"/>
  <c r="AE208" i="2"/>
  <c r="AE265" i="2" s="1"/>
  <c r="AG208" i="2"/>
  <c r="AH208" i="2"/>
  <c r="AI208" i="2"/>
  <c r="AI265" i="2" s="1"/>
  <c r="AJ208" i="2"/>
  <c r="AJ265" i="2" s="1"/>
  <c r="AL208" i="2"/>
  <c r="AM208" i="2"/>
  <c r="AN208" i="2"/>
  <c r="AN265" i="2" s="1"/>
  <c r="AO208" i="2"/>
  <c r="AQ208" i="2"/>
  <c r="AQ265" i="2" s="1"/>
  <c r="AR208" i="2"/>
  <c r="AS208" i="2"/>
  <c r="AS265" i="2" s="1"/>
  <c r="AT208" i="2"/>
  <c r="CE214" i="2"/>
  <c r="CO188" i="2"/>
  <c r="CT214" i="2"/>
  <c r="CU214" i="2"/>
  <c r="CV214" i="2"/>
  <c r="CY214" i="2"/>
  <c r="CZ214" i="2"/>
  <c r="DA214" i="2"/>
  <c r="DD214" i="2"/>
  <c r="DE214" i="2"/>
  <c r="DF214" i="2"/>
  <c r="AQ215" i="2"/>
  <c r="CT215" i="2"/>
  <c r="CU215" i="2"/>
  <c r="CV215" i="2"/>
  <c r="CY215" i="2"/>
  <c r="CZ215" i="2"/>
  <c r="DA215" i="2"/>
  <c r="DD215" i="2"/>
  <c r="DE215" i="2"/>
  <c r="DF215" i="2"/>
  <c r="AL216" i="2"/>
  <c r="CO216" i="2"/>
  <c r="CT216" i="2"/>
  <c r="CU216" i="2"/>
  <c r="CV216" i="2"/>
  <c r="CY216" i="2"/>
  <c r="CZ216" i="2"/>
  <c r="DA216" i="2"/>
  <c r="DD216" i="2"/>
  <c r="DE216" i="2"/>
  <c r="DF216" i="2"/>
  <c r="BH217" i="2"/>
  <c r="BP217" i="2"/>
  <c r="BR217" i="2"/>
  <c r="CO217" i="2"/>
  <c r="CP217" i="2"/>
  <c r="CQ217" i="2"/>
  <c r="CT217" i="2"/>
  <c r="CU217" i="2"/>
  <c r="CV217" i="2"/>
  <c r="CY217" i="2"/>
  <c r="CZ217" i="2"/>
  <c r="DA217" i="2"/>
  <c r="DD217" i="2"/>
  <c r="DE217" i="2"/>
  <c r="DF217" i="2"/>
  <c r="AL222" i="2"/>
  <c r="AM222" i="2"/>
  <c r="AN222" i="2"/>
  <c r="AO222" i="2"/>
  <c r="AP222" i="2"/>
  <c r="AQ222" i="2"/>
  <c r="AR222" i="2"/>
  <c r="AS222" i="2"/>
  <c r="AT222" i="2"/>
  <c r="AU222" i="2"/>
  <c r="AV222" i="2"/>
  <c r="AW222" i="2"/>
  <c r="AX222" i="2"/>
  <c r="AY222" i="2"/>
  <c r="BA222" i="2"/>
  <c r="BB222" i="2"/>
  <c r="BC222" i="2"/>
  <c r="BD222" i="2"/>
  <c r="BF222" i="2"/>
  <c r="BG222" i="2"/>
  <c r="BH222" i="2"/>
  <c r="BI222" i="2"/>
  <c r="BK222" i="2"/>
  <c r="BL222" i="2"/>
  <c r="BM222" i="2"/>
  <c r="BN222" i="2"/>
  <c r="BP222" i="2"/>
  <c r="BQ222" i="2"/>
  <c r="BR222" i="2"/>
  <c r="BS222" i="2"/>
  <c r="BU222" i="2"/>
  <c r="BV222" i="2"/>
  <c r="BW222" i="2"/>
  <c r="BX222" i="2"/>
  <c r="BZ222" i="2"/>
  <c r="CA222" i="2"/>
  <c r="CB222" i="2"/>
  <c r="CC222" i="2"/>
  <c r="CE222" i="2"/>
  <c r="AL223" i="2"/>
  <c r="AM223" i="2"/>
  <c r="AN223" i="2"/>
  <c r="AO223" i="2"/>
  <c r="AP223" i="2"/>
  <c r="AQ223" i="2"/>
  <c r="AR223" i="2"/>
  <c r="AS223" i="2"/>
  <c r="AT223" i="2"/>
  <c r="AU223" i="2"/>
  <c r="AV223" i="2"/>
  <c r="AW223" i="2"/>
  <c r="AX223" i="2"/>
  <c r="AY223" i="2"/>
  <c r="AZ223" i="2"/>
  <c r="BA223" i="2"/>
  <c r="BB223" i="2"/>
  <c r="BC223" i="2"/>
  <c r="BD223" i="2"/>
  <c r="BF223" i="2"/>
  <c r="BG223" i="2"/>
  <c r="BH223" i="2"/>
  <c r="BI223" i="2"/>
  <c r="BK223" i="2"/>
  <c r="BL223" i="2"/>
  <c r="BM223" i="2"/>
  <c r="BN223" i="2"/>
  <c r="BP223" i="2"/>
  <c r="BQ223" i="2"/>
  <c r="BR223" i="2"/>
  <c r="BS223" i="2"/>
  <c r="BU223" i="2"/>
  <c r="BV223" i="2"/>
  <c r="BW223" i="2"/>
  <c r="BX223" i="2"/>
  <c r="BZ223" i="2"/>
  <c r="CA223" i="2"/>
  <c r="CB223" i="2"/>
  <c r="CC223" i="2"/>
  <c r="CE223" i="2"/>
  <c r="AL224" i="2"/>
  <c r="AM224" i="2"/>
  <c r="AN224" i="2"/>
  <c r="AO224" i="2"/>
  <c r="AP224" i="2"/>
  <c r="AQ224" i="2"/>
  <c r="AR224" i="2"/>
  <c r="AS224" i="2"/>
  <c r="AT224" i="2"/>
  <c r="AU224" i="2"/>
  <c r="AV224" i="2"/>
  <c r="AW224" i="2"/>
  <c r="AX224" i="2"/>
  <c r="AY224" i="2"/>
  <c r="AZ224" i="2"/>
  <c r="BF224" i="2"/>
  <c r="BH224" i="2"/>
  <c r="BI224" i="2"/>
  <c r="BK224" i="2"/>
  <c r="BL224" i="2"/>
  <c r="BM224" i="2"/>
  <c r="BN224" i="2"/>
  <c r="BP224" i="2"/>
  <c r="BQ224" i="2"/>
  <c r="BR224" i="2"/>
  <c r="BS224" i="2"/>
  <c r="BU224" i="2"/>
  <c r="BV224" i="2"/>
  <c r="BW224" i="2"/>
  <c r="BX224" i="2"/>
  <c r="BZ224" i="2"/>
  <c r="CA224" i="2"/>
  <c r="CB224" i="2"/>
  <c r="CC224" i="2"/>
  <c r="CE224" i="2"/>
  <c r="AL225" i="2"/>
  <c r="AM225" i="2"/>
  <c r="AN225" i="2"/>
  <c r="AO225" i="2"/>
  <c r="AP225" i="2"/>
  <c r="AQ225" i="2"/>
  <c r="AR225" i="2"/>
  <c r="AS225" i="2"/>
  <c r="AT225" i="2"/>
  <c r="AU225" i="2"/>
  <c r="AV225" i="2"/>
  <c r="AW225" i="2"/>
  <c r="AX225" i="2"/>
  <c r="AY225" i="2"/>
  <c r="BF225" i="2"/>
  <c r="BG225" i="2"/>
  <c r="BH225" i="2"/>
  <c r="BI225" i="2"/>
  <c r="BK225" i="2"/>
  <c r="BL225" i="2"/>
  <c r="BM225" i="2"/>
  <c r="BN225" i="2"/>
  <c r="BP225" i="2"/>
  <c r="BQ225" i="2"/>
  <c r="BR225" i="2"/>
  <c r="BS225" i="2"/>
  <c r="BU225" i="2"/>
  <c r="BV225" i="2"/>
  <c r="BW225" i="2"/>
  <c r="BX225" i="2"/>
  <c r="BY225" i="2"/>
  <c r="BZ225" i="2"/>
  <c r="CA225" i="2"/>
  <c r="CB225" i="2"/>
  <c r="CC225" i="2"/>
  <c r="CE225" i="2"/>
  <c r="AM226" i="2"/>
  <c r="AQ226" i="2"/>
  <c r="AU226" i="2"/>
  <c r="AY226" i="2"/>
  <c r="BC226" i="2"/>
  <c r="BD226" i="2"/>
  <c r="BK226" i="2"/>
  <c r="BP226" i="2"/>
  <c r="BU226" i="2"/>
  <c r="AW231" i="2"/>
  <c r="BB231" i="2"/>
  <c r="AL232" i="2"/>
  <c r="AM232" i="2"/>
  <c r="AN232" i="2"/>
  <c r="AO232" i="2"/>
  <c r="AP232" i="2"/>
  <c r="AQ232" i="2"/>
  <c r="AR232" i="2"/>
  <c r="AS232" i="2"/>
  <c r="AT232" i="2"/>
  <c r="AU232" i="2"/>
  <c r="AV232" i="2"/>
  <c r="AW232" i="2"/>
  <c r="AX232" i="2"/>
  <c r="AY232" i="2"/>
  <c r="BA232" i="2"/>
  <c r="BB232" i="2"/>
  <c r="BC232" i="2"/>
  <c r="BD232" i="2"/>
  <c r="BF232" i="2"/>
  <c r="BG232" i="2"/>
  <c r="BH232" i="2"/>
  <c r="BI232" i="2"/>
  <c r="BK232" i="2"/>
  <c r="BL232" i="2"/>
  <c r="BM232" i="2"/>
  <c r="BN232" i="2"/>
  <c r="BP232" i="2"/>
  <c r="BQ232" i="2"/>
  <c r="BR232" i="2"/>
  <c r="BS232" i="2"/>
  <c r="BU232" i="2"/>
  <c r="BV232" i="2"/>
  <c r="BW232" i="2"/>
  <c r="BX232" i="2"/>
  <c r="BZ232" i="2"/>
  <c r="CA232" i="2"/>
  <c r="CB232" i="2"/>
  <c r="CC232" i="2"/>
  <c r="CE232" i="2"/>
  <c r="S238" i="2"/>
  <c r="U238" i="2"/>
  <c r="X238" i="2"/>
  <c r="AC238" i="2"/>
  <c r="AM238" i="2"/>
  <c r="AQ238" i="2"/>
  <c r="AR238" i="2"/>
  <c r="AS238" i="2"/>
  <c r="AT238" i="2"/>
  <c r="M239" i="2"/>
  <c r="N239" i="2"/>
  <c r="O239" i="2"/>
  <c r="P239" i="2"/>
  <c r="R239" i="2"/>
  <c r="S239" i="2"/>
  <c r="T239" i="2"/>
  <c r="U239" i="2"/>
  <c r="W239" i="2"/>
  <c r="X239" i="2"/>
  <c r="Y239" i="2"/>
  <c r="Z239" i="2"/>
  <c r="AB239" i="2"/>
  <c r="AC239" i="2"/>
  <c r="AD239" i="2"/>
  <c r="AE239" i="2"/>
  <c r="AG239" i="2"/>
  <c r="AH239" i="2"/>
  <c r="AI239" i="2"/>
  <c r="AJ239" i="2"/>
  <c r="M240" i="2"/>
  <c r="N240" i="2"/>
  <c r="O240" i="2"/>
  <c r="P240" i="2"/>
  <c r="R240" i="2"/>
  <c r="S240" i="2"/>
  <c r="T240" i="2"/>
  <c r="U240" i="2"/>
  <c r="W240" i="2"/>
  <c r="X240" i="2"/>
  <c r="Y240" i="2"/>
  <c r="Z240" i="2"/>
  <c r="AA240" i="2"/>
  <c r="AB240" i="2"/>
  <c r="AC240" i="2"/>
  <c r="AD240" i="2"/>
  <c r="AE240" i="2"/>
  <c r="AG240" i="2"/>
  <c r="AH240" i="2"/>
  <c r="AI240" i="2"/>
  <c r="AJ240" i="2"/>
  <c r="M241" i="2"/>
  <c r="N241" i="2"/>
  <c r="O241" i="2"/>
  <c r="P241" i="2"/>
  <c r="S241" i="2"/>
  <c r="T241" i="2"/>
  <c r="U241" i="2"/>
  <c r="X241" i="2"/>
  <c r="Y241" i="2"/>
  <c r="Z241" i="2"/>
  <c r="AB241" i="2"/>
  <c r="AC241" i="2"/>
  <c r="AD241" i="2"/>
  <c r="AE241" i="2"/>
  <c r="AG241" i="2"/>
  <c r="AH241" i="2"/>
  <c r="AI241" i="2"/>
  <c r="AJ241" i="2"/>
  <c r="AL241" i="2"/>
  <c r="AM241" i="2"/>
  <c r="AN241" i="2"/>
  <c r="AO241" i="2"/>
  <c r="AQ241" i="2"/>
  <c r="AR241" i="2"/>
  <c r="AS241" i="2"/>
  <c r="AT241" i="2"/>
  <c r="AH242" i="2"/>
  <c r="AL242" i="2"/>
  <c r="AQ242" i="2"/>
  <c r="AC248" i="2"/>
  <c r="M249" i="2"/>
  <c r="N249" i="2"/>
  <c r="O249" i="2"/>
  <c r="P249" i="2"/>
  <c r="Q249" i="2"/>
  <c r="R249" i="2"/>
  <c r="S249" i="2"/>
  <c r="T249" i="2"/>
  <c r="U249" i="2"/>
  <c r="V249" i="2"/>
  <c r="W249" i="2"/>
  <c r="X249" i="2"/>
  <c r="Y249" i="2"/>
  <c r="Z249" i="2"/>
  <c r="AA249" i="2"/>
  <c r="AB249" i="2"/>
  <c r="AC249" i="2"/>
  <c r="AD249" i="2"/>
  <c r="AE249" i="2"/>
  <c r="AF249" i="2"/>
  <c r="AG249" i="2"/>
  <c r="AH249" i="2"/>
  <c r="AI249" i="2"/>
  <c r="AJ249" i="2"/>
  <c r="AK249" i="2"/>
  <c r="AL249" i="2"/>
  <c r="AM249" i="2"/>
  <c r="AN249" i="2"/>
  <c r="AO249" i="2"/>
  <c r="AP249" i="2"/>
  <c r="AQ249" i="2"/>
  <c r="AR249" i="2"/>
  <c r="AS249" i="2"/>
  <c r="AT249" i="2"/>
  <c r="AU249" i="2"/>
  <c r="AH254" i="2"/>
  <c r="AI254" i="2"/>
  <c r="AL254" i="2"/>
  <c r="AM254" i="2"/>
  <c r="AP254" i="2"/>
  <c r="AQ254" i="2"/>
  <c r="AT254" i="2"/>
  <c r="AU254" i="2"/>
  <c r="AX254" i="2"/>
  <c r="AY254" i="2"/>
  <c r="BD254" i="2"/>
  <c r="BF254" i="2"/>
  <c r="BK254" i="2"/>
  <c r="BP254" i="2"/>
  <c r="BX254" i="2"/>
  <c r="BZ254" i="2"/>
  <c r="CE254" i="2"/>
  <c r="AH255" i="2"/>
  <c r="AI255" i="2"/>
  <c r="AL255" i="2"/>
  <c r="AM255" i="2"/>
  <c r="AP255" i="2"/>
  <c r="AQ255" i="2"/>
  <c r="AT255" i="2"/>
  <c r="AU255" i="2"/>
  <c r="AX255" i="2"/>
  <c r="AY255" i="2"/>
  <c r="BC255" i="2"/>
  <c r="BD255" i="2"/>
  <c r="BF255" i="2"/>
  <c r="BH255" i="2"/>
  <c r="BK255" i="2"/>
  <c r="BL255" i="2"/>
  <c r="BP255" i="2"/>
  <c r="BR255" i="2"/>
  <c r="BZ255" i="2"/>
  <c r="AH256" i="2"/>
  <c r="AI256" i="2"/>
  <c r="AL256" i="2"/>
  <c r="AM256" i="2"/>
  <c r="AP256" i="2"/>
  <c r="AQ256" i="2"/>
  <c r="AT256" i="2"/>
  <c r="AU256" i="2"/>
  <c r="AX256" i="2"/>
  <c r="AY256" i="2"/>
  <c r="BD256" i="2"/>
  <c r="BF256" i="2"/>
  <c r="BK256" i="2"/>
  <c r="BM256" i="2"/>
  <c r="BP256" i="2"/>
  <c r="BU256" i="2"/>
  <c r="BZ256" i="2"/>
  <c r="CC256" i="2"/>
  <c r="AH257" i="2"/>
  <c r="AI257" i="2"/>
  <c r="AL257" i="2"/>
  <c r="AM257" i="2"/>
  <c r="AP257" i="2"/>
  <c r="AQ257" i="2"/>
  <c r="AT257" i="2"/>
  <c r="AU257" i="2"/>
  <c r="AX257" i="2"/>
  <c r="AY257" i="2"/>
  <c r="BD257" i="2"/>
  <c r="BF257" i="2"/>
  <c r="BK257" i="2"/>
  <c r="BP257" i="2"/>
  <c r="BX257" i="2"/>
  <c r="BZ257" i="2"/>
  <c r="CE257" i="2"/>
  <c r="AH258" i="2"/>
  <c r="AI258" i="2"/>
  <c r="AL258" i="2"/>
  <c r="AM258" i="2"/>
  <c r="AP258" i="2"/>
  <c r="AQ258" i="2"/>
  <c r="AT258" i="2"/>
  <c r="AU258" i="2"/>
  <c r="AX258" i="2"/>
  <c r="AY258" i="2"/>
  <c r="BD258" i="2"/>
  <c r="BF258" i="2"/>
  <c r="BK258" i="2"/>
  <c r="BP258" i="2"/>
  <c r="BR258" i="2"/>
  <c r="BZ258" i="2"/>
  <c r="U263" i="2"/>
  <c r="X263" i="2"/>
  <c r="Y263" i="2"/>
  <c r="M264" i="2"/>
  <c r="N264" i="2"/>
  <c r="R264" i="2"/>
  <c r="X264" i="2"/>
  <c r="Z264" i="2"/>
  <c r="AB264" i="2"/>
  <c r="S265" i="2"/>
  <c r="AB265" i="2"/>
  <c r="AZ273" i="2"/>
  <c r="AZ274" i="2" s="1"/>
  <c r="AZ281" i="2"/>
  <c r="AZ282" i="2" s="1"/>
  <c r="AQ285" i="2"/>
  <c r="AR285" i="2"/>
  <c r="AS285" i="2"/>
  <c r="AS284" i="2" s="1"/>
  <c r="AT285" i="2"/>
  <c r="A288" i="2"/>
  <c r="A289" i="2"/>
  <c r="A290" i="2"/>
  <c r="A291" i="2"/>
  <c r="A292" i="2"/>
  <c r="BU292" i="2"/>
  <c r="BV292" i="2"/>
  <c r="BW292" i="2"/>
  <c r="BX292" i="2"/>
  <c r="BZ292" i="2"/>
  <c r="CA292" i="2"/>
  <c r="CB292" i="2"/>
  <c r="CC292" i="2"/>
  <c r="CA296" i="2"/>
  <c r="CE299" i="2"/>
  <c r="J198" i="1"/>
  <c r="AT176" i="2"/>
  <c r="AT248" i="2"/>
  <c r="AD176" i="2"/>
  <c r="S248" i="2"/>
  <c r="N248" i="2"/>
  <c r="BH159" i="2"/>
  <c r="BH231" i="2"/>
  <c r="BU2" i="2"/>
  <c r="BU151" i="2" s="1"/>
  <c r="AM176" i="2"/>
  <c r="AM248" i="2"/>
  <c r="O176" i="2"/>
  <c r="O248" i="2"/>
  <c r="BF159" i="2"/>
  <c r="BF160" i="2" s="1"/>
  <c r="DC152" i="2"/>
  <c r="CY2" i="2"/>
  <c r="CY151" i="2" s="1"/>
  <c r="CI152" i="2"/>
  <c r="CE2" i="2"/>
  <c r="CE151" i="2" s="1"/>
  <c r="CD356" i="1"/>
  <c r="CD186" i="1"/>
  <c r="E39" i="1"/>
  <c r="J40" i="1" s="1"/>
  <c r="AR8" i="1"/>
  <c r="AR335" i="1" s="1"/>
  <c r="AQ248" i="2"/>
  <c r="BF231" i="2"/>
  <c r="BA245" i="1"/>
  <c r="P176" i="2"/>
  <c r="AT231" i="2"/>
  <c r="AT159" i="2"/>
  <c r="AM159" i="2"/>
  <c r="AI248" i="2"/>
  <c r="DD2" i="2"/>
  <c r="DD151" i="2" s="1"/>
  <c r="DH152" i="2"/>
  <c r="X247" i="2"/>
  <c r="M176" i="2"/>
  <c r="M248" i="2"/>
  <c r="BW159" i="2"/>
  <c r="BP159" i="2"/>
  <c r="AO159" i="2"/>
  <c r="AO231" i="2"/>
  <c r="AK159" i="2"/>
  <c r="BT206" i="1"/>
  <c r="BT208" i="1"/>
  <c r="AO210" i="1"/>
  <c r="AK210" i="1"/>
  <c r="AK206" i="1"/>
  <c r="AK208" i="1"/>
  <c r="S191" i="1"/>
  <c r="T191" i="1" s="1"/>
  <c r="AO176" i="2"/>
  <c r="AA247" i="2"/>
  <c r="BS175" i="1"/>
  <c r="AN259" i="1"/>
  <c r="X259" i="1"/>
  <c r="BN199" i="1"/>
  <c r="BJ198" i="1"/>
  <c r="BN198" i="1"/>
  <c r="Z199" i="1"/>
  <c r="BV194" i="1"/>
  <c r="BW194" i="1" s="1"/>
  <c r="BD290" i="1"/>
  <c r="P290" i="1"/>
  <c r="Q210" i="1"/>
  <c r="Q206" i="1"/>
  <c r="Q208" i="1"/>
  <c r="AM188" i="1"/>
  <c r="AY184" i="1"/>
  <c r="AY204" i="1" s="1"/>
  <c r="AV204" i="1"/>
  <c r="AV205" i="1"/>
  <c r="AV208" i="1" s="1"/>
  <c r="AV218" i="1"/>
  <c r="S172" i="1"/>
  <c r="R219" i="1"/>
  <c r="BT210" i="1"/>
  <c r="AX206" i="1"/>
  <c r="AX208" i="1"/>
  <c r="BX206" i="1"/>
  <c r="BB210" i="1"/>
  <c r="AG206" i="1"/>
  <c r="H198" i="1"/>
  <c r="AW191" i="1"/>
  <c r="AX191" i="1" s="1"/>
  <c r="AY191" i="1" s="1"/>
  <c r="X191" i="1"/>
  <c r="BF71" i="1"/>
  <c r="BA186" i="1"/>
  <c r="BD185" i="1"/>
  <c r="BD334" i="1" s="1"/>
  <c r="AL186" i="1"/>
  <c r="AM185" i="1"/>
  <c r="CA186" i="1"/>
  <c r="BD158" i="1"/>
  <c r="O163" i="1"/>
  <c r="P158" i="1"/>
  <c r="AT180" i="1"/>
  <c r="CK140" i="1"/>
  <c r="CL140" i="1" s="1"/>
  <c r="P140" i="1"/>
  <c r="AQ125" i="1"/>
  <c r="AQ124" i="1" s="1"/>
  <c r="AR190" i="1"/>
  <c r="AR185" i="1"/>
  <c r="AG186" i="1"/>
  <c r="AH184" i="1"/>
  <c r="AN172" i="1"/>
  <c r="BX158" i="1"/>
  <c r="AJ158" i="1"/>
  <c r="BU155" i="1"/>
  <c r="BU125" i="1"/>
  <c r="BV190" i="1"/>
  <c r="N190" i="1"/>
  <c r="N125" i="1" s="1"/>
  <c r="N124" i="1" s="1"/>
  <c r="I184" i="1"/>
  <c r="H186" i="1"/>
  <c r="BI177" i="1"/>
  <c r="CH158" i="1"/>
  <c r="CK158" i="1" s="1"/>
  <c r="CL158" i="1" s="1"/>
  <c r="CM158" i="1" s="1"/>
  <c r="CN158" i="1" s="1"/>
  <c r="CO158" i="1" s="1"/>
  <c r="CP158" i="1" s="1"/>
  <c r="CQ158" i="1" s="1"/>
  <c r="CR158" i="1" s="1"/>
  <c r="CS158" i="1" s="1"/>
  <c r="CT158" i="1" s="1"/>
  <c r="CU158" i="1" s="1"/>
  <c r="CV158" i="1" s="1"/>
  <c r="CW158" i="1" s="1"/>
  <c r="CX158" i="1" s="1"/>
  <c r="CY158" i="1" s="1"/>
  <c r="CZ158" i="1" s="1"/>
  <c r="DA158" i="1" s="1"/>
  <c r="DB158" i="1" s="1"/>
  <c r="DC158" i="1" s="1"/>
  <c r="DD158" i="1" s="1"/>
  <c r="DE158" i="1" s="1"/>
  <c r="DF158" i="1" s="1"/>
  <c r="DG158" i="1" s="1"/>
  <c r="CA131" i="1"/>
  <c r="Y136" i="1"/>
  <c r="X137" i="1"/>
  <c r="AV60" i="1"/>
  <c r="AV353" i="1" s="1"/>
  <c r="BN136" i="1"/>
  <c r="BM137" i="1"/>
  <c r="BM231" i="1" s="1"/>
  <c r="M103" i="1"/>
  <c r="M106" i="1" s="1"/>
  <c r="AC190" i="1"/>
  <c r="AC125" i="1" s="1"/>
  <c r="AC124" i="1" s="1"/>
  <c r="AC172" i="1"/>
  <c r="AD172" i="1" s="1"/>
  <c r="CH161" i="1"/>
  <c r="CK161" i="1" s="1"/>
  <c r="CL161" i="1" s="1"/>
  <c r="CM161" i="1" s="1"/>
  <c r="CN161" i="1" s="1"/>
  <c r="CO161" i="1" s="1"/>
  <c r="CP161" i="1" s="1"/>
  <c r="CQ161" i="1" s="1"/>
  <c r="CR161" i="1" s="1"/>
  <c r="CS161" i="1" s="1"/>
  <c r="CT161" i="1" s="1"/>
  <c r="CU161" i="1" s="1"/>
  <c r="CV161" i="1" s="1"/>
  <c r="CW161" i="1" s="1"/>
  <c r="CX161" i="1" s="1"/>
  <c r="CY161" i="1" s="1"/>
  <c r="CZ161" i="1" s="1"/>
  <c r="DA161" i="1" s="1"/>
  <c r="DB161" i="1" s="1"/>
  <c r="DC161" i="1" s="1"/>
  <c r="DD161" i="1" s="1"/>
  <c r="DE161" i="1" s="1"/>
  <c r="DF161" i="1" s="1"/>
  <c r="DG161" i="1" s="1"/>
  <c r="BV136" i="1"/>
  <c r="BD120" i="1"/>
  <c r="BQ114" i="1"/>
  <c r="BQ115" i="1" s="1"/>
  <c r="AJ114" i="1"/>
  <c r="P114" i="1"/>
  <c r="I103" i="1"/>
  <c r="I106" i="1" s="1"/>
  <c r="AB106" i="1"/>
  <c r="BG45" i="1"/>
  <c r="AM45" i="1"/>
  <c r="BS114" i="1"/>
  <c r="BC40" i="1"/>
  <c r="AG50" i="1"/>
  <c r="AQ36" i="1"/>
  <c r="J34" i="1"/>
  <c r="O36" i="1"/>
  <c r="J36" i="1"/>
  <c r="BT33" i="1"/>
  <c r="AZ33" i="1"/>
  <c r="AZ36" i="1" s="1"/>
  <c r="BS46" i="1"/>
  <c r="Z44" i="1"/>
  <c r="Y39" i="1"/>
  <c r="Y41" i="1"/>
  <c r="AD41" i="1"/>
  <c r="Y50" i="1"/>
  <c r="BJ51" i="1"/>
  <c r="BE50" i="1"/>
  <c r="BR48" i="1"/>
  <c r="Q41" i="1"/>
  <c r="BJ40" i="1"/>
  <c r="CC41" i="1"/>
  <c r="BD41" i="1"/>
  <c r="AC41" i="1"/>
  <c r="AH41" i="1"/>
  <c r="AH34" i="1"/>
  <c r="AM36" i="1"/>
  <c r="BO33" i="1"/>
  <c r="BH31" i="1"/>
  <c r="BH33" i="1" s="1"/>
  <c r="BF20" i="1"/>
  <c r="AD22" i="1"/>
  <c r="AD23" i="1" s="1"/>
  <c r="AA20" i="1"/>
  <c r="O20" i="1"/>
  <c r="J18" i="1"/>
  <c r="J22" i="1"/>
  <c r="BH13" i="1"/>
  <c r="BA13" i="1"/>
  <c r="AN45" i="1"/>
  <c r="AB45" i="1"/>
  <c r="X45" i="1"/>
  <c r="T45" i="1"/>
  <c r="L45" i="1"/>
  <c r="AY33" i="1"/>
  <c r="AD34" i="1"/>
  <c r="AI36" i="1"/>
  <c r="V34" i="1"/>
  <c r="AA36" i="1"/>
  <c r="W36" i="1"/>
  <c r="AH13" i="1"/>
  <c r="BX14" i="1"/>
  <c r="AE12" i="1"/>
  <c r="AE17" i="1"/>
  <c r="BZ8" i="1"/>
  <c r="BZ335" i="1" s="1"/>
  <c r="BU8" i="1"/>
  <c r="BU335" i="1" s="1"/>
  <c r="BU12" i="1"/>
  <c r="BU17" i="1"/>
  <c r="BU18" i="1" s="1"/>
  <c r="BU28" i="1"/>
  <c r="BD7" i="1"/>
  <c r="BI8" i="1" s="1"/>
  <c r="BI335" i="1" s="1"/>
  <c r="AZ8" i="1"/>
  <c r="AZ335" i="1" s="1"/>
  <c r="BE8" i="1"/>
  <c r="BE335" i="1" s="1"/>
  <c r="AZ17" i="1"/>
  <c r="R18" i="1"/>
  <c r="W19" i="1" s="1"/>
  <c r="W20" i="1"/>
  <c r="BG23" i="1"/>
  <c r="H14" i="1"/>
  <c r="AL13" i="1"/>
  <c r="T17" i="1"/>
  <c r="K17" i="1"/>
  <c r="AI13" i="1"/>
  <c r="AW8" i="1"/>
  <c r="AW335" i="1" s="1"/>
  <c r="AR17" i="1"/>
  <c r="AR18" i="1" s="1"/>
  <c r="AR12" i="1"/>
  <c r="AW13" i="1" s="1"/>
  <c r="AJ17" i="1"/>
  <c r="AO177" i="2"/>
  <c r="AO210" i="2" s="1"/>
  <c r="CJ2" i="2"/>
  <c r="CJ151" i="2" s="1"/>
  <c r="CN152" i="2"/>
  <c r="CA159" i="2"/>
  <c r="BX159" i="2"/>
  <c r="BX231" i="2"/>
  <c r="BK159" i="2"/>
  <c r="BK227" i="2" s="1"/>
  <c r="BK231" i="2"/>
  <c r="BP231" i="2"/>
  <c r="BO152" i="2"/>
  <c r="J184" i="1"/>
  <c r="I186" i="1"/>
  <c r="I218" i="1"/>
  <c r="I204" i="1"/>
  <c r="I205" i="1"/>
  <c r="BV125" i="1"/>
  <c r="BV124" i="1" s="1"/>
  <c r="BW190" i="1"/>
  <c r="Y54" i="1"/>
  <c r="Y74" i="1"/>
  <c r="Y77" i="1" s="1"/>
  <c r="Y250" i="1" s="1"/>
  <c r="Y51" i="1"/>
  <c r="Z178" i="2"/>
  <c r="BW136" i="1"/>
  <c r="BX136" i="1" s="1"/>
  <c r="AR125" i="1"/>
  <c r="AR124" i="1" s="1"/>
  <c r="AS190" i="1"/>
  <c r="CC186" i="1"/>
  <c r="CC205" i="1"/>
  <c r="CC206" i="1" s="1"/>
  <c r="CC207" i="1" s="1"/>
  <c r="CC356" i="1"/>
  <c r="BO198" i="1"/>
  <c r="BS198" i="1"/>
  <c r="Y40" i="1"/>
  <c r="AD40" i="1"/>
  <c r="S60" i="1"/>
  <c r="S61" i="1" s="1"/>
  <c r="T172" i="1"/>
  <c r="S219" i="1"/>
  <c r="S220" i="1"/>
  <c r="AV206" i="1"/>
  <c r="BD8" i="1"/>
  <c r="BD335" i="1" s="1"/>
  <c r="BD28" i="1"/>
  <c r="BD228" i="1"/>
  <c r="BD227" i="1"/>
  <c r="BD350" i="1"/>
  <c r="AE18" i="1"/>
  <c r="AE22" i="1"/>
  <c r="AE23" i="1" s="1"/>
  <c r="J23" i="1"/>
  <c r="CF240" i="1"/>
  <c r="AN220" i="1"/>
  <c r="AN219" i="1"/>
  <c r="AN185" i="1"/>
  <c r="AN334" i="1" s="1"/>
  <c r="AM186" i="1"/>
  <c r="AM334" i="1"/>
  <c r="CC148" i="1"/>
  <c r="CC287" i="1" s="1"/>
  <c r="CB179" i="1"/>
  <c r="CC179" i="1" s="1"/>
  <c r="AT160" i="2"/>
  <c r="AT227" i="2"/>
  <c r="O190" i="1"/>
  <c r="O125" i="1" s="1"/>
  <c r="O124" i="1" s="1"/>
  <c r="CD60" i="1"/>
  <c r="CD61" i="1" s="1"/>
  <c r="Y20" i="1"/>
  <c r="O19" i="1"/>
  <c r="BE351" i="1"/>
  <c r="AE45" i="1"/>
  <c r="AV61" i="1"/>
  <c r="Z136" i="1"/>
  <c r="Z137" i="1" s="1"/>
  <c r="Y137" i="1"/>
  <c r="Y231" i="1" s="1"/>
  <c r="CH146" i="1"/>
  <c r="CF239" i="1"/>
  <c r="AS185" i="1"/>
  <c r="AS334" i="1" s="1"/>
  <c r="AR334" i="1"/>
  <c r="O245" i="1"/>
  <c r="CC192" i="1"/>
  <c r="CC209" i="1"/>
  <c r="CC210" i="1" s="1"/>
  <c r="CC229" i="1"/>
  <c r="CN219" i="1"/>
  <c r="CS219" i="1" s="1"/>
  <c r="CX219" i="1" s="1"/>
  <c r="DC219" i="1" s="1"/>
  <c r="M177" i="2"/>
  <c r="M210" i="2" s="1"/>
  <c r="AU160" i="2"/>
  <c r="CA227" i="2"/>
  <c r="BK160" i="2"/>
  <c r="AV207" i="1"/>
  <c r="I206" i="1"/>
  <c r="I208" i="1"/>
  <c r="J204" i="1"/>
  <c r="J205" i="1"/>
  <c r="J206" i="1" s="1"/>
  <c r="J218" i="1"/>
  <c r="CH160" i="1"/>
  <c r="Y142" i="1"/>
  <c r="Y283" i="1" s="1"/>
  <c r="CH152" i="1"/>
  <c r="CH240" i="1" s="1"/>
  <c r="CG240" i="1"/>
  <c r="Y55" i="1"/>
  <c r="Y249" i="1"/>
  <c r="T220" i="1"/>
  <c r="T219" i="1"/>
  <c r="AS125" i="1"/>
  <c r="AS124" i="1" s="1"/>
  <c r="AT190" i="1"/>
  <c r="AT125" i="1" s="1"/>
  <c r="AT124" i="1" s="1"/>
  <c r="Z211" i="2"/>
  <c r="CH359" i="1"/>
  <c r="CL263" i="1"/>
  <c r="CN263" i="1" s="1"/>
  <c r="CO263" i="1" s="1"/>
  <c r="CP263" i="1" s="1"/>
  <c r="CQ263" i="1" s="1"/>
  <c r="CS263" i="1" s="1"/>
  <c r="CT263" i="1" s="1"/>
  <c r="CU263" i="1" s="1"/>
  <c r="CV263" i="1" s="1"/>
  <c r="CX263" i="1" s="1"/>
  <c r="CY263" i="1" s="1"/>
  <c r="CZ263" i="1" s="1"/>
  <c r="DA263" i="1" s="1"/>
  <c r="DC263" i="1" s="1"/>
  <c r="DD263" i="1" s="1"/>
  <c r="DE263" i="1" s="1"/>
  <c r="DF263" i="1" s="1"/>
  <c r="CE209" i="1"/>
  <c r="CJ330" i="1"/>
  <c r="CF65" i="2"/>
  <c r="CF41" i="2"/>
  <c r="CF49" i="2"/>
  <c r="CF58" i="2"/>
  <c r="CF9" i="2"/>
  <c r="CO330" i="1"/>
  <c r="CF67" i="2"/>
  <c r="CE290" i="1"/>
  <c r="CE289" i="1"/>
  <c r="CE356" i="1"/>
  <c r="CE14" i="1"/>
  <c r="CE30" i="1"/>
  <c r="CE33" i="1"/>
  <c r="CE41" i="1"/>
  <c r="CE46" i="1"/>
  <c r="CF231" i="2"/>
  <c r="CF188" i="2"/>
  <c r="CF222" i="2"/>
  <c r="CF189" i="2"/>
  <c r="CF223" i="2"/>
  <c r="CF190" i="2"/>
  <c r="CK216" i="2" s="1"/>
  <c r="CF224" i="2"/>
  <c r="CF191" i="2"/>
  <c r="CF225" i="2"/>
  <c r="CF254" i="2"/>
  <c r="CF255" i="2"/>
  <c r="CF256" i="2"/>
  <c r="CF257" i="2"/>
  <c r="CF258" i="2"/>
  <c r="CF232" i="2"/>
  <c r="CE119" i="1"/>
  <c r="CO119" i="1" s="1"/>
  <c r="CE358" i="1"/>
  <c r="CG225" i="2"/>
  <c r="CP55" i="2"/>
  <c r="CJ59" i="2"/>
  <c r="CP47" i="2"/>
  <c r="CK250" i="1"/>
  <c r="CH140" i="1"/>
  <c r="CO55" i="2"/>
  <c r="CL59" i="2"/>
  <c r="CK344" i="1"/>
  <c r="CE192" i="1"/>
  <c r="CE238" i="1"/>
  <c r="CE241" i="1" s="1"/>
  <c r="CL189" i="2"/>
  <c r="CL188" i="2"/>
  <c r="CD343" i="1"/>
  <c r="CG224" i="2"/>
  <c r="CK59" i="2"/>
  <c r="CX55" i="2"/>
  <c r="CS58" i="2"/>
  <c r="CQ55" i="2"/>
  <c r="CG223" i="2"/>
  <c r="CG9" i="2"/>
  <c r="CS77" i="1"/>
  <c r="CD22" i="1"/>
  <c r="CD23" i="1" s="1"/>
  <c r="CD102" i="1"/>
  <c r="CJ37" i="2"/>
  <c r="CK42" i="2"/>
  <c r="CJ36" i="2"/>
  <c r="CJ42" i="2"/>
  <c r="CF175" i="1"/>
  <c r="CG14" i="2"/>
  <c r="CG222" i="2"/>
  <c r="CG13" i="2"/>
  <c r="CF177" i="1"/>
  <c r="CF289" i="1"/>
  <c r="CF290" i="1"/>
  <c r="CF176" i="1"/>
  <c r="CF256" i="1"/>
  <c r="CF33" i="1"/>
  <c r="CF30" i="1"/>
  <c r="CG231" i="2"/>
  <c r="CG232" i="2"/>
  <c r="CT77" i="1"/>
  <c r="CT250" i="1" s="1"/>
  <c r="CR116" i="1"/>
  <c r="CL191" i="2"/>
  <c r="CJ44" i="2"/>
  <c r="CS227" i="2"/>
  <c r="CN344" i="1"/>
  <c r="CO191" i="2"/>
  <c r="CS119" i="1"/>
  <c r="CT119" i="1" s="1"/>
  <c r="CU119" i="1" s="1"/>
  <c r="CV119" i="1" s="1"/>
  <c r="CX119" i="1" s="1"/>
  <c r="CY119" i="1" s="1"/>
  <c r="CZ119" i="1" s="1"/>
  <c r="DA119" i="1" s="1"/>
  <c r="DC119" i="1" s="1"/>
  <c r="DD119" i="1" s="1"/>
  <c r="DE119" i="1" s="1"/>
  <c r="DF119" i="1" s="1"/>
  <c r="CM47" i="2"/>
  <c r="BD160" i="2"/>
  <c r="CF160" i="2"/>
  <c r="CF227" i="2"/>
  <c r="CE205" i="1"/>
  <c r="CE203" i="1"/>
  <c r="AV231" i="2"/>
  <c r="BS231" i="2"/>
  <c r="AK79" i="1"/>
  <c r="CA231" i="2"/>
  <c r="AN231" i="2"/>
  <c r="CM39" i="2"/>
  <c r="CM40" i="2"/>
  <c r="CM38" i="2"/>
  <c r="CH9" i="2"/>
  <c r="DA84" i="1"/>
  <c r="CV84" i="1"/>
  <c r="CH133" i="1"/>
  <c r="CG175" i="1"/>
  <c r="CH141" i="1"/>
  <c r="CH154" i="1"/>
  <c r="CH290" i="1"/>
  <c r="CG290" i="1"/>
  <c r="CH153" i="1"/>
  <c r="CH289" i="1" s="1"/>
  <c r="CG289" i="1"/>
  <c r="CG288" i="1"/>
  <c r="CH149" i="1"/>
  <c r="CH288" i="1" s="1"/>
  <c r="CG177" i="1"/>
  <c r="CH135" i="1"/>
  <c r="CH139" i="1"/>
  <c r="CI220" i="1" s="1"/>
  <c r="CN220" i="1" s="1"/>
  <c r="CS220" i="1" s="1"/>
  <c r="CX220" i="1" s="1"/>
  <c r="DC220" i="1" s="1"/>
  <c r="CH356" i="1"/>
  <c r="CH41" i="1"/>
  <c r="CG41" i="1"/>
  <c r="CG46" i="1"/>
  <c r="CG14" i="1"/>
  <c r="CG256" i="1"/>
  <c r="CH134" i="1"/>
  <c r="CI216" i="1" s="1"/>
  <c r="CH215" i="1"/>
  <c r="CH216" i="1"/>
  <c r="CH256" i="1" s="1"/>
  <c r="CG176" i="1"/>
  <c r="CH176" i="1" s="1"/>
  <c r="CH27" i="1"/>
  <c r="CH30" i="1" s="1"/>
  <c r="CG30" i="1"/>
  <c r="CH65" i="1"/>
  <c r="CH268" i="1" s="1"/>
  <c r="CH163" i="2"/>
  <c r="CH159" i="1"/>
  <c r="CJ50" i="2"/>
  <c r="CN49" i="2"/>
  <c r="CN6" i="2" s="1"/>
  <c r="CM46" i="2"/>
  <c r="CN50" i="2"/>
  <c r="CI223" i="2"/>
  <c r="CH224" i="2"/>
  <c r="CH190" i="2"/>
  <c r="CH216" i="2" s="1"/>
  <c r="CD192" i="1"/>
  <c r="CD196" i="1" s="1"/>
  <c r="CC237" i="1"/>
  <c r="CD209" i="1"/>
  <c r="BQ237" i="1"/>
  <c r="CH239" i="1"/>
  <c r="CG239" i="1"/>
  <c r="CF238" i="1"/>
  <c r="CF241" i="1" s="1"/>
  <c r="CH132" i="1"/>
  <c r="CQ46" i="2"/>
  <c r="CX46" i="2"/>
  <c r="CK50" i="2"/>
  <c r="CL49" i="2"/>
  <c r="CL6" i="2" s="1"/>
  <c r="CQ304" i="2" s="1"/>
  <c r="CQ48" i="2" s="1"/>
  <c r="CL50" i="2"/>
  <c r="CH223" i="2"/>
  <c r="CH189" i="2"/>
  <c r="BX237" i="1"/>
  <c r="CC359" i="1"/>
  <c r="CH145" i="1"/>
  <c r="CH238" i="1" s="1"/>
  <c r="CG238" i="1"/>
  <c r="CV46" i="2"/>
  <c r="CH225" i="2"/>
  <c r="CH191" i="2"/>
  <c r="CH203" i="1"/>
  <c r="CH205" i="1"/>
  <c r="CH232" i="2"/>
  <c r="CD205" i="1"/>
  <c r="CD208" i="1" s="1"/>
  <c r="CD203" i="1"/>
  <c r="CH158" i="2"/>
  <c r="CH166" i="2" s="1"/>
  <c r="CH188" i="2"/>
  <c r="CH214" i="2" s="1"/>
  <c r="CH222" i="2"/>
  <c r="CI56" i="2"/>
  <c r="CH55" i="2"/>
  <c r="CI57" i="2"/>
  <c r="CK125" i="1"/>
  <c r="CK190" i="1" s="1"/>
  <c r="CL124" i="1"/>
  <c r="CN124" i="1" s="1"/>
  <c r="CH352" i="1"/>
  <c r="CX227" i="2"/>
  <c r="CO64" i="2"/>
  <c r="CG182" i="1"/>
  <c r="CF203" i="1"/>
  <c r="CF184" i="1"/>
  <c r="CF356" i="1" s="1"/>
  <c r="CF191" i="1"/>
  <c r="CI239" i="1"/>
  <c r="CI240" i="1"/>
  <c r="CJ240" i="1"/>
  <c r="DC227" i="2"/>
  <c r="CG203" i="1"/>
  <c r="CK146" i="1"/>
  <c r="CL146" i="1" s="1"/>
  <c r="CJ239" i="1"/>
  <c r="DH227" i="2"/>
  <c r="CH39" i="2"/>
  <c r="CH42" i="2" s="1"/>
  <c r="CI40" i="2"/>
  <c r="CD114" i="1"/>
  <c r="CE114" i="1" s="1"/>
  <c r="CH114" i="1"/>
  <c r="BQ108" i="1"/>
  <c r="BC108" i="1"/>
  <c r="BD108" i="1" s="1"/>
  <c r="CG116" i="1"/>
  <c r="BP215" i="2" l="1"/>
  <c r="AV258" i="2"/>
  <c r="AC242" i="2"/>
  <c r="BZ65" i="2"/>
  <c r="BK32" i="2"/>
  <c r="BK29" i="2" s="1"/>
  <c r="BK33" i="2" s="1"/>
  <c r="K32" i="2"/>
  <c r="K29" i="2" s="1"/>
  <c r="K33" i="2" s="1"/>
  <c r="J9" i="1" s="1"/>
  <c r="BA16" i="2"/>
  <c r="BF15" i="2"/>
  <c r="BK14" i="2"/>
  <c r="BZ13" i="2"/>
  <c r="BU12" i="2"/>
  <c r="CE300" i="2"/>
  <c r="AU285" i="2"/>
  <c r="AM242" i="2"/>
  <c r="CE217" i="2"/>
  <c r="CE216" i="2"/>
  <c r="BP65" i="2"/>
  <c r="BF65" i="2"/>
  <c r="BU40" i="2"/>
  <c r="P24" i="2"/>
  <c r="CE16" i="2"/>
  <c r="BZ15" i="2"/>
  <c r="CE12" i="2"/>
  <c r="O265" i="2"/>
  <c r="AM177" i="2"/>
  <c r="AM210" i="2" s="1"/>
  <c r="AQ214" i="2"/>
  <c r="P145" i="2"/>
  <c r="X104" i="2"/>
  <c r="X105" i="2" s="1"/>
  <c r="AM79" i="2"/>
  <c r="AC78" i="2"/>
  <c r="P75" i="2"/>
  <c r="BF32" i="2"/>
  <c r="BF29" i="2" s="1"/>
  <c r="BF33" i="2" s="1"/>
  <c r="BK16" i="2"/>
  <c r="BF14" i="2"/>
  <c r="BU13" i="2"/>
  <c r="AW39" i="2"/>
  <c r="AW42" i="2" s="1"/>
  <c r="CE215" i="2"/>
  <c r="AN216" i="2"/>
  <c r="BB215" i="2"/>
  <c r="AX215" i="2"/>
  <c r="AT215" i="2"/>
  <c r="AP215" i="2"/>
  <c r="AL215" i="2"/>
  <c r="AX214" i="2"/>
  <c r="AT214" i="2"/>
  <c r="AP214" i="2"/>
  <c r="AL214" i="2"/>
  <c r="Z184" i="2"/>
  <c r="BT224" i="2"/>
  <c r="BY223" i="2"/>
  <c r="BO222" i="2"/>
  <c r="CA64" i="2"/>
  <c r="CA68" i="2" s="1"/>
  <c r="BW257" i="2"/>
  <c r="AE263" i="2"/>
  <c r="BC216" i="2"/>
  <c r="BC215" i="2"/>
  <c r="AY215" i="2"/>
  <c r="AU215" i="2"/>
  <c r="AM215" i="2"/>
  <c r="AY214" i="2"/>
  <c r="AU214" i="2"/>
  <c r="AM214" i="2"/>
  <c r="BF64" i="2"/>
  <c r="CH226" i="2"/>
  <c r="BD216" i="2"/>
  <c r="AO215" i="2"/>
  <c r="BZ214" i="2"/>
  <c r="BY191" i="2"/>
  <c r="AM217" i="2"/>
  <c r="BS227" i="2"/>
  <c r="BE41" i="2"/>
  <c r="BZ64" i="2"/>
  <c r="BH227" i="2"/>
  <c r="AY216" i="2"/>
  <c r="AM216" i="2"/>
  <c r="BF215" i="2"/>
  <c r="BG214" i="2"/>
  <c r="AA176" i="2"/>
  <c r="Q171" i="2"/>
  <c r="AI86" i="2"/>
  <c r="AI84" i="2" s="1"/>
  <c r="AI88" i="2" s="1"/>
  <c r="AD78" i="2"/>
  <c r="AD76" i="2" s="1"/>
  <c r="AD80" i="2" s="1"/>
  <c r="AI77" i="2"/>
  <c r="Y77" i="2"/>
  <c r="BS65" i="2"/>
  <c r="AU69" i="2"/>
  <c r="BE57" i="2"/>
  <c r="BI13" i="2"/>
  <c r="CH255" i="2"/>
  <c r="BU22" i="1"/>
  <c r="BU23" i="1" s="1"/>
  <c r="CT191" i="2"/>
  <c r="CG226" i="2"/>
  <c r="AR13" i="1"/>
  <c r="CB258" i="2"/>
  <c r="O242" i="2"/>
  <c r="BV217" i="2"/>
  <c r="AF240" i="2"/>
  <c r="BN193" i="2"/>
  <c r="BE215" i="2"/>
  <c r="AK206" i="2"/>
  <c r="AQ231" i="2"/>
  <c r="AU284" i="2"/>
  <c r="AQ284" i="2"/>
  <c r="AU216" i="2"/>
  <c r="T265" i="2"/>
  <c r="M205" i="2"/>
  <c r="BZ217" i="2"/>
  <c r="AS217" i="2"/>
  <c r="AO217" i="2"/>
  <c r="AF175" i="2"/>
  <c r="AM193" i="2"/>
  <c r="AI78" i="2"/>
  <c r="AM77" i="2"/>
  <c r="BJ63" i="2"/>
  <c r="AT47" i="2"/>
  <c r="AL78" i="2"/>
  <c r="AC24" i="2"/>
  <c r="AG24" i="2"/>
  <c r="AY217" i="2"/>
  <c r="AT217" i="2"/>
  <c r="N184" i="2"/>
  <c r="S251" i="2" s="1"/>
  <c r="N242" i="2"/>
  <c r="S242" i="2"/>
  <c r="R175" i="2"/>
  <c r="W241" i="2"/>
  <c r="CA255" i="2"/>
  <c r="CA258" i="2"/>
  <c r="BL257" i="2"/>
  <c r="BL258" i="2"/>
  <c r="BL256" i="2"/>
  <c r="BL166" i="2"/>
  <c r="BL193" i="2" s="1"/>
  <c r="AS7" i="1"/>
  <c r="AT12" i="2"/>
  <c r="AT16" i="2"/>
  <c r="AY65" i="2"/>
  <c r="AT13" i="2"/>
  <c r="AT14" i="2"/>
  <c r="AT15" i="2"/>
  <c r="AY31" i="2"/>
  <c r="AL12" i="2"/>
  <c r="AL15" i="2"/>
  <c r="AL16" i="2"/>
  <c r="AQ65" i="2"/>
  <c r="BE63" i="2"/>
  <c r="AZ191" i="2"/>
  <c r="AZ217" i="2" s="1"/>
  <c r="BJ49" i="2"/>
  <c r="BO46" i="2"/>
  <c r="CU46" i="2"/>
  <c r="CT46" i="2"/>
  <c r="AR160" i="2"/>
  <c r="CH32" i="2"/>
  <c r="CH16" i="2"/>
  <c r="CG12" i="2"/>
  <c r="CL29" i="2"/>
  <c r="CL28" i="2"/>
  <c r="CO58" i="2"/>
  <c r="CO59" i="2"/>
  <c r="CO60" i="2" s="1"/>
  <c r="AS242" i="2"/>
  <c r="AI242" i="2"/>
  <c r="AQ198" i="2"/>
  <c r="AQ216" i="2"/>
  <c r="BY189" i="2"/>
  <c r="AL238" i="2"/>
  <c r="AG238" i="2"/>
  <c r="AG205" i="2"/>
  <c r="L133" i="2"/>
  <c r="BE66" i="2"/>
  <c r="BC65" i="2"/>
  <c r="BC64" i="2" s="1"/>
  <c r="BC68" i="2" s="1"/>
  <c r="E44" i="1"/>
  <c r="J8" i="1"/>
  <c r="J335" i="1" s="1"/>
  <c r="E28" i="1"/>
  <c r="J29" i="1" s="1"/>
  <c r="CG258" i="2"/>
  <c r="CG255" i="2"/>
  <c r="CG257" i="2"/>
  <c r="CG254" i="2"/>
  <c r="CG256" i="2"/>
  <c r="CM55" i="2"/>
  <c r="CM53" i="2" s="1"/>
  <c r="CI9" i="2"/>
  <c r="CI15" i="2" s="1"/>
  <c r="CI222" i="2"/>
  <c r="CI158" i="2"/>
  <c r="CI257" i="2" s="1"/>
  <c r="AD184" i="2"/>
  <c r="AD251" i="2" s="1"/>
  <c r="AD242" i="2"/>
  <c r="BQ256" i="2"/>
  <c r="BQ226" i="2"/>
  <c r="AO7" i="1"/>
  <c r="AO8" i="1" s="1"/>
  <c r="AO335" i="1" s="1"/>
  <c r="AP13" i="2"/>
  <c r="AP14" i="2"/>
  <c r="AP15" i="2"/>
  <c r="AP12" i="2"/>
  <c r="AP16" i="2"/>
  <c r="BT67" i="2"/>
  <c r="BY66" i="2"/>
  <c r="BY67" i="2"/>
  <c r="BT191" i="2"/>
  <c r="BT54" i="2"/>
  <c r="BO190" i="2"/>
  <c r="BT56" i="2"/>
  <c r="BT57" i="2"/>
  <c r="BO58" i="2"/>
  <c r="CD38" i="2"/>
  <c r="CD36" i="2" s="1"/>
  <c r="BY41" i="2"/>
  <c r="AR257" i="2"/>
  <c r="BL254" i="2"/>
  <c r="BL226" i="2"/>
  <c r="BY63" i="2"/>
  <c r="BY61" i="2" s="1"/>
  <c r="AQ57" i="2"/>
  <c r="V145" i="2"/>
  <c r="V144" i="2" s="1"/>
  <c r="V148" i="2" s="1"/>
  <c r="Q208" i="2"/>
  <c r="Q23" i="2"/>
  <c r="AD332" i="1"/>
  <c r="AJ77" i="2"/>
  <c r="Y332" i="1"/>
  <c r="AE77" i="2"/>
  <c r="T332" i="1"/>
  <c r="U205" i="2"/>
  <c r="U78" i="2"/>
  <c r="U77" i="2"/>
  <c r="J332" i="1"/>
  <c r="K79" i="2"/>
  <c r="P78" i="2"/>
  <c r="K205" i="2"/>
  <c r="BV166" i="2"/>
  <c r="BV193" i="2" s="1"/>
  <c r="BV254" i="2"/>
  <c r="BV255" i="2"/>
  <c r="BV256" i="2"/>
  <c r="BV257" i="2"/>
  <c r="BV160" i="2"/>
  <c r="BG166" i="2"/>
  <c r="BL234" i="2" s="1"/>
  <c r="BG255" i="2"/>
  <c r="BG254" i="2"/>
  <c r="BG258" i="2"/>
  <c r="BG257" i="2"/>
  <c r="CD225" i="2"/>
  <c r="CI225" i="2"/>
  <c r="I133" i="2"/>
  <c r="H133" i="2"/>
  <c r="N133" i="2"/>
  <c r="S133" i="2"/>
  <c r="X133" i="2"/>
  <c r="X134" i="2" s="1"/>
  <c r="X138" i="2" s="1"/>
  <c r="J133" i="2"/>
  <c r="O133" i="2"/>
  <c r="T133" i="2"/>
  <c r="Z133" i="2"/>
  <c r="Z134" i="2" s="1"/>
  <c r="Z138" i="2" s="1"/>
  <c r="K133" i="2"/>
  <c r="P133" i="2"/>
  <c r="V133" i="2"/>
  <c r="AA133" i="2"/>
  <c r="AA134" i="2" s="1"/>
  <c r="AA138" i="2" s="1"/>
  <c r="AX12" i="2"/>
  <c r="AX13" i="2"/>
  <c r="AX14" i="2"/>
  <c r="AX16" i="2"/>
  <c r="AX32" i="2"/>
  <c r="AH12" i="2"/>
  <c r="AH13" i="2"/>
  <c r="AH14" i="2"/>
  <c r="BJ41" i="2"/>
  <c r="BE188" i="2"/>
  <c r="AT284" i="2"/>
  <c r="BV258" i="2"/>
  <c r="BG256" i="2"/>
  <c r="Y242" i="2"/>
  <c r="BE223" i="2"/>
  <c r="AQ262" i="2"/>
  <c r="BY188" i="2"/>
  <c r="R133" i="2"/>
  <c r="AO77" i="2"/>
  <c r="W24" i="2"/>
  <c r="W32" i="2"/>
  <c r="W29" i="2" s="1"/>
  <c r="W33" i="2" s="1"/>
  <c r="V9" i="1" s="1"/>
  <c r="V329" i="1" s="1"/>
  <c r="AH15" i="2"/>
  <c r="AL14" i="2"/>
  <c r="AL13" i="2"/>
  <c r="CH217" i="2"/>
  <c r="CH215" i="2"/>
  <c r="CJ291" i="2"/>
  <c r="Z205" i="2"/>
  <c r="AQ64" i="2"/>
  <c r="AQ68" i="2" s="1"/>
  <c r="AZ9" i="2"/>
  <c r="BG160" i="2"/>
  <c r="P77" i="2"/>
  <c r="BQ64" i="2"/>
  <c r="BQ68" i="2" s="1"/>
  <c r="BQ69" i="2" s="1"/>
  <c r="AY69" i="2"/>
  <c r="CL58" i="2"/>
  <c r="CL7" i="2" s="1"/>
  <c r="AY39" i="2"/>
  <c r="AY42" i="2" s="1"/>
  <c r="CE29" i="2"/>
  <c r="CE33" i="2" s="1"/>
  <c r="CD9" i="1" s="1"/>
  <c r="CD329" i="1" s="1"/>
  <c r="E17" i="1"/>
  <c r="P264" i="2"/>
  <c r="AB263" i="2"/>
  <c r="AC263" i="2"/>
  <c r="BF216" i="2"/>
  <c r="AZ216" i="2"/>
  <c r="AR216" i="2"/>
  <c r="BZ215" i="2"/>
  <c r="CJ289" i="2" s="1"/>
  <c r="CA215" i="2"/>
  <c r="BP64" i="2"/>
  <c r="BP68" i="2" s="1"/>
  <c r="BK64" i="2"/>
  <c r="BK68" i="2" s="1"/>
  <c r="BB43" i="2"/>
  <c r="AF207" i="2"/>
  <c r="CA12" i="2"/>
  <c r="J208" i="1"/>
  <c r="BL185" i="1"/>
  <c r="BL334" i="1" s="1"/>
  <c r="BJ25" i="1"/>
  <c r="Y176" i="2"/>
  <c r="Y177" i="2" s="1"/>
  <c r="Y210" i="2" s="1"/>
  <c r="O13" i="1"/>
  <c r="D142" i="1"/>
  <c r="BG119" i="1"/>
  <c r="BB119" i="1"/>
  <c r="AW119" i="1"/>
  <c r="AS119" i="1"/>
  <c r="AO119" i="1"/>
  <c r="AK119" i="1"/>
  <c r="AC119" i="1"/>
  <c r="Y119" i="1"/>
  <c r="BX210" i="1"/>
  <c r="BN210" i="1"/>
  <c r="AE210" i="1"/>
  <c r="L206" i="1"/>
  <c r="Q207" i="1" s="1"/>
  <c r="T36" i="1"/>
  <c r="Y251" i="1"/>
  <c r="AD190" i="1"/>
  <c r="AD125" i="1" s="1"/>
  <c r="AD124" i="1" s="1"/>
  <c r="BD12" i="1"/>
  <c r="AR242" i="1"/>
  <c r="AR235" i="1" s="1"/>
  <c r="AS233" i="1" s="1"/>
  <c r="BB192" i="1"/>
  <c r="AX115" i="1"/>
  <c r="AS115" i="1"/>
  <c r="BD39" i="1"/>
  <c r="BD213" i="1"/>
  <c r="BD257" i="1" s="1"/>
  <c r="AO248" i="2"/>
  <c r="BS210" i="1"/>
  <c r="P210" i="1"/>
  <c r="BJ208" i="1"/>
  <c r="CA115" i="1"/>
  <c r="BV115" i="1"/>
  <c r="BT119" i="1"/>
  <c r="BJ119" i="1"/>
  <c r="AI119" i="1"/>
  <c r="AE119" i="1"/>
  <c r="AA119" i="1"/>
  <c r="W119" i="1"/>
  <c r="S119" i="1"/>
  <c r="O119" i="1"/>
  <c r="K119" i="1"/>
  <c r="G119" i="1"/>
  <c r="AJ115" i="1"/>
  <c r="BB259" i="1"/>
  <c r="BY241" i="1"/>
  <c r="W13" i="1"/>
  <c r="CE186" i="1"/>
  <c r="U248" i="2"/>
  <c r="P247" i="2"/>
  <c r="DE102" i="1"/>
  <c r="CS102" i="1"/>
  <c r="CS103" i="1" s="1"/>
  <c r="CS106" i="1" s="1"/>
  <c r="AH291" i="1"/>
  <c r="BP241" i="1"/>
  <c r="BI41" i="1"/>
  <c r="M35" i="1"/>
  <c r="AJ20" i="1"/>
  <c r="BF208" i="1"/>
  <c r="AM190" i="1"/>
  <c r="AM209" i="1" s="1"/>
  <c r="AM210" i="1" s="1"/>
  <c r="AJ124" i="1"/>
  <c r="AQ115" i="1"/>
  <c r="AL115" i="1"/>
  <c r="AG115" i="1"/>
  <c r="AB115" i="1"/>
  <c r="W115" i="1"/>
  <c r="R115" i="1"/>
  <c r="M115" i="1"/>
  <c r="AR115" i="1"/>
  <c r="AM115" i="1"/>
  <c r="AH115" i="1"/>
  <c r="AC115" i="1"/>
  <c r="X115" i="1"/>
  <c r="S115" i="1"/>
  <c r="AN36" i="1"/>
  <c r="H36" i="1"/>
  <c r="BF36" i="1"/>
  <c r="BJ75" i="1"/>
  <c r="BJ77" i="1"/>
  <c r="BJ79" i="1"/>
  <c r="BJ230" i="1" s="1"/>
  <c r="BY136" i="1"/>
  <c r="BX137" i="1"/>
  <c r="AG247" i="2"/>
  <c r="BT259" i="1"/>
  <c r="AZ241" i="1"/>
  <c r="AM241" i="1"/>
  <c r="BK71" i="1"/>
  <c r="AV229" i="1"/>
  <c r="M229" i="1"/>
  <c r="BS225" i="1"/>
  <c r="Q222" i="1"/>
  <c r="Q258" i="1" s="1"/>
  <c r="H218" i="1"/>
  <c r="AY215" i="1"/>
  <c r="AP210" i="1"/>
  <c r="W205" i="1"/>
  <c r="G201" i="1"/>
  <c r="BC189" i="1"/>
  <c r="AC209" i="1"/>
  <c r="BT196" i="1"/>
  <c r="BN196" i="1"/>
  <c r="BN201" i="1" s="1"/>
  <c r="AB231" i="1"/>
  <c r="K124" i="1"/>
  <c r="AX119" i="1"/>
  <c r="AT119" i="1"/>
  <c r="AP119" i="1"/>
  <c r="AL119" i="1"/>
  <c r="AH119" i="1"/>
  <c r="AD119" i="1"/>
  <c r="Z119" i="1"/>
  <c r="V119" i="1"/>
  <c r="R119" i="1"/>
  <c r="N119" i="1"/>
  <c r="J119" i="1"/>
  <c r="DF84" i="1"/>
  <c r="BT50" i="1"/>
  <c r="AM50" i="1"/>
  <c r="AM54" i="1" s="1"/>
  <c r="AM40" i="1"/>
  <c r="BX41" i="1"/>
  <c r="Z39" i="1"/>
  <c r="BV33" i="1"/>
  <c r="BV36" i="1" s="1"/>
  <c r="AI35" i="1"/>
  <c r="Z33" i="1"/>
  <c r="Z34" i="1" s="1"/>
  <c r="BM13" i="1"/>
  <c r="Y247" i="2"/>
  <c r="BL231" i="2"/>
  <c r="BE152" i="2"/>
  <c r="BC241" i="1"/>
  <c r="BC242" i="1" s="1"/>
  <c r="BC235" i="1" s="1"/>
  <c r="BS216" i="1"/>
  <c r="BS256" i="1" s="1"/>
  <c r="BO216" i="1"/>
  <c r="BO256" i="1" s="1"/>
  <c r="AY216" i="1"/>
  <c r="AY256" i="1" s="1"/>
  <c r="AU216" i="1"/>
  <c r="AU256" i="1" s="1"/>
  <c r="H204" i="1"/>
  <c r="AB192" i="1"/>
  <c r="BY178" i="1"/>
  <c r="G175" i="1"/>
  <c r="BW115" i="1"/>
  <c r="BP119" i="1"/>
  <c r="AY118" i="1"/>
  <c r="AU115" i="1"/>
  <c r="BB115" i="1"/>
  <c r="J115" i="1"/>
  <c r="AF36" i="1"/>
  <c r="M36" i="1"/>
  <c r="O35" i="1"/>
  <c r="K30" i="1"/>
  <c r="AM35" i="1"/>
  <c r="AS176" i="2"/>
  <c r="AS177" i="2" s="1"/>
  <c r="AS210" i="2" s="1"/>
  <c r="M247" i="2"/>
  <c r="AC291" i="1"/>
  <c r="L291" i="1"/>
  <c r="H241" i="1"/>
  <c r="AX71" i="1"/>
  <c r="BU220" i="1"/>
  <c r="K213" i="1"/>
  <c r="K257" i="1" s="1"/>
  <c r="G213" i="1"/>
  <c r="G257" i="1" s="1"/>
  <c r="BO176" i="1"/>
  <c r="AN231" i="1"/>
  <c r="AM231" i="1"/>
  <c r="AJ237" i="1"/>
  <c r="CB119" i="1"/>
  <c r="AH50" i="1"/>
  <c r="I50" i="1"/>
  <c r="I54" i="1" s="1"/>
  <c r="N40" i="1"/>
  <c r="AD36" i="1"/>
  <c r="C36" i="1"/>
  <c r="AC22" i="1"/>
  <c r="S185" i="1"/>
  <c r="R334" i="1"/>
  <c r="AH334" i="1"/>
  <c r="AH186" i="1"/>
  <c r="BM60" i="1"/>
  <c r="AU247" i="2"/>
  <c r="BE232" i="2"/>
  <c r="BA227" i="2"/>
  <c r="AW227" i="2"/>
  <c r="L241" i="1"/>
  <c r="BE206" i="1"/>
  <c r="BJ207" i="1" s="1"/>
  <c r="BE210" i="1"/>
  <c r="AG209" i="1"/>
  <c r="AG210" i="1" s="1"/>
  <c r="BC209" i="1"/>
  <c r="BN180" i="1"/>
  <c r="BA355" i="1"/>
  <c r="BS179" i="1"/>
  <c r="U177" i="1"/>
  <c r="B165" i="1"/>
  <c r="AV142" i="1"/>
  <c r="AV342" i="1" s="1"/>
  <c r="AQ142" i="1"/>
  <c r="AL142" i="1"/>
  <c r="AG142" i="1"/>
  <c r="AG283" i="1" s="1"/>
  <c r="AB142" i="1"/>
  <c r="AB283" i="1" s="1"/>
  <c r="I142" i="1"/>
  <c r="I283" i="1" s="1"/>
  <c r="V40" i="1"/>
  <c r="AT33" i="1"/>
  <c r="DF31" i="1"/>
  <c r="AM20" i="1"/>
  <c r="I18" i="1"/>
  <c r="DA15" i="1"/>
  <c r="CV15" i="1"/>
  <c r="BB102" i="1"/>
  <c r="CE36" i="1"/>
  <c r="BJ291" i="1"/>
  <c r="AD291" i="1"/>
  <c r="BV291" i="1"/>
  <c r="BR291" i="1"/>
  <c r="AC259" i="1"/>
  <c r="BH259" i="1"/>
  <c r="AR231" i="1"/>
  <c r="E142" i="1"/>
  <c r="BA119" i="1"/>
  <c r="N115" i="1"/>
  <c r="M45" i="1"/>
  <c r="P46" i="1"/>
  <c r="AF29" i="1"/>
  <c r="AG29" i="1"/>
  <c r="AO30" i="1"/>
  <c r="U30" i="1"/>
  <c r="BT22" i="1"/>
  <c r="BT23" i="1" s="1"/>
  <c r="AH22" i="1"/>
  <c r="AH23" i="1" s="1"/>
  <c r="AH20" i="1"/>
  <c r="Q248" i="2"/>
  <c r="AR19" i="1"/>
  <c r="AN241" i="1"/>
  <c r="AN242" i="1" s="1"/>
  <c r="AN235" i="1" s="1"/>
  <c r="H259" i="1"/>
  <c r="K208" i="1"/>
  <c r="BZ192" i="1"/>
  <c r="BA165" i="1"/>
  <c r="BA166" i="1" s="1"/>
  <c r="BM84" i="1"/>
  <c r="R13" i="1"/>
  <c r="CH46" i="1"/>
  <c r="CF262" i="1"/>
  <c r="CE210" i="1"/>
  <c r="CH177" i="1"/>
  <c r="BT36" i="1"/>
  <c r="BK228" i="2"/>
  <c r="AT243" i="2"/>
  <c r="AP176" i="2"/>
  <c r="BR241" i="1"/>
  <c r="BJ241" i="1"/>
  <c r="BJ242" i="1" s="1"/>
  <c r="AV241" i="1"/>
  <c r="AV242" i="1" s="1"/>
  <c r="AV357" i="1" s="1"/>
  <c r="K210" i="1"/>
  <c r="AI208" i="1"/>
  <c r="BY207" i="1"/>
  <c r="BY196" i="1"/>
  <c r="BO196" i="1"/>
  <c r="BR185" i="1"/>
  <c r="BR334" i="1" s="1"/>
  <c r="CC177" i="1"/>
  <c r="AO175" i="1"/>
  <c r="N142" i="1"/>
  <c r="N283" i="1" s="1"/>
  <c r="AY359" i="1"/>
  <c r="Z237" i="1"/>
  <c r="AF233" i="1"/>
  <c r="AJ233" i="1" s="1"/>
  <c r="AE115" i="1"/>
  <c r="AQ119" i="1"/>
  <c r="AM119" i="1"/>
  <c r="U119" i="1"/>
  <c r="Q119" i="1"/>
  <c r="M119" i="1"/>
  <c r="I119" i="1"/>
  <c r="BM115" i="1"/>
  <c r="AE46" i="1"/>
  <c r="AH40" i="1"/>
  <c r="O40" i="1"/>
  <c r="L40" i="1"/>
  <c r="AR36" i="1"/>
  <c r="Y36" i="1"/>
  <c r="DA31" i="1"/>
  <c r="BQ36" i="1"/>
  <c r="BE36" i="1"/>
  <c r="BS14" i="1"/>
  <c r="R165" i="1"/>
  <c r="R245" i="1"/>
  <c r="AD219" i="1"/>
  <c r="AD220" i="1"/>
  <c r="CI163" i="2"/>
  <c r="CH231" i="2"/>
  <c r="CH159" i="2"/>
  <c r="CH227" i="2" s="1"/>
  <c r="CK214" i="2"/>
  <c r="CF214" i="2"/>
  <c r="AT185" i="1"/>
  <c r="AT334" i="1" s="1"/>
  <c r="Y79" i="1"/>
  <c r="Z185" i="2"/>
  <c r="Y75" i="1"/>
  <c r="AJ160" i="2"/>
  <c r="AO227" i="2"/>
  <c r="BP234" i="2"/>
  <c r="BP193" i="2"/>
  <c r="AB332" i="1"/>
  <c r="AH78" i="2"/>
  <c r="AC205" i="2"/>
  <c r="AH77" i="2"/>
  <c r="R332" i="1"/>
  <c r="X77" i="2"/>
  <c r="X78" i="2"/>
  <c r="S205" i="2"/>
  <c r="M332" i="1"/>
  <c r="N205" i="2"/>
  <c r="H332" i="1"/>
  <c r="I79" i="2"/>
  <c r="I76" i="2" s="1"/>
  <c r="I80" i="2" s="1"/>
  <c r="I205" i="2"/>
  <c r="CO2" i="2"/>
  <c r="CO151" i="2" s="1"/>
  <c r="CS152" i="2"/>
  <c r="BU131" i="1"/>
  <c r="CC146" i="1"/>
  <c r="CD233" i="1" s="1"/>
  <c r="CH233" i="1" s="1"/>
  <c r="CB239" i="1"/>
  <c r="AE220" i="1"/>
  <c r="AE219" i="1"/>
  <c r="K219" i="1"/>
  <c r="K220" i="1"/>
  <c r="AW142" i="1"/>
  <c r="AW231" i="1"/>
  <c r="AC142" i="1"/>
  <c r="AC283" i="1" s="1"/>
  <c r="AC231" i="1"/>
  <c r="BC142" i="1"/>
  <c r="BC231" i="1"/>
  <c r="AE215" i="1"/>
  <c r="AA216" i="1"/>
  <c r="AA256" i="1" s="1"/>
  <c r="AE216" i="1"/>
  <c r="AE256" i="1" s="1"/>
  <c r="G176" i="1"/>
  <c r="K176" i="1" s="1"/>
  <c r="G216" i="1"/>
  <c r="G256" i="1" s="1"/>
  <c r="AZ175" i="1"/>
  <c r="BD214" i="1"/>
  <c r="AZ213" i="1"/>
  <c r="AZ257" i="1" s="1"/>
  <c r="AF213" i="1"/>
  <c r="AF257" i="1" s="1"/>
  <c r="AF175" i="1"/>
  <c r="AJ175" i="1" s="1"/>
  <c r="BN237" i="1"/>
  <c r="BS359" i="1"/>
  <c r="K137" i="1"/>
  <c r="K142" i="1" s="1"/>
  <c r="K283" i="1" s="1"/>
  <c r="BY124" i="1"/>
  <c r="BV119" i="1"/>
  <c r="BV358" i="1"/>
  <c r="BH119" i="1"/>
  <c r="BH358" i="1"/>
  <c r="AU119" i="1"/>
  <c r="AU358" i="1"/>
  <c r="AJ119" i="1"/>
  <c r="X119" i="1"/>
  <c r="AT72" i="1"/>
  <c r="AT352" i="1"/>
  <c r="J45" i="1"/>
  <c r="U46" i="1"/>
  <c r="Z46" i="1"/>
  <c r="U44" i="1"/>
  <c r="Z45" i="1" s="1"/>
  <c r="AZ40" i="1"/>
  <c r="BE40" i="1"/>
  <c r="AO225" i="1"/>
  <c r="AO215" i="1"/>
  <c r="AO216" i="1"/>
  <c r="AO256" i="1" s="1"/>
  <c r="Y14" i="1"/>
  <c r="T12" i="1"/>
  <c r="T13" i="1" s="1"/>
  <c r="N225" i="1"/>
  <c r="N14" i="1"/>
  <c r="N215" i="1"/>
  <c r="N222" i="1"/>
  <c r="N258" i="1" s="1"/>
  <c r="N259" i="1" s="1"/>
  <c r="N223" i="1"/>
  <c r="N224" i="1"/>
  <c r="E22" i="1"/>
  <c r="E18" i="1"/>
  <c r="J19" i="1" s="1"/>
  <c r="AJ28" i="1"/>
  <c r="AJ29" i="1" s="1"/>
  <c r="AJ217" i="1"/>
  <c r="AJ34" i="1"/>
  <c r="AJ8" i="1"/>
  <c r="AJ335" i="1" s="1"/>
  <c r="AJ214" i="1"/>
  <c r="AO304" i="1"/>
  <c r="AJ12" i="1"/>
  <c r="P8" i="1"/>
  <c r="P335" i="1" s="1"/>
  <c r="P44" i="1"/>
  <c r="P45" i="1" s="1"/>
  <c r="P214" i="1"/>
  <c r="P221" i="1"/>
  <c r="P228" i="1"/>
  <c r="P204" i="1"/>
  <c r="P217" i="1"/>
  <c r="P218" i="1"/>
  <c r="P227" i="1"/>
  <c r="P34" i="1"/>
  <c r="C12" i="1"/>
  <c r="H13" i="1" s="1"/>
  <c r="C28" i="1"/>
  <c r="H29" i="1" s="1"/>
  <c r="C17" i="1"/>
  <c r="H20" i="1" s="1"/>
  <c r="C39" i="1"/>
  <c r="AJ22" i="1"/>
  <c r="AJ18" i="1"/>
  <c r="AJ19" i="1" s="1"/>
  <c r="AZ20" i="1"/>
  <c r="BE20" i="1"/>
  <c r="AC219" i="1"/>
  <c r="AC220" i="1"/>
  <c r="AJ184" i="1"/>
  <c r="AJ186" i="1" s="1"/>
  <c r="AH204" i="1"/>
  <c r="AH205" i="1"/>
  <c r="AH218" i="1"/>
  <c r="AV216" i="2"/>
  <c r="BV215" i="2"/>
  <c r="BN215" i="2"/>
  <c r="BS215" i="2"/>
  <c r="AD243" i="2"/>
  <c r="W247" i="2"/>
  <c r="W176" i="2"/>
  <c r="W177" i="2" s="1"/>
  <c r="S176" i="2"/>
  <c r="S177" i="2" s="1"/>
  <c r="S210" i="2" s="1"/>
  <c r="X248" i="2"/>
  <c r="AO238" i="2"/>
  <c r="AJ238" i="2"/>
  <c r="AE238" i="2"/>
  <c r="AE205" i="2"/>
  <c r="AE262" i="2" s="1"/>
  <c r="AH79" i="2"/>
  <c r="N79" i="2"/>
  <c r="AV47" i="2"/>
  <c r="AV50" i="2" s="1"/>
  <c r="AX39" i="2"/>
  <c r="AX42" i="2" s="1"/>
  <c r="AX43" i="2" s="1"/>
  <c r="J32" i="2"/>
  <c r="J29" i="2" s="1"/>
  <c r="J33" i="2" s="1"/>
  <c r="I9" i="1" s="1"/>
  <c r="O78" i="2"/>
  <c r="O145" i="2"/>
  <c r="O77" i="2" s="1"/>
  <c r="O24" i="2"/>
  <c r="O32" i="2"/>
  <c r="O29" i="2" s="1"/>
  <c r="O33" i="2" s="1"/>
  <c r="N9" i="1" s="1"/>
  <c r="N329" i="1" s="1"/>
  <c r="O75" i="2"/>
  <c r="AP23" i="2"/>
  <c r="AU145" i="2"/>
  <c r="AU146" i="2"/>
  <c r="AU143" i="2"/>
  <c r="AP208" i="2"/>
  <c r="L207" i="2"/>
  <c r="L23" i="2"/>
  <c r="L24" i="2" s="1"/>
  <c r="AO332" i="1"/>
  <c r="AU79" i="2"/>
  <c r="AP205" i="2"/>
  <c r="AP285" i="2"/>
  <c r="AP284" i="2" s="1"/>
  <c r="AF332" i="1"/>
  <c r="AL77" i="2"/>
  <c r="AL79" i="2"/>
  <c r="AY13" i="2"/>
  <c r="AY15" i="2"/>
  <c r="AY14" i="2"/>
  <c r="AY16" i="2"/>
  <c r="AY32" i="2"/>
  <c r="AY29" i="2" s="1"/>
  <c r="AY33" i="2" s="1"/>
  <c r="AX9" i="1" s="1"/>
  <c r="AX329" i="1" s="1"/>
  <c r="BD65" i="2"/>
  <c r="BD64" i="2" s="1"/>
  <c r="BD68" i="2" s="1"/>
  <c r="BD69" i="2" s="1"/>
  <c r="AU13" i="2"/>
  <c r="AU14" i="2"/>
  <c r="AU32" i="2"/>
  <c r="AU15" i="2"/>
  <c r="AZ31" i="2"/>
  <c r="AP7" i="1"/>
  <c r="AP28" i="1" s="1"/>
  <c r="AP29" i="1" s="1"/>
  <c r="AQ15" i="2"/>
  <c r="AQ16" i="2"/>
  <c r="AV65" i="2"/>
  <c r="AQ193" i="2"/>
  <c r="AQ14" i="2"/>
  <c r="AM13" i="2"/>
  <c r="AM12" i="2"/>
  <c r="AM14" i="2"/>
  <c r="AR48" i="2"/>
  <c r="AR47" i="2" s="1"/>
  <c r="AM16" i="2"/>
  <c r="AM15" i="2"/>
  <c r="AR57" i="2"/>
  <c r="AR65" i="2"/>
  <c r="AR64" i="2" s="1"/>
  <c r="AR68" i="2" s="1"/>
  <c r="AI13" i="2"/>
  <c r="AI15" i="2"/>
  <c r="AI12" i="2"/>
  <c r="AI14" i="2"/>
  <c r="AI16" i="2"/>
  <c r="BY56" i="2"/>
  <c r="BT58" i="2"/>
  <c r="BY57" i="2"/>
  <c r="BE54" i="2"/>
  <c r="BE56" i="2"/>
  <c r="AZ58" i="2"/>
  <c r="BT46" i="2"/>
  <c r="BO49" i="2"/>
  <c r="BO189" i="2"/>
  <c r="BT48" i="2"/>
  <c r="CI38" i="2"/>
  <c r="CI36" i="2" s="1"/>
  <c r="CD41" i="2"/>
  <c r="AV259" i="1"/>
  <c r="T241" i="1"/>
  <c r="BA208" i="1"/>
  <c r="Z198" i="1"/>
  <c r="V198" i="1"/>
  <c r="BZ125" i="1"/>
  <c r="BZ124" i="1" s="1"/>
  <c r="BZ209" i="1"/>
  <c r="CA190" i="1"/>
  <c r="CA192" i="1" s="1"/>
  <c r="BT175" i="1"/>
  <c r="AN155" i="1"/>
  <c r="AB155" i="1"/>
  <c r="AS155" i="1"/>
  <c r="AS231" i="1"/>
  <c r="AA178" i="1"/>
  <c r="AA222" i="1"/>
  <c r="AA258" i="1" s="1"/>
  <c r="AE222" i="1"/>
  <c r="AE258" i="1" s="1"/>
  <c r="AE223" i="1"/>
  <c r="Z286" i="1"/>
  <c r="BX140" i="1"/>
  <c r="BW131" i="1"/>
  <c r="CP344" i="1"/>
  <c r="CP250" i="1"/>
  <c r="AK54" i="1"/>
  <c r="AK51" i="1"/>
  <c r="AL211" i="2" s="1"/>
  <c r="AK60" i="1"/>
  <c r="AK61" i="1" s="1"/>
  <c r="AL161" i="2"/>
  <c r="BM40" i="1"/>
  <c r="BH40" i="1"/>
  <c r="BA20" i="1"/>
  <c r="BA22" i="1"/>
  <c r="BF25" i="1" s="1"/>
  <c r="BA50" i="1"/>
  <c r="BA18" i="1"/>
  <c r="BA19" i="1" s="1"/>
  <c r="AF20" i="1"/>
  <c r="AF22" i="1"/>
  <c r="G18" i="1"/>
  <c r="G50" i="1"/>
  <c r="G54" i="1" s="1"/>
  <c r="G22" i="1"/>
  <c r="G23" i="1" s="1"/>
  <c r="CN102" i="1"/>
  <c r="CN103" i="1" s="1"/>
  <c r="CN106" i="1" s="1"/>
  <c r="BB54" i="1"/>
  <c r="CD190" i="2"/>
  <c r="CD224" i="2"/>
  <c r="CI224" i="2"/>
  <c r="CH241" i="1"/>
  <c r="AK230" i="1"/>
  <c r="AK170" i="1"/>
  <c r="CU55" i="2"/>
  <c r="DC55" i="2"/>
  <c r="DA55" i="2" s="1"/>
  <c r="CF32" i="2"/>
  <c r="CF13" i="2"/>
  <c r="CF16" i="2"/>
  <c r="CF15" i="2"/>
  <c r="CF12" i="2"/>
  <c r="AG54" i="1"/>
  <c r="AG60" i="1"/>
  <c r="AG61" i="1" s="1"/>
  <c r="AG51" i="1"/>
  <c r="AH211" i="2" s="1"/>
  <c r="BJ82" i="1"/>
  <c r="AA198" i="1"/>
  <c r="AE198" i="1"/>
  <c r="BK216" i="2"/>
  <c r="BP216" i="2"/>
  <c r="BW215" i="2"/>
  <c r="BR215" i="2"/>
  <c r="AI247" i="2"/>
  <c r="AI176" i="2"/>
  <c r="AI177" i="2" s="1"/>
  <c r="AI210" i="2" s="1"/>
  <c r="P177" i="2"/>
  <c r="AX159" i="2"/>
  <c r="BC231" i="2"/>
  <c r="BW226" i="2"/>
  <c r="BW166" i="2"/>
  <c r="BW193" i="2" s="1"/>
  <c r="BW255" i="2"/>
  <c r="BW256" i="2"/>
  <c r="BW258" i="2"/>
  <c r="BW160" i="2"/>
  <c r="BR254" i="2"/>
  <c r="BR257" i="2"/>
  <c r="BR256" i="2"/>
  <c r="BH166" i="2"/>
  <c r="BH256" i="2"/>
  <c r="BH226" i="2"/>
  <c r="BH254" i="2"/>
  <c r="BH257" i="2"/>
  <c r="BC166" i="2"/>
  <c r="BC256" i="2"/>
  <c r="BC254" i="2"/>
  <c r="BC257" i="2"/>
  <c r="BC160" i="2"/>
  <c r="AO160" i="2"/>
  <c r="AT228" i="2" s="1"/>
  <c r="AO226" i="2"/>
  <c r="AG256" i="2"/>
  <c r="AG160" i="2"/>
  <c r="BY158" i="2"/>
  <c r="BY258" i="2" s="1"/>
  <c r="H95" i="2"/>
  <c r="M95" i="2"/>
  <c r="S95" i="2"/>
  <c r="X95" i="2"/>
  <c r="X96" i="2" s="1"/>
  <c r="I95" i="2"/>
  <c r="O95" i="2"/>
  <c r="O82" i="2" s="1"/>
  <c r="T95" i="2"/>
  <c r="Y95" i="2"/>
  <c r="Y96" i="2" s="1"/>
  <c r="B83" i="2"/>
  <c r="K95" i="2"/>
  <c r="P95" i="2"/>
  <c r="P82" i="2" s="1"/>
  <c r="U95" i="2"/>
  <c r="AA95" i="2"/>
  <c r="AA96" i="2" s="1"/>
  <c r="AC76" i="2"/>
  <c r="AC80" i="2" s="1"/>
  <c r="BA51" i="2"/>
  <c r="AO32" i="2"/>
  <c r="AO24" i="2"/>
  <c r="AT77" i="2"/>
  <c r="AT78" i="2"/>
  <c r="AT76" i="2" s="1"/>
  <c r="AT80" i="2" s="1"/>
  <c r="S77" i="2"/>
  <c r="S78" i="2"/>
  <c r="CB16" i="2"/>
  <c r="CB12" i="2"/>
  <c r="BV7" i="1"/>
  <c r="BW15" i="2"/>
  <c r="BW16" i="2"/>
  <c r="BW32" i="2"/>
  <c r="BW29" i="2" s="1"/>
  <c r="BW33" i="2" s="1"/>
  <c r="BV9" i="1" s="1"/>
  <c r="BV329" i="1" s="1"/>
  <c r="CB40" i="2"/>
  <c r="CB39" i="2" s="1"/>
  <c r="CB65" i="2"/>
  <c r="BQ7" i="1"/>
  <c r="BR12" i="2"/>
  <c r="BR13" i="2"/>
  <c r="BR14" i="2"/>
  <c r="BR15" i="2"/>
  <c r="BR16" i="2"/>
  <c r="BW65" i="2"/>
  <c r="BY65" i="2" s="1"/>
  <c r="BL7" i="1"/>
  <c r="BR40" i="2"/>
  <c r="BM12" i="2"/>
  <c r="BM13" i="2"/>
  <c r="BR65" i="2"/>
  <c r="BH12" i="2"/>
  <c r="BH16" i="2"/>
  <c r="BM65" i="2"/>
  <c r="BC13" i="2"/>
  <c r="BC14" i="2"/>
  <c r="BC32" i="2"/>
  <c r="BC16" i="2"/>
  <c r="BC15" i="2"/>
  <c r="BH65" i="2"/>
  <c r="BJ65" i="2" s="1"/>
  <c r="BO207" i="1"/>
  <c r="BT207" i="1"/>
  <c r="BA207" i="1"/>
  <c r="BF207" i="1"/>
  <c r="AU206" i="1"/>
  <c r="AU207" i="1" s="1"/>
  <c r="AU208" i="1"/>
  <c r="AF206" i="1"/>
  <c r="AK207" i="1" s="1"/>
  <c r="AF208" i="1"/>
  <c r="P208" i="1"/>
  <c r="P206" i="1"/>
  <c r="P207" i="1" s="1"/>
  <c r="BQ194" i="1"/>
  <c r="BR194" i="1" s="1"/>
  <c r="S190" i="1"/>
  <c r="S125" i="1" s="1"/>
  <c r="S124" i="1" s="1"/>
  <c r="R125" i="1"/>
  <c r="R124" i="1" s="1"/>
  <c r="AG192" i="1"/>
  <c r="BM184" i="1"/>
  <c r="BL186" i="1"/>
  <c r="AS184" i="1"/>
  <c r="AS186" i="1" s="1"/>
  <c r="AR186" i="1"/>
  <c r="N184" i="1"/>
  <c r="M204" i="1"/>
  <c r="M218" i="1"/>
  <c r="M205" i="1"/>
  <c r="AS172" i="1"/>
  <c r="AR220" i="1"/>
  <c r="AR219" i="1"/>
  <c r="AG155" i="1"/>
  <c r="AG231" i="1"/>
  <c r="BT180" i="1"/>
  <c r="BS288" i="1"/>
  <c r="BS291" i="1" s="1"/>
  <c r="BE180" i="1"/>
  <c r="BD288" i="1"/>
  <c r="BI226" i="1"/>
  <c r="AK180" i="1"/>
  <c r="AO180" i="1" s="1"/>
  <c r="AJ288" i="1"/>
  <c r="AP150" i="1"/>
  <c r="AP155" i="1" s="1"/>
  <c r="AQ224" i="1"/>
  <c r="AP287" i="1"/>
  <c r="AP291" i="1" s="1"/>
  <c r="AA179" i="1"/>
  <c r="AE225" i="1"/>
  <c r="AA224" i="1"/>
  <c r="AE224" i="1"/>
  <c r="BJ222" i="1"/>
  <c r="BJ258" i="1" s="1"/>
  <c r="BJ178" i="1"/>
  <c r="AO286" i="1"/>
  <c r="AP178" i="1"/>
  <c r="AP222" i="1"/>
  <c r="AP258" i="1" s="1"/>
  <c r="AR142" i="1"/>
  <c r="BD141" i="1"/>
  <c r="BD221" i="1"/>
  <c r="BS117" i="1"/>
  <c r="BX114" i="1" s="1"/>
  <c r="BT114" i="1"/>
  <c r="BT115" i="1" s="1"/>
  <c r="BB74" i="1"/>
  <c r="BB351" i="1"/>
  <c r="BB51" i="1"/>
  <c r="BB343" i="1"/>
  <c r="BC161" i="2"/>
  <c r="BB60" i="1"/>
  <c r="AF45" i="1"/>
  <c r="AK45" i="1"/>
  <c r="AG39" i="1"/>
  <c r="AG41" i="1"/>
  <c r="AL41" i="1"/>
  <c r="AD24" i="1"/>
  <c r="BF23" i="1"/>
  <c r="CV190" i="2"/>
  <c r="DA190" i="2" s="1"/>
  <c r="DF190" i="2" s="1"/>
  <c r="AY268" i="1"/>
  <c r="AZ163" i="2"/>
  <c r="AF181" i="2"/>
  <c r="AE268" i="1"/>
  <c r="CM56" i="2"/>
  <c r="CN29" i="2"/>
  <c r="CM54" i="2"/>
  <c r="CM52" i="2" s="1"/>
  <c r="CM57" i="2"/>
  <c r="CM58" i="2" s="1"/>
  <c r="CE196" i="1"/>
  <c r="CI13" i="2"/>
  <c r="CI16" i="2"/>
  <c r="CD206" i="1"/>
  <c r="CD207" i="1" s="1"/>
  <c r="DC46" i="2"/>
  <c r="CI12" i="2"/>
  <c r="CE206" i="1"/>
  <c r="AK82" i="1"/>
  <c r="AH161" i="2"/>
  <c r="BD17" i="1"/>
  <c r="BD50" i="1" s="1"/>
  <c r="BX227" i="2"/>
  <c r="BX160" i="2"/>
  <c r="AR20" i="1"/>
  <c r="AW20" i="1"/>
  <c r="AR22" i="1"/>
  <c r="AR50" i="1"/>
  <c r="T20" i="1"/>
  <c r="T22" i="1"/>
  <c r="T18" i="1"/>
  <c r="T50" i="1"/>
  <c r="T74" i="1" s="1"/>
  <c r="BE51" i="1"/>
  <c r="BE343" i="1"/>
  <c r="BE60" i="1"/>
  <c r="BE74" i="1"/>
  <c r="BF194" i="2" s="1"/>
  <c r="X231" i="1"/>
  <c r="X142" i="1"/>
  <c r="X283" i="1" s="1"/>
  <c r="AN188" i="1"/>
  <c r="AM229" i="1"/>
  <c r="AM160" i="2"/>
  <c r="AR228" i="2" s="1"/>
  <c r="AR227" i="2"/>
  <c r="AM227" i="2"/>
  <c r="BC217" i="2"/>
  <c r="AX217" i="2"/>
  <c r="AU217" i="2"/>
  <c r="AP217" i="2"/>
  <c r="AL217" i="2"/>
  <c r="AQ217" i="2"/>
  <c r="AE184" i="2"/>
  <c r="AE251" i="2" s="1"/>
  <c r="AE242" i="2"/>
  <c r="U242" i="2"/>
  <c r="BD234" i="2"/>
  <c r="AY193" i="2"/>
  <c r="AY234" i="2"/>
  <c r="BW231" i="2"/>
  <c r="BY163" i="2"/>
  <c r="BR159" i="2"/>
  <c r="BR160" i="2" s="1"/>
  <c r="BR231" i="2"/>
  <c r="CA256" i="2"/>
  <c r="CA226" i="2"/>
  <c r="CF226" i="2"/>
  <c r="CA166" i="2"/>
  <c r="CA254" i="2"/>
  <c r="CA257" i="2"/>
  <c r="CA160" i="2"/>
  <c r="CA228" i="2" s="1"/>
  <c r="O144" i="2"/>
  <c r="O148" i="2" s="1"/>
  <c r="J104" i="2"/>
  <c r="H104" i="2"/>
  <c r="O104" i="2"/>
  <c r="T104" i="2"/>
  <c r="Y104" i="2"/>
  <c r="Y105" i="2" s="1"/>
  <c r="I104" i="2"/>
  <c r="P104" i="2"/>
  <c r="U104" i="2"/>
  <c r="AA104" i="2"/>
  <c r="AA105" i="2" s="1"/>
  <c r="L104" i="2"/>
  <c r="Q104" i="2"/>
  <c r="W104" i="2"/>
  <c r="W105" i="2" s="1"/>
  <c r="W95" i="2"/>
  <c r="W96" i="2" s="1"/>
  <c r="BW40" i="2"/>
  <c r="BW39" i="2" s="1"/>
  <c r="BW42" i="2" s="1"/>
  <c r="AS32" i="2"/>
  <c r="AS29" i="2" s="1"/>
  <c r="AS33" i="2" s="1"/>
  <c r="AS24" i="2"/>
  <c r="AF19" i="2"/>
  <c r="BZ2" i="2"/>
  <c r="BZ151" i="2" s="1"/>
  <c r="CD152" i="2"/>
  <c r="BJ152" i="2"/>
  <c r="BF2" i="2"/>
  <c r="BF151" i="2" s="1"/>
  <c r="BM291" i="1"/>
  <c r="AH259" i="1"/>
  <c r="CC224" i="1"/>
  <c r="CB287" i="1"/>
  <c r="CB147" i="1"/>
  <c r="CB224" i="1"/>
  <c r="W125" i="1"/>
  <c r="X190" i="1"/>
  <c r="X125" i="1" s="1"/>
  <c r="AR188" i="1"/>
  <c r="AQ209" i="1"/>
  <c r="AQ210" i="1" s="1"/>
  <c r="AQ229" i="1"/>
  <c r="BG355" i="1"/>
  <c r="L175" i="1"/>
  <c r="P175" i="1" s="1"/>
  <c r="BS219" i="1"/>
  <c r="AJ290" i="1"/>
  <c r="AT239" i="1"/>
  <c r="AU233" i="1"/>
  <c r="AY233" i="1" s="1"/>
  <c r="Z150" i="1"/>
  <c r="Z155" i="1" s="1"/>
  <c r="Z239" i="1"/>
  <c r="Z241" i="1" s="1"/>
  <c r="Z242" i="1" s="1"/>
  <c r="Z235" i="1" s="1"/>
  <c r="BX238" i="1"/>
  <c r="BX150" i="1"/>
  <c r="BX231" i="1" s="1"/>
  <c r="BD238" i="1"/>
  <c r="BD150" i="1"/>
  <c r="BD155" i="1" s="1"/>
  <c r="BX118" i="1"/>
  <c r="S249" i="1"/>
  <c r="S62" i="1"/>
  <c r="S63" i="1" s="1"/>
  <c r="AL40" i="1"/>
  <c r="AK36" i="1"/>
  <c r="AK34" i="1"/>
  <c r="AB34" i="1"/>
  <c r="AG35" i="1" s="1"/>
  <c r="AG36" i="1"/>
  <c r="X34" i="1"/>
  <c r="X36" i="1"/>
  <c r="S34" i="1"/>
  <c r="S36" i="1"/>
  <c r="G36" i="1"/>
  <c r="B36" i="1"/>
  <c r="BK102" i="1"/>
  <c r="BK33" i="1"/>
  <c r="BK36" i="1" s="1"/>
  <c r="AX36" i="1"/>
  <c r="CB231" i="2"/>
  <c r="CD163" i="2"/>
  <c r="CD231" i="2" s="1"/>
  <c r="CB159" i="2"/>
  <c r="BI29" i="1"/>
  <c r="AK20" i="1"/>
  <c r="AF18" i="1"/>
  <c r="AF19" i="1" s="1"/>
  <c r="CH29" i="2"/>
  <c r="CH33" i="2" s="1"/>
  <c r="CG9" i="1" s="1"/>
  <c r="CG329" i="1" s="1"/>
  <c r="BN137" i="1"/>
  <c r="AG264" i="2"/>
  <c r="AZ215" i="2"/>
  <c r="AU248" i="2"/>
  <c r="AL248" i="2"/>
  <c r="Y248" i="2"/>
  <c r="H176" i="2"/>
  <c r="AK171" i="2"/>
  <c r="AP238" i="2" s="1"/>
  <c r="AU193" i="2"/>
  <c r="AN227" i="2"/>
  <c r="BO225" i="2"/>
  <c r="AK146" i="2"/>
  <c r="AK144" i="2" s="1"/>
  <c r="AK148" i="2" s="1"/>
  <c r="AK142" i="2" s="1"/>
  <c r="P144" i="2"/>
  <c r="P148" i="2" s="1"/>
  <c r="AS76" i="2"/>
  <c r="AS80" i="2" s="1"/>
  <c r="CB64" i="2"/>
  <c r="CB68" i="2" s="1"/>
  <c r="CN7" i="2"/>
  <c r="CS7" i="2" s="1"/>
  <c r="BV60" i="2"/>
  <c r="AZ55" i="2"/>
  <c r="AZ59" i="2" s="1"/>
  <c r="AQ47" i="2"/>
  <c r="CA39" i="2"/>
  <c r="CA42" i="2" s="1"/>
  <c r="BA43" i="2"/>
  <c r="AW43" i="2"/>
  <c r="AO29" i="2"/>
  <c r="AO78" i="2"/>
  <c r="BZ16" i="2"/>
  <c r="BF16" i="2"/>
  <c r="AO16" i="2"/>
  <c r="CE14" i="2"/>
  <c r="BA13" i="2"/>
  <c r="AS13" i="2"/>
  <c r="AK13" i="2"/>
  <c r="BP12" i="2"/>
  <c r="BF12" i="2"/>
  <c r="AW12" i="2"/>
  <c r="AK12" i="2"/>
  <c r="CB241" i="1"/>
  <c r="BT241" i="1"/>
  <c r="S241" i="1"/>
  <c r="O241" i="1"/>
  <c r="G241" i="1"/>
  <c r="G253" i="1" s="1"/>
  <c r="S259" i="1"/>
  <c r="AF210" i="1"/>
  <c r="AE124" i="1"/>
  <c r="BD189" i="1"/>
  <c r="AF196" i="1"/>
  <c r="P196" i="1"/>
  <c r="M186" i="1"/>
  <c r="P180" i="1"/>
  <c r="BI179" i="1"/>
  <c r="BM355" i="1"/>
  <c r="AE175" i="1"/>
  <c r="U175" i="1"/>
  <c r="BP71" i="1"/>
  <c r="Z163" i="1"/>
  <c r="L119" i="1"/>
  <c r="H119" i="1"/>
  <c r="BI118" i="1"/>
  <c r="BD118" i="1"/>
  <c r="BD97" i="1" s="1"/>
  <c r="V45" i="1"/>
  <c r="AA50" i="1"/>
  <c r="BZ160" i="2"/>
  <c r="DF15" i="1"/>
  <c r="AD13" i="1"/>
  <c r="CD189" i="2"/>
  <c r="CD215" i="2" s="1"/>
  <c r="CI191" i="2"/>
  <c r="CN191" i="2" s="1"/>
  <c r="CS191" i="2" s="1"/>
  <c r="CX191" i="2" s="1"/>
  <c r="DC191" i="2" s="1"/>
  <c r="DH191" i="2" s="1"/>
  <c r="CL84" i="1"/>
  <c r="CG32" i="2"/>
  <c r="CG29" i="2" s="1"/>
  <c r="CG33" i="2" s="1"/>
  <c r="P115" i="1"/>
  <c r="BH160" i="2"/>
  <c r="BB214" i="2"/>
  <c r="AD247" i="2"/>
  <c r="AS231" i="2"/>
  <c r="BW64" i="2"/>
  <c r="BW68" i="2" s="1"/>
  <c r="BN64" i="2"/>
  <c r="BN68" i="2" s="1"/>
  <c r="AV64" i="2"/>
  <c r="AV68" i="2" s="1"/>
  <c r="AX64" i="2"/>
  <c r="AX68" i="2" s="1"/>
  <c r="BH60" i="2"/>
  <c r="BQ39" i="2"/>
  <c r="BQ42" i="2" s="1"/>
  <c r="AZ43" i="2"/>
  <c r="AU24" i="2"/>
  <c r="AR218" i="1"/>
  <c r="BK291" i="1"/>
  <c r="BT291" i="1"/>
  <c r="BP291" i="1"/>
  <c r="AB241" i="1"/>
  <c r="AD241" i="1"/>
  <c r="AD242" i="1" s="1"/>
  <c r="AD235" i="1" s="1"/>
  <c r="BO71" i="1"/>
  <c r="T242" i="1"/>
  <c r="T235" i="1" s="1"/>
  <c r="BF259" i="1"/>
  <c r="BC259" i="1"/>
  <c r="AU210" i="1"/>
  <c r="AZ206" i="1"/>
  <c r="AK196" i="1"/>
  <c r="AD181" i="1"/>
  <c r="BX180" i="1"/>
  <c r="BK142" i="1"/>
  <c r="O142" i="1"/>
  <c r="O283" i="1" s="1"/>
  <c r="BO142" i="1"/>
  <c r="R142" i="1"/>
  <c r="R283" i="1" s="1"/>
  <c r="AT137" i="1"/>
  <c r="C142" i="1"/>
  <c r="BH84" i="1"/>
  <c r="BF40" i="1"/>
  <c r="BC20" i="1"/>
  <c r="AM228" i="2"/>
  <c r="CF216" i="2"/>
  <c r="CK290" i="2" s="1"/>
  <c r="AK160" i="2"/>
  <c r="BF227" i="2"/>
  <c r="AN217" i="2"/>
  <c r="AI264" i="2"/>
  <c r="AD263" i="2"/>
  <c r="AS262" i="2"/>
  <c r="AX216" i="2"/>
  <c r="AT216" i="2"/>
  <c r="AR247" i="2"/>
  <c r="AJ248" i="2"/>
  <c r="AH248" i="2"/>
  <c r="Z248" i="2"/>
  <c r="K176" i="2"/>
  <c r="K177" i="2" s="1"/>
  <c r="K210" i="2" s="1"/>
  <c r="I176" i="2"/>
  <c r="I177" i="2" s="1"/>
  <c r="AG242" i="2"/>
  <c r="Y133" i="2"/>
  <c r="U133" i="2"/>
  <c r="Q133" i="2"/>
  <c r="M133" i="2"/>
  <c r="BV64" i="2"/>
  <c r="BV68" i="2" s="1"/>
  <c r="CA69" i="2" s="1"/>
  <c r="BR64" i="2"/>
  <c r="BR68" i="2" s="1"/>
  <c r="BM64" i="2"/>
  <c r="BM68" i="2" s="1"/>
  <c r="BH64" i="2"/>
  <c r="BH68" i="2" s="1"/>
  <c r="BH69" i="2" s="1"/>
  <c r="BS51" i="2"/>
  <c r="AU43" i="2"/>
  <c r="BP39" i="2"/>
  <c r="BZ40" i="2"/>
  <c r="BZ39" i="2" s="1"/>
  <c r="BK40" i="2"/>
  <c r="BK38" i="2" s="1"/>
  <c r="BO38" i="2" s="1"/>
  <c r="BP32" i="2"/>
  <c r="BP29" i="2" s="1"/>
  <c r="BP33" i="2" s="1"/>
  <c r="AX31" i="2"/>
  <c r="AM78" i="2"/>
  <c r="Y24" i="2"/>
  <c r="BV16" i="2"/>
  <c r="AW16" i="2"/>
  <c r="AG16" i="2"/>
  <c r="BG15" i="2"/>
  <c r="BZ14" i="2"/>
  <c r="AW13" i="2"/>
  <c r="AO13" i="2"/>
  <c r="AG13" i="2"/>
  <c r="BK12" i="2"/>
  <c r="BA12" i="2"/>
  <c r="AS12" i="2"/>
  <c r="BO41" i="2"/>
  <c r="BZ291" i="1"/>
  <c r="AL291" i="1"/>
  <c r="Y291" i="1"/>
  <c r="Y293" i="1" s="1"/>
  <c r="Q291" i="1"/>
  <c r="H291" i="1"/>
  <c r="BU291" i="1"/>
  <c r="BQ291" i="1"/>
  <c r="Z291" i="1"/>
  <c r="V291" i="1"/>
  <c r="AF291" i="1"/>
  <c r="BF291" i="1"/>
  <c r="AL259" i="1"/>
  <c r="AI241" i="1"/>
  <c r="AI242" i="1" s="1"/>
  <c r="AI235" i="1" s="1"/>
  <c r="R241" i="1"/>
  <c r="BF241" i="1"/>
  <c r="BH71" i="1"/>
  <c r="AZ198" i="1"/>
  <c r="J189" i="1"/>
  <c r="BI175" i="1"/>
  <c r="Q142" i="1"/>
  <c r="Q283" i="1" s="1"/>
  <c r="P124" i="1"/>
  <c r="BZ119" i="1"/>
  <c r="BQ119" i="1"/>
  <c r="BO115" i="1"/>
  <c r="BA115" i="1"/>
  <c r="AV115" i="1"/>
  <c r="I115" i="1"/>
  <c r="AE103" i="1"/>
  <c r="W45" i="1"/>
  <c r="S45" i="1"/>
  <c r="O45" i="1"/>
  <c r="K46" i="1"/>
  <c r="H40" i="1"/>
  <c r="K41" i="1"/>
  <c r="AN29" i="1"/>
  <c r="CV55" i="2"/>
  <c r="CQ58" i="2"/>
  <c r="AK35" i="1"/>
  <c r="V35" i="1"/>
  <c r="AD35" i="1"/>
  <c r="S35" i="1"/>
  <c r="BU50" i="1"/>
  <c r="B39" i="1"/>
  <c r="G40" i="1" s="1"/>
  <c r="B34" i="1"/>
  <c r="B44" i="1"/>
  <c r="G45" i="1" s="1"/>
  <c r="B28" i="1"/>
  <c r="G29" i="1" s="1"/>
  <c r="CH175" i="1"/>
  <c r="AP248" i="2"/>
  <c r="AN248" i="2"/>
  <c r="L176" i="2"/>
  <c r="J176" i="2"/>
  <c r="J177" i="2" s="1"/>
  <c r="J210" i="2" s="1"/>
  <c r="BE291" i="1"/>
  <c r="AB291" i="1"/>
  <c r="X291" i="1"/>
  <c r="T291" i="1"/>
  <c r="BU355" i="1"/>
  <c r="BP355" i="1"/>
  <c r="CC227" i="2"/>
  <c r="M243" i="2"/>
  <c r="BJ259" i="1"/>
  <c r="BV355" i="1"/>
  <c r="AJ177" i="1"/>
  <c r="AE177" i="1"/>
  <c r="Z176" i="1"/>
  <c r="U176" i="1"/>
  <c r="Z180" i="1"/>
  <c r="AE178" i="1"/>
  <c r="AQ176" i="2"/>
  <c r="AQ177" i="2" s="1"/>
  <c r="AQ210" i="2" s="1"/>
  <c r="AB247" i="2"/>
  <c r="X176" i="2"/>
  <c r="X243" i="2" s="1"/>
  <c r="BB291" i="1"/>
  <c r="AX291" i="1"/>
  <c r="AN291" i="1"/>
  <c r="R291" i="1"/>
  <c r="R293" i="1" s="1"/>
  <c r="AR227" i="1"/>
  <c r="BD178" i="1"/>
  <c r="BR355" i="1"/>
  <c r="L293" i="1"/>
  <c r="X293" i="1"/>
  <c r="Y296" i="1" s="1"/>
  <c r="AS291" i="1"/>
  <c r="AK291" i="1"/>
  <c r="BS180" i="1"/>
  <c r="BX178" i="1"/>
  <c r="AG62" i="1"/>
  <c r="AG63" i="1" s="1"/>
  <c r="AG249" i="1"/>
  <c r="AG55" i="1"/>
  <c r="CO124" i="1"/>
  <c r="CP124" i="1" s="1"/>
  <c r="CV63" i="2"/>
  <c r="DC63" i="2"/>
  <c r="CT63" i="2"/>
  <c r="CU63" i="2"/>
  <c r="Z231" i="1"/>
  <c r="Z142" i="1"/>
  <c r="Z283" i="1" s="1"/>
  <c r="BC342" i="1"/>
  <c r="BC283" i="1"/>
  <c r="CF29" i="2"/>
  <c r="BJ52" i="1"/>
  <c r="Q165" i="1"/>
  <c r="Q245" i="1"/>
  <c r="CD36" i="1"/>
  <c r="BY36" i="1"/>
  <c r="BN142" i="1"/>
  <c r="BT215" i="2"/>
  <c r="BY215" i="2"/>
  <c r="O205" i="2"/>
  <c r="O262" i="2" s="1"/>
  <c r="O238" i="2"/>
  <c r="BJ189" i="2"/>
  <c r="BO223" i="2"/>
  <c r="W259" i="1"/>
  <c r="BU186" i="1"/>
  <c r="BV185" i="1"/>
  <c r="BW185" i="1" s="1"/>
  <c r="BW334" i="1" s="1"/>
  <c r="AW185" i="1"/>
  <c r="AV334" i="1"/>
  <c r="AV186" i="1"/>
  <c r="AB334" i="1"/>
  <c r="AC185" i="1"/>
  <c r="AB186" i="1"/>
  <c r="AB196" i="1" s="1"/>
  <c r="AB201" i="1" s="1"/>
  <c r="S334" i="1"/>
  <c r="T185" i="1"/>
  <c r="T334" i="1" s="1"/>
  <c r="BM204" i="1"/>
  <c r="BM218" i="1"/>
  <c r="X218" i="1"/>
  <c r="Y184" i="1"/>
  <c r="X205" i="1"/>
  <c r="N186" i="1"/>
  <c r="N218" i="1"/>
  <c r="O184" i="1"/>
  <c r="N205" i="1"/>
  <c r="AW355" i="1"/>
  <c r="BH355" i="1"/>
  <c r="AS219" i="1"/>
  <c r="AT172" i="1"/>
  <c r="AS220" i="1"/>
  <c r="N220" i="1"/>
  <c r="N219" i="1"/>
  <c r="O172" i="1"/>
  <c r="Y165" i="1"/>
  <c r="Y166" i="1" s="1"/>
  <c r="Y245" i="1"/>
  <c r="Z165" i="1"/>
  <c r="T163" i="1"/>
  <c r="U158" i="1"/>
  <c r="U163" i="1" s="1"/>
  <c r="BV155" i="1"/>
  <c r="BJ179" i="1"/>
  <c r="BN179" i="1" s="1"/>
  <c r="BJ224" i="1"/>
  <c r="BI287" i="1"/>
  <c r="BI291" i="1" s="1"/>
  <c r="CW123" i="1"/>
  <c r="CN123" i="1"/>
  <c r="CN116" i="1" s="1"/>
  <c r="CA358" i="1"/>
  <c r="CA119" i="1"/>
  <c r="AC74" i="1"/>
  <c r="AD178" i="2"/>
  <c r="AC51" i="1"/>
  <c r="AC54" i="1"/>
  <c r="AC55" i="1" s="1"/>
  <c r="BY102" i="1"/>
  <c r="CB48" i="1"/>
  <c r="BM74" i="1"/>
  <c r="BM351" i="1"/>
  <c r="BM343" i="1"/>
  <c r="BM345" i="1" s="1"/>
  <c r="BM51" i="1"/>
  <c r="AD45" i="1"/>
  <c r="AI45" i="1"/>
  <c r="CB31" i="1"/>
  <c r="CA33" i="1"/>
  <c r="CF36" i="1" s="1"/>
  <c r="BU33" i="1"/>
  <c r="BW31" i="1"/>
  <c r="BM22" i="1"/>
  <c r="BM18" i="1"/>
  <c r="BM20" i="1"/>
  <c r="CC14" i="1"/>
  <c r="CC216" i="1"/>
  <c r="CC256" i="1" s="1"/>
  <c r="CC215" i="1"/>
  <c r="BI222" i="1"/>
  <c r="BI258" i="1" s="1"/>
  <c r="BI225" i="1"/>
  <c r="BI14" i="1"/>
  <c r="BI215" i="1"/>
  <c r="BI216" i="1"/>
  <c r="BI256" i="1" s="1"/>
  <c r="BI223" i="1"/>
  <c r="AY221" i="1"/>
  <c r="AY17" i="1"/>
  <c r="BD20" i="1" s="1"/>
  <c r="U213" i="1"/>
  <c r="U257" i="1" s="1"/>
  <c r="U227" i="1"/>
  <c r="Z8" i="1"/>
  <c r="Z335" i="1" s="1"/>
  <c r="U204" i="1"/>
  <c r="U218" i="1"/>
  <c r="D12" i="1"/>
  <c r="I13" i="1" s="1"/>
  <c r="D17" i="1"/>
  <c r="D39" i="1"/>
  <c r="I40" i="1" s="1"/>
  <c r="D44" i="1"/>
  <c r="I45" i="1" s="1"/>
  <c r="F7" i="1"/>
  <c r="D28" i="1"/>
  <c r="I29" i="1" s="1"/>
  <c r="CP123" i="1"/>
  <c r="CP116" i="1" s="1"/>
  <c r="CH256" i="2"/>
  <c r="CH254" i="2"/>
  <c r="CH14" i="2"/>
  <c r="CH13" i="2"/>
  <c r="AK88" i="1"/>
  <c r="CD159" i="2"/>
  <c r="CF193" i="2"/>
  <c r="CQ191" i="2"/>
  <c r="CV191" i="2" s="1"/>
  <c r="DA191" i="2" s="1"/>
  <c r="DF191" i="2" s="1"/>
  <c r="CG16" i="2"/>
  <c r="CL30" i="2"/>
  <c r="CP330" i="1" s="1"/>
  <c r="CT55" i="2"/>
  <c r="BT51" i="1"/>
  <c r="BT351" i="1"/>
  <c r="CL53" i="2"/>
  <c r="CP191" i="2"/>
  <c r="CU191" i="2" s="1"/>
  <c r="CZ191" i="2" s="1"/>
  <c r="DE191" i="2" s="1"/>
  <c r="CK217" i="2"/>
  <c r="CF288" i="2"/>
  <c r="BE161" i="2"/>
  <c r="BD74" i="1"/>
  <c r="Y86" i="1"/>
  <c r="Y94" i="1" s="1"/>
  <c r="CC223" i="1"/>
  <c r="CD353" i="1"/>
  <c r="AP207" i="1"/>
  <c r="AY356" i="1"/>
  <c r="BG353" i="1"/>
  <c r="AH178" i="2"/>
  <c r="BF161" i="2"/>
  <c r="AZ18" i="1"/>
  <c r="N209" i="1"/>
  <c r="N210" i="1" s="1"/>
  <c r="AC192" i="1"/>
  <c r="AA35" i="1"/>
  <c r="Y13" i="1"/>
  <c r="X204" i="1"/>
  <c r="N204" i="1"/>
  <c r="CF296" i="2"/>
  <c r="CF298" i="2" s="1"/>
  <c r="BZ296" i="2"/>
  <c r="AU274" i="2"/>
  <c r="W242" i="2"/>
  <c r="BJ223" i="2"/>
  <c r="BX217" i="2"/>
  <c r="BX291" i="2" s="1"/>
  <c r="O263" i="2"/>
  <c r="T263" i="2"/>
  <c r="AK198" i="2"/>
  <c r="AP216" i="2"/>
  <c r="AU176" i="2"/>
  <c r="AU243" i="2" s="1"/>
  <c r="AJ176" i="2"/>
  <c r="AO247" i="2"/>
  <c r="AJ247" i="2"/>
  <c r="AH176" i="2"/>
  <c r="AH247" i="2"/>
  <c r="AM247" i="2"/>
  <c r="V248" i="2"/>
  <c r="AA248" i="2"/>
  <c r="V176" i="2"/>
  <c r="R176" i="2"/>
  <c r="W248" i="2"/>
  <c r="R248" i="2"/>
  <c r="R241" i="2"/>
  <c r="V174" i="2"/>
  <c r="R208" i="2"/>
  <c r="W265" i="2" s="1"/>
  <c r="AF171" i="2"/>
  <c r="AK239" i="2"/>
  <c r="AF239" i="2"/>
  <c r="L171" i="2"/>
  <c r="Q238" i="2" s="1"/>
  <c r="Q239" i="2"/>
  <c r="AU238" i="2"/>
  <c r="AU205" i="2"/>
  <c r="BN161" i="2"/>
  <c r="BE163" i="2"/>
  <c r="BB159" i="2"/>
  <c r="BG231" i="2"/>
  <c r="BD231" i="2"/>
  <c r="AY159" i="2"/>
  <c r="AY231" i="2"/>
  <c r="BA166" i="2"/>
  <c r="BA160" i="2"/>
  <c r="BA256" i="2"/>
  <c r="AV160" i="2"/>
  <c r="AV254" i="2"/>
  <c r="AV257" i="2"/>
  <c r="AV166" i="2"/>
  <c r="AV226" i="2"/>
  <c r="AV256" i="2"/>
  <c r="AR226" i="2"/>
  <c r="AW226" i="2"/>
  <c r="AR166" i="2"/>
  <c r="AR255" i="2"/>
  <c r="AR256" i="2"/>
  <c r="AR258" i="2"/>
  <c r="AN255" i="2"/>
  <c r="AN258" i="2"/>
  <c r="AN226" i="2"/>
  <c r="AS226" i="2"/>
  <c r="AN160" i="2"/>
  <c r="AN166" i="2"/>
  <c r="AN254" i="2"/>
  <c r="AN256" i="2"/>
  <c r="AN257" i="2"/>
  <c r="AJ254" i="2"/>
  <c r="AJ257" i="2"/>
  <c r="AJ166" i="2"/>
  <c r="AJ193" i="2" s="1"/>
  <c r="AJ255" i="2"/>
  <c r="AJ258" i="2"/>
  <c r="AJ256" i="2"/>
  <c r="BT190" i="2"/>
  <c r="BY224" i="2"/>
  <c r="CE53" i="2"/>
  <c r="AQ55" i="2"/>
  <c r="BQ51" i="2"/>
  <c r="BF43" i="2"/>
  <c r="BU39" i="2"/>
  <c r="BU42" i="2" s="1"/>
  <c r="AQ32" i="2"/>
  <c r="AQ29" i="2" s="1"/>
  <c r="AQ33" i="2" s="1"/>
  <c r="AP9" i="1" s="1"/>
  <c r="AP329" i="1" s="1"/>
  <c r="AI24" i="2"/>
  <c r="AI32" i="2"/>
  <c r="AI29" i="2" s="1"/>
  <c r="AI33" i="2" s="1"/>
  <c r="AN77" i="2"/>
  <c r="AE24" i="2"/>
  <c r="AE32" i="2"/>
  <c r="AE29" i="2" s="1"/>
  <c r="AE33" i="2" s="1"/>
  <c r="Z24" i="2"/>
  <c r="AE78" i="2"/>
  <c r="AE76" i="2" s="1"/>
  <c r="AE80" i="2" s="1"/>
  <c r="Z32" i="2"/>
  <c r="Z29" i="2" s="1"/>
  <c r="Z33" i="2" s="1"/>
  <c r="Y9" i="1" s="1"/>
  <c r="Y329" i="1" s="1"/>
  <c r="Z78" i="2"/>
  <c r="M32" i="2"/>
  <c r="M29" i="2" s="1"/>
  <c r="M33" i="2" s="1"/>
  <c r="R78" i="2"/>
  <c r="R77" i="2"/>
  <c r="N24" i="2"/>
  <c r="I24" i="2"/>
  <c r="N32" i="2"/>
  <c r="N29" i="2" s="1"/>
  <c r="N33" i="2" s="1"/>
  <c r="M9" i="1" s="1"/>
  <c r="M329" i="1" s="1"/>
  <c r="N75" i="2"/>
  <c r="N78" i="2"/>
  <c r="N145" i="2"/>
  <c r="N77" i="2" s="1"/>
  <c r="AA23" i="2"/>
  <c r="AA273" i="2" s="1"/>
  <c r="AA207" i="2"/>
  <c r="AF264" i="2" s="1"/>
  <c r="AK19" i="2"/>
  <c r="AP79" i="2" s="1"/>
  <c r="AK23" i="2"/>
  <c r="Q19" i="2"/>
  <c r="P332" i="1" s="1"/>
  <c r="Q206" i="2"/>
  <c r="AE332" i="1"/>
  <c r="AG78" i="2"/>
  <c r="AG77" i="2"/>
  <c r="V332" i="1"/>
  <c r="AB78" i="2"/>
  <c r="W79" i="2"/>
  <c r="W205" i="2"/>
  <c r="AB77" i="2"/>
  <c r="Q332" i="1"/>
  <c r="W78" i="2"/>
  <c r="R205" i="2"/>
  <c r="R262" i="2" s="1"/>
  <c r="W77" i="2"/>
  <c r="L332" i="1"/>
  <c r="M79" i="2"/>
  <c r="G332" i="1"/>
  <c r="M78" i="2"/>
  <c r="AG291" i="1"/>
  <c r="AG293" i="1" s="1"/>
  <c r="BL291" i="1"/>
  <c r="BH291" i="1"/>
  <c r="AB259" i="1"/>
  <c r="I259" i="1"/>
  <c r="AU242" i="1"/>
  <c r="AM242" i="1"/>
  <c r="AM235" i="1" s="1"/>
  <c r="AN262" i="1"/>
  <c r="BZ241" i="1"/>
  <c r="BZ262" i="1" s="1"/>
  <c r="BM71" i="1"/>
  <c r="BL71" i="1"/>
  <c r="N229" i="1"/>
  <c r="BG259" i="1"/>
  <c r="AK198" i="1"/>
  <c r="AO198" i="1"/>
  <c r="AJ198" i="1"/>
  <c r="AF198" i="1"/>
  <c r="AF201" i="1" s="1"/>
  <c r="AH194" i="1"/>
  <c r="AJ194" i="1" s="1"/>
  <c r="BG190" i="1"/>
  <c r="BG209" i="1" s="1"/>
  <c r="M209" i="1"/>
  <c r="M210" i="1" s="1"/>
  <c r="M125" i="1"/>
  <c r="M124" i="1" s="1"/>
  <c r="BQ188" i="1"/>
  <c r="BP229" i="1"/>
  <c r="AW229" i="1"/>
  <c r="AX188" i="1"/>
  <c r="AX229" i="1" s="1"/>
  <c r="AL192" i="1"/>
  <c r="AL196" i="1" s="1"/>
  <c r="AL201" i="1" s="1"/>
  <c r="AL229" i="1"/>
  <c r="AL209" i="1"/>
  <c r="BG204" i="1"/>
  <c r="BG218" i="1"/>
  <c r="BG356" i="1"/>
  <c r="BI184" i="1"/>
  <c r="BG186" i="1"/>
  <c r="BB355" i="1"/>
  <c r="BF355" i="1"/>
  <c r="AT175" i="1"/>
  <c r="K175" i="1"/>
  <c r="BQ220" i="1"/>
  <c r="BQ219" i="1"/>
  <c r="BI220" i="1"/>
  <c r="BI219" i="1"/>
  <c r="H220" i="1"/>
  <c r="H219" i="1"/>
  <c r="I172" i="1"/>
  <c r="AZ233" i="1"/>
  <c r="BD233" i="1" s="1"/>
  <c r="AY240" i="1"/>
  <c r="L233" i="1"/>
  <c r="P233" i="1" s="1"/>
  <c r="K240" i="1"/>
  <c r="AY288" i="1"/>
  <c r="AY291" i="1" s="1"/>
  <c r="AZ180" i="1"/>
  <c r="BD180" i="1" s="1"/>
  <c r="BD226" i="1"/>
  <c r="AN283" i="1"/>
  <c r="AN293" i="1" s="1"/>
  <c r="AN342" i="1"/>
  <c r="B142" i="1"/>
  <c r="B166" i="1" s="1"/>
  <c r="CH120" i="1"/>
  <c r="CH119" i="1" s="1"/>
  <c r="CD358" i="1"/>
  <c r="AZ358" i="1"/>
  <c r="AZ119" i="1"/>
  <c r="AV119" i="1"/>
  <c r="AY120" i="1"/>
  <c r="AV358" i="1"/>
  <c r="P102" i="1"/>
  <c r="N103" i="1"/>
  <c r="N106" i="1" s="1"/>
  <c r="AM74" i="1"/>
  <c r="AU36" i="1"/>
  <c r="AP36" i="1"/>
  <c r="AL34" i="1"/>
  <c r="AL35" i="1" s="1"/>
  <c r="AL36" i="1"/>
  <c r="AC34" i="1"/>
  <c r="AC35" i="1" s="1"/>
  <c r="AC36" i="1"/>
  <c r="CV31" i="1"/>
  <c r="CU102" i="1"/>
  <c r="AC29" i="1"/>
  <c r="AH29" i="1"/>
  <c r="AH25" i="1"/>
  <c r="AC23" i="1"/>
  <c r="AH24" i="1" s="1"/>
  <c r="BI17" i="1"/>
  <c r="BI20" i="1" s="1"/>
  <c r="H50" i="1"/>
  <c r="H74" i="1" s="1"/>
  <c r="M20" i="1"/>
  <c r="H18" i="1"/>
  <c r="H22" i="1"/>
  <c r="BB13" i="1"/>
  <c r="I8" i="1"/>
  <c r="I335" i="1" s="1"/>
  <c r="CE166" i="2"/>
  <c r="CE193" i="2" s="1"/>
  <c r="CE226" i="2"/>
  <c r="CE256" i="2"/>
  <c r="CE255" i="2"/>
  <c r="CE258" i="2"/>
  <c r="BM61" i="1"/>
  <c r="BM353" i="1"/>
  <c r="BP160" i="2"/>
  <c r="AI205" i="2"/>
  <c r="AI238" i="2"/>
  <c r="AN238" i="2"/>
  <c r="AD238" i="2"/>
  <c r="Y205" i="2"/>
  <c r="AX231" i="2"/>
  <c r="AS159" i="2"/>
  <c r="AS160" i="2" s="1"/>
  <c r="BY222" i="2"/>
  <c r="BT188" i="2"/>
  <c r="BT222" i="2"/>
  <c r="W291" i="1"/>
  <c r="BF242" i="1"/>
  <c r="BF235" i="1" s="1"/>
  <c r="CH193" i="2"/>
  <c r="CG241" i="1"/>
  <c r="BT137" i="1"/>
  <c r="BT231" i="1" s="1"/>
  <c r="CM30" i="2"/>
  <c r="CH12" i="2"/>
  <c r="CE102" i="1"/>
  <c r="BU161" i="2"/>
  <c r="CF39" i="2"/>
  <c r="BD51" i="1"/>
  <c r="BD18" i="1"/>
  <c r="AY218" i="1"/>
  <c r="AZ22" i="1"/>
  <c r="BM142" i="1"/>
  <c r="AD25" i="1"/>
  <c r="AC60" i="1"/>
  <c r="AC61" i="1" s="1"/>
  <c r="K18" i="1"/>
  <c r="K50" i="1"/>
  <c r="AJ13" i="1"/>
  <c r="AY36" i="1"/>
  <c r="AY34" i="1"/>
  <c r="AE39" i="1"/>
  <c r="AE40" i="1" s="1"/>
  <c r="AE41" i="1"/>
  <c r="AE50" i="1"/>
  <c r="CG48" i="1"/>
  <c r="BB137" i="1"/>
  <c r="BD98" i="1"/>
  <c r="BD358" i="1"/>
  <c r="CA199" i="1"/>
  <c r="AG196" i="1"/>
  <c r="AG201" i="1" s="1"/>
  <c r="BM185" i="1"/>
  <c r="BM334" i="1" s="1"/>
  <c r="AH189" i="1"/>
  <c r="AD177" i="2"/>
  <c r="AI243" i="2"/>
  <c r="Y238" i="2"/>
  <c r="BU215" i="2"/>
  <c r="AR265" i="2"/>
  <c r="AM265" i="2"/>
  <c r="BS216" i="2"/>
  <c r="BX216" i="2"/>
  <c r="AN176" i="2"/>
  <c r="AS243" i="2" s="1"/>
  <c r="AS247" i="2"/>
  <c r="AN247" i="2"/>
  <c r="AL247" i="2"/>
  <c r="AL176" i="2"/>
  <c r="AB248" i="2"/>
  <c r="AB176" i="2"/>
  <c r="AT242" i="2"/>
  <c r="AT184" i="2"/>
  <c r="AO184" i="2"/>
  <c r="AO242" i="2"/>
  <c r="R184" i="2"/>
  <c r="R242" i="2"/>
  <c r="M184" i="2"/>
  <c r="M242" i="2"/>
  <c r="AK208" i="2"/>
  <c r="AP241" i="2"/>
  <c r="AK241" i="2"/>
  <c r="BJ163" i="2"/>
  <c r="BN231" i="2"/>
  <c r="BI231" i="2"/>
  <c r="BI159" i="2"/>
  <c r="BI160" i="2" s="1"/>
  <c r="BI228" i="2" s="1"/>
  <c r="CB254" i="2"/>
  <c r="CB257" i="2"/>
  <c r="CB256" i="2"/>
  <c r="BX226" i="2"/>
  <c r="BX166" i="2"/>
  <c r="CC226" i="2"/>
  <c r="BX255" i="2"/>
  <c r="BX256" i="2"/>
  <c r="BX258" i="2"/>
  <c r="BS166" i="2"/>
  <c r="BS255" i="2"/>
  <c r="BS258" i="2"/>
  <c r="BS226" i="2"/>
  <c r="BS254" i="2"/>
  <c r="BS256" i="2"/>
  <c r="BS257" i="2"/>
  <c r="BN254" i="2"/>
  <c r="BN257" i="2"/>
  <c r="BN255" i="2"/>
  <c r="BN258" i="2"/>
  <c r="BN160" i="2"/>
  <c r="BN256" i="2"/>
  <c r="BI226" i="2"/>
  <c r="BI256" i="2"/>
  <c r="BA69" i="2"/>
  <c r="BX64" i="2"/>
  <c r="BX68" i="2" s="1"/>
  <c r="BB60" i="2"/>
  <c r="CL31" i="2"/>
  <c r="BI51" i="2"/>
  <c r="AM24" i="2"/>
  <c r="AR77" i="2"/>
  <c r="AM32" i="2"/>
  <c r="AM29" i="2" s="1"/>
  <c r="AM33" i="2" s="1"/>
  <c r="AL9" i="1" s="1"/>
  <c r="AL329" i="1" s="1"/>
  <c r="BM356" i="1"/>
  <c r="AZ242" i="1"/>
  <c r="AT241" i="1"/>
  <c r="AP241" i="1"/>
  <c r="G246" i="1"/>
  <c r="BI224" i="1"/>
  <c r="BB208" i="1"/>
  <c r="BB206" i="1"/>
  <c r="AO206" i="1"/>
  <c r="AA208" i="1"/>
  <c r="AA206" i="1"/>
  <c r="AF207" i="1" s="1"/>
  <c r="Z191" i="1"/>
  <c r="CA229" i="1"/>
  <c r="CB229" i="1" s="1"/>
  <c r="CA182" i="1"/>
  <c r="BZ203" i="1"/>
  <c r="BZ205" i="1"/>
  <c r="BZ206" i="1" s="1"/>
  <c r="CE207" i="1" s="1"/>
  <c r="BG205" i="1"/>
  <c r="BG203" i="1"/>
  <c r="AO179" i="1"/>
  <c r="BX176" i="1"/>
  <c r="I165" i="1"/>
  <c r="I166" i="1" s="1"/>
  <c r="I245" i="1"/>
  <c r="BC163" i="1"/>
  <c r="BD161" i="1"/>
  <c r="BD163" i="1" s="1"/>
  <c r="AJ289" i="1"/>
  <c r="BO233" i="1"/>
  <c r="BS233" i="1" s="1"/>
  <c r="BN240" i="1"/>
  <c r="S155" i="1"/>
  <c r="S231" i="1"/>
  <c r="O231" i="1"/>
  <c r="O155" i="1"/>
  <c r="O165" i="1" s="1"/>
  <c r="BA283" i="1"/>
  <c r="BA342" i="1"/>
  <c r="U140" i="1"/>
  <c r="T142" i="1"/>
  <c r="T283" i="1" s="1"/>
  <c r="T293" i="1" s="1"/>
  <c r="AZ142" i="1"/>
  <c r="AZ231" i="1"/>
  <c r="H231" i="1"/>
  <c r="H142" i="1"/>
  <c r="H283" i="1" s="1"/>
  <c r="BU119" i="1"/>
  <c r="BU358" i="1"/>
  <c r="BX120" i="1"/>
  <c r="BC119" i="1"/>
  <c r="BC358" i="1"/>
  <c r="AG119" i="1"/>
  <c r="BN118" i="1"/>
  <c r="BL119" i="1"/>
  <c r="Y107" i="1"/>
  <c r="Q106" i="1"/>
  <c r="U106" i="1" s="1"/>
  <c r="U103" i="1"/>
  <c r="AK77" i="1"/>
  <c r="AL194" i="2"/>
  <c r="AK75" i="1"/>
  <c r="AK180" i="2"/>
  <c r="AK176" i="2" s="1"/>
  <c r="AJ72" i="1"/>
  <c r="Q247" i="2"/>
  <c r="Q176" i="2"/>
  <c r="Q243" i="2" s="1"/>
  <c r="V247" i="2"/>
  <c r="BG343" i="1"/>
  <c r="BG74" i="1"/>
  <c r="BH161" i="2"/>
  <c r="BG351" i="1"/>
  <c r="BG51" i="1"/>
  <c r="BG52" i="1" s="1"/>
  <c r="W50" i="1"/>
  <c r="W41" i="1"/>
  <c r="R39" i="1"/>
  <c r="R40" i="1" s="1"/>
  <c r="R41" i="1"/>
  <c r="AU23" i="1"/>
  <c r="AX22" i="1"/>
  <c r="AY22" i="1" s="1"/>
  <c r="AY23" i="1" s="1"/>
  <c r="AX50" i="1"/>
  <c r="AX51" i="1" s="1"/>
  <c r="AX18" i="1"/>
  <c r="AN18" i="1"/>
  <c r="AN20" i="1"/>
  <c r="AN50" i="1"/>
  <c r="AI20" i="1"/>
  <c r="AI22" i="1"/>
  <c r="AD50" i="1"/>
  <c r="AD18" i="1"/>
  <c r="AD20" i="1"/>
  <c r="V50" i="1"/>
  <c r="V60" i="1" s="1"/>
  <c r="V61" i="1" s="1"/>
  <c r="V22" i="1"/>
  <c r="V18" i="1"/>
  <c r="BB62" i="1"/>
  <c r="BB63" i="1" s="1"/>
  <c r="BB249" i="1"/>
  <c r="V14" i="1"/>
  <c r="V215" i="1"/>
  <c r="V225" i="1"/>
  <c r="Z11" i="1"/>
  <c r="Z215" i="1" s="1"/>
  <c r="V12" i="1"/>
  <c r="AA14" i="1"/>
  <c r="V224" i="1"/>
  <c r="Q12" i="1"/>
  <c r="Q216" i="1"/>
  <c r="Q256" i="1" s="1"/>
  <c r="Q259" i="1" s="1"/>
  <c r="U11" i="1"/>
  <c r="U17" i="1" s="1"/>
  <c r="Q17" i="1"/>
  <c r="Q223" i="1"/>
  <c r="K216" i="1"/>
  <c r="K256" i="1" s="1"/>
  <c r="K215" i="1"/>
  <c r="K12" i="1"/>
  <c r="B12" i="1"/>
  <c r="B17" i="1"/>
  <c r="F11" i="1"/>
  <c r="CP189" i="2"/>
  <c r="CU189" i="2" s="1"/>
  <c r="CZ189" i="2" s="1"/>
  <c r="DE189" i="2" s="1"/>
  <c r="CK215" i="2"/>
  <c r="CF55" i="2"/>
  <c r="CI55" i="2" s="1"/>
  <c r="CN53" i="2" s="1"/>
  <c r="BX215" i="2"/>
  <c r="CC215" i="2"/>
  <c r="BL215" i="2"/>
  <c r="BQ215" i="2"/>
  <c r="AG176" i="2"/>
  <c r="AG248" i="2"/>
  <c r="BL160" i="2"/>
  <c r="BL228" i="2" s="1"/>
  <c r="BL227" i="2"/>
  <c r="BE156" i="2"/>
  <c r="BJ224" i="2" s="1"/>
  <c r="BB158" i="2"/>
  <c r="BB256" i="2" s="1"/>
  <c r="BB190" i="2"/>
  <c r="BG224" i="2"/>
  <c r="AZ222" i="2"/>
  <c r="AZ188" i="2"/>
  <c r="BE222" i="2"/>
  <c r="BM51" i="2"/>
  <c r="BR51" i="2"/>
  <c r="AG233" i="1"/>
  <c r="CY191" i="2"/>
  <c r="DD191" i="2" s="1"/>
  <c r="BT74" i="1"/>
  <c r="CL60" i="2"/>
  <c r="BD351" i="1"/>
  <c r="CE115" i="1"/>
  <c r="BT242" i="1"/>
  <c r="BT357" i="1" s="1"/>
  <c r="CH258" i="2"/>
  <c r="CH257" i="2"/>
  <c r="BX142" i="1"/>
  <c r="BP137" i="1"/>
  <c r="CH14" i="1"/>
  <c r="CG7" i="1"/>
  <c r="CG214" i="1" s="1"/>
  <c r="CL214" i="1" s="1"/>
  <c r="CQ214" i="1" s="1"/>
  <c r="CV214" i="1" s="1"/>
  <c r="DA214" i="1" s="1"/>
  <c r="DF214" i="1" s="1"/>
  <c r="CH15" i="2"/>
  <c r="AK86" i="1"/>
  <c r="AK94" i="1" s="1"/>
  <c r="CO123" i="1"/>
  <c r="CO116" i="1" s="1"/>
  <c r="CG15" i="2"/>
  <c r="CF7" i="1"/>
  <c r="BT60" i="1"/>
  <c r="CQ188" i="2"/>
  <c r="CV188" i="2" s="1"/>
  <c r="DA188" i="2" s="1"/>
  <c r="DF188" i="2" s="1"/>
  <c r="CF290" i="2"/>
  <c r="CE7" i="1"/>
  <c r="CE217" i="1" s="1"/>
  <c r="CK65" i="2"/>
  <c r="CB286" i="1"/>
  <c r="CC222" i="1"/>
  <c r="CC258" i="1" s="1"/>
  <c r="O209" i="1"/>
  <c r="BP227" i="2"/>
  <c r="AG74" i="1"/>
  <c r="AZ50" i="1"/>
  <c r="CC225" i="1"/>
  <c r="K22" i="1"/>
  <c r="BD136" i="1"/>
  <c r="T190" i="1"/>
  <c r="T125" i="1" s="1"/>
  <c r="T124" i="1" s="1"/>
  <c r="BS220" i="1"/>
  <c r="AT177" i="2"/>
  <c r="Z176" i="2"/>
  <c r="Z177" i="2" s="1"/>
  <c r="Z210" i="2" s="1"/>
  <c r="AU273" i="2"/>
  <c r="CB226" i="2"/>
  <c r="AC264" i="2"/>
  <c r="AH264" i="2"/>
  <c r="BG193" i="2"/>
  <c r="BW217" i="2"/>
  <c r="CB291" i="2" s="1"/>
  <c r="CB217" i="2"/>
  <c r="BI217" i="2"/>
  <c r="BA217" i="2"/>
  <c r="AV217" i="2"/>
  <c r="AW217" i="2"/>
  <c r="AR217" i="2"/>
  <c r="CB216" i="2"/>
  <c r="BH215" i="2"/>
  <c r="BM215" i="2"/>
  <c r="BD215" i="2"/>
  <c r="BI215" i="2"/>
  <c r="AV215" i="2"/>
  <c r="BA215" i="2"/>
  <c r="AR215" i="2"/>
  <c r="AW215" i="2"/>
  <c r="AN215" i="2"/>
  <c r="AS215" i="2"/>
  <c r="AR176" i="2"/>
  <c r="AR248" i="2"/>
  <c r="AE176" i="2"/>
  <c r="AE247" i="2"/>
  <c r="AC247" i="2"/>
  <c r="AC176" i="2"/>
  <c r="N247" i="2"/>
  <c r="S247" i="2"/>
  <c r="N176" i="2"/>
  <c r="BU159" i="2"/>
  <c r="BU231" i="2"/>
  <c r="BQ159" i="2"/>
  <c r="BQ231" i="2"/>
  <c r="BT163" i="2"/>
  <c r="BM231" i="2"/>
  <c r="BO163" i="2"/>
  <c r="BM159" i="2"/>
  <c r="AP159" i="2"/>
  <c r="AU231" i="2"/>
  <c r="AP231" i="2"/>
  <c r="AM231" i="2"/>
  <c r="AR231" i="2"/>
  <c r="AI160" i="2"/>
  <c r="BL69" i="2"/>
  <c r="BD60" i="2"/>
  <c r="BI60" i="2"/>
  <c r="BS60" i="2"/>
  <c r="BB51" i="2"/>
  <c r="AP24" i="2"/>
  <c r="CC16" i="2"/>
  <c r="CC12" i="2"/>
  <c r="BX16" i="2"/>
  <c r="BX12" i="2"/>
  <c r="BX32" i="2"/>
  <c r="BX29" i="2" s="1"/>
  <c r="BX33" i="2" s="1"/>
  <c r="BW9" i="1" s="1"/>
  <c r="BW329" i="1" s="1"/>
  <c r="CC65" i="2"/>
  <c r="BR7" i="1"/>
  <c r="BR213" i="1" s="1"/>
  <c r="BR257" i="1" s="1"/>
  <c r="BR259" i="1" s="1"/>
  <c r="BS14" i="2"/>
  <c r="BS16" i="2"/>
  <c r="BS32" i="2"/>
  <c r="BS29" i="2" s="1"/>
  <c r="BS33" i="2" s="1"/>
  <c r="BX40" i="2"/>
  <c r="BY40" i="2" s="1"/>
  <c r="BS12" i="2"/>
  <c r="BS15" i="2"/>
  <c r="BN13" i="2"/>
  <c r="BN16" i="2"/>
  <c r="BN15" i="2"/>
  <c r="BS40" i="2"/>
  <c r="BS39" i="2" s="1"/>
  <c r="BS42" i="2" s="1"/>
  <c r="BN12" i="2"/>
  <c r="BN32" i="2"/>
  <c r="BN29" i="2" s="1"/>
  <c r="BN33" i="2" s="1"/>
  <c r="BI15" i="2"/>
  <c r="BI12" i="2"/>
  <c r="BI16" i="2"/>
  <c r="BN40" i="2"/>
  <c r="BN39" i="2" s="1"/>
  <c r="BN42" i="2" s="1"/>
  <c r="BD12" i="2"/>
  <c r="BD16" i="2"/>
  <c r="BD193" i="2"/>
  <c r="AZ12" i="2"/>
  <c r="AZ16" i="2"/>
  <c r="AV12" i="2"/>
  <c r="AV16" i="2"/>
  <c r="AR12" i="2"/>
  <c r="AR16" i="2"/>
  <c r="AW65" i="2"/>
  <c r="AZ65" i="2" s="1"/>
  <c r="AN12" i="2"/>
  <c r="AN16" i="2"/>
  <c r="AS48" i="2"/>
  <c r="AS47" i="2" s="1"/>
  <c r="AS50" i="2" s="1"/>
  <c r="AX51" i="2" s="1"/>
  <c r="AJ12" i="2"/>
  <c r="AJ16" i="2"/>
  <c r="BU334" i="1"/>
  <c r="O259" i="1"/>
  <c r="AM259" i="1"/>
  <c r="BA231" i="1"/>
  <c r="AX259" i="1"/>
  <c r="BH206" i="1"/>
  <c r="BH208" i="1"/>
  <c r="BI198" i="1"/>
  <c r="BE198" i="1"/>
  <c r="AU198" i="1"/>
  <c r="AY198" i="1"/>
  <c r="AG125" i="1"/>
  <c r="AG124" i="1" s="1"/>
  <c r="AH190" i="1"/>
  <c r="S189" i="1"/>
  <c r="T189" i="1" s="1"/>
  <c r="R192" i="1"/>
  <c r="BP186" i="1"/>
  <c r="BP356" i="1"/>
  <c r="BQ184" i="1"/>
  <c r="BQ356" i="1" s="1"/>
  <c r="AC205" i="1"/>
  <c r="AC210" i="1" s="1"/>
  <c r="AC204" i="1"/>
  <c r="AC218" i="1"/>
  <c r="AD184" i="1"/>
  <c r="R205" i="1"/>
  <c r="S184" i="1"/>
  <c r="T184" i="1" s="1"/>
  <c r="CC175" i="1"/>
  <c r="AY220" i="1"/>
  <c r="AY219" i="1"/>
  <c r="AH219" i="1"/>
  <c r="AH220" i="1"/>
  <c r="AJ172" i="1"/>
  <c r="AH60" i="1"/>
  <c r="AH61" i="1" s="1"/>
  <c r="BB163" i="1"/>
  <c r="E163" i="1"/>
  <c r="E165" i="1" s="1"/>
  <c r="E166" i="1" s="1"/>
  <c r="F158" i="1"/>
  <c r="F163" i="1" s="1"/>
  <c r="AU224" i="1"/>
  <c r="AY224" i="1"/>
  <c r="AT287" i="1"/>
  <c r="AU179" i="1"/>
  <c r="AY179" i="1" s="1"/>
  <c r="AF224" i="1"/>
  <c r="AE287" i="1"/>
  <c r="AF179" i="1"/>
  <c r="L179" i="1"/>
  <c r="L224" i="1"/>
  <c r="BO222" i="1"/>
  <c r="BO258" i="1" s="1"/>
  <c r="BS222" i="1"/>
  <c r="BS258" i="1" s="1"/>
  <c r="BN286" i="1"/>
  <c r="BN291" i="1" s="1"/>
  <c r="BO178" i="1"/>
  <c r="AU178" i="1"/>
  <c r="AU222" i="1"/>
  <c r="AU258" i="1" s="1"/>
  <c r="AU259" i="1" s="1"/>
  <c r="AY222" i="1"/>
  <c r="AY258" i="1" s="1"/>
  <c r="AY259" i="1" s="1"/>
  <c r="AY223" i="1"/>
  <c r="AT286" i="1"/>
  <c r="AT150" i="1"/>
  <c r="L178" i="1"/>
  <c r="P178" i="1" s="1"/>
  <c r="K286" i="1"/>
  <c r="CD146" i="1"/>
  <c r="CD239" i="1" s="1"/>
  <c r="CD241" i="1" s="1"/>
  <c r="CE262" i="1" s="1"/>
  <c r="CC239" i="1"/>
  <c r="BN239" i="1"/>
  <c r="BN150" i="1"/>
  <c r="BN155" i="1" s="1"/>
  <c r="AY150" i="1"/>
  <c r="AY155" i="1" s="1"/>
  <c r="AY239" i="1"/>
  <c r="K150" i="1"/>
  <c r="K239" i="1"/>
  <c r="K241" i="1" s="1"/>
  <c r="BJ189" i="1"/>
  <c r="BM189" i="1" s="1"/>
  <c r="BI238" i="1"/>
  <c r="BI241" i="1" s="1"/>
  <c r="BJ262" i="1" s="1"/>
  <c r="AO150" i="1"/>
  <c r="AO155" i="1" s="1"/>
  <c r="AO238" i="1"/>
  <c r="V150" i="1"/>
  <c r="V238" i="1"/>
  <c r="V241" i="1" s="1"/>
  <c r="G233" i="1"/>
  <c r="K233" i="1" s="1"/>
  <c r="F150" i="1"/>
  <c r="F155" i="1" s="1"/>
  <c r="AC293" i="1"/>
  <c r="AL283" i="1"/>
  <c r="AL293" i="1" s="1"/>
  <c r="AL342" i="1"/>
  <c r="AZ177" i="1"/>
  <c r="BD217" i="1"/>
  <c r="BY176" i="1"/>
  <c r="BY216" i="1"/>
  <c r="BY256" i="1" s="1"/>
  <c r="BE216" i="1"/>
  <c r="BE256" i="1" s="1"/>
  <c r="BE259" i="1" s="1"/>
  <c r="BE176" i="1"/>
  <c r="V213" i="1"/>
  <c r="V257" i="1" s="1"/>
  <c r="V175" i="1"/>
  <c r="Z175" i="1" s="1"/>
  <c r="Z214" i="1"/>
  <c r="AO137" i="1"/>
  <c r="U237" i="1"/>
  <c r="U137" i="1"/>
  <c r="BK358" i="1"/>
  <c r="BN120" i="1"/>
  <c r="BK119" i="1"/>
  <c r="Z115" i="1"/>
  <c r="BZ115" i="1"/>
  <c r="BP115" i="1"/>
  <c r="BJ115" i="1"/>
  <c r="BU102" i="1"/>
  <c r="G103" i="1"/>
  <c r="K102" i="1"/>
  <c r="BC250" i="1"/>
  <c r="BC344" i="1"/>
  <c r="BA74" i="1"/>
  <c r="BB161" i="2"/>
  <c r="BA51" i="1"/>
  <c r="BA60" i="1"/>
  <c r="BA343" i="1"/>
  <c r="BA345" i="1" s="1"/>
  <c r="BA351" i="1"/>
  <c r="BF50" i="1"/>
  <c r="BF102" i="1"/>
  <c r="BF103" i="1" s="1"/>
  <c r="BF106" i="1" s="1"/>
  <c r="BH48" i="1"/>
  <c r="BH50" i="1" s="1"/>
  <c r="BH51" i="1" s="1"/>
  <c r="BM45" i="1"/>
  <c r="BH45" i="1"/>
  <c r="CC46" i="1"/>
  <c r="BX46" i="1"/>
  <c r="AT41" i="1"/>
  <c r="AF41" i="1"/>
  <c r="AF50" i="1"/>
  <c r="AF54" i="1" s="1"/>
  <c r="AJ38" i="1"/>
  <c r="AO41" i="1" s="1"/>
  <c r="R36" i="1"/>
  <c r="R34" i="1"/>
  <c r="R35" i="1" s="1"/>
  <c r="E36" i="1"/>
  <c r="E34" i="1"/>
  <c r="E35" i="1" s="1"/>
  <c r="BR31" i="1"/>
  <c r="BP33" i="1"/>
  <c r="BC31" i="1"/>
  <c r="BC33" i="1" s="1"/>
  <c r="BB33" i="1"/>
  <c r="BB36" i="1" s="1"/>
  <c r="BE23" i="1"/>
  <c r="BH22" i="1"/>
  <c r="BH23" i="1" s="1"/>
  <c r="BH18" i="1"/>
  <c r="BH20" i="1"/>
  <c r="BC18" i="1"/>
  <c r="BC50" i="1"/>
  <c r="G14" i="1"/>
  <c r="AO224" i="1"/>
  <c r="AT14" i="1"/>
  <c r="AO223" i="1"/>
  <c r="BD44" i="1"/>
  <c r="BZ196" i="1"/>
  <c r="BD291" i="1"/>
  <c r="AV227" i="2"/>
  <c r="N265" i="2"/>
  <c r="AH263" i="2"/>
  <c r="CC217" i="2"/>
  <c r="BY217" i="2"/>
  <c r="BU217" i="2"/>
  <c r="BZ291" i="2" s="1"/>
  <c r="CC216" i="2"/>
  <c r="CH290" i="2" s="1"/>
  <c r="BU216" i="2"/>
  <c r="BQ216" i="2"/>
  <c r="CA290" i="2" s="1"/>
  <c r="O251" i="2"/>
  <c r="I210" i="2"/>
  <c r="Z238" i="2"/>
  <c r="K104" i="2"/>
  <c r="J76" i="2"/>
  <c r="J80" i="2" s="1"/>
  <c r="BN60" i="2"/>
  <c r="AU54" i="2"/>
  <c r="CE47" i="2"/>
  <c r="CJ45" i="2" s="1"/>
  <c r="BV39" i="2"/>
  <c r="BV42" i="2" s="1"/>
  <c r="BV43" i="2" s="1"/>
  <c r="AR78" i="2"/>
  <c r="AN78" i="2"/>
  <c r="V19" i="2"/>
  <c r="U332" i="1" s="1"/>
  <c r="BC12" i="2"/>
  <c r="AY12" i="2"/>
  <c r="AU12" i="2"/>
  <c r="CE13" i="2"/>
  <c r="CJ65" i="2"/>
  <c r="CJ31" i="2"/>
  <c r="CJ28" i="2" s="1"/>
  <c r="BY291" i="1"/>
  <c r="BA291" i="1"/>
  <c r="BA293" i="1" s="1"/>
  <c r="AW291" i="1"/>
  <c r="S291" i="1"/>
  <c r="BV241" i="1"/>
  <c r="BB241" i="1"/>
  <c r="AX241" i="1"/>
  <c r="AX242" i="1" s="1"/>
  <c r="N241" i="1"/>
  <c r="J241" i="1"/>
  <c r="BG241" i="1"/>
  <c r="AQ241" i="1"/>
  <c r="L242" i="1"/>
  <c r="L235" i="1" s="1"/>
  <c r="AA210" i="1"/>
  <c r="AQ192" i="1"/>
  <c r="BL355" i="1"/>
  <c r="R166" i="1"/>
  <c r="S142" i="1"/>
  <c r="S283" i="1" s="1"/>
  <c r="V216" i="1"/>
  <c r="V256" i="1" s="1"/>
  <c r="CC120" i="1"/>
  <c r="CC358" i="1" s="1"/>
  <c r="CV48" i="1"/>
  <c r="R45" i="1"/>
  <c r="AC40" i="1"/>
  <c r="AH36" i="1"/>
  <c r="CQ31" i="1"/>
  <c r="BE102" i="1"/>
  <c r="AM22" i="1"/>
  <c r="CF188" i="1"/>
  <c r="CG188" i="1" s="1"/>
  <c r="CG194" i="1"/>
  <c r="CI190" i="2"/>
  <c r="CN190" i="2" s="1"/>
  <c r="CH76" i="1"/>
  <c r="CG191" i="1"/>
  <c r="BO201" i="1"/>
  <c r="AH35" i="1"/>
  <c r="BX155" i="1"/>
  <c r="CD223" i="2"/>
  <c r="N263" i="2"/>
  <c r="BM217" i="2"/>
  <c r="BI216" i="2"/>
  <c r="BA216" i="2"/>
  <c r="AS216" i="2"/>
  <c r="AO216" i="2"/>
  <c r="AO214" i="2"/>
  <c r="AF247" i="2"/>
  <c r="P248" i="2"/>
  <c r="AA171" i="2"/>
  <c r="AP175" i="2"/>
  <c r="AH238" i="2"/>
  <c r="N238" i="2"/>
  <c r="BS160" i="2"/>
  <c r="BA231" i="2"/>
  <c r="BR166" i="2"/>
  <c r="N144" i="2"/>
  <c r="N148" i="2" s="1"/>
  <c r="AK77" i="2"/>
  <c r="AQ76" i="2"/>
  <c r="AQ80" i="2" s="1"/>
  <c r="BX60" i="2"/>
  <c r="BG60" i="2"/>
  <c r="AX60" i="2"/>
  <c r="CN5" i="2"/>
  <c r="BC43" i="2"/>
  <c r="AF208" i="2"/>
  <c r="Q147" i="2"/>
  <c r="AF206" i="2"/>
  <c r="AF263" i="2" s="1"/>
  <c r="L206" i="2"/>
  <c r="BV226" i="1"/>
  <c r="BQ17" i="1"/>
  <c r="BQ50" i="1" s="1"/>
  <c r="BG345" i="1"/>
  <c r="BL241" i="1"/>
  <c r="BH241" i="1"/>
  <c r="BH242" i="1" s="1"/>
  <c r="AL241" i="1"/>
  <c r="AH241" i="1"/>
  <c r="AG241" i="1"/>
  <c r="AC241" i="1"/>
  <c r="Y241" i="1"/>
  <c r="BU241" i="1"/>
  <c r="BQ241" i="1"/>
  <c r="BM241" i="1"/>
  <c r="BM242" i="1" s="1"/>
  <c r="W241" i="1"/>
  <c r="AP242" i="1"/>
  <c r="AP235" i="1" s="1"/>
  <c r="AQ233" i="1" s="1"/>
  <c r="J259" i="1"/>
  <c r="AI259" i="1"/>
  <c r="Y259" i="1"/>
  <c r="AA259" i="1"/>
  <c r="M259" i="1"/>
  <c r="BY210" i="1"/>
  <c r="BO210" i="1"/>
  <c r="Q192" i="1"/>
  <c r="Q196" i="1" s="1"/>
  <c r="BS189" i="1"/>
  <c r="BS192" i="1" s="1"/>
  <c r="BS196" i="1" s="1"/>
  <c r="BS202" i="1" s="1"/>
  <c r="BT202" i="1" s="1"/>
  <c r="R186" i="1"/>
  <c r="R196" i="1" s="1"/>
  <c r="R201" i="1" s="1"/>
  <c r="BW355" i="1"/>
  <c r="BC355" i="1"/>
  <c r="AX355" i="1"/>
  <c r="U178" i="1"/>
  <c r="BN177" i="1"/>
  <c r="BD176" i="1"/>
  <c r="AY175" i="1"/>
  <c r="L163" i="1"/>
  <c r="BR131" i="1"/>
  <c r="D163" i="1"/>
  <c r="D165" i="1" s="1"/>
  <c r="D166" i="1" s="1"/>
  <c r="AY137" i="1"/>
  <c r="AY142" i="1" s="1"/>
  <c r="U217" i="1"/>
  <c r="U214" i="1"/>
  <c r="BD124" i="1"/>
  <c r="T119" i="1"/>
  <c r="CC118" i="1"/>
  <c r="BS118" i="1"/>
  <c r="BS97" i="1" s="1"/>
  <c r="BS229" i="1" s="1"/>
  <c r="CJ102" i="1"/>
  <c r="CI48" i="1"/>
  <c r="CL48" i="1" s="1"/>
  <c r="Q45" i="1"/>
  <c r="AN35" i="1"/>
  <c r="BM29" i="1"/>
  <c r="BB29" i="1"/>
  <c r="AB29" i="1"/>
  <c r="X13" i="1"/>
  <c r="G13" i="1"/>
  <c r="CE125" i="1"/>
  <c r="CG190" i="1"/>
  <c r="CG125" i="1" s="1"/>
  <c r="CG124" i="1" s="1"/>
  <c r="CI188" i="2"/>
  <c r="CN188" i="2" s="1"/>
  <c r="CS188" i="2" s="1"/>
  <c r="CX188" i="2" s="1"/>
  <c r="DC188" i="2" s="1"/>
  <c r="DH188" i="2" s="1"/>
  <c r="CB184" i="1"/>
  <c r="CB356" i="1" s="1"/>
  <c r="CD216" i="1"/>
  <c r="CD256" i="1" s="1"/>
  <c r="AR284" i="2"/>
  <c r="Z263" i="2"/>
  <c r="R263" i="2"/>
  <c r="BQ217" i="2"/>
  <c r="BM216" i="2"/>
  <c r="BW290" i="2" s="1"/>
  <c r="O247" i="2"/>
  <c r="R247" i="2"/>
  <c r="R238" i="2"/>
  <c r="AJ78" i="2"/>
  <c r="B110" i="2"/>
  <c r="S75" i="2" s="1"/>
  <c r="H82" i="2"/>
  <c r="K82" i="2"/>
  <c r="AI76" i="2"/>
  <c r="AI80" i="2" s="1"/>
  <c r="BE55" i="2"/>
  <c r="BE59" i="2" s="1"/>
  <c r="BN51" i="2"/>
  <c r="AU48" i="2"/>
  <c r="CL43" i="2"/>
  <c r="BR39" i="2"/>
  <c r="BR42" i="2" s="1"/>
  <c r="BR43" i="2" s="1"/>
  <c r="AA19" i="2"/>
  <c r="BU44" i="1"/>
  <c r="AZ291" i="1"/>
  <c r="AV291" i="1"/>
  <c r="N291" i="1"/>
  <c r="N293" i="1" s="1"/>
  <c r="J291" i="1"/>
  <c r="J293" i="1" s="1"/>
  <c r="I291" i="1"/>
  <c r="I293" i="1" s="1"/>
  <c r="R259" i="1"/>
  <c r="X241" i="1"/>
  <c r="BW241" i="1"/>
  <c r="J191" i="1"/>
  <c r="AO196" i="1"/>
  <c r="AA196" i="1"/>
  <c r="AA201" i="1" s="1"/>
  <c r="BX181" i="1"/>
  <c r="Z179" i="1"/>
  <c r="K179" i="1"/>
  <c r="AJ178" i="1"/>
  <c r="BS177" i="1"/>
  <c r="AY177" i="1"/>
  <c r="AT177" i="1"/>
  <c r="K177" i="1"/>
  <c r="AV355" i="1"/>
  <c r="AT176" i="1"/>
  <c r="C163" i="1"/>
  <c r="C165" i="1" s="1"/>
  <c r="BX241" i="1"/>
  <c r="BY262" i="1" s="1"/>
  <c r="U221" i="1"/>
  <c r="BY131" i="1"/>
  <c r="BY137" i="1" s="1"/>
  <c r="M142" i="1"/>
  <c r="M283" i="1" s="1"/>
  <c r="AM142" i="1"/>
  <c r="AY237" i="1"/>
  <c r="K237" i="1"/>
  <c r="U115" i="1"/>
  <c r="BY119" i="1"/>
  <c r="P119" i="1"/>
  <c r="DF48" i="1"/>
  <c r="T40" i="1"/>
  <c r="T35" i="1"/>
  <c r="AL29" i="1"/>
  <c r="CX102" i="1"/>
  <c r="AN22" i="1"/>
  <c r="CG189" i="1"/>
  <c r="CL157" i="2"/>
  <c r="CL225" i="2" s="1"/>
  <c r="BY71" i="2"/>
  <c r="CQ59" i="2"/>
  <c r="CQ60" i="2" s="1"/>
  <c r="CQ64" i="2"/>
  <c r="CX64" i="2"/>
  <c r="CP68" i="2"/>
  <c r="CS68" i="2"/>
  <c r="CS69" i="2" s="1"/>
  <c r="BP199" i="1"/>
  <c r="BQ198" i="1" s="1"/>
  <c r="P163" i="1"/>
  <c r="P245" i="1" s="1"/>
  <c r="BP242" i="1"/>
  <c r="BQ71" i="1"/>
  <c r="Z245" i="1"/>
  <c r="Z103" i="1"/>
  <c r="P106" i="1"/>
  <c r="AO115" i="1"/>
  <c r="CQ123" i="1"/>
  <c r="CQ116" i="1" s="1"/>
  <c r="BD190" i="1"/>
  <c r="AO124" i="1"/>
  <c r="BU115" i="1"/>
  <c r="BK115" i="1"/>
  <c r="AN115" i="1"/>
  <c r="AI115" i="1"/>
  <c r="AD115" i="1"/>
  <c r="Y115" i="1"/>
  <c r="T115" i="1"/>
  <c r="O115" i="1"/>
  <c r="CS344" i="1"/>
  <c r="CB84" i="1"/>
  <c r="BH190" i="1"/>
  <c r="BH124" i="1"/>
  <c r="Y109" i="1"/>
  <c r="Y110" i="1"/>
  <c r="AW115" i="1"/>
  <c r="CB116" i="1"/>
  <c r="CB115" i="1" s="1"/>
  <c r="CC115" i="1" s="1"/>
  <c r="G115" i="1"/>
  <c r="V106" i="1"/>
  <c r="Z106" i="1" s="1"/>
  <c r="BS108" i="1"/>
  <c r="BB55" i="1"/>
  <c r="BD119" i="1"/>
  <c r="P103" i="1"/>
  <c r="AD106" i="1"/>
  <c r="BC192" i="1"/>
  <c r="BW125" i="1"/>
  <c r="BX125" i="1" s="1"/>
  <c r="BX124" i="1" s="1"/>
  <c r="CD115" i="1"/>
  <c r="CK152" i="2"/>
  <c r="AU71" i="2"/>
  <c r="CL156" i="2"/>
  <c r="CL224" i="2" s="1"/>
  <c r="CQ7" i="2"/>
  <c r="CQ156" i="2" s="1"/>
  <c r="CO41" i="2"/>
  <c r="CO5" i="2" s="1"/>
  <c r="CO154" i="2" s="1"/>
  <c r="CS42" i="2"/>
  <c r="CS43" i="2" s="1"/>
  <c r="CM37" i="2"/>
  <c r="CP67" i="2"/>
  <c r="CP8" i="2" s="1"/>
  <c r="CP157" i="2" s="1"/>
  <c r="CS190" i="2"/>
  <c r="CX190" i="2" s="1"/>
  <c r="DC190" i="2" s="1"/>
  <c r="DH190" i="2" s="1"/>
  <c r="CL123" i="1"/>
  <c r="CL116" i="1" s="1"/>
  <c r="CK160" i="1"/>
  <c r="BJ71" i="2"/>
  <c r="BO71" i="2"/>
  <c r="AZ71" i="2"/>
  <c r="CP190" i="2"/>
  <c r="CU190" i="2" s="1"/>
  <c r="CZ190" i="2" s="1"/>
  <c r="DE190" i="2" s="1"/>
  <c r="CQ189" i="2"/>
  <c r="CV189" i="2" s="1"/>
  <c r="DA189" i="2" s="1"/>
  <c r="CS41" i="2"/>
  <c r="CS5" i="2" s="1"/>
  <c r="CS154" i="2" s="1"/>
  <c r="CX38" i="2"/>
  <c r="DC38" i="2" s="1"/>
  <c r="CZ38" i="2" s="1"/>
  <c r="CO42" i="2"/>
  <c r="CO43" i="2" s="1"/>
  <c r="CP38" i="2"/>
  <c r="CO344" i="1"/>
  <c r="CT344" i="1"/>
  <c r="CO47" i="2"/>
  <c r="CO50" i="2" s="1"/>
  <c r="CO51" i="2" s="1"/>
  <c r="CQ47" i="2"/>
  <c r="CS50" i="2"/>
  <c r="CS51" i="2" s="1"/>
  <c r="CM49" i="2"/>
  <c r="CQ84" i="1"/>
  <c r="CF114" i="1"/>
  <c r="BQ142" i="1"/>
  <c r="BQ342" i="1" s="1"/>
  <c r="BQ231" i="1"/>
  <c r="BT199" i="1"/>
  <c r="BU198" i="1" s="1"/>
  <c r="BT142" i="1"/>
  <c r="CB198" i="1"/>
  <c r="BQ199" i="1"/>
  <c r="BR198" i="1" s="1"/>
  <c r="CA237" i="1"/>
  <c r="K163" i="1"/>
  <c r="BZ237" i="1"/>
  <c r="CK240" i="1"/>
  <c r="CM132" i="1"/>
  <c r="CN132" i="1"/>
  <c r="CO132" i="1" s="1"/>
  <c r="CP132" i="1" s="1"/>
  <c r="CQ132" i="1" s="1"/>
  <c r="CR132" i="1" s="1"/>
  <c r="CL41" i="2"/>
  <c r="CL5" i="2" s="1"/>
  <c r="CM5" i="2" s="1"/>
  <c r="CO67" i="2"/>
  <c r="CO8" i="2" s="1"/>
  <c r="CO157" i="2" s="1"/>
  <c r="CO68" i="2"/>
  <c r="CM50" i="2"/>
  <c r="CL33" i="2"/>
  <c r="CX47" i="2"/>
  <c r="CM42" i="2"/>
  <c r="CM43" i="2" s="1"/>
  <c r="CM36" i="2"/>
  <c r="CM41" i="2"/>
  <c r="CJ225" i="2"/>
  <c r="CJ222" i="2"/>
  <c r="CJ152" i="2"/>
  <c r="CO190" i="2"/>
  <c r="CT190" i="2" s="1"/>
  <c r="CY190" i="2" s="1"/>
  <c r="DD190" i="2" s="1"/>
  <c r="CO189" i="2"/>
  <c r="CT189" i="2" s="1"/>
  <c r="CY189" i="2" s="1"/>
  <c r="CN154" i="2"/>
  <c r="CN222" i="2" s="1"/>
  <c r="CJ290" i="2"/>
  <c r="CL239" i="1"/>
  <c r="CM146" i="1"/>
  <c r="CP188" i="2"/>
  <c r="CF59" i="2"/>
  <c r="BZ136" i="1"/>
  <c r="CK239" i="1"/>
  <c r="CP59" i="2"/>
  <c r="CP60" i="2" s="1"/>
  <c r="CP58" i="2"/>
  <c r="CP7" i="2" s="1"/>
  <c r="AJ218" i="1"/>
  <c r="BE162" i="1"/>
  <c r="CM6" i="2"/>
  <c r="CR304" i="2" s="1"/>
  <c r="CR48" i="2" s="1"/>
  <c r="CO7" i="2"/>
  <c r="CJ9" i="2"/>
  <c r="CO29" i="2" s="1"/>
  <c r="BT108" i="1"/>
  <c r="CL155" i="2"/>
  <c r="CQ330" i="1"/>
  <c r="CT188" i="2"/>
  <c r="CK37" i="2"/>
  <c r="CF42" i="2"/>
  <c r="CP50" i="2"/>
  <c r="CK9" i="2"/>
  <c r="CK32" i="2" s="1"/>
  <c r="CE214" i="1"/>
  <c r="CE208" i="1"/>
  <c r="CH7" i="1"/>
  <c r="CH12" i="1" s="1"/>
  <c r="CE28" i="1"/>
  <c r="CM140" i="1"/>
  <c r="CN140" i="1"/>
  <c r="CO140" i="1" s="1"/>
  <c r="CP140" i="1" s="1"/>
  <c r="CQ140" i="1" s="1"/>
  <c r="CG262" i="1"/>
  <c r="CI71" i="2"/>
  <c r="CF12" i="1"/>
  <c r="CF39" i="1"/>
  <c r="CS250" i="1"/>
  <c r="CE42" i="2"/>
  <c r="CG184" i="1"/>
  <c r="CF205" i="1"/>
  <c r="CH59" i="2"/>
  <c r="CD210" i="1"/>
  <c r="BT71" i="2"/>
  <c r="BE71" i="2"/>
  <c r="CF14" i="2"/>
  <c r="CI255" i="2"/>
  <c r="CD54" i="1"/>
  <c r="CF217" i="2"/>
  <c r="CF215" i="2"/>
  <c r="CH206" i="1"/>
  <c r="CH207" i="1" s="1"/>
  <c r="CG217" i="1"/>
  <c r="CL217" i="1" s="1"/>
  <c r="CG17" i="1"/>
  <c r="CS59" i="2"/>
  <c r="CS60" i="2" s="1"/>
  <c r="O243" i="2"/>
  <c r="O177" i="2"/>
  <c r="Q205" i="2"/>
  <c r="AO265" i="2"/>
  <c r="AT265" i="2"/>
  <c r="AK265" i="2"/>
  <c r="AP265" i="2"/>
  <c r="AG265" i="2"/>
  <c r="AL265" i="2"/>
  <c r="AQ251" i="2"/>
  <c r="AL251" i="2"/>
  <c r="Z247" i="2"/>
  <c r="U247" i="2"/>
  <c r="X184" i="2"/>
  <c r="X242" i="2"/>
  <c r="AU208" i="2"/>
  <c r="AU265" i="2" s="1"/>
  <c r="AU175" i="2"/>
  <c r="AA208" i="2"/>
  <c r="AF265" i="2" s="1"/>
  <c r="AF241" i="2"/>
  <c r="Q241" i="2"/>
  <c r="L208" i="2"/>
  <c r="V175" i="2"/>
  <c r="V239" i="2"/>
  <c r="V171" i="2"/>
  <c r="V206" i="2"/>
  <c r="BZ193" i="2"/>
  <c r="CE234" i="2"/>
  <c r="BQ166" i="2"/>
  <c r="BV234" i="2" s="1"/>
  <c r="BQ254" i="2"/>
  <c r="BQ258" i="2"/>
  <c r="BQ257" i="2"/>
  <c r="BV226" i="2"/>
  <c r="BQ255" i="2"/>
  <c r="AX193" i="2"/>
  <c r="AT193" i="2"/>
  <c r="AP193" i="2"/>
  <c r="AU234" i="2"/>
  <c r="AL193" i="2"/>
  <c r="AQ234" i="2"/>
  <c r="AH193" i="2"/>
  <c r="AM219" i="2" s="1"/>
  <c r="AM234" i="2"/>
  <c r="AZ225" i="2"/>
  <c r="AZ158" i="2"/>
  <c r="AZ257" i="2" s="1"/>
  <c r="BJ190" i="2"/>
  <c r="BO224" i="2"/>
  <c r="BT158" i="2"/>
  <c r="BT223" i="2"/>
  <c r="CD158" i="2"/>
  <c r="CD254" i="2" s="1"/>
  <c r="CD188" i="2"/>
  <c r="CD222" i="2"/>
  <c r="BJ188" i="2"/>
  <c r="BJ222" i="2"/>
  <c r="BJ158" i="2"/>
  <c r="BJ256" i="2" s="1"/>
  <c r="AR148" i="2"/>
  <c r="AM144" i="2"/>
  <c r="AM148" i="2" s="1"/>
  <c r="AI144" i="2"/>
  <c r="AI148" i="2" s="1"/>
  <c r="BZ68" i="2"/>
  <c r="CD65" i="2"/>
  <c r="BT55" i="2"/>
  <c r="BT59" i="2" s="1"/>
  <c r="BP59" i="2"/>
  <c r="BP60" i="2" s="1"/>
  <c r="BZ50" i="2"/>
  <c r="BZ51" i="2" s="1"/>
  <c r="AZ47" i="2"/>
  <c r="AZ50" i="2" s="1"/>
  <c r="BG42" i="2"/>
  <c r="BG43" i="2" s="1"/>
  <c r="AY43" i="2"/>
  <c r="BH38" i="2"/>
  <c r="BZ9" i="1"/>
  <c r="BZ329" i="1" s="1"/>
  <c r="L9" i="1"/>
  <c r="L329" i="1" s="1"/>
  <c r="BF9" i="1"/>
  <c r="BF329" i="1" s="1"/>
  <c r="BG34" i="2"/>
  <c r="AB9" i="1"/>
  <c r="AB329" i="1" s="1"/>
  <c r="AO33" i="2"/>
  <c r="AP28" i="2"/>
  <c r="X24" i="2"/>
  <c r="X32" i="2"/>
  <c r="X29" i="2" s="1"/>
  <c r="X33" i="2" s="1"/>
  <c r="W9" i="1" s="1"/>
  <c r="W329" i="1" s="1"/>
  <c r="Z332" i="1"/>
  <c r="AA79" i="2"/>
  <c r="S332" i="1"/>
  <c r="T205" i="2"/>
  <c r="T262" i="2" s="1"/>
  <c r="CG65" i="2"/>
  <c r="CB14" i="2"/>
  <c r="CA7" i="1"/>
  <c r="CB13" i="2"/>
  <c r="CB15" i="2"/>
  <c r="BD14" i="2"/>
  <c r="BD13" i="2"/>
  <c r="BD15" i="2"/>
  <c r="BD32" i="2"/>
  <c r="BD29" i="2" s="1"/>
  <c r="BD33" i="2" s="1"/>
  <c r="BI40" i="2"/>
  <c r="AZ15" i="2"/>
  <c r="AZ32" i="2"/>
  <c r="AZ29" i="2" s="1"/>
  <c r="AZ33" i="2" s="1"/>
  <c r="AV14" i="2"/>
  <c r="AV13" i="2"/>
  <c r="AV15" i="2"/>
  <c r="AV32" i="2"/>
  <c r="AV29" i="2" s="1"/>
  <c r="AQ7" i="1"/>
  <c r="AV304" i="1" s="1"/>
  <c r="AR14" i="2"/>
  <c r="AR13" i="2"/>
  <c r="AW31" i="2"/>
  <c r="AR15" i="2"/>
  <c r="AN14" i="2"/>
  <c r="AN13" i="2"/>
  <c r="AN15" i="2"/>
  <c r="AS65" i="2"/>
  <c r="AS64" i="2" s="1"/>
  <c r="AS68" i="2" s="1"/>
  <c r="AX69" i="2" s="1"/>
  <c r="AJ14" i="2"/>
  <c r="AJ13" i="2"/>
  <c r="AJ15" i="2"/>
  <c r="CI63" i="2"/>
  <c r="CD191" i="2"/>
  <c r="CD217" i="2" s="1"/>
  <c r="CD67" i="2"/>
  <c r="BO65" i="2"/>
  <c r="BO67" i="2"/>
  <c r="BJ191" i="2"/>
  <c r="BO63" i="2"/>
  <c r="BO66" i="2"/>
  <c r="BJ67" i="2"/>
  <c r="CD58" i="2"/>
  <c r="CD54" i="2"/>
  <c r="CD52" i="2" s="1"/>
  <c r="BY9" i="2"/>
  <c r="BY58" i="2"/>
  <c r="BY190" i="2"/>
  <c r="BJ58" i="2"/>
  <c r="BJ54" i="2"/>
  <c r="BE9" i="2"/>
  <c r="BE14" i="2" s="1"/>
  <c r="BJ56" i="2"/>
  <c r="BY46" i="2"/>
  <c r="BY49" i="2"/>
  <c r="BY47" i="2"/>
  <c r="BY48" i="2"/>
  <c r="BT49" i="2"/>
  <c r="BE46" i="2"/>
  <c r="BE49" i="2"/>
  <c r="AZ13" i="2"/>
  <c r="BE47" i="2"/>
  <c r="BE48" i="2"/>
  <c r="AZ49" i="2"/>
  <c r="BO9" i="2"/>
  <c r="BO12" i="2" s="1"/>
  <c r="BT38" i="2"/>
  <c r="BO188" i="2"/>
  <c r="BT214" i="2" s="1"/>
  <c r="BT41" i="2"/>
  <c r="X242" i="1"/>
  <c r="BC198" i="1"/>
  <c r="AR194" i="1"/>
  <c r="AS194" i="1" s="1"/>
  <c r="BJ60" i="1"/>
  <c r="BJ343" i="1"/>
  <c r="BJ351" i="1"/>
  <c r="BK161" i="2"/>
  <c r="AX74" i="1"/>
  <c r="AY161" i="2"/>
  <c r="AA60" i="1"/>
  <c r="AA61" i="1" s="1"/>
  <c r="AA74" i="1"/>
  <c r="AA54" i="1"/>
  <c r="AB178" i="2"/>
  <c r="AA51" i="1"/>
  <c r="CK102" i="1"/>
  <c r="BK13" i="1"/>
  <c r="BF13" i="1"/>
  <c r="BU289" i="2"/>
  <c r="CJ288" i="2"/>
  <c r="AH262" i="2"/>
  <c r="Z262" i="2"/>
  <c r="BU291" i="2"/>
  <c r="CE291" i="2"/>
  <c r="BU290" i="2"/>
  <c r="CE290" i="2"/>
  <c r="BH214" i="2"/>
  <c r="BM214" i="2"/>
  <c r="BW288" i="2" s="1"/>
  <c r="BD214" i="2"/>
  <c r="BI214" i="2"/>
  <c r="AZ214" i="2"/>
  <c r="AV214" i="2"/>
  <c r="BA214" i="2"/>
  <c r="AR214" i="2"/>
  <c r="AW214" i="2"/>
  <c r="AN214" i="2"/>
  <c r="AS214" i="2"/>
  <c r="W251" i="2"/>
  <c r="R251" i="2"/>
  <c r="U176" i="2"/>
  <c r="U177" i="2" s="1"/>
  <c r="AJ184" i="2"/>
  <c r="AJ242" i="2"/>
  <c r="AF184" i="2"/>
  <c r="AB184" i="2"/>
  <c r="AB242" i="2"/>
  <c r="BF193" i="2"/>
  <c r="BF234" i="2"/>
  <c r="CC160" i="2"/>
  <c r="CC254" i="2"/>
  <c r="CC258" i="2"/>
  <c r="CC257" i="2"/>
  <c r="CC166" i="2"/>
  <c r="CC255" i="2"/>
  <c r="BY255" i="2"/>
  <c r="BU254" i="2"/>
  <c r="BU258" i="2"/>
  <c r="BU257" i="2"/>
  <c r="BU166" i="2"/>
  <c r="BZ226" i="2"/>
  <c r="BU255" i="2"/>
  <c r="AW254" i="2"/>
  <c r="AW258" i="2"/>
  <c r="AW257" i="2"/>
  <c r="AW166" i="2"/>
  <c r="BB226" i="2"/>
  <c r="AW255" i="2"/>
  <c r="AS254" i="2"/>
  <c r="AS258" i="2"/>
  <c r="AS257" i="2"/>
  <c r="AS166" i="2"/>
  <c r="AX234" i="2" s="1"/>
  <c r="AX226" i="2"/>
  <c r="AS255" i="2"/>
  <c r="AO254" i="2"/>
  <c r="AO258" i="2"/>
  <c r="AO257" i="2"/>
  <c r="AO166" i="2"/>
  <c r="AT226" i="2"/>
  <c r="AO255" i="2"/>
  <c r="AK254" i="2"/>
  <c r="AK258" i="2"/>
  <c r="AK257" i="2"/>
  <c r="AK166" i="2"/>
  <c r="AK193" i="2" s="1"/>
  <c r="AP226" i="2"/>
  <c r="AK255" i="2"/>
  <c r="AG254" i="2"/>
  <c r="AG258" i="2"/>
  <c r="AG257" i="2"/>
  <c r="AG166" i="2"/>
  <c r="AG193" i="2" s="1"/>
  <c r="AL226" i="2"/>
  <c r="AG255" i="2"/>
  <c r="BO191" i="2"/>
  <c r="BT225" i="2"/>
  <c r="AP143" i="2"/>
  <c r="R75" i="2"/>
  <c r="X75" i="2"/>
  <c r="W82" i="2"/>
  <c r="AA82" i="2"/>
  <c r="AE82" i="2"/>
  <c r="AI82" i="2"/>
  <c r="BU64" i="2"/>
  <c r="BE64" i="2"/>
  <c r="BE68" i="2" s="1"/>
  <c r="CB69" i="2"/>
  <c r="BW60" i="2"/>
  <c r="BC60" i="2"/>
  <c r="CB59" i="2"/>
  <c r="CG53" i="2"/>
  <c r="BJ55" i="2"/>
  <c r="BF59" i="2"/>
  <c r="BF60" i="2" s="1"/>
  <c r="BV51" i="2"/>
  <c r="BK50" i="2"/>
  <c r="BO47" i="2"/>
  <c r="BO50" i="2" s="1"/>
  <c r="BX51" i="2"/>
  <c r="BH51" i="2"/>
  <c r="CE50" i="2"/>
  <c r="AQ50" i="2"/>
  <c r="AV51" i="2" s="1"/>
  <c r="BE9" i="1"/>
  <c r="BE329" i="1" s="1"/>
  <c r="BF34" i="2"/>
  <c r="BX34" i="2"/>
  <c r="AH9" i="1"/>
  <c r="AH329" i="1" s="1"/>
  <c r="AR24" i="2"/>
  <c r="AR32" i="2"/>
  <c r="AR29" i="2" s="1"/>
  <c r="AR33" i="2" s="1"/>
  <c r="AN24" i="2"/>
  <c r="AN32" i="2"/>
  <c r="AN29" i="2" s="1"/>
  <c r="AN33" i="2" s="1"/>
  <c r="AJ24" i="2"/>
  <c r="AJ32" i="2"/>
  <c r="AJ29" i="2" s="1"/>
  <c r="AJ33" i="2" s="1"/>
  <c r="AF270" i="2"/>
  <c r="AF274" i="2" s="1"/>
  <c r="AF273" i="2"/>
  <c r="AB24" i="2"/>
  <c r="AB32" i="2"/>
  <c r="AB29" i="2" s="1"/>
  <c r="AB33" i="2" s="1"/>
  <c r="X79" i="2"/>
  <c r="X205" i="2"/>
  <c r="X262" i="2" s="1"/>
  <c r="BH14" i="2"/>
  <c r="BH13" i="2"/>
  <c r="BH15" i="2"/>
  <c r="BH32" i="2"/>
  <c r="BH29" i="2" s="1"/>
  <c r="BH33" i="2" s="1"/>
  <c r="AU29" i="1"/>
  <c r="BY15" i="2"/>
  <c r="AZ14" i="2"/>
  <c r="BJ9" i="2"/>
  <c r="BJ12" i="2" s="1"/>
  <c r="O291" i="1"/>
  <c r="K291" i="1"/>
  <c r="K293" i="1" s="1"/>
  <c r="G291" i="1"/>
  <c r="G293" i="1" s="1"/>
  <c r="BA259" i="1"/>
  <c r="AW259" i="1"/>
  <c r="AF180" i="1"/>
  <c r="AJ180" i="1" s="1"/>
  <c r="AE288" i="1"/>
  <c r="Q180" i="1"/>
  <c r="U180" i="1" s="1"/>
  <c r="P288" i="1"/>
  <c r="U226" i="1"/>
  <c r="AE150" i="1"/>
  <c r="AE155" i="1" s="1"/>
  <c r="Q224" i="1"/>
  <c r="Q179" i="1"/>
  <c r="U179" i="1" s="1"/>
  <c r="P150" i="1"/>
  <c r="P155" i="1" s="1"/>
  <c r="P165" i="1" s="1"/>
  <c r="P287" i="1"/>
  <c r="BK342" i="1"/>
  <c r="BK283" i="1"/>
  <c r="BK293" i="1" s="1"/>
  <c r="AF216" i="1"/>
  <c r="AF256" i="1" s="1"/>
  <c r="AF259" i="1" s="1"/>
  <c r="AF176" i="1"/>
  <c r="AJ176" i="1" s="1"/>
  <c r="L176" i="1"/>
  <c r="P176" i="1" s="1"/>
  <c r="L216" i="1"/>
  <c r="L256" i="1" s="1"/>
  <c r="L259" i="1" s="1"/>
  <c r="BK194" i="2"/>
  <c r="CE159" i="2"/>
  <c r="CE231" i="2"/>
  <c r="CB185" i="1"/>
  <c r="CC334" i="1"/>
  <c r="CB290" i="2"/>
  <c r="Y265" i="2"/>
  <c r="AD265" i="2"/>
  <c r="U265" i="2"/>
  <c r="Z265" i="2"/>
  <c r="M265" i="2"/>
  <c r="AL262" i="2"/>
  <c r="BL214" i="2"/>
  <c r="BQ214" i="2"/>
  <c r="AM251" i="2"/>
  <c r="AH251" i="2"/>
  <c r="T247" i="2"/>
  <c r="AN184" i="2"/>
  <c r="AN242" i="2"/>
  <c r="P184" i="2"/>
  <c r="P251" i="2" s="1"/>
  <c r="P242" i="2"/>
  <c r="L175" i="2"/>
  <c r="H184" i="2"/>
  <c r="M251" i="2" s="1"/>
  <c r="H177" i="2"/>
  <c r="AK207" i="2"/>
  <c r="AK264" i="2" s="1"/>
  <c r="AK240" i="2"/>
  <c r="AK175" i="2"/>
  <c r="AP242" i="2" s="1"/>
  <c r="Q207" i="2"/>
  <c r="Q240" i="2"/>
  <c r="V240" i="2"/>
  <c r="Q175" i="2"/>
  <c r="AF205" i="2"/>
  <c r="BK193" i="2"/>
  <c r="BK234" i="2"/>
  <c r="BI254" i="2"/>
  <c r="BI258" i="2"/>
  <c r="BI166" i="2"/>
  <c r="BI257" i="2"/>
  <c r="BN226" i="2"/>
  <c r="BI255" i="2"/>
  <c r="BA254" i="2"/>
  <c r="BA258" i="2"/>
  <c r="BA257" i="2"/>
  <c r="BF226" i="2"/>
  <c r="BA255" i="2"/>
  <c r="AH82" i="2"/>
  <c r="BG69" i="2"/>
  <c r="BF68" i="2"/>
  <c r="AV59" i="2"/>
  <c r="AR55" i="2"/>
  <c r="AR59" i="2" s="1"/>
  <c r="AW60" i="2" s="1"/>
  <c r="BJ47" i="2"/>
  <c r="BJ50" i="2" s="1"/>
  <c r="BF50" i="2"/>
  <c r="BF51" i="2" s="1"/>
  <c r="AU46" i="2"/>
  <c r="AT50" i="2"/>
  <c r="AY51" i="2" s="1"/>
  <c r="BE39" i="2"/>
  <c r="BE42" i="2" s="1"/>
  <c r="BE43" i="2" s="1"/>
  <c r="BY36" i="2"/>
  <c r="BR9" i="1"/>
  <c r="BR329" i="1" s="1"/>
  <c r="AD9" i="1"/>
  <c r="AD329" i="1" s="1"/>
  <c r="AZ9" i="1"/>
  <c r="AZ329" i="1" s="1"/>
  <c r="O9" i="1"/>
  <c r="O329" i="1" s="1"/>
  <c r="P34" i="2"/>
  <c r="AU28" i="2"/>
  <c r="AA274" i="2"/>
  <c r="AJ332" i="1"/>
  <c r="AK79" i="2"/>
  <c r="AP75" i="2"/>
  <c r="AK285" i="2"/>
  <c r="AK284" i="2" s="1"/>
  <c r="V78" i="2"/>
  <c r="AJ79" i="2"/>
  <c r="AI332" i="1"/>
  <c r="AO79" i="2"/>
  <c r="AO76" i="2" s="1"/>
  <c r="AO80" i="2" s="1"/>
  <c r="AJ205" i="2"/>
  <c r="AJ262" i="2" s="1"/>
  <c r="AG79" i="2"/>
  <c r="AB205" i="2"/>
  <c r="AA332" i="1"/>
  <c r="BL14" i="2"/>
  <c r="BL13" i="2"/>
  <c r="BL15" i="2"/>
  <c r="BL32" i="2"/>
  <c r="BL29" i="2" s="1"/>
  <c r="BL33" i="2" s="1"/>
  <c r="BQ32" i="2"/>
  <c r="BQ29" i="2" s="1"/>
  <c r="AB206" i="1"/>
  <c r="AB208" i="1"/>
  <c r="V206" i="1"/>
  <c r="V210" i="1"/>
  <c r="V208" i="1"/>
  <c r="G210" i="1"/>
  <c r="G206" i="1"/>
  <c r="L207" i="1" s="1"/>
  <c r="BJ209" i="1"/>
  <c r="BJ210" i="1" s="1"/>
  <c r="AD189" i="1"/>
  <c r="AE192" i="1"/>
  <c r="AE196" i="1" s="1"/>
  <c r="X189" i="1"/>
  <c r="Y189" i="1" s="1"/>
  <c r="W192" i="1"/>
  <c r="BL188" i="1"/>
  <c r="BM188" i="1" s="1"/>
  <c r="BK192" i="1"/>
  <c r="BK196" i="1" s="1"/>
  <c r="BK201" i="1" s="1"/>
  <c r="BK209" i="1"/>
  <c r="BK210" i="1" s="1"/>
  <c r="AI188" i="1"/>
  <c r="AH229" i="1"/>
  <c r="BV182" i="1"/>
  <c r="BU203" i="1"/>
  <c r="BU205" i="1"/>
  <c r="AV203" i="1"/>
  <c r="X172" i="1"/>
  <c r="W220" i="1"/>
  <c r="W219" i="1"/>
  <c r="S40" i="1"/>
  <c r="X40" i="1"/>
  <c r="AI41" i="1"/>
  <c r="AN41" i="1"/>
  <c r="AI39" i="1"/>
  <c r="AI50" i="1"/>
  <c r="BH216" i="2"/>
  <c r="AC265" i="2"/>
  <c r="AH265" i="2"/>
  <c r="AT262" i="2"/>
  <c r="AD262" i="2"/>
  <c r="Y262" i="2"/>
  <c r="AR198" i="2"/>
  <c r="AW216" i="2"/>
  <c r="CB215" i="2"/>
  <c r="CB214" i="2"/>
  <c r="BX214" i="2"/>
  <c r="BX288" i="2" s="1"/>
  <c r="CC214" i="2"/>
  <c r="BP214" i="2"/>
  <c r="BU214" i="2"/>
  <c r="CE288" i="2" s="1"/>
  <c r="T176" i="2"/>
  <c r="T248" i="2"/>
  <c r="AR184" i="2"/>
  <c r="AR251" i="2" s="1"/>
  <c r="AR242" i="2"/>
  <c r="T184" i="2"/>
  <c r="T242" i="2"/>
  <c r="AA238" i="2"/>
  <c r="AW160" i="2"/>
  <c r="AL159" i="2"/>
  <c r="AL231" i="2"/>
  <c r="BM254" i="2"/>
  <c r="BM258" i="2"/>
  <c r="BM166" i="2"/>
  <c r="BM257" i="2"/>
  <c r="BR226" i="2"/>
  <c r="BM255" i="2"/>
  <c r="BJ225" i="2"/>
  <c r="BE191" i="2"/>
  <c r="BO158" i="2"/>
  <c r="BO257" i="2" s="1"/>
  <c r="AU147" i="2"/>
  <c r="AS144" i="2"/>
  <c r="AS148" i="2" s="1"/>
  <c r="K77" i="2"/>
  <c r="K76" i="2" s="1"/>
  <c r="K80" i="2" s="1"/>
  <c r="K144" i="2"/>
  <c r="K148" i="2" s="1"/>
  <c r="L145" i="2"/>
  <c r="AN148" i="2"/>
  <c r="AJ148" i="2"/>
  <c r="AD82" i="2"/>
  <c r="O76" i="2"/>
  <c r="O80" i="2" s="1"/>
  <c r="BC69" i="2"/>
  <c r="BI64" i="2"/>
  <c r="BI68" i="2" s="1"/>
  <c r="BI69" i="2" s="1"/>
  <c r="BP69" i="2"/>
  <c r="CE61" i="2"/>
  <c r="CA60" i="2"/>
  <c r="CJ53" i="2"/>
  <c r="CE59" i="2"/>
  <c r="CE60" i="2" s="1"/>
  <c r="BY55" i="2"/>
  <c r="BU59" i="2"/>
  <c r="BQ60" i="2"/>
  <c r="AY60" i="2"/>
  <c r="CE45" i="2"/>
  <c r="BT47" i="2"/>
  <c r="BL51" i="2"/>
  <c r="BP42" i="2"/>
  <c r="BL39" i="2"/>
  <c r="BH39" i="2"/>
  <c r="BD43" i="2"/>
  <c r="AV43" i="2"/>
  <c r="BA9" i="1"/>
  <c r="BA329" i="1" s="1"/>
  <c r="CA9" i="1"/>
  <c r="CA329" i="1" s="1"/>
  <c r="BJ9" i="1"/>
  <c r="BJ329" i="1" s="1"/>
  <c r="BK34" i="2"/>
  <c r="AY330" i="1"/>
  <c r="AT304" i="1"/>
  <c r="AV33" i="2"/>
  <c r="Q145" i="2"/>
  <c r="H32" i="2"/>
  <c r="H29" i="2" s="1"/>
  <c r="H33" i="2" s="1"/>
  <c r="G9" i="1" s="1"/>
  <c r="M75" i="2"/>
  <c r="M145" i="2"/>
  <c r="M24" i="2"/>
  <c r="V23" i="2"/>
  <c r="V207" i="2"/>
  <c r="O332" i="1"/>
  <c r="P79" i="2"/>
  <c r="P76" i="2" s="1"/>
  <c r="P80" i="2" s="1"/>
  <c r="P205" i="2"/>
  <c r="L19" i="2"/>
  <c r="H79" i="2"/>
  <c r="H76" i="2" s="1"/>
  <c r="H80" i="2" s="1"/>
  <c r="H205" i="2"/>
  <c r="M262" i="2" s="1"/>
  <c r="BL12" i="2"/>
  <c r="BW7" i="1"/>
  <c r="BX14" i="2"/>
  <c r="BX13" i="2"/>
  <c r="BX15" i="2"/>
  <c r="CC32" i="2"/>
  <c r="BT9" i="2"/>
  <c r="BO7" i="1"/>
  <c r="BP14" i="2"/>
  <c r="BP13" i="2"/>
  <c r="BP15" i="2"/>
  <c r="BU32" i="2"/>
  <c r="BU29" i="2" s="1"/>
  <c r="BU33" i="2" s="1"/>
  <c r="BJ235" i="1"/>
  <c r="BJ357" i="1"/>
  <c r="AV235" i="1"/>
  <c r="G208" i="1"/>
  <c r="V245" i="1"/>
  <c r="N165" i="1"/>
  <c r="N166" i="1" s="1"/>
  <c r="N245" i="1"/>
  <c r="AC162" i="1"/>
  <c r="AB163" i="1"/>
  <c r="L165" i="1"/>
  <c r="L166" i="1" s="1"/>
  <c r="L245" i="1"/>
  <c r="AL22" i="1"/>
  <c r="AL50" i="1"/>
  <c r="AL18" i="1"/>
  <c r="AL20" i="1"/>
  <c r="AG20" i="1"/>
  <c r="AG22" i="1"/>
  <c r="AG18" i="1"/>
  <c r="AB18" i="1"/>
  <c r="AB19" i="1" s="1"/>
  <c r="AB22" i="1"/>
  <c r="AB50" i="1"/>
  <c r="AB20" i="1"/>
  <c r="AC20" i="1"/>
  <c r="X22" i="1"/>
  <c r="X20" i="1"/>
  <c r="X50" i="1"/>
  <c r="X18" i="1"/>
  <c r="X19" i="1" s="1"/>
  <c r="R20" i="1"/>
  <c r="R22" i="1"/>
  <c r="R50" i="1"/>
  <c r="J74" i="1"/>
  <c r="J54" i="1"/>
  <c r="CQ15" i="1"/>
  <c r="CP102" i="1"/>
  <c r="CP103" i="1" s="1"/>
  <c r="CP106" i="1" s="1"/>
  <c r="V77" i="2"/>
  <c r="CH65" i="2"/>
  <c r="CB7" i="1"/>
  <c r="BP39" i="1"/>
  <c r="BP40" i="1" s="1"/>
  <c r="BP204" i="1"/>
  <c r="BP226" i="1"/>
  <c r="BP228" i="1"/>
  <c r="BP12" i="1"/>
  <c r="BP17" i="1"/>
  <c r="BP213" i="1"/>
  <c r="BP257" i="1" s="1"/>
  <c r="BP259" i="1" s="1"/>
  <c r="BP218" i="1"/>
  <c r="BP227" i="1"/>
  <c r="BP221" i="1"/>
  <c r="BP350" i="1"/>
  <c r="BP8" i="1"/>
  <c r="BP335" i="1" s="1"/>
  <c r="BP214" i="1"/>
  <c r="BL17" i="1"/>
  <c r="BL204" i="1"/>
  <c r="BL226" i="1"/>
  <c r="BL228" i="1"/>
  <c r="BL28" i="1"/>
  <c r="BL29" i="1" s="1"/>
  <c r="BL218" i="1"/>
  <c r="BL227" i="1"/>
  <c r="BL213" i="1"/>
  <c r="BL257" i="1" s="1"/>
  <c r="BL259" i="1" s="1"/>
  <c r="BL214" i="1"/>
  <c r="BL350" i="1"/>
  <c r="BN7" i="1"/>
  <c r="BL39" i="1"/>
  <c r="BL40" i="1" s="1"/>
  <c r="BL221" i="1"/>
  <c r="BL12" i="1"/>
  <c r="BL13" i="1" s="1"/>
  <c r="BL217" i="1"/>
  <c r="AR44" i="1"/>
  <c r="AR226" i="1"/>
  <c r="AR214" i="1"/>
  <c r="AR213" i="1"/>
  <c r="AR257" i="1" s="1"/>
  <c r="AR221" i="1"/>
  <c r="AR28" i="1"/>
  <c r="AR39" i="1"/>
  <c r="AR204" i="1"/>
  <c r="AR217" i="1"/>
  <c r="AR228" i="1"/>
  <c r="CI54" i="2"/>
  <c r="CI58" i="2"/>
  <c r="S293" i="1"/>
  <c r="BQ302" i="1"/>
  <c r="BK259" i="1"/>
  <c r="AG259" i="1"/>
  <c r="AH262" i="1"/>
  <c r="CC241" i="1"/>
  <c r="BA241" i="1"/>
  <c r="AW241" i="1"/>
  <c r="AS241" i="1"/>
  <c r="AO241" i="1"/>
  <c r="AK241" i="1"/>
  <c r="BV227" i="1"/>
  <c r="BU214" i="1"/>
  <c r="N198" i="1"/>
  <c r="AC229" i="1"/>
  <c r="AD188" i="1"/>
  <c r="CA181" i="1"/>
  <c r="CA355" i="1" s="1"/>
  <c r="BZ355" i="1"/>
  <c r="AE179" i="1"/>
  <c r="BN176" i="1"/>
  <c r="BJ355" i="1"/>
  <c r="W245" i="1"/>
  <c r="W165" i="1"/>
  <c r="BD240" i="1"/>
  <c r="BE233" i="1"/>
  <c r="BI233" i="1" s="1"/>
  <c r="AJ240" i="1"/>
  <c r="AK233" i="1"/>
  <c r="AO233" i="1" s="1"/>
  <c r="P240" i="1"/>
  <c r="P241" i="1" s="1"/>
  <c r="Q233" i="1"/>
  <c r="U233" i="1" s="1"/>
  <c r="AK178" i="1"/>
  <c r="AK222" i="1"/>
  <c r="AK258" i="1" s="1"/>
  <c r="AK259" i="1" s="1"/>
  <c r="AO222" i="1"/>
  <c r="AO258" i="1" s="1"/>
  <c r="AJ286" i="1"/>
  <c r="V222" i="1"/>
  <c r="V258" i="1" s="1"/>
  <c r="V259" i="1" s="1"/>
  <c r="U286" i="1"/>
  <c r="U291" i="1" s="1"/>
  <c r="V178" i="1"/>
  <c r="Z178" i="1" s="1"/>
  <c r="AJ150" i="1"/>
  <c r="AJ155" i="1" s="1"/>
  <c r="AJ238" i="1"/>
  <c r="AJ241" i="1" s="1"/>
  <c r="U150" i="1"/>
  <c r="V233" i="1"/>
  <c r="U238" i="1"/>
  <c r="U241" i="1" s="1"/>
  <c r="AT140" i="1"/>
  <c r="AT142" i="1" s="1"/>
  <c r="AS142" i="1"/>
  <c r="BL142" i="1"/>
  <c r="BL231" i="1"/>
  <c r="AX231" i="1"/>
  <c r="AX142" i="1"/>
  <c r="AY231" i="1"/>
  <c r="P137" i="1"/>
  <c r="P199" i="1"/>
  <c r="P237" i="1"/>
  <c r="BJ233" i="1"/>
  <c r="BN233" i="1" s="1"/>
  <c r="BI237" i="1"/>
  <c r="BN359" i="1"/>
  <c r="AO199" i="1"/>
  <c r="AO237" i="1"/>
  <c r="AP233" i="1"/>
  <c r="AT359" i="1"/>
  <c r="BP44" i="1"/>
  <c r="CF102" i="1"/>
  <c r="CG31" i="1"/>
  <c r="CI31" i="1" s="1"/>
  <c r="BP28" i="1"/>
  <c r="BP29" i="1" s="1"/>
  <c r="CB15" i="1"/>
  <c r="CA102" i="1"/>
  <c r="CG216" i="2"/>
  <c r="CG166" i="2"/>
  <c r="CG160" i="2"/>
  <c r="U184" i="2"/>
  <c r="AA175" i="2"/>
  <c r="CB166" i="2"/>
  <c r="AK82" i="2"/>
  <c r="AG82" i="2"/>
  <c r="AC82" i="2"/>
  <c r="Y82" i="2"/>
  <c r="U82" i="2"/>
  <c r="Q82" i="2"/>
  <c r="M82" i="2"/>
  <c r="I82" i="2"/>
  <c r="CX54" i="2"/>
  <c r="AT32" i="2"/>
  <c r="AT29" i="2" s="1"/>
  <c r="AT33" i="2" s="1"/>
  <c r="AP32" i="2"/>
  <c r="AL32" i="2"/>
  <c r="AL29" i="2" s="1"/>
  <c r="AL33" i="2" s="1"/>
  <c r="AH32" i="2"/>
  <c r="AH29" i="2" s="1"/>
  <c r="AH33" i="2" s="1"/>
  <c r="AD32" i="2"/>
  <c r="AD29" i="2" s="1"/>
  <c r="AD33" i="2" s="1"/>
  <c r="AI34" i="2" s="1"/>
  <c r="I32" i="2"/>
  <c r="I29" i="2" s="1"/>
  <c r="I33" i="2" s="1"/>
  <c r="H9" i="1" s="1"/>
  <c r="CC14" i="2"/>
  <c r="BU14" i="2"/>
  <c r="BQ14" i="2"/>
  <c r="BM14" i="2"/>
  <c r="BI14" i="2"/>
  <c r="BA14" i="2"/>
  <c r="AW14" i="2"/>
  <c r="AS14" i="2"/>
  <c r="AO14" i="2"/>
  <c r="AK14" i="2"/>
  <c r="AG14" i="2"/>
  <c r="BZ17" i="1"/>
  <c r="BZ44" i="1"/>
  <c r="BZ227" i="1"/>
  <c r="BZ213" i="1"/>
  <c r="BZ257" i="1" s="1"/>
  <c r="BZ259" i="1" s="1"/>
  <c r="BZ228" i="1"/>
  <c r="BZ12" i="1"/>
  <c r="BZ13" i="1" s="1"/>
  <c r="BZ39" i="1"/>
  <c r="BZ28" i="1"/>
  <c r="BZ29" i="1" s="1"/>
  <c r="BZ350" i="1"/>
  <c r="BZ214" i="1"/>
  <c r="BZ226" i="1"/>
  <c r="BZ204" i="1"/>
  <c r="BZ218" i="1"/>
  <c r="BZ217" i="1"/>
  <c r="BV12" i="1"/>
  <c r="BV28" i="1"/>
  <c r="BV39" i="1"/>
  <c r="BV213" i="1"/>
  <c r="BV257" i="1" s="1"/>
  <c r="BV259" i="1" s="1"/>
  <c r="BV214" i="1"/>
  <c r="BV221" i="1"/>
  <c r="BV8" i="1"/>
  <c r="BV335" i="1" s="1"/>
  <c r="BV17" i="1"/>
  <c r="BV217" i="1"/>
  <c r="BV350" i="1"/>
  <c r="BV44" i="1"/>
  <c r="BV228" i="1"/>
  <c r="BR44" i="1"/>
  <c r="BR45" i="1" s="1"/>
  <c r="BR228" i="1"/>
  <c r="BR217" i="1"/>
  <c r="AP213" i="1"/>
  <c r="AP257" i="1" s="1"/>
  <c r="AP259" i="1" s="1"/>
  <c r="AP221" i="1"/>
  <c r="AP227" i="1"/>
  <c r="AO291" i="1"/>
  <c r="AI291" i="1"/>
  <c r="AA291" i="1"/>
  <c r="BM259" i="1"/>
  <c r="BQ300" i="1"/>
  <c r="AR259" i="1"/>
  <c r="AB242" i="1"/>
  <c r="AB235" i="1" s="1"/>
  <c r="BO241" i="1"/>
  <c r="AW206" i="1"/>
  <c r="AW208" i="1"/>
  <c r="AV189" i="1"/>
  <c r="AU192" i="1"/>
  <c r="AU196" i="1" s="1"/>
  <c r="AU201" i="1" s="1"/>
  <c r="BV188" i="1"/>
  <c r="BU209" i="1"/>
  <c r="BU210" i="1" s="1"/>
  <c r="BU229" i="1"/>
  <c r="BU192" i="1"/>
  <c r="BU196" i="1" s="1"/>
  <c r="I188" i="1"/>
  <c r="H209" i="1"/>
  <c r="H210" i="1" s="1"/>
  <c r="H192" i="1"/>
  <c r="H196" i="1" s="1"/>
  <c r="H201" i="1" s="1"/>
  <c r="H229" i="1"/>
  <c r="BB196" i="1"/>
  <c r="BB201" i="1" s="1"/>
  <c r="W185" i="1"/>
  <c r="V186" i="1"/>
  <c r="V196" i="1" s="1"/>
  <c r="V201" i="1" s="1"/>
  <c r="V334" i="1"/>
  <c r="J185" i="1"/>
  <c r="K186" i="1"/>
  <c r="BW184" i="1"/>
  <c r="BV204" i="1"/>
  <c r="BV218" i="1"/>
  <c r="BV356" i="1"/>
  <c r="BN175" i="1"/>
  <c r="BK355" i="1"/>
  <c r="AJ219" i="1"/>
  <c r="AJ220" i="1"/>
  <c r="AR283" i="1"/>
  <c r="AR342" i="1"/>
  <c r="BZ221" i="1"/>
  <c r="BQ221" i="1"/>
  <c r="AV283" i="1"/>
  <c r="BO119" i="1"/>
  <c r="BS120" i="1"/>
  <c r="BO358" i="1"/>
  <c r="BF119" i="1"/>
  <c r="BF358" i="1"/>
  <c r="AC249" i="1"/>
  <c r="BL44" i="1"/>
  <c r="BL45" i="1" s="1"/>
  <c r="BD46" i="1"/>
  <c r="BI46" i="1"/>
  <c r="N36" i="1"/>
  <c r="I34" i="1"/>
  <c r="I36" i="1"/>
  <c r="BJ23" i="1"/>
  <c r="BJ24" i="1" s="1"/>
  <c r="W25" i="1"/>
  <c r="BI50" i="1"/>
  <c r="BI18" i="1"/>
  <c r="BI19" i="1" s="1"/>
  <c r="BJ20" i="1"/>
  <c r="BE18" i="1"/>
  <c r="AU18" i="1"/>
  <c r="AU50" i="1"/>
  <c r="BC15" i="1"/>
  <c r="AZ102" i="1"/>
  <c r="BX216" i="1"/>
  <c r="BX256" i="1" s="1"/>
  <c r="BX222" i="1"/>
  <c r="BX258" i="1" s="1"/>
  <c r="BX223" i="1"/>
  <c r="BX224" i="1"/>
  <c r="BX215" i="1"/>
  <c r="BX225" i="1"/>
  <c r="AO14" i="1"/>
  <c r="AJ216" i="1"/>
  <c r="AJ256" i="1" s="1"/>
  <c r="AJ222" i="1"/>
  <c r="AJ258" i="1" s="1"/>
  <c r="AJ223" i="1"/>
  <c r="AJ224" i="1"/>
  <c r="AJ225" i="1"/>
  <c r="AJ215" i="1"/>
  <c r="AJ14" i="1"/>
  <c r="T223" i="1"/>
  <c r="T215" i="1"/>
  <c r="T14" i="1"/>
  <c r="T216" i="1"/>
  <c r="T256" i="1" s="1"/>
  <c r="T222" i="1"/>
  <c r="T258" i="1" s="1"/>
  <c r="T224" i="1"/>
  <c r="T225" i="1"/>
  <c r="BL8" i="1"/>
  <c r="BL335" i="1" s="1"/>
  <c r="AY39" i="1"/>
  <c r="AY226" i="1"/>
  <c r="AY44" i="1"/>
  <c r="AY12" i="1"/>
  <c r="AY217" i="1"/>
  <c r="AY228" i="1"/>
  <c r="AY350" i="1"/>
  <c r="AY28" i="1"/>
  <c r="AY214" i="1"/>
  <c r="AY227" i="1"/>
  <c r="BX30" i="1"/>
  <c r="CC30" i="1"/>
  <c r="CG214" i="2"/>
  <c r="CI49" i="2"/>
  <c r="CF185" i="1"/>
  <c r="CG185" i="1" s="1"/>
  <c r="CG334" i="1" s="1"/>
  <c r="CE334" i="1"/>
  <c r="CI189" i="2"/>
  <c r="AL144" i="2"/>
  <c r="AK109" i="2"/>
  <c r="Z104" i="2"/>
  <c r="Z105" i="2" s="1"/>
  <c r="V104" i="2"/>
  <c r="R104" i="2"/>
  <c r="N104" i="2"/>
  <c r="Z95" i="2"/>
  <c r="V95" i="2"/>
  <c r="V82" i="2" s="1"/>
  <c r="R95" i="2"/>
  <c r="R82" i="2" s="1"/>
  <c r="N95" i="2"/>
  <c r="N82" i="2" s="1"/>
  <c r="J95" i="2"/>
  <c r="J82" i="2" s="1"/>
  <c r="AJ82" i="2"/>
  <c r="AF82" i="2"/>
  <c r="AB82" i="2"/>
  <c r="X82" i="2"/>
  <c r="L82" i="2"/>
  <c r="BY52" i="2"/>
  <c r="BZ32" i="2"/>
  <c r="BZ29" i="2" s="1"/>
  <c r="BZ33" i="2" s="1"/>
  <c r="BV32" i="2"/>
  <c r="BV29" i="2" s="1"/>
  <c r="BV33" i="2" s="1"/>
  <c r="BR32" i="2"/>
  <c r="BR29" i="2" s="1"/>
  <c r="BM32" i="2"/>
  <c r="BM29" i="2" s="1"/>
  <c r="BM33" i="2" s="1"/>
  <c r="BI32" i="2"/>
  <c r="BI29" i="2" s="1"/>
  <c r="BI33" i="2" s="1"/>
  <c r="BA32" i="2"/>
  <c r="AW32" i="2"/>
  <c r="AW29" i="2" s="1"/>
  <c r="AW33" i="2" s="1"/>
  <c r="AG32" i="2"/>
  <c r="AG29" i="2" s="1"/>
  <c r="AG33" i="2" s="1"/>
  <c r="AW304" i="1"/>
  <c r="BB330" i="1"/>
  <c r="CC15" i="2"/>
  <c r="BQ15" i="2"/>
  <c r="BM15" i="2"/>
  <c r="AS15" i="2"/>
  <c r="CA13" i="2"/>
  <c r="BW13" i="2"/>
  <c r="BS13" i="2"/>
  <c r="AQ13" i="2"/>
  <c r="CD9" i="2"/>
  <c r="CI32" i="2" s="1"/>
  <c r="CE65" i="2"/>
  <c r="BY7" i="1"/>
  <c r="BU204" i="1"/>
  <c r="BU226" i="1"/>
  <c r="BU228" i="1"/>
  <c r="BU218" i="1"/>
  <c r="BU227" i="1"/>
  <c r="BU39" i="1"/>
  <c r="BU350" i="1"/>
  <c r="BU217" i="1"/>
  <c r="BU213" i="1"/>
  <c r="BU257" i="1" s="1"/>
  <c r="BU259" i="1" s="1"/>
  <c r="BU221" i="1"/>
  <c r="BQ8" i="1"/>
  <c r="BQ335" i="1" s="1"/>
  <c r="BQ12" i="1"/>
  <c r="BQ28" i="1"/>
  <c r="BQ214" i="1"/>
  <c r="BQ39" i="1"/>
  <c r="BQ44" i="1"/>
  <c r="BQ217" i="1"/>
  <c r="BQ213" i="1"/>
  <c r="BQ257" i="1" s="1"/>
  <c r="BQ259" i="1" s="1"/>
  <c r="BQ226" i="1"/>
  <c r="BQ227" i="1"/>
  <c r="BQ218" i="1"/>
  <c r="BQ228" i="1"/>
  <c r="BQ350" i="1"/>
  <c r="AS28" i="1"/>
  <c r="AS213" i="1"/>
  <c r="AS257" i="1" s="1"/>
  <c r="AS259" i="1" s="1"/>
  <c r="AS217" i="1"/>
  <c r="AS228" i="1"/>
  <c r="AS34" i="1"/>
  <c r="AS35" i="1" s="1"/>
  <c r="AS214" i="1"/>
  <c r="AS221" i="1"/>
  <c r="AS227" i="1"/>
  <c r="AS39" i="1"/>
  <c r="AS12" i="1"/>
  <c r="AS44" i="1"/>
  <c r="AO204" i="1"/>
  <c r="AO226" i="1"/>
  <c r="AR291" i="1"/>
  <c r="M291" i="1"/>
  <c r="M293" i="1" s="1"/>
  <c r="CA291" i="1"/>
  <c r="BW291" i="1"/>
  <c r="BO291" i="1"/>
  <c r="BG291" i="1"/>
  <c r="BC291" i="1"/>
  <c r="AU291" i="1"/>
  <c r="AQ291" i="1"/>
  <c r="AM291" i="1"/>
  <c r="AI293" i="1"/>
  <c r="BF357" i="1"/>
  <c r="R242" i="1"/>
  <c r="R235" i="1" s="1"/>
  <c r="BQ204" i="1"/>
  <c r="L198" i="1"/>
  <c r="P198" i="1"/>
  <c r="M189" i="1"/>
  <c r="L192" i="1"/>
  <c r="R209" i="1"/>
  <c r="R210" i="1" s="1"/>
  <c r="S188" i="1"/>
  <c r="R229" i="1"/>
  <c r="AS218" i="1"/>
  <c r="BV220" i="1"/>
  <c r="BV219" i="1"/>
  <c r="BM220" i="1"/>
  <c r="BM219" i="1"/>
  <c r="BV131" i="1"/>
  <c r="AU142" i="1"/>
  <c r="AU231" i="1"/>
  <c r="AP142" i="1"/>
  <c r="AP231" i="1"/>
  <c r="AK142" i="1"/>
  <c r="AK231" i="1"/>
  <c r="AF142" i="1"/>
  <c r="AF283" i="1" s="1"/>
  <c r="AF293" i="1" s="1"/>
  <c r="AG296" i="1" s="1"/>
  <c r="AF231" i="1"/>
  <c r="AA231" i="1"/>
  <c r="AA142" i="1"/>
  <c r="AA283" i="1" s="1"/>
  <c r="BH250" i="1"/>
  <c r="BH103" i="1"/>
  <c r="BH106" i="1" s="1"/>
  <c r="BH344" i="1"/>
  <c r="CD74" i="1"/>
  <c r="CE161" i="2"/>
  <c r="CD51" i="1"/>
  <c r="P39" i="1"/>
  <c r="P40" i="1" s="1"/>
  <c r="P41" i="1"/>
  <c r="AF35" i="1"/>
  <c r="W34" i="1"/>
  <c r="AB36" i="1"/>
  <c r="CA36" i="1"/>
  <c r="AP12" i="1"/>
  <c r="BX291" i="1"/>
  <c r="BK206" i="1"/>
  <c r="BK207" i="1" s="1"/>
  <c r="AM206" i="1"/>
  <c r="AQ208" i="1"/>
  <c r="AB125" i="1"/>
  <c r="AB124" i="1" s="1"/>
  <c r="AB209" i="1"/>
  <c r="AB210" i="1" s="1"/>
  <c r="CB189" i="1"/>
  <c r="BX189" i="1"/>
  <c r="BX192" i="1" s="1"/>
  <c r="BX196" i="1" s="1"/>
  <c r="AN189" i="1"/>
  <c r="X188" i="1"/>
  <c r="W229" i="1"/>
  <c r="CA204" i="1"/>
  <c r="AZ186" i="1"/>
  <c r="AZ196" i="1" s="1"/>
  <c r="AZ218" i="1"/>
  <c r="AZ204" i="1"/>
  <c r="AN184" i="1"/>
  <c r="AL205" i="1"/>
  <c r="CA203" i="1"/>
  <c r="CB182" i="1"/>
  <c r="CA205" i="1"/>
  <c r="T181" i="1"/>
  <c r="AO177" i="1"/>
  <c r="BS176" i="1"/>
  <c r="AE176" i="1"/>
  <c r="BZ220" i="1"/>
  <c r="CA172" i="1"/>
  <c r="AB220" i="1"/>
  <c r="AB219" i="1"/>
  <c r="M155" i="1"/>
  <c r="M165" i="1" s="1"/>
  <c r="M166" i="1" s="1"/>
  <c r="M231" i="1"/>
  <c r="BI180" i="1"/>
  <c r="G224" i="1"/>
  <c r="K224" i="1"/>
  <c r="K225" i="1"/>
  <c r="G222" i="1"/>
  <c r="G258" i="1" s="1"/>
  <c r="G259" i="1" s="1"/>
  <c r="K222" i="1"/>
  <c r="K258" i="1" s="1"/>
  <c r="K223" i="1"/>
  <c r="G178" i="1"/>
  <c r="K178" i="1" s="1"/>
  <c r="BI150" i="1"/>
  <c r="AO219" i="1"/>
  <c r="AO220" i="1"/>
  <c r="U219" i="1"/>
  <c r="Q220" i="1"/>
  <c r="U220" i="1"/>
  <c r="BO231" i="1"/>
  <c r="AO176" i="1"/>
  <c r="AJ137" i="1"/>
  <c r="BN123" i="1"/>
  <c r="BN116" i="1" s="1"/>
  <c r="BL125" i="1"/>
  <c r="BL116" i="1"/>
  <c r="BL115" i="1" s="1"/>
  <c r="AF119" i="1"/>
  <c r="K115" i="1"/>
  <c r="BA103" i="1"/>
  <c r="BA106" i="1" s="1"/>
  <c r="BA54" i="1"/>
  <c r="AN51" i="1"/>
  <c r="AN74" i="1"/>
  <c r="S51" i="1"/>
  <c r="S74" i="1"/>
  <c r="CQ48" i="1"/>
  <c r="CO102" i="1"/>
  <c r="AG45" i="1"/>
  <c r="AL45" i="1"/>
  <c r="AJ46" i="1"/>
  <c r="AJ44" i="1"/>
  <c r="AJ45" i="1" s="1"/>
  <c r="AO46" i="1"/>
  <c r="BN39" i="1"/>
  <c r="BN41" i="1"/>
  <c r="AF39" i="1"/>
  <c r="AK41" i="1"/>
  <c r="AA39" i="1"/>
  <c r="AA40" i="1" s="1"/>
  <c r="AA41" i="1"/>
  <c r="BG33" i="1"/>
  <c r="BG102" i="1"/>
  <c r="BI102" i="1" s="1"/>
  <c r="BA29" i="1"/>
  <c r="AA29" i="1"/>
  <c r="W29" i="1"/>
  <c r="AT30" i="1"/>
  <c r="AO33" i="1"/>
  <c r="AT36" i="1" s="1"/>
  <c r="U28" i="1"/>
  <c r="U33" i="1"/>
  <c r="Z30" i="1"/>
  <c r="M50" i="1"/>
  <c r="M18" i="1"/>
  <c r="AK22" i="1"/>
  <c r="AO15" i="1"/>
  <c r="P11" i="1"/>
  <c r="Q14" i="1"/>
  <c r="L12" i="1"/>
  <c r="L17" i="1"/>
  <c r="AJ228" i="1"/>
  <c r="AJ213" i="1"/>
  <c r="AJ257" i="1" s="1"/>
  <c r="AJ226" i="1"/>
  <c r="AJ227" i="1"/>
  <c r="P28" i="1"/>
  <c r="P213" i="1"/>
  <c r="P257" i="1" s="1"/>
  <c r="P226" i="1"/>
  <c r="C34" i="1"/>
  <c r="C35" i="1" s="1"/>
  <c r="C44" i="1"/>
  <c r="H45" i="1" s="1"/>
  <c r="CG217" i="2"/>
  <c r="CL291" i="2" s="1"/>
  <c r="CI41" i="2"/>
  <c r="H242" i="1"/>
  <c r="H235" i="1" s="1"/>
  <c r="H246" i="1"/>
  <c r="H253" i="1"/>
  <c r="AE241" i="1"/>
  <c r="AA241" i="1"/>
  <c r="BG71" i="1"/>
  <c r="CC194" i="1"/>
  <c r="CC196" i="1" s="1"/>
  <c r="K192" i="1"/>
  <c r="AV125" i="1"/>
  <c r="AV124" i="1" s="1"/>
  <c r="AV209" i="1"/>
  <c r="AV210" i="1" s="1"/>
  <c r="BI188" i="1"/>
  <c r="L186" i="1"/>
  <c r="L196" i="1" s="1"/>
  <c r="AI185" i="1"/>
  <c r="O185" i="1"/>
  <c r="BR184" i="1"/>
  <c r="BQ186" i="1"/>
  <c r="BI186" i="1"/>
  <c r="U205" i="1"/>
  <c r="BP203" i="1"/>
  <c r="BQ182" i="1"/>
  <c r="BP205" i="1"/>
  <c r="AS182" i="1"/>
  <c r="AR205" i="1"/>
  <c r="P179" i="1"/>
  <c r="BI178" i="1"/>
  <c r="BX177" i="1"/>
  <c r="P177" i="1"/>
  <c r="BX175" i="1"/>
  <c r="BD175" i="1"/>
  <c r="BX172" i="1"/>
  <c r="AL220" i="1"/>
  <c r="AL219" i="1"/>
  <c r="S245" i="1"/>
  <c r="S246" i="1" s="1"/>
  <c r="S165" i="1"/>
  <c r="S166" i="1" s="1"/>
  <c r="AV231" i="1"/>
  <c r="AV155" i="1"/>
  <c r="AI155" i="1"/>
  <c r="AI231" i="1"/>
  <c r="J155" i="1"/>
  <c r="J165" i="1" s="1"/>
  <c r="J166" i="1" s="1"/>
  <c r="J231" i="1"/>
  <c r="AY180" i="1"/>
  <c r="AP179" i="1"/>
  <c r="AT179" i="1" s="1"/>
  <c r="AP224" i="1"/>
  <c r="AP225" i="1"/>
  <c r="AZ222" i="1"/>
  <c r="AZ258" i="1" s="1"/>
  <c r="BD222" i="1"/>
  <c r="BD258" i="1" s="1"/>
  <c r="BD223" i="1"/>
  <c r="BE146" i="1"/>
  <c r="BD239" i="1"/>
  <c r="BS150" i="1"/>
  <c r="V142" i="1"/>
  <c r="V283" i="1" s="1"/>
  <c r="V293" i="1" s="1"/>
  <c r="X177" i="1"/>
  <c r="Z177" i="1" s="1"/>
  <c r="W137" i="1"/>
  <c r="W217" i="1"/>
  <c r="AY176" i="1"/>
  <c r="BE119" i="1"/>
  <c r="BI120" i="1"/>
  <c r="CU77" i="1"/>
  <c r="CW250" i="1"/>
  <c r="DB77" i="1"/>
  <c r="AV51" i="1"/>
  <c r="AV54" i="1"/>
  <c r="AV74" i="1"/>
  <c r="DA48" i="1"/>
  <c r="DA102" i="1" s="1"/>
  <c r="BF74" i="1"/>
  <c r="BF60" i="1"/>
  <c r="BF54" i="1"/>
  <c r="N45" i="1"/>
  <c r="M40" i="1"/>
  <c r="U38" i="1"/>
  <c r="AR34" i="1"/>
  <c r="AR35" i="1" s="1"/>
  <c r="BP102" i="1"/>
  <c r="M29" i="1"/>
  <c r="AJ30" i="1"/>
  <c r="AE33" i="1"/>
  <c r="K28" i="1"/>
  <c r="P30" i="1"/>
  <c r="K33" i="1"/>
  <c r="M22" i="1"/>
  <c r="AC19" i="1"/>
  <c r="L14" i="1"/>
  <c r="AC13" i="1"/>
  <c r="N12" i="1"/>
  <c r="N17" i="1"/>
  <c r="S14" i="1"/>
  <c r="E12" i="1"/>
  <c r="J13" i="1" s="1"/>
  <c r="J14" i="1"/>
  <c r="H8" i="1"/>
  <c r="H335" i="1" s="1"/>
  <c r="Z213" i="1"/>
  <c r="Z257" i="1" s="1"/>
  <c r="Z218" i="1"/>
  <c r="Z226" i="1"/>
  <c r="Z227" i="1"/>
  <c r="AE8" i="1"/>
  <c r="AE335" i="1" s="1"/>
  <c r="Z28" i="1"/>
  <c r="Z204" i="1"/>
  <c r="Z228" i="1"/>
  <c r="CG215" i="2"/>
  <c r="CE220" i="1"/>
  <c r="CO220" i="1" s="1"/>
  <c r="CT220" i="1" s="1"/>
  <c r="CY220" i="1" s="1"/>
  <c r="DD220" i="1" s="1"/>
  <c r="CF172" i="1"/>
  <c r="CG181" i="1"/>
  <c r="CH181" i="1" s="1"/>
  <c r="CI216" i="2"/>
  <c r="CB188" i="1"/>
  <c r="CA241" i="1"/>
  <c r="BS241" i="1"/>
  <c r="BK241" i="1"/>
  <c r="BN262" i="1" s="1"/>
  <c r="Q241" i="1"/>
  <c r="M241" i="1"/>
  <c r="I241" i="1"/>
  <c r="BE207" i="1"/>
  <c r="Z208" i="1"/>
  <c r="Z206" i="1"/>
  <c r="AZ201" i="1"/>
  <c r="BA198" i="1"/>
  <c r="AW194" i="1"/>
  <c r="AX194" i="1" s="1"/>
  <c r="BF210" i="1"/>
  <c r="H125" i="1"/>
  <c r="H124" i="1" s="1"/>
  <c r="I190" i="1"/>
  <c r="AR189" i="1"/>
  <c r="AQ196" i="1"/>
  <c r="AQ201" i="1" s="1"/>
  <c r="Z186" i="1"/>
  <c r="AT184" i="1"/>
  <c r="H206" i="1"/>
  <c r="H208" i="1"/>
  <c r="BM182" i="1"/>
  <c r="BL203" i="1"/>
  <c r="BL205" i="1"/>
  <c r="AE180" i="1"/>
  <c r="BD179" i="1"/>
  <c r="AJ179" i="1"/>
  <c r="BN178" i="1"/>
  <c r="AT178" i="1"/>
  <c r="H165" i="1"/>
  <c r="AA165" i="1"/>
  <c r="AA245" i="1"/>
  <c r="X245" i="1"/>
  <c r="X253" i="1" s="1"/>
  <c r="X165" i="1"/>
  <c r="X166" i="1" s="1"/>
  <c r="G165" i="1"/>
  <c r="G166" i="1" s="1"/>
  <c r="BK155" i="1"/>
  <c r="BK231" i="1"/>
  <c r="K180" i="1"/>
  <c r="BT224" i="1"/>
  <c r="BT179" i="1"/>
  <c r="AE140" i="1"/>
  <c r="AD142" i="1"/>
  <c r="AD283" i="1" s="1"/>
  <c r="AD293" i="1" s="1"/>
  <c r="AH142" i="1"/>
  <c r="AH283" i="1" s="1"/>
  <c r="AH293" i="1" s="1"/>
  <c r="F137" i="1"/>
  <c r="F142" i="1" s="1"/>
  <c r="AE137" i="1"/>
  <c r="AE237" i="1"/>
  <c r="CD119" i="1"/>
  <c r="BR115" i="1"/>
  <c r="AZ115" i="1"/>
  <c r="AP115" i="1"/>
  <c r="AT115" i="1" s="1"/>
  <c r="AK115" i="1"/>
  <c r="AF115" i="1"/>
  <c r="AA115" i="1"/>
  <c r="V115" i="1"/>
  <c r="Q115" i="1"/>
  <c r="L115" i="1"/>
  <c r="H115" i="1"/>
  <c r="S55" i="1"/>
  <c r="BE45" i="1"/>
  <c r="BA45" i="1"/>
  <c r="Y45" i="1"/>
  <c r="BN44" i="1"/>
  <c r="BN46" i="1"/>
  <c r="W39" i="1"/>
  <c r="BS41" i="1"/>
  <c r="AB39" i="1"/>
  <c r="AB41" i="1"/>
  <c r="X35" i="1"/>
  <c r="L36" i="1"/>
  <c r="L34" i="1"/>
  <c r="D36" i="1"/>
  <c r="D34" i="1"/>
  <c r="D35" i="1" s="1"/>
  <c r="DD102" i="1"/>
  <c r="BZ102" i="1"/>
  <c r="BJ102" i="1"/>
  <c r="BM31" i="1"/>
  <c r="BJ33" i="1"/>
  <c r="AI29" i="1"/>
  <c r="S29" i="1"/>
  <c r="BK18" i="1"/>
  <c r="BK19" i="1" s="1"/>
  <c r="BK22" i="1"/>
  <c r="BK50" i="1"/>
  <c r="BB22" i="1"/>
  <c r="BB20" i="1"/>
  <c r="BB18" i="1"/>
  <c r="BG19" i="1" s="1"/>
  <c r="AW18" i="1"/>
  <c r="AW19" i="1" s="1"/>
  <c r="AW50" i="1"/>
  <c r="V54" i="1"/>
  <c r="O50" i="1"/>
  <c r="O22" i="1"/>
  <c r="H60" i="1"/>
  <c r="H61" i="1" s="1"/>
  <c r="CZ102" i="1"/>
  <c r="CT102" i="1"/>
  <c r="BN14" i="1"/>
  <c r="BN215" i="1"/>
  <c r="BN12" i="1"/>
  <c r="BN216" i="1"/>
  <c r="BN256" i="1" s="1"/>
  <c r="BN222" i="1"/>
  <c r="BN258" i="1" s="1"/>
  <c r="BN223" i="1"/>
  <c r="BN224" i="1"/>
  <c r="BN225" i="1"/>
  <c r="AT215" i="1"/>
  <c r="AY14" i="1"/>
  <c r="AT216" i="1"/>
  <c r="AT256" i="1" s="1"/>
  <c r="AT222" i="1"/>
  <c r="AT258" i="1" s="1"/>
  <c r="AT223" i="1"/>
  <c r="AT224" i="1"/>
  <c r="AT225" i="1"/>
  <c r="Z222" i="1"/>
  <c r="Z258" i="1" s="1"/>
  <c r="BI12" i="1"/>
  <c r="BI13" i="1" s="1"/>
  <c r="BI39" i="1"/>
  <c r="BI40" i="1" s="1"/>
  <c r="BI214" i="1"/>
  <c r="BI221" i="1"/>
  <c r="BI44" i="1"/>
  <c r="BI45" i="1" s="1"/>
  <c r="BI227" i="1"/>
  <c r="BI213" i="1"/>
  <c r="BI257" i="1" s="1"/>
  <c r="BI259" i="1" s="1"/>
  <c r="BI217" i="1"/>
  <c r="CI67" i="2"/>
  <c r="CN71" i="2"/>
  <c r="CD71" i="2"/>
  <c r="AP78" i="2" l="1"/>
  <c r="T82" i="2"/>
  <c r="S82" i="2"/>
  <c r="CN28" i="2"/>
  <c r="CN33" i="2" s="1"/>
  <c r="CM9" i="1" s="1"/>
  <c r="CM329" i="1" s="1"/>
  <c r="BS43" i="2"/>
  <c r="N262" i="2"/>
  <c r="AA205" i="2"/>
  <c r="CD289" i="2"/>
  <c r="BR69" i="2"/>
  <c r="AL76" i="2"/>
  <c r="AL80" i="2" s="1"/>
  <c r="AU77" i="2"/>
  <c r="CK288" i="2"/>
  <c r="H35" i="1"/>
  <c r="BD219" i="2"/>
  <c r="BY214" i="2"/>
  <c r="Q265" i="2"/>
  <c r="BT65" i="2"/>
  <c r="Z109" i="2"/>
  <c r="U251" i="2"/>
  <c r="CN36" i="2"/>
  <c r="L32" i="2"/>
  <c r="L29" i="2" s="1"/>
  <c r="L33" i="2" s="1"/>
  <c r="K9" i="1" s="1"/>
  <c r="W75" i="2"/>
  <c r="W76" i="2" s="1"/>
  <c r="W80" i="2" s="1"/>
  <c r="BE217" i="2"/>
  <c r="AA75" i="2"/>
  <c r="R265" i="2"/>
  <c r="V79" i="2"/>
  <c r="O34" i="2"/>
  <c r="T75" i="2"/>
  <c r="Y75" i="2"/>
  <c r="Y76" i="2" s="1"/>
  <c r="CK53" i="2"/>
  <c r="CM59" i="2"/>
  <c r="BK39" i="2"/>
  <c r="BK42" i="2" s="1"/>
  <c r="BK43" i="2" s="1"/>
  <c r="CH291" i="2"/>
  <c r="DH55" i="2"/>
  <c r="DD55" i="2" s="1"/>
  <c r="AM76" i="2"/>
  <c r="AM80" i="2" s="1"/>
  <c r="BS64" i="2"/>
  <c r="BS68" i="2" s="1"/>
  <c r="BX69" i="2" s="1"/>
  <c r="BW43" i="2"/>
  <c r="AC109" i="2"/>
  <c r="AH109" i="2"/>
  <c r="Q75" i="2"/>
  <c r="BT50" i="2"/>
  <c r="Z75" i="2"/>
  <c r="Z76" i="2" s="1"/>
  <c r="U75" i="2"/>
  <c r="CC291" i="2"/>
  <c r="CE289" i="2"/>
  <c r="CD214" i="2"/>
  <c r="CI254" i="2"/>
  <c r="CF53" i="2"/>
  <c r="BE60" i="2"/>
  <c r="BV69" i="2"/>
  <c r="AR76" i="2"/>
  <c r="AR80" i="2" s="1"/>
  <c r="BS34" i="2"/>
  <c r="BW289" i="2"/>
  <c r="AB76" i="2"/>
  <c r="AB80" i="2" s="1"/>
  <c r="AK86" i="2"/>
  <c r="AK84" i="2" s="1"/>
  <c r="AK88" i="2" s="1"/>
  <c r="AX29" i="2"/>
  <c r="AX33" i="2" s="1"/>
  <c r="CA43" i="2"/>
  <c r="AG109" i="2"/>
  <c r="CB34" i="2"/>
  <c r="AB262" i="2"/>
  <c r="AU29" i="2"/>
  <c r="AE34" i="2"/>
  <c r="BO13" i="2"/>
  <c r="V75" i="2"/>
  <c r="CI256" i="2"/>
  <c r="CI258" i="2"/>
  <c r="BZ289" i="2"/>
  <c r="CL32" i="2"/>
  <c r="BT216" i="2"/>
  <c r="BH228" i="2"/>
  <c r="BE214" i="2"/>
  <c r="Q32" i="2"/>
  <c r="Q29" i="2" s="1"/>
  <c r="Q33" i="2" s="1"/>
  <c r="P9" i="1" s="1"/>
  <c r="P329" i="1" s="1"/>
  <c r="BZ42" i="2"/>
  <c r="CE37" i="2"/>
  <c r="AO28" i="1"/>
  <c r="AO29" i="1" s="1"/>
  <c r="AO213" i="1"/>
  <c r="AO257" i="1" s="1"/>
  <c r="AO214" i="1"/>
  <c r="AO217" i="1"/>
  <c r="AP214" i="1"/>
  <c r="AU8" i="1"/>
  <c r="AU335" i="1" s="1"/>
  <c r="AP226" i="1"/>
  <c r="CL290" i="2"/>
  <c r="AP228" i="1"/>
  <c r="Q24" i="2"/>
  <c r="AJ76" i="2"/>
  <c r="AJ80" i="2" s="1"/>
  <c r="AF77" i="2"/>
  <c r="AW64" i="2"/>
  <c r="AW68" i="2" s="1"/>
  <c r="Q264" i="2"/>
  <c r="AF24" i="2"/>
  <c r="BX35" i="2"/>
  <c r="BY254" i="2"/>
  <c r="AK78" i="2"/>
  <c r="AK76" i="2" s="1"/>
  <c r="AK80" i="2" s="1"/>
  <c r="AI251" i="2"/>
  <c r="CM31" i="2"/>
  <c r="AP204" i="1"/>
  <c r="AP217" i="1"/>
  <c r="BM69" i="2"/>
  <c r="BZ290" i="2"/>
  <c r="BX289" i="2"/>
  <c r="AO208" i="1"/>
  <c r="AU55" i="2"/>
  <c r="AU59" i="2" s="1"/>
  <c r="AK238" i="2"/>
  <c r="AV69" i="2"/>
  <c r="AO228" i="1"/>
  <c r="BY256" i="2"/>
  <c r="AH76" i="2"/>
  <c r="AH80" i="2" s="1"/>
  <c r="J20" i="1"/>
  <c r="E50" i="1"/>
  <c r="CI14" i="2"/>
  <c r="AP208" i="1"/>
  <c r="AP218" i="1"/>
  <c r="AP8" i="1"/>
  <c r="AP335" i="1" s="1"/>
  <c r="AP39" i="1"/>
  <c r="BZ45" i="1"/>
  <c r="N251" i="2"/>
  <c r="BY257" i="2"/>
  <c r="CC290" i="2"/>
  <c r="BT40" i="2"/>
  <c r="BT31" i="2" s="1"/>
  <c r="BJ214" i="2"/>
  <c r="CF37" i="2"/>
  <c r="BW291" i="2"/>
  <c r="AO227" i="1"/>
  <c r="AT251" i="2"/>
  <c r="AU262" i="2"/>
  <c r="AS226" i="1"/>
  <c r="AS17" i="1"/>
  <c r="AS8" i="1"/>
  <c r="AS335" i="1" s="1"/>
  <c r="AX8" i="1"/>
  <c r="AX335" i="1" s="1"/>
  <c r="AO44" i="1"/>
  <c r="AO12" i="1"/>
  <c r="AO13" i="1" s="1"/>
  <c r="CI214" i="2"/>
  <c r="CN288" i="2" s="1"/>
  <c r="AO221" i="1"/>
  <c r="AO218" i="1"/>
  <c r="BQ13" i="1"/>
  <c r="AU304" i="1"/>
  <c r="AP44" i="1"/>
  <c r="AP45" i="1" s="1"/>
  <c r="AP17" i="1"/>
  <c r="AO39" i="1"/>
  <c r="P262" i="2"/>
  <c r="AA24" i="2"/>
  <c r="AO262" i="2"/>
  <c r="AF78" i="2"/>
  <c r="AF32" i="2"/>
  <c r="AF29" i="2" s="1"/>
  <c r="AF33" i="2" s="1"/>
  <c r="AE9" i="1" s="1"/>
  <c r="AE329" i="1" s="1"/>
  <c r="CY38" i="2"/>
  <c r="CM7" i="2"/>
  <c r="CN156" i="2"/>
  <c r="CN224" i="2" s="1"/>
  <c r="AN76" i="2"/>
  <c r="AN80" i="2" s="1"/>
  <c r="BT159" i="2"/>
  <c r="AP34" i="1"/>
  <c r="AU35" i="1" s="1"/>
  <c r="AO17" i="1"/>
  <c r="AO20" i="1" s="1"/>
  <c r="Q166" i="1"/>
  <c r="BC357" i="1"/>
  <c r="R246" i="1"/>
  <c r="G62" i="1"/>
  <c r="G63" i="1" s="1"/>
  <c r="G55" i="1"/>
  <c r="G249" i="1"/>
  <c r="AM62" i="1"/>
  <c r="AM63" i="1" s="1"/>
  <c r="AM249" i="1"/>
  <c r="Z223" i="1"/>
  <c r="BD115" i="1"/>
  <c r="H166" i="1"/>
  <c r="S218" i="1"/>
  <c r="AS204" i="1"/>
  <c r="AJ291" i="1"/>
  <c r="X177" i="2"/>
  <c r="AE201" i="1"/>
  <c r="L296" i="1"/>
  <c r="AX54" i="1"/>
  <c r="AX60" i="1"/>
  <c r="AO18" i="1"/>
  <c r="AO19" i="1" s="1"/>
  <c r="AJ204" i="1"/>
  <c r="BT235" i="1"/>
  <c r="DF102" i="1"/>
  <c r="G242" i="1"/>
  <c r="G235" i="1" s="1"/>
  <c r="AM343" i="1"/>
  <c r="BE77" i="1"/>
  <c r="BE103" i="1" s="1"/>
  <c r="BE106" i="1" s="1"/>
  <c r="CH160" i="2"/>
  <c r="AB293" i="1"/>
  <c r="AC296" i="1" s="1"/>
  <c r="BJ88" i="1"/>
  <c r="Z225" i="1"/>
  <c r="Z216" i="1"/>
  <c r="Z256" i="1" s="1"/>
  <c r="BD259" i="1"/>
  <c r="BN115" i="1"/>
  <c r="BZ208" i="1"/>
  <c r="T296" i="1"/>
  <c r="AX351" i="1"/>
  <c r="BH343" i="1"/>
  <c r="AJ205" i="1"/>
  <c r="AY115" i="1"/>
  <c r="BX115" i="1"/>
  <c r="BZ210" i="1"/>
  <c r="AZ207" i="1"/>
  <c r="U178" i="2"/>
  <c r="AF234" i="1"/>
  <c r="Z190" i="1"/>
  <c r="BJ170" i="1"/>
  <c r="BJ173" i="1" s="1"/>
  <c r="BJ354" i="1" s="1"/>
  <c r="AN178" i="2"/>
  <c r="AM51" i="1"/>
  <c r="Z224" i="1"/>
  <c r="BP36" i="1"/>
  <c r="W40" i="1"/>
  <c r="AA166" i="1"/>
  <c r="S204" i="1"/>
  <c r="AZ259" i="1"/>
  <c r="BC293" i="1"/>
  <c r="BB207" i="1"/>
  <c r="CC228" i="2"/>
  <c r="AX343" i="1"/>
  <c r="J35" i="1"/>
  <c r="BJ86" i="1"/>
  <c r="BJ94" i="1" s="1"/>
  <c r="Z293" i="1"/>
  <c r="R253" i="1"/>
  <c r="AV262" i="1"/>
  <c r="AN190" i="1"/>
  <c r="AN125" i="1" s="1"/>
  <c r="AN124" i="1" s="1"/>
  <c r="AM125" i="1"/>
  <c r="AM124" i="1" s="1"/>
  <c r="AM192" i="1"/>
  <c r="AM196" i="1" s="1"/>
  <c r="AM201" i="1" s="1"/>
  <c r="S262" i="1"/>
  <c r="I55" i="1"/>
  <c r="I249" i="1"/>
  <c r="Z166" i="1"/>
  <c r="U45" i="1"/>
  <c r="AH51" i="1"/>
  <c r="AI211" i="2" s="1"/>
  <c r="AH54" i="1"/>
  <c r="AH74" i="1"/>
  <c r="AI161" i="2"/>
  <c r="AI178" i="2"/>
  <c r="AN161" i="2"/>
  <c r="AM60" i="1"/>
  <c r="AM61" i="1" s="1"/>
  <c r="BT343" i="1"/>
  <c r="BT54" i="1"/>
  <c r="W206" i="1"/>
  <c r="W208" i="1"/>
  <c r="W210" i="1"/>
  <c r="BJ250" i="1"/>
  <c r="BJ344" i="1"/>
  <c r="BJ345" i="1" s="1"/>
  <c r="I51" i="1"/>
  <c r="J211" i="2" s="1"/>
  <c r="J178" i="2"/>
  <c r="I74" i="1"/>
  <c r="BQ45" i="1"/>
  <c r="BK219" i="2"/>
  <c r="CF228" i="2"/>
  <c r="AQ283" i="1"/>
  <c r="AQ293" i="1" s="1"/>
  <c r="AQ342" i="1"/>
  <c r="BX242" i="1"/>
  <c r="AE291" i="1"/>
  <c r="AY241" i="1"/>
  <c r="CB42" i="2"/>
  <c r="CG37" i="2"/>
  <c r="AR50" i="2"/>
  <c r="AW51" i="2" s="1"/>
  <c r="AU47" i="2"/>
  <c r="AU50" i="2" s="1"/>
  <c r="AU51" i="2" s="1"/>
  <c r="BJ231" i="2"/>
  <c r="S242" i="1"/>
  <c r="S235" i="1" s="1"/>
  <c r="T233" i="1" s="1"/>
  <c r="T234" i="1" s="1"/>
  <c r="T262" i="1"/>
  <c r="CB160" i="2"/>
  <c r="CB227" i="2"/>
  <c r="CG227" i="2"/>
  <c r="AR229" i="1"/>
  <c r="AS188" i="1"/>
  <c r="AT188" i="1" s="1"/>
  <c r="AR209" i="1"/>
  <c r="AR210" i="1" s="1"/>
  <c r="CB178" i="1"/>
  <c r="CB222" i="1"/>
  <c r="CB258" i="1" s="1"/>
  <c r="CB223" i="1"/>
  <c r="CC147" i="1"/>
  <c r="CA234" i="2"/>
  <c r="CF234" i="2"/>
  <c r="CA193" i="2"/>
  <c r="CA219" i="2" s="1"/>
  <c r="Y25" i="1"/>
  <c r="T23" i="1"/>
  <c r="Y24" i="1" s="1"/>
  <c r="BD343" i="1"/>
  <c r="BD60" i="1"/>
  <c r="AF248" i="2"/>
  <c r="AF176" i="2"/>
  <c r="AK248" i="2"/>
  <c r="BC193" i="2"/>
  <c r="BC219" i="2" s="1"/>
  <c r="BC234" i="2"/>
  <c r="AK19" i="1"/>
  <c r="BE65" i="2"/>
  <c r="AH206" i="1"/>
  <c r="AH208" i="1"/>
  <c r="AJ25" i="1"/>
  <c r="AJ23" i="1"/>
  <c r="AJ24" i="1" s="1"/>
  <c r="AE259" i="1"/>
  <c r="AW342" i="1"/>
  <c r="AW283" i="1"/>
  <c r="AW293" i="1" s="1"/>
  <c r="BU237" i="1"/>
  <c r="BU71" i="1" s="1"/>
  <c r="BU137" i="1"/>
  <c r="BU199" i="1"/>
  <c r="BV198" i="1" s="1"/>
  <c r="AO228" i="2"/>
  <c r="Y82" i="1"/>
  <c r="Y88" i="1"/>
  <c r="Y170" i="1"/>
  <c r="CI231" i="2"/>
  <c r="CE218" i="1"/>
  <c r="BR12" i="1"/>
  <c r="BR13" i="1" s="1"/>
  <c r="BR350" i="1"/>
  <c r="BQ29" i="1"/>
  <c r="AY50" i="1"/>
  <c r="BR28" i="1"/>
  <c r="BR29" i="1" s="1"/>
  <c r="BR226" i="1"/>
  <c r="CD166" i="2"/>
  <c r="CD193" i="2" s="1"/>
  <c r="CI217" i="2"/>
  <c r="V264" i="2"/>
  <c r="Q144" i="2"/>
  <c r="Q148" i="2" s="1"/>
  <c r="BO40" i="2"/>
  <c r="BO31" i="2" s="1"/>
  <c r="AQ59" i="2"/>
  <c r="BU60" i="2"/>
  <c r="CC288" i="2"/>
  <c r="BJ192" i="1"/>
  <c r="BJ196" i="1" s="1"/>
  <c r="BJ201" i="1" s="1"/>
  <c r="AG76" i="2"/>
  <c r="AG80" i="2" s="1"/>
  <c r="CF221" i="1"/>
  <c r="CK221" i="1" s="1"/>
  <c r="CP221" i="1" s="1"/>
  <c r="CF214" i="1"/>
  <c r="CK214" i="1" s="1"/>
  <c r="CP214" i="1" s="1"/>
  <c r="CU214" i="1" s="1"/>
  <c r="CZ214" i="1" s="1"/>
  <c r="DE214" i="1" s="1"/>
  <c r="CF227" i="1"/>
  <c r="CK227" i="1" s="1"/>
  <c r="CP227" i="1" s="1"/>
  <c r="CE12" i="1"/>
  <c r="CE13" i="1" s="1"/>
  <c r="CE44" i="1"/>
  <c r="CE350" i="1"/>
  <c r="CE221" i="1"/>
  <c r="BH351" i="1"/>
  <c r="BI161" i="2"/>
  <c r="BX39" i="2"/>
  <c r="BC19" i="1"/>
  <c r="BO231" i="2"/>
  <c r="CA196" i="1"/>
  <c r="CA200" i="1" s="1"/>
  <c r="AK201" i="1"/>
  <c r="Q293" i="1"/>
  <c r="R296" i="1" s="1"/>
  <c r="Y134" i="2"/>
  <c r="Y138" i="2" s="1"/>
  <c r="CB149" i="1"/>
  <c r="CB150" i="1" s="1"/>
  <c r="CB155" i="1" s="1"/>
  <c r="CZ46" i="2"/>
  <c r="DH46" i="2"/>
  <c r="CY46" i="2"/>
  <c r="DA46" i="2"/>
  <c r="AZ159" i="2"/>
  <c r="AZ227" i="2" s="1"/>
  <c r="AZ231" i="2"/>
  <c r="BB61" i="1"/>
  <c r="BB353" i="1"/>
  <c r="BH234" i="2"/>
  <c r="BH193" i="2"/>
  <c r="BC227" i="2"/>
  <c r="AX160" i="2"/>
  <c r="AX228" i="2" s="1"/>
  <c r="BF19" i="1"/>
  <c r="AP270" i="2"/>
  <c r="AP274" i="2" s="1"/>
  <c r="AP273" i="2"/>
  <c r="AU78" i="2"/>
  <c r="S262" i="2"/>
  <c r="BW227" i="2"/>
  <c r="AU76" i="2"/>
  <c r="AU80" i="2" s="1"/>
  <c r="AT355" i="1"/>
  <c r="BG192" i="1"/>
  <c r="AA293" i="1"/>
  <c r="AB296" i="1" s="1"/>
  <c r="AY18" i="1"/>
  <c r="BR221" i="1"/>
  <c r="BR227" i="1"/>
  <c r="AP29" i="2"/>
  <c r="AP33" i="2" s="1"/>
  <c r="W246" i="1"/>
  <c r="BM9" i="1"/>
  <c r="BM329" i="1" s="1"/>
  <c r="BT39" i="2"/>
  <c r="O293" i="1"/>
  <c r="O296" i="1" s="1"/>
  <c r="BE15" i="2"/>
  <c r="BE190" i="2"/>
  <c r="BE216" i="2" s="1"/>
  <c r="BO64" i="2"/>
  <c r="CF213" i="1"/>
  <c r="CF257" i="1" s="1"/>
  <c r="CF44" i="1"/>
  <c r="CK44" i="1" s="1"/>
  <c r="CE204" i="1"/>
  <c r="CE39" i="1"/>
  <c r="CE40" i="1" s="1"/>
  <c r="CE227" i="1"/>
  <c r="CE213" i="1"/>
  <c r="CE257" i="1" s="1"/>
  <c r="BH60" i="1"/>
  <c r="BH74" i="1"/>
  <c r="BS228" i="2"/>
  <c r="BI22" i="1"/>
  <c r="BI23" i="1" s="1"/>
  <c r="U142" i="1"/>
  <c r="U283" i="1" s="1"/>
  <c r="U293" i="1" s="1"/>
  <c r="F165" i="1"/>
  <c r="F166" i="1" s="1"/>
  <c r="BW69" i="2"/>
  <c r="AN209" i="1"/>
  <c r="AN229" i="1"/>
  <c r="BE75" i="1"/>
  <c r="BE79" i="1"/>
  <c r="T51" i="1"/>
  <c r="T54" i="1"/>
  <c r="T60" i="1"/>
  <c r="T61" i="1" s="1"/>
  <c r="AR60" i="1"/>
  <c r="AR61" i="1" s="1"/>
  <c r="AR343" i="1"/>
  <c r="AR51" i="1"/>
  <c r="AS211" i="2" s="1"/>
  <c r="AR54" i="1"/>
  <c r="AR57" i="1" s="1"/>
  <c r="AS161" i="2"/>
  <c r="AR74" i="1"/>
  <c r="AS178" i="2"/>
  <c r="BB79" i="1"/>
  <c r="BC194" i="2"/>
  <c r="BB75" i="1"/>
  <c r="BB77" i="1"/>
  <c r="M208" i="1"/>
  <c r="M206" i="1"/>
  <c r="M207" i="1" s="1"/>
  <c r="BW228" i="2"/>
  <c r="P210" i="2"/>
  <c r="P266" i="2" s="1"/>
  <c r="P244" i="2"/>
  <c r="CZ55" i="2"/>
  <c r="CY55" i="2"/>
  <c r="AF23" i="1"/>
  <c r="AF24" i="1" s="1"/>
  <c r="AF25" i="1"/>
  <c r="BW199" i="1"/>
  <c r="BX199" i="1" s="1"/>
  <c r="BW137" i="1"/>
  <c r="BW237" i="1"/>
  <c r="BW242" i="1" s="1"/>
  <c r="CB190" i="1"/>
  <c r="CB125" i="1" s="1"/>
  <c r="CB124" i="1" s="1"/>
  <c r="CA125" i="1"/>
  <c r="CA124" i="1" s="1"/>
  <c r="CA209" i="1"/>
  <c r="CA210" i="1" s="1"/>
  <c r="C50" i="1"/>
  <c r="C18" i="1"/>
  <c r="H19" i="1" s="1"/>
  <c r="C22" i="1"/>
  <c r="AM207" i="1"/>
  <c r="BS115" i="1"/>
  <c r="CH44" i="1"/>
  <c r="CM44" i="1" s="1"/>
  <c r="AF51" i="1"/>
  <c r="AK52" i="1" s="1"/>
  <c r="BD241" i="1"/>
  <c r="BD242" i="1" s="1"/>
  <c r="AD296" i="1"/>
  <c r="U29" i="1"/>
  <c r="K259" i="1"/>
  <c r="AO259" i="1"/>
  <c r="T259" i="1"/>
  <c r="AV293" i="1"/>
  <c r="BR214" i="1"/>
  <c r="CB102" i="1"/>
  <c r="CC102" i="1" s="1"/>
  <c r="AV34" i="2"/>
  <c r="AF238" i="2"/>
  <c r="X76" i="2"/>
  <c r="CF217" i="1"/>
  <c r="CK217" i="1" s="1"/>
  <c r="CP217" i="1" s="1"/>
  <c r="CF228" i="1"/>
  <c r="CK228" i="1" s="1"/>
  <c r="CE8" i="1"/>
  <c r="CE335" i="1" s="1"/>
  <c r="CE17" i="1"/>
  <c r="CE22" i="1" s="1"/>
  <c r="CE228" i="1"/>
  <c r="BH54" i="1"/>
  <c r="BI190" i="1"/>
  <c r="BI209" i="1" s="1"/>
  <c r="C166" i="1"/>
  <c r="Y262" i="1"/>
  <c r="CC119" i="1"/>
  <c r="CV102" i="1"/>
  <c r="CW102" i="1" s="1"/>
  <c r="BH19" i="1"/>
  <c r="BD33" i="1"/>
  <c r="F12" i="1"/>
  <c r="H293" i="1"/>
  <c r="I296" i="1" s="1"/>
  <c r="O166" i="1"/>
  <c r="BX290" i="2"/>
  <c r="N76" i="2"/>
  <c r="N80" i="2" s="1"/>
  <c r="BO283" i="1"/>
  <c r="BO293" i="1" s="1"/>
  <c r="BO342" i="1"/>
  <c r="O242" i="1"/>
  <c r="O235" i="1" s="1"/>
  <c r="O253" i="1"/>
  <c r="O246" i="1"/>
  <c r="BE61" i="1"/>
  <c r="BE353" i="1"/>
  <c r="Y19" i="1"/>
  <c r="T19" i="1"/>
  <c r="AR23" i="1"/>
  <c r="AW24" i="1" s="1"/>
  <c r="AW25" i="1"/>
  <c r="P243" i="2"/>
  <c r="G74" i="1"/>
  <c r="G60" i="1"/>
  <c r="G61" i="1" s="1"/>
  <c r="H178" i="2"/>
  <c r="G51" i="1"/>
  <c r="H211" i="2" s="1"/>
  <c r="BA25" i="1"/>
  <c r="BA23" i="1"/>
  <c r="BA24" i="1" s="1"/>
  <c r="AK55" i="1"/>
  <c r="AK249" i="1"/>
  <c r="AK62" i="1"/>
  <c r="AK63" i="1" s="1"/>
  <c r="E25" i="1"/>
  <c r="J25" i="1"/>
  <c r="E23" i="1"/>
  <c r="BU40" i="1"/>
  <c r="BQ20" i="1"/>
  <c r="BQ18" i="1"/>
  <c r="CG213" i="1"/>
  <c r="CG257" i="1" s="1"/>
  <c r="CG221" i="1"/>
  <c r="CL221" i="1" s="1"/>
  <c r="CQ221" i="1" s="1"/>
  <c r="B35" i="1"/>
  <c r="G35" i="1"/>
  <c r="BU60" i="1"/>
  <c r="BV161" i="2"/>
  <c r="BU351" i="1"/>
  <c r="BU51" i="1"/>
  <c r="BU74" i="1"/>
  <c r="BU343" i="1"/>
  <c r="BQ22" i="1"/>
  <c r="CG227" i="1"/>
  <c r="CL227" i="1" s="1"/>
  <c r="CQ227" i="1" s="1"/>
  <c r="CG226" i="1"/>
  <c r="CL226" i="1" s="1"/>
  <c r="CQ226" i="1" s="1"/>
  <c r="BQ40" i="1"/>
  <c r="CG228" i="1"/>
  <c r="CL228" i="1" s="1"/>
  <c r="CK9" i="1"/>
  <c r="CH211" i="1"/>
  <c r="L262" i="1"/>
  <c r="K242" i="1"/>
  <c r="K235" i="1" s="1"/>
  <c r="BT164" i="2"/>
  <c r="U18" i="1"/>
  <c r="U22" i="1"/>
  <c r="U23" i="1" s="1"/>
  <c r="CI33" i="1"/>
  <c r="CI36" i="1" s="1"/>
  <c r="CI102" i="1"/>
  <c r="CL31" i="1"/>
  <c r="CL102" i="1" s="1"/>
  <c r="BT13" i="2"/>
  <c r="BT32" i="2"/>
  <c r="BV288" i="2"/>
  <c r="AT194" i="1"/>
  <c r="BO214" i="2"/>
  <c r="BY288" i="2" s="1"/>
  <c r="BJ30" i="2"/>
  <c r="BN330" i="1" s="1"/>
  <c r="BO68" i="2"/>
  <c r="CS132" i="1"/>
  <c r="CT132" i="1" s="1"/>
  <c r="CU132" i="1" s="1"/>
  <c r="CV132" i="1" s="1"/>
  <c r="J296" i="1"/>
  <c r="W109" i="2"/>
  <c r="BM235" i="1"/>
  <c r="BM357" i="1"/>
  <c r="AC262" i="1"/>
  <c r="AD262" i="1"/>
  <c r="AC242" i="1"/>
  <c r="AC235" i="1" s="1"/>
  <c r="AD233" i="1" s="1"/>
  <c r="AD234" i="1" s="1"/>
  <c r="BH235" i="1"/>
  <c r="BH357" i="1"/>
  <c r="AF109" i="2"/>
  <c r="BW234" i="2"/>
  <c r="BR193" i="2"/>
  <c r="BW219" i="2" s="1"/>
  <c r="CF229" i="1"/>
  <c r="CF209" i="1"/>
  <c r="L234" i="1"/>
  <c r="M233" i="1"/>
  <c r="J253" i="1"/>
  <c r="J246" i="1"/>
  <c r="J242" i="1"/>
  <c r="J235" i="1" s="1"/>
  <c r="BW262" i="1"/>
  <c r="V109" i="2"/>
  <c r="AF74" i="1"/>
  <c r="AF60" i="1"/>
  <c r="AF61" i="1" s="1"/>
  <c r="AG161" i="2"/>
  <c r="AG178" i="2"/>
  <c r="BA76" i="1"/>
  <c r="BA75" i="1"/>
  <c r="BB194" i="2"/>
  <c r="BD177" i="1"/>
  <c r="BD355" i="1" s="1"/>
  <c r="AZ355" i="1"/>
  <c r="BS178" i="1"/>
  <c r="BS355" i="1" s="1"/>
  <c r="BO355" i="1"/>
  <c r="S186" i="1"/>
  <c r="S205" i="1"/>
  <c r="BR8" i="1"/>
  <c r="BR335" i="1" s="1"/>
  <c r="BR39" i="1"/>
  <c r="BR40" i="1" s="1"/>
  <c r="BR17" i="1"/>
  <c r="AP227" i="2"/>
  <c r="AP160" i="2"/>
  <c r="AU227" i="2"/>
  <c r="BT231" i="2"/>
  <c r="BU160" i="2"/>
  <c r="BZ228" i="2" s="1"/>
  <c r="BU227" i="2"/>
  <c r="BY159" i="2"/>
  <c r="CD227" i="2" s="1"/>
  <c r="AC177" i="2"/>
  <c r="AC210" i="2" s="1"/>
  <c r="AC243" i="2"/>
  <c r="BY231" i="2"/>
  <c r="BT61" i="1"/>
  <c r="BT353" i="1"/>
  <c r="CG39" i="1"/>
  <c r="CG350" i="1"/>
  <c r="CG28" i="1"/>
  <c r="CG44" i="1"/>
  <c r="CG12" i="1"/>
  <c r="BX342" i="1"/>
  <c r="BX283" i="1"/>
  <c r="BX293" i="1" s="1"/>
  <c r="BX295" i="1" s="1"/>
  <c r="BU194" i="2"/>
  <c r="BT75" i="1"/>
  <c r="BT79" i="1"/>
  <c r="BT77" i="1"/>
  <c r="BB254" i="2"/>
  <c r="BB257" i="2"/>
  <c r="BG226" i="2"/>
  <c r="BB255" i="2"/>
  <c r="BB258" i="2"/>
  <c r="BB166" i="2"/>
  <c r="BB234" i="2" s="1"/>
  <c r="BB160" i="2"/>
  <c r="BG228" i="2" s="1"/>
  <c r="AA13" i="1"/>
  <c r="V13" i="1"/>
  <c r="AA19" i="1"/>
  <c r="AN19" i="1"/>
  <c r="AX23" i="1"/>
  <c r="AP247" i="2"/>
  <c r="AK247" i="2"/>
  <c r="AK250" i="1"/>
  <c r="AK251" i="1" s="1"/>
  <c r="AK103" i="1"/>
  <c r="AK106" i="1" s="1"/>
  <c r="AK107" i="1" s="1"/>
  <c r="AK344" i="1"/>
  <c r="AK345" i="1" s="1"/>
  <c r="AZ283" i="1"/>
  <c r="AZ293" i="1" s="1"/>
  <c r="BA296" i="1" s="1"/>
  <c r="AZ342" i="1"/>
  <c r="BG206" i="1"/>
  <c r="BG207" i="1" s="1"/>
  <c r="BG208" i="1"/>
  <c r="AZ235" i="1"/>
  <c r="AZ357" i="1"/>
  <c r="BN228" i="2"/>
  <c r="BX193" i="2"/>
  <c r="BX234" i="2"/>
  <c r="AB177" i="2"/>
  <c r="AB243" i="2"/>
  <c r="BE25" i="1"/>
  <c r="AZ25" i="1"/>
  <c r="AZ23" i="1"/>
  <c r="AZ24" i="1" s="1"/>
  <c r="AI262" i="2"/>
  <c r="AN262" i="2"/>
  <c r="AU235" i="1"/>
  <c r="AU357" i="1"/>
  <c r="W262" i="2"/>
  <c r="Q263" i="2"/>
  <c r="AV193" i="2"/>
  <c r="AV219" i="2" s="1"/>
  <c r="AV234" i="2"/>
  <c r="AY160" i="2"/>
  <c r="BD227" i="2"/>
  <c r="AY227" i="2"/>
  <c r="BE231" i="2"/>
  <c r="BE159" i="2"/>
  <c r="AM243" i="2"/>
  <c r="AH177" i="2"/>
  <c r="AH243" i="2"/>
  <c r="CF48" i="2"/>
  <c r="CF299" i="2"/>
  <c r="CF66" i="2"/>
  <c r="BE54" i="1"/>
  <c r="BE194" i="2"/>
  <c r="BD75" i="1"/>
  <c r="BD266" i="1"/>
  <c r="BD269" i="1" s="1"/>
  <c r="D50" i="1"/>
  <c r="I20" i="1"/>
  <c r="D22" i="1"/>
  <c r="D18" i="1"/>
  <c r="I19" i="1" s="1"/>
  <c r="BW102" i="1"/>
  <c r="BW33" i="1"/>
  <c r="AC79" i="1"/>
  <c r="AC77" i="1"/>
  <c r="AC250" i="1" s="1"/>
  <c r="AC251" i="1" s="1"/>
  <c r="AD185" i="2"/>
  <c r="AC75" i="1"/>
  <c r="CT123" i="1"/>
  <c r="CT116" i="1" s="1"/>
  <c r="CS123" i="1"/>
  <c r="CS116" i="1" s="1"/>
  <c r="CU123" i="1"/>
  <c r="CU116" i="1" s="1"/>
  <c r="CW116" i="1"/>
  <c r="DB123" i="1"/>
  <c r="N208" i="1"/>
  <c r="N206" i="1"/>
  <c r="N207" i="1" s="1"/>
  <c r="X208" i="1"/>
  <c r="X206" i="1"/>
  <c r="AC334" i="1"/>
  <c r="AD185" i="1"/>
  <c r="AD334" i="1" s="1"/>
  <c r="AC186" i="1"/>
  <c r="AC196" i="1" s="1"/>
  <c r="AC201" i="1" s="1"/>
  <c r="AX185" i="1"/>
  <c r="AW186" i="1"/>
  <c r="AW334" i="1"/>
  <c r="BN231" i="1"/>
  <c r="BV290" i="2"/>
  <c r="BZ227" i="2"/>
  <c r="CD15" i="2"/>
  <c r="CD32" i="2"/>
  <c r="BO51" i="2"/>
  <c r="BE50" i="2"/>
  <c r="BE51" i="2" s="1"/>
  <c r="AN25" i="1"/>
  <c r="AN23" i="1"/>
  <c r="AM283" i="1"/>
  <c r="AM293" i="1" s="1"/>
  <c r="AM342" i="1"/>
  <c r="AE109" i="2"/>
  <c r="CA291" i="2"/>
  <c r="BV291" i="2"/>
  <c r="BR237" i="1"/>
  <c r="BR137" i="1"/>
  <c r="BS131" i="1"/>
  <c r="BR199" i="1"/>
  <c r="BS199" i="1" s="1"/>
  <c r="BR262" i="1"/>
  <c r="BQ242" i="1"/>
  <c r="AG242" i="1"/>
  <c r="AG235" i="1" s="1"/>
  <c r="AG262" i="1"/>
  <c r="BM262" i="1"/>
  <c r="BL242" i="1"/>
  <c r="AP184" i="2"/>
  <c r="AP177" i="2"/>
  <c r="AP210" i="2" s="1"/>
  <c r="AM23" i="1"/>
  <c r="AM25" i="1"/>
  <c r="AR25" i="1"/>
  <c r="AR262" i="1"/>
  <c r="AQ242" i="1"/>
  <c r="AQ235" i="1" s="1"/>
  <c r="N242" i="1"/>
  <c r="N235" i="1" s="1"/>
  <c r="O233" i="1" s="1"/>
  <c r="O262" i="1"/>
  <c r="BR33" i="1"/>
  <c r="BS33" i="1" s="1"/>
  <c r="BR102" i="1"/>
  <c r="BS102" i="1" s="1"/>
  <c r="BA353" i="1"/>
  <c r="BA61" i="1"/>
  <c r="G106" i="1"/>
  <c r="K103" i="1"/>
  <c r="K155" i="1"/>
  <c r="K231" i="1"/>
  <c r="R206" i="1"/>
  <c r="R208" i="1"/>
  <c r="AC208" i="1"/>
  <c r="AC206" i="1"/>
  <c r="BR227" i="2"/>
  <c r="BM160" i="2"/>
  <c r="BM227" i="2"/>
  <c r="N243" i="2"/>
  <c r="N177" i="2"/>
  <c r="S243" i="2"/>
  <c r="AR177" i="2"/>
  <c r="AR243" i="2"/>
  <c r="BL219" i="2"/>
  <c r="AT210" i="2"/>
  <c r="AT266" i="2" s="1"/>
  <c r="AT244" i="2"/>
  <c r="AZ74" i="1"/>
  <c r="BA161" i="2"/>
  <c r="AZ51" i="1"/>
  <c r="BE52" i="1" s="1"/>
  <c r="AZ60" i="1"/>
  <c r="AZ343" i="1"/>
  <c r="AZ351" i="1"/>
  <c r="CF17" i="1"/>
  <c r="CF28" i="1"/>
  <c r="CF350" i="1"/>
  <c r="BE158" i="2"/>
  <c r="BE226" i="2" s="1"/>
  <c r="CC289" i="2"/>
  <c r="K14" i="1"/>
  <c r="AE14" i="1"/>
  <c r="Z14" i="1"/>
  <c r="Z12" i="1"/>
  <c r="Z17" i="1"/>
  <c r="AA25" i="1"/>
  <c r="V23" i="1"/>
  <c r="AD19" i="1"/>
  <c r="AI19" i="1"/>
  <c r="AN343" i="1"/>
  <c r="AO161" i="2"/>
  <c r="AN60" i="1"/>
  <c r="AN61" i="1" s="1"/>
  <c r="AO178" i="2"/>
  <c r="AN54" i="1"/>
  <c r="BN241" i="1"/>
  <c r="BN242" i="1" s="1"/>
  <c r="G234" i="1"/>
  <c r="H233" i="1"/>
  <c r="BN227" i="2"/>
  <c r="BJ159" i="2"/>
  <c r="BJ160" i="2" s="1"/>
  <c r="BI227" i="2"/>
  <c r="AD210" i="2"/>
  <c r="AI244" i="2"/>
  <c r="AD244" i="2"/>
  <c r="CA201" i="1"/>
  <c r="BB142" i="1"/>
  <c r="BB231" i="1"/>
  <c r="K54" i="1"/>
  <c r="K74" i="1"/>
  <c r="L178" i="2"/>
  <c r="K60" i="1"/>
  <c r="K61" i="1" s="1"/>
  <c r="K51" i="1"/>
  <c r="CI39" i="2"/>
  <c r="H23" i="1"/>
  <c r="H25" i="1"/>
  <c r="H54" i="1"/>
  <c r="I178" i="2"/>
  <c r="H51" i="1"/>
  <c r="AM75" i="1"/>
  <c r="AN194" i="2"/>
  <c r="AM77" i="1"/>
  <c r="AN185" i="2"/>
  <c r="AM79" i="1"/>
  <c r="BG210" i="1"/>
  <c r="BQ262" i="1"/>
  <c r="BA228" i="2"/>
  <c r="BF228" i="2"/>
  <c r="W210" i="2"/>
  <c r="T75" i="1"/>
  <c r="U185" i="2"/>
  <c r="T77" i="1"/>
  <c r="T250" i="1" s="1"/>
  <c r="T79" i="1"/>
  <c r="CF192" i="1"/>
  <c r="F34" i="1"/>
  <c r="F35" i="1" s="1"/>
  <c r="F28" i="1"/>
  <c r="K29" i="1" s="1"/>
  <c r="F39" i="1"/>
  <c r="K40" i="1" s="1"/>
  <c r="K8" i="1"/>
  <c r="K335" i="1" s="1"/>
  <c r="F17" i="1"/>
  <c r="F44" i="1"/>
  <c r="K45" i="1" s="1"/>
  <c r="BM19" i="1"/>
  <c r="BU36" i="1"/>
  <c r="BZ36" i="1"/>
  <c r="AC62" i="1"/>
  <c r="AC63" i="1" s="1"/>
  <c r="O204" i="1"/>
  <c r="O205" i="1"/>
  <c r="O210" i="1" s="1"/>
  <c r="O218" i="1"/>
  <c r="Y205" i="1"/>
  <c r="Y204" i="1"/>
  <c r="Y218" i="1"/>
  <c r="BV334" i="1"/>
  <c r="BV186" i="1"/>
  <c r="BJ215" i="2"/>
  <c r="BO215" i="2"/>
  <c r="BY289" i="2" s="1"/>
  <c r="AK205" i="2"/>
  <c r="BN342" i="1"/>
  <c r="BN283" i="1"/>
  <c r="BN293" i="1" s="1"/>
  <c r="BN295" i="1" s="1"/>
  <c r="CF33" i="2"/>
  <c r="BX228" i="2"/>
  <c r="AK263" i="2"/>
  <c r="BY32" i="2"/>
  <c r="CF43" i="2"/>
  <c r="AD109" i="2"/>
  <c r="AI109" i="2"/>
  <c r="AA109" i="2"/>
  <c r="CE124" i="1"/>
  <c r="CH125" i="1"/>
  <c r="CH124" i="1" s="1"/>
  <c r="BU262" i="1"/>
  <c r="BV262" i="1"/>
  <c r="BU242" i="1"/>
  <c r="AH242" i="1"/>
  <c r="AH235" i="1" s="1"/>
  <c r="AI233" i="1" s="1"/>
  <c r="AI234" i="1" s="1"/>
  <c r="AI262" i="1"/>
  <c r="AZ262" i="1"/>
  <c r="AY242" i="1"/>
  <c r="AX235" i="1"/>
  <c r="AX357" i="1"/>
  <c r="CJ63" i="2"/>
  <c r="CJ64" i="2" s="1"/>
  <c r="CN65" i="2"/>
  <c r="AB109" i="2"/>
  <c r="BD34" i="1"/>
  <c r="BD35" i="1" s="1"/>
  <c r="BD36" i="1"/>
  <c r="BF51" i="1"/>
  <c r="BF52" i="1" s="1"/>
  <c r="BG161" i="2"/>
  <c r="BF343" i="1"/>
  <c r="BF345" i="1" s="1"/>
  <c r="BF351" i="1"/>
  <c r="CC176" i="1"/>
  <c r="BY355" i="1"/>
  <c r="V242" i="1"/>
  <c r="V235" i="1" s="1"/>
  <c r="W233" i="1" s="1"/>
  <c r="W262" i="1"/>
  <c r="AT155" i="1"/>
  <c r="AT231" i="1"/>
  <c r="AD204" i="1"/>
  <c r="AD218" i="1"/>
  <c r="AD205" i="1"/>
  <c r="BQ227" i="2"/>
  <c r="BQ160" i="2"/>
  <c r="BV227" i="2"/>
  <c r="BD137" i="1"/>
  <c r="BE136" i="1"/>
  <c r="AG75" i="1"/>
  <c r="AG77" i="1"/>
  <c r="AG250" i="1" s="1"/>
  <c r="AG251" i="1" s="1"/>
  <c r="AH194" i="2"/>
  <c r="AG79" i="1"/>
  <c r="AH185" i="2"/>
  <c r="CK63" i="2"/>
  <c r="AG243" i="2"/>
  <c r="AG177" i="2"/>
  <c r="K13" i="1"/>
  <c r="Q22" i="1"/>
  <c r="Q23" i="1" s="1"/>
  <c r="Q50" i="1"/>
  <c r="Q18" i="1"/>
  <c r="V19" i="1" s="1"/>
  <c r="V20" i="1"/>
  <c r="AD51" i="1"/>
  <c r="AE178" i="2"/>
  <c r="AD54" i="1"/>
  <c r="AD74" i="1"/>
  <c r="AD60" i="1"/>
  <c r="AD61" i="1" s="1"/>
  <c r="W74" i="1"/>
  <c r="W51" i="1"/>
  <c r="X211" i="2" s="1"/>
  <c r="W60" i="1"/>
  <c r="W61" i="1" s="1"/>
  <c r="X178" i="2"/>
  <c r="W54" i="1"/>
  <c r="BG75" i="1"/>
  <c r="BG76" i="1"/>
  <c r="BG79" i="1" s="1"/>
  <c r="BH194" i="2"/>
  <c r="BX358" i="1"/>
  <c r="BX119" i="1"/>
  <c r="BC245" i="1"/>
  <c r="BC165" i="1"/>
  <c r="BC166" i="1" s="1"/>
  <c r="AQ262" i="1"/>
  <c r="AQ243" i="2"/>
  <c r="AL177" i="2"/>
  <c r="AL243" i="2"/>
  <c r="AN243" i="2"/>
  <c r="AN177" i="2"/>
  <c r="AI189" i="1"/>
  <c r="AH192" i="1"/>
  <c r="AH196" i="1" s="1"/>
  <c r="AH201" i="1" s="1"/>
  <c r="AE51" i="1"/>
  <c r="AE74" i="1"/>
  <c r="AE60" i="1"/>
  <c r="AE61" i="1" s="1"/>
  <c r="AE54" i="1"/>
  <c r="AF178" i="2"/>
  <c r="BM342" i="1"/>
  <c r="BM283" i="1"/>
  <c r="BM293" i="1" s="1"/>
  <c r="CF218" i="1"/>
  <c r="CK218" i="1" s="1"/>
  <c r="CP218" i="1" s="1"/>
  <c r="CU218" i="1" s="1"/>
  <c r="CZ218" i="1" s="1"/>
  <c r="DE218" i="1" s="1"/>
  <c r="AS227" i="2"/>
  <c r="AX227" i="2"/>
  <c r="AP35" i="1"/>
  <c r="AM52" i="1"/>
  <c r="AN211" i="2"/>
  <c r="AY119" i="1"/>
  <c r="AY358" i="1"/>
  <c r="I219" i="1"/>
  <c r="I60" i="1"/>
  <c r="I61" i="1" s="1"/>
  <c r="I220" i="1"/>
  <c r="I62" i="1"/>
  <c r="I63" i="1" s="1"/>
  <c r="J172" i="1"/>
  <c r="BR188" i="1"/>
  <c r="BQ229" i="1"/>
  <c r="AK32" i="2"/>
  <c r="AK29" i="2" s="1"/>
  <c r="AK33" i="2" s="1"/>
  <c r="AK24" i="2"/>
  <c r="AK273" i="2"/>
  <c r="AK270" i="2"/>
  <c r="AK274" i="2" s="1"/>
  <c r="AN193" i="2"/>
  <c r="AN219" i="2" s="1"/>
  <c r="AN234" i="2"/>
  <c r="BA234" i="2"/>
  <c r="BA193" i="2"/>
  <c r="BA219" i="2" s="1"/>
  <c r="BE166" i="2"/>
  <c r="BE193" i="2" s="1"/>
  <c r="V241" i="2"/>
  <c r="V208" i="2"/>
  <c r="V265" i="2" s="1"/>
  <c r="AA241" i="2"/>
  <c r="R177" i="2"/>
  <c r="W243" i="2"/>
  <c r="R243" i="2"/>
  <c r="BM23" i="1"/>
  <c r="BM24" i="1" s="1"/>
  <c r="BM25" i="1"/>
  <c r="BN194" i="2"/>
  <c r="BM75" i="1"/>
  <c r="BM76" i="1"/>
  <c r="BN76" i="1" s="1"/>
  <c r="AD211" i="2"/>
  <c r="AH52" i="1"/>
  <c r="CY63" i="2"/>
  <c r="DH63" i="2"/>
  <c r="CZ63" i="2"/>
  <c r="DA63" i="2"/>
  <c r="CN125" i="1"/>
  <c r="CN190" i="1" s="1"/>
  <c r="Z259" i="1"/>
  <c r="CD12" i="2"/>
  <c r="BJ51" i="2"/>
  <c r="P291" i="1"/>
  <c r="BY31" i="2"/>
  <c r="CK43" i="2"/>
  <c r="AJ196" i="1"/>
  <c r="AJ201" i="1" s="1"/>
  <c r="CT38" i="2"/>
  <c r="BY199" i="1"/>
  <c r="BZ198" i="1" s="1"/>
  <c r="BY237" i="1"/>
  <c r="BZ71" i="1" s="1"/>
  <c r="Y109" i="2"/>
  <c r="W242" i="1"/>
  <c r="W235" i="1" s="1"/>
  <c r="X233" i="1" s="1"/>
  <c r="X262" i="1"/>
  <c r="Y253" i="1"/>
  <c r="Y242" i="1"/>
  <c r="Y235" i="1" s="1"/>
  <c r="Y246" i="1"/>
  <c r="AL242" i="1"/>
  <c r="AL235" i="1" s="1"/>
  <c r="AM233" i="1" s="1"/>
  <c r="AM234" i="1" s="1"/>
  <c r="AM262" i="1"/>
  <c r="BH262" i="1"/>
  <c r="BG242" i="1"/>
  <c r="BB242" i="1"/>
  <c r="BC262" i="1"/>
  <c r="AJ109" i="2"/>
  <c r="AP243" i="2"/>
  <c r="BC51" i="1"/>
  <c r="BC52" i="1" s="1"/>
  <c r="BC60" i="1"/>
  <c r="BC343" i="1"/>
  <c r="BC345" i="1" s="1"/>
  <c r="BC351" i="1"/>
  <c r="BD161" i="2"/>
  <c r="BC74" i="1"/>
  <c r="BC36" i="1"/>
  <c r="BH36" i="1"/>
  <c r="AJ41" i="1"/>
  <c r="AJ50" i="1"/>
  <c r="AJ39" i="1"/>
  <c r="AJ40" i="1" s="1"/>
  <c r="BX102" i="1"/>
  <c r="BU54" i="1"/>
  <c r="BN119" i="1"/>
  <c r="BN358" i="1"/>
  <c r="AO142" i="1"/>
  <c r="AO231" i="1"/>
  <c r="BI176" i="1"/>
  <c r="BE355" i="1"/>
  <c r="V231" i="1"/>
  <c r="V155" i="1"/>
  <c r="V165" i="1" s="1"/>
  <c r="AT291" i="1"/>
  <c r="AU355" i="1"/>
  <c r="AY178" i="1"/>
  <c r="AY355" i="1" s="1"/>
  <c r="BB165" i="1"/>
  <c r="BB166" i="1" s="1"/>
  <c r="BB245" i="1"/>
  <c r="BB253" i="1" s="1"/>
  <c r="AI190" i="1"/>
  <c r="AI125" i="1" s="1"/>
  <c r="AI124" i="1" s="1"/>
  <c r="AH125" i="1"/>
  <c r="AH124" i="1" s="1"/>
  <c r="AH209" i="1"/>
  <c r="AH210" i="1" s="1"/>
  <c r="AE177" i="2"/>
  <c r="AE243" i="2"/>
  <c r="K23" i="1"/>
  <c r="BP142" i="1"/>
  <c r="BP231" i="1"/>
  <c r="BG216" i="2"/>
  <c r="BB216" i="2"/>
  <c r="CA289" i="2"/>
  <c r="BV289" i="2"/>
  <c r="B18" i="1"/>
  <c r="G19" i="1" s="1"/>
  <c r="B22" i="1"/>
  <c r="B50" i="1"/>
  <c r="G20" i="1"/>
  <c r="U216" i="1"/>
  <c r="U256" i="1" s="1"/>
  <c r="U215" i="1"/>
  <c r="U222" i="1"/>
  <c r="U258" i="1" s="1"/>
  <c r="U225" i="1"/>
  <c r="U224" i="1"/>
  <c r="U12" i="1"/>
  <c r="U223" i="1"/>
  <c r="V51" i="1"/>
  <c r="AA52" i="1" s="1"/>
  <c r="V74" i="1"/>
  <c r="W178" i="2"/>
  <c r="AI23" i="1"/>
  <c r="AI24" i="1" s="1"/>
  <c r="AI25" i="1"/>
  <c r="Z125" i="1"/>
  <c r="Z209" i="1"/>
  <c r="Z210" i="1" s="1"/>
  <c r="Z192" i="1"/>
  <c r="Z196" i="1" s="1"/>
  <c r="Z201" i="1" s="1"/>
  <c r="AU262" i="1"/>
  <c r="AT242" i="1"/>
  <c r="X109" i="2"/>
  <c r="BS193" i="2"/>
  <c r="BS219" i="2" s="1"/>
  <c r="BS234" i="2"/>
  <c r="BM186" i="1"/>
  <c r="BG262" i="1"/>
  <c r="BP228" i="2"/>
  <c r="AM55" i="1"/>
  <c r="BI356" i="1"/>
  <c r="BI218" i="1"/>
  <c r="BI204" i="1"/>
  <c r="AY188" i="1"/>
  <c r="AY229" i="1" s="1"/>
  <c r="AN233" i="1"/>
  <c r="AN234" i="1" s="1"/>
  <c r="AN228" i="2"/>
  <c r="AR193" i="2"/>
  <c r="AR219" i="2" s="1"/>
  <c r="AR234" i="2"/>
  <c r="AV228" i="2"/>
  <c r="BG227" i="2"/>
  <c r="BB227" i="2"/>
  <c r="AA243" i="2"/>
  <c r="V243" i="2"/>
  <c r="AJ243" i="2"/>
  <c r="AJ177" i="2"/>
  <c r="AO243" i="2"/>
  <c r="BX296" i="2"/>
  <c r="CE296" i="2"/>
  <c r="BE250" i="1"/>
  <c r="BE344" i="1"/>
  <c r="BE345" i="1" s="1"/>
  <c r="CD164" i="2"/>
  <c r="CB33" i="1"/>
  <c r="T245" i="1"/>
  <c r="T165" i="1"/>
  <c r="T166" i="1" s="1"/>
  <c r="O220" i="1"/>
  <c r="O219" i="1"/>
  <c r="AT219" i="1"/>
  <c r="AT220" i="1"/>
  <c r="AP77" i="2"/>
  <c r="AP76" i="2" s="1"/>
  <c r="AP80" i="2" s="1"/>
  <c r="CH289" i="2"/>
  <c r="BO159" i="2"/>
  <c r="BT227" i="2" s="1"/>
  <c r="CO125" i="1"/>
  <c r="CO190" i="1" s="1"/>
  <c r="CF204" i="1"/>
  <c r="CL154" i="2"/>
  <c r="CL222" i="2" s="1"/>
  <c r="CV38" i="2"/>
  <c r="CT64" i="2"/>
  <c r="CV64" i="2"/>
  <c r="CU64" i="2"/>
  <c r="DC64" i="2"/>
  <c r="CX68" i="2"/>
  <c r="CX69" i="2" s="1"/>
  <c r="CQ67" i="2"/>
  <c r="CQ8" i="2" s="1"/>
  <c r="CQ157" i="2" s="1"/>
  <c r="CQ225" i="2" s="1"/>
  <c r="CQ68" i="2"/>
  <c r="CQ69" i="2" s="1"/>
  <c r="CQ224" i="2"/>
  <c r="Z253" i="1"/>
  <c r="Z246" i="1"/>
  <c r="BQ283" i="1"/>
  <c r="BQ293" i="1" s="1"/>
  <c r="BP235" i="1"/>
  <c r="BQ233" i="1" s="1"/>
  <c r="BP357" i="1"/>
  <c r="CK225" i="2"/>
  <c r="CP30" i="2"/>
  <c r="CT330" i="1" s="1"/>
  <c r="BH209" i="1"/>
  <c r="BH210" i="1" s="1"/>
  <c r="BH192" i="1"/>
  <c r="CG114" i="1"/>
  <c r="CG115" i="1" s="1"/>
  <c r="CN115" i="1" s="1"/>
  <c r="CF115" i="1"/>
  <c r="AE106" i="1"/>
  <c r="CX41" i="2"/>
  <c r="CX5" i="2" s="1"/>
  <c r="DA38" i="2"/>
  <c r="CU38" i="2"/>
  <c r="CX42" i="2"/>
  <c r="CX43" i="2" s="1"/>
  <c r="DH38" i="2"/>
  <c r="DD38" i="2" s="1"/>
  <c r="DC39" i="2"/>
  <c r="CT39" i="2"/>
  <c r="CU39" i="2"/>
  <c r="CV39" i="2"/>
  <c r="CS156" i="2"/>
  <c r="CL125" i="1"/>
  <c r="CL190" i="1" s="1"/>
  <c r="CP42" i="2"/>
  <c r="CP43" i="2" s="1"/>
  <c r="CP41" i="2"/>
  <c r="CP5" i="2" s="1"/>
  <c r="CP154" i="2" s="1"/>
  <c r="CQ41" i="2"/>
  <c r="CQ5" i="2" s="1"/>
  <c r="CQ154" i="2" s="1"/>
  <c r="CQ42" i="2"/>
  <c r="CQ43" i="2" s="1"/>
  <c r="CL9" i="2"/>
  <c r="CQ50" i="2"/>
  <c r="CQ51" i="2" s="1"/>
  <c r="CQ124" i="1"/>
  <c r="CP125" i="1"/>
  <c r="BT342" i="1"/>
  <c r="BT283" i="1"/>
  <c r="BT293" i="1" s="1"/>
  <c r="K245" i="1"/>
  <c r="K165" i="1"/>
  <c r="K166" i="1" s="1"/>
  <c r="CA71" i="1"/>
  <c r="BZ242" i="1"/>
  <c r="BU233" i="1"/>
  <c r="CL240" i="1"/>
  <c r="BX357" i="1"/>
  <c r="BX235" i="1"/>
  <c r="CT47" i="2"/>
  <c r="CV47" i="2"/>
  <c r="CX50" i="2"/>
  <c r="CX51" i="2" s="1"/>
  <c r="DC47" i="2"/>
  <c r="CX49" i="2"/>
  <c r="CU47" i="2"/>
  <c r="CP28" i="2"/>
  <c r="CJ223" i="2"/>
  <c r="CJ32" i="2"/>
  <c r="CO28" i="2"/>
  <c r="CS222" i="2"/>
  <c r="BT51" i="2"/>
  <c r="AU60" i="2"/>
  <c r="AZ60" i="2"/>
  <c r="AM9" i="1"/>
  <c r="AM329" i="1" s="1"/>
  <c r="AN34" i="2"/>
  <c r="AI9" i="1"/>
  <c r="AI329" i="1" s="1"/>
  <c r="AJ34" i="2"/>
  <c r="H79" i="1"/>
  <c r="H77" i="1"/>
  <c r="H250" i="1" s="1"/>
  <c r="H75" i="1"/>
  <c r="I185" i="2"/>
  <c r="V249" i="1"/>
  <c r="V55" i="1"/>
  <c r="V62" i="1"/>
  <c r="BO36" i="1"/>
  <c r="BJ36" i="1"/>
  <c r="DG102" i="1"/>
  <c r="BX179" i="1"/>
  <c r="BX355" i="1" s="1"/>
  <c r="BT355" i="1"/>
  <c r="AT356" i="1"/>
  <c r="AT186" i="1"/>
  <c r="AS189" i="1"/>
  <c r="AR192" i="1"/>
  <c r="AR196" i="1" s="1"/>
  <c r="AR201" i="1" s="1"/>
  <c r="I242" i="1"/>
  <c r="I246" i="1"/>
  <c r="I253" i="1"/>
  <c r="BX262" i="1"/>
  <c r="BT262" i="1"/>
  <c r="CF219" i="1"/>
  <c r="CK219" i="1" s="1"/>
  <c r="CF220" i="1"/>
  <c r="CK220" i="1" s="1"/>
  <c r="CP220" i="1" s="1"/>
  <c r="CU220" i="1" s="1"/>
  <c r="CZ220" i="1" s="1"/>
  <c r="DE220" i="1" s="1"/>
  <c r="CG172" i="1"/>
  <c r="N13" i="1"/>
  <c r="S13" i="1"/>
  <c r="M25" i="1"/>
  <c r="M23" i="1"/>
  <c r="M24" i="1" s="1"/>
  <c r="AE36" i="1"/>
  <c r="AJ36" i="1"/>
  <c r="AE34" i="1"/>
  <c r="Z41" i="1"/>
  <c r="U41" i="1"/>
  <c r="U50" i="1"/>
  <c r="U39" i="1"/>
  <c r="BF249" i="1"/>
  <c r="BF251" i="1" s="1"/>
  <c r="BF57" i="1"/>
  <c r="BF62" i="1"/>
  <c r="BF63" i="1" s="1"/>
  <c r="BF55" i="1"/>
  <c r="AF52" i="1"/>
  <c r="AG211" i="2"/>
  <c r="BA52" i="1"/>
  <c r="BQ205" i="1"/>
  <c r="BQ203" i="1"/>
  <c r="BR182" i="1"/>
  <c r="AI186" i="1"/>
  <c r="AI334" i="1"/>
  <c r="AF262" i="1"/>
  <c r="AJ262" i="1"/>
  <c r="AE242" i="1"/>
  <c r="AE235" i="1" s="1"/>
  <c r="AE234" i="1" s="1"/>
  <c r="I233" i="1"/>
  <c r="H234" i="1"/>
  <c r="L20" i="1"/>
  <c r="L22" i="1"/>
  <c r="L50" i="1"/>
  <c r="L18" i="1"/>
  <c r="Q20" i="1"/>
  <c r="T185" i="2"/>
  <c r="S75" i="1"/>
  <c r="S79" i="1"/>
  <c r="S230" i="1" s="1"/>
  <c r="S77" i="1"/>
  <c r="S250" i="1" s="1"/>
  <c r="S251" i="1" s="1"/>
  <c r="BA249" i="1"/>
  <c r="BA251" i="1" s="1"/>
  <c r="BA55" i="1"/>
  <c r="BA62" i="1"/>
  <c r="BA57" i="1"/>
  <c r="X209" i="1"/>
  <c r="X210" i="1" s="1"/>
  <c r="Y188" i="1"/>
  <c r="X229" i="1"/>
  <c r="X192" i="1"/>
  <c r="AP13" i="1"/>
  <c r="AU13" i="1"/>
  <c r="AB35" i="1"/>
  <c r="W35" i="1"/>
  <c r="AK342" i="1"/>
  <c r="AK283" i="1"/>
  <c r="AK293" i="1" s="1"/>
  <c r="AL296" i="1" s="1"/>
  <c r="AU283" i="1"/>
  <c r="AU293" i="1" s="1"/>
  <c r="AV296" i="1" s="1"/>
  <c r="AU342" i="1"/>
  <c r="S253" i="1"/>
  <c r="AO45" i="1"/>
  <c r="AX13" i="1"/>
  <c r="AS13" i="1"/>
  <c r="AF9" i="1"/>
  <c r="AF329" i="1" s="1"/>
  <c r="AG34" i="2"/>
  <c r="BL9" i="1"/>
  <c r="BL329" i="1" s="1"/>
  <c r="BM34" i="2"/>
  <c r="Z96" i="2"/>
  <c r="Z82" i="2"/>
  <c r="AP144" i="2"/>
  <c r="AP148" i="2" s="1"/>
  <c r="AP142" i="2" s="1"/>
  <c r="AL148" i="2"/>
  <c r="AU54" i="1"/>
  <c r="AU351" i="1"/>
  <c r="AU51" i="1"/>
  <c r="AU60" i="1"/>
  <c r="AU343" i="1"/>
  <c r="AV161" i="2"/>
  <c r="AU74" i="1"/>
  <c r="BJ19" i="1"/>
  <c r="BE19" i="1"/>
  <c r="K196" i="1"/>
  <c r="K201" i="1" s="1"/>
  <c r="W334" i="1"/>
  <c r="X185" i="1"/>
  <c r="W186" i="1"/>
  <c r="W196" i="1" s="1"/>
  <c r="W201" i="1" s="1"/>
  <c r="AW189" i="1"/>
  <c r="AX189" i="1" s="1"/>
  <c r="AV192" i="1"/>
  <c r="AV196" i="1" s="1"/>
  <c r="AV201" i="1" s="1"/>
  <c r="BO262" i="1"/>
  <c r="BS262" i="1"/>
  <c r="BP262" i="1"/>
  <c r="BO242" i="1"/>
  <c r="AU20" i="1"/>
  <c r="AP50" i="1"/>
  <c r="AP20" i="1"/>
  <c r="AP18" i="1"/>
  <c r="AP19" i="1" s="1"/>
  <c r="AP22" i="1"/>
  <c r="BV13" i="1"/>
  <c r="BZ40" i="1"/>
  <c r="AH34" i="2"/>
  <c r="AG9" i="1"/>
  <c r="AG329" i="1" s="1"/>
  <c r="CG234" i="2"/>
  <c r="CG193" i="2"/>
  <c r="CG33" i="1"/>
  <c r="CG102" i="1"/>
  <c r="CH102" i="1" s="1"/>
  <c r="BP45" i="1"/>
  <c r="BU45" i="1"/>
  <c r="AP198" i="1"/>
  <c r="AP201" i="1" s="1"/>
  <c r="AT198" i="1"/>
  <c r="AO201" i="1"/>
  <c r="BL283" i="1"/>
  <c r="BL293" i="1" s="1"/>
  <c r="BM296" i="1" s="1"/>
  <c r="BL342" i="1"/>
  <c r="Z233" i="1"/>
  <c r="Z234" i="1" s="1"/>
  <c r="V234" i="1"/>
  <c r="P242" i="1"/>
  <c r="P235" i="1" s="1"/>
  <c r="P234" i="1" s="1"/>
  <c r="Q262" i="1"/>
  <c r="P253" i="1"/>
  <c r="U262" i="1"/>
  <c r="P246" i="1"/>
  <c r="AP262" i="1"/>
  <c r="AO242" i="1"/>
  <c r="AO235" i="1" s="1"/>
  <c r="AO234" i="1" s="1"/>
  <c r="AT262" i="1"/>
  <c r="CN52" i="2"/>
  <c r="CI52" i="2"/>
  <c r="CI59" i="2"/>
  <c r="CN60" i="2" s="1"/>
  <c r="AR40" i="1"/>
  <c r="AW40" i="1"/>
  <c r="R25" i="1"/>
  <c r="R23" i="1"/>
  <c r="AB54" i="1"/>
  <c r="AB60" i="1"/>
  <c r="AB61" i="1" s="1"/>
  <c r="AB74" i="1"/>
  <c r="AB51" i="1"/>
  <c r="AC178" i="2"/>
  <c r="AG25" i="1"/>
  <c r="AG23" i="1"/>
  <c r="AL74" i="1"/>
  <c r="AL54" i="1"/>
  <c r="AL343" i="1"/>
  <c r="AM161" i="2"/>
  <c r="AM178" i="2"/>
  <c r="AL51" i="1"/>
  <c r="AL60" i="1"/>
  <c r="AL61" i="1" s="1"/>
  <c r="AB165" i="1"/>
  <c r="AB166" i="1" s="1"/>
  <c r="AB245" i="1"/>
  <c r="V246" i="1"/>
  <c r="V253" i="1"/>
  <c r="AW233" i="1"/>
  <c r="BW227" i="1"/>
  <c r="CB227" i="1" s="1"/>
  <c r="BW44" i="1"/>
  <c r="BW45" i="1" s="1"/>
  <c r="BW228" i="1"/>
  <c r="CB228" i="1" s="1"/>
  <c r="BW213" i="1"/>
  <c r="BW257" i="1" s="1"/>
  <c r="BW259" i="1" s="1"/>
  <c r="BW221" i="1"/>
  <c r="BW39" i="1"/>
  <c r="BW214" i="1"/>
  <c r="BW217" i="1"/>
  <c r="BW28" i="1"/>
  <c r="BW226" i="1"/>
  <c r="CB226" i="1" s="1"/>
  <c r="BW350" i="1"/>
  <c r="BW17" i="1"/>
  <c r="BX17" i="1" s="1"/>
  <c r="BW12" i="1"/>
  <c r="BX7" i="1"/>
  <c r="BW8" i="1"/>
  <c r="BW335" i="1" s="1"/>
  <c r="L79" i="2"/>
  <c r="K332" i="1"/>
  <c r="Q79" i="2"/>
  <c r="Q78" i="2"/>
  <c r="AA32" i="2"/>
  <c r="AA29" i="2" s="1"/>
  <c r="AA33" i="2" s="1"/>
  <c r="BY53" i="2"/>
  <c r="BY59" i="2"/>
  <c r="BY60" i="2" s="1"/>
  <c r="L77" i="2"/>
  <c r="L144" i="2"/>
  <c r="L148" i="2" s="1"/>
  <c r="BR234" i="2"/>
  <c r="BO166" i="2"/>
  <c r="BM193" i="2"/>
  <c r="BM234" i="2"/>
  <c r="AL160" i="2"/>
  <c r="AQ227" i="2"/>
  <c r="AL227" i="2"/>
  <c r="T251" i="2"/>
  <c r="Y251" i="2"/>
  <c r="T177" i="2"/>
  <c r="Y243" i="2"/>
  <c r="T243" i="2"/>
  <c r="CB288" i="2"/>
  <c r="AI51" i="1"/>
  <c r="AN52" i="1" s="1"/>
  <c r="AI54" i="1"/>
  <c r="AI74" i="1"/>
  <c r="AI60" i="1"/>
  <c r="AI61" i="1" s="1"/>
  <c r="AJ161" i="2"/>
  <c r="AJ178" i="2"/>
  <c r="BV205" i="1"/>
  <c r="BW182" i="1"/>
  <c r="BV203" i="1"/>
  <c r="AI229" i="1"/>
  <c r="AI209" i="1"/>
  <c r="AI210" i="1" s="1"/>
  <c r="AI192" i="1"/>
  <c r="AA207" i="1"/>
  <c r="V207" i="1"/>
  <c r="BK9" i="1"/>
  <c r="BK329" i="1" s="1"/>
  <c r="BL34" i="2"/>
  <c r="AV60" i="2"/>
  <c r="BA60" i="2"/>
  <c r="BJ64" i="2"/>
  <c r="BJ68" i="2" s="1"/>
  <c r="BJ69" i="2" s="1"/>
  <c r="AF262" i="2"/>
  <c r="H210" i="2"/>
  <c r="M266" i="2" s="1"/>
  <c r="M244" i="2"/>
  <c r="AG262" i="2"/>
  <c r="CI159" i="2"/>
  <c r="CE227" i="2"/>
  <c r="CE160" i="2"/>
  <c r="CE228" i="2" s="1"/>
  <c r="BJ16" i="2"/>
  <c r="BJ13" i="2"/>
  <c r="BJ14" i="2"/>
  <c r="BG9" i="1"/>
  <c r="BG329" i="1" s="1"/>
  <c r="BH34" i="2"/>
  <c r="BK51" i="2"/>
  <c r="X80" i="2"/>
  <c r="AS228" i="2"/>
  <c r="BU193" i="2"/>
  <c r="BU219" i="2" s="1"/>
  <c r="BU234" i="2"/>
  <c r="BY166" i="2"/>
  <c r="AF282" i="2"/>
  <c r="AF281" i="2"/>
  <c r="Z251" i="2"/>
  <c r="AX249" i="1"/>
  <c r="AX55" i="1"/>
  <c r="AX62" i="1"/>
  <c r="AX63" i="1" s="1"/>
  <c r="AX353" i="1"/>
  <c r="AX61" i="1"/>
  <c r="X246" i="1"/>
  <c r="BY45" i="2"/>
  <c r="BY12" i="2"/>
  <c r="BY16" i="2"/>
  <c r="BY13" i="2"/>
  <c r="BJ15" i="2"/>
  <c r="AY9" i="1"/>
  <c r="AN9" i="1"/>
  <c r="AN329" i="1" s="1"/>
  <c r="AO34" i="2"/>
  <c r="AU144" i="2"/>
  <c r="AU148" i="2" s="1"/>
  <c r="AU142" i="2" s="1"/>
  <c r="CD255" i="2"/>
  <c r="CD258" i="2"/>
  <c r="CD226" i="2"/>
  <c r="CD256" i="2"/>
  <c r="CD257" i="2"/>
  <c r="CD160" i="2"/>
  <c r="AP219" i="2"/>
  <c r="AU219" i="2"/>
  <c r="V242" i="2"/>
  <c r="V184" i="2"/>
  <c r="V177" i="2"/>
  <c r="AA264" i="2"/>
  <c r="CQ228" i="1"/>
  <c r="CI226" i="2"/>
  <c r="CG218" i="1"/>
  <c r="CL218" i="1" s="1"/>
  <c r="CQ218" i="1" s="1"/>
  <c r="CV218" i="1" s="1"/>
  <c r="DA218" i="1" s="1"/>
  <c r="DF218" i="1" s="1"/>
  <c r="CG205" i="1"/>
  <c r="CG356" i="1"/>
  <c r="CG186" i="1"/>
  <c r="CG204" i="1"/>
  <c r="CS140" i="1"/>
  <c r="CT140" i="1" s="1"/>
  <c r="CU140" i="1" s="1"/>
  <c r="CV140" i="1" s="1"/>
  <c r="CR140" i="1"/>
  <c r="BD45" i="1"/>
  <c r="CK12" i="2"/>
  <c r="CH228" i="2"/>
  <c r="BH62" i="1"/>
  <c r="BH55" i="1"/>
  <c r="BH249" i="1"/>
  <c r="BH251" i="1" s="1"/>
  <c r="BH52" i="1"/>
  <c r="BM52" i="1"/>
  <c r="CP51" i="2"/>
  <c r="CO33" i="2"/>
  <c r="CJ224" i="2"/>
  <c r="CJ158" i="2"/>
  <c r="CK223" i="2"/>
  <c r="BF162" i="1"/>
  <c r="BE163" i="1"/>
  <c r="AJ208" i="1"/>
  <c r="AJ206" i="1"/>
  <c r="AJ210" i="1"/>
  <c r="BY231" i="1"/>
  <c r="BY142" i="1"/>
  <c r="CU188" i="2"/>
  <c r="CM12" i="1"/>
  <c r="CR12" i="1" s="1"/>
  <c r="CW12" i="1" s="1"/>
  <c r="DB12" i="1" s="1"/>
  <c r="DG12" i="1" s="1"/>
  <c r="CT103" i="1"/>
  <c r="CT106" i="1" s="1"/>
  <c r="O23" i="1"/>
  <c r="O25" i="1"/>
  <c r="T25" i="1"/>
  <c r="AW343" i="1"/>
  <c r="AX161" i="2"/>
  <c r="AW351" i="1"/>
  <c r="AW51" i="1"/>
  <c r="AW54" i="1"/>
  <c r="AW74" i="1"/>
  <c r="AW60" i="1"/>
  <c r="BB23" i="1"/>
  <c r="BB25" i="1"/>
  <c r="BG25" i="1"/>
  <c r="BM102" i="1"/>
  <c r="BN102" i="1" s="1"/>
  <c r="BM33" i="1"/>
  <c r="BN33" i="1" s="1"/>
  <c r="AG40" i="1"/>
  <c r="AB40" i="1"/>
  <c r="BN45" i="1"/>
  <c r="AI296" i="1"/>
  <c r="AH296" i="1"/>
  <c r="BL206" i="1"/>
  <c r="BL208" i="1"/>
  <c r="M246" i="1"/>
  <c r="M253" i="1"/>
  <c r="M262" i="1"/>
  <c r="M242" i="1"/>
  <c r="M235" i="1" s="1"/>
  <c r="N262" i="1"/>
  <c r="P262" i="1"/>
  <c r="CA242" i="1"/>
  <c r="CA262" i="1"/>
  <c r="CB262" i="1"/>
  <c r="CC262" i="1"/>
  <c r="Z29" i="1"/>
  <c r="AE29" i="1"/>
  <c r="K36" i="1"/>
  <c r="P36" i="1"/>
  <c r="K34" i="1"/>
  <c r="BF353" i="1"/>
  <c r="BF61" i="1"/>
  <c r="AF249" i="1"/>
  <c r="AF57" i="1"/>
  <c r="AF55" i="1"/>
  <c r="AK57" i="1"/>
  <c r="AF62" i="1"/>
  <c r="CU250" i="1"/>
  <c r="CU344" i="1"/>
  <c r="CU103" i="1"/>
  <c r="CU106" i="1" s="1"/>
  <c r="BS155" i="1"/>
  <c r="AR206" i="1"/>
  <c r="AR207" i="1" s="1"/>
  <c r="AR208" i="1"/>
  <c r="L13" i="1"/>
  <c r="Q13" i="1"/>
  <c r="AK25" i="1"/>
  <c r="AK23" i="1"/>
  <c r="AO22" i="1"/>
  <c r="U34" i="1"/>
  <c r="Z36" i="1"/>
  <c r="U36" i="1"/>
  <c r="BG103" i="1"/>
  <c r="BG54" i="1"/>
  <c r="AK40" i="1"/>
  <c r="AF40" i="1"/>
  <c r="T211" i="2"/>
  <c r="AJ142" i="1"/>
  <c r="AJ283" i="1" s="1"/>
  <c r="AJ293" i="1" s="1"/>
  <c r="AJ231" i="1"/>
  <c r="BI155" i="1"/>
  <c r="CA208" i="1"/>
  <c r="CA206" i="1"/>
  <c r="AL206" i="1"/>
  <c r="AL208" i="1"/>
  <c r="AL210" i="1"/>
  <c r="L201" i="1"/>
  <c r="BG233" i="1"/>
  <c r="N296" i="1"/>
  <c r="M296" i="1"/>
  <c r="AS40" i="1"/>
  <c r="AX40" i="1"/>
  <c r="AX29" i="1"/>
  <c r="AS29" i="1"/>
  <c r="BY44" i="1"/>
  <c r="BY217" i="1"/>
  <c r="BY226" i="1"/>
  <c r="BY204" i="1"/>
  <c r="BY208" i="1"/>
  <c r="BY221" i="1"/>
  <c r="BY39" i="1"/>
  <c r="BY228" i="1"/>
  <c r="BY218" i="1"/>
  <c r="BY214" i="1"/>
  <c r="BY213" i="1"/>
  <c r="BY257" i="1" s="1"/>
  <c r="BY259" i="1" s="1"/>
  <c r="BY28" i="1"/>
  <c r="BY350" i="1"/>
  <c r="BY227" i="1"/>
  <c r="CD8" i="1"/>
  <c r="CD335" i="1" s="1"/>
  <c r="BY17" i="1"/>
  <c r="BY8" i="1"/>
  <c r="BY335" i="1" s="1"/>
  <c r="CC7" i="1"/>
  <c r="BY12" i="1"/>
  <c r="AV9" i="1"/>
  <c r="AV329" i="1" s="1"/>
  <c r="AW34" i="2"/>
  <c r="BR33" i="2"/>
  <c r="CI215" i="2"/>
  <c r="CN189" i="2"/>
  <c r="CG288" i="2"/>
  <c r="CL288" i="2"/>
  <c r="AJ259" i="1"/>
  <c r="AZ19" i="1"/>
  <c r="I35" i="1"/>
  <c r="N35" i="1"/>
  <c r="J334" i="1"/>
  <c r="J186" i="1"/>
  <c r="BV18" i="1"/>
  <c r="BV50" i="1"/>
  <c r="BV20" i="1"/>
  <c r="BV22" i="1"/>
  <c r="AK9" i="1"/>
  <c r="AK329" i="1" s="1"/>
  <c r="AL34" i="2"/>
  <c r="CI166" i="2"/>
  <c r="P201" i="1"/>
  <c r="Q198" i="1"/>
  <c r="Q201" i="1" s="1"/>
  <c r="U198" i="1"/>
  <c r="AX342" i="1"/>
  <c r="AX283" i="1"/>
  <c r="AX293" i="1" s="1"/>
  <c r="AS342" i="1"/>
  <c r="AS283" i="1"/>
  <c r="AS293" i="1" s="1"/>
  <c r="U155" i="1"/>
  <c r="U165" i="1" s="1"/>
  <c r="U166" i="1" s="1"/>
  <c r="U231" i="1"/>
  <c r="AS242" i="1"/>
  <c r="AS235" i="1" s="1"/>
  <c r="AS262" i="1"/>
  <c r="AR29" i="1"/>
  <c r="AW29" i="1"/>
  <c r="BL20" i="1"/>
  <c r="BL22" i="1"/>
  <c r="BL18" i="1"/>
  <c r="BL19" i="1" s="1"/>
  <c r="BL50" i="1"/>
  <c r="BN17" i="1"/>
  <c r="BP18" i="1"/>
  <c r="BP20" i="1"/>
  <c r="BP50" i="1"/>
  <c r="BP22" i="1"/>
  <c r="BU20" i="1"/>
  <c r="J249" i="1"/>
  <c r="J55" i="1"/>
  <c r="J62" i="1"/>
  <c r="X23" i="1"/>
  <c r="AC25" i="1"/>
  <c r="X25" i="1"/>
  <c r="AB25" i="1"/>
  <c r="AB23" i="1"/>
  <c r="AB24" i="1" s="1"/>
  <c r="AL23" i="1"/>
  <c r="AL24" i="1" s="1"/>
  <c r="AL25" i="1"/>
  <c r="AD162" i="1"/>
  <c r="AC163" i="1"/>
  <c r="V166" i="1"/>
  <c r="AA77" i="2"/>
  <c r="AA78" i="2"/>
  <c r="M144" i="2"/>
  <c r="M148" i="2" s="1"/>
  <c r="M77" i="2"/>
  <c r="M76" i="2" s="1"/>
  <c r="M80" i="2" s="1"/>
  <c r="Q77" i="2"/>
  <c r="AQ34" i="2"/>
  <c r="BB34" i="2"/>
  <c r="N34" i="2"/>
  <c r="BO226" i="2"/>
  <c r="BO256" i="2"/>
  <c r="BO255" i="2"/>
  <c r="BO254" i="2"/>
  <c r="BO258" i="2"/>
  <c r="AW228" i="2"/>
  <c r="X244" i="2"/>
  <c r="DD189" i="2"/>
  <c r="AI40" i="1"/>
  <c r="AN40" i="1"/>
  <c r="X219" i="1"/>
  <c r="X220" i="1"/>
  <c r="Y172" i="1"/>
  <c r="AF76" i="2"/>
  <c r="AF80" i="2" s="1"/>
  <c r="AU33" i="2"/>
  <c r="AZ34" i="2" s="1"/>
  <c r="BL42" i="2"/>
  <c r="Q184" i="2"/>
  <c r="Q242" i="2"/>
  <c r="Q177" i="2"/>
  <c r="AK184" i="2"/>
  <c r="AK242" i="2"/>
  <c r="AK177" i="2"/>
  <c r="U210" i="2"/>
  <c r="Z244" i="2"/>
  <c r="U244" i="2"/>
  <c r="G296" i="1"/>
  <c r="BQ74" i="1"/>
  <c r="BQ343" i="1"/>
  <c r="BQ351" i="1"/>
  <c r="BR161" i="2"/>
  <c r="BQ54" i="1"/>
  <c r="BQ60" i="1"/>
  <c r="BQ51" i="1"/>
  <c r="AR9" i="1"/>
  <c r="AR329" i="1" s="1"/>
  <c r="AS34" i="2"/>
  <c r="BP51" i="2"/>
  <c r="BK60" i="2"/>
  <c r="AO193" i="2"/>
  <c r="AO219" i="2" s="1"/>
  <c r="AO234" i="2"/>
  <c r="CC193" i="2"/>
  <c r="CC234" i="2"/>
  <c r="CH234" i="2"/>
  <c r="U262" i="2"/>
  <c r="CK103" i="1"/>
  <c r="CK106" i="1" s="1"/>
  <c r="AA62" i="1"/>
  <c r="AA63" i="1" s="1"/>
  <c r="AA249" i="1"/>
  <c r="AA55" i="1"/>
  <c r="AA57" i="1"/>
  <c r="AY194" i="2"/>
  <c r="AX75" i="1"/>
  <c r="AX77" i="1"/>
  <c r="AX79" i="1"/>
  <c r="BJ353" i="1"/>
  <c r="BJ61" i="1"/>
  <c r="BC196" i="1"/>
  <c r="BC201" i="1" s="1"/>
  <c r="S296" i="1"/>
  <c r="BT42" i="2"/>
  <c r="BT28" i="2"/>
  <c r="BJ217" i="2"/>
  <c r="CA12" i="1"/>
  <c r="CA13" i="1" s="1"/>
  <c r="CA17" i="1"/>
  <c r="CA44" i="1"/>
  <c r="CA45" i="1" s="1"/>
  <c r="CA217" i="1"/>
  <c r="CA226" i="1"/>
  <c r="CA228" i="1"/>
  <c r="CA213" i="1"/>
  <c r="CA257" i="1" s="1"/>
  <c r="CA259" i="1" s="1"/>
  <c r="CA227" i="1"/>
  <c r="CA39" i="1"/>
  <c r="CA40" i="1" s="1"/>
  <c r="CA28" i="1"/>
  <c r="CA221" i="1"/>
  <c r="CA350" i="1"/>
  <c r="CA8" i="1"/>
  <c r="CA335" i="1" s="1"/>
  <c r="CA214" i="1"/>
  <c r="CA218" i="1"/>
  <c r="CF8" i="1"/>
  <c r="AC34" i="2"/>
  <c r="AM34" i="2"/>
  <c r="AX34" i="2"/>
  <c r="BJ255" i="2"/>
  <c r="BJ258" i="2"/>
  <c r="BJ257" i="2"/>
  <c r="AL219" i="2"/>
  <c r="AQ219" i="2"/>
  <c r="AP234" i="2"/>
  <c r="AA263" i="2"/>
  <c r="V263" i="2"/>
  <c r="BU43" i="2"/>
  <c r="BZ43" i="2"/>
  <c r="O210" i="2"/>
  <c r="O266" i="2" s="1"/>
  <c r="O244" i="2"/>
  <c r="BT30" i="2"/>
  <c r="BX330" i="1" s="1"/>
  <c r="CF289" i="2"/>
  <c r="CK289" i="2"/>
  <c r="CE43" i="2"/>
  <c r="CJ43" i="2"/>
  <c r="CE20" i="1"/>
  <c r="CK15" i="2"/>
  <c r="CK16" i="2"/>
  <c r="CJ7" i="1"/>
  <c r="CK14" i="2"/>
  <c r="BH345" i="1"/>
  <c r="CY188" i="2"/>
  <c r="CL223" i="2"/>
  <c r="CR55" i="2"/>
  <c r="CR57" i="2"/>
  <c r="CR54" i="2"/>
  <c r="CR56" i="2"/>
  <c r="CK13" i="2"/>
  <c r="CK224" i="2"/>
  <c r="CA136" i="1"/>
  <c r="BZ137" i="1"/>
  <c r="CK222" i="2"/>
  <c r="CK158" i="2"/>
  <c r="BN13" i="1"/>
  <c r="DB102" i="1"/>
  <c r="O51" i="1"/>
  <c r="O74" i="1"/>
  <c r="O54" i="1"/>
  <c r="P178" i="2"/>
  <c r="O60" i="1"/>
  <c r="O61" i="1" s="1"/>
  <c r="BK60" i="1"/>
  <c r="BK74" i="1"/>
  <c r="BK54" i="1"/>
  <c r="BK343" i="1"/>
  <c r="BK351" i="1"/>
  <c r="BK51" i="1"/>
  <c r="BL161" i="2"/>
  <c r="BJ103" i="1"/>
  <c r="BJ54" i="1"/>
  <c r="U245" i="1"/>
  <c r="U253" i="1" s="1"/>
  <c r="I125" i="1"/>
  <c r="I124" i="1" s="1"/>
  <c r="J190" i="1"/>
  <c r="J125" i="1" s="1"/>
  <c r="J124" i="1" s="1"/>
  <c r="AY194" i="1"/>
  <c r="R262" i="1"/>
  <c r="Q246" i="1"/>
  <c r="Q253" i="1"/>
  <c r="Q242" i="1"/>
  <c r="Q235" i="1" s="1"/>
  <c r="CG289" i="2"/>
  <c r="CL289" i="2"/>
  <c r="BG194" i="2"/>
  <c r="BF76" i="1"/>
  <c r="BF79" i="1" s="1"/>
  <c r="BF75" i="1"/>
  <c r="AV79" i="1"/>
  <c r="AV75" i="1"/>
  <c r="AW194" i="2"/>
  <c r="AV77" i="1"/>
  <c r="BI358" i="1"/>
  <c r="BI119" i="1"/>
  <c r="W142" i="1"/>
  <c r="W283" i="1" s="1"/>
  <c r="W293" i="1" s="1"/>
  <c r="X296" i="1" s="1"/>
  <c r="W231" i="1"/>
  <c r="BX220" i="1"/>
  <c r="BX219" i="1"/>
  <c r="AS203" i="1"/>
  <c r="AS205" i="1"/>
  <c r="U208" i="1"/>
  <c r="U210" i="1"/>
  <c r="U206" i="1"/>
  <c r="U207" i="1" s="1"/>
  <c r="BR218" i="1"/>
  <c r="BR204" i="1"/>
  <c r="BR356" i="1"/>
  <c r="BR186" i="1"/>
  <c r="CG291" i="2"/>
  <c r="M19" i="1"/>
  <c r="R19" i="1"/>
  <c r="BI33" i="1"/>
  <c r="BG36" i="1"/>
  <c r="BL36" i="1"/>
  <c r="CO103" i="1"/>
  <c r="CO106" i="1" s="1"/>
  <c r="AN77" i="1"/>
  <c r="AN75" i="1"/>
  <c r="AN79" i="1"/>
  <c r="AO185" i="2"/>
  <c r="AO194" i="2"/>
  <c r="CB203" i="1"/>
  <c r="CB205" i="1"/>
  <c r="AN205" i="1"/>
  <c r="AN218" i="1"/>
  <c r="AN204" i="1"/>
  <c r="AN186" i="1"/>
  <c r="AE207" i="1"/>
  <c r="CE194" i="2"/>
  <c r="CD75" i="1"/>
  <c r="CD77" i="1"/>
  <c r="CD79" i="1"/>
  <c r="AP342" i="1"/>
  <c r="AP283" i="1"/>
  <c r="AP293" i="1" s="1"/>
  <c r="BV237" i="1"/>
  <c r="BV199" i="1"/>
  <c r="BV137" i="1"/>
  <c r="N189" i="1"/>
  <c r="M192" i="1"/>
  <c r="M196" i="1" s="1"/>
  <c r="M201" i="1" s="1"/>
  <c r="S233" i="1"/>
  <c r="S234" i="1" s="1"/>
  <c r="CI65" i="2"/>
  <c r="CI30" i="2" s="1"/>
  <c r="CM330" i="1" s="1"/>
  <c r="CE64" i="2"/>
  <c r="BU9" i="1"/>
  <c r="BU329" i="1" s="1"/>
  <c r="BD40" i="1"/>
  <c r="AZ54" i="1"/>
  <c r="AY351" i="1"/>
  <c r="AY343" i="1"/>
  <c r="AZ161" i="2"/>
  <c r="AY51" i="1"/>
  <c r="AY74" i="1"/>
  <c r="AY54" i="1"/>
  <c r="AY60" i="1"/>
  <c r="AR293" i="1"/>
  <c r="I192" i="1"/>
  <c r="I196" i="1" s="1"/>
  <c r="I201" i="1" s="1"/>
  <c r="I209" i="1"/>
  <c r="I210" i="1" s="1"/>
  <c r="I229" i="1"/>
  <c r="J188" i="1"/>
  <c r="BW188" i="1"/>
  <c r="BV229" i="1"/>
  <c r="BV192" i="1"/>
  <c r="BV196" i="1" s="1"/>
  <c r="BV209" i="1"/>
  <c r="BV45" i="1"/>
  <c r="BV40" i="1"/>
  <c r="BZ18" i="1"/>
  <c r="BZ19" i="1" s="1"/>
  <c r="BZ20" i="1"/>
  <c r="BZ22" i="1"/>
  <c r="BZ50" i="1"/>
  <c r="DC54" i="2"/>
  <c r="CT54" i="2"/>
  <c r="CV54" i="2"/>
  <c r="CU54" i="2"/>
  <c r="CX59" i="2"/>
  <c r="CX60" i="2" s="1"/>
  <c r="CX58" i="2"/>
  <c r="CX7" i="2" s="1"/>
  <c r="CB234" i="2"/>
  <c r="CB193" i="2"/>
  <c r="AA242" i="2"/>
  <c r="AA184" i="2"/>
  <c r="AA177" i="2"/>
  <c r="CN291" i="2"/>
  <c r="CI291" i="2"/>
  <c r="CG290" i="2"/>
  <c r="AT233" i="1"/>
  <c r="AP234" i="1"/>
  <c r="BI242" i="1"/>
  <c r="BJ71" i="1"/>
  <c r="P231" i="1"/>
  <c r="P142" i="1"/>
  <c r="P283" i="1" s="1"/>
  <c r="P293" i="1" s="1"/>
  <c r="AT342" i="1"/>
  <c r="AT283" i="1"/>
  <c r="AJ242" i="1"/>
  <c r="AJ235" i="1" s="1"/>
  <c r="AJ234" i="1" s="1"/>
  <c r="AK262" i="1"/>
  <c r="AO262" i="1"/>
  <c r="AO178" i="1"/>
  <c r="AK173" i="1"/>
  <c r="AD229" i="1"/>
  <c r="AD209" i="1"/>
  <c r="AD192" i="1"/>
  <c r="W253" i="1"/>
  <c r="AY262" i="1"/>
  <c r="AW262" i="1"/>
  <c r="AX262" i="1"/>
  <c r="AW242" i="1"/>
  <c r="CD262" i="1"/>
  <c r="CC242" i="1"/>
  <c r="CH262" i="1"/>
  <c r="AW45" i="1"/>
  <c r="AR45" i="1"/>
  <c r="BP13" i="1"/>
  <c r="BU13" i="1"/>
  <c r="CQ102" i="1"/>
  <c r="CR102" i="1" s="1"/>
  <c r="J79" i="1"/>
  <c r="J75" i="1"/>
  <c r="K185" i="2"/>
  <c r="J77" i="1"/>
  <c r="J250" i="1" s="1"/>
  <c r="L246" i="1"/>
  <c r="L253" i="1"/>
  <c r="N253" i="1"/>
  <c r="N246" i="1"/>
  <c r="BJ234" i="1"/>
  <c r="BK233" i="1"/>
  <c r="BT9" i="1"/>
  <c r="BT329" i="1" s="1"/>
  <c r="BU34" i="2"/>
  <c r="BU35" i="2"/>
  <c r="BO44" i="1"/>
  <c r="BO217" i="1"/>
  <c r="BO8" i="1"/>
  <c r="BO335" i="1" s="1"/>
  <c r="BO28" i="1"/>
  <c r="BO214" i="1"/>
  <c r="BO221" i="1"/>
  <c r="BO39" i="1"/>
  <c r="BO208" i="1"/>
  <c r="BO218" i="1"/>
  <c r="BO228" i="1"/>
  <c r="BO204" i="1"/>
  <c r="BO213" i="1"/>
  <c r="BO257" i="1" s="1"/>
  <c r="BO226" i="1"/>
  <c r="BO227" i="1"/>
  <c r="BO350" i="1"/>
  <c r="BT8" i="1"/>
  <c r="BT335" i="1" s="1"/>
  <c r="BO17" i="1"/>
  <c r="BO34" i="1"/>
  <c r="BO12" i="1"/>
  <c r="BS7" i="1"/>
  <c r="BU288" i="2"/>
  <c r="BZ288" i="2"/>
  <c r="CB289" i="2"/>
  <c r="BU206" i="1"/>
  <c r="BU208" i="1"/>
  <c r="AB207" i="1"/>
  <c r="AG207" i="1"/>
  <c r="AQ9" i="1"/>
  <c r="AQ329" i="1" s="1"/>
  <c r="AR34" i="2"/>
  <c r="BA34" i="2"/>
  <c r="L205" i="2"/>
  <c r="Q262" i="2" s="1"/>
  <c r="L184" i="2"/>
  <c r="L177" i="2"/>
  <c r="L210" i="2" s="1"/>
  <c r="CA288" i="2"/>
  <c r="CB334" i="1"/>
  <c r="CB186" i="1"/>
  <c r="Z80" i="2"/>
  <c r="BO217" i="2"/>
  <c r="BT217" i="2"/>
  <c r="AW193" i="2"/>
  <c r="AW234" i="2"/>
  <c r="AB251" i="2"/>
  <c r="AG251" i="2"/>
  <c r="AJ251" i="2"/>
  <c r="AO251" i="2"/>
  <c r="AB185" i="2"/>
  <c r="AA75" i="1"/>
  <c r="AA79" i="1"/>
  <c r="AA77" i="1"/>
  <c r="AA250" i="1" s="1"/>
  <c r="X235" i="1"/>
  <c r="BE32" i="2"/>
  <c r="BE29" i="2" s="1"/>
  <c r="BE33" i="2" s="1"/>
  <c r="BE12" i="2"/>
  <c r="BE16" i="2"/>
  <c r="BE13" i="2"/>
  <c r="CD216" i="2"/>
  <c r="BY216" i="2"/>
  <c r="BY14" i="2"/>
  <c r="BI38" i="2"/>
  <c r="BI39" i="2" s="1"/>
  <c r="BJ39" i="2" s="1"/>
  <c r="BJ29" i="2" s="1"/>
  <c r="BH42" i="2"/>
  <c r="BZ60" i="2"/>
  <c r="BJ254" i="2"/>
  <c r="BT257" i="2"/>
  <c r="BT226" i="2"/>
  <c r="BT256" i="2"/>
  <c r="BT254" i="2"/>
  <c r="BT258" i="2"/>
  <c r="BY226" i="2"/>
  <c r="BT255" i="2"/>
  <c r="BT160" i="2"/>
  <c r="BO216" i="2"/>
  <c r="AL234" i="2"/>
  <c r="AY219" i="2"/>
  <c r="CE219" i="2"/>
  <c r="V205" i="2"/>
  <c r="V262" i="2" s="1"/>
  <c r="V238" i="2"/>
  <c r="X251" i="2"/>
  <c r="AC251" i="2"/>
  <c r="CG50" i="1"/>
  <c r="CG18" i="1"/>
  <c r="CG22" i="1"/>
  <c r="CQ217" i="1"/>
  <c r="CK291" i="2"/>
  <c r="CF291" i="2"/>
  <c r="CM60" i="2"/>
  <c r="CP228" i="1"/>
  <c r="CE29" i="1"/>
  <c r="CH39" i="1"/>
  <c r="CH350" i="1"/>
  <c r="CH204" i="1"/>
  <c r="CH214" i="1"/>
  <c r="CH221" i="1"/>
  <c r="CH228" i="1"/>
  <c r="CH227" i="1"/>
  <c r="CH28" i="1"/>
  <c r="CH213" i="1"/>
  <c r="CH257" i="1" s="1"/>
  <c r="CH217" i="1"/>
  <c r="CH218" i="1"/>
  <c r="CH208" i="1"/>
  <c r="CJ60" i="2"/>
  <c r="DF189" i="2"/>
  <c r="CO222" i="2"/>
  <c r="CO225" i="2"/>
  <c r="BU108" i="1"/>
  <c r="BV108" i="1"/>
  <c r="CI7" i="1"/>
  <c r="CJ13" i="2"/>
  <c r="CJ16" i="2"/>
  <c r="CJ12" i="2"/>
  <c r="CJ15" i="2"/>
  <c r="CP156" i="2"/>
  <c r="BY198" i="1"/>
  <c r="BY201" i="1" s="1"/>
  <c r="CC198" i="1"/>
  <c r="CH288" i="2"/>
  <c r="CO115" i="1"/>
  <c r="CP115" i="1" s="1"/>
  <c r="CQ115" i="1" s="1"/>
  <c r="CS115" i="1" s="1"/>
  <c r="BB19" i="1"/>
  <c r="BK25" i="1"/>
  <c r="BK23" i="1"/>
  <c r="BK24" i="1" s="1"/>
  <c r="L35" i="1"/>
  <c r="Q35" i="1"/>
  <c r="AE231" i="1"/>
  <c r="AE142" i="1"/>
  <c r="AE283" i="1" s="1"/>
  <c r="BM205" i="1"/>
  <c r="BM203" i="1"/>
  <c r="BK242" i="1"/>
  <c r="BK262" i="1"/>
  <c r="BL262" i="1"/>
  <c r="CB209" i="1"/>
  <c r="CB210" i="1" s="1"/>
  <c r="CB192" i="1"/>
  <c r="N22" i="1"/>
  <c r="N20" i="1"/>
  <c r="N50" i="1"/>
  <c r="N18" i="1"/>
  <c r="S20" i="1"/>
  <c r="AV249" i="1"/>
  <c r="AV55" i="1"/>
  <c r="AV62" i="1"/>
  <c r="CX77" i="1"/>
  <c r="DB250" i="1"/>
  <c r="DG77" i="1"/>
  <c r="CZ77" i="1"/>
  <c r="CZ250" i="1" s="1"/>
  <c r="CY77" i="1"/>
  <c r="BE239" i="1"/>
  <c r="BE241" i="1" s="1"/>
  <c r="BF189" i="1"/>
  <c r="BF192" i="1" s="1"/>
  <c r="BE150" i="1"/>
  <c r="BE189" i="1"/>
  <c r="BP208" i="1"/>
  <c r="BP206" i="1"/>
  <c r="BP207" i="1" s="1"/>
  <c r="T204" i="1"/>
  <c r="T205" i="1"/>
  <c r="T186" i="1"/>
  <c r="T218" i="1"/>
  <c r="O334" i="1"/>
  <c r="O186" i="1"/>
  <c r="BI229" i="1"/>
  <c r="AA253" i="1"/>
  <c r="AA246" i="1"/>
  <c r="AB262" i="1"/>
  <c r="AA262" i="1"/>
  <c r="AA242" i="1"/>
  <c r="AA235" i="1" s="1"/>
  <c r="AE262" i="1"/>
  <c r="P29" i="1"/>
  <c r="P223" i="1"/>
  <c r="P224" i="1"/>
  <c r="P14" i="1"/>
  <c r="P215" i="1"/>
  <c r="P216" i="1"/>
  <c r="P256" i="1" s="1"/>
  <c r="P222" i="1"/>
  <c r="P258" i="1" s="1"/>
  <c r="P225" i="1"/>
  <c r="P12" i="1"/>
  <c r="P17" i="1"/>
  <c r="U14" i="1"/>
  <c r="M51" i="1"/>
  <c r="M74" i="1"/>
  <c r="N178" i="2"/>
  <c r="M60" i="1"/>
  <c r="M61" i="1" s="1"/>
  <c r="M54" i="1"/>
  <c r="AO34" i="1"/>
  <c r="AO35" i="1" s="1"/>
  <c r="AO36" i="1"/>
  <c r="BN40" i="1"/>
  <c r="AO211" i="2"/>
  <c r="BL190" i="1"/>
  <c r="BM190" i="1" s="1"/>
  <c r="BM125" i="1" s="1"/>
  <c r="BM124" i="1" s="1"/>
  <c r="CA219" i="1"/>
  <c r="CB172" i="1"/>
  <c r="CA220" i="1"/>
  <c r="CG34" i="2"/>
  <c r="CF9" i="1"/>
  <c r="CL34" i="2"/>
  <c r="S229" i="1"/>
  <c r="S209" i="1"/>
  <c r="S192" i="1"/>
  <c r="T188" i="1"/>
  <c r="AS45" i="1"/>
  <c r="AX45" i="1"/>
  <c r="CD16" i="2"/>
  <c r="CD13" i="2"/>
  <c r="CD14" i="2"/>
  <c r="BH9" i="1"/>
  <c r="BH329" i="1" s="1"/>
  <c r="BI34" i="2"/>
  <c r="BY9" i="1"/>
  <c r="BY329" i="1" s="1"/>
  <c r="BZ34" i="2"/>
  <c r="CF334" i="1"/>
  <c r="CF186" i="1"/>
  <c r="BD29" i="1"/>
  <c r="BD13" i="1"/>
  <c r="BC22" i="1"/>
  <c r="BC102" i="1"/>
  <c r="BD102" i="1" s="1"/>
  <c r="BD54" i="1" s="1"/>
  <c r="BD19" i="1"/>
  <c r="BI60" i="1"/>
  <c r="BI51" i="1"/>
  <c r="BI52" i="1" s="1"/>
  <c r="BI54" i="1"/>
  <c r="BI74" i="1"/>
  <c r="BI351" i="1"/>
  <c r="BI343" i="1"/>
  <c r="BS358" i="1"/>
  <c r="BS119" i="1"/>
  <c r="BS98" i="1"/>
  <c r="BS206" i="1" s="1"/>
  <c r="BN355" i="1"/>
  <c r="BW356" i="1"/>
  <c r="BW186" i="1"/>
  <c r="BW204" i="1"/>
  <c r="BW218" i="1"/>
  <c r="AC233" i="1"/>
  <c r="AC234" i="1" s="1"/>
  <c r="AP40" i="1"/>
  <c r="AU40" i="1"/>
  <c r="BV29" i="1"/>
  <c r="AC9" i="1"/>
  <c r="AC329" i="1" s="1"/>
  <c r="AD34" i="2"/>
  <c r="AS9" i="1"/>
  <c r="AS329" i="1" s="1"/>
  <c r="AT34" i="2"/>
  <c r="CG228" i="2"/>
  <c r="AY283" i="1"/>
  <c r="AY293" i="1" s="1"/>
  <c r="AY342" i="1"/>
  <c r="U242" i="1"/>
  <c r="U235" i="1" s="1"/>
  <c r="U234" i="1" s="1"/>
  <c r="V262" i="1"/>
  <c r="Z262" i="1"/>
  <c r="U246" i="1"/>
  <c r="CC181" i="1"/>
  <c r="AK242" i="1"/>
  <c r="AK235" i="1" s="1"/>
  <c r="AL262" i="1"/>
  <c r="BA242" i="1"/>
  <c r="BA246" i="1"/>
  <c r="BD262" i="1"/>
  <c r="BA253" i="1"/>
  <c r="BA262" i="1"/>
  <c r="BB262" i="1"/>
  <c r="BN28" i="1"/>
  <c r="BN29" i="1" s="1"/>
  <c r="BN218" i="1"/>
  <c r="BN227" i="1"/>
  <c r="BN204" i="1"/>
  <c r="BN208" i="1"/>
  <c r="BN226" i="1"/>
  <c r="BN228" i="1"/>
  <c r="BN8" i="1"/>
  <c r="BN335" i="1" s="1"/>
  <c r="BN217" i="1"/>
  <c r="BN221" i="1"/>
  <c r="BN213" i="1"/>
  <c r="BN257" i="1" s="1"/>
  <c r="BN259" i="1" s="1"/>
  <c r="BN214" i="1"/>
  <c r="BN350" i="1"/>
  <c r="CB28" i="1"/>
  <c r="CB217" i="1"/>
  <c r="CB12" i="1"/>
  <c r="CB44" i="1"/>
  <c r="CB8" i="1"/>
  <c r="CB221" i="1"/>
  <c r="CB213" i="1"/>
  <c r="CB257" i="1" s="1"/>
  <c r="CB259" i="1" s="1"/>
  <c r="CB39" i="1"/>
  <c r="CB17" i="1"/>
  <c r="CG20" i="1" s="1"/>
  <c r="CB350" i="1"/>
  <c r="CB214" i="1"/>
  <c r="CB204" i="1"/>
  <c r="CG8" i="1"/>
  <c r="CB218" i="1"/>
  <c r="R54" i="1"/>
  <c r="R51" i="1"/>
  <c r="S178" i="2"/>
  <c r="R74" i="1"/>
  <c r="R60" i="1"/>
  <c r="R61" i="1" s="1"/>
  <c r="X51" i="1"/>
  <c r="X54" i="1"/>
  <c r="X74" i="1"/>
  <c r="Y178" i="2"/>
  <c r="X60" i="1"/>
  <c r="X61" i="1" s="1"/>
  <c r="AG19" i="1"/>
  <c r="AL19" i="1"/>
  <c r="BT15" i="2"/>
  <c r="BT16" i="2"/>
  <c r="BT12" i="2"/>
  <c r="BN34" i="2"/>
  <c r="BO28" i="2"/>
  <c r="BN69" i="2"/>
  <c r="BQ23" i="1"/>
  <c r="BQ25" i="1"/>
  <c r="BQ33" i="2"/>
  <c r="BV34" i="2" s="1"/>
  <c r="BY28" i="2"/>
  <c r="BF69" i="2"/>
  <c r="BK69" i="2"/>
  <c r="BJ166" i="2"/>
  <c r="BI193" i="2"/>
  <c r="BN234" i="2"/>
  <c r="BI234" i="2"/>
  <c r="AN251" i="2"/>
  <c r="AS251" i="2"/>
  <c r="BT14" i="2"/>
  <c r="AA9" i="1"/>
  <c r="AA329" i="1" s="1"/>
  <c r="AB34" i="2"/>
  <c r="BP34" i="2"/>
  <c r="BO9" i="1"/>
  <c r="BO329" i="1" s="1"/>
  <c r="CE51" i="2"/>
  <c r="CJ51" i="2"/>
  <c r="CB60" i="2"/>
  <c r="CG60" i="2"/>
  <c r="BY64" i="2"/>
  <c r="BU68" i="2"/>
  <c r="BU69" i="2" s="1"/>
  <c r="AS193" i="2"/>
  <c r="AS234" i="2"/>
  <c r="AF242" i="2"/>
  <c r="U243" i="2"/>
  <c r="Z243" i="2"/>
  <c r="AC262" i="2"/>
  <c r="AB211" i="2"/>
  <c r="BO16" i="2"/>
  <c r="BO14" i="2"/>
  <c r="BO15" i="2"/>
  <c r="BY44" i="2"/>
  <c r="BY50" i="2"/>
  <c r="BJ59" i="2"/>
  <c r="BJ60" i="2" s="1"/>
  <c r="CN61" i="2"/>
  <c r="AQ8" i="1"/>
  <c r="AQ335" i="1" s="1"/>
  <c r="AQ12" i="1"/>
  <c r="AQ204" i="1"/>
  <c r="AQ214" i="1"/>
  <c r="AQ221" i="1"/>
  <c r="AQ227" i="1"/>
  <c r="AV8" i="1"/>
  <c r="AV335" i="1" s="1"/>
  <c r="AQ28" i="1"/>
  <c r="AQ39" i="1"/>
  <c r="AQ213" i="1"/>
  <c r="AQ257" i="1" s="1"/>
  <c r="AQ259" i="1" s="1"/>
  <c r="AQ217" i="1"/>
  <c r="AQ218" i="1"/>
  <c r="AQ228" i="1"/>
  <c r="AQ34" i="1"/>
  <c r="AQ17" i="1"/>
  <c r="AQ226" i="1"/>
  <c r="AQ44" i="1"/>
  <c r="AT7" i="1"/>
  <c r="AT204" i="1" s="1"/>
  <c r="BC9" i="1"/>
  <c r="BC329" i="1" s="1"/>
  <c r="BD34" i="2"/>
  <c r="CE34" i="2"/>
  <c r="AY34" i="2"/>
  <c r="M34" i="2"/>
  <c r="CA34" i="2"/>
  <c r="BJ40" i="2"/>
  <c r="BJ31" i="2" s="1"/>
  <c r="BY30" i="2"/>
  <c r="CC330" i="1" s="1"/>
  <c r="BZ69" i="2"/>
  <c r="CD288" i="2"/>
  <c r="AZ226" i="2"/>
  <c r="AZ256" i="2"/>
  <c r="AZ166" i="2"/>
  <c r="AZ254" i="2"/>
  <c r="AZ258" i="2"/>
  <c r="AZ255" i="2"/>
  <c r="AZ160" i="2"/>
  <c r="AT234" i="2"/>
  <c r="BT166" i="2"/>
  <c r="BQ193" i="2"/>
  <c r="BQ234" i="2"/>
  <c r="BZ234" i="2"/>
  <c r="AU242" i="2"/>
  <c r="AU184" i="2"/>
  <c r="AU177" i="2"/>
  <c r="BP219" i="2"/>
  <c r="CD249" i="1"/>
  <c r="CD55" i="1"/>
  <c r="CD62" i="1"/>
  <c r="CF206" i="1"/>
  <c r="CF207" i="1" s="1"/>
  <c r="CF210" i="1"/>
  <c r="CF208" i="1"/>
  <c r="CK39" i="1"/>
  <c r="CK12" i="1"/>
  <c r="CE45" i="1"/>
  <c r="CP29" i="2"/>
  <c r="CR39" i="2"/>
  <c r="CR40" i="2"/>
  <c r="CR38" i="2"/>
  <c r="CX132" i="1"/>
  <c r="CY132" i="1" s="1"/>
  <c r="CZ132" i="1" s="1"/>
  <c r="DA132" i="1" s="1"/>
  <c r="CW132" i="1"/>
  <c r="CP225" i="2"/>
  <c r="BH61" i="1"/>
  <c r="BH353" i="1"/>
  <c r="BH76" i="1"/>
  <c r="CO30" i="2"/>
  <c r="CS330" i="1" s="1"/>
  <c r="CO156" i="2"/>
  <c r="CR7" i="2"/>
  <c r="CR46" i="2"/>
  <c r="CR47" i="2"/>
  <c r="BD245" i="1"/>
  <c r="BD165" i="1"/>
  <c r="BU29" i="1"/>
  <c r="CF60" i="2"/>
  <c r="CK60" i="2"/>
  <c r="CN146" i="1"/>
  <c r="CM239" i="1"/>
  <c r="CJ14" i="2"/>
  <c r="CM114" i="1"/>
  <c r="CI114" i="1"/>
  <c r="CI115" i="1" s="1"/>
  <c r="BS69" i="2" l="1"/>
  <c r="BT64" i="2"/>
  <c r="BT68" i="2" s="1"/>
  <c r="BO39" i="2"/>
  <c r="BO42" i="2" s="1"/>
  <c r="V76" i="2"/>
  <c r="V80" i="2" s="1"/>
  <c r="AU45" i="1"/>
  <c r="BE227" i="2"/>
  <c r="Q34" i="2"/>
  <c r="BY51" i="2"/>
  <c r="AT219" i="2"/>
  <c r="AW9" i="1"/>
  <c r="AW329" i="1" s="1"/>
  <c r="BC34" i="2"/>
  <c r="BP43" i="2"/>
  <c r="BJ226" i="2"/>
  <c r="AA76" i="2"/>
  <c r="AA80" i="2" s="1"/>
  <c r="BE256" i="2"/>
  <c r="AO50" i="1"/>
  <c r="AC244" i="2"/>
  <c r="Y80" i="2"/>
  <c r="BW13" i="1"/>
  <c r="BW29" i="1"/>
  <c r="BT289" i="2"/>
  <c r="DF55" i="2"/>
  <c r="DE55" i="2"/>
  <c r="AO343" i="1"/>
  <c r="CI288" i="2"/>
  <c r="BJ216" i="2"/>
  <c r="BT290" i="2" s="1"/>
  <c r="CE18" i="1"/>
  <c r="CE19" i="1" s="1"/>
  <c r="CE50" i="1"/>
  <c r="X210" i="2"/>
  <c r="AF34" i="2"/>
  <c r="CF219" i="2"/>
  <c r="AZ64" i="2"/>
  <c r="AZ68" i="2" s="1"/>
  <c r="AZ69" i="2" s="1"/>
  <c r="CH17" i="1"/>
  <c r="CH18" i="1" s="1"/>
  <c r="CS224" i="2"/>
  <c r="E74" i="1"/>
  <c r="E54" i="1"/>
  <c r="E51" i="1"/>
  <c r="J52" i="1" s="1"/>
  <c r="AO51" i="1"/>
  <c r="BO291" i="2"/>
  <c r="CM156" i="2"/>
  <c r="CM224" i="2" s="1"/>
  <c r="AK34" i="2"/>
  <c r="AS22" i="1"/>
  <c r="AX20" i="1"/>
  <c r="AS50" i="1"/>
  <c r="AS18" i="1"/>
  <c r="AS20" i="1"/>
  <c r="BE107" i="1"/>
  <c r="BU201" i="1"/>
  <c r="AN192" i="1"/>
  <c r="AN196" i="1" s="1"/>
  <c r="AN201" i="1" s="1"/>
  <c r="AS296" i="1"/>
  <c r="AH55" i="1"/>
  <c r="AH56" i="1" s="1"/>
  <c r="AH62" i="1"/>
  <c r="AH63" i="1" s="1"/>
  <c r="AH249" i="1"/>
  <c r="AM57" i="1"/>
  <c r="AT293" i="1"/>
  <c r="BV19" i="1"/>
  <c r="AH57" i="1"/>
  <c r="BD253" i="1"/>
  <c r="BI355" i="1"/>
  <c r="CV123" i="1"/>
  <c r="CV116" i="1" s="1"/>
  <c r="J185" i="2"/>
  <c r="I77" i="1"/>
  <c r="I250" i="1" s="1"/>
  <c r="I251" i="1" s="1"/>
  <c r="I75" i="1"/>
  <c r="I79" i="1"/>
  <c r="AH75" i="1"/>
  <c r="AH79" i="1"/>
  <c r="AI185" i="2"/>
  <c r="AI194" i="2"/>
  <c r="AH77" i="1"/>
  <c r="AH250" i="1" s="1"/>
  <c r="AE293" i="1"/>
  <c r="AK24" i="1"/>
  <c r="BT249" i="1"/>
  <c r="BT62" i="1"/>
  <c r="BT63" i="1" s="1"/>
  <c r="BT55" i="1"/>
  <c r="Z296" i="1"/>
  <c r="V296" i="1"/>
  <c r="AQ296" i="1"/>
  <c r="BH79" i="1"/>
  <c r="BO296" i="1"/>
  <c r="U259" i="1"/>
  <c r="BW357" i="1"/>
  <c r="BW235" i="1"/>
  <c r="E24" i="1"/>
  <c r="J24" i="1"/>
  <c r="BE110" i="1"/>
  <c r="BE109" i="1"/>
  <c r="AF177" i="2"/>
  <c r="AF210" i="2" s="1"/>
  <c r="AF243" i="2"/>
  <c r="CC178" i="1"/>
  <c r="CB228" i="2"/>
  <c r="BI194" i="2"/>
  <c r="AJ9" i="1"/>
  <c r="U186" i="1"/>
  <c r="AW207" i="1"/>
  <c r="K296" i="1"/>
  <c r="AX296" i="1"/>
  <c r="AK243" i="2"/>
  <c r="AO40" i="1"/>
  <c r="C23" i="1"/>
  <c r="C24" i="1" s="1"/>
  <c r="C25" i="1"/>
  <c r="AR77" i="1"/>
  <c r="AR75" i="1"/>
  <c r="AS185" i="2"/>
  <c r="AR79" i="1"/>
  <c r="AR81" i="1" s="1"/>
  <c r="AS194" i="2"/>
  <c r="Y52" i="1"/>
  <c r="U211" i="2"/>
  <c r="BC228" i="2"/>
  <c r="CC286" i="1"/>
  <c r="AT209" i="1"/>
  <c r="AT229" i="1"/>
  <c r="CH8" i="1"/>
  <c r="CH335" i="1" s="1"/>
  <c r="CC211" i="1"/>
  <c r="H185" i="2"/>
  <c r="G79" i="1"/>
  <c r="G75" i="1"/>
  <c r="G77" i="1"/>
  <c r="G250" i="1" s="1"/>
  <c r="G251" i="1" s="1"/>
  <c r="CF196" i="1"/>
  <c r="BZ219" i="2"/>
  <c r="H296" i="1"/>
  <c r="BO160" i="2"/>
  <c r="BO228" i="2" s="1"/>
  <c r="AA296" i="1"/>
  <c r="AR52" i="1"/>
  <c r="BW36" i="1"/>
  <c r="BE24" i="1"/>
  <c r="BO69" i="2"/>
  <c r="AW296" i="1"/>
  <c r="BB230" i="1"/>
  <c r="BB88" i="1"/>
  <c r="BB86" i="1"/>
  <c r="BB94" i="1" s="1"/>
  <c r="BB82" i="1"/>
  <c r="BB170" i="1"/>
  <c r="BB173" i="1" s="1"/>
  <c r="BB354" i="1" s="1"/>
  <c r="BE88" i="1"/>
  <c r="BJ89" i="1" s="1"/>
  <c r="BE86" i="1"/>
  <c r="BE94" i="1" s="1"/>
  <c r="BJ95" i="1" s="1"/>
  <c r="BE230" i="1"/>
  <c r="BJ81" i="1"/>
  <c r="BE170" i="1"/>
  <c r="BE173" i="1" s="1"/>
  <c r="BE354" i="1" s="1"/>
  <c r="BE82" i="1"/>
  <c r="BH219" i="2"/>
  <c r="DE46" i="2"/>
  <c r="DD46" i="2"/>
  <c r="DF46" i="2"/>
  <c r="BX42" i="2"/>
  <c r="BX43" i="2" s="1"/>
  <c r="BY39" i="2"/>
  <c r="BY29" i="2" s="1"/>
  <c r="BY33" i="2" s="1"/>
  <c r="BU231" i="1"/>
  <c r="BU142" i="1"/>
  <c r="BF24" i="1"/>
  <c r="BD353" i="1"/>
  <c r="BD61" i="1"/>
  <c r="BW231" i="1"/>
  <c r="BW142" i="1"/>
  <c r="T249" i="1"/>
  <c r="T251" i="1" s="1"/>
  <c r="T55" i="1"/>
  <c r="Y56" i="1" s="1"/>
  <c r="Y57" i="1"/>
  <c r="T62" i="1"/>
  <c r="T63" i="1" s="1"/>
  <c r="CB180" i="1"/>
  <c r="CC180" i="1" s="1"/>
  <c r="CC149" i="1"/>
  <c r="CC288" i="1" s="1"/>
  <c r="CB131" i="1"/>
  <c r="CB288" i="1"/>
  <c r="CB291" i="1" s="1"/>
  <c r="BH75" i="1"/>
  <c r="BO288" i="2"/>
  <c r="O234" i="1"/>
  <c r="BF219" i="2"/>
  <c r="CM102" i="1"/>
  <c r="C51" i="1"/>
  <c r="H52" i="1" s="1"/>
  <c r="C54" i="1"/>
  <c r="H57" i="1" s="1"/>
  <c r="C74" i="1"/>
  <c r="BB250" i="1"/>
  <c r="BB251" i="1" s="1"/>
  <c r="BB344" i="1"/>
  <c r="BB345" i="1" s="1"/>
  <c r="BB103" i="1"/>
  <c r="BB106" i="1" s="1"/>
  <c r="BB107" i="1" s="1"/>
  <c r="AR62" i="1"/>
  <c r="AR63" i="1" s="1"/>
  <c r="AR249" i="1"/>
  <c r="AR55" i="1"/>
  <c r="AR56" i="1" s="1"/>
  <c r="CC125" i="1"/>
  <c r="CC124" i="1" s="1"/>
  <c r="AS229" i="1"/>
  <c r="AS209" i="1"/>
  <c r="AS210" i="1" s="1"/>
  <c r="CB43" i="2"/>
  <c r="CG43" i="2"/>
  <c r="CT42" i="2"/>
  <c r="CT43" i="2" s="1"/>
  <c r="DE38" i="2"/>
  <c r="CV42" i="2"/>
  <c r="CV43" i="2" s="1"/>
  <c r="CF329" i="1"/>
  <c r="CF335" i="1"/>
  <c r="CP44" i="1"/>
  <c r="CU44" i="1" s="1"/>
  <c r="CZ44" i="1" s="1"/>
  <c r="DE44" i="1" s="1"/>
  <c r="CP12" i="1"/>
  <c r="CU12" i="1" s="1"/>
  <c r="CZ12" i="1" s="1"/>
  <c r="DE12" i="1" s="1"/>
  <c r="BU79" i="1"/>
  <c r="BU88" i="1" s="1"/>
  <c r="BU75" i="1"/>
  <c r="BU77" i="1"/>
  <c r="BV194" i="2"/>
  <c r="BU61" i="1"/>
  <c r="BU353" i="1"/>
  <c r="CP39" i="1"/>
  <c r="CU39" i="1" s="1"/>
  <c r="CZ39" i="1" s="1"/>
  <c r="DE39" i="1" s="1"/>
  <c r="CL160" i="1"/>
  <c r="CM160" i="1" s="1"/>
  <c r="CL14" i="2"/>
  <c r="CL158" i="2"/>
  <c r="CL255" i="2" s="1"/>
  <c r="CQ222" i="2"/>
  <c r="CK329" i="1"/>
  <c r="BG81" i="1"/>
  <c r="BG82" i="1"/>
  <c r="BG230" i="1"/>
  <c r="BG170" i="1"/>
  <c r="BG173" i="1" s="1"/>
  <c r="BG354" i="1" s="1"/>
  <c r="BG86" i="1"/>
  <c r="BG94" i="1" s="1"/>
  <c r="BG88" i="1"/>
  <c r="BG89" i="1" s="1"/>
  <c r="AN296" i="1"/>
  <c r="AM296" i="1"/>
  <c r="CL12" i="2"/>
  <c r="CF40" i="1"/>
  <c r="S210" i="1"/>
  <c r="CB196" i="1"/>
  <c r="BJ38" i="2"/>
  <c r="CI290" i="2"/>
  <c r="AD210" i="1"/>
  <c r="AA251" i="2"/>
  <c r="BB228" i="2"/>
  <c r="T253" i="1"/>
  <c r="T246" i="1"/>
  <c r="AJ244" i="2"/>
  <c r="AJ210" i="2"/>
  <c r="AO244" i="2"/>
  <c r="AM56" i="1"/>
  <c r="AT357" i="1"/>
  <c r="AT235" i="1"/>
  <c r="AT234" i="1" s="1"/>
  <c r="B25" i="1"/>
  <c r="G25" i="1"/>
  <c r="B23" i="1"/>
  <c r="BB246" i="1"/>
  <c r="BG235" i="1"/>
  <c r="BH233" i="1" s="1"/>
  <c r="BH234" i="1" s="1"/>
  <c r="BG357" i="1"/>
  <c r="BT69" i="2"/>
  <c r="BM79" i="1"/>
  <c r="AF211" i="2"/>
  <c r="AD55" i="1"/>
  <c r="AD56" i="1" s="1"/>
  <c r="AD57" i="1"/>
  <c r="AD62" i="1"/>
  <c r="AD249" i="1"/>
  <c r="AG210" i="2"/>
  <c r="AG244" i="2"/>
  <c r="CK61" i="2"/>
  <c r="BF136" i="1"/>
  <c r="BE137" i="1"/>
  <c r="BE142" i="1" s="1"/>
  <c r="W234" i="1"/>
  <c r="AY235" i="1"/>
  <c r="AY234" i="1" s="1"/>
  <c r="AY357" i="1"/>
  <c r="BU235" i="1"/>
  <c r="BV233" i="1" s="1"/>
  <c r="BU357" i="1"/>
  <c r="BO289" i="2"/>
  <c r="O206" i="1"/>
  <c r="O207" i="1" s="1"/>
  <c r="O208" i="1"/>
  <c r="AM344" i="1"/>
  <c r="AM345" i="1" s="1"/>
  <c r="AM103" i="1"/>
  <c r="AM250" i="1"/>
  <c r="AM251" i="1" s="1"/>
  <c r="AM104" i="1"/>
  <c r="I211" i="2"/>
  <c r="BJ227" i="2"/>
  <c r="BJ164" i="2"/>
  <c r="BJ232" i="2" s="1"/>
  <c r="BN235" i="1"/>
  <c r="BN234" i="1" s="1"/>
  <c r="BN357" i="1"/>
  <c r="Z18" i="1"/>
  <c r="Z22" i="1"/>
  <c r="AE20" i="1"/>
  <c r="Z50" i="1"/>
  <c r="Z20" i="1"/>
  <c r="AR244" i="2"/>
  <c r="AR210" i="2"/>
  <c r="AR266" i="2" s="1"/>
  <c r="AP281" i="2"/>
  <c r="AP282" i="2"/>
  <c r="AG234" i="1"/>
  <c r="AH233" i="1"/>
  <c r="AH234" i="1" s="1"/>
  <c r="BS237" i="1"/>
  <c r="BX359" i="1"/>
  <c r="BT233" i="1"/>
  <c r="BS137" i="1"/>
  <c r="D54" i="1"/>
  <c r="D51" i="1"/>
  <c r="I52" i="1" s="1"/>
  <c r="D74" i="1"/>
  <c r="CF64" i="2"/>
  <c r="AH210" i="2"/>
  <c r="AM244" i="2"/>
  <c r="AH244" i="2"/>
  <c r="AU234" i="1"/>
  <c r="AV233" i="1"/>
  <c r="AV234" i="1" s="1"/>
  <c r="AB244" i="2"/>
  <c r="AB210" i="2"/>
  <c r="AB266" i="2" s="1"/>
  <c r="BB193" i="2"/>
  <c r="BG219" i="2" s="1"/>
  <c r="BG234" i="2"/>
  <c r="AU228" i="2"/>
  <c r="AP228" i="2"/>
  <c r="BA79" i="1"/>
  <c r="BF81" i="1" s="1"/>
  <c r="AG185" i="2"/>
  <c r="AF79" i="1"/>
  <c r="AG194" i="2"/>
  <c r="AF75" i="1"/>
  <c r="AF77" i="1"/>
  <c r="AF250" i="1" s="1"/>
  <c r="AF251" i="1" s="1"/>
  <c r="CI228" i="1"/>
  <c r="CN228" i="1" s="1"/>
  <c r="CS228" i="1" s="1"/>
  <c r="CX228" i="1" s="1"/>
  <c r="DC228" i="1" s="1"/>
  <c r="CI227" i="1"/>
  <c r="CN227" i="1" s="1"/>
  <c r="CS227" i="1" s="1"/>
  <c r="CX227" i="1" s="1"/>
  <c r="DC227" i="1" s="1"/>
  <c r="CI214" i="1"/>
  <c r="CN214" i="1" s="1"/>
  <c r="CS214" i="1" s="1"/>
  <c r="CX214" i="1" s="1"/>
  <c r="DC214" i="1" s="1"/>
  <c r="CI221" i="1"/>
  <c r="CN221" i="1" s="1"/>
  <c r="CS221" i="1" s="1"/>
  <c r="CX221" i="1" s="1"/>
  <c r="DC221" i="1" s="1"/>
  <c r="CI217" i="1"/>
  <c r="CN217" i="1" s="1"/>
  <c r="CS217" i="1" s="1"/>
  <c r="CX217" i="1" s="1"/>
  <c r="DC217" i="1" s="1"/>
  <c r="CI213" i="1"/>
  <c r="CI257" i="1" s="1"/>
  <c r="CI226" i="1"/>
  <c r="CN226" i="1" s="1"/>
  <c r="CS226" i="1" s="1"/>
  <c r="CX226" i="1" s="1"/>
  <c r="DC226" i="1" s="1"/>
  <c r="CI218" i="1"/>
  <c r="CN218" i="1" s="1"/>
  <c r="CS218" i="1" s="1"/>
  <c r="CX218" i="1" s="1"/>
  <c r="DC218" i="1" s="1"/>
  <c r="CI28" i="1"/>
  <c r="CI29" i="1" s="1"/>
  <c r="CI39" i="1"/>
  <c r="CI12" i="1"/>
  <c r="CI13" i="1" s="1"/>
  <c r="CI44" i="1"/>
  <c r="CJ226" i="1"/>
  <c r="CJ228" i="1"/>
  <c r="CO228" i="1" s="1"/>
  <c r="CT228" i="1" s="1"/>
  <c r="CJ221" i="1"/>
  <c r="CO221" i="1" s="1"/>
  <c r="CJ214" i="1"/>
  <c r="CO214" i="1" s="1"/>
  <c r="CT214" i="1" s="1"/>
  <c r="CY214" i="1" s="1"/>
  <c r="DD214" i="1" s="1"/>
  <c r="CJ227" i="1"/>
  <c r="CO227" i="1" s="1"/>
  <c r="CT227" i="1" s="1"/>
  <c r="CJ217" i="1"/>
  <c r="CO217" i="1" s="1"/>
  <c r="CT217" i="1" s="1"/>
  <c r="CJ218" i="1"/>
  <c r="CO218" i="1" s="1"/>
  <c r="CT218" i="1" s="1"/>
  <c r="CY218" i="1" s="1"/>
  <c r="DD218" i="1" s="1"/>
  <c r="CJ39" i="1"/>
  <c r="CJ12" i="1"/>
  <c r="CJ44" i="1"/>
  <c r="CJ28" i="1"/>
  <c r="CJ29" i="1" s="1"/>
  <c r="AO342" i="1"/>
  <c r="AO283" i="1"/>
  <c r="AO293" i="1" s="1"/>
  <c r="AO295" i="1" s="1"/>
  <c r="BB235" i="1"/>
  <c r="BC233" i="1" s="1"/>
  <c r="BC234" i="1" s="1"/>
  <c r="BB357" i="1"/>
  <c r="R210" i="2"/>
  <c r="R266" i="2" s="1"/>
  <c r="R244" i="2"/>
  <c r="AN210" i="2"/>
  <c r="AN244" i="2"/>
  <c r="AS244" i="2"/>
  <c r="AD79" i="1"/>
  <c r="AD77" i="1"/>
  <c r="AD250" i="1" s="1"/>
  <c r="AE185" i="2"/>
  <c r="AD75" i="1"/>
  <c r="AK262" i="2"/>
  <c r="AP262" i="2"/>
  <c r="T88" i="1"/>
  <c r="Y89" i="1" s="1"/>
  <c r="Y81" i="1"/>
  <c r="T86" i="1"/>
  <c r="T94" i="1" s="1"/>
  <c r="Y95" i="1" s="1"/>
  <c r="T82" i="1"/>
  <c r="T170" i="1"/>
  <c r="T173" i="1" s="1"/>
  <c r="T107" i="1"/>
  <c r="L211" i="2"/>
  <c r="K249" i="1"/>
  <c r="K55" i="1"/>
  <c r="K62" i="1"/>
  <c r="K63" i="1" s="1"/>
  <c r="AZ61" i="1"/>
  <c r="AZ353" i="1"/>
  <c r="AC207" i="1"/>
  <c r="AH207" i="1"/>
  <c r="BS201" i="1"/>
  <c r="BX198" i="1"/>
  <c r="BX201" i="1" s="1"/>
  <c r="BT198" i="1"/>
  <c r="BT201" i="1" s="1"/>
  <c r="AK109" i="1"/>
  <c r="AK110" i="1"/>
  <c r="BT86" i="1"/>
  <c r="BT94" i="1" s="1"/>
  <c r="BT82" i="1"/>
  <c r="BT170" i="1"/>
  <c r="BT173" i="1" s="1"/>
  <c r="BT354" i="1" s="1"/>
  <c r="BT230" i="1"/>
  <c r="S206" i="1"/>
  <c r="S207" i="1" s="1"/>
  <c r="S208" i="1"/>
  <c r="AS219" i="2"/>
  <c r="B51" i="1"/>
  <c r="G52" i="1" s="1"/>
  <c r="B54" i="1"/>
  <c r="B74" i="1"/>
  <c r="AE75" i="1"/>
  <c r="AE77" i="1"/>
  <c r="AE250" i="1" s="1"/>
  <c r="AF185" i="2"/>
  <c r="AE266" i="1"/>
  <c r="AE269" i="1" s="1"/>
  <c r="AG170" i="1"/>
  <c r="AG173" i="1" s="1"/>
  <c r="AG82" i="1"/>
  <c r="AG86" i="1"/>
  <c r="AG94" i="1" s="1"/>
  <c r="AG230" i="1"/>
  <c r="AG88" i="1"/>
  <c r="AG107" i="1"/>
  <c r="BQ228" i="2"/>
  <c r="BV228" i="2"/>
  <c r="CN30" i="2"/>
  <c r="CF34" i="2"/>
  <c r="CE9" i="1"/>
  <c r="BY164" i="2"/>
  <c r="BY232" i="2" s="1"/>
  <c r="BY227" i="2"/>
  <c r="BY160" i="2"/>
  <c r="CD228" i="2" s="1"/>
  <c r="BG234" i="1"/>
  <c r="CB36" i="1"/>
  <c r="CC33" i="1"/>
  <c r="CC34" i="1" s="1"/>
  <c r="V75" i="1"/>
  <c r="W185" i="2"/>
  <c r="V79" i="1"/>
  <c r="AA81" i="1" s="1"/>
  <c r="V77" i="1"/>
  <c r="V250" i="1" s="1"/>
  <c r="V251" i="1" s="1"/>
  <c r="BP342" i="1"/>
  <c r="BP283" i="1"/>
  <c r="BP293" i="1" s="1"/>
  <c r="BP296" i="1" s="1"/>
  <c r="AE210" i="2"/>
  <c r="AE266" i="2" s="1"/>
  <c r="AE244" i="2"/>
  <c r="BY242" i="1"/>
  <c r="BY71" i="1"/>
  <c r="BR229" i="1"/>
  <c r="AE55" i="1"/>
  <c r="AE249" i="1"/>
  <c r="AE62" i="1"/>
  <c r="W62" i="1"/>
  <c r="W249" i="1"/>
  <c r="W55" i="1"/>
  <c r="W75" i="1"/>
  <c r="W79" i="1"/>
  <c r="W77" i="1"/>
  <c r="W250" i="1" s="1"/>
  <c r="X185" i="2"/>
  <c r="R178" i="2"/>
  <c r="Q54" i="1"/>
  <c r="Q74" i="1"/>
  <c r="Q60" i="1"/>
  <c r="Q61" i="1" s="1"/>
  <c r="Q51" i="1"/>
  <c r="R211" i="2" s="1"/>
  <c r="BD142" i="1"/>
  <c r="BD166" i="1" s="1"/>
  <c r="BD231" i="1"/>
  <c r="AD206" i="1"/>
  <c r="AD208" i="1"/>
  <c r="CJ68" i="2"/>
  <c r="CO69" i="2" s="1"/>
  <c r="CM63" i="2"/>
  <c r="CJ61" i="2"/>
  <c r="F18" i="1"/>
  <c r="K19" i="1" s="1"/>
  <c r="F22" i="1"/>
  <c r="F50" i="1"/>
  <c r="K20" i="1"/>
  <c r="W244" i="2"/>
  <c r="CI42" i="2"/>
  <c r="CN43" i="2" s="1"/>
  <c r="CN37" i="2"/>
  <c r="AA24" i="1"/>
  <c r="V24" i="1"/>
  <c r="Z13" i="1"/>
  <c r="AE13" i="1"/>
  <c r="BM228" i="2"/>
  <c r="BR228" i="2"/>
  <c r="BL235" i="1"/>
  <c r="BM233" i="1" s="1"/>
  <c r="BM234" i="1" s="1"/>
  <c r="BL357" i="1"/>
  <c r="BQ235" i="1"/>
  <c r="BR233" i="1" s="1"/>
  <c r="BQ357" i="1"/>
  <c r="BR142" i="1"/>
  <c r="BR231" i="1"/>
  <c r="AN24" i="1"/>
  <c r="AX186" i="1"/>
  <c r="AX334" i="1"/>
  <c r="AY185" i="1"/>
  <c r="AZ234" i="1"/>
  <c r="BA233" i="1"/>
  <c r="K234" i="1"/>
  <c r="CF13" i="1"/>
  <c r="BL296" i="1"/>
  <c r="BT88" i="1"/>
  <c r="BQ19" i="1"/>
  <c r="BV210" i="1"/>
  <c r="BK52" i="1"/>
  <c r="CM154" i="2"/>
  <c r="CM222" i="2" s="1"/>
  <c r="CF45" i="1"/>
  <c r="AU19" i="1"/>
  <c r="BL207" i="1"/>
  <c r="BW40" i="1"/>
  <c r="CN160" i="1"/>
  <c r="CO160" i="1" s="1"/>
  <c r="BO227" i="2"/>
  <c r="BO164" i="2"/>
  <c r="BO232" i="2" s="1"/>
  <c r="BW296" i="2"/>
  <c r="CB296" i="2" s="1"/>
  <c r="CC296" i="2"/>
  <c r="BU228" i="2"/>
  <c r="W211" i="2"/>
  <c r="BU62" i="1"/>
  <c r="BU63" i="1" s="1"/>
  <c r="BU55" i="1"/>
  <c r="BU249" i="1"/>
  <c r="AK161" i="2"/>
  <c r="AJ51" i="1"/>
  <c r="AJ60" i="1"/>
  <c r="AJ61" i="1" s="1"/>
  <c r="AJ74" i="1"/>
  <c r="AK178" i="2"/>
  <c r="AJ54" i="1"/>
  <c r="BD194" i="2"/>
  <c r="BC75" i="1"/>
  <c r="BC76" i="1"/>
  <c r="BD76" i="1" s="1"/>
  <c r="BC61" i="1"/>
  <c r="BC353" i="1"/>
  <c r="BZ200" i="1"/>
  <c r="BZ201" i="1"/>
  <c r="AA265" i="2"/>
  <c r="DD63" i="2"/>
  <c r="DE63" i="2"/>
  <c r="DF63" i="2"/>
  <c r="J219" i="1"/>
  <c r="J220" i="1"/>
  <c r="J60" i="1"/>
  <c r="J61" i="1" s="1"/>
  <c r="AL210" i="2"/>
  <c r="AL244" i="2"/>
  <c r="AQ244" i="2"/>
  <c r="BC253" i="1"/>
  <c r="BC246" i="1"/>
  <c r="AD52" i="1"/>
  <c r="AE211" i="2"/>
  <c r="AD186" i="1"/>
  <c r="AD196" i="1" s="1"/>
  <c r="AD201" i="1" s="1"/>
  <c r="BT288" i="2"/>
  <c r="Y208" i="1"/>
  <c r="Y206" i="1"/>
  <c r="BX33" i="1"/>
  <c r="BX34" i="1" s="1"/>
  <c r="AM86" i="1"/>
  <c r="AM94" i="1" s="1"/>
  <c r="AM170" i="1"/>
  <c r="AM173" i="1" s="1"/>
  <c r="AM88" i="1"/>
  <c r="AM82" i="1"/>
  <c r="AM230" i="1"/>
  <c r="H62" i="1"/>
  <c r="H63" i="1" s="1"/>
  <c r="H249" i="1"/>
  <c r="H251" i="1" s="1"/>
  <c r="H55" i="1"/>
  <c r="L185" i="2"/>
  <c r="K75" i="1"/>
  <c r="K77" i="1"/>
  <c r="K250" i="1" s="1"/>
  <c r="BB342" i="1"/>
  <c r="BB283" i="1"/>
  <c r="BB293" i="1" s="1"/>
  <c r="AD266" i="2"/>
  <c r="AI266" i="2"/>
  <c r="AN249" i="1"/>
  <c r="AN55" i="1"/>
  <c r="AN62" i="1"/>
  <c r="AN63" i="1" s="1"/>
  <c r="V25" i="1"/>
  <c r="BE160" i="2"/>
  <c r="BJ228" i="2" s="1"/>
  <c r="BE254" i="2"/>
  <c r="BE258" i="2"/>
  <c r="BE255" i="2"/>
  <c r="BE257" i="2"/>
  <c r="CF50" i="1"/>
  <c r="CH50" i="1" s="1"/>
  <c r="CF22" i="1"/>
  <c r="CF18" i="1"/>
  <c r="AZ75" i="1"/>
  <c r="AZ77" i="1"/>
  <c r="BA194" i="2"/>
  <c r="AZ79" i="1"/>
  <c r="S244" i="2"/>
  <c r="N244" i="2"/>
  <c r="N210" i="2"/>
  <c r="R207" i="1"/>
  <c r="W207" i="1"/>
  <c r="G107" i="1"/>
  <c r="K106" i="1"/>
  <c r="AR233" i="1"/>
  <c r="AR234" i="1" s="1"/>
  <c r="AQ234" i="1"/>
  <c r="AM24" i="1"/>
  <c r="AR24" i="1"/>
  <c r="BS263" i="1"/>
  <c r="BR71" i="1"/>
  <c r="BS71" i="1" s="1"/>
  <c r="BR242" i="1"/>
  <c r="CY123" i="1"/>
  <c r="CY116" i="1" s="1"/>
  <c r="DG123" i="1"/>
  <c r="CZ123" i="1"/>
  <c r="CZ116" i="1" s="1"/>
  <c r="DB116" i="1"/>
  <c r="CX123" i="1"/>
  <c r="AC107" i="1"/>
  <c r="AC86" i="1"/>
  <c r="AC94" i="1" s="1"/>
  <c r="AC88" i="1"/>
  <c r="AC230" i="1"/>
  <c r="AC170" i="1"/>
  <c r="AC173" i="1" s="1"/>
  <c r="AC82" i="1"/>
  <c r="D25" i="1"/>
  <c r="D23" i="1"/>
  <c r="I25" i="1"/>
  <c r="BE62" i="1"/>
  <c r="BE63" i="1" s="1"/>
  <c r="BE249" i="1"/>
  <c r="BE251" i="1" s="1"/>
  <c r="BE55" i="1"/>
  <c r="CF46" i="2"/>
  <c r="CF47" i="2" s="1"/>
  <c r="AY228" i="2"/>
  <c r="BD228" i="2"/>
  <c r="BX219" i="2"/>
  <c r="BT344" i="1"/>
  <c r="BT345" i="1" s="1"/>
  <c r="BT250" i="1"/>
  <c r="BT103" i="1"/>
  <c r="BT106" i="1" s="1"/>
  <c r="BT107" i="1" s="1"/>
  <c r="BR18" i="1"/>
  <c r="BR19" i="1" s="1"/>
  <c r="BR22" i="1"/>
  <c r="BR20" i="1"/>
  <c r="BR50" i="1"/>
  <c r="CP160" i="1"/>
  <c r="CU41" i="2"/>
  <c r="CU5" i="2" s="1"/>
  <c r="CU154" i="2" s="1"/>
  <c r="CL16" i="2"/>
  <c r="CL15" i="2"/>
  <c r="CQ30" i="2"/>
  <c r="CU330" i="1" s="1"/>
  <c r="CK7" i="1"/>
  <c r="CU67" i="2"/>
  <c r="CU8" i="2" s="1"/>
  <c r="CU68" i="2"/>
  <c r="CU69" i="2" s="1"/>
  <c r="CV67" i="2"/>
  <c r="CV8" i="2" s="1"/>
  <c r="CV68" i="2"/>
  <c r="CV69" i="2" s="1"/>
  <c r="CT68" i="2"/>
  <c r="CT69" i="2" s="1"/>
  <c r="CT67" i="2"/>
  <c r="CT8" i="2" s="1"/>
  <c r="CZ64" i="2"/>
  <c r="DA64" i="2"/>
  <c r="DH64" i="2"/>
  <c r="DC68" i="2"/>
  <c r="DC69" i="2" s="1"/>
  <c r="CY64" i="2"/>
  <c r="CV41" i="2"/>
  <c r="CV5" i="2" s="1"/>
  <c r="CT41" i="2"/>
  <c r="CT5" i="2" s="1"/>
  <c r="CT154" i="2" s="1"/>
  <c r="CT222" i="2" s="1"/>
  <c r="CQ28" i="2"/>
  <c r="CM152" i="1"/>
  <c r="CK254" i="2"/>
  <c r="CH115" i="1"/>
  <c r="DF38" i="2"/>
  <c r="CU42" i="2"/>
  <c r="CU43" i="2" s="1"/>
  <c r="CR154" i="2"/>
  <c r="CY39" i="2"/>
  <c r="DA39" i="2"/>
  <c r="DH39" i="2"/>
  <c r="CZ39" i="2"/>
  <c r="DC41" i="2"/>
  <c r="DC5" i="2" s="1"/>
  <c r="DC42" i="2"/>
  <c r="DC43" i="2" s="1"/>
  <c r="CR5" i="2"/>
  <c r="CW38" i="2" s="1"/>
  <c r="CL13" i="2"/>
  <c r="CQ29" i="2"/>
  <c r="CP190" i="1"/>
  <c r="CQ125" i="1"/>
  <c r="CQ190" i="1" s="1"/>
  <c r="CS124" i="1"/>
  <c r="CR115" i="1"/>
  <c r="BZ235" i="1"/>
  <c r="BZ357" i="1"/>
  <c r="K246" i="1"/>
  <c r="K253" i="1"/>
  <c r="BY233" i="1"/>
  <c r="CP33" i="2"/>
  <c r="CX154" i="2"/>
  <c r="CX222" i="2" s="1"/>
  <c r="CU49" i="2"/>
  <c r="CU50" i="2"/>
  <c r="CU51" i="2" s="1"/>
  <c r="CV50" i="2"/>
  <c r="CV51" i="2" s="1"/>
  <c r="CV49" i="2"/>
  <c r="CT49" i="2"/>
  <c r="CT50" i="2"/>
  <c r="CT51" i="2" s="1"/>
  <c r="DC49" i="2"/>
  <c r="DH47" i="2"/>
  <c r="CY47" i="2"/>
  <c r="DA47" i="2"/>
  <c r="DC50" i="2"/>
  <c r="DC51" i="2" s="1"/>
  <c r="CZ47" i="2"/>
  <c r="CJ256" i="2"/>
  <c r="CJ29" i="2"/>
  <c r="AA56" i="1"/>
  <c r="BF56" i="1"/>
  <c r="CD63" i="1"/>
  <c r="CK256" i="2"/>
  <c r="CJ290" i="1"/>
  <c r="BS36" i="1"/>
  <c r="BN36" i="1"/>
  <c r="BN34" i="1"/>
  <c r="BF86" i="1"/>
  <c r="BF94" i="1" s="1"/>
  <c r="BF107" i="1"/>
  <c r="BF230" i="1"/>
  <c r="BF170" i="1"/>
  <c r="BF173" i="1" s="1"/>
  <c r="BF88" i="1"/>
  <c r="BF82" i="1"/>
  <c r="BD55" i="1"/>
  <c r="BD62" i="1"/>
  <c r="BD249" i="1"/>
  <c r="BD57" i="1"/>
  <c r="CO224" i="2"/>
  <c r="CR156" i="2"/>
  <c r="CO146" i="1"/>
  <c r="CN239" i="1"/>
  <c r="CT221" i="1"/>
  <c r="CW55" i="2"/>
  <c r="CW57" i="2"/>
  <c r="CW56" i="2"/>
  <c r="CR41" i="2"/>
  <c r="CR42" i="2"/>
  <c r="CR43" i="2" s="1"/>
  <c r="CV227" i="1"/>
  <c r="AZ51" i="2"/>
  <c r="AJ329" i="1"/>
  <c r="AQ35" i="1"/>
  <c r="AV35" i="1"/>
  <c r="AV13" i="1"/>
  <c r="AQ13" i="1"/>
  <c r="X75" i="1"/>
  <c r="X79" i="1"/>
  <c r="X77" i="1"/>
  <c r="X250" i="1" s="1"/>
  <c r="Y185" i="2"/>
  <c r="R75" i="1"/>
  <c r="R79" i="1"/>
  <c r="R77" i="1"/>
  <c r="R250" i="1" s="1"/>
  <c r="S185" i="2"/>
  <c r="CG335" i="1"/>
  <c r="CB18" i="1"/>
  <c r="CB22" i="1"/>
  <c r="CG25" i="1" s="1"/>
  <c r="CB20" i="1"/>
  <c r="CB50" i="1"/>
  <c r="CB335" i="1"/>
  <c r="BA235" i="1"/>
  <c r="BA357" i="1"/>
  <c r="AZ296" i="1"/>
  <c r="AY295" i="1"/>
  <c r="BS207" i="1"/>
  <c r="BX207" i="1"/>
  <c r="BI57" i="1"/>
  <c r="BI62" i="1"/>
  <c r="BI249" i="1"/>
  <c r="BI55" i="1"/>
  <c r="BN125" i="1"/>
  <c r="BN124" i="1" s="1"/>
  <c r="P20" i="1"/>
  <c r="U20" i="1"/>
  <c r="P22" i="1"/>
  <c r="P18" i="1"/>
  <c r="P50" i="1"/>
  <c r="P259" i="1"/>
  <c r="BE242" i="1"/>
  <c r="BF262" i="1"/>
  <c r="AV63" i="1"/>
  <c r="N25" i="1"/>
  <c r="S25" i="1"/>
  <c r="N23" i="1"/>
  <c r="BK235" i="1"/>
  <c r="BK357" i="1"/>
  <c r="BM206" i="1"/>
  <c r="BM207" i="1" s="1"/>
  <c r="BM208" i="1"/>
  <c r="CT115" i="1"/>
  <c r="CU115" i="1" s="1"/>
  <c r="CV115" i="1" s="1"/>
  <c r="CX115" i="1" s="1"/>
  <c r="BW108" i="1"/>
  <c r="CV217" i="1"/>
  <c r="CG54" i="1"/>
  <c r="CG351" i="1"/>
  <c r="CG60" i="1"/>
  <c r="CH161" i="2"/>
  <c r="CG74" i="1"/>
  <c r="CG343" i="1"/>
  <c r="CG51" i="1"/>
  <c r="CE293" i="2"/>
  <c r="AW219" i="2"/>
  <c r="AA262" i="2"/>
  <c r="BO13" i="1"/>
  <c r="BT13" i="1"/>
  <c r="BQ301" i="1"/>
  <c r="BO259" i="1"/>
  <c r="BT29" i="1"/>
  <c r="BO29" i="1"/>
  <c r="BI235" i="1"/>
  <c r="BI234" i="1" s="1"/>
  <c r="BI357" i="1"/>
  <c r="CY54" i="2"/>
  <c r="DH54" i="2"/>
  <c r="DC59" i="2"/>
  <c r="DC60" i="2" s="1"/>
  <c r="DA54" i="2"/>
  <c r="CZ54" i="2"/>
  <c r="DC58" i="2"/>
  <c r="DC7" i="2" s="1"/>
  <c r="BW229" i="1"/>
  <c r="BW192" i="1"/>
  <c r="BW196" i="1" s="1"/>
  <c r="BW209" i="1"/>
  <c r="AY353" i="1"/>
  <c r="AY61" i="1"/>
  <c r="CJ62" i="2"/>
  <c r="CE62" i="2"/>
  <c r="CE68" i="2"/>
  <c r="BV71" i="1"/>
  <c r="BW71" i="1"/>
  <c r="BV242" i="1"/>
  <c r="CD230" i="1"/>
  <c r="CD82" i="1"/>
  <c r="CD170" i="1"/>
  <c r="CD86" i="1"/>
  <c r="AN105" i="1"/>
  <c r="AO105" i="1" s="1"/>
  <c r="AN103" i="1"/>
  <c r="AN104" i="1"/>
  <c r="AN344" i="1"/>
  <c r="AN345" i="1" s="1"/>
  <c r="AN250" i="1"/>
  <c r="AN251" i="1" s="1"/>
  <c r="AS208" i="1"/>
  <c r="AS206" i="1"/>
  <c r="BI262" i="1"/>
  <c r="BJ57" i="1"/>
  <c r="BJ62" i="1"/>
  <c r="BJ55" i="1"/>
  <c r="BJ56" i="1" s="1"/>
  <c r="BJ249" i="1"/>
  <c r="BJ251" i="1" s="1"/>
  <c r="BK75" i="1"/>
  <c r="BK77" i="1"/>
  <c r="BK79" i="1"/>
  <c r="BL194" i="2"/>
  <c r="O249" i="1"/>
  <c r="O55" i="1"/>
  <c r="O62" i="1"/>
  <c r="T57" i="1"/>
  <c r="O57" i="1"/>
  <c r="CB136" i="1"/>
  <c r="CA137" i="1"/>
  <c r="AX88" i="1"/>
  <c r="AX230" i="1"/>
  <c r="AX82" i="1"/>
  <c r="AX86" i="1"/>
  <c r="AX94" i="1" s="1"/>
  <c r="AX170" i="1"/>
  <c r="AX173" i="1" s="1"/>
  <c r="AX354" i="1" s="1"/>
  <c r="AK282" i="2"/>
  <c r="AK281" i="2"/>
  <c r="AK251" i="2"/>
  <c r="AP251" i="2"/>
  <c r="BL43" i="2"/>
  <c r="BQ43" i="2"/>
  <c r="BL209" i="1"/>
  <c r="BL210" i="1" s="1"/>
  <c r="BM209" i="1"/>
  <c r="BM210" i="1" s="1"/>
  <c r="AS234" i="1"/>
  <c r="BQ9" i="1"/>
  <c r="BQ329" i="1" s="1"/>
  <c r="BR34" i="2"/>
  <c r="BW35" i="2"/>
  <c r="BW34" i="2"/>
  <c r="CC204" i="1"/>
  <c r="CC221" i="1"/>
  <c r="CC228" i="1"/>
  <c r="CC213" i="1"/>
  <c r="CC257" i="1" s="1"/>
  <c r="CC259" i="1" s="1"/>
  <c r="CC227" i="1"/>
  <c r="CC12" i="1"/>
  <c r="CC226" i="1"/>
  <c r="CC208" i="1"/>
  <c r="CC39" i="1"/>
  <c r="CH40" i="1" s="1"/>
  <c r="CC218" i="1"/>
  <c r="CC28" i="1"/>
  <c r="CH29" i="1" s="1"/>
  <c r="CC214" i="1"/>
  <c r="CC8" i="1"/>
  <c r="CC335" i="1" s="1"/>
  <c r="CC44" i="1"/>
  <c r="CC217" i="1"/>
  <c r="CC350" i="1"/>
  <c r="AR296" i="1"/>
  <c r="AL207" i="1"/>
  <c r="AQ207" i="1"/>
  <c r="AK56" i="1"/>
  <c r="AF56" i="1"/>
  <c r="BM54" i="1"/>
  <c r="BM103" i="1"/>
  <c r="BM106" i="1" s="1"/>
  <c r="BM107" i="1" s="1"/>
  <c r="BB24" i="1"/>
  <c r="BG24" i="1"/>
  <c r="BB52" i="1"/>
  <c r="AW52" i="1"/>
  <c r="CP222" i="2"/>
  <c r="BF163" i="1"/>
  <c r="BG162" i="1"/>
  <c r="CJ257" i="2"/>
  <c r="CJ254" i="2"/>
  <c r="CJ258" i="2"/>
  <c r="CJ226" i="2"/>
  <c r="CJ255" i="2"/>
  <c r="CN9" i="1"/>
  <c r="CN329" i="1" s="1"/>
  <c r="CX140" i="1"/>
  <c r="CY140" i="1" s="1"/>
  <c r="CZ140" i="1" s="1"/>
  <c r="DA140" i="1" s="1"/>
  <c r="CW140" i="1"/>
  <c r="CG208" i="1"/>
  <c r="CG206" i="1"/>
  <c r="V244" i="2"/>
  <c r="V210" i="2"/>
  <c r="AX219" i="2"/>
  <c r="BE69" i="2"/>
  <c r="BW205" i="1"/>
  <c r="BW203" i="1"/>
  <c r="AJ211" i="2"/>
  <c r="AI52" i="1"/>
  <c r="AQ228" i="2"/>
  <c r="AL228" i="2"/>
  <c r="AM211" i="2"/>
  <c r="AL52" i="1"/>
  <c r="AL249" i="1"/>
  <c r="AL55" i="1"/>
  <c r="AL56" i="1" s="1"/>
  <c r="AL62" i="1"/>
  <c r="AL57" i="1"/>
  <c r="AB249" i="1"/>
  <c r="AB57" i="1"/>
  <c r="AB55" i="1"/>
  <c r="AG57" i="1"/>
  <c r="AB62" i="1"/>
  <c r="AA244" i="1" s="1"/>
  <c r="CG36" i="1"/>
  <c r="CH33" i="1"/>
  <c r="CG219" i="2"/>
  <c r="X334" i="1"/>
  <c r="X186" i="1"/>
  <c r="X196" i="1" s="1"/>
  <c r="X201" i="1" s="1"/>
  <c r="Y185" i="1"/>
  <c r="AU61" i="1"/>
  <c r="AU353" i="1"/>
  <c r="Y229" i="1"/>
  <c r="Y192" i="1"/>
  <c r="Y209" i="1"/>
  <c r="Y210" i="1" s="1"/>
  <c r="Y230" i="1"/>
  <c r="BA56" i="1"/>
  <c r="L60" i="1"/>
  <c r="L61" i="1" s="1"/>
  <c r="L54" i="1"/>
  <c r="L51" i="1"/>
  <c r="L74" i="1"/>
  <c r="M178" i="2"/>
  <c r="AI196" i="1"/>
  <c r="AI201" i="1" s="1"/>
  <c r="BQ208" i="1"/>
  <c r="BQ206" i="1"/>
  <c r="BQ207" i="1" s="1"/>
  <c r="CP219" i="1"/>
  <c r="AS192" i="1"/>
  <c r="AS196" i="1" s="1"/>
  <c r="AS201" i="1" s="1"/>
  <c r="AT189" i="1"/>
  <c r="AT192" i="1" s="1"/>
  <c r="AU210" i="2"/>
  <c r="AU266" i="2" s="1"/>
  <c r="AU244" i="2"/>
  <c r="BE228" i="2"/>
  <c r="AZ228" i="2"/>
  <c r="AQ45" i="1"/>
  <c r="AV45" i="1"/>
  <c r="AV40" i="1"/>
  <c r="AQ40" i="1"/>
  <c r="BY62" i="2"/>
  <c r="BY68" i="2"/>
  <c r="BY69" i="2" s="1"/>
  <c r="X249" i="1"/>
  <c r="X62" i="1"/>
  <c r="S244" i="1" s="1"/>
  <c r="X57" i="1"/>
  <c r="X55" i="1"/>
  <c r="AC57" i="1"/>
  <c r="CB40" i="1"/>
  <c r="CG40" i="1"/>
  <c r="CB29" i="1"/>
  <c r="CG29" i="1"/>
  <c r="BC54" i="1"/>
  <c r="BC103" i="1"/>
  <c r="BC106" i="1" s="1"/>
  <c r="T209" i="1"/>
  <c r="T210" i="1" s="1"/>
  <c r="T230" i="1"/>
  <c r="T229" i="1"/>
  <c r="T192" i="1"/>
  <c r="M75" i="1"/>
  <c r="M79" i="1"/>
  <c r="M77" i="1"/>
  <c r="M250" i="1" s="1"/>
  <c r="N185" i="2"/>
  <c r="P13" i="1"/>
  <c r="U13" i="1"/>
  <c r="AB233" i="1"/>
  <c r="AB234" i="1" s="1"/>
  <c r="AA234" i="1"/>
  <c r="BI189" i="1"/>
  <c r="BI192" i="1" s="1"/>
  <c r="BE192" i="1"/>
  <c r="CY250" i="1"/>
  <c r="CY103" i="1"/>
  <c r="CY106" i="1" s="1"/>
  <c r="N19" i="1"/>
  <c r="S19" i="1"/>
  <c r="AF296" i="1"/>
  <c r="AE296" i="1"/>
  <c r="AE273" i="1" s="1"/>
  <c r="AE274" i="1" s="1"/>
  <c r="CP224" i="2"/>
  <c r="CU217" i="1"/>
  <c r="BZ293" i="2"/>
  <c r="BO290" i="2"/>
  <c r="BJ28" i="2"/>
  <c r="BJ42" i="2"/>
  <c r="BJ43" i="2" s="1"/>
  <c r="BY290" i="2"/>
  <c r="X234" i="1"/>
  <c r="Y233" i="1"/>
  <c r="Y234" i="1" s="1"/>
  <c r="BT291" i="2"/>
  <c r="BY291" i="2"/>
  <c r="AW69" i="2"/>
  <c r="BB69" i="2"/>
  <c r="BU207" i="1"/>
  <c r="BZ207" i="1"/>
  <c r="BO40" i="1"/>
  <c r="BT40" i="1"/>
  <c r="P296" i="1"/>
  <c r="Q296" i="1"/>
  <c r="CW54" i="2"/>
  <c r="CU58" i="2"/>
  <c r="CU7" i="2" s="1"/>
  <c r="CU59" i="2"/>
  <c r="CU60" i="2" s="1"/>
  <c r="BZ51" i="1"/>
  <c r="BZ52" i="1" s="1"/>
  <c r="BZ74" i="1"/>
  <c r="CA161" i="2"/>
  <c r="BZ343" i="1"/>
  <c r="BZ54" i="1"/>
  <c r="BZ60" i="1"/>
  <c r="BZ351" i="1"/>
  <c r="J230" i="1"/>
  <c r="J229" i="1"/>
  <c r="J209" i="1"/>
  <c r="J210" i="1" s="1"/>
  <c r="J192" i="1"/>
  <c r="AY249" i="1"/>
  <c r="AY55" i="1"/>
  <c r="AY62" i="1"/>
  <c r="O189" i="1"/>
  <c r="O192" i="1" s="1"/>
  <c r="N192" i="1"/>
  <c r="N196" i="1" s="1"/>
  <c r="N201" i="1" s="1"/>
  <c r="CD344" i="1"/>
  <c r="CD345" i="1" s="1"/>
  <c r="CD250" i="1"/>
  <c r="CD251" i="1" s="1"/>
  <c r="CD103" i="1"/>
  <c r="BI34" i="1"/>
  <c r="BI35" i="1" s="1"/>
  <c r="BI36" i="1"/>
  <c r="BE262" i="1"/>
  <c r="BJ106" i="1"/>
  <c r="BK61" i="1"/>
  <c r="BK353" i="1"/>
  <c r="P185" i="2"/>
  <c r="O77" i="1"/>
  <c r="O250" i="1" s="1"/>
  <c r="O75" i="1"/>
  <c r="O79" i="1"/>
  <c r="CR58" i="2"/>
  <c r="CR59" i="2"/>
  <c r="CR60" i="2" s="1"/>
  <c r="CE23" i="1"/>
  <c r="CH22" i="1"/>
  <c r="CE25" i="1"/>
  <c r="AX103" i="1"/>
  <c r="AX106" i="1" s="1"/>
  <c r="AX107" i="1" s="1"/>
  <c r="AX250" i="1"/>
  <c r="AX344" i="1"/>
  <c r="AX345" i="1" s="1"/>
  <c r="BQ61" i="1"/>
  <c r="BQ353" i="1"/>
  <c r="U266" i="2"/>
  <c r="Z266" i="2"/>
  <c r="Q244" i="2"/>
  <c r="Q210" i="2"/>
  <c r="Q266" i="2" s="1"/>
  <c r="BL192" i="1"/>
  <c r="BL196" i="1" s="1"/>
  <c r="BL201" i="1" s="1"/>
  <c r="BM192" i="1"/>
  <c r="BM196" i="1" s="1"/>
  <c r="BM201" i="1" s="1"/>
  <c r="X266" i="2"/>
  <c r="AC266" i="2"/>
  <c r="AC165" i="1"/>
  <c r="AC166" i="1" s="1"/>
  <c r="AC245" i="1"/>
  <c r="AC24" i="1"/>
  <c r="X24" i="1"/>
  <c r="J251" i="1"/>
  <c r="BP19" i="1"/>
  <c r="BU19" i="1"/>
  <c r="BL25" i="1"/>
  <c r="BL23" i="1"/>
  <c r="BL24" i="1" s="1"/>
  <c r="BV351" i="1"/>
  <c r="BV54" i="1"/>
  <c r="BV74" i="1"/>
  <c r="BV60" i="1"/>
  <c r="BV343" i="1"/>
  <c r="BV51" i="1"/>
  <c r="BV52" i="1" s="1"/>
  <c r="BW161" i="2"/>
  <c r="CS189" i="2"/>
  <c r="CN155" i="2"/>
  <c r="BY45" i="1"/>
  <c r="CD45" i="1"/>
  <c r="BG249" i="1"/>
  <c r="BG251" i="1" s="1"/>
  <c r="BG55" i="1"/>
  <c r="BG56" i="1" s="1"/>
  <c r="BG62" i="1"/>
  <c r="BG57" i="1"/>
  <c r="U35" i="1"/>
  <c r="Z35" i="1"/>
  <c r="P35" i="1"/>
  <c r="K35" i="1"/>
  <c r="AW61" i="1"/>
  <c r="AW353" i="1"/>
  <c r="CZ188" i="2"/>
  <c r="AO207" i="1"/>
  <c r="AJ207" i="1"/>
  <c r="CK255" i="2"/>
  <c r="CM190" i="2"/>
  <c r="CM216" i="2" s="1"/>
  <c r="CM290" i="2" s="1"/>
  <c r="CU227" i="1"/>
  <c r="CU221" i="1"/>
  <c r="V251" i="2"/>
  <c r="AY329" i="1"/>
  <c r="AF251" i="2"/>
  <c r="Z9" i="1"/>
  <c r="Z329" i="1" s="1"/>
  <c r="L76" i="2"/>
  <c r="L80" i="2" s="1"/>
  <c r="BW20" i="1"/>
  <c r="BW50" i="1"/>
  <c r="BX50" i="1" s="1"/>
  <c r="BW22" i="1"/>
  <c r="BX22" i="1" s="1"/>
  <c r="BW18" i="1"/>
  <c r="AB253" i="1"/>
  <c r="AB246" i="1"/>
  <c r="AL75" i="1"/>
  <c r="AL77" i="1"/>
  <c r="AL79" i="1"/>
  <c r="AM185" i="2"/>
  <c r="AM194" i="2"/>
  <c r="AB52" i="1"/>
  <c r="AC211" i="2"/>
  <c r="AG52" i="1"/>
  <c r="W24" i="1"/>
  <c r="R24" i="1"/>
  <c r="AY189" i="1"/>
  <c r="AU75" i="1"/>
  <c r="AU77" i="1"/>
  <c r="AU79" i="1"/>
  <c r="AV194" i="2"/>
  <c r="AZ52" i="1"/>
  <c r="Q25" i="1"/>
  <c r="L23" i="1"/>
  <c r="L25" i="1"/>
  <c r="BR205" i="1"/>
  <c r="BR203" i="1"/>
  <c r="H170" i="1"/>
  <c r="H173" i="1" s="1"/>
  <c r="H86" i="1"/>
  <c r="H94" i="1" s="1"/>
  <c r="H82" i="1"/>
  <c r="H88" i="1"/>
  <c r="K79" i="1"/>
  <c r="H107" i="1"/>
  <c r="H230" i="1"/>
  <c r="CG358" i="1"/>
  <c r="BH82" i="1"/>
  <c r="BH88" i="1"/>
  <c r="BH107" i="1"/>
  <c r="BH86" i="1"/>
  <c r="BH94" i="1" s="1"/>
  <c r="BH230" i="1"/>
  <c r="BH170" i="1"/>
  <c r="BH173" i="1" s="1"/>
  <c r="BH354" i="1" s="1"/>
  <c r="BM81" i="1"/>
  <c r="CV226" i="1"/>
  <c r="AP211" i="2"/>
  <c r="AO52" i="1"/>
  <c r="AU251" i="2"/>
  <c r="AU281" i="2"/>
  <c r="AU282" i="2"/>
  <c r="BV219" i="2"/>
  <c r="BQ219" i="2"/>
  <c r="AZ234" i="2"/>
  <c r="AZ193" i="2"/>
  <c r="AZ219" i="2" s="1"/>
  <c r="BE234" i="2"/>
  <c r="AY8" i="1"/>
  <c r="AY335" i="1" s="1"/>
  <c r="AT227" i="1"/>
  <c r="AT350" i="1"/>
  <c r="AT39" i="1"/>
  <c r="AT228" i="1"/>
  <c r="AT34" i="1"/>
  <c r="AT44" i="1"/>
  <c r="AT28" i="1"/>
  <c r="AT226" i="1"/>
  <c r="AT217" i="1"/>
  <c r="AT221" i="1"/>
  <c r="AT8" i="1"/>
  <c r="AT335" i="1" s="1"/>
  <c r="AT214" i="1"/>
  <c r="AT213" i="1"/>
  <c r="AT257" i="1" s="1"/>
  <c r="AT259" i="1" s="1"/>
  <c r="AT12" i="1"/>
  <c r="AQ29" i="1"/>
  <c r="AV29" i="1"/>
  <c r="BN219" i="2"/>
  <c r="BI219" i="2"/>
  <c r="BP9" i="1"/>
  <c r="BP329" i="1" s="1"/>
  <c r="BQ34" i="2"/>
  <c r="X52" i="1"/>
  <c r="Y211" i="2"/>
  <c r="AC52" i="1"/>
  <c r="R52" i="1"/>
  <c r="S211" i="2"/>
  <c r="W52" i="1"/>
  <c r="CB45" i="1"/>
  <c r="CG45" i="1"/>
  <c r="BI61" i="1"/>
  <c r="BI353" i="1"/>
  <c r="BH25" i="1"/>
  <c r="BC25" i="1"/>
  <c r="BC23" i="1"/>
  <c r="S196" i="1"/>
  <c r="S201" i="1" s="1"/>
  <c r="U192" i="1"/>
  <c r="CC172" i="1"/>
  <c r="M62" i="1"/>
  <c r="M55" i="1"/>
  <c r="M56" i="1" s="1"/>
  <c r="M57" i="1"/>
  <c r="M249" i="1"/>
  <c r="M52" i="1"/>
  <c r="N211" i="2"/>
  <c r="O196" i="1"/>
  <c r="O201" i="1" s="1"/>
  <c r="T206" i="1"/>
  <c r="T208" i="1"/>
  <c r="BE155" i="1"/>
  <c r="CX103" i="1"/>
  <c r="CX106" i="1" s="1"/>
  <c r="CX250" i="1"/>
  <c r="N60" i="1"/>
  <c r="N61" i="1" s="1"/>
  <c r="N51" i="1"/>
  <c r="N74" i="1"/>
  <c r="O178" i="2"/>
  <c r="N54" i="1"/>
  <c r="CM39" i="1"/>
  <c r="CG23" i="1"/>
  <c r="BH43" i="2"/>
  <c r="BM43" i="2"/>
  <c r="BI42" i="2"/>
  <c r="CD290" i="2"/>
  <c r="BT20" i="1"/>
  <c r="BO50" i="1"/>
  <c r="BO20" i="1"/>
  <c r="BS17" i="1"/>
  <c r="BX20" i="1" s="1"/>
  <c r="BO18" i="1"/>
  <c r="BO22" i="1"/>
  <c r="J82" i="1"/>
  <c r="J170" i="1"/>
  <c r="J173" i="1" s="1"/>
  <c r="J107" i="1"/>
  <c r="J86" i="1"/>
  <c r="J94" i="1" s="1"/>
  <c r="J88" i="1"/>
  <c r="CC235" i="1"/>
  <c r="CC357" i="1"/>
  <c r="AW357" i="1"/>
  <c r="AW235" i="1"/>
  <c r="CB219" i="2"/>
  <c r="CV59" i="2"/>
  <c r="CV60" i="2" s="1"/>
  <c r="CV58" i="2"/>
  <c r="CV7" i="2" s="1"/>
  <c r="BZ23" i="1"/>
  <c r="BZ24" i="1" s="1"/>
  <c r="BZ25" i="1"/>
  <c r="AY75" i="1"/>
  <c r="AY77" i="1"/>
  <c r="AZ194" i="2"/>
  <c r="AY266" i="1"/>
  <c r="AY269" i="1" s="1"/>
  <c r="AY79" i="1"/>
  <c r="AZ57" i="1"/>
  <c r="AZ55" i="1"/>
  <c r="AZ249" i="1"/>
  <c r="BE57" i="1"/>
  <c r="AZ62" i="1"/>
  <c r="AW244" i="1" s="1"/>
  <c r="BV35" i="2"/>
  <c r="BV142" i="1"/>
  <c r="BV231" i="1"/>
  <c r="CB206" i="1"/>
  <c r="CB208" i="1"/>
  <c r="AN82" i="1"/>
  <c r="AN170" i="1"/>
  <c r="AN173" i="1" s="1"/>
  <c r="AN86" i="1"/>
  <c r="AN94" i="1" s="1"/>
  <c r="AN88" i="1"/>
  <c r="AN230" i="1"/>
  <c r="BD235" i="1"/>
  <c r="BD234" i="1" s="1"/>
  <c r="BD357" i="1"/>
  <c r="BI76" i="1"/>
  <c r="BI77" i="1" s="1"/>
  <c r="R233" i="1"/>
  <c r="R234" i="1" s="1"/>
  <c r="Q234" i="1"/>
  <c r="P211" i="2"/>
  <c r="O52" i="1"/>
  <c r="T52" i="1"/>
  <c r="CJ350" i="1"/>
  <c r="CJ8" i="1"/>
  <c r="CV221" i="1"/>
  <c r="CA29" i="1"/>
  <c r="CF29" i="1"/>
  <c r="CA50" i="1"/>
  <c r="CA22" i="1"/>
  <c r="CA18" i="1"/>
  <c r="CA20" i="1"/>
  <c r="CF20" i="1"/>
  <c r="BT43" i="2"/>
  <c r="CC219" i="2"/>
  <c r="CH219" i="2"/>
  <c r="BQ55" i="1"/>
  <c r="BQ249" i="1"/>
  <c r="BQ62" i="1"/>
  <c r="AK210" i="2"/>
  <c r="AP244" i="2"/>
  <c r="AK244" i="2"/>
  <c r="AT9" i="1"/>
  <c r="AU34" i="2"/>
  <c r="Y219" i="1"/>
  <c r="Y60" i="1"/>
  <c r="Y61" i="1" s="1"/>
  <c r="Y62" i="1"/>
  <c r="Y173" i="1"/>
  <c r="Y220" i="1"/>
  <c r="AE162" i="1"/>
  <c r="AD163" i="1"/>
  <c r="J63" i="1"/>
  <c r="BP25" i="1"/>
  <c r="BP23" i="1"/>
  <c r="BU25" i="1"/>
  <c r="BN50" i="1"/>
  <c r="BN18" i="1"/>
  <c r="BN19" i="1" s="1"/>
  <c r="BN20" i="1"/>
  <c r="W166" i="1"/>
  <c r="BX18" i="1"/>
  <c r="CN289" i="2"/>
  <c r="CI289" i="2"/>
  <c r="BY50" i="1"/>
  <c r="BY20" i="1"/>
  <c r="CC17" i="1"/>
  <c r="BY22" i="1"/>
  <c r="BY18" i="1"/>
  <c r="CD20" i="1"/>
  <c r="BY29" i="1"/>
  <c r="CD29" i="1"/>
  <c r="AJ295" i="1"/>
  <c r="AJ296" i="1" s="1"/>
  <c r="AJ273" i="1" s="1"/>
  <c r="AJ274" i="1" s="1"/>
  <c r="AK296" i="1"/>
  <c r="BG106" i="1"/>
  <c r="BI103" i="1"/>
  <c r="AO25" i="1"/>
  <c r="AO23" i="1"/>
  <c r="AO24" i="1" s="1"/>
  <c r="AF243" i="1"/>
  <c r="AC244" i="1"/>
  <c r="AH243" i="1"/>
  <c r="AF63" i="1"/>
  <c r="AG243" i="1"/>
  <c r="CA235" i="1"/>
  <c r="CA357" i="1"/>
  <c r="M234" i="1"/>
  <c r="N233" i="1"/>
  <c r="N234" i="1" s="1"/>
  <c r="Z207" i="1"/>
  <c r="AW75" i="1"/>
  <c r="AW77" i="1"/>
  <c r="AX194" i="2"/>
  <c r="AW79" i="1"/>
  <c r="T24" i="1"/>
  <c r="O24" i="1"/>
  <c r="BY342" i="1"/>
  <c r="BY283" i="1"/>
  <c r="BY293" i="1" s="1"/>
  <c r="BH63" i="1"/>
  <c r="CJ289" i="1"/>
  <c r="CV228" i="1"/>
  <c r="AX251" i="1"/>
  <c r="BY234" i="2"/>
  <c r="BY193" i="2"/>
  <c r="CD219" i="2" s="1"/>
  <c r="BV206" i="1"/>
  <c r="BV208" i="1"/>
  <c r="AJ194" i="2"/>
  <c r="AJ185" i="2"/>
  <c r="AI75" i="1"/>
  <c r="AI77" i="1"/>
  <c r="AI79" i="1"/>
  <c r="AN81" i="1" s="1"/>
  <c r="BR219" i="2"/>
  <c r="BM219" i="2"/>
  <c r="AG24" i="1"/>
  <c r="AB77" i="1"/>
  <c r="AB250" i="1" s="1"/>
  <c r="AB79" i="1"/>
  <c r="AB75" i="1"/>
  <c r="AC185" i="2"/>
  <c r="AU25" i="1"/>
  <c r="AP25" i="1"/>
  <c r="AP23" i="1"/>
  <c r="AP343" i="1"/>
  <c r="AP60" i="1"/>
  <c r="AP61" i="1" s="1"/>
  <c r="AQ178" i="2"/>
  <c r="AP54" i="1"/>
  <c r="AU57" i="1" s="1"/>
  <c r="AP74" i="1"/>
  <c r="AP51" i="1"/>
  <c r="AU52" i="1" s="1"/>
  <c r="AQ161" i="2"/>
  <c r="BO357" i="1"/>
  <c r="BO235" i="1"/>
  <c r="U40" i="1"/>
  <c r="Z40" i="1"/>
  <c r="AJ35" i="1"/>
  <c r="AE35" i="1"/>
  <c r="CG220" i="1"/>
  <c r="CL220" i="1" s="1"/>
  <c r="CQ220" i="1" s="1"/>
  <c r="CV220" i="1" s="1"/>
  <c r="DA220" i="1" s="1"/>
  <c r="DF220" i="1" s="1"/>
  <c r="CG219" i="1"/>
  <c r="CL219" i="1" s="1"/>
  <c r="CH172" i="1"/>
  <c r="CN290" i="2"/>
  <c r="I235" i="1"/>
  <c r="U296" i="1"/>
  <c r="CD234" i="2"/>
  <c r="CR50" i="2"/>
  <c r="CR51" i="2" s="1"/>
  <c r="CJ114" i="1"/>
  <c r="CJ115" i="1" s="1"/>
  <c r="CM115" i="1" s="1"/>
  <c r="DB132" i="1"/>
  <c r="DC132" i="1"/>
  <c r="DD132" i="1" s="1"/>
  <c r="DE132" i="1" s="1"/>
  <c r="DF132" i="1" s="1"/>
  <c r="DG132" i="1" s="1"/>
  <c r="BT193" i="2"/>
  <c r="BT234" i="2"/>
  <c r="AQ22" i="1"/>
  <c r="AQ50" i="1"/>
  <c r="AQ20" i="1"/>
  <c r="AQ18" i="1"/>
  <c r="AV20" i="1"/>
  <c r="BJ234" i="2"/>
  <c r="BJ193" i="2"/>
  <c r="BJ219" i="2" s="1"/>
  <c r="R249" i="1"/>
  <c r="W57" i="1"/>
  <c r="R55" i="1"/>
  <c r="R57" i="1"/>
  <c r="R62" i="1"/>
  <c r="V243" i="1" s="1"/>
  <c r="CG13" i="1"/>
  <c r="CB13" i="1"/>
  <c r="AK234" i="1"/>
  <c r="AL233" i="1"/>
  <c r="AL234" i="1" s="1"/>
  <c r="BI266" i="1"/>
  <c r="BI269" i="1" s="1"/>
  <c r="BI270" i="1" s="1"/>
  <c r="BJ194" i="2"/>
  <c r="BI75" i="1"/>
  <c r="BI79" i="1"/>
  <c r="CH334" i="1"/>
  <c r="CH186" i="1"/>
  <c r="DG250" i="1"/>
  <c r="DC77" i="1"/>
  <c r="DE77" i="1"/>
  <c r="DD77" i="1"/>
  <c r="CI8" i="1"/>
  <c r="CJ213" i="1"/>
  <c r="CJ257" i="1" s="1"/>
  <c r="CI289" i="1"/>
  <c r="CI290" i="1"/>
  <c r="CI350" i="1"/>
  <c r="CU228" i="1"/>
  <c r="CG19" i="1"/>
  <c r="BY228" i="2"/>
  <c r="BT228" i="2"/>
  <c r="AP34" i="2"/>
  <c r="AO9" i="1"/>
  <c r="CD291" i="2"/>
  <c r="BE219" i="2"/>
  <c r="BD9" i="1"/>
  <c r="BE34" i="2"/>
  <c r="AA86" i="1"/>
  <c r="AA94" i="1" s="1"/>
  <c r="AA107" i="1"/>
  <c r="AA82" i="1"/>
  <c r="AA230" i="1"/>
  <c r="AE79" i="1"/>
  <c r="AA170" i="1"/>
  <c r="AA173" i="1" s="1"/>
  <c r="AA88" i="1"/>
  <c r="P166" i="1"/>
  <c r="BS44" i="1"/>
  <c r="BS45" i="1" s="1"/>
  <c r="BS8" i="1"/>
  <c r="BS335" i="1" s="1"/>
  <c r="BS28" i="1"/>
  <c r="BS29" i="1" s="1"/>
  <c r="BS204" i="1"/>
  <c r="BS217" i="1"/>
  <c r="BS228" i="1"/>
  <c r="BS12" i="1"/>
  <c r="BS13" i="1" s="1"/>
  <c r="BS213" i="1"/>
  <c r="BS257" i="1" s="1"/>
  <c r="BS259" i="1" s="1"/>
  <c r="BS218" i="1"/>
  <c r="BS208" i="1"/>
  <c r="BS39" i="1"/>
  <c r="BS40" i="1" s="1"/>
  <c r="BS214" i="1"/>
  <c r="BS221" i="1"/>
  <c r="BS34" i="1"/>
  <c r="BS226" i="1"/>
  <c r="BS227" i="1"/>
  <c r="BS350" i="1"/>
  <c r="BO45" i="1"/>
  <c r="BT45" i="1"/>
  <c r="AU296" i="1"/>
  <c r="AT295" i="1"/>
  <c r="AA244" i="2"/>
  <c r="AF244" i="2"/>
  <c r="AA210" i="2"/>
  <c r="CX156" i="2"/>
  <c r="CT59" i="2"/>
  <c r="CT60" i="2" s="1"/>
  <c r="CT58" i="2"/>
  <c r="CT7" i="2" s="1"/>
  <c r="BD52" i="1"/>
  <c r="BW198" i="1"/>
  <c r="BV201" i="1"/>
  <c r="AN206" i="1"/>
  <c r="AN207" i="1" s="1"/>
  <c r="AN208" i="1"/>
  <c r="AN210" i="1"/>
  <c r="BD246" i="1"/>
  <c r="AV105" i="1"/>
  <c r="AV303" i="1"/>
  <c r="AV305" i="1" s="1"/>
  <c r="AV250" i="1"/>
  <c r="AV251" i="1" s="1"/>
  <c r="AV344" i="1"/>
  <c r="AV345" i="1" s="1"/>
  <c r="AV103" i="1"/>
  <c r="AV106" i="1" s="1"/>
  <c r="AV107" i="1" s="1"/>
  <c r="AV86" i="1"/>
  <c r="AV94" i="1" s="1"/>
  <c r="AV88" i="1"/>
  <c r="AV170" i="1"/>
  <c r="AV173" i="1" s="1"/>
  <c r="AV354" i="1" s="1"/>
  <c r="AV230" i="1"/>
  <c r="AV82" i="1"/>
  <c r="BK249" i="1"/>
  <c r="BK55" i="1"/>
  <c r="BK56" i="1" s="1"/>
  <c r="BK57" i="1"/>
  <c r="BK62" i="1"/>
  <c r="CZ103" i="1"/>
  <c r="CZ106" i="1" s="1"/>
  <c r="CK226" i="2"/>
  <c r="CK258" i="2"/>
  <c r="CK257" i="2"/>
  <c r="BZ142" i="1"/>
  <c r="BZ231" i="1"/>
  <c r="DD188" i="2"/>
  <c r="CF161" i="2"/>
  <c r="CE74" i="1"/>
  <c r="CE51" i="1"/>
  <c r="CE343" i="1"/>
  <c r="CE351" i="1"/>
  <c r="CE60" i="1"/>
  <c r="CE54" i="1"/>
  <c r="AA251" i="1"/>
  <c r="BR194" i="2"/>
  <c r="BQ75" i="1"/>
  <c r="BQ77" i="1"/>
  <c r="BQ79" i="1"/>
  <c r="Q251" i="2"/>
  <c r="BP74" i="1"/>
  <c r="BP343" i="1"/>
  <c r="BP351" i="1"/>
  <c r="BQ161" i="2"/>
  <c r="BP60" i="1"/>
  <c r="BP51" i="1"/>
  <c r="BP54" i="1"/>
  <c r="BL343" i="1"/>
  <c r="BL351" i="1"/>
  <c r="BL74" i="1"/>
  <c r="BM161" i="2"/>
  <c r="BL51" i="1"/>
  <c r="BL52" i="1" s="1"/>
  <c r="BL54" i="1"/>
  <c r="BQ57" i="1" s="1"/>
  <c r="BL60" i="1"/>
  <c r="CI193" i="2"/>
  <c r="CI219" i="2" s="1"/>
  <c r="CI234" i="2"/>
  <c r="BV23" i="1"/>
  <c r="BV24" i="1" s="1"/>
  <c r="BV25" i="1"/>
  <c r="J196" i="1"/>
  <c r="J201" i="1" s="1"/>
  <c r="CD13" i="1"/>
  <c r="BY13" i="1"/>
  <c r="CD40" i="1"/>
  <c r="BY40" i="1"/>
  <c r="BR36" i="1"/>
  <c r="BM36" i="1"/>
  <c r="BD22" i="1"/>
  <c r="AW57" i="1"/>
  <c r="BB57" i="1"/>
  <c r="AW55" i="1"/>
  <c r="AW62" i="1"/>
  <c r="AW249" i="1"/>
  <c r="BE165" i="1"/>
  <c r="BE245" i="1"/>
  <c r="BE253" i="1" s="1"/>
  <c r="CN227" i="2"/>
  <c r="CI164" i="2"/>
  <c r="CI232" i="2" s="1"/>
  <c r="CI227" i="2"/>
  <c r="CI160" i="2"/>
  <c r="CI228" i="2" s="1"/>
  <c r="AI249" i="1"/>
  <c r="AI55" i="1"/>
  <c r="AI62" i="1"/>
  <c r="AK243" i="1" s="1"/>
  <c r="AI57" i="1"/>
  <c r="AN57" i="1"/>
  <c r="T210" i="2"/>
  <c r="Y244" i="2"/>
  <c r="T244" i="2"/>
  <c r="BO234" i="2"/>
  <c r="BO193" i="2"/>
  <c r="Q76" i="2"/>
  <c r="Q80" i="2" s="1"/>
  <c r="BX44" i="1"/>
  <c r="BX39" i="1"/>
  <c r="BX226" i="1"/>
  <c r="BX218" i="1"/>
  <c r="BX221" i="1"/>
  <c r="BX8" i="1"/>
  <c r="BX335" i="1" s="1"/>
  <c r="BX213" i="1"/>
  <c r="BX257" i="1" s="1"/>
  <c r="BX259" i="1" s="1"/>
  <c r="BX214" i="1"/>
  <c r="BX204" i="1"/>
  <c r="BX350" i="1"/>
  <c r="BX227" i="1"/>
  <c r="BX208" i="1"/>
  <c r="BX12" i="1"/>
  <c r="BX13" i="1" s="1"/>
  <c r="BX28" i="1"/>
  <c r="BX228" i="1"/>
  <c r="BX217" i="1"/>
  <c r="AT17" i="1"/>
  <c r="AU62" i="1"/>
  <c r="AU249" i="1"/>
  <c r="AU55" i="1"/>
  <c r="BA63" i="1"/>
  <c r="S170" i="1"/>
  <c r="S173" i="1" s="1"/>
  <c r="S86" i="1"/>
  <c r="S94" i="1" s="1"/>
  <c r="S88" i="1"/>
  <c r="S107" i="1"/>
  <c r="S82" i="1"/>
  <c r="L19" i="1"/>
  <c r="Q19" i="1"/>
  <c r="W296" i="1"/>
  <c r="U74" i="1"/>
  <c r="U60" i="1"/>
  <c r="U61" i="1" s="1"/>
  <c r="V178" i="2"/>
  <c r="U54" i="1"/>
  <c r="U51" i="1"/>
  <c r="AT218" i="1"/>
  <c r="V63" i="1"/>
  <c r="CR44" i="1"/>
  <c r="BN22" i="1"/>
  <c r="BT29" i="2" l="1"/>
  <c r="BT33" i="2" s="1"/>
  <c r="BS9" i="1" s="1"/>
  <c r="CC293" i="2"/>
  <c r="AP161" i="2"/>
  <c r="AO74" i="1"/>
  <c r="AP178" i="2"/>
  <c r="AO60" i="1"/>
  <c r="AO61" i="1" s="1"/>
  <c r="AO54" i="1"/>
  <c r="AT50" i="1"/>
  <c r="E57" i="1"/>
  <c r="E55" i="1"/>
  <c r="J57" i="1"/>
  <c r="AS51" i="1"/>
  <c r="AS54" i="1"/>
  <c r="AS60" i="1"/>
  <c r="AS61" i="1" s="1"/>
  <c r="AS343" i="1"/>
  <c r="AT161" i="2"/>
  <c r="AS74" i="1"/>
  <c r="AT178" i="2"/>
  <c r="AS23" i="1"/>
  <c r="AX25" i="1"/>
  <c r="AS25" i="1"/>
  <c r="E79" i="1"/>
  <c r="E77" i="1"/>
  <c r="E75" i="1"/>
  <c r="BB219" i="2"/>
  <c r="AX19" i="1"/>
  <c r="AS19" i="1"/>
  <c r="K243" i="1"/>
  <c r="AE251" i="1"/>
  <c r="AE252" i="1" s="1"/>
  <c r="BX45" i="1"/>
  <c r="BQ296" i="1"/>
  <c r="BX29" i="1"/>
  <c r="AE270" i="1"/>
  <c r="AH251" i="1"/>
  <c r="BW201" i="1"/>
  <c r="AH82" i="1"/>
  <c r="AH86" i="1"/>
  <c r="AH94" i="1" s="1"/>
  <c r="AH95" i="1" s="1"/>
  <c r="AH170" i="1"/>
  <c r="AH173" i="1" s="1"/>
  <c r="AH88" i="1"/>
  <c r="AH89" i="1" s="1"/>
  <c r="AH230" i="1"/>
  <c r="AH107" i="1"/>
  <c r="BW19" i="1"/>
  <c r="BT251" i="1"/>
  <c r="AM81" i="1"/>
  <c r="I170" i="1"/>
  <c r="I173" i="1" s="1"/>
  <c r="I230" i="1"/>
  <c r="I82" i="1"/>
  <c r="I107" i="1"/>
  <c r="I88" i="1"/>
  <c r="I86" i="1"/>
  <c r="I94" i="1" s="1"/>
  <c r="AH81" i="1"/>
  <c r="BC79" i="1"/>
  <c r="CC355" i="1"/>
  <c r="CH293" i="2"/>
  <c r="H24" i="1"/>
  <c r="BB109" i="1"/>
  <c r="BB110" i="1"/>
  <c r="BB243" i="1"/>
  <c r="X251" i="1"/>
  <c r="CG296" i="2"/>
  <c r="CG298" i="2" s="1"/>
  <c r="CG299" i="2" s="1"/>
  <c r="CD296" i="2"/>
  <c r="AM106" i="1"/>
  <c r="AM107" i="1" s="1"/>
  <c r="AD251" i="1"/>
  <c r="AG252" i="1" s="1"/>
  <c r="C75" i="1"/>
  <c r="C77" i="1"/>
  <c r="C79" i="1"/>
  <c r="BU283" i="1"/>
  <c r="BU293" i="1" s="1"/>
  <c r="BU296" i="1" s="1"/>
  <c r="BU342" i="1"/>
  <c r="CC150" i="1"/>
  <c r="CC155" i="1" s="1"/>
  <c r="R251" i="1"/>
  <c r="BV207" i="1"/>
  <c r="AY270" i="1"/>
  <c r="C55" i="1"/>
  <c r="C56" i="1" s="1"/>
  <c r="C57" i="1"/>
  <c r="BW342" i="1"/>
  <c r="BW283" i="1"/>
  <c r="BW293" i="1" s="1"/>
  <c r="CC291" i="1"/>
  <c r="AR250" i="1"/>
  <c r="AR251" i="1" s="1"/>
  <c r="AR303" i="1"/>
  <c r="AR305" i="1" s="1"/>
  <c r="AR344" i="1"/>
  <c r="AR345" i="1" s="1"/>
  <c r="AR103" i="1"/>
  <c r="AR106" i="1" s="1"/>
  <c r="AR107" i="1" s="1"/>
  <c r="CB355" i="1"/>
  <c r="BA81" i="1"/>
  <c r="AE277" i="1"/>
  <c r="CK141" i="1"/>
  <c r="X207" i="1"/>
  <c r="CB201" i="1"/>
  <c r="BG95" i="1"/>
  <c r="CB237" i="1"/>
  <c r="CB199" i="1"/>
  <c r="BY42" i="2"/>
  <c r="BY43" i="2" s="1"/>
  <c r="BY37" i="2"/>
  <c r="G86" i="1"/>
  <c r="G94" i="1" s="1"/>
  <c r="G170" i="1"/>
  <c r="G173" i="1" s="1"/>
  <c r="K173" i="1" s="1"/>
  <c r="G82" i="1"/>
  <c r="G230" i="1"/>
  <c r="G88" i="1"/>
  <c r="AR86" i="1"/>
  <c r="AR94" i="1" s="1"/>
  <c r="AR95" i="1" s="1"/>
  <c r="AR230" i="1"/>
  <c r="AR170" i="1"/>
  <c r="AR173" i="1" s="1"/>
  <c r="AR88" i="1"/>
  <c r="AR89" i="1" s="1"/>
  <c r="AR82" i="1"/>
  <c r="CF23" i="1"/>
  <c r="BU82" i="1"/>
  <c r="BU86" i="1"/>
  <c r="BU94" i="1" s="1"/>
  <c r="BU170" i="1"/>
  <c r="BU173" i="1" s="1"/>
  <c r="BU354" i="1" s="1"/>
  <c r="BU230" i="1"/>
  <c r="BU103" i="1"/>
  <c r="BU106" i="1" s="1"/>
  <c r="BU107" i="1" s="1"/>
  <c r="BU250" i="1"/>
  <c r="BU251" i="1" s="1"/>
  <c r="BU344" i="1"/>
  <c r="BU345" i="1" s="1"/>
  <c r="CM188" i="2"/>
  <c r="CM214" i="2" s="1"/>
  <c r="CM288" i="2" s="1"/>
  <c r="CL254" i="2"/>
  <c r="CL226" i="2"/>
  <c r="CL258" i="2"/>
  <c r="CL160" i="2"/>
  <c r="CL228" i="2" s="1"/>
  <c r="CL257" i="2"/>
  <c r="CL256" i="2"/>
  <c r="CK153" i="1"/>
  <c r="CK289" i="1" s="1"/>
  <c r="BH252" i="1"/>
  <c r="BX40" i="1"/>
  <c r="AT296" i="1"/>
  <c r="AT273" i="1" s="1"/>
  <c r="AT274" i="1" s="1"/>
  <c r="CK133" i="1"/>
  <c r="CK175" i="1" s="1"/>
  <c r="CK154" i="1"/>
  <c r="CK290" i="1" s="1"/>
  <c r="BX35" i="1"/>
  <c r="AP296" i="1"/>
  <c r="CD232" i="2"/>
  <c r="CR222" i="2"/>
  <c r="AH252" i="1"/>
  <c r="BD77" i="1"/>
  <c r="BD79" i="1"/>
  <c r="CE52" i="1"/>
  <c r="DG116" i="1"/>
  <c r="DD123" i="1"/>
  <c r="DD116" i="1" s="1"/>
  <c r="DE123" i="1"/>
  <c r="DE116" i="1" s="1"/>
  <c r="DC123" i="1"/>
  <c r="DC116" i="1" s="1"/>
  <c r="W86" i="1"/>
  <c r="W94" i="1" s="1"/>
  <c r="W170" i="1"/>
  <c r="W173" i="1" s="1"/>
  <c r="W107" i="1"/>
  <c r="W82" i="1"/>
  <c r="W230" i="1"/>
  <c r="W88" i="1"/>
  <c r="W63" i="1"/>
  <c r="R244" i="1"/>
  <c r="BY235" i="1"/>
  <c r="BZ233" i="1" s="1"/>
  <c r="BY357" i="1"/>
  <c r="T109" i="1"/>
  <c r="T110" i="1"/>
  <c r="BT71" i="1"/>
  <c r="BS242" i="1"/>
  <c r="AM110" i="1"/>
  <c r="AM109" i="1"/>
  <c r="BZ21" i="1"/>
  <c r="BC107" i="1"/>
  <c r="BC110" i="1" s="1"/>
  <c r="CG161" i="2"/>
  <c r="CF351" i="1"/>
  <c r="CF74" i="1"/>
  <c r="CF51" i="1"/>
  <c r="CF343" i="1"/>
  <c r="CF60" i="1"/>
  <c r="CF54" i="1"/>
  <c r="AM95" i="1"/>
  <c r="AL266" i="2"/>
  <c r="AQ266" i="2"/>
  <c r="AJ266" i="1"/>
  <c r="AJ269" i="1" s="1"/>
  <c r="AJ75" i="1"/>
  <c r="AK194" i="2"/>
  <c r="AK185" i="2"/>
  <c r="AJ77" i="1"/>
  <c r="AJ250" i="1" s="1"/>
  <c r="V52" i="1"/>
  <c r="BR283" i="1"/>
  <c r="BR293" i="1" s="1"/>
  <c r="BR296" i="1" s="1"/>
  <c r="BR342" i="1"/>
  <c r="F54" i="1"/>
  <c r="F51" i="1"/>
  <c r="K52" i="1" s="1"/>
  <c r="F74" i="1"/>
  <c r="CM61" i="2"/>
  <c r="CM28" i="2"/>
  <c r="Q75" i="1"/>
  <c r="R185" i="2"/>
  <c r="Q77" i="1"/>
  <c r="Q250" i="1" s="1"/>
  <c r="Q79" i="1"/>
  <c r="W251" i="1"/>
  <c r="W252" i="1" s="1"/>
  <c r="W254" i="1" s="1"/>
  <c r="CR330" i="1"/>
  <c r="AG109" i="1"/>
  <c r="AG110" i="1"/>
  <c r="AD82" i="1"/>
  <c r="AD88" i="1"/>
  <c r="AD89" i="1" s="1"/>
  <c r="AD86" i="1"/>
  <c r="AD94" i="1" s="1"/>
  <c r="AD95" i="1" s="1"/>
  <c r="AD81" i="1"/>
  <c r="AD170" i="1"/>
  <c r="AD173" i="1" s="1"/>
  <c r="AD107" i="1"/>
  <c r="AD230" i="1"/>
  <c r="CJ40" i="1"/>
  <c r="CO39" i="1"/>
  <c r="CT39" i="1" s="1"/>
  <c r="CY39" i="1" s="1"/>
  <c r="DD39" i="1" s="1"/>
  <c r="CI40" i="1"/>
  <c r="CN39" i="1"/>
  <c r="CS39" i="1" s="1"/>
  <c r="CX39" i="1" s="1"/>
  <c r="DC39" i="1" s="1"/>
  <c r="BA88" i="1"/>
  <c r="BA89" i="1" s="1"/>
  <c r="BA86" i="1"/>
  <c r="BA82" i="1"/>
  <c r="BA107" i="1"/>
  <c r="AH266" i="2"/>
  <c r="AM266" i="2"/>
  <c r="Z19" i="1"/>
  <c r="AE19" i="1"/>
  <c r="AG266" i="2"/>
  <c r="BR23" i="1"/>
  <c r="BR24" i="1" s="1"/>
  <c r="BR25" i="1"/>
  <c r="AC109" i="1"/>
  <c r="AC110" i="1"/>
  <c r="BC296" i="1"/>
  <c r="BB296" i="1"/>
  <c r="AM89" i="1"/>
  <c r="BC81" i="1"/>
  <c r="BC88" i="1"/>
  <c r="BC82" i="1"/>
  <c r="BC170" i="1"/>
  <c r="BC230" i="1"/>
  <c r="BC86" i="1"/>
  <c r="BC94" i="1" s="1"/>
  <c r="BC95" i="1" s="1"/>
  <c r="F23" i="1"/>
  <c r="F25" i="1"/>
  <c r="K25" i="1"/>
  <c r="Q249" i="1"/>
  <c r="Q55" i="1"/>
  <c r="V56" i="1" s="1"/>
  <c r="Q62" i="1"/>
  <c r="Q63" i="1" s="1"/>
  <c r="V57" i="1"/>
  <c r="CE329" i="1"/>
  <c r="BE283" i="1"/>
  <c r="BE293" i="1" s="1"/>
  <c r="BE342" i="1"/>
  <c r="W243" i="1"/>
  <c r="BO219" i="2"/>
  <c r="M251" i="1"/>
  <c r="BH81" i="1"/>
  <c r="BX263" i="1"/>
  <c r="BF89" i="1"/>
  <c r="CF44" i="2"/>
  <c r="CF50" i="2"/>
  <c r="CK44" i="2"/>
  <c r="CX116" i="1"/>
  <c r="DA123" i="1"/>
  <c r="DA116" i="1" s="1"/>
  <c r="N266" i="2"/>
  <c r="S266" i="2"/>
  <c r="AJ57" i="1"/>
  <c r="AJ249" i="1"/>
  <c r="AJ251" i="1" s="1"/>
  <c r="AJ252" i="1" s="1"/>
  <c r="AJ62" i="1"/>
  <c r="AJ55" i="1"/>
  <c r="AJ56" i="1" s="1"/>
  <c r="AJ52" i="1"/>
  <c r="AK211" i="2"/>
  <c r="CH296" i="2"/>
  <c r="CC298" i="2"/>
  <c r="AY334" i="1"/>
  <c r="AY186" i="1"/>
  <c r="AE63" i="1"/>
  <c r="AD243" i="1"/>
  <c r="AE243" i="1" s="1"/>
  <c r="BE346" i="1"/>
  <c r="V86" i="1"/>
  <c r="V94" i="1" s="1"/>
  <c r="V107" i="1"/>
  <c r="V81" i="1"/>
  <c r="V82" i="1"/>
  <c r="V88" i="1"/>
  <c r="V170" i="1"/>
  <c r="V173" i="1" s="1"/>
  <c r="V230" i="1"/>
  <c r="BQ234" i="1"/>
  <c r="B79" i="1"/>
  <c r="B75" i="1"/>
  <c r="B77" i="1"/>
  <c r="K251" i="1"/>
  <c r="CJ45" i="1"/>
  <c r="CO44" i="1"/>
  <c r="CT44" i="1" s="1"/>
  <c r="CY44" i="1" s="1"/>
  <c r="DD44" i="1" s="1"/>
  <c r="CI45" i="1"/>
  <c r="CN44" i="1"/>
  <c r="CS44" i="1" s="1"/>
  <c r="CX44" i="1" s="1"/>
  <c r="DC44" i="1" s="1"/>
  <c r="CF68" i="2"/>
  <c r="CF62" i="2"/>
  <c r="BS142" i="1"/>
  <c r="BS231" i="1"/>
  <c r="BG136" i="1"/>
  <c r="BF137" i="1"/>
  <c r="AD63" i="1"/>
  <c r="AB244" i="1"/>
  <c r="B24" i="1"/>
  <c r="G24" i="1"/>
  <c r="AJ266" i="2"/>
  <c r="AO266" i="2"/>
  <c r="CK45" i="2"/>
  <c r="CF45" i="2"/>
  <c r="I24" i="1"/>
  <c r="D24" i="1"/>
  <c r="AZ88" i="1"/>
  <c r="AZ86" i="1"/>
  <c r="AZ94" i="1" s="1"/>
  <c r="BE95" i="1" s="1"/>
  <c r="AZ170" i="1"/>
  <c r="AZ82" i="1"/>
  <c r="AZ230" i="1"/>
  <c r="BE81" i="1"/>
  <c r="CC36" i="1"/>
  <c r="BX36" i="1"/>
  <c r="BD342" i="1"/>
  <c r="BD283" i="1"/>
  <c r="BD293" i="1" s="1"/>
  <c r="AF86" i="1"/>
  <c r="AF94" i="1" s="1"/>
  <c r="AK95" i="1" s="1"/>
  <c r="AF230" i="1"/>
  <c r="AF88" i="1"/>
  <c r="AK89" i="1" s="1"/>
  <c r="AK81" i="1"/>
  <c r="AF107" i="1"/>
  <c r="AF82" i="1"/>
  <c r="AF170" i="1"/>
  <c r="AF173" i="1" s="1"/>
  <c r="D57" i="1"/>
  <c r="D55" i="1"/>
  <c r="I57" i="1"/>
  <c r="Z60" i="1"/>
  <c r="Z61" i="1" s="1"/>
  <c r="Z54" i="1"/>
  <c r="Z51" i="1"/>
  <c r="Z74" i="1"/>
  <c r="AA178" i="2"/>
  <c r="BE166" i="1"/>
  <c r="BS35" i="1"/>
  <c r="AF81" i="1"/>
  <c r="BE231" i="1"/>
  <c r="AN106" i="1"/>
  <c r="AN107" i="1" s="1"/>
  <c r="CK11" i="1"/>
  <c r="CK14" i="1" s="1"/>
  <c r="BR54" i="1"/>
  <c r="BR57" i="1" s="1"/>
  <c r="BS161" i="2"/>
  <c r="BR74" i="1"/>
  <c r="BR60" i="1"/>
  <c r="BR351" i="1"/>
  <c r="BR343" i="1"/>
  <c r="BR51" i="1"/>
  <c r="BR52" i="1" s="1"/>
  <c r="BT109" i="1"/>
  <c r="BT110" i="1"/>
  <c r="BR357" i="1"/>
  <c r="BR235" i="1"/>
  <c r="BR234" i="1" s="1"/>
  <c r="G110" i="1"/>
  <c r="G109" i="1"/>
  <c r="AZ344" i="1"/>
  <c r="AZ345" i="1" s="1"/>
  <c r="BC346" i="1" s="1"/>
  <c r="AZ250" i="1"/>
  <c r="AZ251" i="1" s="1"/>
  <c r="AZ105" i="1"/>
  <c r="BD105" i="1" s="1"/>
  <c r="AZ103" i="1"/>
  <c r="CG48" i="2"/>
  <c r="AD207" i="1"/>
  <c r="AI207" i="1"/>
  <c r="BU234" i="1"/>
  <c r="Y244" i="1"/>
  <c r="Z244" i="1" s="1"/>
  <c r="B55" i="1"/>
  <c r="B57" i="1"/>
  <c r="G57" i="1"/>
  <c r="AN266" i="2"/>
  <c r="AS266" i="2"/>
  <c r="CJ13" i="1"/>
  <c r="CO12" i="1"/>
  <c r="CT12" i="1" s="1"/>
  <c r="CY12" i="1" s="1"/>
  <c r="DD12" i="1" s="1"/>
  <c r="BT232" i="2"/>
  <c r="D79" i="1"/>
  <c r="D75" i="1"/>
  <c r="D77" i="1"/>
  <c r="BX233" i="1"/>
  <c r="BX234" i="1" s="1"/>
  <c r="BT234" i="1"/>
  <c r="Z23" i="1"/>
  <c r="AE25" i="1"/>
  <c r="Z25" i="1"/>
  <c r="W266" i="2"/>
  <c r="BM86" i="1"/>
  <c r="BM94" i="1" s="1"/>
  <c r="BM95" i="1" s="1"/>
  <c r="BM82" i="1"/>
  <c r="BM170" i="1"/>
  <c r="BM173" i="1" s="1"/>
  <c r="BM354" i="1" s="1"/>
  <c r="BM88" i="1"/>
  <c r="BM230" i="1"/>
  <c r="CK38" i="1"/>
  <c r="CK43" i="1"/>
  <c r="CK350" i="1"/>
  <c r="CK8" i="1"/>
  <c r="CK135" i="1"/>
  <c r="CK177" i="1" s="1"/>
  <c r="CK184" i="1"/>
  <c r="CK204" i="1" s="1"/>
  <c r="DA67" i="2"/>
  <c r="DA8" i="2" s="1"/>
  <c r="DA68" i="2"/>
  <c r="DA69" i="2" s="1"/>
  <c r="CY68" i="2"/>
  <c r="CY69" i="2" s="1"/>
  <c r="CY67" i="2"/>
  <c r="CY8" i="2" s="1"/>
  <c r="CZ68" i="2"/>
  <c r="CZ69" i="2" s="1"/>
  <c r="CZ67" i="2"/>
  <c r="CV157" i="2"/>
  <c r="CV225" i="2" s="1"/>
  <c r="CT157" i="2"/>
  <c r="CT225" i="2" s="1"/>
  <c r="DD64" i="2"/>
  <c r="DF64" i="2"/>
  <c r="DE64" i="2"/>
  <c r="DH68" i="2"/>
  <c r="DH69" i="2" s="1"/>
  <c r="CZ8" i="2"/>
  <c r="CU157" i="2"/>
  <c r="CU225" i="2" s="1"/>
  <c r="CQ33" i="2"/>
  <c r="CQ34" i="2" s="1"/>
  <c r="CN152" i="1"/>
  <c r="CM240" i="1"/>
  <c r="CJ335" i="1"/>
  <c r="CW40" i="2"/>
  <c r="CR188" i="2"/>
  <c r="CW39" i="2"/>
  <c r="CW42" i="2" s="1"/>
  <c r="CW43" i="2" s="1"/>
  <c r="CZ41" i="2"/>
  <c r="CZ5" i="2" s="1"/>
  <c r="CZ42" i="2"/>
  <c r="CZ43" i="2" s="1"/>
  <c r="DD39" i="2"/>
  <c r="DF39" i="2"/>
  <c r="DE39" i="2"/>
  <c r="DH41" i="2"/>
  <c r="DH5" i="2" s="1"/>
  <c r="DH154" i="2" s="1"/>
  <c r="DH42" i="2"/>
  <c r="DH43" i="2" s="1"/>
  <c r="DA41" i="2"/>
  <c r="DA5" i="2" s="1"/>
  <c r="DA154" i="2" s="1"/>
  <c r="DA42" i="2"/>
  <c r="DA43" i="2" s="1"/>
  <c r="CY41" i="2"/>
  <c r="CY5" i="2" s="1"/>
  <c r="CY42" i="2"/>
  <c r="CY43" i="2" s="1"/>
  <c r="CQ160" i="1"/>
  <c r="CR160" i="1" s="1"/>
  <c r="CR125" i="1"/>
  <c r="CR124" i="1" s="1"/>
  <c r="BJ252" i="1"/>
  <c r="CW5" i="2"/>
  <c r="CV154" i="2"/>
  <c r="CV222" i="2" s="1"/>
  <c r="CO9" i="1"/>
  <c r="CO329" i="1" s="1"/>
  <c r="CT124" i="1"/>
  <c r="CS125" i="1"/>
  <c r="CR190" i="1"/>
  <c r="BX71" i="1"/>
  <c r="CA233" i="1"/>
  <c r="CA234" i="1" s="1"/>
  <c r="BZ234" i="1"/>
  <c r="CC233" i="1"/>
  <c r="CC234" i="1" s="1"/>
  <c r="BY234" i="1"/>
  <c r="DC154" i="2"/>
  <c r="DC222" i="2" s="1"/>
  <c r="CZ50" i="2"/>
  <c r="CZ51" i="2" s="1"/>
  <c r="CZ49" i="2"/>
  <c r="DD47" i="2"/>
  <c r="DF47" i="2"/>
  <c r="DE47" i="2"/>
  <c r="DH50" i="2"/>
  <c r="DH51" i="2" s="1"/>
  <c r="DH49" i="2"/>
  <c r="CY49" i="2"/>
  <c r="CY50" i="2"/>
  <c r="CY51" i="2" s="1"/>
  <c r="DA49" i="2"/>
  <c r="DA50" i="2"/>
  <c r="DA51" i="2" s="1"/>
  <c r="CJ33" i="2"/>
  <c r="CI335" i="1"/>
  <c r="Y252" i="1"/>
  <c r="Y254" i="1" s="1"/>
  <c r="AU244" i="1"/>
  <c r="AA243" i="1"/>
  <c r="X243" i="1"/>
  <c r="BI56" i="1"/>
  <c r="AX109" i="1"/>
  <c r="AX110" i="1"/>
  <c r="AT351" i="1"/>
  <c r="AT51" i="1"/>
  <c r="AU161" i="2"/>
  <c r="AT60" i="1"/>
  <c r="AT343" i="1"/>
  <c r="AU178" i="2"/>
  <c r="BX51" i="1"/>
  <c r="BX54" i="1"/>
  <c r="BX60" i="1"/>
  <c r="BX343" i="1"/>
  <c r="BX74" i="1"/>
  <c r="BX351" i="1"/>
  <c r="BX9" i="1"/>
  <c r="BY34" i="2"/>
  <c r="CW44" i="1"/>
  <c r="S110" i="1"/>
  <c r="S109" i="1"/>
  <c r="AY20" i="1"/>
  <c r="AT18" i="1"/>
  <c r="AT20" i="1"/>
  <c r="AI56" i="1"/>
  <c r="AN56" i="1"/>
  <c r="BX23" i="1"/>
  <c r="BP61" i="1"/>
  <c r="BP353" i="1"/>
  <c r="BP79" i="1"/>
  <c r="BP75" i="1"/>
  <c r="BQ194" i="2"/>
  <c r="BP77" i="1"/>
  <c r="BQ170" i="1"/>
  <c r="BQ173" i="1" s="1"/>
  <c r="BQ354" i="1" s="1"/>
  <c r="BQ86" i="1"/>
  <c r="BQ94" i="1" s="1"/>
  <c r="BQ82" i="1"/>
  <c r="BQ230" i="1"/>
  <c r="BQ88" i="1"/>
  <c r="CE353" i="1"/>
  <c r="CE61" i="1"/>
  <c r="AV110" i="1"/>
  <c r="AV109" i="1"/>
  <c r="DC156" i="2"/>
  <c r="AF266" i="2"/>
  <c r="AA266" i="2"/>
  <c r="CI356" i="1"/>
  <c r="CI186" i="1"/>
  <c r="CI204" i="1"/>
  <c r="DC103" i="1"/>
  <c r="DC106" i="1" s="1"/>
  <c r="DC250" i="1"/>
  <c r="BI86" i="1"/>
  <c r="BI94" i="1" s="1"/>
  <c r="BI81" i="1"/>
  <c r="BI88" i="1"/>
  <c r="BI82" i="1"/>
  <c r="BI170" i="1"/>
  <c r="BI230" i="1"/>
  <c r="R63" i="1"/>
  <c r="S243" i="1"/>
  <c r="V252" i="1"/>
  <c r="V254" i="1" s="1"/>
  <c r="AV25" i="1"/>
  <c r="AQ23" i="1"/>
  <c r="AQ25" i="1"/>
  <c r="AP249" i="1"/>
  <c r="AP62" i="1"/>
  <c r="AP55" i="1"/>
  <c r="AP56" i="1" s="1"/>
  <c r="AP57" i="1"/>
  <c r="AU24" i="1"/>
  <c r="AP24" i="1"/>
  <c r="AI103" i="1"/>
  <c r="AI250" i="1"/>
  <c r="AI251" i="1" s="1"/>
  <c r="CC22" i="1"/>
  <c r="CH25" i="1" s="1"/>
  <c r="BY23" i="1"/>
  <c r="BY25" i="1"/>
  <c r="CD25" i="1"/>
  <c r="AT329" i="1"/>
  <c r="CA343" i="1"/>
  <c r="CA74" i="1"/>
  <c r="CB161" i="2"/>
  <c r="CA51" i="1"/>
  <c r="CA54" i="1"/>
  <c r="CA60" i="1"/>
  <c r="CA351" i="1"/>
  <c r="CY228" i="1"/>
  <c r="Q244" i="1"/>
  <c r="BI250" i="1"/>
  <c r="BI344" i="1"/>
  <c r="BI345" i="1" s="1"/>
  <c r="BV342" i="1"/>
  <c r="BV283" i="1"/>
  <c r="BV293" i="1" s="1"/>
  <c r="AY88" i="1"/>
  <c r="AY86" i="1"/>
  <c r="AY94" i="1" s="1"/>
  <c r="AY82" i="1"/>
  <c r="BD81" i="1"/>
  <c r="AY230" i="1"/>
  <c r="AY170" i="1"/>
  <c r="CV156" i="2"/>
  <c r="BT25" i="1"/>
  <c r="BO23" i="1"/>
  <c r="BO25" i="1"/>
  <c r="BS22" i="1"/>
  <c r="BI43" i="2"/>
  <c r="BN43" i="2"/>
  <c r="N52" i="1"/>
  <c r="O211" i="2"/>
  <c r="S52" i="1"/>
  <c r="T207" i="1"/>
  <c r="Y207" i="1"/>
  <c r="M63" i="1"/>
  <c r="AT29" i="1"/>
  <c r="AY29" i="1"/>
  <c r="AT40" i="1"/>
  <c r="AY40" i="1"/>
  <c r="DA226" i="1"/>
  <c r="BH109" i="1"/>
  <c r="BH110" i="1"/>
  <c r="CH358" i="1"/>
  <c r="Q24" i="1"/>
  <c r="L24" i="1"/>
  <c r="AU105" i="1"/>
  <c r="AY105" i="1" s="1"/>
  <c r="AU344" i="1"/>
  <c r="AU345" i="1" s="1"/>
  <c r="AU103" i="1"/>
  <c r="AU250" i="1"/>
  <c r="AU251" i="1" s="1"/>
  <c r="AU303" i="1"/>
  <c r="AU305" i="1" s="1"/>
  <c r="AL250" i="1"/>
  <c r="AL251" i="1" s="1"/>
  <c r="AL103" i="1"/>
  <c r="AL344" i="1"/>
  <c r="AL345" i="1" s="1"/>
  <c r="AL104" i="1"/>
  <c r="AO104" i="1" s="1"/>
  <c r="BG63" i="1"/>
  <c r="BF244" i="1"/>
  <c r="BV61" i="1"/>
  <c r="BV353" i="1"/>
  <c r="CD106" i="1"/>
  <c r="AY63" i="1"/>
  <c r="AX243" i="1"/>
  <c r="AY243" i="1" s="1"/>
  <c r="BZ61" i="1"/>
  <c r="BZ353" i="1"/>
  <c r="CA194" i="2"/>
  <c r="BZ75" i="1"/>
  <c r="BZ77" i="1"/>
  <c r="BZ79" i="1"/>
  <c r="CW59" i="2"/>
  <c r="CW60" i="2" s="1"/>
  <c r="CW58" i="2"/>
  <c r="X56" i="1"/>
  <c r="AC56" i="1"/>
  <c r="BO43" i="2"/>
  <c r="L249" i="1"/>
  <c r="L57" i="1"/>
  <c r="L55" i="1"/>
  <c r="L62" i="1"/>
  <c r="Q57" i="1"/>
  <c r="CG293" i="2"/>
  <c r="BW208" i="1"/>
  <c r="BW206" i="1"/>
  <c r="CB207" i="1" s="1"/>
  <c r="BF165" i="1"/>
  <c r="BF245" i="1"/>
  <c r="BM110" i="1"/>
  <c r="BM109" i="1"/>
  <c r="CC40" i="1"/>
  <c r="BQ52" i="1"/>
  <c r="BC89" i="1"/>
  <c r="AX207" i="1"/>
  <c r="AS207" i="1"/>
  <c r="DA58" i="2"/>
  <c r="DA7" i="2" s="1"/>
  <c r="DA59" i="2"/>
  <c r="DA60" i="2" s="1"/>
  <c r="CG353" i="1"/>
  <c r="CG61" i="1"/>
  <c r="CB23" i="1"/>
  <c r="CG24" i="1" s="1"/>
  <c r="CB25" i="1"/>
  <c r="BD63" i="1"/>
  <c r="BC243" i="1"/>
  <c r="BD243" i="1" s="1"/>
  <c r="AX244" i="1"/>
  <c r="AY244" i="1" s="1"/>
  <c r="BN35" i="1"/>
  <c r="BL61" i="1"/>
  <c r="BL353" i="1"/>
  <c r="CH351" i="1"/>
  <c r="CH54" i="1"/>
  <c r="CH51" i="1"/>
  <c r="CH343" i="1"/>
  <c r="CH60" i="1"/>
  <c r="BZ342" i="1"/>
  <c r="BZ283" i="1"/>
  <c r="BZ293" i="1" s="1"/>
  <c r="BZ296" i="1" s="1"/>
  <c r="BD329" i="1"/>
  <c r="AO329" i="1"/>
  <c r="CZ228" i="1"/>
  <c r="AQ19" i="1"/>
  <c r="AV19" i="1"/>
  <c r="J233" i="1"/>
  <c r="J234" i="1" s="1"/>
  <c r="I234" i="1"/>
  <c r="CH220" i="1"/>
  <c r="CH219" i="1"/>
  <c r="AW250" i="1"/>
  <c r="AW251" i="1" s="1"/>
  <c r="AW344" i="1"/>
  <c r="AW345" i="1" s="1"/>
  <c r="BA346" i="1" s="1"/>
  <c r="AW103" i="1"/>
  <c r="AW106" i="1" s="1"/>
  <c r="AW303" i="1"/>
  <c r="AW305" i="1" s="1"/>
  <c r="BI106" i="1"/>
  <c r="BG107" i="1"/>
  <c r="CC18" i="1"/>
  <c r="CC19" i="1" s="1"/>
  <c r="CC20" i="1"/>
  <c r="BP24" i="1"/>
  <c r="BU24" i="1"/>
  <c r="AD245" i="1"/>
  <c r="AD165" i="1"/>
  <c r="AD166" i="1" s="1"/>
  <c r="DA221" i="1"/>
  <c r="AN109" i="1"/>
  <c r="AN110" i="1"/>
  <c r="BE56" i="1"/>
  <c r="AZ56" i="1"/>
  <c r="J109" i="1"/>
  <c r="J110" i="1"/>
  <c r="BO54" i="1"/>
  <c r="BO351" i="1"/>
  <c r="BO51" i="1"/>
  <c r="BP161" i="2"/>
  <c r="BO60" i="1"/>
  <c r="BO74" i="1"/>
  <c r="BO343" i="1"/>
  <c r="BS50" i="1"/>
  <c r="CR39" i="1"/>
  <c r="N55" i="1"/>
  <c r="S57" i="1"/>
  <c r="N62" i="1"/>
  <c r="N249" i="1"/>
  <c r="N57" i="1"/>
  <c r="CC220" i="1"/>
  <c r="CC219" i="1"/>
  <c r="BH24" i="1"/>
  <c r="BC24" i="1"/>
  <c r="AT45" i="1"/>
  <c r="AY45" i="1"/>
  <c r="BH89" i="1"/>
  <c r="BM89" i="1"/>
  <c r="K82" i="1"/>
  <c r="K88" i="1"/>
  <c r="K86" i="1"/>
  <c r="K94" i="1" s="1"/>
  <c r="K170" i="1"/>
  <c r="K230" i="1"/>
  <c r="BW23" i="1"/>
  <c r="BW25" i="1"/>
  <c r="CZ221" i="1"/>
  <c r="BJ107" i="1"/>
  <c r="BZ62" i="1"/>
  <c r="BZ249" i="1"/>
  <c r="BZ55" i="1"/>
  <c r="BZ56" i="1" s="1"/>
  <c r="BZ57" i="1"/>
  <c r="BJ32" i="2"/>
  <c r="BJ33" i="2"/>
  <c r="BC109" i="1"/>
  <c r="BQ24" i="1"/>
  <c r="Y334" i="1"/>
  <c r="Y186" i="1"/>
  <c r="Y196" i="1" s="1"/>
  <c r="Y201" i="1" s="1"/>
  <c r="AB63" i="1"/>
  <c r="AC243" i="1"/>
  <c r="AB243" i="1"/>
  <c r="AB251" i="1"/>
  <c r="BM55" i="1"/>
  <c r="BM57" i="1"/>
  <c r="BM249" i="1"/>
  <c r="BM251" i="1" s="1"/>
  <c r="BM62" i="1"/>
  <c r="AS244" i="1"/>
  <c r="AT244" i="1" s="1"/>
  <c r="CH20" i="1"/>
  <c r="CA231" i="1"/>
  <c r="CA142" i="1"/>
  <c r="O63" i="1"/>
  <c r="N244" i="1"/>
  <c r="DA217" i="1"/>
  <c r="CW115" i="1"/>
  <c r="BE246" i="1"/>
  <c r="P51" i="1"/>
  <c r="P74" i="1"/>
  <c r="Q178" i="2"/>
  <c r="P54" i="1"/>
  <c r="P60" i="1"/>
  <c r="P61" i="1" s="1"/>
  <c r="BI251" i="1"/>
  <c r="BB233" i="1"/>
  <c r="BB234" i="1" s="1"/>
  <c r="BA243" i="1"/>
  <c r="BA234" i="1"/>
  <c r="CB74" i="1"/>
  <c r="CB343" i="1"/>
  <c r="CB60" i="1"/>
  <c r="CB51" i="1"/>
  <c r="CG52" i="1" s="1"/>
  <c r="CC161" i="2"/>
  <c r="CB54" i="1"/>
  <c r="CG57" i="1" s="1"/>
  <c r="CB351" i="1"/>
  <c r="CB19" i="1"/>
  <c r="BD56" i="1"/>
  <c r="BF354" i="1"/>
  <c r="BI173" i="1"/>
  <c r="BN25" i="1"/>
  <c r="BN23" i="1"/>
  <c r="BN24" i="1" s="1"/>
  <c r="CL227" i="2"/>
  <c r="CQ159" i="2"/>
  <c r="CY227" i="1"/>
  <c r="U77" i="1"/>
  <c r="U250" i="1" s="1"/>
  <c r="V185" i="2"/>
  <c r="U79" i="1"/>
  <c r="U75" i="1"/>
  <c r="BL62" i="1"/>
  <c r="BG244" i="1" s="1"/>
  <c r="BL57" i="1"/>
  <c r="BL249" i="1"/>
  <c r="BL55" i="1"/>
  <c r="BL56" i="1" s="1"/>
  <c r="CE77" i="1"/>
  <c r="CF194" i="2"/>
  <c r="CE79" i="1"/>
  <c r="CE75" i="1"/>
  <c r="CH74" i="1"/>
  <c r="AA110" i="1"/>
  <c r="AA109" i="1"/>
  <c r="DD250" i="1"/>
  <c r="DD103" i="1"/>
  <c r="DD106" i="1" s="1"/>
  <c r="R56" i="1"/>
  <c r="W56" i="1"/>
  <c r="BT219" i="2"/>
  <c r="CQ219" i="1"/>
  <c r="BP233" i="1"/>
  <c r="BP234" i="1" s="1"/>
  <c r="BO234" i="1"/>
  <c r="AP52" i="1"/>
  <c r="AQ211" i="2"/>
  <c r="AT22" i="1"/>
  <c r="AB82" i="1"/>
  <c r="AB86" i="1"/>
  <c r="AB94" i="1" s="1"/>
  <c r="AB170" i="1"/>
  <c r="AB173" i="1" s="1"/>
  <c r="AB230" i="1"/>
  <c r="AB88" i="1"/>
  <c r="AB107" i="1"/>
  <c r="AB81" i="1"/>
  <c r="AG81" i="1"/>
  <c r="BY296" i="1"/>
  <c r="CB233" i="1"/>
  <c r="AF162" i="1"/>
  <c r="AE163" i="1"/>
  <c r="BQ63" i="1"/>
  <c r="CA19" i="1"/>
  <c r="CF19" i="1"/>
  <c r="CJ17" i="1"/>
  <c r="AZ63" i="1"/>
  <c r="AZ243" i="1"/>
  <c r="CB293" i="2"/>
  <c r="AW234" i="1"/>
  <c r="AX233" i="1"/>
  <c r="AX234" i="1" s="1"/>
  <c r="BO19" i="1"/>
  <c r="BT19" i="1"/>
  <c r="AY35" i="1"/>
  <c r="AT35" i="1"/>
  <c r="CA293" i="2"/>
  <c r="CF293" i="2"/>
  <c r="BR206" i="1"/>
  <c r="BR207" i="1" s="1"/>
  <c r="BR208" i="1"/>
  <c r="BW74" i="1"/>
  <c r="BW343" i="1"/>
  <c r="BW60" i="1"/>
  <c r="BX161" i="2"/>
  <c r="BW54" i="1"/>
  <c r="BW351" i="1"/>
  <c r="BW51" i="1"/>
  <c r="CU222" i="2"/>
  <c r="CM155" i="2"/>
  <c r="CN223" i="2"/>
  <c r="BV79" i="1"/>
  <c r="BW194" i="2"/>
  <c r="BV75" i="1"/>
  <c r="BV77" i="1"/>
  <c r="AC253" i="1"/>
  <c r="AC246" i="1"/>
  <c r="BS329" i="1"/>
  <c r="CH23" i="1"/>
  <c r="O88" i="1"/>
  <c r="O230" i="1"/>
  <c r="T81" i="1"/>
  <c r="O81" i="1"/>
  <c r="O82" i="1"/>
  <c r="O86" i="1"/>
  <c r="O94" i="1" s="1"/>
  <c r="O107" i="1"/>
  <c r="O170" i="1"/>
  <c r="O173" i="1" s="1"/>
  <c r="AE281" i="1"/>
  <c r="BC55" i="1"/>
  <c r="BC62" i="1"/>
  <c r="BC249" i="1"/>
  <c r="BC251" i="1" s="1"/>
  <c r="BC57" i="1"/>
  <c r="BH57" i="1"/>
  <c r="W244" i="1"/>
  <c r="X63" i="1"/>
  <c r="V244" i="1"/>
  <c r="L79" i="1"/>
  <c r="L77" i="1"/>
  <c r="L250" i="1" s="1"/>
  <c r="M185" i="2"/>
  <c r="L75" i="1"/>
  <c r="CH34" i="1"/>
  <c r="CH35" i="1" s="1"/>
  <c r="CH36" i="1"/>
  <c r="CG207" i="1"/>
  <c r="CC29" i="1"/>
  <c r="CB137" i="1"/>
  <c r="CC136" i="1"/>
  <c r="T56" i="1"/>
  <c r="O56" i="1"/>
  <c r="BK86" i="1"/>
  <c r="BK94" i="1" s="1"/>
  <c r="BK95" i="1" s="1"/>
  <c r="BK88" i="1"/>
  <c r="BK89" i="1" s="1"/>
  <c r="BK82" i="1"/>
  <c r="BK170" i="1"/>
  <c r="BK173" i="1" s="1"/>
  <c r="BK81" i="1"/>
  <c r="BK230" i="1"/>
  <c r="BV235" i="1"/>
  <c r="BV357" i="1"/>
  <c r="CJ69" i="2"/>
  <c r="CE69" i="2"/>
  <c r="DD54" i="2"/>
  <c r="DH59" i="2"/>
  <c r="DH60" i="2" s="1"/>
  <c r="DH58" i="2"/>
  <c r="DH7" i="2" s="1"/>
  <c r="DF54" i="2"/>
  <c r="DE54" i="2"/>
  <c r="CG77" i="1"/>
  <c r="CG75" i="1"/>
  <c r="CH194" i="2"/>
  <c r="CG79" i="1"/>
  <c r="CG249" i="1"/>
  <c r="CG55" i="1"/>
  <c r="CG62" i="1"/>
  <c r="BY108" i="1"/>
  <c r="BX108" i="1"/>
  <c r="CY115" i="1"/>
  <c r="CZ115" i="1" s="1"/>
  <c r="DA115" i="1" s="1"/>
  <c r="DC115" i="1" s="1"/>
  <c r="BL233" i="1"/>
  <c r="BL234" i="1" s="1"/>
  <c r="BK234" i="1"/>
  <c r="BK243" i="1"/>
  <c r="BE235" i="1"/>
  <c r="BE357" i="1"/>
  <c r="P19" i="1"/>
  <c r="U19" i="1"/>
  <c r="AY296" i="1"/>
  <c r="AY273" i="1" s="1"/>
  <c r="AY274" i="1" s="1"/>
  <c r="AY277" i="1" s="1"/>
  <c r="R170" i="1"/>
  <c r="R173" i="1" s="1"/>
  <c r="R81" i="1"/>
  <c r="R86" i="1"/>
  <c r="R94" i="1" s="1"/>
  <c r="R88" i="1"/>
  <c r="R82" i="1"/>
  <c r="R230" i="1"/>
  <c r="W81" i="1"/>
  <c r="R107" i="1"/>
  <c r="X82" i="1"/>
  <c r="X86" i="1"/>
  <c r="X94" i="1" s="1"/>
  <c r="X81" i="1"/>
  <c r="X88" i="1"/>
  <c r="X170" i="1"/>
  <c r="X173" i="1" s="1"/>
  <c r="X107" i="1"/>
  <c r="AC81" i="1"/>
  <c r="X230" i="1"/>
  <c r="DA227" i="1"/>
  <c r="CY221" i="1"/>
  <c r="CP146" i="1"/>
  <c r="CO239" i="1"/>
  <c r="BL75" i="1"/>
  <c r="BL79" i="1"/>
  <c r="BQ81" i="1" s="1"/>
  <c r="BL77" i="1"/>
  <c r="BM194" i="2"/>
  <c r="BP55" i="1"/>
  <c r="BP57" i="1"/>
  <c r="BP62" i="1"/>
  <c r="BP249" i="1"/>
  <c r="BU57" i="1"/>
  <c r="BQ103" i="1"/>
  <c r="BQ106" i="1" s="1"/>
  <c r="BQ107" i="1" s="1"/>
  <c r="BQ250" i="1"/>
  <c r="BQ251" i="1" s="1"/>
  <c r="BQ344" i="1"/>
  <c r="BQ345" i="1" s="1"/>
  <c r="V211" i="2"/>
  <c r="Z52" i="1"/>
  <c r="U52" i="1"/>
  <c r="AU63" i="1"/>
  <c r="AW63" i="1"/>
  <c r="AV244" i="1"/>
  <c r="BI25" i="1"/>
  <c r="BD23" i="1"/>
  <c r="BD25" i="1"/>
  <c r="Z57" i="1"/>
  <c r="U55" i="1"/>
  <c r="U57" i="1"/>
  <c r="U249" i="1"/>
  <c r="U251" i="1" s="1"/>
  <c r="U62" i="1"/>
  <c r="Y266" i="2"/>
  <c r="T266" i="2"/>
  <c r="AI63" i="1"/>
  <c r="AH244" i="1"/>
  <c r="AF244" i="1"/>
  <c r="AG244" i="1"/>
  <c r="BB56" i="1"/>
  <c r="AW56" i="1"/>
  <c r="BP52" i="1"/>
  <c r="BU52" i="1"/>
  <c r="CE249" i="1"/>
  <c r="CE57" i="1"/>
  <c r="CE55" i="1"/>
  <c r="CE62" i="1"/>
  <c r="BK63" i="1"/>
  <c r="CT156" i="2"/>
  <c r="CW7" i="2"/>
  <c r="CX224" i="2"/>
  <c r="AE88" i="1"/>
  <c r="AE82" i="1"/>
  <c r="AE86" i="1"/>
  <c r="AE94" i="1" s="1"/>
  <c r="AE230" i="1"/>
  <c r="AE170" i="1"/>
  <c r="AF95" i="1"/>
  <c r="CI288" i="1"/>
  <c r="DE250" i="1"/>
  <c r="DE103" i="1"/>
  <c r="DE106" i="1" s="1"/>
  <c r="AQ60" i="1"/>
  <c r="AQ61" i="1" s="1"/>
  <c r="AQ343" i="1"/>
  <c r="AQ74" i="1"/>
  <c r="AT74" i="1" s="1"/>
  <c r="AR161" i="2"/>
  <c r="AR178" i="2"/>
  <c r="AQ51" i="1"/>
  <c r="AQ54" i="1"/>
  <c r="AT54" i="1" s="1"/>
  <c r="CK114" i="1"/>
  <c r="AP77" i="1"/>
  <c r="AQ185" i="2"/>
  <c r="AP75" i="1"/>
  <c r="AP79" i="1"/>
  <c r="AU81" i="1" s="1"/>
  <c r="AQ194" i="2"/>
  <c r="AI88" i="1"/>
  <c r="AI89" i="1" s="1"/>
  <c r="AI170" i="1"/>
  <c r="AI173" i="1" s="1"/>
  <c r="AJ79" i="1"/>
  <c r="AI81" i="1"/>
  <c r="AI86" i="1"/>
  <c r="AI94" i="1" s="1"/>
  <c r="AI82" i="1"/>
  <c r="AI230" i="1"/>
  <c r="BY219" i="2"/>
  <c r="CI293" i="2" s="1"/>
  <c r="DA228" i="1"/>
  <c r="AW86" i="1"/>
  <c r="AW94" i="1" s="1"/>
  <c r="AW81" i="1"/>
  <c r="AW230" i="1"/>
  <c r="BB81" i="1"/>
  <c r="AW82" i="1"/>
  <c r="AW170" i="1"/>
  <c r="AW173" i="1" s="1"/>
  <c r="AW354" i="1" s="1"/>
  <c r="AW88" i="1"/>
  <c r="AW107" i="1"/>
  <c r="CD19" i="1"/>
  <c r="BY19" i="1"/>
  <c r="CC50" i="1"/>
  <c r="BZ161" i="2"/>
  <c r="BY74" i="1"/>
  <c r="BY351" i="1"/>
  <c r="BY343" i="1"/>
  <c r="BY54" i="1"/>
  <c r="BY60" i="1"/>
  <c r="BY51" i="1"/>
  <c r="BN54" i="1"/>
  <c r="BN60" i="1"/>
  <c r="BN51" i="1"/>
  <c r="BN52" i="1" s="1"/>
  <c r="BN351" i="1"/>
  <c r="BN74" i="1"/>
  <c r="BN343" i="1"/>
  <c r="Y63" i="1"/>
  <c r="X244" i="1"/>
  <c r="AP266" i="2"/>
  <c r="AK266" i="2"/>
  <c r="CA23" i="1"/>
  <c r="CA25" i="1"/>
  <c r="CF25" i="1"/>
  <c r="CJ204" i="1"/>
  <c r="CJ186" i="1"/>
  <c r="CJ356" i="1"/>
  <c r="AY344" i="1"/>
  <c r="AY345" i="1" s="1"/>
  <c r="AY346" i="1" s="1"/>
  <c r="AY250" i="1"/>
  <c r="AY251" i="1" s="1"/>
  <c r="BS20" i="1"/>
  <c r="BS18" i="1"/>
  <c r="BS19" i="1" s="1"/>
  <c r="N79" i="1"/>
  <c r="N77" i="1"/>
  <c r="N250" i="1" s="1"/>
  <c r="N75" i="1"/>
  <c r="O185" i="2"/>
  <c r="AT13" i="1"/>
  <c r="AY13" i="1"/>
  <c r="BH95" i="1"/>
  <c r="AO296" i="1"/>
  <c r="AO273" i="1" s="1"/>
  <c r="AO274" i="1" s="1"/>
  <c r="H109" i="1"/>
  <c r="H110" i="1"/>
  <c r="K107" i="1"/>
  <c r="AU88" i="1"/>
  <c r="AU82" i="1"/>
  <c r="AU86" i="1"/>
  <c r="AU94" i="1" s="1"/>
  <c r="AU230" i="1"/>
  <c r="AZ81" i="1"/>
  <c r="AU170" i="1"/>
  <c r="AU173" i="1" s="1"/>
  <c r="AL82" i="1"/>
  <c r="AL88" i="1"/>
  <c r="AL89" i="1" s="1"/>
  <c r="AL170" i="1"/>
  <c r="AL173" i="1" s="1"/>
  <c r="AO173" i="1" s="1"/>
  <c r="AL230" i="1"/>
  <c r="AL86" i="1"/>
  <c r="AL94" i="1" s="1"/>
  <c r="AL95" i="1" s="1"/>
  <c r="AO79" i="1"/>
  <c r="AL81" i="1"/>
  <c r="CZ227" i="1"/>
  <c r="DE188" i="2"/>
  <c r="CZ154" i="2"/>
  <c r="CA207" i="1"/>
  <c r="CX189" i="2"/>
  <c r="BV62" i="1"/>
  <c r="BV57" i="1"/>
  <c r="BV249" i="1"/>
  <c r="BV55" i="1"/>
  <c r="BV56" i="1" s="1"/>
  <c r="CE24" i="1"/>
  <c r="CU156" i="2"/>
  <c r="CZ217" i="1"/>
  <c r="M86" i="1"/>
  <c r="M94" i="1" s="1"/>
  <c r="M95" i="1" s="1"/>
  <c r="M81" i="1"/>
  <c r="M88" i="1"/>
  <c r="M89" i="1" s="1"/>
  <c r="M230" i="1"/>
  <c r="M170" i="1"/>
  <c r="M173" i="1" s="1"/>
  <c r="M82" i="1"/>
  <c r="M107" i="1"/>
  <c r="CU219" i="1"/>
  <c r="L52" i="1"/>
  <c r="M211" i="2"/>
  <c r="Q52" i="1"/>
  <c r="AB56" i="1"/>
  <c r="AG56" i="1"/>
  <c r="AL243" i="1"/>
  <c r="AM243" i="1"/>
  <c r="AL63" i="1"/>
  <c r="V266" i="2"/>
  <c r="DC140" i="1"/>
  <c r="DD140" i="1" s="1"/>
  <c r="DE140" i="1" s="1"/>
  <c r="DF140" i="1" s="1"/>
  <c r="DG140" i="1" s="1"/>
  <c r="DB140" i="1"/>
  <c r="BH162" i="1"/>
  <c r="BG163" i="1"/>
  <c r="CC35" i="1"/>
  <c r="CC45" i="1"/>
  <c r="CH45" i="1"/>
  <c r="CC13" i="1"/>
  <c r="CH13" i="1"/>
  <c r="CY217" i="1"/>
  <c r="O251" i="1"/>
  <c r="BK250" i="1"/>
  <c r="BK251" i="1" s="1"/>
  <c r="BK344" i="1"/>
  <c r="BK345" i="1" s="1"/>
  <c r="BK103" i="1"/>
  <c r="BJ63" i="1"/>
  <c r="BJ243" i="1"/>
  <c r="BW210" i="1"/>
  <c r="CZ59" i="2"/>
  <c r="CZ60" i="2" s="1"/>
  <c r="CZ58" i="2"/>
  <c r="CZ7" i="2" s="1"/>
  <c r="CY59" i="2"/>
  <c r="CY60" i="2" s="1"/>
  <c r="CY58" i="2"/>
  <c r="CY7" i="2" s="1"/>
  <c r="S24" i="1"/>
  <c r="N24" i="1"/>
  <c r="P25" i="1"/>
  <c r="U25" i="1"/>
  <c r="P23" i="1"/>
  <c r="BI63" i="1"/>
  <c r="BC244" i="1"/>
  <c r="BD244" i="1" s="1"/>
  <c r="BH243" i="1"/>
  <c r="BI243" i="1" s="1"/>
  <c r="CR224" i="2"/>
  <c r="CR190" i="2"/>
  <c r="CR216" i="2" s="1"/>
  <c r="BF110" i="1"/>
  <c r="BI107" i="1"/>
  <c r="BF109" i="1"/>
  <c r="AO75" i="1" l="1"/>
  <c r="AP185" i="2"/>
  <c r="AO77" i="1"/>
  <c r="AP194" i="2"/>
  <c r="AO266" i="1"/>
  <c r="AO269" i="1" s="1"/>
  <c r="AO270" i="1" s="1"/>
  <c r="AO277" i="1" s="1"/>
  <c r="CG66" i="2"/>
  <c r="CG64" i="2" s="1"/>
  <c r="CL62" i="2" s="1"/>
  <c r="AO62" i="1"/>
  <c r="AO55" i="1"/>
  <c r="AO249" i="1"/>
  <c r="AO57" i="1"/>
  <c r="E56" i="1"/>
  <c r="J56" i="1"/>
  <c r="AS75" i="1"/>
  <c r="AT185" i="2"/>
  <c r="AS79" i="1"/>
  <c r="AT194" i="2"/>
  <c r="AS77" i="1"/>
  <c r="AS62" i="1"/>
  <c r="AS249" i="1"/>
  <c r="AS55" i="1"/>
  <c r="AX57" i="1"/>
  <c r="AS57" i="1"/>
  <c r="E82" i="1"/>
  <c r="E88" i="1"/>
  <c r="E86" i="1"/>
  <c r="J81" i="1"/>
  <c r="AS52" i="1"/>
  <c r="AT211" i="2"/>
  <c r="AX52" i="1"/>
  <c r="AX24" i="1"/>
  <c r="AS24" i="1"/>
  <c r="AN89" i="1"/>
  <c r="AH110" i="1"/>
  <c r="AH109" i="1"/>
  <c r="I110" i="1"/>
  <c r="I109" i="1"/>
  <c r="AI95" i="1"/>
  <c r="AF252" i="1"/>
  <c r="AR109" i="1"/>
  <c r="AR110" i="1"/>
  <c r="AR111" i="1" s="1"/>
  <c r="CC199" i="1"/>
  <c r="CB200" i="1"/>
  <c r="CB242" i="1"/>
  <c r="CB71" i="1"/>
  <c r="CC71" i="1" s="1"/>
  <c r="CC263" i="1"/>
  <c r="Q251" i="1"/>
  <c r="T252" i="1" s="1"/>
  <c r="T254" i="1" s="1"/>
  <c r="H56" i="1"/>
  <c r="C88" i="1"/>
  <c r="C86" i="1"/>
  <c r="C82" i="1"/>
  <c r="H81" i="1"/>
  <c r="CK356" i="1"/>
  <c r="CR214" i="2"/>
  <c r="BW24" i="1"/>
  <c r="BU109" i="1"/>
  <c r="BU110" i="1"/>
  <c r="CK213" i="1"/>
  <c r="CK257" i="1" s="1"/>
  <c r="CK50" i="1"/>
  <c r="CK134" i="1"/>
  <c r="CK216" i="1" s="1"/>
  <c r="CK256" i="1" s="1"/>
  <c r="CK186" i="1"/>
  <c r="CK46" i="1"/>
  <c r="CK17" i="1"/>
  <c r="CK41" i="1"/>
  <c r="CK335" i="1"/>
  <c r="AA252" i="1"/>
  <c r="AA254" i="1" s="1"/>
  <c r="Z173" i="1"/>
  <c r="CK173" i="1"/>
  <c r="CG62" i="2"/>
  <c r="BS357" i="1"/>
  <c r="BS235" i="1"/>
  <c r="BS234" i="1" s="1"/>
  <c r="BD250" i="1"/>
  <c r="BD251" i="1" s="1"/>
  <c r="BD252" i="1" s="1"/>
  <c r="BD344" i="1"/>
  <c r="BD345" i="1" s="1"/>
  <c r="BD346" i="1" s="1"/>
  <c r="BD270" i="1"/>
  <c r="BY21" i="1"/>
  <c r="AJ173" i="1"/>
  <c r="BC252" i="1"/>
  <c r="BW52" i="1"/>
  <c r="D88" i="1"/>
  <c r="D86" i="1"/>
  <c r="I81" i="1"/>
  <c r="D82" i="1"/>
  <c r="CG46" i="2"/>
  <c r="BR55" i="1"/>
  <c r="BR62" i="1"/>
  <c r="BV243" i="1" s="1"/>
  <c r="BR249" i="1"/>
  <c r="BB346" i="1"/>
  <c r="Z62" i="1"/>
  <c r="Z55" i="1"/>
  <c r="AE56" i="1" s="1"/>
  <c r="Z249" i="1"/>
  <c r="AE57" i="1"/>
  <c r="AZ173" i="1"/>
  <c r="AZ354" i="1" s="1"/>
  <c r="AO56" i="1"/>
  <c r="BS342" i="1"/>
  <c r="BS283" i="1"/>
  <c r="BS293" i="1" s="1"/>
  <c r="V109" i="1"/>
  <c r="V110" i="1"/>
  <c r="CI296" i="2"/>
  <c r="CI297" i="2" s="1"/>
  <c r="CH298" i="2"/>
  <c r="CH48" i="2" s="1"/>
  <c r="AD244" i="1"/>
  <c r="AE244" i="1" s="1"/>
  <c r="AI243" i="1"/>
  <c r="AJ243" i="1" s="1"/>
  <c r="AJ63" i="1"/>
  <c r="CF51" i="2"/>
  <c r="CK51" i="2"/>
  <c r="X252" i="1"/>
  <c r="X254" i="1" s="1"/>
  <c r="BA94" i="1"/>
  <c r="BA170" i="1"/>
  <c r="BA173" i="1" s="1"/>
  <c r="BA354" i="1" s="1"/>
  <c r="AD110" i="1"/>
  <c r="AD109" i="1"/>
  <c r="CF353" i="1"/>
  <c r="CF61" i="1"/>
  <c r="AM111" i="1"/>
  <c r="BD82" i="1"/>
  <c r="BD86" i="1"/>
  <c r="BD94" i="1" s="1"/>
  <c r="BD88" i="1"/>
  <c r="B56" i="1"/>
  <c r="G56" i="1"/>
  <c r="BR61" i="1"/>
  <c r="BR353" i="1"/>
  <c r="BD295" i="1"/>
  <c r="BD296" i="1" s="1"/>
  <c r="BD273" i="1" s="1"/>
  <c r="BD274" i="1" s="1"/>
  <c r="BE296" i="1"/>
  <c r="BF142" i="1"/>
  <c r="BF166" i="1" s="1"/>
  <c r="BF231" i="1"/>
  <c r="F24" i="1"/>
  <c r="K24" i="1"/>
  <c r="K57" i="1"/>
  <c r="F57" i="1"/>
  <c r="F55" i="1"/>
  <c r="CJ50" i="1"/>
  <c r="CJ51" i="1" s="1"/>
  <c r="CJ52" i="1" s="1"/>
  <c r="CA21" i="1"/>
  <c r="AE173" i="1"/>
  <c r="BR75" i="1"/>
  <c r="BR77" i="1"/>
  <c r="BS194" i="2"/>
  <c r="BR79" i="1"/>
  <c r="Z75" i="1"/>
  <c r="Z77" i="1"/>
  <c r="Z250" i="1" s="1"/>
  <c r="AA185" i="2"/>
  <c r="Z79" i="1"/>
  <c r="BE89" i="1"/>
  <c r="BH136" i="1"/>
  <c r="BG137" i="1"/>
  <c r="CF69" i="2"/>
  <c r="K252" i="1"/>
  <c r="K254" i="1"/>
  <c r="BA110" i="1"/>
  <c r="BA109" i="1"/>
  <c r="AJ270" i="1"/>
  <c r="W109" i="1"/>
  <c r="W110" i="1"/>
  <c r="B82" i="1"/>
  <c r="B86" i="1"/>
  <c r="G81" i="1"/>
  <c r="B88" i="1"/>
  <c r="F79" i="1"/>
  <c r="AF89" i="1"/>
  <c r="AA95" i="1"/>
  <c r="AA89" i="1"/>
  <c r="CD293" i="2"/>
  <c r="BI89" i="1"/>
  <c r="Z24" i="1"/>
  <c r="AE24" i="1"/>
  <c r="BD103" i="1"/>
  <c r="AZ106" i="1"/>
  <c r="AA211" i="2"/>
  <c r="AE52" i="1"/>
  <c r="D56" i="1"/>
  <c r="I56" i="1"/>
  <c r="AF110" i="1"/>
  <c r="AF109" i="1"/>
  <c r="CC66" i="2"/>
  <c r="CC48" i="2"/>
  <c r="DF123" i="1"/>
  <c r="DF116" i="1" s="1"/>
  <c r="Q88" i="1"/>
  <c r="V89" i="1" s="1"/>
  <c r="Q230" i="1"/>
  <c r="Q170" i="1"/>
  <c r="Q173" i="1" s="1"/>
  <c r="U173" i="1" s="1"/>
  <c r="Q86" i="1"/>
  <c r="Q94" i="1" s="1"/>
  <c r="V95" i="1" s="1"/>
  <c r="Q82" i="1"/>
  <c r="Q107" i="1"/>
  <c r="F75" i="1"/>
  <c r="F77" i="1"/>
  <c r="CF249" i="1"/>
  <c r="CF55" i="1"/>
  <c r="CF62" i="1"/>
  <c r="CG194" i="2"/>
  <c r="CF77" i="1"/>
  <c r="CF75" i="1"/>
  <c r="CF79" i="1"/>
  <c r="CY157" i="2"/>
  <c r="DE67" i="2"/>
  <c r="DE8" i="2" s="1"/>
  <c r="DE157" i="2" s="1"/>
  <c r="DE68" i="2"/>
  <c r="DE69" i="2" s="1"/>
  <c r="DF68" i="2"/>
  <c r="DF69" i="2" s="1"/>
  <c r="DF67" i="2"/>
  <c r="DF8" i="2" s="1"/>
  <c r="DF157" i="2" s="1"/>
  <c r="DA157" i="2"/>
  <c r="DA225" i="2" s="1"/>
  <c r="CZ157" i="2"/>
  <c r="CZ225" i="2" s="1"/>
  <c r="DD67" i="2"/>
  <c r="DD8" i="2" s="1"/>
  <c r="DD157" i="2" s="1"/>
  <c r="DD68" i="2"/>
  <c r="DD69" i="2" s="1"/>
  <c r="CP9" i="1"/>
  <c r="CP329" i="1" s="1"/>
  <c r="CN240" i="1"/>
  <c r="CE63" i="1"/>
  <c r="CE56" i="1"/>
  <c r="DA222" i="2"/>
  <c r="CW41" i="2"/>
  <c r="DB5" i="2"/>
  <c r="DG38" i="2" s="1"/>
  <c r="DE42" i="2"/>
  <c r="DE43" i="2" s="1"/>
  <c r="DE41" i="2"/>
  <c r="DE5" i="2" s="1"/>
  <c r="DE154" i="2" s="1"/>
  <c r="DF42" i="2"/>
  <c r="DF43" i="2" s="1"/>
  <c r="DF41" i="2"/>
  <c r="DF5" i="2" s="1"/>
  <c r="DF154" i="2" s="1"/>
  <c r="DF222" i="2" s="1"/>
  <c r="DD42" i="2"/>
  <c r="DD43" i="2" s="1"/>
  <c r="DD41" i="2"/>
  <c r="DD5" i="2" s="1"/>
  <c r="CY154" i="2"/>
  <c r="CY222" i="2" s="1"/>
  <c r="DH222" i="2"/>
  <c r="DB38" i="2"/>
  <c r="DB40" i="2"/>
  <c r="DB39" i="2"/>
  <c r="CW154" i="2"/>
  <c r="CS160" i="1"/>
  <c r="CS190" i="1"/>
  <c r="CU124" i="1"/>
  <c r="CT125" i="1"/>
  <c r="CT190" i="1" s="1"/>
  <c r="DF50" i="2"/>
  <c r="DF51" i="2" s="1"/>
  <c r="DF49" i="2"/>
  <c r="DD49" i="2"/>
  <c r="DD50" i="2"/>
  <c r="DD51" i="2" s="1"/>
  <c r="DE49" i="2"/>
  <c r="DE50" i="2"/>
  <c r="DE51" i="2" s="1"/>
  <c r="CW156" i="2"/>
  <c r="CW224" i="2" s="1"/>
  <c r="CI9" i="1"/>
  <c r="CJ34" i="2"/>
  <c r="CO34" i="2"/>
  <c r="AC252" i="1"/>
  <c r="AC254" i="1" s="1"/>
  <c r="AB252" i="1"/>
  <c r="AB254" i="1" s="1"/>
  <c r="AD252" i="1"/>
  <c r="BK252" i="1"/>
  <c r="CY156" i="2"/>
  <c r="DB7" i="2"/>
  <c r="DG55" i="2" s="1"/>
  <c r="AY252" i="1"/>
  <c r="BB252" i="1"/>
  <c r="AT55" i="1"/>
  <c r="AT249" i="1"/>
  <c r="AT57" i="1"/>
  <c r="AT62" i="1"/>
  <c r="AY57" i="1"/>
  <c r="AT266" i="1"/>
  <c r="AT269" i="1" s="1"/>
  <c r="AU194" i="2"/>
  <c r="AU185" i="2"/>
  <c r="AT75" i="1"/>
  <c r="AT77" i="1"/>
  <c r="BQ110" i="1"/>
  <c r="BQ109" i="1"/>
  <c r="BA252" i="1"/>
  <c r="AZ252" i="1"/>
  <c r="DA156" i="2"/>
  <c r="AY281" i="1"/>
  <c r="DH156" i="2"/>
  <c r="AM252" i="1"/>
  <c r="AK252" i="1"/>
  <c r="AL252" i="1"/>
  <c r="AI252" i="1"/>
  <c r="AX252" i="1"/>
  <c r="BH163" i="1"/>
  <c r="BI162" i="1"/>
  <c r="DC189" i="2"/>
  <c r="DE217" i="1"/>
  <c r="BV63" i="1"/>
  <c r="BQ244" i="1"/>
  <c r="AU354" i="1"/>
  <c r="AY173" i="1"/>
  <c r="N230" i="1"/>
  <c r="N81" i="1"/>
  <c r="N107" i="1"/>
  <c r="N170" i="1"/>
  <c r="N173" i="1" s="1"/>
  <c r="N82" i="1"/>
  <c r="N88" i="1"/>
  <c r="N86" i="1"/>
  <c r="N94" i="1" s="1"/>
  <c r="S81" i="1"/>
  <c r="DF228" i="1"/>
  <c r="BG165" i="1"/>
  <c r="BG245" i="1"/>
  <c r="CU224" i="2"/>
  <c r="CZ222" i="2"/>
  <c r="K110" i="1"/>
  <c r="K109" i="1"/>
  <c r="BN79" i="1"/>
  <c r="BO194" i="2"/>
  <c r="BN266" i="1"/>
  <c r="BN269" i="1" s="1"/>
  <c r="BN77" i="1"/>
  <c r="BN75" i="1"/>
  <c r="BN61" i="1"/>
  <c r="BN353" i="1"/>
  <c r="BY353" i="1"/>
  <c r="BY61" i="1"/>
  <c r="CC74" i="1"/>
  <c r="BY77" i="1"/>
  <c r="BY75" i="1"/>
  <c r="BZ194" i="2"/>
  <c r="BY79" i="1"/>
  <c r="BB95" i="1"/>
  <c r="AW95" i="1"/>
  <c r="DD221" i="1"/>
  <c r="X89" i="1"/>
  <c r="AC89" i="1"/>
  <c r="R109" i="1"/>
  <c r="R110" i="1"/>
  <c r="U107" i="1"/>
  <c r="R89" i="1"/>
  <c r="W89" i="1"/>
  <c r="DB115" i="1"/>
  <c r="CG63" i="1"/>
  <c r="CB231" i="1"/>
  <c r="CB142" i="1"/>
  <c r="BB244" i="1"/>
  <c r="BC63" i="1"/>
  <c r="BF243" i="1"/>
  <c r="AZ244" i="1"/>
  <c r="O95" i="1"/>
  <c r="T95" i="1"/>
  <c r="CM223" i="2"/>
  <c r="CM189" i="2"/>
  <c r="CM215" i="2" s="1"/>
  <c r="CM289" i="2" s="1"/>
  <c r="BW61" i="1"/>
  <c r="BW353" i="1"/>
  <c r="AT23" i="1"/>
  <c r="AY25" i="1"/>
  <c r="AT25" i="1"/>
  <c r="CV219" i="1"/>
  <c r="CE81" i="1"/>
  <c r="CE230" i="1"/>
  <c r="CE86" i="1"/>
  <c r="CE82" i="1"/>
  <c r="CE170" i="1"/>
  <c r="CB21" i="1"/>
  <c r="CB77" i="1"/>
  <c r="CB75" i="1"/>
  <c r="CC194" i="2"/>
  <c r="CB79" i="1"/>
  <c r="CG81" i="1" s="1"/>
  <c r="BA244" i="1"/>
  <c r="BI252" i="1"/>
  <c r="P79" i="1"/>
  <c r="U81" i="1" s="1"/>
  <c r="P75" i="1"/>
  <c r="Q185" i="2"/>
  <c r="P77" i="1"/>
  <c r="P250" i="1" s="1"/>
  <c r="N251" i="1"/>
  <c r="BO77" i="1"/>
  <c r="BO79" i="1"/>
  <c r="BO75" i="1"/>
  <c r="BP194" i="2"/>
  <c r="AD253" i="1"/>
  <c r="AE254" i="1" s="1"/>
  <c r="AD246" i="1"/>
  <c r="CB24" i="1"/>
  <c r="CH19" i="1"/>
  <c r="BM111" i="1"/>
  <c r="L251" i="1"/>
  <c r="BZ170" i="1"/>
  <c r="BZ173" i="1" s="1"/>
  <c r="BZ354" i="1" s="1"/>
  <c r="BZ82" i="1"/>
  <c r="BZ86" i="1"/>
  <c r="BZ81" i="1"/>
  <c r="BZ230" i="1"/>
  <c r="AX346" i="1"/>
  <c r="BH111" i="1"/>
  <c r="CV224" i="2"/>
  <c r="CA61" i="1"/>
  <c r="CA353" i="1"/>
  <c r="CB194" i="2"/>
  <c r="CA79" i="1"/>
  <c r="CA75" i="1"/>
  <c r="CA77" i="1"/>
  <c r="CC23" i="1"/>
  <c r="CC24" i="1" s="1"/>
  <c r="CC25" i="1"/>
  <c r="BI182" i="1"/>
  <c r="BI95" i="1"/>
  <c r="AU56" i="1"/>
  <c r="DB44" i="1"/>
  <c r="BX353" i="1"/>
  <c r="BX61" i="1"/>
  <c r="AT52" i="1"/>
  <c r="AU211" i="2"/>
  <c r="AY52" i="1"/>
  <c r="BI110" i="1"/>
  <c r="BI109" i="1"/>
  <c r="DE227" i="1"/>
  <c r="AO170" i="1"/>
  <c r="AO88" i="1"/>
  <c r="AO230" i="1"/>
  <c r="AO82" i="1"/>
  <c r="AO86" i="1"/>
  <c r="AO94" i="1" s="1"/>
  <c r="AO81" i="1"/>
  <c r="CA24" i="1"/>
  <c r="CF24" i="1"/>
  <c r="BN55" i="1"/>
  <c r="BN56" i="1" s="1"/>
  <c r="BN62" i="1"/>
  <c r="BN249" i="1"/>
  <c r="BN57" i="1"/>
  <c r="BY55" i="1"/>
  <c r="BY62" i="1"/>
  <c r="BY249" i="1"/>
  <c r="BY57" i="1"/>
  <c r="CD57" i="1"/>
  <c r="AW109" i="1"/>
  <c r="AW110" i="1"/>
  <c r="AP82" i="1"/>
  <c r="AP170" i="1"/>
  <c r="AP173" i="1" s="1"/>
  <c r="AP230" i="1"/>
  <c r="AP81" i="1"/>
  <c r="AP88" i="1"/>
  <c r="AP89" i="1" s="1"/>
  <c r="AP86" i="1"/>
  <c r="AP94" i="1" s="1"/>
  <c r="AP95" i="1" s="1"/>
  <c r="AP344" i="1"/>
  <c r="AP345" i="1" s="1"/>
  <c r="AP346" i="1" s="1"/>
  <c r="AP104" i="1"/>
  <c r="AT104" i="1" s="1"/>
  <c r="AP103" i="1"/>
  <c r="AP303" i="1"/>
  <c r="AP305" i="1" s="1"/>
  <c r="AP250" i="1"/>
  <c r="AP251" i="1" s="1"/>
  <c r="AP105" i="1"/>
  <c r="AQ57" i="1"/>
  <c r="AQ249" i="1"/>
  <c r="AQ62" i="1"/>
  <c r="AM244" i="1" s="1"/>
  <c r="AQ55" i="1"/>
  <c r="AV57" i="1"/>
  <c r="AQ79" i="1"/>
  <c r="AQ77" i="1"/>
  <c r="AR185" i="2"/>
  <c r="AR194" i="2"/>
  <c r="AQ75" i="1"/>
  <c r="DB56" i="2"/>
  <c r="DB55" i="2"/>
  <c r="DB57" i="2"/>
  <c r="Z56" i="1"/>
  <c r="BP63" i="1"/>
  <c r="BL344" i="1"/>
  <c r="BL345" i="1" s="1"/>
  <c r="BL250" i="1"/>
  <c r="BL251" i="1" s="1"/>
  <c r="BM252" i="1" s="1"/>
  <c r="BL103" i="1"/>
  <c r="BL106" i="1" s="1"/>
  <c r="R95" i="1"/>
  <c r="W95" i="1"/>
  <c r="DD115" i="1"/>
  <c r="DE115" i="1" s="1"/>
  <c r="DF115" i="1" s="1"/>
  <c r="CG86" i="1"/>
  <c r="CG170" i="1"/>
  <c r="CG82" i="1"/>
  <c r="DE59" i="2"/>
  <c r="DE60" i="2" s="1"/>
  <c r="DE58" i="2"/>
  <c r="DE7" i="2" s="1"/>
  <c r="DD59" i="2"/>
  <c r="DD60" i="2" s="1"/>
  <c r="DD58" i="2"/>
  <c r="DD7" i="2" s="1"/>
  <c r="BK354" i="1"/>
  <c r="BC56" i="1"/>
  <c r="BH56" i="1"/>
  <c r="O89" i="1"/>
  <c r="T89" i="1"/>
  <c r="CH77" i="1"/>
  <c r="CH75" i="1"/>
  <c r="CH266" i="1"/>
  <c r="CH269" i="1" s="1"/>
  <c r="CH79" i="1"/>
  <c r="CI194" i="2"/>
  <c r="CQ227" i="2"/>
  <c r="CV159" i="2"/>
  <c r="CB52" i="1"/>
  <c r="P52" i="1"/>
  <c r="Q211" i="2"/>
  <c r="DF217" i="1"/>
  <c r="DE221" i="1"/>
  <c r="N243" i="1"/>
  <c r="N63" i="1"/>
  <c r="Q243" i="1"/>
  <c r="M244" i="1"/>
  <c r="BO61" i="1"/>
  <c r="BO353" i="1"/>
  <c r="BO55" i="1"/>
  <c r="BO57" i="1"/>
  <c r="BO249" i="1"/>
  <c r="BO62" i="1"/>
  <c r="BL244" i="1" s="1"/>
  <c r="BT57" i="1"/>
  <c r="BG109" i="1"/>
  <c r="BG110" i="1"/>
  <c r="DE228" i="1"/>
  <c r="BF246" i="1"/>
  <c r="BF253" i="1"/>
  <c r="BW207" i="1"/>
  <c r="L63" i="1"/>
  <c r="L243" i="1"/>
  <c r="H244" i="1"/>
  <c r="G244" i="1"/>
  <c r="M243" i="1"/>
  <c r="I244" i="1"/>
  <c r="BZ250" i="1"/>
  <c r="BZ251" i="1" s="1"/>
  <c r="BZ344" i="1"/>
  <c r="BZ345" i="1" s="1"/>
  <c r="BZ103" i="1"/>
  <c r="BZ106" i="1" s="1"/>
  <c r="BZ107" i="1" s="1"/>
  <c r="BO24" i="1"/>
  <c r="BT24" i="1"/>
  <c r="AY182" i="1"/>
  <c r="BD95" i="1"/>
  <c r="DD228" i="1"/>
  <c r="CA249" i="1"/>
  <c r="CA57" i="1"/>
  <c r="CA55" i="1"/>
  <c r="CA62" i="1"/>
  <c r="CF57" i="1"/>
  <c r="AZ346" i="1"/>
  <c r="BX62" i="1"/>
  <c r="BX55" i="1"/>
  <c r="BX249" i="1"/>
  <c r="AT61" i="1"/>
  <c r="AT353" i="1"/>
  <c r="DB54" i="2"/>
  <c r="DD217" i="1"/>
  <c r="CZ219" i="1"/>
  <c r="M109" i="1"/>
  <c r="M110" i="1"/>
  <c r="CZ156" i="2"/>
  <c r="AZ89" i="1"/>
  <c r="BX19" i="1"/>
  <c r="CC60" i="1"/>
  <c r="CC351" i="1"/>
  <c r="CC343" i="1"/>
  <c r="CC54" i="1"/>
  <c r="CH57" i="1" s="1"/>
  <c r="CC51" i="1"/>
  <c r="CC52" i="1" s="1"/>
  <c r="BB89" i="1"/>
  <c r="AW89" i="1"/>
  <c r="AJ82" i="1"/>
  <c r="AJ81" i="1"/>
  <c r="AJ88" i="1"/>
  <c r="AJ89" i="1" s="1"/>
  <c r="AJ170" i="1"/>
  <c r="AJ86" i="1"/>
  <c r="AJ94" i="1" s="1"/>
  <c r="AJ230" i="1"/>
  <c r="AQ52" i="1"/>
  <c r="AR211" i="2"/>
  <c r="AV52" i="1"/>
  <c r="T243" i="1"/>
  <c r="U243" i="1" s="1"/>
  <c r="U63" i="1"/>
  <c r="O244" i="1"/>
  <c r="P244" i="1" s="1"/>
  <c r="BI24" i="1"/>
  <c r="BD24" i="1"/>
  <c r="DF227" i="1"/>
  <c r="X109" i="1"/>
  <c r="X110" i="1"/>
  <c r="Z107" i="1"/>
  <c r="X95" i="1"/>
  <c r="AC95" i="1"/>
  <c r="CG250" i="1"/>
  <c r="CG251" i="1" s="1"/>
  <c r="CG344" i="1"/>
  <c r="CG345" i="1" s="1"/>
  <c r="CG103" i="1"/>
  <c r="CG106" i="1" s="1"/>
  <c r="CG107" i="1" s="1"/>
  <c r="DF58" i="2"/>
  <c r="DF7" i="2" s="1"/>
  <c r="DF59" i="2"/>
  <c r="DF60" i="2" s="1"/>
  <c r="BW233" i="1"/>
  <c r="BW234" i="1" s="1"/>
  <c r="BV234" i="1"/>
  <c r="BV344" i="1"/>
  <c r="BV345" i="1" s="1"/>
  <c r="BV250" i="1"/>
  <c r="BV251" i="1" s="1"/>
  <c r="BV103" i="1"/>
  <c r="BV82" i="1"/>
  <c r="BV86" i="1"/>
  <c r="BV94" i="1" s="1"/>
  <c r="BV95" i="1" s="1"/>
  <c r="BV81" i="1"/>
  <c r="BV170" i="1"/>
  <c r="BV173" i="1" s="1"/>
  <c r="BV88" i="1"/>
  <c r="BV230" i="1"/>
  <c r="BW249" i="1"/>
  <c r="BW57" i="1"/>
  <c r="BW55" i="1"/>
  <c r="BW56" i="1" s="1"/>
  <c r="BW62" i="1"/>
  <c r="BX194" i="2"/>
  <c r="BW79" i="1"/>
  <c r="BW77" i="1"/>
  <c r="BW75" i="1"/>
  <c r="BT243" i="1"/>
  <c r="AE245" i="1"/>
  <c r="AE165" i="1"/>
  <c r="AE166" i="1" s="1"/>
  <c r="AB110" i="1"/>
  <c r="AB109" i="1"/>
  <c r="AB95" i="1"/>
  <c r="AG95" i="1"/>
  <c r="CE344" i="1"/>
  <c r="CE345" i="1" s="1"/>
  <c r="CE250" i="1"/>
  <c r="CE251" i="1" s="1"/>
  <c r="CE103" i="1"/>
  <c r="DD227" i="1"/>
  <c r="CB61" i="1"/>
  <c r="CB353" i="1"/>
  <c r="P249" i="1"/>
  <c r="P251" i="1" s="1"/>
  <c r="P55" i="1"/>
  <c r="P56" i="1" s="1"/>
  <c r="P62" i="1"/>
  <c r="P57" i="1"/>
  <c r="AN252" i="1"/>
  <c r="BI9" i="1"/>
  <c r="BJ34" i="2"/>
  <c r="BJ109" i="1"/>
  <c r="BJ110" i="1"/>
  <c r="BS54" i="1"/>
  <c r="BX57" i="1" s="1"/>
  <c r="BS60" i="1"/>
  <c r="BS351" i="1"/>
  <c r="BS74" i="1"/>
  <c r="BS51" i="1"/>
  <c r="BS52" i="1" s="1"/>
  <c r="BS343" i="1"/>
  <c r="DF221" i="1"/>
  <c r="Q56" i="1"/>
  <c r="L56" i="1"/>
  <c r="CD107" i="1"/>
  <c r="BG243" i="1"/>
  <c r="DF226" i="1"/>
  <c r="BW296" i="1"/>
  <c r="BV296" i="1"/>
  <c r="AN95" i="1"/>
  <c r="CA52" i="1"/>
  <c r="CF52" i="1"/>
  <c r="BQ56" i="1"/>
  <c r="AQ24" i="1"/>
  <c r="AV24" i="1"/>
  <c r="R243" i="1"/>
  <c r="BP344" i="1"/>
  <c r="BP345" i="1" s="1"/>
  <c r="BP250" i="1"/>
  <c r="BP251" i="1" s="1"/>
  <c r="BP103" i="1"/>
  <c r="BP106" i="1" s="1"/>
  <c r="BP170" i="1"/>
  <c r="BP173" i="1" s="1"/>
  <c r="BP354" i="1" s="1"/>
  <c r="BP230" i="1"/>
  <c r="BP81" i="1"/>
  <c r="BP82" i="1"/>
  <c r="BU81" i="1"/>
  <c r="BP86" i="1"/>
  <c r="BP94" i="1" s="1"/>
  <c r="BP88" i="1"/>
  <c r="BP107" i="1"/>
  <c r="AT19" i="1"/>
  <c r="AY19" i="1"/>
  <c r="BX75" i="1"/>
  <c r="BX77" i="1"/>
  <c r="BX79" i="1"/>
  <c r="BY194" i="2"/>
  <c r="BX266" i="1"/>
  <c r="BX269" i="1" s="1"/>
  <c r="DB154" i="2"/>
  <c r="BK106" i="1"/>
  <c r="BN103" i="1"/>
  <c r="U24" i="1"/>
  <c r="P24" i="1"/>
  <c r="AZ95" i="1"/>
  <c r="BY52" i="1"/>
  <c r="CD52" i="1"/>
  <c r="CK117" i="1"/>
  <c r="CL114" i="1" s="1"/>
  <c r="CT224" i="2"/>
  <c r="U254" i="1"/>
  <c r="U252" i="1"/>
  <c r="AD254" i="1"/>
  <c r="BP56" i="1"/>
  <c r="BU56" i="1"/>
  <c r="BL170" i="1"/>
  <c r="BL173" i="1" s="1"/>
  <c r="BL354" i="1" s="1"/>
  <c r="BL107" i="1"/>
  <c r="BL81" i="1"/>
  <c r="BL82" i="1"/>
  <c r="BL86" i="1"/>
  <c r="BL94" i="1" s="1"/>
  <c r="BL95" i="1" s="1"/>
  <c r="BL88" i="1"/>
  <c r="BL230" i="1"/>
  <c r="CP239" i="1"/>
  <c r="CQ146" i="1"/>
  <c r="BE234" i="1"/>
  <c r="BE244" i="1"/>
  <c r="BF233" i="1"/>
  <c r="BF234" i="1" s="1"/>
  <c r="BE243" i="1"/>
  <c r="CA108" i="1"/>
  <c r="BZ108" i="1"/>
  <c r="CB108" i="1" s="1"/>
  <c r="CD108" i="1" s="1"/>
  <c r="CC137" i="1"/>
  <c r="CD136" i="1"/>
  <c r="CE136" i="1" s="1"/>
  <c r="CF136" i="1" s="1"/>
  <c r="L170" i="1"/>
  <c r="L173" i="1" s="1"/>
  <c r="P173" i="1" s="1"/>
  <c r="L82" i="1"/>
  <c r="L86" i="1"/>
  <c r="L94" i="1" s="1"/>
  <c r="L81" i="1"/>
  <c r="L230" i="1"/>
  <c r="Q81" i="1"/>
  <c r="L88" i="1"/>
  <c r="L107" i="1"/>
  <c r="BF252" i="1"/>
  <c r="BG252" i="1"/>
  <c r="BE252" i="1"/>
  <c r="BE254" i="1" s="1"/>
  <c r="O109" i="1"/>
  <c r="O110" i="1"/>
  <c r="CJ20" i="1"/>
  <c r="CJ18" i="1"/>
  <c r="CJ22" i="1"/>
  <c r="AF163" i="1"/>
  <c r="AG162" i="1"/>
  <c r="AB89" i="1"/>
  <c r="AG89" i="1"/>
  <c r="BO244" i="1"/>
  <c r="CI358" i="1"/>
  <c r="AE107" i="1"/>
  <c r="BL243" i="1"/>
  <c r="BL63" i="1"/>
  <c r="U82" i="1"/>
  <c r="U170" i="1"/>
  <c r="U86" i="1"/>
  <c r="U94" i="1" s="1"/>
  <c r="U88" i="1"/>
  <c r="U230" i="1"/>
  <c r="BI354" i="1"/>
  <c r="CB249" i="1"/>
  <c r="CB55" i="1"/>
  <c r="CB62" i="1"/>
  <c r="CB57" i="1"/>
  <c r="CA283" i="1"/>
  <c r="CA293" i="1" s="1"/>
  <c r="CA296" i="1" s="1"/>
  <c r="CA342" i="1"/>
  <c r="BM63" i="1"/>
  <c r="BM56" i="1"/>
  <c r="BR56" i="1"/>
  <c r="BC111" i="1"/>
  <c r="BZ63" i="1"/>
  <c r="N56" i="1"/>
  <c r="S56" i="1"/>
  <c r="CW39" i="1"/>
  <c r="BO52" i="1"/>
  <c r="BT52" i="1"/>
  <c r="CH61" i="1"/>
  <c r="CH353" i="1"/>
  <c r="CH55" i="1"/>
  <c r="CH62" i="1"/>
  <c r="CH249" i="1"/>
  <c r="AO103" i="1"/>
  <c r="AL106" i="1"/>
  <c r="AU106" i="1"/>
  <c r="AY103" i="1"/>
  <c r="L244" i="1"/>
  <c r="BS25" i="1"/>
  <c r="BS23" i="1"/>
  <c r="BS24" i="1" s="1"/>
  <c r="BD89" i="1"/>
  <c r="BY24" i="1"/>
  <c r="CD24" i="1"/>
  <c r="AI106" i="1"/>
  <c r="AJ103" i="1"/>
  <c r="AP63" i="1"/>
  <c r="AP243" i="1"/>
  <c r="AK244" i="1"/>
  <c r="DC224" i="2"/>
  <c r="BA111" i="1"/>
  <c r="BX25" i="1"/>
  <c r="BX329" i="1"/>
  <c r="CK54" i="1"/>
  <c r="CK343" i="1"/>
  <c r="CK345" i="1" s="1"/>
  <c r="CG68" i="2" l="1"/>
  <c r="AI244" i="1"/>
  <c r="AJ244" i="1" s="1"/>
  <c r="AO63" i="1"/>
  <c r="AN243" i="1"/>
  <c r="AO243" i="1" s="1"/>
  <c r="AO303" i="1"/>
  <c r="AO305" i="1" s="1"/>
  <c r="AO250" i="1"/>
  <c r="AO251" i="1" s="1"/>
  <c r="AO252" i="1" s="1"/>
  <c r="AO344" i="1"/>
  <c r="AO345" i="1" s="1"/>
  <c r="AO281" i="1"/>
  <c r="AX56" i="1"/>
  <c r="AS56" i="1"/>
  <c r="AS63" i="1"/>
  <c r="AW243" i="1"/>
  <c r="AR244" i="1"/>
  <c r="AV243" i="1"/>
  <c r="AQ244" i="1"/>
  <c r="AX81" i="1"/>
  <c r="AS230" i="1"/>
  <c r="AS86" i="1"/>
  <c r="AS94" i="1" s="1"/>
  <c r="AS88" i="1"/>
  <c r="AS81" i="1"/>
  <c r="AS82" i="1"/>
  <c r="AS170" i="1"/>
  <c r="AS173" i="1" s="1"/>
  <c r="AS250" i="1"/>
  <c r="AS251" i="1" s="1"/>
  <c r="AS303" i="1"/>
  <c r="AS305" i="1" s="1"/>
  <c r="AS105" i="1"/>
  <c r="AT105" i="1" s="1"/>
  <c r="AS103" i="1"/>
  <c r="AS106" i="1" s="1"/>
  <c r="AS107" i="1" s="1"/>
  <c r="AS110" i="1" s="1"/>
  <c r="AS344" i="1"/>
  <c r="AS345" i="1" s="1"/>
  <c r="BD277" i="1"/>
  <c r="BN270" i="1"/>
  <c r="AS109" i="1"/>
  <c r="S252" i="1"/>
  <c r="S254" i="1" s="1"/>
  <c r="CC201" i="1"/>
  <c r="CD198" i="1"/>
  <c r="CH198" i="1"/>
  <c r="Z251" i="1"/>
  <c r="Z252" i="1" s="1"/>
  <c r="CB235" i="1"/>
  <c r="CB234" i="1" s="1"/>
  <c r="CB357" i="1"/>
  <c r="CK351" i="1"/>
  <c r="CH24" i="1"/>
  <c r="CK176" i="1"/>
  <c r="CK51" i="1"/>
  <c r="CK52" i="1" s="1"/>
  <c r="BX52" i="1"/>
  <c r="AU95" i="1"/>
  <c r="CF63" i="1"/>
  <c r="CK27" i="1"/>
  <c r="CK18" i="1"/>
  <c r="CK22" i="1"/>
  <c r="CK20" i="1"/>
  <c r="CC63" i="2"/>
  <c r="CD66" i="2"/>
  <c r="Z86" i="1"/>
  <c r="Z94" i="1" s="1"/>
  <c r="AE95" i="1" s="1"/>
  <c r="Z170" i="1"/>
  <c r="Z82" i="1"/>
  <c r="Z230" i="1"/>
  <c r="Z88" i="1"/>
  <c r="AE89" i="1" s="1"/>
  <c r="AE81" i="1"/>
  <c r="BR86" i="1"/>
  <c r="BR94" i="1" s="1"/>
  <c r="BR95" i="1" s="1"/>
  <c r="BR82" i="1"/>
  <c r="BR81" i="1"/>
  <c r="BR170" i="1"/>
  <c r="BR173" i="1" s="1"/>
  <c r="BR354" i="1" s="1"/>
  <c r="BR88" i="1"/>
  <c r="BR89" i="1" s="1"/>
  <c r="BR230" i="1"/>
  <c r="CG44" i="2"/>
  <c r="CL44" i="2"/>
  <c r="AL244" i="1"/>
  <c r="Z81" i="1"/>
  <c r="CH52" i="1"/>
  <c r="CF170" i="1"/>
  <c r="CF82" i="1"/>
  <c r="CF86" i="1"/>
  <c r="CF230" i="1"/>
  <c r="CD48" i="2"/>
  <c r="CC46" i="2"/>
  <c r="AZ107" i="1"/>
  <c r="BD106" i="1"/>
  <c r="BG142" i="1"/>
  <c r="BG166" i="1" s="1"/>
  <c r="BG231" i="1"/>
  <c r="BA95" i="1"/>
  <c r="BF95" i="1"/>
  <c r="CH66" i="2"/>
  <c r="CI298" i="2"/>
  <c r="CI299" i="2" s="1"/>
  <c r="CH299" i="2"/>
  <c r="CG47" i="2"/>
  <c r="CG50" i="2" s="1"/>
  <c r="BF254" i="1"/>
  <c r="AT270" i="1"/>
  <c r="AT271" i="1" s="1"/>
  <c r="CF344" i="1"/>
  <c r="CF345" i="1" s="1"/>
  <c r="CF250" i="1"/>
  <c r="CF251" i="1" s="1"/>
  <c r="CG252" i="1" s="1"/>
  <c r="CF103" i="1"/>
  <c r="CF106" i="1" s="1"/>
  <c r="CF107" i="1" s="1"/>
  <c r="Q109" i="1"/>
  <c r="Q110" i="1"/>
  <c r="F56" i="1"/>
  <c r="K56" i="1"/>
  <c r="BD170" i="1"/>
  <c r="BR63" i="1"/>
  <c r="BP244" i="1"/>
  <c r="BU243" i="1"/>
  <c r="BI271" i="1"/>
  <c r="BD271" i="1"/>
  <c r="BH137" i="1"/>
  <c r="BI136" i="1"/>
  <c r="BF342" i="1"/>
  <c r="BF283" i="1"/>
  <c r="BF293" i="1" s="1"/>
  <c r="BT244" i="1"/>
  <c r="BF111" i="1"/>
  <c r="AK111" i="1"/>
  <c r="F88" i="1"/>
  <c r="F82" i="1"/>
  <c r="K81" i="1"/>
  <c r="F86" i="1"/>
  <c r="AJ271" i="1"/>
  <c r="AJ277" i="1"/>
  <c r="AO271" i="1"/>
  <c r="BR250" i="1"/>
  <c r="BR251" i="1" s="1"/>
  <c r="BR344" i="1"/>
  <c r="BR345" i="1" s="1"/>
  <c r="BU346" i="1" s="1"/>
  <c r="BR103" i="1"/>
  <c r="BR106" i="1" s="1"/>
  <c r="BR107" i="1" s="1"/>
  <c r="BS295" i="1"/>
  <c r="BT296" i="1"/>
  <c r="Z63" i="1"/>
  <c r="T244" i="1"/>
  <c r="U244" i="1" s="1"/>
  <c r="Y243" i="1"/>
  <c r="Z243" i="1" s="1"/>
  <c r="CG69" i="2"/>
  <c r="CL69" i="2"/>
  <c r="DE225" i="2"/>
  <c r="DF225" i="2"/>
  <c r="DD225" i="2"/>
  <c r="CY225" i="2"/>
  <c r="CO240" i="1"/>
  <c r="AU89" i="1"/>
  <c r="DG39" i="2"/>
  <c r="DG42" i="2" s="1"/>
  <c r="CJ19" i="1"/>
  <c r="DG40" i="2"/>
  <c r="CC108" i="1"/>
  <c r="CH270" i="1"/>
  <c r="DD154" i="2"/>
  <c r="DD222" i="2" s="1"/>
  <c r="DG5" i="2"/>
  <c r="DB156" i="2"/>
  <c r="DB224" i="2" s="1"/>
  <c r="CW190" i="2"/>
  <c r="CW216" i="2" s="1"/>
  <c r="CT160" i="1"/>
  <c r="CW188" i="2"/>
  <c r="CW214" i="2" s="1"/>
  <c r="CW222" i="2"/>
  <c r="DB41" i="2"/>
  <c r="DB42" i="2"/>
  <c r="DB43" i="2" s="1"/>
  <c r="DE222" i="2"/>
  <c r="CU125" i="1"/>
  <c r="CV124" i="1"/>
  <c r="CK118" i="1"/>
  <c r="CK120" i="1" s="1"/>
  <c r="DG56" i="2"/>
  <c r="DG57" i="2"/>
  <c r="CI329" i="1"/>
  <c r="BZ243" i="1"/>
  <c r="BZ109" i="1"/>
  <c r="BZ110" i="1"/>
  <c r="DF156" i="2"/>
  <c r="DD156" i="2"/>
  <c r="DG7" i="2"/>
  <c r="AP252" i="1"/>
  <c r="AE246" i="1"/>
  <c r="AE253" i="1"/>
  <c r="BV354" i="1"/>
  <c r="Z109" i="1"/>
  <c r="Z110" i="1"/>
  <c r="AJ95" i="1"/>
  <c r="CC249" i="1"/>
  <c r="CC62" i="1"/>
  <c r="CC57" i="1"/>
  <c r="CC55" i="1"/>
  <c r="CC56" i="1" s="1"/>
  <c r="DE156" i="2"/>
  <c r="CA63" i="1"/>
  <c r="BZ244" i="1"/>
  <c r="CA243" i="1"/>
  <c r="CH82" i="1"/>
  <c r="CH86" i="1"/>
  <c r="CH170" i="1"/>
  <c r="CH344" i="1"/>
  <c r="CH345" i="1" s="1"/>
  <c r="CH250" i="1"/>
  <c r="CH251" i="1" s="1"/>
  <c r="AQ56" i="1"/>
  <c r="AV56" i="1"/>
  <c r="BY56" i="1"/>
  <c r="CD56" i="1"/>
  <c r="BN63" i="1"/>
  <c r="BH244" i="1"/>
  <c r="BI244" i="1" s="1"/>
  <c r="BM243" i="1"/>
  <c r="BN243" i="1" s="1"/>
  <c r="AO95" i="1"/>
  <c r="CA250" i="1"/>
  <c r="CA251" i="1" s="1"/>
  <c r="CA344" i="1"/>
  <c r="CA345" i="1" s="1"/>
  <c r="CA103" i="1"/>
  <c r="CA106" i="1" s="1"/>
  <c r="CA107" i="1" s="1"/>
  <c r="BZ94" i="1"/>
  <c r="BZ95" i="1" s="1"/>
  <c r="O252" i="1"/>
  <c r="O254" i="1" s="1"/>
  <c r="N252" i="1"/>
  <c r="N254" i="1" s="1"/>
  <c r="M252" i="1"/>
  <c r="M254" i="1" s="1"/>
  <c r="L252" i="1"/>
  <c r="L254" i="1" s="1"/>
  <c r="BO230" i="1"/>
  <c r="BO81" i="1"/>
  <c r="BT81" i="1"/>
  <c r="BO170" i="1"/>
  <c r="BO173" i="1" s="1"/>
  <c r="BO86" i="1"/>
  <c r="BO94" i="1" s="1"/>
  <c r="BO88" i="1"/>
  <c r="BO82" i="1"/>
  <c r="DA219" i="1"/>
  <c r="CB283" i="1"/>
  <c r="CB293" i="1" s="1"/>
  <c r="CB296" i="1" s="1"/>
  <c r="CB342" i="1"/>
  <c r="BG253" i="1"/>
  <c r="BG254" i="1" s="1"/>
  <c r="BG246" i="1"/>
  <c r="AT56" i="1"/>
  <c r="AY56" i="1"/>
  <c r="DG54" i="2"/>
  <c r="AY106" i="1"/>
  <c r="AU107" i="1"/>
  <c r="DB39" i="1"/>
  <c r="CB63" i="1"/>
  <c r="CA244" i="1"/>
  <c r="AE110" i="1"/>
  <c r="AE109" i="1"/>
  <c r="AF165" i="1"/>
  <c r="AF166" i="1" s="1"/>
  <c r="AF245" i="1"/>
  <c r="L89" i="1"/>
  <c r="Q89" i="1"/>
  <c r="L95" i="1"/>
  <c r="Q95" i="1"/>
  <c r="CC142" i="1"/>
  <c r="CC231" i="1"/>
  <c r="BL89" i="1"/>
  <c r="BL109" i="1"/>
  <c r="BL110" i="1"/>
  <c r="BQ111" i="1" s="1"/>
  <c r="BK107" i="1"/>
  <c r="BN106" i="1"/>
  <c r="DB222" i="2"/>
  <c r="DB188" i="2"/>
  <c r="BP95" i="1"/>
  <c r="BU95" i="1"/>
  <c r="BS62" i="1"/>
  <c r="BS55" i="1"/>
  <c r="BS56" i="1" s="1"/>
  <c r="BS249" i="1"/>
  <c r="BS57" i="1"/>
  <c r="CK57" i="1"/>
  <c r="CK55" i="1"/>
  <c r="CK249" i="1"/>
  <c r="CK251" i="1" s="1"/>
  <c r="AO106" i="1"/>
  <c r="AL107" i="1"/>
  <c r="CB56" i="1"/>
  <c r="CJ23" i="1"/>
  <c r="CJ25" i="1"/>
  <c r="CL117" i="1"/>
  <c r="CL118" i="1" s="1"/>
  <c r="BX82" i="1"/>
  <c r="BX170" i="1"/>
  <c r="BX230" i="1"/>
  <c r="BX86" i="1"/>
  <c r="BX94" i="1" s="1"/>
  <c r="BX88" i="1"/>
  <c r="BX24" i="1"/>
  <c r="BQ95" i="1"/>
  <c r="CD110" i="1"/>
  <c r="CD109" i="1"/>
  <c r="P63" i="1"/>
  <c r="J244" i="1"/>
  <c r="K244" i="1" s="1"/>
  <c r="O243" i="1"/>
  <c r="P243" i="1" s="1"/>
  <c r="BW63" i="1"/>
  <c r="BV244" i="1"/>
  <c r="BV106" i="1"/>
  <c r="CC61" i="1"/>
  <c r="CC353" i="1"/>
  <c r="CZ224" i="2"/>
  <c r="DE219" i="1"/>
  <c r="DB58" i="2"/>
  <c r="DB59" i="2"/>
  <c r="DB60" i="2" s="1"/>
  <c r="CA56" i="1"/>
  <c r="CF56" i="1"/>
  <c r="AY203" i="1"/>
  <c r="AY205" i="1"/>
  <c r="BG111" i="1"/>
  <c r="BO56" i="1"/>
  <c r="BT56" i="1"/>
  <c r="BN173" i="1"/>
  <c r="DG115" i="1"/>
  <c r="U56" i="1"/>
  <c r="AQ250" i="1"/>
  <c r="AQ251" i="1" s="1"/>
  <c r="AU252" i="1" s="1"/>
  <c r="AQ344" i="1"/>
  <c r="AQ345" i="1" s="1"/>
  <c r="AU346" i="1" s="1"/>
  <c r="AQ303" i="1"/>
  <c r="AQ305" i="1" s="1"/>
  <c r="AQ103" i="1"/>
  <c r="AQ106" i="1" s="1"/>
  <c r="AQ107" i="1" s="1"/>
  <c r="AQ243" i="1"/>
  <c r="AR243" i="1"/>
  <c r="AQ63" i="1"/>
  <c r="AP244" i="1"/>
  <c r="AU243" i="1"/>
  <c r="DG44" i="1"/>
  <c r="BZ88" i="1"/>
  <c r="CJ351" i="1"/>
  <c r="CJ54" i="1"/>
  <c r="CJ60" i="1"/>
  <c r="CJ343" i="1"/>
  <c r="BO103" i="1"/>
  <c r="BO250" i="1"/>
  <c r="BO251" i="1" s="1"/>
  <c r="BP252" i="1" s="1"/>
  <c r="BO344" i="1"/>
  <c r="BO345" i="1" s="1"/>
  <c r="BP346" i="1" s="1"/>
  <c r="P82" i="1"/>
  <c r="P88" i="1"/>
  <c r="P89" i="1" s="1"/>
  <c r="P81" i="1"/>
  <c r="P170" i="1"/>
  <c r="P86" i="1"/>
  <c r="P94" i="1" s="1"/>
  <c r="P95" i="1" s="1"/>
  <c r="P230" i="1"/>
  <c r="CB81" i="1"/>
  <c r="CB82" i="1"/>
  <c r="CB86" i="1"/>
  <c r="CB170" i="1"/>
  <c r="CB173" i="1" s="1"/>
  <c r="CB354" i="1" s="1"/>
  <c r="CB88" i="1"/>
  <c r="CB230" i="1"/>
  <c r="CB344" i="1"/>
  <c r="CB345" i="1" s="1"/>
  <c r="CB250" i="1"/>
  <c r="CB251" i="1" s="1"/>
  <c r="CB103" i="1"/>
  <c r="CB106" i="1" s="1"/>
  <c r="CB107" i="1" s="1"/>
  <c r="BY344" i="1"/>
  <c r="BY345" i="1" s="1"/>
  <c r="BY250" i="1"/>
  <c r="BY251" i="1" s="1"/>
  <c r="BY103" i="1"/>
  <c r="BN82" i="1"/>
  <c r="BN86" i="1"/>
  <c r="BN94" i="1" s="1"/>
  <c r="BN81" i="1"/>
  <c r="BN170" i="1"/>
  <c r="BN88" i="1"/>
  <c r="BN89" i="1" s="1"/>
  <c r="BN230" i="1"/>
  <c r="AY354" i="1"/>
  <c r="AT63" i="1"/>
  <c r="AN244" i="1"/>
  <c r="AO244" i="1" s="1"/>
  <c r="AS243" i="1"/>
  <c r="AT243" i="1" s="1"/>
  <c r="BJ111" i="1"/>
  <c r="CE106" i="1"/>
  <c r="BW250" i="1"/>
  <c r="BW251" i="1" s="1"/>
  <c r="BW344" i="1"/>
  <c r="BW345" i="1" s="1"/>
  <c r="BW346" i="1" s="1"/>
  <c r="BW103" i="1"/>
  <c r="BW106" i="1" s="1"/>
  <c r="BW107" i="1" s="1"/>
  <c r="CG56" i="1"/>
  <c r="BX63" i="1"/>
  <c r="BW243" i="1"/>
  <c r="BX243" i="1" s="1"/>
  <c r="BR244" i="1"/>
  <c r="BS244" i="1" s="1"/>
  <c r="BO63" i="1"/>
  <c r="BJ244" i="1"/>
  <c r="BK244" i="1"/>
  <c r="BO243" i="1"/>
  <c r="CV227" i="2"/>
  <c r="DA159" i="2"/>
  <c r="AQ81" i="1"/>
  <c r="AQ88" i="1"/>
  <c r="AQ170" i="1"/>
  <c r="AQ173" i="1" s="1"/>
  <c r="AT173" i="1" s="1"/>
  <c r="AQ230" i="1"/>
  <c r="AQ82" i="1"/>
  <c r="AQ86" i="1"/>
  <c r="AQ94" i="1" s="1"/>
  <c r="AV81" i="1"/>
  <c r="AT79" i="1"/>
  <c r="AW111" i="1"/>
  <c r="BB111" i="1"/>
  <c r="CA82" i="1"/>
  <c r="CA230" i="1"/>
  <c r="CA170" i="1"/>
  <c r="CA173" i="1" s="1"/>
  <c r="CA354" i="1" s="1"/>
  <c r="CA81" i="1"/>
  <c r="CF81" i="1"/>
  <c r="CA86" i="1"/>
  <c r="CA94" i="1" s="1"/>
  <c r="CA95" i="1" s="1"/>
  <c r="CA88" i="1"/>
  <c r="U110" i="1"/>
  <c r="U109" i="1"/>
  <c r="BY230" i="1"/>
  <c r="BY86" i="1"/>
  <c r="BY94" i="1" s="1"/>
  <c r="BY95" i="1" s="1"/>
  <c r="BY170" i="1"/>
  <c r="BY173" i="1" s="1"/>
  <c r="BY354" i="1" s="1"/>
  <c r="BY82" i="1"/>
  <c r="BY81" i="1"/>
  <c r="BY88" i="1"/>
  <c r="CD81" i="1"/>
  <c r="CD194" i="2"/>
  <c r="CC75" i="1"/>
  <c r="CC266" i="1"/>
  <c r="CC269" i="1" s="1"/>
  <c r="CC79" i="1"/>
  <c r="CC77" i="1"/>
  <c r="BN250" i="1"/>
  <c r="BN251" i="1" s="1"/>
  <c r="BN344" i="1"/>
  <c r="BN345" i="1" s="1"/>
  <c r="N95" i="1"/>
  <c r="S95" i="1"/>
  <c r="N110" i="1"/>
  <c r="N109" i="1"/>
  <c r="BU244" i="1"/>
  <c r="BI163" i="1"/>
  <c r="BJ162" i="1"/>
  <c r="AT250" i="1"/>
  <c r="AT251" i="1" s="1"/>
  <c r="AT303" i="1"/>
  <c r="AT305" i="1" s="1"/>
  <c r="AT344" i="1"/>
  <c r="AT345" i="1" s="1"/>
  <c r="AT346" i="1" s="1"/>
  <c r="BL252" i="1"/>
  <c r="AJ106" i="1"/>
  <c r="AI107" i="1"/>
  <c r="CQ239" i="1"/>
  <c r="CR146" i="1"/>
  <c r="BX250" i="1"/>
  <c r="BX251" i="1" s="1"/>
  <c r="BX344" i="1"/>
  <c r="BX345" i="1" s="1"/>
  <c r="BX346" i="1" s="1"/>
  <c r="BP110" i="1"/>
  <c r="BP109" i="1"/>
  <c r="CK172" i="1"/>
  <c r="CK139" i="1" s="1"/>
  <c r="BQ89" i="1"/>
  <c r="CH63" i="1"/>
  <c r="BY244" i="1"/>
  <c r="AH162" i="1"/>
  <c r="AG163" i="1"/>
  <c r="L110" i="1"/>
  <c r="L109" i="1"/>
  <c r="P107" i="1"/>
  <c r="CG136" i="1"/>
  <c r="CH136" i="1" s="1"/>
  <c r="CK136" i="1" s="1"/>
  <c r="CL136" i="1" s="1"/>
  <c r="CM136" i="1" s="1"/>
  <c r="CN136" i="1" s="1"/>
  <c r="CO136" i="1" s="1"/>
  <c r="CP136" i="1" s="1"/>
  <c r="CQ136" i="1" s="1"/>
  <c r="CR136" i="1" s="1"/>
  <c r="CS136" i="1" s="1"/>
  <c r="CT136" i="1" s="1"/>
  <c r="CU136" i="1" s="1"/>
  <c r="CV136" i="1" s="1"/>
  <c r="CW136" i="1" s="1"/>
  <c r="CX136" i="1" s="1"/>
  <c r="CY136" i="1" s="1"/>
  <c r="CZ136" i="1" s="1"/>
  <c r="DA136" i="1" s="1"/>
  <c r="DB136" i="1" s="1"/>
  <c r="DC136" i="1" s="1"/>
  <c r="DD136" i="1" s="1"/>
  <c r="DE136" i="1" s="1"/>
  <c r="DF136" i="1" s="1"/>
  <c r="DG136" i="1" s="1"/>
  <c r="CF108" i="1"/>
  <c r="CE108" i="1"/>
  <c r="CD88" i="1"/>
  <c r="CD94" i="1"/>
  <c r="BX270" i="1"/>
  <c r="BP89" i="1"/>
  <c r="BU89" i="1"/>
  <c r="BS79" i="1"/>
  <c r="BX81" i="1" s="1"/>
  <c r="BS75" i="1"/>
  <c r="BS266" i="1"/>
  <c r="BS269" i="1" s="1"/>
  <c r="BS77" i="1"/>
  <c r="BT194" i="2"/>
  <c r="BS353" i="1"/>
  <c r="BS61" i="1"/>
  <c r="BI329" i="1"/>
  <c r="P252" i="1"/>
  <c r="P254" i="1"/>
  <c r="BW86" i="1"/>
  <c r="BW94" i="1" s="1"/>
  <c r="BW95" i="1" s="1"/>
  <c r="BW81" i="1"/>
  <c r="BW170" i="1"/>
  <c r="BW173" i="1" s="1"/>
  <c r="BW354" i="1" s="1"/>
  <c r="BW82" i="1"/>
  <c r="BW88" i="1"/>
  <c r="BW89" i="1" s="1"/>
  <c r="BW230" i="1"/>
  <c r="BV89" i="1"/>
  <c r="BV346" i="1"/>
  <c r="BP243" i="1"/>
  <c r="AT103" i="1"/>
  <c r="AP106" i="1"/>
  <c r="BY63" i="1"/>
  <c r="BY243" i="1"/>
  <c r="AO89" i="1"/>
  <c r="BI205" i="1"/>
  <c r="BI203" i="1"/>
  <c r="R252" i="1"/>
  <c r="R254" i="1" s="1"/>
  <c r="Q252" i="1"/>
  <c r="Q254" i="1" s="1"/>
  <c r="AT24" i="1"/>
  <c r="AY24" i="1"/>
  <c r="BN271" i="1"/>
  <c r="N89" i="1"/>
  <c r="S89" i="1"/>
  <c r="DH189" i="2"/>
  <c r="BH165" i="1"/>
  <c r="BH245" i="1"/>
  <c r="DH224" i="2"/>
  <c r="DA224" i="2"/>
  <c r="AT277" i="1"/>
  <c r="BQ243" i="1"/>
  <c r="CY224" i="2"/>
  <c r="BO346" i="1" l="1"/>
  <c r="AW346" i="1"/>
  <c r="AV346" i="1"/>
  <c r="AW252" i="1"/>
  <c r="AV252" i="1"/>
  <c r="AX89" i="1"/>
  <c r="AS89" i="1"/>
  <c r="AX95" i="1"/>
  <c r="AS95" i="1"/>
  <c r="BD281" i="1"/>
  <c r="BD278" i="1"/>
  <c r="AS346" i="1"/>
  <c r="Z254" i="1"/>
  <c r="CC270" i="1"/>
  <c r="CH271" i="1" s="1"/>
  <c r="AX111" i="1"/>
  <c r="AS111" i="1"/>
  <c r="BS270" i="1"/>
  <c r="BS271" i="1" s="1"/>
  <c r="CB244" i="1"/>
  <c r="CC244" i="1" s="1"/>
  <c r="CH103" i="1"/>
  <c r="CK30" i="1"/>
  <c r="CK28" i="1"/>
  <c r="CK29" i="1" s="1"/>
  <c r="CK33" i="1"/>
  <c r="CK36" i="1" s="1"/>
  <c r="CK25" i="1"/>
  <c r="CK23" i="1"/>
  <c r="CK19" i="1"/>
  <c r="CK56" i="1"/>
  <c r="CB346" i="1"/>
  <c r="BU252" i="1"/>
  <c r="BT252" i="1"/>
  <c r="BV252" i="1"/>
  <c r="AY271" i="1"/>
  <c r="BZ346" i="1"/>
  <c r="CA346" i="1"/>
  <c r="BR109" i="1"/>
  <c r="BR110" i="1"/>
  <c r="AJ278" i="1"/>
  <c r="AJ281" i="1"/>
  <c r="AO278" i="1"/>
  <c r="BF346" i="1"/>
  <c r="AZ110" i="1"/>
  <c r="AZ109" i="1"/>
  <c r="BD107" i="1"/>
  <c r="BJ136" i="1"/>
  <c r="BJ137" i="1" s="1"/>
  <c r="BI137" i="1"/>
  <c r="CH64" i="2"/>
  <c r="CI66" i="2"/>
  <c r="CC45" i="2"/>
  <c r="CC44" i="2"/>
  <c r="CD46" i="2"/>
  <c r="CG51" i="2"/>
  <c r="CL51" i="2"/>
  <c r="BY346" i="1"/>
  <c r="CF252" i="1"/>
  <c r="Z89" i="1"/>
  <c r="BH231" i="1"/>
  <c r="BH142" i="1"/>
  <c r="BH166" i="1" s="1"/>
  <c r="CG45" i="2"/>
  <c r="CL45" i="2"/>
  <c r="CH46" i="2"/>
  <c r="CI48" i="2"/>
  <c r="BG283" i="1"/>
  <c r="BG293" i="1" s="1"/>
  <c r="BG296" i="1" s="1"/>
  <c r="BG342" i="1"/>
  <c r="BG346" i="1" s="1"/>
  <c r="Z95" i="1"/>
  <c r="BS296" i="1"/>
  <c r="BS273" i="1" s="1"/>
  <c r="BS274" i="1" s="1"/>
  <c r="BX296" i="1"/>
  <c r="BX273" i="1" s="1"/>
  <c r="BX274" i="1" s="1"/>
  <c r="BF296" i="1"/>
  <c r="BT346" i="1"/>
  <c r="CC47" i="2"/>
  <c r="CD47" i="2" s="1"/>
  <c r="CD45" i="2" s="1"/>
  <c r="CC64" i="2"/>
  <c r="CD64" i="2" s="1"/>
  <c r="CD62" i="2" s="1"/>
  <c r="CD63" i="2"/>
  <c r="CC62" i="2"/>
  <c r="CC61" i="2"/>
  <c r="CH61" i="2"/>
  <c r="DG41" i="2"/>
  <c r="DG154" i="2"/>
  <c r="DG222" i="2" s="1"/>
  <c r="CP240" i="1"/>
  <c r="CQ152" i="1"/>
  <c r="CJ33" i="1"/>
  <c r="CJ36" i="1" s="1"/>
  <c r="CJ24" i="1"/>
  <c r="DB190" i="2"/>
  <c r="DB216" i="2" s="1"/>
  <c r="DG43" i="2"/>
  <c r="DG156" i="2"/>
  <c r="DG190" i="2" s="1"/>
  <c r="CK97" i="1"/>
  <c r="DB214" i="2"/>
  <c r="CV125" i="1"/>
  <c r="CV190" i="1" s="1"/>
  <c r="CX124" i="1"/>
  <c r="CU190" i="1"/>
  <c r="CU160" i="1"/>
  <c r="CE252" i="1"/>
  <c r="BX56" i="1"/>
  <c r="CH56" i="1"/>
  <c r="AT354" i="1"/>
  <c r="CA252" i="1"/>
  <c r="BY252" i="1"/>
  <c r="BZ252" i="1"/>
  <c r="BW252" i="1"/>
  <c r="BN252" i="1"/>
  <c r="CL97" i="1"/>
  <c r="CL120" i="1"/>
  <c r="CM120" i="1" s="1"/>
  <c r="CM118" i="1"/>
  <c r="CM97" i="1" s="1"/>
  <c r="CB110" i="1"/>
  <c r="CB109" i="1"/>
  <c r="AT106" i="1"/>
  <c r="AP107" i="1"/>
  <c r="BO252" i="1"/>
  <c r="AT252" i="1"/>
  <c r="CD95" i="1"/>
  <c r="CF88" i="1"/>
  <c r="CF94" i="1"/>
  <c r="CF95" i="1" s="1"/>
  <c r="CF110" i="1"/>
  <c r="CF109" i="1"/>
  <c r="BU111" i="1"/>
  <c r="CK98" i="1"/>
  <c r="CK358" i="1"/>
  <c r="CC82" i="1"/>
  <c r="CC86" i="1"/>
  <c r="CC94" i="1" s="1"/>
  <c r="CC230" i="1"/>
  <c r="CC81" i="1"/>
  <c r="CC170" i="1"/>
  <c r="CC173" i="1" s="1"/>
  <c r="CC88" i="1"/>
  <c r="CA89" i="1"/>
  <c r="AQ109" i="1"/>
  <c r="AQ110" i="1"/>
  <c r="BR346" i="1"/>
  <c r="BQ346" i="1"/>
  <c r="AR346" i="1"/>
  <c r="BX106" i="1"/>
  <c r="BV107" i="1"/>
  <c r="CD252" i="1"/>
  <c r="BL111" i="1"/>
  <c r="CC342" i="1"/>
  <c r="CC283" i="1"/>
  <c r="CC293" i="1" s="1"/>
  <c r="CC295" i="1" s="1"/>
  <c r="CC296" i="1" s="1"/>
  <c r="CC273" i="1" s="1"/>
  <c r="CC274" i="1" s="1"/>
  <c r="CC277" i="1" s="1"/>
  <c r="AU109" i="1"/>
  <c r="AU110" i="1"/>
  <c r="AY107" i="1"/>
  <c r="DG58" i="2"/>
  <c r="DG59" i="2"/>
  <c r="DG60" i="2" s="1"/>
  <c r="BO89" i="1"/>
  <c r="BT89" i="1"/>
  <c r="DE224" i="2"/>
  <c r="AQ252" i="1"/>
  <c r="CD89" i="1"/>
  <c r="AG245" i="1"/>
  <c r="AG165" i="1"/>
  <c r="AG166" i="1" s="1"/>
  <c r="CK354" i="1"/>
  <c r="CK60" i="1"/>
  <c r="BK162" i="1"/>
  <c r="BJ163" i="1"/>
  <c r="CA110" i="1"/>
  <c r="CA109" i="1"/>
  <c r="CB252" i="1"/>
  <c r="AT82" i="1"/>
  <c r="AT81" i="1"/>
  <c r="AT86" i="1"/>
  <c r="AT94" i="1" s="1"/>
  <c r="AT88" i="1"/>
  <c r="AT170" i="1"/>
  <c r="AT182" i="1" s="1"/>
  <c r="AT230" i="1"/>
  <c r="AY81" i="1"/>
  <c r="AQ95" i="1"/>
  <c r="AV95" i="1"/>
  <c r="AQ89" i="1"/>
  <c r="AV89" i="1"/>
  <c r="DA227" i="2"/>
  <c r="DF159" i="2"/>
  <c r="DF227" i="2" s="1"/>
  <c r="CE107" i="1"/>
  <c r="CH106" i="1"/>
  <c r="CC103" i="1"/>
  <c r="BY106" i="1"/>
  <c r="CJ61" i="1"/>
  <c r="CJ353" i="1"/>
  <c r="AQ346" i="1"/>
  <c r="BN354" i="1"/>
  <c r="AY208" i="1"/>
  <c r="AY206" i="1"/>
  <c r="CN114" i="1"/>
  <c r="CM117" i="1"/>
  <c r="CR114" i="1" s="1"/>
  <c r="AO107" i="1"/>
  <c r="AL109" i="1"/>
  <c r="AL110" i="1"/>
  <c r="CK62" i="1"/>
  <c r="BS63" i="1"/>
  <c r="BM244" i="1"/>
  <c r="BN244" i="1" s="1"/>
  <c r="BR243" i="1"/>
  <c r="BS243" i="1" s="1"/>
  <c r="AF246" i="1"/>
  <c r="AF253" i="1"/>
  <c r="DG39" i="1"/>
  <c r="BO95" i="1"/>
  <c r="BT95" i="1"/>
  <c r="CH81" i="1"/>
  <c r="AR252" i="1"/>
  <c r="BZ111" i="1"/>
  <c r="BH246" i="1"/>
  <c r="BH253" i="1"/>
  <c r="CG108" i="1"/>
  <c r="CH108" i="1" s="1"/>
  <c r="CH88" i="1" s="1"/>
  <c r="CE88" i="1"/>
  <c r="AH163" i="1"/>
  <c r="AI162" i="1"/>
  <c r="CL172" i="1"/>
  <c r="CH252" i="1"/>
  <c r="AI110" i="1"/>
  <c r="AJ107" i="1"/>
  <c r="AI109" i="1"/>
  <c r="BI245" i="1"/>
  <c r="BI165" i="1"/>
  <c r="BY89" i="1"/>
  <c r="CB94" i="1"/>
  <c r="BO106" i="1"/>
  <c r="BS103" i="1"/>
  <c r="CJ249" i="1"/>
  <c r="CJ55" i="1"/>
  <c r="CJ62" i="1"/>
  <c r="CJ57" i="1"/>
  <c r="BZ89" i="1"/>
  <c r="U89" i="1"/>
  <c r="BO354" i="1"/>
  <c r="BS173" i="1"/>
  <c r="CC63" i="1"/>
  <c r="BW244" i="1"/>
  <c r="BX244" i="1" s="1"/>
  <c r="CB243" i="1"/>
  <c r="CC243" i="1" s="1"/>
  <c r="AS252" i="1"/>
  <c r="DF224" i="2"/>
  <c r="AT281" i="1"/>
  <c r="AT278" i="1"/>
  <c r="AY278" i="1"/>
  <c r="BI208" i="1"/>
  <c r="BI206" i="1"/>
  <c r="BN207" i="1" s="1"/>
  <c r="BI210" i="1"/>
  <c r="BX252" i="1"/>
  <c r="BW109" i="1"/>
  <c r="BW110" i="1"/>
  <c r="CE94" i="1"/>
  <c r="CE95" i="1" s="1"/>
  <c r="BR252" i="1"/>
  <c r="BQ252" i="1"/>
  <c r="BS250" i="1"/>
  <c r="BS251" i="1" s="1"/>
  <c r="BS344" i="1"/>
  <c r="BS345" i="1" s="1"/>
  <c r="BS346" i="1" s="1"/>
  <c r="BS230" i="1"/>
  <c r="BS170" i="1"/>
  <c r="BS81" i="1"/>
  <c r="BS86" i="1"/>
  <c r="BS94" i="1" s="1"/>
  <c r="BX95" i="1" s="1"/>
  <c r="BS82" i="1"/>
  <c r="BS88" i="1"/>
  <c r="BX271" i="1"/>
  <c r="BX277" i="1"/>
  <c r="P110" i="1"/>
  <c r="P109" i="1"/>
  <c r="CR239" i="1"/>
  <c r="CS146" i="1"/>
  <c r="CC250" i="1"/>
  <c r="CC251" i="1" s="1"/>
  <c r="CC344" i="1"/>
  <c r="CC345" i="1" s="1"/>
  <c r="CJ358" i="1"/>
  <c r="BN95" i="1"/>
  <c r="CB89" i="1"/>
  <c r="BX103" i="1"/>
  <c r="U95" i="1"/>
  <c r="BK110" i="1"/>
  <c r="BK109" i="1"/>
  <c r="BN107" i="1"/>
  <c r="DF219" i="1"/>
  <c r="BX173" i="1"/>
  <c r="DD224" i="2"/>
  <c r="CC271" i="1" l="1"/>
  <c r="CI31" i="2"/>
  <c r="AT279" i="1"/>
  <c r="CC346" i="1"/>
  <c r="BS277" i="1"/>
  <c r="CK63" i="1"/>
  <c r="DG188" i="2"/>
  <c r="DG214" i="2" s="1"/>
  <c r="CK24" i="1"/>
  <c r="AO279" i="1"/>
  <c r="CC68" i="2"/>
  <c r="CC69" i="2" s="1"/>
  <c r="CC50" i="2"/>
  <c r="BJ142" i="1"/>
  <c r="BJ231" i="1"/>
  <c r="CD28" i="2"/>
  <c r="CD50" i="2"/>
  <c r="CD51" i="2" s="1"/>
  <c r="CD44" i="2"/>
  <c r="BD109" i="1"/>
  <c r="BD110" i="1"/>
  <c r="CH47" i="2"/>
  <c r="CH50" i="2" s="1"/>
  <c r="CI46" i="2"/>
  <c r="CH44" i="2"/>
  <c r="CM44" i="2"/>
  <c r="CH62" i="2"/>
  <c r="CI64" i="2"/>
  <c r="CH68" i="2"/>
  <c r="BR111" i="1"/>
  <c r="BH342" i="1"/>
  <c r="BH346" i="1" s="1"/>
  <c r="BH283" i="1"/>
  <c r="BH293" i="1" s="1"/>
  <c r="BH296" i="1" s="1"/>
  <c r="CD68" i="2"/>
  <c r="CD69" i="2" s="1"/>
  <c r="CD61" i="2"/>
  <c r="CI61" i="2"/>
  <c r="BI142" i="1"/>
  <c r="BI166" i="1" s="1"/>
  <c r="BI231" i="1"/>
  <c r="BE111" i="1"/>
  <c r="DG224" i="2"/>
  <c r="CR152" i="1"/>
  <c r="CQ240" i="1"/>
  <c r="CW190" i="1"/>
  <c r="CJ56" i="1"/>
  <c r="CJ63" i="1"/>
  <c r="DG216" i="2"/>
  <c r="CV160" i="1"/>
  <c r="CW160" i="1" s="1"/>
  <c r="CW125" i="1"/>
  <c r="CW124" i="1" s="1"/>
  <c r="CX125" i="1"/>
  <c r="CX190" i="1" s="1"/>
  <c r="CY124" i="1"/>
  <c r="CC252" i="1"/>
  <c r="BK111" i="1"/>
  <c r="BX354" i="1"/>
  <c r="BN110" i="1"/>
  <c r="BN109" i="1"/>
  <c r="CH94" i="1"/>
  <c r="CM98" i="1"/>
  <c r="CM119" i="1"/>
  <c r="CM358" i="1"/>
  <c r="BX281" i="1"/>
  <c r="BX278" i="1"/>
  <c r="BS95" i="1"/>
  <c r="BW111" i="1"/>
  <c r="CB95" i="1"/>
  <c r="BI253" i="1"/>
  <c r="BI246" i="1"/>
  <c r="AH165" i="1"/>
  <c r="AH166" i="1" s="1"/>
  <c r="AH245" i="1"/>
  <c r="AT89" i="1"/>
  <c r="AY89" i="1"/>
  <c r="BL162" i="1"/>
  <c r="BK163" i="1"/>
  <c r="BV110" i="1"/>
  <c r="CA111" i="1" s="1"/>
  <c r="BV109" i="1"/>
  <c r="BX107" i="1"/>
  <c r="AY279" i="1"/>
  <c r="BD279" i="1"/>
  <c r="CE89" i="1"/>
  <c r="BI254" i="1"/>
  <c r="AO109" i="1"/>
  <c r="AO110" i="1"/>
  <c r="AT95" i="1"/>
  <c r="AY95" i="1"/>
  <c r="CC278" i="1"/>
  <c r="CC281" i="1"/>
  <c r="CK353" i="1"/>
  <c r="CK61" i="1"/>
  <c r="BS281" i="1"/>
  <c r="CC89" i="1"/>
  <c r="CC95" i="1"/>
  <c r="CF111" i="1"/>
  <c r="CM172" i="1"/>
  <c r="BS252" i="1"/>
  <c r="CT146" i="1"/>
  <c r="CS239" i="1"/>
  <c r="BS89" i="1"/>
  <c r="BS354" i="1"/>
  <c r="AJ109" i="1"/>
  <c r="AJ110" i="1"/>
  <c r="CI108" i="1"/>
  <c r="CG88" i="1"/>
  <c r="CG94" i="1"/>
  <c r="CG109" i="1"/>
  <c r="CG110" i="1"/>
  <c r="CE110" i="1"/>
  <c r="CE109" i="1"/>
  <c r="CH107" i="1"/>
  <c r="AG253" i="1"/>
  <c r="AG254" i="1" s="1"/>
  <c r="AG246" i="1"/>
  <c r="AY110" i="1"/>
  <c r="AY109" i="1"/>
  <c r="AQ111" i="1"/>
  <c r="AV111" i="1"/>
  <c r="CC354" i="1"/>
  <c r="CH89" i="1"/>
  <c r="BX89" i="1"/>
  <c r="BS106" i="1"/>
  <c r="BO107" i="1"/>
  <c r="AN111" i="1"/>
  <c r="AI163" i="1"/>
  <c r="AJ162" i="1"/>
  <c r="BH254" i="1"/>
  <c r="AF254" i="1"/>
  <c r="AL111" i="1"/>
  <c r="CN117" i="1"/>
  <c r="CO114" i="1" s="1"/>
  <c r="CC106" i="1"/>
  <c r="BY107" i="1"/>
  <c r="AT203" i="1"/>
  <c r="AT205" i="1"/>
  <c r="AT196" i="1"/>
  <c r="AT201" i="1" s="1"/>
  <c r="BJ165" i="1"/>
  <c r="BJ166" i="1" s="1"/>
  <c r="BJ245" i="1"/>
  <c r="AZ111" i="1"/>
  <c r="BP111" i="1"/>
  <c r="CF89" i="1"/>
  <c r="AT107" i="1"/>
  <c r="AP110" i="1"/>
  <c r="AU111" i="1" s="1"/>
  <c r="AP109" i="1"/>
  <c r="CB111" i="1"/>
  <c r="CL358" i="1"/>
  <c r="CL98" i="1"/>
  <c r="CC51" i="2" l="1"/>
  <c r="CM51" i="2"/>
  <c r="CH51" i="2"/>
  <c r="CI68" i="2"/>
  <c r="CN62" i="2"/>
  <c r="CI62" i="2"/>
  <c r="CI28" i="2"/>
  <c r="CN44" i="2"/>
  <c r="CI44" i="2"/>
  <c r="BJ342" i="1"/>
  <c r="BJ283" i="1"/>
  <c r="BJ293" i="1" s="1"/>
  <c r="BK296" i="1" s="1"/>
  <c r="BI342" i="1"/>
  <c r="BI283" i="1"/>
  <c r="BI293" i="1" s="1"/>
  <c r="BI111" i="1"/>
  <c r="CH69" i="2"/>
  <c r="CM45" i="2"/>
  <c r="CI47" i="2"/>
  <c r="CI50" i="2" s="1"/>
  <c r="CH45" i="2"/>
  <c r="CR240" i="1"/>
  <c r="CS152" i="1"/>
  <c r="CX160" i="1"/>
  <c r="CY125" i="1"/>
  <c r="CY190" i="1" s="1"/>
  <c r="CZ124" i="1"/>
  <c r="CN118" i="1"/>
  <c r="CN97" i="1" s="1"/>
  <c r="AP111" i="1"/>
  <c r="CC107" i="1"/>
  <c r="BY110" i="1"/>
  <c r="BY109" i="1"/>
  <c r="CE111" i="1"/>
  <c r="BK245" i="1"/>
  <c r="BK165" i="1"/>
  <c r="BK166" i="1" s="1"/>
  <c r="AH253" i="1"/>
  <c r="AH246" i="1"/>
  <c r="BN111" i="1"/>
  <c r="AT210" i="1"/>
  <c r="AT208" i="1"/>
  <c r="AT206" i="1"/>
  <c r="BD111" i="1"/>
  <c r="CG95" i="1"/>
  <c r="CT239" i="1"/>
  <c r="CU146" i="1"/>
  <c r="BV111" i="1"/>
  <c r="BM162" i="1"/>
  <c r="BL163" i="1"/>
  <c r="CH95" i="1"/>
  <c r="AT109" i="1"/>
  <c r="AT110" i="1"/>
  <c r="AY111" i="1" s="1"/>
  <c r="BJ246" i="1"/>
  <c r="BJ253" i="1"/>
  <c r="CO117" i="1"/>
  <c r="CP114" i="1" s="1"/>
  <c r="AJ163" i="1"/>
  <c r="AK162" i="1"/>
  <c r="BO109" i="1"/>
  <c r="BO110" i="1"/>
  <c r="BS107" i="1"/>
  <c r="CH109" i="1"/>
  <c r="CH110" i="1"/>
  <c r="CG89" i="1"/>
  <c r="AO111" i="1"/>
  <c r="AI165" i="1"/>
  <c r="AI166" i="1" s="1"/>
  <c r="AI245" i="1"/>
  <c r="CG111" i="1"/>
  <c r="CJ108" i="1"/>
  <c r="CL108" i="1" s="1"/>
  <c r="CN108" i="1" s="1"/>
  <c r="CK108" i="1"/>
  <c r="CM220" i="1"/>
  <c r="BX109" i="1"/>
  <c r="BX110" i="1"/>
  <c r="CI45" i="2" l="1"/>
  <c r="CI29" i="2"/>
  <c r="CI33" i="2" s="1"/>
  <c r="CN45" i="2"/>
  <c r="BI295" i="1"/>
  <c r="BJ296" i="1"/>
  <c r="BM346" i="1"/>
  <c r="BK346" i="1"/>
  <c r="BJ346" i="1"/>
  <c r="CI69" i="2"/>
  <c r="CN69" i="2"/>
  <c r="CI51" i="2"/>
  <c r="CN51" i="2"/>
  <c r="BI346" i="1"/>
  <c r="BN346" i="1"/>
  <c r="BL346" i="1"/>
  <c r="CS240" i="1"/>
  <c r="CM108" i="1"/>
  <c r="CZ125" i="1"/>
  <c r="CZ190" i="1" s="1"/>
  <c r="DA124" i="1"/>
  <c r="CY160" i="1"/>
  <c r="CN120" i="1"/>
  <c r="CN358" i="1" s="1"/>
  <c r="CO118" i="1"/>
  <c r="CO120" i="1" s="1"/>
  <c r="BO111" i="1"/>
  <c r="BT111" i="1"/>
  <c r="CP117" i="1"/>
  <c r="CQ114" i="1" s="1"/>
  <c r="AT111" i="1"/>
  <c r="BM163" i="1"/>
  <c r="BN162" i="1"/>
  <c r="AT207" i="1"/>
  <c r="AY207" i="1"/>
  <c r="BK253" i="1"/>
  <c r="BK254" i="1" s="1"/>
  <c r="BK246" i="1"/>
  <c r="CP108" i="1"/>
  <c r="CO108" i="1"/>
  <c r="CQ108" i="1" s="1"/>
  <c r="CS108" i="1" s="1"/>
  <c r="AK163" i="1"/>
  <c r="AL162" i="1"/>
  <c r="BJ254" i="1"/>
  <c r="CV146" i="1"/>
  <c r="CU239" i="1"/>
  <c r="BY111" i="1"/>
  <c r="CD111" i="1"/>
  <c r="AI246" i="1"/>
  <c r="AI253" i="1"/>
  <c r="AJ254" i="1" s="1"/>
  <c r="BS110" i="1"/>
  <c r="BX111" i="1" s="1"/>
  <c r="BS109" i="1"/>
  <c r="AJ245" i="1"/>
  <c r="AJ165" i="1"/>
  <c r="AJ166" i="1" s="1"/>
  <c r="BL245" i="1"/>
  <c r="BL165" i="1"/>
  <c r="BL166" i="1" s="1"/>
  <c r="AH254" i="1"/>
  <c r="CC110" i="1"/>
  <c r="CH111" i="1" s="1"/>
  <c r="CC109" i="1"/>
  <c r="AI254" i="1" l="1"/>
  <c r="CR108" i="1"/>
  <c r="BI296" i="1"/>
  <c r="BI273" i="1" s="1"/>
  <c r="BI274" i="1" s="1"/>
  <c r="BI277" i="1" s="1"/>
  <c r="BN296" i="1"/>
  <c r="BN273" i="1" s="1"/>
  <c r="BN274" i="1" s="1"/>
  <c r="BN277" i="1" s="1"/>
  <c r="CH9" i="1"/>
  <c r="CH329" i="1" s="1"/>
  <c r="CN34" i="2"/>
  <c r="CZ160" i="1"/>
  <c r="CT240" i="1"/>
  <c r="DA125" i="1"/>
  <c r="DA190" i="1" s="1"/>
  <c r="DB190" i="1" s="1"/>
  <c r="DC124" i="1"/>
  <c r="CN98" i="1"/>
  <c r="CO97" i="1"/>
  <c r="AJ253" i="1"/>
  <c r="AJ246" i="1"/>
  <c r="CC111" i="1"/>
  <c r="CV239" i="1"/>
  <c r="CW146" i="1"/>
  <c r="AM162" i="1"/>
  <c r="AL163" i="1"/>
  <c r="AK245" i="1"/>
  <c r="AK165" i="1"/>
  <c r="AK166" i="1" s="1"/>
  <c r="CU108" i="1"/>
  <c r="CT108" i="1"/>
  <c r="CV108" i="1" s="1"/>
  <c r="CX108" i="1" s="1"/>
  <c r="CO98" i="1"/>
  <c r="CO358" i="1"/>
  <c r="BO162" i="1"/>
  <c r="BN163" i="1"/>
  <c r="CP118" i="1"/>
  <c r="BL253" i="1"/>
  <c r="BL246" i="1"/>
  <c r="BS111" i="1"/>
  <c r="BM245" i="1"/>
  <c r="BM165" i="1"/>
  <c r="BM166" i="1" s="1"/>
  <c r="CQ117" i="1"/>
  <c r="CQ118" i="1" s="1"/>
  <c r="BN281" i="1" l="1"/>
  <c r="BN278" i="1"/>
  <c r="BS278" i="1"/>
  <c r="BI281" i="1"/>
  <c r="BI278" i="1"/>
  <c r="BI279" i="1" s="1"/>
  <c r="CU240" i="1"/>
  <c r="CV152" i="1"/>
  <c r="DB125" i="1"/>
  <c r="DB124" i="1" s="1"/>
  <c r="DC125" i="1"/>
  <c r="DC190" i="1" s="1"/>
  <c r="DD124" i="1"/>
  <c r="DA160" i="1"/>
  <c r="DB160" i="1" s="1"/>
  <c r="CQ120" i="1"/>
  <c r="CQ97" i="1"/>
  <c r="CS114" i="1"/>
  <c r="CR117" i="1"/>
  <c r="CW114" i="1" s="1"/>
  <c r="BP162" i="1"/>
  <c r="BO163" i="1"/>
  <c r="CX146" i="1"/>
  <c r="CW239" i="1"/>
  <c r="BM246" i="1"/>
  <c r="BM253" i="1"/>
  <c r="BN254" i="1" s="1"/>
  <c r="CY108" i="1"/>
  <c r="DA108" i="1" s="1"/>
  <c r="DC108" i="1" s="1"/>
  <c r="CZ108" i="1"/>
  <c r="BL254" i="1"/>
  <c r="CP97" i="1"/>
  <c r="CP120" i="1"/>
  <c r="CR118" i="1"/>
  <c r="CR97" i="1" s="1"/>
  <c r="CW108" i="1"/>
  <c r="AL165" i="1"/>
  <c r="AL166" i="1" s="1"/>
  <c r="AL245" i="1"/>
  <c r="BN165" i="1"/>
  <c r="BN166" i="1" s="1"/>
  <c r="BN245" i="1"/>
  <c r="AK253" i="1"/>
  <c r="AK246" i="1"/>
  <c r="AN162" i="1"/>
  <c r="AM163" i="1"/>
  <c r="BN279" i="1" l="1"/>
  <c r="DB108" i="1"/>
  <c r="CW152" i="1"/>
  <c r="CV240" i="1"/>
  <c r="DC160" i="1"/>
  <c r="DE124" i="1"/>
  <c r="DD125" i="1"/>
  <c r="AM165" i="1"/>
  <c r="AM166" i="1" s="1"/>
  <c r="AM245" i="1"/>
  <c r="AN163" i="1"/>
  <c r="AO162" i="1"/>
  <c r="AK254" i="1"/>
  <c r="CY146" i="1"/>
  <c r="CX239" i="1"/>
  <c r="BO165" i="1"/>
  <c r="BO166" i="1" s="1"/>
  <c r="BO245" i="1"/>
  <c r="BM254" i="1"/>
  <c r="CS117" i="1"/>
  <c r="CT114" i="1" s="1"/>
  <c r="CQ98" i="1"/>
  <c r="CQ358" i="1"/>
  <c r="CP358" i="1"/>
  <c r="CP98" i="1"/>
  <c r="CR120" i="1"/>
  <c r="DD108" i="1"/>
  <c r="DF108" i="1" s="1"/>
  <c r="DE108" i="1"/>
  <c r="BQ162" i="1"/>
  <c r="BP163" i="1"/>
  <c r="BN246" i="1"/>
  <c r="BN253" i="1"/>
  <c r="AL246" i="1"/>
  <c r="AL253" i="1"/>
  <c r="AL254" i="1" s="1"/>
  <c r="CX152" i="1" l="1"/>
  <c r="CW240" i="1"/>
  <c r="DG108" i="1"/>
  <c r="DD160" i="1"/>
  <c r="DD190" i="1"/>
  <c r="DE125" i="1"/>
  <c r="DE190" i="1" s="1"/>
  <c r="DF124" i="1"/>
  <c r="DF125" i="1" s="1"/>
  <c r="DF190" i="1" s="1"/>
  <c r="CR119" i="1"/>
  <c r="CR98" i="1"/>
  <c r="CR358" i="1"/>
  <c r="BP165" i="1"/>
  <c r="BP166" i="1" s="1"/>
  <c r="BP245" i="1"/>
  <c r="CS118" i="1"/>
  <c r="BR162" i="1"/>
  <c r="BQ163" i="1"/>
  <c r="CT117" i="1"/>
  <c r="CU114" i="1" s="1"/>
  <c r="CY239" i="1"/>
  <c r="CZ146" i="1"/>
  <c r="AP162" i="1"/>
  <c r="AO163" i="1"/>
  <c r="AM253" i="1"/>
  <c r="AM246" i="1"/>
  <c r="BO246" i="1"/>
  <c r="BO253" i="1"/>
  <c r="AN245" i="1"/>
  <c r="AN165" i="1"/>
  <c r="AN166" i="1" s="1"/>
  <c r="CX240" i="1" l="1"/>
  <c r="DG125" i="1"/>
  <c r="DG124" i="1" s="1"/>
  <c r="DG190" i="1"/>
  <c r="DE160" i="1"/>
  <c r="DF160" i="1" s="1"/>
  <c r="DG160" i="1" s="1"/>
  <c r="AM254" i="1"/>
  <c r="CT118" i="1"/>
  <c r="CS120" i="1"/>
  <c r="CS97" i="1"/>
  <c r="CU117" i="1"/>
  <c r="CV114" i="1" s="1"/>
  <c r="BO254" i="1"/>
  <c r="AO165" i="1"/>
  <c r="AO166" i="1" s="1"/>
  <c r="AO245" i="1"/>
  <c r="BQ245" i="1"/>
  <c r="BQ165" i="1"/>
  <c r="BQ166" i="1" s="1"/>
  <c r="BP253" i="1"/>
  <c r="BP254" i="1" s="1"/>
  <c r="BP246" i="1"/>
  <c r="AN246" i="1"/>
  <c r="AN253" i="1"/>
  <c r="AO254" i="1" s="1"/>
  <c r="AP163" i="1"/>
  <c r="AQ162" i="1"/>
  <c r="BR163" i="1"/>
  <c r="BS162" i="1"/>
  <c r="DA146" i="1"/>
  <c r="CZ239" i="1"/>
  <c r="AN254" i="1" l="1"/>
  <c r="CY240" i="1"/>
  <c r="CU118" i="1"/>
  <c r="CU97" i="1" s="1"/>
  <c r="CV117" i="1"/>
  <c r="CV118" i="1" s="1"/>
  <c r="CT120" i="1"/>
  <c r="CT97" i="1"/>
  <c r="AR162" i="1"/>
  <c r="AQ163" i="1"/>
  <c r="AO253" i="1"/>
  <c r="AO246" i="1"/>
  <c r="CS98" i="1"/>
  <c r="CS358" i="1"/>
  <c r="AP245" i="1"/>
  <c r="AP165" i="1"/>
  <c r="AP166" i="1" s="1"/>
  <c r="DA239" i="1"/>
  <c r="DB146" i="1"/>
  <c r="BT162" i="1"/>
  <c r="BS163" i="1"/>
  <c r="BQ253" i="1"/>
  <c r="BQ246" i="1"/>
  <c r="BR245" i="1"/>
  <c r="BR165" i="1"/>
  <c r="BR166" i="1" s="1"/>
  <c r="CZ240" i="1" l="1"/>
  <c r="DA152" i="1"/>
  <c r="CU120" i="1"/>
  <c r="CU358" i="1" s="1"/>
  <c r="CV120" i="1"/>
  <c r="CV97" i="1"/>
  <c r="BS245" i="1"/>
  <c r="BS165" i="1"/>
  <c r="BS166" i="1" s="1"/>
  <c r="AQ245" i="1"/>
  <c r="AQ165" i="1"/>
  <c r="AQ166" i="1" s="1"/>
  <c r="CW118" i="1"/>
  <c r="CW97" i="1" s="1"/>
  <c r="BR246" i="1"/>
  <c r="BR253" i="1"/>
  <c r="BR254" i="1" s="1"/>
  <c r="BS254" i="1"/>
  <c r="BU162" i="1"/>
  <c r="BT163" i="1"/>
  <c r="AR163" i="1"/>
  <c r="AS162" i="1"/>
  <c r="CT98" i="1"/>
  <c r="CT358" i="1"/>
  <c r="BQ254" i="1"/>
  <c r="DB239" i="1"/>
  <c r="DC146" i="1"/>
  <c r="AP253" i="1"/>
  <c r="AP246" i="1"/>
  <c r="CX114" i="1"/>
  <c r="CW117" i="1"/>
  <c r="DB114" i="1" s="1"/>
  <c r="DB152" i="1" l="1"/>
  <c r="DA240" i="1"/>
  <c r="CU98" i="1"/>
  <c r="CW120" i="1"/>
  <c r="CW98" i="1" s="1"/>
  <c r="DD146" i="1"/>
  <c r="DC239" i="1"/>
  <c r="BV162" i="1"/>
  <c r="BU163" i="1"/>
  <c r="BS253" i="1"/>
  <c r="BS246" i="1"/>
  <c r="AP254" i="1"/>
  <c r="AT162" i="1"/>
  <c r="AS163" i="1"/>
  <c r="AQ253" i="1"/>
  <c r="AQ246" i="1"/>
  <c r="CX117" i="1"/>
  <c r="CY114" i="1" s="1"/>
  <c r="BT165" i="1"/>
  <c r="BT166" i="1" s="1"/>
  <c r="BT245" i="1"/>
  <c r="AR165" i="1"/>
  <c r="AR166" i="1" s="1"/>
  <c r="AR245" i="1"/>
  <c r="CV358" i="1"/>
  <c r="CV98" i="1"/>
  <c r="DC152" i="1" l="1"/>
  <c r="DB240" i="1"/>
  <c r="CW119" i="1"/>
  <c r="CW358" i="1"/>
  <c r="AS165" i="1"/>
  <c r="AS166" i="1" s="1"/>
  <c r="AS245" i="1"/>
  <c r="CX118" i="1"/>
  <c r="AU162" i="1"/>
  <c r="AT163" i="1"/>
  <c r="BU165" i="1"/>
  <c r="BU245" i="1"/>
  <c r="DE146" i="1"/>
  <c r="DD239" i="1"/>
  <c r="CY117" i="1"/>
  <c r="CZ114" i="1" s="1"/>
  <c r="AR246" i="1"/>
  <c r="AR253" i="1"/>
  <c r="BT253" i="1"/>
  <c r="BT246" i="1"/>
  <c r="AQ254" i="1"/>
  <c r="BW162" i="1"/>
  <c r="BV163" i="1"/>
  <c r="DC240" i="1" l="1"/>
  <c r="CY118" i="1"/>
  <c r="CY120" i="1" s="1"/>
  <c r="BU246" i="1"/>
  <c r="BU253" i="1"/>
  <c r="BU254" i="1" s="1"/>
  <c r="AT165" i="1"/>
  <c r="AT166" i="1" s="1"/>
  <c r="AT245" i="1"/>
  <c r="AS246" i="1"/>
  <c r="AS253" i="1"/>
  <c r="BT254" i="1"/>
  <c r="CZ117" i="1"/>
  <c r="DA114" i="1" s="1"/>
  <c r="BU166" i="1"/>
  <c r="AV162" i="1"/>
  <c r="AU163" i="1"/>
  <c r="DF146" i="1"/>
  <c r="DE239" i="1"/>
  <c r="BV165" i="1"/>
  <c r="BV245" i="1"/>
  <c r="AR254" i="1"/>
  <c r="CX120" i="1"/>
  <c r="CX97" i="1"/>
  <c r="BX162" i="1"/>
  <c r="BW163" i="1"/>
  <c r="DD240" i="1" l="1"/>
  <c r="CY97" i="1"/>
  <c r="CX358" i="1"/>
  <c r="CX98" i="1"/>
  <c r="DA117" i="1"/>
  <c r="DA118" i="1" s="1"/>
  <c r="BV246" i="1"/>
  <c r="BV253" i="1"/>
  <c r="AV163" i="1"/>
  <c r="AW162" i="1"/>
  <c r="BW165" i="1"/>
  <c r="BW166" i="1" s="1"/>
  <c r="BW245" i="1"/>
  <c r="BV166" i="1"/>
  <c r="BY162" i="1"/>
  <c r="BX163" i="1"/>
  <c r="AU245" i="1"/>
  <c r="AU165" i="1"/>
  <c r="AU166" i="1" s="1"/>
  <c r="CZ118" i="1"/>
  <c r="AT254" i="1"/>
  <c r="AS254" i="1"/>
  <c r="AT253" i="1"/>
  <c r="AT246" i="1"/>
  <c r="CY98" i="1"/>
  <c r="CY358" i="1"/>
  <c r="DF239" i="1"/>
  <c r="DG146" i="1"/>
  <c r="DG239" i="1" s="1"/>
  <c r="DF152" i="1" l="1"/>
  <c r="DE240" i="1"/>
  <c r="DA97" i="1"/>
  <c r="DA120" i="1"/>
  <c r="BX165" i="1"/>
  <c r="BX166" i="1" s="1"/>
  <c r="BX245" i="1"/>
  <c r="BW253" i="1"/>
  <c r="BX254" i="1" s="1"/>
  <c r="BW246" i="1"/>
  <c r="BV254" i="1"/>
  <c r="DB117" i="1"/>
  <c r="DG114" i="1" s="1"/>
  <c r="DC114" i="1"/>
  <c r="AU246" i="1"/>
  <c r="AU253" i="1"/>
  <c r="BY163" i="1"/>
  <c r="BZ162" i="1"/>
  <c r="CZ97" i="1"/>
  <c r="CZ120" i="1"/>
  <c r="DB118" i="1"/>
  <c r="DB97" i="1" s="1"/>
  <c r="AV245" i="1"/>
  <c r="AV165" i="1"/>
  <c r="AV166" i="1" s="1"/>
  <c r="AX162" i="1"/>
  <c r="AW163" i="1"/>
  <c r="DF240" i="1" l="1"/>
  <c r="DG152" i="1"/>
  <c r="DG240" i="1" s="1"/>
  <c r="AW245" i="1"/>
  <c r="AW165" i="1"/>
  <c r="AW166" i="1" s="1"/>
  <c r="AY162" i="1"/>
  <c r="AX163" i="1"/>
  <c r="AV253" i="1"/>
  <c r="AV254" i="1" s="1"/>
  <c r="AV246" i="1"/>
  <c r="CZ358" i="1"/>
  <c r="CZ98" i="1"/>
  <c r="DB120" i="1"/>
  <c r="CA162" i="1"/>
  <c r="BZ163" i="1"/>
  <c r="DC117" i="1"/>
  <c r="DD114" i="1" s="1"/>
  <c r="BW254" i="1"/>
  <c r="BX253" i="1"/>
  <c r="BX246" i="1"/>
  <c r="BY245" i="1"/>
  <c r="BY165" i="1"/>
  <c r="BY166" i="1" s="1"/>
  <c r="AU254" i="1"/>
  <c r="DA358" i="1"/>
  <c r="DA98" i="1"/>
  <c r="DC118" i="1" l="1"/>
  <c r="DC120" i="1" s="1"/>
  <c r="BY246" i="1"/>
  <c r="BY253" i="1"/>
  <c r="DB358" i="1"/>
  <c r="DB98" i="1"/>
  <c r="DB119" i="1"/>
  <c r="CB162" i="1"/>
  <c r="CA163" i="1"/>
  <c r="AW253" i="1"/>
  <c r="AW246" i="1"/>
  <c r="DD117" i="1"/>
  <c r="DE114" i="1" s="1"/>
  <c r="AX165" i="1"/>
  <c r="AX166" i="1" s="1"/>
  <c r="AX245" i="1"/>
  <c r="BZ165" i="1"/>
  <c r="BZ166" i="1" s="1"/>
  <c r="BZ245" i="1"/>
  <c r="AZ162" i="1"/>
  <c r="AZ163" i="1" s="1"/>
  <c r="AY163" i="1"/>
  <c r="DC97" i="1" l="1"/>
  <c r="AY245" i="1"/>
  <c r="AY165" i="1"/>
  <c r="AY166" i="1" s="1"/>
  <c r="AX253" i="1"/>
  <c r="AX246" i="1"/>
  <c r="AZ245" i="1"/>
  <c r="AZ165" i="1"/>
  <c r="AZ166" i="1" s="1"/>
  <c r="AY254" i="1"/>
  <c r="AX254" i="1"/>
  <c r="AW254" i="1"/>
  <c r="BY254" i="1"/>
  <c r="BZ246" i="1"/>
  <c r="BZ253" i="1"/>
  <c r="DE117" i="1"/>
  <c r="DF114" i="1" s="1"/>
  <c r="CA165" i="1"/>
  <c r="CA166" i="1" s="1"/>
  <c r="CA245" i="1"/>
  <c r="DC358" i="1"/>
  <c r="DC98" i="1"/>
  <c r="DD118" i="1"/>
  <c r="CC162" i="1"/>
  <c r="CB163" i="1"/>
  <c r="AY253" i="1" l="1"/>
  <c r="BB254" i="1" s="1"/>
  <c r="AY246" i="1"/>
  <c r="CB165" i="1"/>
  <c r="CB166" i="1" s="1"/>
  <c r="CB245" i="1"/>
  <c r="CD162" i="1"/>
  <c r="CC163" i="1"/>
  <c r="CA246" i="1"/>
  <c r="CA253" i="1"/>
  <c r="DF117" i="1"/>
  <c r="DG117" i="1" s="1"/>
  <c r="BZ254" i="1"/>
  <c r="AZ246" i="1"/>
  <c r="AZ253" i="1"/>
  <c r="AZ254" i="1"/>
  <c r="DD120" i="1"/>
  <c r="DD97" i="1"/>
  <c r="DE118" i="1"/>
  <c r="CD163" i="1" l="1"/>
  <c r="CD245" i="1" s="1"/>
  <c r="CE162" i="1"/>
  <c r="CA254" i="1"/>
  <c r="DE120" i="1"/>
  <c r="DE97" i="1"/>
  <c r="DD358" i="1"/>
  <c r="DD98" i="1"/>
  <c r="CB246" i="1"/>
  <c r="CB253" i="1"/>
  <c r="CB254" i="1" s="1"/>
  <c r="BD254" i="1"/>
  <c r="BC254" i="1"/>
  <c r="BA254" i="1"/>
  <c r="DF118" i="1"/>
  <c r="CC165" i="1"/>
  <c r="CC166" i="1" s="1"/>
  <c r="CC245" i="1"/>
  <c r="DE358" i="1" l="1"/>
  <c r="DE98" i="1"/>
  <c r="DF120" i="1"/>
  <c r="DF97" i="1"/>
  <c r="CD246" i="1"/>
  <c r="CD253" i="1"/>
  <c r="DG118" i="1"/>
  <c r="DG97" i="1" s="1"/>
  <c r="CF162" i="1"/>
  <c r="CE163" i="1"/>
  <c r="CE245" i="1" s="1"/>
  <c r="CC253" i="1"/>
  <c r="CC246" i="1"/>
  <c r="CC254" i="1"/>
  <c r="CE246" i="1" l="1"/>
  <c r="CE253" i="1"/>
  <c r="CE254" i="1" s="1"/>
  <c r="DF358" i="1"/>
  <c r="DF98" i="1"/>
  <c r="DG120" i="1"/>
  <c r="CF163" i="1"/>
  <c r="CG162" i="1"/>
  <c r="CD254" i="1"/>
  <c r="CG163" i="1" l="1"/>
  <c r="CG245" i="1" s="1"/>
  <c r="CH162" i="1"/>
  <c r="DG358" i="1"/>
  <c r="DG98" i="1"/>
  <c r="DG119" i="1"/>
  <c r="CF245" i="1"/>
  <c r="CF253" i="1" l="1"/>
  <c r="CF246" i="1"/>
  <c r="CK162" i="1"/>
  <c r="CL162" i="1" s="1"/>
  <c r="CM162" i="1" s="1"/>
  <c r="CN162" i="1" s="1"/>
  <c r="CO162" i="1" s="1"/>
  <c r="CP162" i="1" s="1"/>
  <c r="CQ162" i="1" s="1"/>
  <c r="CR162" i="1" s="1"/>
  <c r="CS162" i="1" s="1"/>
  <c r="CT162" i="1" s="1"/>
  <c r="CU162" i="1" s="1"/>
  <c r="CV162" i="1" s="1"/>
  <c r="CW162" i="1" s="1"/>
  <c r="CX162" i="1" s="1"/>
  <c r="CY162" i="1" s="1"/>
  <c r="CZ162" i="1" s="1"/>
  <c r="DA162" i="1" s="1"/>
  <c r="DB162" i="1" s="1"/>
  <c r="DC162" i="1" s="1"/>
  <c r="DD162" i="1" s="1"/>
  <c r="DE162" i="1" s="1"/>
  <c r="DF162" i="1" s="1"/>
  <c r="DG162" i="1" s="1"/>
  <c r="CH163" i="1"/>
  <c r="CH245" i="1" s="1"/>
  <c r="CG253" i="1"/>
  <c r="CG246" i="1"/>
  <c r="CG254" i="1" l="1"/>
  <c r="CH254" i="1"/>
  <c r="CF254" i="1"/>
  <c r="CH246" i="1"/>
  <c r="CH253" i="1"/>
  <c r="CN12" i="1" l="1"/>
  <c r="CS12" i="1" s="1"/>
  <c r="CI17" i="1" l="1"/>
  <c r="CI50" i="1" s="1"/>
  <c r="CX12" i="1"/>
  <c r="CI22" i="1" l="1"/>
  <c r="CI25" i="1" s="1"/>
  <c r="CI54" i="1"/>
  <c r="CI51" i="1"/>
  <c r="CI52" i="1" s="1"/>
  <c r="CI351" i="1"/>
  <c r="CI343" i="1"/>
  <c r="CI60" i="1"/>
  <c r="CI20" i="1"/>
  <c r="CI18" i="1"/>
  <c r="CI19" i="1" s="1"/>
  <c r="CI256" i="1"/>
  <c r="CJ216" i="1"/>
  <c r="CJ256" i="1" s="1"/>
  <c r="DC12" i="1"/>
  <c r="CI23" i="1" l="1"/>
  <c r="CI24" i="1" s="1"/>
  <c r="CI353" i="1"/>
  <c r="CI61" i="1"/>
  <c r="CI249" i="1"/>
  <c r="CI55" i="1"/>
  <c r="CI56" i="1" s="1"/>
  <c r="CI57" i="1"/>
  <c r="CI62" i="1"/>
  <c r="CI63" i="1" s="1"/>
  <c r="CI74" i="1" l="1"/>
  <c r="CJ163" i="2"/>
  <c r="CJ159" i="2" s="1"/>
  <c r="CJ231" i="2" l="1"/>
  <c r="CJ160" i="2"/>
  <c r="CJ228" i="2" s="1"/>
  <c r="CJ227" i="2"/>
  <c r="CO159" i="2"/>
  <c r="CI75" i="1"/>
  <c r="CJ194" i="2"/>
  <c r="CI77" i="1"/>
  <c r="CJ232" i="2"/>
  <c r="CJ166" i="2"/>
  <c r="CJ193" i="2" s="1"/>
  <c r="CJ219" i="2" s="1"/>
  <c r="CT159" i="2" l="1"/>
  <c r="CO227" i="2"/>
  <c r="CI250" i="1"/>
  <c r="CI251" i="1" s="1"/>
  <c r="CI344" i="1"/>
  <c r="CI345" i="1" s="1"/>
  <c r="CI103" i="1"/>
  <c r="CI106" i="1" s="1"/>
  <c r="CI79" i="1"/>
  <c r="CI230" i="1" s="1"/>
  <c r="CJ234" i="2"/>
  <c r="CY159" i="2" l="1"/>
  <c r="CT227" i="2"/>
  <c r="CI252" i="1"/>
  <c r="CI82" i="1"/>
  <c r="CI88" i="1"/>
  <c r="CI81" i="1"/>
  <c r="CI86" i="1"/>
  <c r="CI107" i="1"/>
  <c r="CI170" i="1"/>
  <c r="CI173" i="1" s="1"/>
  <c r="CI354" i="1" s="1"/>
  <c r="CY227" i="2" l="1"/>
  <c r="DD159" i="2"/>
  <c r="CI89" i="1"/>
  <c r="CI109" i="1"/>
  <c r="CI110" i="1"/>
  <c r="CI94" i="1"/>
  <c r="CI95" i="1" s="1"/>
  <c r="CJ293" i="2"/>
  <c r="DD227" i="2" l="1"/>
  <c r="CI111" i="1"/>
  <c r="CH137" i="1" l="1"/>
  <c r="CH142" i="1" s="1"/>
  <c r="CH283" i="1" s="1"/>
  <c r="CI233" i="1"/>
  <c r="CM233" i="1" s="1"/>
  <c r="CH237" i="1"/>
  <c r="CH242" i="1" s="1"/>
  <c r="CM359" i="1"/>
  <c r="CH357" i="1" l="1"/>
  <c r="CH235" i="1"/>
  <c r="CH234" i="1" s="1"/>
  <c r="CI137" i="1"/>
  <c r="CI199" i="1"/>
  <c r="CJ198" i="1" s="1"/>
  <c r="CI237" i="1"/>
  <c r="CI142" i="1" l="1"/>
  <c r="CI71" i="1"/>
  <c r="CI283" i="1" l="1"/>
  <c r="CI238" i="1"/>
  <c r="CI241" i="1" s="1"/>
  <c r="CI262" i="1" l="1"/>
  <c r="CI242" i="1"/>
  <c r="CI235" i="1" l="1"/>
  <c r="CI357" i="1"/>
  <c r="CJ233" i="1" l="1"/>
  <c r="CI234" i="1"/>
  <c r="CI243" i="1"/>
  <c r="CI163" i="1"/>
  <c r="CI245" i="1" s="1"/>
  <c r="CI246" i="1" s="1"/>
  <c r="CI253" i="1" l="1"/>
  <c r="CI254" i="1" l="1"/>
  <c r="CH192" i="1"/>
  <c r="CH209" i="1"/>
  <c r="CH210" i="1" s="1"/>
  <c r="CH229" i="1"/>
  <c r="CH230" i="1"/>
  <c r="CG192" i="1"/>
  <c r="CG209" i="1"/>
  <c r="CG210" i="1" s="1"/>
  <c r="CG229" i="1"/>
  <c r="CG230" i="1"/>
  <c r="CK229" i="1" l="1"/>
  <c r="CJ209" i="1" l="1"/>
  <c r="CK188" i="1"/>
  <c r="CL188" i="1" l="1"/>
  <c r="CK209" i="1"/>
  <c r="CN188" i="1" l="1"/>
  <c r="CO229" i="1"/>
  <c r="CL209" i="1"/>
  <c r="CM188" i="1"/>
  <c r="CO188" i="1" l="1"/>
  <c r="CP229" i="1"/>
  <c r="CM229" i="1"/>
  <c r="CN209" i="1"/>
  <c r="CO209" i="1" l="1"/>
  <c r="CP188" i="1"/>
  <c r="CQ229" i="1"/>
  <c r="CQ188" i="1" l="1"/>
  <c r="CR188" i="1" s="1"/>
  <c r="CS229" i="1"/>
  <c r="CP209" i="1"/>
  <c r="CR209" i="1" l="1"/>
  <c r="CR229" i="1"/>
  <c r="CS188" i="1"/>
  <c r="CT229" i="1"/>
  <c r="CQ209" i="1"/>
  <c r="CT188" i="1" l="1"/>
  <c r="CU229" i="1"/>
  <c r="CS209" i="1"/>
  <c r="CU188" i="1" l="1"/>
  <c r="CV229" i="1"/>
  <c r="CT209" i="1"/>
  <c r="CV188" i="1" l="1"/>
  <c r="CX229" i="1"/>
  <c r="CU209" i="1"/>
  <c r="CX188" i="1" l="1"/>
  <c r="CY229" i="1"/>
  <c r="CV209" i="1"/>
  <c r="CW188" i="1"/>
  <c r="CY188" i="1" l="1"/>
  <c r="CZ229" i="1"/>
  <c r="CW209" i="1"/>
  <c r="CW229" i="1"/>
  <c r="CX209" i="1"/>
  <c r="CZ188" i="1" l="1"/>
  <c r="DA229" i="1"/>
  <c r="CY209" i="1"/>
  <c r="DA188" i="1" l="1"/>
  <c r="DB188" i="1" s="1"/>
  <c r="DC229" i="1"/>
  <c r="CZ209" i="1"/>
  <c r="DA209" i="1" l="1"/>
  <c r="DB209" i="1"/>
  <c r="DB229" i="1"/>
  <c r="DC188" i="1"/>
  <c r="DD229" i="1"/>
  <c r="DC209" i="1" l="1"/>
  <c r="DD188" i="1"/>
  <c r="DE229" i="1"/>
  <c r="DE188" i="1" l="1"/>
  <c r="DF229" i="1"/>
  <c r="DF188" i="1" s="1"/>
  <c r="DD209" i="1"/>
  <c r="DF209" i="1" l="1"/>
  <c r="DE209" i="1"/>
  <c r="DG188" i="1"/>
  <c r="DG209" i="1" l="1"/>
  <c r="DG229" i="1"/>
  <c r="CH196" i="1"/>
  <c r="CG196" i="1"/>
  <c r="CM125" i="1"/>
  <c r="CM124" i="1" s="1"/>
  <c r="CI209" i="1"/>
  <c r="CM190" i="1" l="1"/>
  <c r="CM209" i="1" s="1"/>
  <c r="CI192" i="1"/>
  <c r="CI205" i="1" l="1"/>
  <c r="CI196" i="1"/>
  <c r="CI203" i="1"/>
  <c r="CI355" i="1"/>
  <c r="CI210" i="1" l="1"/>
  <c r="CI206" i="1"/>
  <c r="CI207" i="1" s="1"/>
  <c r="CI208" i="1"/>
  <c r="CJ74" i="1" l="1"/>
  <c r="CK194" i="2" s="1"/>
  <c r="CK163" i="2"/>
  <c r="CK231" i="2" s="1"/>
  <c r="CJ77" i="1" l="1"/>
  <c r="CJ75" i="1"/>
  <c r="CJ79" i="1"/>
  <c r="CJ82" i="1" s="1"/>
  <c r="CJ344" i="1" l="1"/>
  <c r="CJ345" i="1" s="1"/>
  <c r="CJ250" i="1"/>
  <c r="CJ251" i="1" s="1"/>
  <c r="CJ103" i="1"/>
  <c r="CJ106" i="1" s="1"/>
  <c r="CJ107" i="1" s="1"/>
  <c r="CJ86" i="1"/>
  <c r="CJ170" i="1"/>
  <c r="CJ230" i="1"/>
  <c r="CJ81" i="1"/>
  <c r="CJ88" i="1"/>
  <c r="CK252" i="1" l="1"/>
  <c r="CJ252" i="1"/>
  <c r="CJ94" i="1"/>
  <c r="CJ95" i="1" s="1"/>
  <c r="CJ89" i="1"/>
  <c r="CJ109" i="1"/>
  <c r="CJ110" i="1"/>
  <c r="CJ163" i="1"/>
  <c r="CJ111" i="1" l="1"/>
  <c r="CJ245" i="1"/>
  <c r="CK159" i="2" l="1"/>
  <c r="CM159" i="2" s="1"/>
  <c r="CK166" i="2"/>
  <c r="CK232" i="2"/>
  <c r="CK227" i="2" l="1"/>
  <c r="CK193" i="2"/>
  <c r="CK219" i="2" s="1"/>
  <c r="CK234" i="2"/>
  <c r="CM227" i="2"/>
  <c r="CP159" i="2"/>
  <c r="CK160" i="2"/>
  <c r="CK228" i="2" l="1"/>
  <c r="CU159" i="2"/>
  <c r="CR159" i="2"/>
  <c r="CP227" i="2"/>
  <c r="CK293" i="2" l="1"/>
  <c r="CR227" i="2"/>
  <c r="CU227" i="2"/>
  <c r="CW159" i="2"/>
  <c r="CZ159" i="2"/>
  <c r="CW227" i="2" l="1"/>
  <c r="DE159" i="2"/>
  <c r="DB159" i="2"/>
  <c r="CZ227" i="2"/>
  <c r="DE227" i="2" l="1"/>
  <c r="DG159" i="2"/>
  <c r="DB227" i="2"/>
  <c r="DG227" i="2" l="1"/>
  <c r="CJ137" i="1" l="1"/>
  <c r="CJ142" i="1" s="1"/>
  <c r="CJ283" i="1" s="1"/>
  <c r="CJ199" i="1"/>
  <c r="CK198" i="1" s="1"/>
  <c r="CJ237" i="1"/>
  <c r="CJ71" i="1" l="1"/>
  <c r="CJ192" i="1" l="1"/>
  <c r="CJ238" i="1"/>
  <c r="CJ241" i="1" s="1"/>
  <c r="CJ242" i="1" l="1"/>
  <c r="CJ262" i="1"/>
  <c r="CJ253" i="1"/>
  <c r="CJ254" i="1" s="1"/>
  <c r="CJ246" i="1"/>
  <c r="CJ286" i="1"/>
  <c r="CJ287" i="1"/>
  <c r="CJ150" i="1"/>
  <c r="CJ288" i="1"/>
  <c r="CJ342" i="1"/>
  <c r="CJ235" i="1" l="1"/>
  <c r="CJ234" i="1" s="1"/>
  <c r="CJ357" i="1"/>
  <c r="CJ291" i="1"/>
  <c r="CJ293" i="1" s="1"/>
  <c r="CJ155" i="1"/>
  <c r="CJ165" i="1" s="1"/>
  <c r="CJ166" i="1" s="1"/>
  <c r="CJ231" i="1"/>
  <c r="CK233" i="1" l="1"/>
  <c r="CJ243" i="1"/>
  <c r="CJ196" i="1"/>
  <c r="CJ201" i="1" s="1"/>
  <c r="CJ203" i="1"/>
  <c r="CJ205" i="1"/>
  <c r="CJ206" i="1" s="1"/>
  <c r="CJ207" i="1" s="1"/>
  <c r="CJ173" i="1"/>
  <c r="CJ355" i="1"/>
  <c r="CJ210" i="1" l="1"/>
  <c r="CJ208" i="1"/>
  <c r="CJ354" i="1"/>
  <c r="CO223" i="1" l="1"/>
  <c r="CT223" i="1" l="1"/>
  <c r="CY223" i="1" s="1"/>
  <c r="DD223" i="1" s="1"/>
  <c r="CO225" i="1" l="1"/>
  <c r="CT225" i="1" l="1"/>
  <c r="CY225" i="1" l="1"/>
  <c r="DD225" i="1" l="1"/>
  <c r="CO226" i="1"/>
  <c r="CT226" i="1" s="1"/>
  <c r="CY226" i="1" l="1"/>
  <c r="DD226" i="1" l="1"/>
  <c r="CO31" i="2" l="1"/>
  <c r="CO32" i="2" s="1"/>
  <c r="CP31" i="2"/>
  <c r="CP32" i="2" s="1"/>
  <c r="CQ31" i="2"/>
  <c r="CQ32" i="2" s="1"/>
  <c r="CS48" i="2"/>
  <c r="CS49" i="2" s="1"/>
  <c r="CS6" i="2" s="1"/>
  <c r="CS155" i="2" s="1"/>
  <c r="CO49" i="2"/>
  <c r="CO6" i="2" s="1"/>
  <c r="CO155" i="2" s="1"/>
  <c r="CO223" i="2" s="1"/>
  <c r="CP49" i="2"/>
  <c r="CP6" i="2" s="1"/>
  <c r="CQ49" i="2"/>
  <c r="CQ6" i="2" s="1"/>
  <c r="CR49" i="2"/>
  <c r="CO158" i="2" l="1"/>
  <c r="CS223" i="2"/>
  <c r="CP9" i="2"/>
  <c r="CP155" i="2"/>
  <c r="CU6" i="2"/>
  <c r="CT6" i="2"/>
  <c r="CV6" i="2"/>
  <c r="CQ9" i="2"/>
  <c r="CV31" i="2" s="1"/>
  <c r="CQ155" i="2"/>
  <c r="CO9" i="2"/>
  <c r="CT31" i="2" s="1"/>
  <c r="CR6" i="2"/>
  <c r="CW47" i="2" s="1"/>
  <c r="CX6" i="2"/>
  <c r="CW46" i="2" l="1"/>
  <c r="CW50" i="2" s="1"/>
  <c r="CW51" i="2" s="1"/>
  <c r="CW48" i="2"/>
  <c r="CQ13" i="2"/>
  <c r="CV9" i="2"/>
  <c r="CV13" i="2" s="1"/>
  <c r="CV155" i="2"/>
  <c r="DA6" i="2"/>
  <c r="CT9" i="2"/>
  <c r="CT155" i="2"/>
  <c r="CY6" i="2"/>
  <c r="CZ6" i="2"/>
  <c r="CU9" i="2"/>
  <c r="CU13" i="2" s="1"/>
  <c r="CU155" i="2"/>
  <c r="CO7" i="1"/>
  <c r="CP12" i="2"/>
  <c r="CP14" i="2"/>
  <c r="CP15" i="2"/>
  <c r="CP16" i="2"/>
  <c r="CU30" i="2"/>
  <c r="CY330" i="1" s="1"/>
  <c r="CU31" i="2"/>
  <c r="CP7" i="1"/>
  <c r="CV30" i="2"/>
  <c r="CZ330" i="1" s="1"/>
  <c r="CQ12" i="2"/>
  <c r="CQ14" i="2"/>
  <c r="CQ15" i="2"/>
  <c r="CQ16" i="2"/>
  <c r="CP158" i="2"/>
  <c r="CP255" i="2" s="1"/>
  <c r="CP223" i="2"/>
  <c r="CN7" i="1"/>
  <c r="CT30" i="2"/>
  <c r="CX330" i="1" s="1"/>
  <c r="CO15" i="2"/>
  <c r="CT29" i="2"/>
  <c r="CO13" i="2"/>
  <c r="CO12" i="2"/>
  <c r="CO16" i="2"/>
  <c r="CO14" i="2"/>
  <c r="CQ223" i="2"/>
  <c r="CQ158" i="2"/>
  <c r="CQ255" i="2" s="1"/>
  <c r="CU29" i="2"/>
  <c r="CR155" i="2"/>
  <c r="CX155" i="2"/>
  <c r="DC6" i="2"/>
  <c r="CW6" i="2"/>
  <c r="DB48" i="2" s="1"/>
  <c r="CV29" i="2"/>
  <c r="CV28" i="2"/>
  <c r="CT28" i="2"/>
  <c r="CU28" i="2"/>
  <c r="CP13" i="2"/>
  <c r="CO226" i="2"/>
  <c r="CO160" i="2"/>
  <c r="CO255" i="2"/>
  <c r="CO256" i="2"/>
  <c r="CO257" i="2"/>
  <c r="CO254" i="2"/>
  <c r="CO258" i="2"/>
  <c r="CW49" i="2" l="1"/>
  <c r="CZ29" i="2"/>
  <c r="CZ28" i="2"/>
  <c r="DA31" i="2"/>
  <c r="DA29" i="2"/>
  <c r="DA28" i="2"/>
  <c r="DD6" i="2"/>
  <c r="CY9" i="2"/>
  <c r="DD28" i="2" s="1"/>
  <c r="CY155" i="2"/>
  <c r="DB46" i="2"/>
  <c r="DB47" i="2"/>
  <c r="CQ226" i="2"/>
  <c r="CQ160" i="2"/>
  <c r="CQ254" i="2"/>
  <c r="CQ256" i="2"/>
  <c r="CQ257" i="2"/>
  <c r="CQ258" i="2"/>
  <c r="CZ9" i="2"/>
  <c r="CZ13" i="2" s="1"/>
  <c r="CZ155" i="2"/>
  <c r="DE6" i="2"/>
  <c r="CT158" i="2"/>
  <c r="CT223" i="2"/>
  <c r="DF6" i="2"/>
  <c r="DA9" i="2"/>
  <c r="DF29" i="2" s="1"/>
  <c r="DA155" i="2"/>
  <c r="CS7" i="1"/>
  <c r="CT12" i="2"/>
  <c r="CT14" i="2"/>
  <c r="CT15" i="2"/>
  <c r="CT16" i="2"/>
  <c r="CY30" i="2"/>
  <c r="DC330" i="1" s="1"/>
  <c r="CU33" i="2"/>
  <c r="CU32" i="2"/>
  <c r="CR223" i="2"/>
  <c r="CR189" i="2"/>
  <c r="CR215" i="2" s="1"/>
  <c r="CP160" i="2"/>
  <c r="CP254" i="2"/>
  <c r="CP256" i="2"/>
  <c r="CP257" i="2"/>
  <c r="CP226" i="2"/>
  <c r="CP258" i="2"/>
  <c r="CO8" i="1"/>
  <c r="CO335" i="1" s="1"/>
  <c r="CO11" i="1"/>
  <c r="CO17" i="1" s="1"/>
  <c r="CO38" i="1"/>
  <c r="CO41" i="1" s="1"/>
  <c r="CO43" i="1"/>
  <c r="CO46" i="1" s="1"/>
  <c r="CO133" i="1"/>
  <c r="CO153" i="1"/>
  <c r="CO289" i="1" s="1"/>
  <c r="CO154" i="1"/>
  <c r="CO290" i="1" s="1"/>
  <c r="CO141" i="1"/>
  <c r="CO149" i="1"/>
  <c r="CO184" i="1"/>
  <c r="CO135" i="1"/>
  <c r="CO350" i="1"/>
  <c r="CT7" i="1"/>
  <c r="CZ30" i="2"/>
  <c r="DD330" i="1" s="1"/>
  <c r="CU12" i="2"/>
  <c r="CU14" i="2"/>
  <c r="CU15" i="2"/>
  <c r="CU16" i="2"/>
  <c r="CY31" i="2"/>
  <c r="CY29" i="2"/>
  <c r="CV32" i="2"/>
  <c r="CV33" i="2"/>
  <c r="CW155" i="2"/>
  <c r="CX223" i="2"/>
  <c r="CP11" i="1"/>
  <c r="CP17" i="1" s="1"/>
  <c r="CP8" i="1"/>
  <c r="CP335" i="1" s="1"/>
  <c r="CP38" i="1"/>
  <c r="CP41" i="1" s="1"/>
  <c r="CP43" i="1"/>
  <c r="CP46" i="1" s="1"/>
  <c r="CP133" i="1"/>
  <c r="CP135" i="1"/>
  <c r="CP141" i="1"/>
  <c r="CP154" i="1"/>
  <c r="CP290" i="1" s="1"/>
  <c r="CP153" i="1"/>
  <c r="CP289" i="1" s="1"/>
  <c r="CP184" i="1"/>
  <c r="CP350" i="1"/>
  <c r="CV158" i="2"/>
  <c r="CV255" i="2" s="1"/>
  <c r="CV223" i="2"/>
  <c r="CN50" i="1"/>
  <c r="CO228" i="2"/>
  <c r="CT32" i="2"/>
  <c r="CT33" i="2"/>
  <c r="DH6" i="2"/>
  <c r="DB6" i="2"/>
  <c r="DG47" i="2" s="1"/>
  <c r="DC155" i="2"/>
  <c r="CN11" i="1"/>
  <c r="CN17" i="1" s="1"/>
  <c r="CN8" i="1"/>
  <c r="CN335" i="1" s="1"/>
  <c r="CN38" i="1"/>
  <c r="CN41" i="1" s="1"/>
  <c r="CN43" i="1"/>
  <c r="CN46" i="1" s="1"/>
  <c r="CN133" i="1"/>
  <c r="CN135" i="1"/>
  <c r="CN149" i="1"/>
  <c r="CN153" i="1"/>
  <c r="CN154" i="1"/>
  <c r="CN141" i="1"/>
  <c r="CN184" i="1"/>
  <c r="CN350" i="1"/>
  <c r="CU223" i="2"/>
  <c r="CU158" i="2"/>
  <c r="CU255" i="2" s="1"/>
  <c r="CZ31" i="2"/>
  <c r="CY28" i="2"/>
  <c r="CT13" i="2"/>
  <c r="CU7" i="1"/>
  <c r="CV12" i="2"/>
  <c r="CV14" i="2"/>
  <c r="CV15" i="2"/>
  <c r="CV16" i="2"/>
  <c r="DA30" i="2"/>
  <c r="DE330" i="1" s="1"/>
  <c r="DA33" i="2" l="1"/>
  <c r="CZ33" i="2"/>
  <c r="CY9" i="1" s="1"/>
  <c r="CY329" i="1" s="1"/>
  <c r="DE28" i="2"/>
  <c r="DE29" i="2"/>
  <c r="DE31" i="2"/>
  <c r="CN51" i="1"/>
  <c r="CN52" i="1" s="1"/>
  <c r="CN54" i="1"/>
  <c r="CN343" i="1"/>
  <c r="CN345" i="1" s="1"/>
  <c r="CN351" i="1"/>
  <c r="CO18" i="1"/>
  <c r="CO19" i="1" s="1"/>
  <c r="CO20" i="1"/>
  <c r="CO22" i="1"/>
  <c r="CT160" i="2"/>
  <c r="CT254" i="2"/>
  <c r="CT256" i="2"/>
  <c r="CT257" i="2"/>
  <c r="CT258" i="2"/>
  <c r="CT226" i="2"/>
  <c r="CP50" i="1"/>
  <c r="CP27" i="1" s="1"/>
  <c r="CQ228" i="2"/>
  <c r="CN288" i="1"/>
  <c r="DG48" i="2"/>
  <c r="CS9" i="1"/>
  <c r="CS329" i="1" s="1"/>
  <c r="CT34" i="2"/>
  <c r="CP204" i="1"/>
  <c r="CP186" i="1"/>
  <c r="CP356" i="1"/>
  <c r="CW223" i="2"/>
  <c r="CW189" i="2"/>
  <c r="CW215" i="2" s="1"/>
  <c r="CZ9" i="1"/>
  <c r="CZ329" i="1" s="1"/>
  <c r="DA34" i="2"/>
  <c r="CT11" i="1"/>
  <c r="CT17" i="1" s="1"/>
  <c r="CT8" i="1"/>
  <c r="CT335" i="1" s="1"/>
  <c r="CT38" i="1"/>
  <c r="CT41" i="1" s="1"/>
  <c r="CT43" i="1"/>
  <c r="CT46" i="1" s="1"/>
  <c r="CT133" i="1"/>
  <c r="CT149" i="1"/>
  <c r="CT135" i="1"/>
  <c r="CT141" i="1"/>
  <c r="CT153" i="1"/>
  <c r="CT289" i="1" s="1"/>
  <c r="CT184" i="1"/>
  <c r="CT350" i="1"/>
  <c r="CT154" i="1"/>
  <c r="CT290" i="1" s="1"/>
  <c r="CO180" i="1"/>
  <c r="CO288" i="1"/>
  <c r="CP175" i="1"/>
  <c r="CP213" i="1"/>
  <c r="CP257" i="1" s="1"/>
  <c r="CO14" i="1"/>
  <c r="CO134" i="1"/>
  <c r="CO148" i="1"/>
  <c r="CO147" i="1"/>
  <c r="CO50" i="1"/>
  <c r="CO27" i="1" s="1"/>
  <c r="CP228" i="2"/>
  <c r="CT9" i="1"/>
  <c r="CT329" i="1" s="1"/>
  <c r="CU34" i="2"/>
  <c r="CZ32" i="2"/>
  <c r="CZ7" i="1"/>
  <c r="DF30" i="2"/>
  <c r="DA12" i="2"/>
  <c r="DA16" i="2"/>
  <c r="DA14" i="2"/>
  <c r="DA15" i="2"/>
  <c r="DF31" i="2"/>
  <c r="DE9" i="2"/>
  <c r="DE13" i="2" s="1"/>
  <c r="DE155" i="2"/>
  <c r="CY223" i="2"/>
  <c r="CY158" i="2"/>
  <c r="DD31" i="2"/>
  <c r="CN289" i="1"/>
  <c r="CN18" i="1"/>
  <c r="CN19" i="1" s="1"/>
  <c r="CN20" i="1"/>
  <c r="CN22" i="1"/>
  <c r="CN27" i="1"/>
  <c r="DB49" i="2"/>
  <c r="DB50" i="2"/>
  <c r="DB51" i="2" s="1"/>
  <c r="CU11" i="1"/>
  <c r="CU17" i="1" s="1"/>
  <c r="CU8" i="1"/>
  <c r="CU335" i="1" s="1"/>
  <c r="CU38" i="1"/>
  <c r="CU41" i="1" s="1"/>
  <c r="CU43" i="1"/>
  <c r="CU46" i="1" s="1"/>
  <c r="CU133" i="1"/>
  <c r="CU141" i="1"/>
  <c r="CU153" i="1"/>
  <c r="CU289" i="1" s="1"/>
  <c r="CU154" i="1"/>
  <c r="CU290" i="1" s="1"/>
  <c r="CU135" i="1"/>
  <c r="CU184" i="1"/>
  <c r="CU350" i="1"/>
  <c r="CO173" i="1"/>
  <c r="CO177" i="1"/>
  <c r="DB155" i="2"/>
  <c r="DC223" i="2"/>
  <c r="DG46" i="2"/>
  <c r="DH155" i="2"/>
  <c r="DG6" i="2"/>
  <c r="CP20" i="1"/>
  <c r="CP22" i="1"/>
  <c r="CP18" i="1"/>
  <c r="CP19" i="1" s="1"/>
  <c r="CU9" i="1"/>
  <c r="CU329" i="1" s="1"/>
  <c r="CV34" i="2"/>
  <c r="CP173" i="1"/>
  <c r="DA13" i="2"/>
  <c r="DD29" i="2"/>
  <c r="DD33" i="2" s="1"/>
  <c r="DA32" i="2"/>
  <c r="CO186" i="1"/>
  <c r="CO204" i="1"/>
  <c r="CO356" i="1"/>
  <c r="DF9" i="2"/>
  <c r="DF13" i="2" s="1"/>
  <c r="DF155" i="2"/>
  <c r="CZ158" i="2"/>
  <c r="CZ223" i="2"/>
  <c r="CX7" i="1"/>
  <c r="DD30" i="2"/>
  <c r="CY12" i="2"/>
  <c r="CY14" i="2"/>
  <c r="CY15" i="2"/>
  <c r="CY16" i="2"/>
  <c r="CN204" i="1"/>
  <c r="CN356" i="1"/>
  <c r="CN186" i="1"/>
  <c r="CN14" i="1"/>
  <c r="CN134" i="1"/>
  <c r="CU226" i="2"/>
  <c r="CU160" i="2"/>
  <c r="CU254" i="2"/>
  <c r="CU256" i="2"/>
  <c r="CU257" i="2"/>
  <c r="CU258" i="2"/>
  <c r="CY33" i="2"/>
  <c r="CY32" i="2"/>
  <c r="CN290" i="1"/>
  <c r="CO175" i="1"/>
  <c r="CO213" i="1"/>
  <c r="CO257" i="1" s="1"/>
  <c r="CV160" i="2"/>
  <c r="CV254" i="2"/>
  <c r="CV256" i="2"/>
  <c r="CV226" i="2"/>
  <c r="CV257" i="2"/>
  <c r="CV258" i="2"/>
  <c r="CP14" i="1"/>
  <c r="CP134" i="1"/>
  <c r="CP177" i="1"/>
  <c r="CS8" i="1"/>
  <c r="CS335" i="1" s="1"/>
  <c r="CS11" i="1"/>
  <c r="CS38" i="1"/>
  <c r="CS41" i="1" s="1"/>
  <c r="CS43" i="1"/>
  <c r="CS46" i="1" s="1"/>
  <c r="CS133" i="1"/>
  <c r="CS153" i="1"/>
  <c r="CS289" i="1" s="1"/>
  <c r="CS154" i="1"/>
  <c r="CS290" i="1" s="1"/>
  <c r="CS141" i="1"/>
  <c r="CS149" i="1"/>
  <c r="CS184" i="1"/>
  <c r="CS135" i="1"/>
  <c r="CS350" i="1"/>
  <c r="DA223" i="2"/>
  <c r="DA158" i="2"/>
  <c r="DA255" i="2" s="1"/>
  <c r="DF28" i="2"/>
  <c r="CT255" i="2"/>
  <c r="CY7" i="1"/>
  <c r="CZ12" i="2"/>
  <c r="CZ14" i="2"/>
  <c r="CZ15" i="2"/>
  <c r="CZ16" i="2"/>
  <c r="DE30" i="2"/>
  <c r="CY13" i="2"/>
  <c r="DD9" i="2"/>
  <c r="DD13" i="2" s="1"/>
  <c r="DD155" i="2"/>
  <c r="CT177" i="1" l="1"/>
  <c r="DE32" i="2"/>
  <c r="DE33" i="2"/>
  <c r="DD9" i="1" s="1"/>
  <c r="DD329" i="1" s="1"/>
  <c r="CZ34" i="2"/>
  <c r="DD32" i="2"/>
  <c r="DC9" i="1"/>
  <c r="DC329" i="1" s="1"/>
  <c r="DD34" i="2"/>
  <c r="CU18" i="1"/>
  <c r="CU19" i="1" s="1"/>
  <c r="CU20" i="1"/>
  <c r="CU22" i="1"/>
  <c r="CT20" i="1"/>
  <c r="CT22" i="1"/>
  <c r="CT18" i="1"/>
  <c r="CT19" i="1" s="1"/>
  <c r="DD158" i="2"/>
  <c r="DD223" i="2"/>
  <c r="DF32" i="2"/>
  <c r="DF33" i="2"/>
  <c r="CX11" i="1"/>
  <c r="CX17" i="1" s="1"/>
  <c r="CX8" i="1"/>
  <c r="CX335" i="1" s="1"/>
  <c r="CX38" i="1"/>
  <c r="CX41" i="1" s="1"/>
  <c r="CX43" i="1"/>
  <c r="CX46" i="1" s="1"/>
  <c r="CX133" i="1"/>
  <c r="CX149" i="1"/>
  <c r="CX135" i="1"/>
  <c r="CX141" i="1"/>
  <c r="CX154" i="1"/>
  <c r="CX290" i="1" s="1"/>
  <c r="CX153" i="1"/>
  <c r="CX289" i="1" s="1"/>
  <c r="CX184" i="1"/>
  <c r="CX350" i="1"/>
  <c r="CP30" i="1"/>
  <c r="CP33" i="1"/>
  <c r="CP36" i="1" s="1"/>
  <c r="CP28" i="1"/>
  <c r="CP29" i="1" s="1"/>
  <c r="CY226" i="2"/>
  <c r="CY160" i="2"/>
  <c r="CY254" i="2"/>
  <c r="CY256" i="2"/>
  <c r="CY258" i="2"/>
  <c r="CY257" i="2"/>
  <c r="CS288" i="1"/>
  <c r="CT175" i="1"/>
  <c r="CT213" i="1"/>
  <c r="CT257" i="1" s="1"/>
  <c r="CS14" i="1"/>
  <c r="CS134" i="1"/>
  <c r="CU50" i="1"/>
  <c r="CU27" i="1" s="1"/>
  <c r="CV228" i="2"/>
  <c r="CZ160" i="2"/>
  <c r="CZ254" i="2"/>
  <c r="CZ256" i="2"/>
  <c r="CZ226" i="2"/>
  <c r="CZ257" i="2"/>
  <c r="CZ258" i="2"/>
  <c r="CN23" i="1"/>
  <c r="CN24" i="1" s="1"/>
  <c r="CN25" i="1"/>
  <c r="CY255" i="2"/>
  <c r="CZ11" i="1"/>
  <c r="CZ8" i="1"/>
  <c r="CZ335" i="1" s="1"/>
  <c r="CZ38" i="1"/>
  <c r="CZ41" i="1" s="1"/>
  <c r="CZ43" i="1"/>
  <c r="CZ46" i="1" s="1"/>
  <c r="CZ133" i="1"/>
  <c r="CZ135" i="1"/>
  <c r="CZ153" i="1"/>
  <c r="CZ289" i="1" s="1"/>
  <c r="CZ154" i="1"/>
  <c r="CZ290" i="1" s="1"/>
  <c r="CZ141" i="1"/>
  <c r="CZ184" i="1"/>
  <c r="CZ350" i="1"/>
  <c r="CO51" i="1"/>
  <c r="CO52" i="1" s="1"/>
  <c r="CO54" i="1"/>
  <c r="CO343" i="1"/>
  <c r="CO345" i="1" s="1"/>
  <c r="CO351" i="1"/>
  <c r="CU175" i="1"/>
  <c r="CU213" i="1"/>
  <c r="CU257" i="1" s="1"/>
  <c r="CO176" i="1"/>
  <c r="CO216" i="1"/>
  <c r="CO256" i="1" s="1"/>
  <c r="CU14" i="1"/>
  <c r="CU134" i="1"/>
  <c r="CU173" i="1"/>
  <c r="CT50" i="1"/>
  <c r="CU228" i="2"/>
  <c r="CP25" i="1"/>
  <c r="CP23" i="1"/>
  <c r="CP24" i="1" s="1"/>
  <c r="DG50" i="2"/>
  <c r="DG51" i="2" s="1"/>
  <c r="DG49" i="2"/>
  <c r="DB189" i="2"/>
  <c r="DB215" i="2" s="1"/>
  <c r="DB223" i="2"/>
  <c r="CO287" i="1"/>
  <c r="CU177" i="1"/>
  <c r="CS50" i="1"/>
  <c r="CT228" i="2"/>
  <c r="CO23" i="1"/>
  <c r="CO24" i="1" s="1"/>
  <c r="CO25" i="1"/>
  <c r="CT173" i="1"/>
  <c r="CX9" i="1"/>
  <c r="CX329" i="1" s="1"/>
  <c r="CY34" i="2"/>
  <c r="DF158" i="2"/>
  <c r="DF255" i="2" s="1"/>
  <c r="DF223" i="2"/>
  <c r="DD7" i="1"/>
  <c r="DE15" i="2"/>
  <c r="DE16" i="2"/>
  <c r="DE12" i="2"/>
  <c r="DE14" i="2"/>
  <c r="CO286" i="1"/>
  <c r="CO291" i="1" s="1"/>
  <c r="CT14" i="1"/>
  <c r="CT134" i="1"/>
  <c r="CT147" i="1"/>
  <c r="CT148" i="1"/>
  <c r="CO28" i="1"/>
  <c r="CO29" i="1" s="1"/>
  <c r="CO30" i="1"/>
  <c r="CO33" i="1"/>
  <c r="CO36" i="1" s="1"/>
  <c r="DC7" i="1"/>
  <c r="DD12" i="2"/>
  <c r="DD14" i="2"/>
  <c r="DD15" i="2"/>
  <c r="DD16" i="2"/>
  <c r="CY11" i="1"/>
  <c r="CY17" i="1" s="1"/>
  <c r="CY8" i="1"/>
  <c r="CY335" i="1" s="1"/>
  <c r="CY38" i="1"/>
  <c r="CY41" i="1" s="1"/>
  <c r="CY43" i="1"/>
  <c r="CY46" i="1" s="1"/>
  <c r="CY133" i="1"/>
  <c r="CY141" i="1"/>
  <c r="CY153" i="1"/>
  <c r="CY289" i="1" s="1"/>
  <c r="CY154" i="1"/>
  <c r="CY290" i="1" s="1"/>
  <c r="CY135" i="1"/>
  <c r="CY149" i="1"/>
  <c r="CY184" i="1"/>
  <c r="CY350" i="1"/>
  <c r="DA226" i="2"/>
  <c r="DA256" i="2"/>
  <c r="DA254" i="2"/>
  <c r="DA160" i="2"/>
  <c r="DA257" i="2"/>
  <c r="DA258" i="2"/>
  <c r="CS186" i="1"/>
  <c r="CS204" i="1"/>
  <c r="CS356" i="1"/>
  <c r="CS17" i="1"/>
  <c r="CZ255" i="2"/>
  <c r="DE7" i="1"/>
  <c r="DF12" i="2"/>
  <c r="DF14" i="2"/>
  <c r="DF15" i="2"/>
  <c r="DF16" i="2"/>
  <c r="DG155" i="2"/>
  <c r="DH223" i="2"/>
  <c r="CU186" i="1"/>
  <c r="CU204" i="1"/>
  <c r="CU356" i="1"/>
  <c r="CN28" i="1"/>
  <c r="CN29" i="1" s="1"/>
  <c r="CN30" i="1"/>
  <c r="CN33" i="1"/>
  <c r="DE223" i="2"/>
  <c r="DE158" i="2"/>
  <c r="DE255" i="2" s="1"/>
  <c r="CP176" i="1"/>
  <c r="CP216" i="1"/>
  <c r="CP256" i="1" s="1"/>
  <c r="CT204" i="1"/>
  <c r="CT186" i="1"/>
  <c r="CT356" i="1"/>
  <c r="CT180" i="1"/>
  <c r="CT288" i="1"/>
  <c r="CP51" i="1"/>
  <c r="CP52" i="1" s="1"/>
  <c r="CP54" i="1"/>
  <c r="CP343" i="1"/>
  <c r="CP345" i="1" s="1"/>
  <c r="CP351" i="1"/>
  <c r="CN55" i="1"/>
  <c r="CN56" i="1" s="1"/>
  <c r="CN57" i="1"/>
  <c r="CN249" i="1"/>
  <c r="CN251" i="1" s="1"/>
  <c r="DE34" i="2" l="1"/>
  <c r="CZ177" i="1"/>
  <c r="CU28" i="1"/>
  <c r="CU29" i="1" s="1"/>
  <c r="CU30" i="1"/>
  <c r="CU33" i="1"/>
  <c r="CU36" i="1" s="1"/>
  <c r="DC11" i="1"/>
  <c r="DC17" i="1" s="1"/>
  <c r="DC8" i="1"/>
  <c r="DC335" i="1" s="1"/>
  <c r="DC38" i="1"/>
  <c r="DC41" i="1" s="1"/>
  <c r="DC43" i="1"/>
  <c r="DC46" i="1" s="1"/>
  <c r="DC133" i="1"/>
  <c r="DC141" i="1"/>
  <c r="DC153" i="1"/>
  <c r="DC289" i="1" s="1"/>
  <c r="DC154" i="1"/>
  <c r="DC290" i="1" s="1"/>
  <c r="DC135" i="1"/>
  <c r="DC184" i="1"/>
  <c r="DC350" i="1"/>
  <c r="DC149" i="1"/>
  <c r="CS51" i="1"/>
  <c r="CS52" i="1" s="1"/>
  <c r="CS54" i="1"/>
  <c r="CS343" i="1"/>
  <c r="CS345" i="1" s="1"/>
  <c r="CS351" i="1"/>
  <c r="CP55" i="1"/>
  <c r="CP56" i="1" s="1"/>
  <c r="CP57" i="1"/>
  <c r="CP249" i="1"/>
  <c r="CP251" i="1" s="1"/>
  <c r="CS18" i="1"/>
  <c r="CS19" i="1" s="1"/>
  <c r="CS20" i="1"/>
  <c r="CS22" i="1"/>
  <c r="CS27" i="1"/>
  <c r="CY14" i="1"/>
  <c r="CY148" i="1"/>
  <c r="CY134" i="1"/>
  <c r="CY147" i="1"/>
  <c r="CU176" i="1"/>
  <c r="CU216" i="1"/>
  <c r="CU256" i="1" s="1"/>
  <c r="CT51" i="1"/>
  <c r="CT52" i="1" s="1"/>
  <c r="CT54" i="1"/>
  <c r="CT343" i="1"/>
  <c r="CT345" i="1" s="1"/>
  <c r="CT351" i="1"/>
  <c r="CO55" i="1"/>
  <c r="CO56" i="1" s="1"/>
  <c r="CO57" i="1"/>
  <c r="CO249" i="1"/>
  <c r="CO251" i="1" s="1"/>
  <c r="CX50" i="1"/>
  <c r="CX27" i="1" s="1"/>
  <c r="CY228" i="2"/>
  <c r="CX288" i="1"/>
  <c r="DE9" i="1"/>
  <c r="DE329" i="1" s="1"/>
  <c r="DF34" i="2"/>
  <c r="DD160" i="2"/>
  <c r="DD254" i="2"/>
  <c r="DD256" i="2"/>
  <c r="DD226" i="2"/>
  <c r="DD257" i="2"/>
  <c r="DD258" i="2"/>
  <c r="CT25" i="1"/>
  <c r="CT23" i="1"/>
  <c r="CT24" i="1" s="1"/>
  <c r="CY186" i="1"/>
  <c r="CY204" i="1"/>
  <c r="CY356" i="1"/>
  <c r="CY175" i="1"/>
  <c r="CY213" i="1"/>
  <c r="CY257" i="1" s="1"/>
  <c r="CN36" i="1"/>
  <c r="DE8" i="1"/>
  <c r="DE335" i="1" s="1"/>
  <c r="DE11" i="1"/>
  <c r="DE38" i="1"/>
  <c r="DE41" i="1" s="1"/>
  <c r="DE43" i="1"/>
  <c r="DE46" i="1" s="1"/>
  <c r="DE133" i="1"/>
  <c r="DE153" i="1"/>
  <c r="DE289" i="1" s="1"/>
  <c r="DE154" i="1"/>
  <c r="DE290" i="1" s="1"/>
  <c r="DE141" i="1"/>
  <c r="DE184" i="1"/>
  <c r="DE135" i="1"/>
  <c r="DE350" i="1"/>
  <c r="CY180" i="1"/>
  <c r="CY288" i="1"/>
  <c r="CZ173" i="1"/>
  <c r="CT287" i="1"/>
  <c r="DD11" i="1"/>
  <c r="DD8" i="1"/>
  <c r="DD335" i="1" s="1"/>
  <c r="DD38" i="1"/>
  <c r="DD41" i="1" s="1"/>
  <c r="DD43" i="1"/>
  <c r="DD46" i="1" s="1"/>
  <c r="DD133" i="1"/>
  <c r="DD135" i="1"/>
  <c r="DD149" i="1"/>
  <c r="DD153" i="1"/>
  <c r="DD289" i="1" s="1"/>
  <c r="DD154" i="1"/>
  <c r="DD290" i="1" s="1"/>
  <c r="DD141" i="1"/>
  <c r="DD184" i="1"/>
  <c r="DD350" i="1"/>
  <c r="DF160" i="2"/>
  <c r="DF254" i="2"/>
  <c r="DF256" i="2"/>
  <c r="DF226" i="2"/>
  <c r="DF257" i="2"/>
  <c r="DF258" i="2"/>
  <c r="CT176" i="1"/>
  <c r="CT216" i="1"/>
  <c r="CT256" i="1" s="1"/>
  <c r="CY173" i="1"/>
  <c r="CX18" i="1"/>
  <c r="CX20" i="1"/>
  <c r="CX22" i="1"/>
  <c r="CZ14" i="1"/>
  <c r="CZ134" i="1"/>
  <c r="DE226" i="2"/>
  <c r="DE160" i="2"/>
  <c r="DE256" i="2"/>
  <c r="DE254" i="2"/>
  <c r="DE257" i="2"/>
  <c r="DE258" i="2"/>
  <c r="DG189" i="2"/>
  <c r="DG215" i="2" s="1"/>
  <c r="DG223" i="2"/>
  <c r="CZ50" i="1"/>
  <c r="DA228" i="2"/>
  <c r="CZ213" i="1"/>
  <c r="CZ257" i="1" s="1"/>
  <c r="CZ175" i="1"/>
  <c r="CY18" i="1"/>
  <c r="CY19" i="1" s="1"/>
  <c r="CY20" i="1"/>
  <c r="CY22" i="1"/>
  <c r="CT286" i="1"/>
  <c r="CZ204" i="1"/>
  <c r="CZ186" i="1"/>
  <c r="CZ356" i="1"/>
  <c r="CZ17" i="1"/>
  <c r="CY50" i="1"/>
  <c r="CZ228" i="2"/>
  <c r="CU51" i="1"/>
  <c r="CU52" i="1" s="1"/>
  <c r="CU54" i="1"/>
  <c r="CU343" i="1"/>
  <c r="CU345" i="1" s="1"/>
  <c r="CU351" i="1"/>
  <c r="CX204" i="1"/>
  <c r="CX186" i="1"/>
  <c r="CX356" i="1"/>
  <c r="CY177" i="1"/>
  <c r="CX14" i="1"/>
  <c r="CX134" i="1"/>
  <c r="DD255" i="2"/>
  <c r="CT27" i="1"/>
  <c r="CU23" i="1"/>
  <c r="CU24" i="1" s="1"/>
  <c r="CU25" i="1"/>
  <c r="DD177" i="1" l="1"/>
  <c r="DE177" i="1"/>
  <c r="CY176" i="1"/>
  <c r="CY216" i="1"/>
  <c r="CY256" i="1" s="1"/>
  <c r="CZ51" i="1"/>
  <c r="CZ52" i="1" s="1"/>
  <c r="CZ54" i="1"/>
  <c r="CZ351" i="1"/>
  <c r="DD204" i="1"/>
  <c r="DD186" i="1"/>
  <c r="DD356" i="1"/>
  <c r="CY286" i="1"/>
  <c r="CY51" i="1"/>
  <c r="CY52" i="1" s="1"/>
  <c r="CY54" i="1"/>
  <c r="CY351" i="1"/>
  <c r="CZ18" i="1"/>
  <c r="CZ19" i="1" s="1"/>
  <c r="CZ20" i="1"/>
  <c r="CZ22" i="1"/>
  <c r="CZ27" i="1"/>
  <c r="CX19" i="1"/>
  <c r="DD14" i="1"/>
  <c r="DD134" i="1"/>
  <c r="DD147" i="1"/>
  <c r="DD148" i="1"/>
  <c r="DE186" i="1"/>
  <c r="DE204" i="1"/>
  <c r="DE356" i="1"/>
  <c r="DE14" i="1"/>
  <c r="DE134" i="1"/>
  <c r="DC186" i="1"/>
  <c r="DC204" i="1"/>
  <c r="DC356" i="1"/>
  <c r="DD173" i="1"/>
  <c r="DD175" i="1"/>
  <c r="DD213" i="1"/>
  <c r="DD257" i="1" s="1"/>
  <c r="CT291" i="1"/>
  <c r="CY27" i="1"/>
  <c r="CX23" i="1"/>
  <c r="CX25" i="1"/>
  <c r="DE173" i="1"/>
  <c r="DD17" i="1"/>
  <c r="CT55" i="1"/>
  <c r="CT56" i="1" s="1"/>
  <c r="CT57" i="1"/>
  <c r="CT249" i="1"/>
  <c r="CT251" i="1" s="1"/>
  <c r="CZ176" i="1"/>
  <c r="CZ216" i="1"/>
  <c r="CZ256" i="1" s="1"/>
  <c r="CS28" i="1"/>
  <c r="CS29" i="1" s="1"/>
  <c r="CS30" i="1"/>
  <c r="CS33" i="1"/>
  <c r="CS36" i="1" s="1"/>
  <c r="DC288" i="1"/>
  <c r="DC18" i="1"/>
  <c r="DC19" i="1" s="1"/>
  <c r="DC20" i="1"/>
  <c r="DC22" i="1"/>
  <c r="CU55" i="1"/>
  <c r="CU56" i="1" s="1"/>
  <c r="CU57" i="1"/>
  <c r="CU249" i="1"/>
  <c r="CU251" i="1" s="1"/>
  <c r="CX28" i="1"/>
  <c r="CX30" i="1"/>
  <c r="CX33" i="1"/>
  <c r="DD180" i="1"/>
  <c r="DD288" i="1"/>
  <c r="CX51" i="1"/>
  <c r="CX52" i="1" s="1"/>
  <c r="CX54" i="1"/>
  <c r="CX351" i="1"/>
  <c r="CT30" i="1"/>
  <c r="CT33" i="1"/>
  <c r="CT36" i="1" s="1"/>
  <c r="CT28" i="1"/>
  <c r="CT29" i="1" s="1"/>
  <c r="CY23" i="1"/>
  <c r="CY24" i="1" s="1"/>
  <c r="CY25" i="1"/>
  <c r="DD50" i="1"/>
  <c r="DE228" i="2"/>
  <c r="DE50" i="1"/>
  <c r="DF228" i="2"/>
  <c r="DE175" i="1"/>
  <c r="DE213" i="1"/>
  <c r="DE257" i="1" s="1"/>
  <c r="DE17" i="1"/>
  <c r="DC50" i="1"/>
  <c r="DD228" i="2"/>
  <c r="CY287" i="1"/>
  <c r="CS23" i="1"/>
  <c r="CS24" i="1" s="1"/>
  <c r="CS25" i="1"/>
  <c r="CS55" i="1"/>
  <c r="CS56" i="1" s="1"/>
  <c r="CS57" i="1"/>
  <c r="CS249" i="1"/>
  <c r="CS251" i="1" s="1"/>
  <c r="DC14" i="1"/>
  <c r="DC134" i="1"/>
  <c r="CX36" i="1" l="1"/>
  <c r="DE18" i="1"/>
  <c r="DE19" i="1" s="1"/>
  <c r="DE20" i="1"/>
  <c r="DE22" i="1"/>
  <c r="DE27" i="1"/>
  <c r="CX57" i="1"/>
  <c r="CX55" i="1"/>
  <c r="CX56" i="1" s="1"/>
  <c r="CX249" i="1"/>
  <c r="CX251" i="1" s="1"/>
  <c r="DE51" i="1"/>
  <c r="DE52" i="1" s="1"/>
  <c r="DE54" i="1"/>
  <c r="DE351" i="1"/>
  <c r="DD51" i="1"/>
  <c r="DD52" i="1" s="1"/>
  <c r="DD54" i="1"/>
  <c r="DD351" i="1"/>
  <c r="CX29" i="1"/>
  <c r="CX24" i="1"/>
  <c r="DD286" i="1"/>
  <c r="CZ28" i="1"/>
  <c r="CZ29" i="1" s="1"/>
  <c r="CZ30" i="1"/>
  <c r="CZ33" i="1"/>
  <c r="CZ36" i="1" s="1"/>
  <c r="CY291" i="1"/>
  <c r="CZ23" i="1"/>
  <c r="CZ24" i="1" s="1"/>
  <c r="CZ25" i="1"/>
  <c r="CZ55" i="1"/>
  <c r="CZ56" i="1" s="1"/>
  <c r="CZ57" i="1"/>
  <c r="CZ249" i="1"/>
  <c r="CZ251" i="1" s="1"/>
  <c r="DD216" i="1"/>
  <c r="DD256" i="1" s="1"/>
  <c r="DD176" i="1"/>
  <c r="DC51" i="1"/>
  <c r="DC52" i="1" s="1"/>
  <c r="DC54" i="1"/>
  <c r="DC351" i="1"/>
  <c r="DC27" i="1"/>
  <c r="DE176" i="1"/>
  <c r="DE216" i="1"/>
  <c r="DE256" i="1" s="1"/>
  <c r="DC23" i="1"/>
  <c r="DC24" i="1" s="1"/>
  <c r="DC25" i="1"/>
  <c r="DD18" i="1"/>
  <c r="DD19" i="1" s="1"/>
  <c r="DD20" i="1"/>
  <c r="DD22" i="1"/>
  <c r="DD27" i="1"/>
  <c r="CY28" i="1"/>
  <c r="CY29" i="1" s="1"/>
  <c r="CY30" i="1"/>
  <c r="CY33" i="1"/>
  <c r="CY36" i="1" s="1"/>
  <c r="DD287" i="1"/>
  <c r="CY55" i="1"/>
  <c r="CY56" i="1" s="1"/>
  <c r="CY57" i="1"/>
  <c r="CY249" i="1"/>
  <c r="CY251" i="1" s="1"/>
  <c r="DD291" i="1" l="1"/>
  <c r="DD28" i="1"/>
  <c r="DD29" i="1" s="1"/>
  <c r="DD30" i="1"/>
  <c r="DD33" i="1"/>
  <c r="DD36" i="1" s="1"/>
  <c r="DC28" i="1"/>
  <c r="DC29" i="1" s="1"/>
  <c r="DC30" i="1"/>
  <c r="DC33" i="1"/>
  <c r="DC36" i="1" s="1"/>
  <c r="DD55" i="1"/>
  <c r="DD56" i="1" s="1"/>
  <c r="DD57" i="1"/>
  <c r="DD249" i="1"/>
  <c r="DD251" i="1" s="1"/>
  <c r="DE28" i="1"/>
  <c r="DE29" i="1" s="1"/>
  <c r="DE30" i="1"/>
  <c r="DE33" i="1"/>
  <c r="DE36" i="1" s="1"/>
  <c r="DC55" i="1"/>
  <c r="DC56" i="1" s="1"/>
  <c r="DC57" i="1"/>
  <c r="DC249" i="1"/>
  <c r="DC251" i="1" s="1"/>
  <c r="DE55" i="1"/>
  <c r="DE56" i="1" s="1"/>
  <c r="DE57" i="1"/>
  <c r="DE249" i="1"/>
  <c r="DE251" i="1" s="1"/>
  <c r="DE23" i="1"/>
  <c r="DE24" i="1" s="1"/>
  <c r="DE25" i="1"/>
  <c r="DD23" i="1"/>
  <c r="DD24" i="1" s="1"/>
  <c r="DD25" i="1"/>
  <c r="CM14" i="2" l="1"/>
  <c r="CM13" i="2"/>
  <c r="CM12" i="2"/>
  <c r="CM16" i="2"/>
  <c r="CR14" i="2"/>
  <c r="CR13" i="2"/>
  <c r="CR12" i="2"/>
  <c r="CR16" i="2"/>
  <c r="CW14" i="2"/>
  <c r="CW13" i="2"/>
  <c r="CW12" i="2"/>
  <c r="CW16" i="2"/>
  <c r="DB14" i="2"/>
  <c r="DB13" i="2"/>
  <c r="DB12" i="2"/>
  <c r="DB16" i="2"/>
  <c r="DG14" i="2"/>
  <c r="DG13" i="2"/>
  <c r="DG12" i="2"/>
  <c r="DG16" i="2"/>
  <c r="W34" i="2"/>
  <c r="R34" i="2"/>
  <c r="Y34" i="2"/>
  <c r="T34" i="2"/>
  <c r="AA34" i="2"/>
  <c r="V34" i="2"/>
  <c r="CC34" i="2"/>
  <c r="CH34" i="2"/>
  <c r="CK34" i="2"/>
  <c r="CP34" i="2"/>
  <c r="CM287" i="1"/>
  <c r="CR224" i="1"/>
  <c r="CN224" i="1"/>
  <c r="CR225" i="1"/>
  <c r="CX224" i="1"/>
  <c r="DB225" i="1"/>
  <c r="DB224" i="1"/>
  <c r="CW287" i="1"/>
  <c r="CQ224" i="1"/>
  <c r="CP224" i="1"/>
  <c r="CP287" i="1"/>
  <c r="CP179" i="1"/>
  <c r="CM228" i="1"/>
  <c r="CL290" i="1"/>
  <c r="CL289" i="1"/>
  <c r="CM227" i="1"/>
  <c r="CR290" i="1"/>
  <c r="CW228" i="1"/>
  <c r="CR289" i="1"/>
  <c r="CW227" i="1"/>
  <c r="DB227" i="1"/>
  <c r="CW289" i="1"/>
  <c r="DB290" i="1"/>
  <c r="DG228" i="1"/>
  <c r="DB289" i="1"/>
  <c r="DG227" i="1"/>
  <c r="X34" i="2"/>
  <c r="S34" i="2"/>
  <c r="Z34" i="2"/>
  <c r="U34" i="2"/>
  <c r="BO34" i="2"/>
  <c r="BT34" i="2"/>
  <c r="CI34" i="2"/>
  <c r="CD34" i="2"/>
  <c r="CI224" i="1"/>
  <c r="CH287" i="1"/>
  <c r="CM225" i="1"/>
  <c r="CM224" i="1"/>
  <c r="CW224" i="1"/>
  <c r="CW225" i="1"/>
  <c r="CS224" i="1"/>
  <c r="CR287" i="1"/>
  <c r="DG224" i="1"/>
  <c r="DB287" i="1"/>
  <c r="DC224" i="1"/>
  <c r="DG225" i="1"/>
  <c r="CK287" i="1"/>
  <c r="CK224" i="1"/>
  <c r="CL224" i="1"/>
  <c r="CU224" i="1"/>
  <c r="CU179" i="1"/>
  <c r="CV224" i="1"/>
  <c r="CU287" i="1"/>
  <c r="DE179" i="1"/>
  <c r="DE224" i="1"/>
  <c r="DF224" i="1"/>
  <c r="DE287" i="1"/>
  <c r="CZ224" i="1"/>
  <c r="CZ179" i="1"/>
  <c r="DA224" i="1"/>
  <c r="CZ287" i="1"/>
  <c r="CM226" i="1"/>
  <c r="CK288" i="1"/>
  <c r="CM288" i="1"/>
  <c r="CR226" i="1"/>
  <c r="CM290" i="1"/>
  <c r="CM154" i="1"/>
  <c r="CR228" i="1"/>
  <c r="CW226" i="1"/>
  <c r="CR288" i="1"/>
  <c r="CW288" i="1"/>
  <c r="DB226" i="1"/>
  <c r="CW290" i="1"/>
  <c r="DB228" i="1"/>
  <c r="DB288" i="1"/>
  <c r="DG226" i="1"/>
  <c r="BO35" i="1"/>
  <c r="BJ35" i="1"/>
  <c r="CR41" i="1"/>
  <c r="CW41" i="1"/>
  <c r="CO61" i="1"/>
  <c r="CO353" i="1"/>
  <c r="DA353" i="1"/>
  <c r="DA61" i="1"/>
  <c r="CO354" i="1"/>
  <c r="CO60" i="1"/>
  <c r="CM246" i="1"/>
  <c r="CM253" i="1"/>
  <c r="CO246" i="1"/>
  <c r="CO253" i="1"/>
  <c r="CS246" i="1"/>
  <c r="CS253" i="1"/>
  <c r="CU246" i="1"/>
  <c r="CU253" i="1"/>
  <c r="DG19" i="1"/>
  <c r="CW246" i="1"/>
  <c r="CW253" i="1"/>
  <c r="DA30" i="1"/>
  <c r="CM289" i="1"/>
  <c r="CM153" i="1"/>
  <c r="CR227" i="1"/>
  <c r="CY253" i="1"/>
  <c r="CY246" i="1"/>
  <c r="DC253" i="1"/>
  <c r="DC246" i="1"/>
  <c r="DE253" i="1"/>
  <c r="DE246" i="1"/>
  <c r="CH263" i="1"/>
  <c r="CE71" i="1"/>
  <c r="CL71" i="1"/>
  <c r="CM263" i="1"/>
  <c r="CL350" i="1"/>
  <c r="CL153" i="1"/>
  <c r="CL154" i="1"/>
  <c r="DB351" i="1"/>
  <c r="DA60" i="1"/>
  <c r="DA351" i="1"/>
  <c r="CM353" i="1"/>
  <c r="CM61" i="1"/>
  <c r="BJ34" i="1"/>
  <c r="BE35" i="1"/>
  <c r="DG30" i="1"/>
  <c r="CY35" i="1"/>
  <c r="CP353" i="1"/>
  <c r="CP61" i="1"/>
  <c r="CX61" i="1"/>
  <c r="CX353" i="1"/>
  <c r="CL20" i="1"/>
  <c r="CI244" i="1"/>
  <c r="CJ244" i="1"/>
  <c r="CL63" i="1"/>
  <c r="CL62" i="1"/>
  <c r="CL57" i="1"/>
  <c r="DB20" i="1"/>
  <c r="DB217" i="1"/>
  <c r="DF14" i="1"/>
  <c r="CX34" i="2"/>
  <c r="DB223" i="1"/>
  <c r="CN253" i="1"/>
  <c r="CN246" i="1"/>
  <c r="CP246" i="1"/>
  <c r="CP253" i="1"/>
  <c r="CW353" i="1"/>
  <c r="CW61" i="1"/>
  <c r="CW351" i="1"/>
  <c r="CW60" i="1"/>
  <c r="CU61" i="1"/>
  <c r="CU353" i="1"/>
  <c r="CL46" i="1"/>
  <c r="DE353" i="1"/>
  <c r="DE61" i="1"/>
  <c r="CX354" i="1"/>
  <c r="CX60" i="1"/>
  <c r="CR253" i="1"/>
  <c r="CR246" i="1"/>
  <c r="CT246" i="1"/>
  <c r="CT253" i="1"/>
  <c r="CX246" i="1"/>
  <c r="CX253" i="1"/>
  <c r="CZ253" i="1"/>
  <c r="CZ246" i="1"/>
  <c r="DB246" i="1"/>
  <c r="DB253" i="1"/>
  <c r="DD253" i="1"/>
  <c r="DD246" i="1"/>
  <c r="DB14" i="1"/>
  <c r="DF25" i="1"/>
  <c r="CM223" i="1"/>
  <c r="CT194" i="2"/>
  <c r="CS75" i="1"/>
  <c r="CS76" i="1"/>
  <c r="DC75" i="1"/>
  <c r="DC76" i="1"/>
  <c r="DD194" i="2"/>
  <c r="CM194" i="2"/>
  <c r="CL75" i="1"/>
  <c r="CO194" i="2"/>
  <c r="CN76" i="1"/>
  <c r="CN75" i="1"/>
  <c r="CP76" i="1"/>
  <c r="CP75" i="1"/>
  <c r="CQ194" i="2"/>
  <c r="CS194" i="2"/>
  <c r="CR75" i="1"/>
  <c r="CU194" i="2"/>
  <c r="CT76" i="1"/>
  <c r="CT75" i="1"/>
  <c r="CV75" i="1"/>
  <c r="CW194" i="2"/>
  <c r="CX76" i="1"/>
  <c r="CY194" i="2"/>
  <c r="CX75" i="1"/>
  <c r="DA194" i="2"/>
  <c r="CZ76" i="1"/>
  <c r="CZ75" i="1"/>
  <c r="DB75" i="1"/>
  <c r="DC194" i="2"/>
  <c r="DD76" i="1"/>
  <c r="DE194" i="2"/>
  <c r="DD75" i="1"/>
  <c r="DG194" i="2"/>
  <c r="DF75" i="1"/>
  <c r="CK76" i="1"/>
  <c r="CL194" i="2"/>
  <c r="CK75" i="1"/>
  <c r="CM75" i="1"/>
  <c r="CN194" i="2"/>
  <c r="CO75" i="1"/>
  <c r="CO76" i="1"/>
  <c r="CP194" i="2"/>
  <c r="CU76" i="1"/>
  <c r="CV194" i="2"/>
  <c r="CU75" i="1"/>
  <c r="CW75" i="1"/>
  <c r="CX194" i="2"/>
  <c r="CY75" i="1"/>
  <c r="CY76" i="1"/>
  <c r="CZ194" i="2"/>
  <c r="CM350" i="1"/>
  <c r="DF23" i="1"/>
  <c r="DF24" i="1"/>
  <c r="DF194" i="2"/>
  <c r="DE76" i="1"/>
  <c r="DE75" i="1"/>
  <c r="DH194" i="2"/>
  <c r="DG75" i="1"/>
  <c r="CR194" i="2"/>
  <c r="CQ75" i="1"/>
  <c r="DB194" i="2"/>
  <c r="DA75" i="1"/>
  <c r="CL81" i="1"/>
  <c r="CL230" i="1"/>
  <c r="CL82" i="1"/>
  <c r="CN230" i="1"/>
  <c r="CN81" i="1"/>
  <c r="CN82" i="1"/>
  <c r="CP81" i="1"/>
  <c r="CP82" i="1"/>
  <c r="CP230" i="1"/>
  <c r="CR230" i="1"/>
  <c r="CR81" i="1"/>
  <c r="CR82" i="1"/>
  <c r="CT82" i="1"/>
  <c r="CT230" i="1"/>
  <c r="CT81" i="1"/>
  <c r="CV82" i="1"/>
  <c r="CV230" i="1"/>
  <c r="CV81" i="1"/>
  <c r="CX81" i="1"/>
  <c r="CX82" i="1"/>
  <c r="CX230" i="1"/>
  <c r="CZ81" i="1"/>
  <c r="CZ82" i="1"/>
  <c r="CZ230" i="1"/>
  <c r="DB82" i="1"/>
  <c r="DB230" i="1"/>
  <c r="DB81" i="1"/>
  <c r="DD82" i="1"/>
  <c r="DD230" i="1"/>
  <c r="DD81" i="1"/>
  <c r="DF81" i="1"/>
  <c r="DF82" i="1"/>
  <c r="DF230" i="1"/>
  <c r="CK82" i="1"/>
  <c r="CK81" i="1"/>
  <c r="CK230" i="1"/>
  <c r="CM81" i="1"/>
  <c r="CM230" i="1"/>
  <c r="CM82" i="1"/>
  <c r="CO81" i="1"/>
  <c r="CO230" i="1"/>
  <c r="CO82" i="1"/>
  <c r="CQ82" i="1"/>
  <c r="CQ81" i="1"/>
  <c r="CQ230" i="1"/>
  <c r="CM57" i="1"/>
  <c r="CR223" i="1"/>
  <c r="BL35" i="1"/>
  <c r="CL351" i="1"/>
  <c r="CZ63" i="1"/>
  <c r="CL13" i="1"/>
  <c r="CW30" i="1"/>
  <c r="CS82" i="1"/>
  <c r="CS81" i="1"/>
  <c r="CS230" i="1"/>
  <c r="CU230" i="1"/>
  <c r="CU81" i="1"/>
  <c r="CU82" i="1"/>
  <c r="CM60" i="1"/>
  <c r="CM351" i="1"/>
  <c r="CW81" i="1"/>
  <c r="CW82" i="1"/>
  <c r="CW230" i="1"/>
  <c r="CY230" i="1"/>
  <c r="CY81" i="1"/>
  <c r="CY82" i="1"/>
  <c r="DA230" i="1"/>
  <c r="DA82" i="1"/>
  <c r="DA81" i="1"/>
  <c r="DC81" i="1"/>
  <c r="DC230" i="1"/>
  <c r="DC82" i="1"/>
  <c r="DE230" i="1"/>
  <c r="DE82" i="1"/>
  <c r="DE81" i="1"/>
  <c r="DG230" i="1"/>
  <c r="DG81" i="1"/>
  <c r="DG82" i="1"/>
  <c r="CL250" i="1"/>
  <c r="CL344" i="1"/>
  <c r="CQ250" i="1"/>
  <c r="CQ344" i="1"/>
  <c r="CV344" i="1"/>
  <c r="CV250" i="1"/>
  <c r="CM221" i="1"/>
  <c r="CR20" i="1"/>
  <c r="CP60" i="1"/>
  <c r="CP354" i="1"/>
  <c r="BI115" i="1"/>
  <c r="BF115" i="1"/>
  <c r="CH223" i="1"/>
  <c r="CD223" i="1"/>
  <c r="DF173" i="1"/>
  <c r="DG141" i="1"/>
  <c r="CE287" i="1"/>
  <c r="CE179" i="1"/>
  <c r="CF224" i="1"/>
  <c r="CG287" i="1"/>
  <c r="CH148" i="1"/>
  <c r="CG179" i="1"/>
  <c r="CI287" i="1"/>
  <c r="CJ224" i="1"/>
  <c r="CL179" i="1"/>
  <c r="CM148" i="1"/>
  <c r="CL287" i="1"/>
  <c r="CS61" i="1"/>
  <c r="CS353" i="1"/>
  <c r="CU354" i="1"/>
  <c r="CU60" i="1"/>
  <c r="BQ35" i="1"/>
  <c r="CL30" i="1"/>
  <c r="CU35" i="1"/>
  <c r="CM214" i="1"/>
  <c r="DF20" i="1"/>
  <c r="DC35" i="1"/>
  <c r="CZ61" i="1"/>
  <c r="CZ353" i="1"/>
  <c r="CQ179" i="1"/>
  <c r="CR148" i="1"/>
  <c r="CQ287" i="1"/>
  <c r="CW148" i="1"/>
  <c r="CV287" i="1"/>
  <c r="CV179" i="1"/>
  <c r="DA287" i="1"/>
  <c r="DB148" i="1"/>
  <c r="DA179" i="1"/>
  <c r="DF287" i="1"/>
  <c r="DF179" i="1"/>
  <c r="CQ288" i="1"/>
  <c r="CQ180" i="1"/>
  <c r="CT354" i="1"/>
  <c r="CM19" i="1"/>
  <c r="DG18" i="1"/>
  <c r="DG17" i="1"/>
  <c r="DG20" i="1"/>
  <c r="DA180" i="1"/>
  <c r="DA288" i="1"/>
  <c r="CR153" i="1"/>
  <c r="CQ289" i="1"/>
  <c r="DF176" i="1"/>
  <c r="DG134" i="1"/>
  <c r="CL186" i="1"/>
  <c r="CL356" i="1"/>
  <c r="CL204" i="1"/>
  <c r="CD224" i="1"/>
  <c r="CE224" i="1"/>
  <c r="CD287" i="1"/>
  <c r="CH224" i="1"/>
  <c r="CH225" i="1"/>
  <c r="CR61" i="1"/>
  <c r="CR353" i="1"/>
  <c r="CF179" i="1"/>
  <c r="CF287" i="1"/>
  <c r="CG224" i="1"/>
  <c r="CL180" i="1"/>
  <c r="CL288" i="1"/>
  <c r="CV180" i="1"/>
  <c r="CV288" i="1"/>
  <c r="DF180" i="1"/>
  <c r="DF288" i="1"/>
  <c r="CO179" i="1"/>
  <c r="CN287" i="1"/>
  <c r="CO224" i="1"/>
  <c r="CQ20" i="1"/>
  <c r="CL28" i="1"/>
  <c r="CL29" i="1"/>
  <c r="CW25" i="1"/>
  <c r="CL18" i="1"/>
  <c r="CL19" i="1"/>
  <c r="DA14" i="1"/>
  <c r="CD35" i="1"/>
  <c r="CQ30" i="1"/>
  <c r="DC354" i="1"/>
  <c r="DF57" i="1"/>
  <c r="CM18" i="1"/>
  <c r="CM17" i="1"/>
  <c r="CM20" i="1"/>
  <c r="CT224" i="1"/>
  <c r="CT179" i="1"/>
  <c r="CS287" i="1"/>
  <c r="CX287" i="1"/>
  <c r="CY179" i="1"/>
  <c r="CY224" i="1"/>
  <c r="DD224" i="1"/>
  <c r="DD179" i="1"/>
  <c r="DC287" i="1"/>
  <c r="CQ350" i="1"/>
  <c r="CQ153" i="1"/>
  <c r="DA20" i="1"/>
  <c r="CR60" i="1"/>
  <c r="CR351" i="1"/>
  <c r="CW154" i="1"/>
  <c r="CV290" i="1"/>
  <c r="CG180" i="1"/>
  <c r="CF180" i="1"/>
  <c r="CF288" i="1"/>
  <c r="CV154" i="1"/>
  <c r="CV350" i="1"/>
  <c r="BB35" i="1"/>
  <c r="CY61" i="1"/>
  <c r="CY353" i="1"/>
  <c r="DF353" i="1"/>
  <c r="DF61" i="1"/>
  <c r="CN354" i="1"/>
  <c r="CQ45" i="1"/>
  <c r="CY60" i="1"/>
  <c r="CY354" i="1"/>
  <c r="BC356" i="1"/>
  <c r="BC204" i="1"/>
  <c r="CQ204" i="1"/>
  <c r="CQ186" i="1"/>
  <c r="CQ356" i="1"/>
  <c r="CV204" i="1"/>
  <c r="CV186" i="1"/>
  <c r="CV356" i="1"/>
  <c r="DA204" i="1"/>
  <c r="DA186" i="1"/>
  <c r="DA356" i="1"/>
  <c r="DB34" i="2"/>
  <c r="CR14" i="1"/>
  <c r="CR217" i="1"/>
  <c r="CZ35" i="1"/>
  <c r="CV14" i="1"/>
  <c r="DB57" i="1"/>
  <c r="CW20" i="1"/>
  <c r="CR30" i="1"/>
  <c r="DF12" i="1"/>
  <c r="DF13" i="1"/>
  <c r="BE34" i="1"/>
  <c r="CV20" i="1"/>
  <c r="CN353" i="1"/>
  <c r="CN60" i="1"/>
  <c r="CN61" i="1"/>
  <c r="CT35" i="1"/>
  <c r="DF204" i="1"/>
  <c r="DF186" i="1"/>
  <c r="DF356" i="1"/>
  <c r="BD186" i="1"/>
  <c r="BD204" i="1"/>
  <c r="BD218" i="1"/>
  <c r="BD184" i="1"/>
  <c r="BD356" i="1"/>
  <c r="CM356" i="1"/>
  <c r="CM186" i="1"/>
  <c r="CM218" i="1"/>
  <c r="CM184" i="1"/>
  <c r="CM204" i="1"/>
  <c r="CR218" i="1"/>
  <c r="CR204" i="1"/>
  <c r="CR186" i="1"/>
  <c r="CQ184" i="1"/>
  <c r="CR184" i="1"/>
  <c r="CR356" i="1"/>
  <c r="CW356" i="1"/>
  <c r="CW204" i="1"/>
  <c r="CW186" i="1"/>
  <c r="CV184" i="1"/>
  <c r="CW184" i="1"/>
  <c r="CW218" i="1"/>
  <c r="DB186" i="1"/>
  <c r="DB204" i="1"/>
  <c r="DB218" i="1"/>
  <c r="DB184" i="1"/>
  <c r="DB356" i="1"/>
  <c r="DA350" i="1"/>
  <c r="DA184" i="1"/>
  <c r="DG356" i="1"/>
  <c r="DG218" i="1"/>
  <c r="DG204" i="1"/>
  <c r="DG184" i="1"/>
  <c r="DG186" i="1"/>
  <c r="DF350" i="1"/>
  <c r="DF184" i="1"/>
  <c r="BD192" i="1"/>
  <c r="BD229" i="1"/>
  <c r="BD230" i="1"/>
  <c r="CH226" i="1"/>
  <c r="CE288" i="1"/>
  <c r="CU180" i="1"/>
  <c r="CU288" i="1"/>
  <c r="DE180" i="1"/>
  <c r="DE288" i="1"/>
  <c r="CK355" i="1"/>
  <c r="CM178" i="1"/>
  <c r="CK196" i="1"/>
  <c r="CK203" i="1"/>
  <c r="CM196" i="1"/>
  <c r="CM203" i="1"/>
  <c r="CO196" i="1"/>
  <c r="CO203" i="1"/>
  <c r="CQ196" i="1"/>
  <c r="CQ203" i="1"/>
  <c r="CS196" i="1"/>
  <c r="CS203" i="1"/>
  <c r="CU196" i="1"/>
  <c r="CU203" i="1"/>
  <c r="CW196" i="1"/>
  <c r="CW203" i="1"/>
  <c r="CY196" i="1"/>
  <c r="CY203" i="1"/>
  <c r="DA196" i="1"/>
  <c r="DA203" i="1"/>
  <c r="DC196" i="1"/>
  <c r="DC203" i="1"/>
  <c r="DE196" i="1"/>
  <c r="DE203" i="1"/>
  <c r="DG196" i="1"/>
  <c r="DG203" i="1"/>
  <c r="CH201" i="1"/>
  <c r="CM198" i="1"/>
  <c r="DG109" i="1"/>
  <c r="CR201" i="1"/>
  <c r="CW198" i="1"/>
  <c r="CS198" i="1"/>
  <c r="DC198" i="1"/>
  <c r="DG198" i="1"/>
  <c r="DB201" i="1"/>
  <c r="BQ200" i="1"/>
  <c r="BQ201" i="1"/>
  <c r="BP201" i="1"/>
  <c r="BP200" i="1"/>
  <c r="BR200" i="1"/>
  <c r="BR201" i="1"/>
  <c r="CL196" i="1"/>
  <c r="CL203" i="1"/>
  <c r="CN196" i="1"/>
  <c r="CN203" i="1"/>
  <c r="CP196" i="1"/>
  <c r="CP203" i="1"/>
  <c r="CR196" i="1"/>
  <c r="CR203" i="1"/>
  <c r="CT196" i="1"/>
  <c r="CT203" i="1"/>
  <c r="CV196" i="1"/>
  <c r="CV203" i="1"/>
  <c r="CX196" i="1"/>
  <c r="CX203" i="1"/>
  <c r="CZ196" i="1"/>
  <c r="CZ203" i="1"/>
  <c r="CW221" i="1"/>
  <c r="DB203" i="1"/>
  <c r="DB196" i="1"/>
  <c r="DD203" i="1"/>
  <c r="DD196" i="1"/>
  <c r="DF203" i="1"/>
  <c r="DF196" i="1"/>
  <c r="BC210" i="1"/>
  <c r="BC208" i="1"/>
  <c r="CK210" i="1"/>
  <c r="CK208" i="1"/>
  <c r="CM210" i="1"/>
  <c r="CM208" i="1"/>
  <c r="CM211" i="1"/>
  <c r="CO208" i="1"/>
  <c r="CO210" i="1"/>
  <c r="CQ208" i="1"/>
  <c r="CQ210" i="1"/>
  <c r="CS208" i="1"/>
  <c r="CS210" i="1"/>
  <c r="CU208" i="1"/>
  <c r="CU210" i="1"/>
  <c r="CW211" i="1"/>
  <c r="CW208" i="1"/>
  <c r="CW210" i="1"/>
  <c r="CY210" i="1"/>
  <c r="CY208" i="1"/>
  <c r="DA210" i="1"/>
  <c r="DA208" i="1"/>
  <c r="DC210" i="1"/>
  <c r="DC208" i="1"/>
  <c r="DE210" i="1"/>
  <c r="DE208" i="1"/>
  <c r="DG208" i="1"/>
  <c r="DG210" i="1"/>
  <c r="DG211" i="1"/>
  <c r="BD207" i="1"/>
  <c r="BI207" i="1"/>
  <c r="CR211" i="1"/>
  <c r="CR210" i="1"/>
  <c r="CR208" i="1"/>
  <c r="DB210" i="1"/>
  <c r="DB211" i="1"/>
  <c r="DB208" i="1"/>
  <c r="CW220" i="1"/>
  <c r="CW219" i="1"/>
  <c r="CW354" i="1"/>
  <c r="DG354" i="1"/>
  <c r="DG220" i="1"/>
  <c r="DG172" i="1"/>
  <c r="DG219" i="1"/>
  <c r="CG198" i="1"/>
  <c r="CF201" i="1"/>
  <c r="CM201" i="1"/>
  <c r="CR198" i="1"/>
  <c r="CN198" i="1"/>
  <c r="CX198" i="1"/>
  <c r="DB198" i="1"/>
  <c r="CW201" i="1"/>
  <c r="BD208" i="1"/>
  <c r="BD206" i="1"/>
  <c r="CL208" i="1"/>
  <c r="CL210" i="1"/>
  <c r="CN208" i="1"/>
  <c r="CN210" i="1"/>
  <c r="CP208" i="1"/>
  <c r="CP210" i="1"/>
  <c r="CT208" i="1"/>
  <c r="CT210" i="1"/>
  <c r="CV208" i="1"/>
  <c r="CV210" i="1"/>
  <c r="CX210" i="1"/>
  <c r="CX208" i="1"/>
  <c r="CZ208" i="1"/>
  <c r="CZ210" i="1"/>
  <c r="DD208" i="1"/>
  <c r="DD210" i="1"/>
  <c r="DF208" i="1"/>
  <c r="DF210" i="1"/>
  <c r="DF351" i="1"/>
  <c r="DF60" i="1"/>
  <c r="CZ60" i="1"/>
  <c r="CZ62" i="1"/>
  <c r="CZ354" i="1"/>
  <c r="CQ18" i="1"/>
  <c r="CQ19" i="1"/>
  <c r="CV30" i="1"/>
  <c r="CV25" i="1"/>
  <c r="DG217" i="1"/>
  <c r="CW57" i="1"/>
  <c r="DG110" i="1"/>
  <c r="DG111" i="1"/>
  <c r="CN35" i="1"/>
  <c r="CQ14" i="1"/>
  <c r="DG221" i="1"/>
  <c r="BF35" i="1"/>
  <c r="BG35" i="1"/>
  <c r="DC109" i="1"/>
  <c r="DG107" i="1"/>
  <c r="CW223" i="1"/>
  <c r="CR220" i="1"/>
  <c r="CR219" i="1"/>
  <c r="CR172" i="1"/>
  <c r="CR354" i="1"/>
  <c r="DB219" i="1"/>
  <c r="DB354" i="1"/>
  <c r="DB172" i="1"/>
  <c r="DB220" i="1"/>
  <c r="CD243" i="1"/>
  <c r="CD234" i="1"/>
  <c r="CD244" i="1"/>
  <c r="CE233" i="1"/>
  <c r="DD61" i="1"/>
  <c r="DD353" i="1"/>
  <c r="CQ353" i="1"/>
  <c r="CQ61" i="1"/>
  <c r="DB30" i="1"/>
  <c r="CG233" i="1"/>
  <c r="CF243" i="1"/>
  <c r="CF234" i="1"/>
  <c r="CO244" i="1"/>
  <c r="CO234" i="1"/>
  <c r="CP233" i="1"/>
  <c r="CO243" i="1"/>
  <c r="CS243" i="1"/>
  <c r="CS234" i="1"/>
  <c r="CT233" i="1"/>
  <c r="CU234" i="1"/>
  <c r="CV233" i="1"/>
  <c r="CU243" i="1"/>
  <c r="CW36" i="1"/>
  <c r="DB17" i="1"/>
  <c r="DB18" i="1"/>
  <c r="DB19" i="1"/>
  <c r="CF35" i="1"/>
  <c r="CQ44" i="1"/>
  <c r="CQ46" i="1"/>
  <c r="CQ43" i="1"/>
  <c r="CR46" i="1"/>
  <c r="CF71" i="1"/>
  <c r="DA24" i="1"/>
  <c r="DD60" i="1"/>
  <c r="DD354" i="1"/>
  <c r="CZ233" i="1"/>
  <c r="CY234" i="1"/>
  <c r="CY243" i="1"/>
  <c r="DD233" i="1"/>
  <c r="DC243" i="1"/>
  <c r="DC234" i="1"/>
  <c r="DE243" i="1"/>
  <c r="DF233" i="1"/>
  <c r="DE234" i="1"/>
  <c r="CK234" i="1"/>
  <c r="CL233" i="1"/>
  <c r="CK243" i="1"/>
  <c r="CP357" i="1"/>
  <c r="CP244" i="1"/>
  <c r="CR51" i="1"/>
  <c r="CR52" i="1"/>
  <c r="CV35" i="1"/>
  <c r="DC95" i="1"/>
  <c r="DB215" i="1"/>
  <c r="DA40" i="1"/>
  <c r="CQ12" i="1"/>
  <c r="CQ13" i="1"/>
  <c r="CT71" i="1"/>
  <c r="CZ34" i="1"/>
  <c r="DE34" i="1"/>
  <c r="DE35" i="1"/>
  <c r="CP245" i="1"/>
  <c r="CM55" i="1"/>
  <c r="CM56" i="1"/>
  <c r="BK35" i="1"/>
  <c r="DB25" i="1"/>
  <c r="CL246" i="1"/>
  <c r="CL253" i="1"/>
  <c r="CV253" i="1"/>
  <c r="CV246" i="1"/>
  <c r="DF246" i="1"/>
  <c r="DF253" i="1"/>
  <c r="CO233" i="1"/>
  <c r="CN244" i="1"/>
  <c r="CN243" i="1"/>
  <c r="CN234" i="1"/>
  <c r="CP234" i="1"/>
  <c r="CQ233" i="1"/>
  <c r="CP242" i="1"/>
  <c r="CP235" i="1"/>
  <c r="CP243" i="1"/>
  <c r="CT243" i="1"/>
  <c r="CU233" i="1"/>
  <c r="CT234" i="1"/>
  <c r="CY233" i="1"/>
  <c r="CX234" i="1"/>
  <c r="CX243" i="1"/>
  <c r="CZ234" i="1"/>
  <c r="DA233" i="1"/>
  <c r="CZ243" i="1"/>
  <c r="DE233" i="1"/>
  <c r="DD243" i="1"/>
  <c r="DD234" i="1"/>
  <c r="CF244" i="1"/>
  <c r="CF235" i="1"/>
  <c r="CF357" i="1"/>
  <c r="CF242" i="1"/>
  <c r="CG71" i="1"/>
  <c r="CQ253" i="1"/>
  <c r="CQ246" i="1"/>
  <c r="DA253" i="1"/>
  <c r="DA246" i="1"/>
  <c r="DB36" i="1"/>
  <c r="DG36" i="1"/>
  <c r="CN62" i="1"/>
  <c r="CN63" i="1"/>
  <c r="DA18" i="1"/>
  <c r="DA19" i="1"/>
  <c r="DG14" i="1"/>
  <c r="CU34" i="1"/>
  <c r="CP35" i="1"/>
  <c r="CP34" i="1"/>
  <c r="CK34" i="1"/>
  <c r="CK35" i="1"/>
  <c r="CR43" i="1"/>
  <c r="CR350" i="1"/>
  <c r="CU148" i="1"/>
  <c r="BF117" i="1"/>
  <c r="CA35" i="1"/>
  <c r="CF34" i="1"/>
  <c r="CI35" i="1"/>
  <c r="DG246" i="1"/>
  <c r="DG253" i="1"/>
  <c r="CR252" i="1"/>
  <c r="CR254" i="1"/>
  <c r="DB252" i="1"/>
  <c r="DB254" i="1"/>
  <c r="CE244" i="1"/>
  <c r="CE243" i="1"/>
  <c r="CE234" i="1"/>
  <c r="CF233" i="1"/>
  <c r="CQ198" i="1"/>
  <c r="CP201" i="1"/>
  <c r="CF199" i="1"/>
  <c r="CF237" i="1"/>
  <c r="CK235" i="1"/>
  <c r="CK357" i="1"/>
  <c r="CK244" i="1"/>
  <c r="CK242" i="1"/>
  <c r="CK246" i="1"/>
  <c r="CM252" i="1"/>
  <c r="CM254" i="1"/>
  <c r="DG252" i="1"/>
  <c r="DG254" i="1"/>
  <c r="CW252" i="1"/>
  <c r="CW254" i="1"/>
  <c r="DF290" i="1"/>
  <c r="DA41" i="1"/>
  <c r="DA39" i="1"/>
  <c r="CW199" i="1"/>
  <c r="CV201" i="1"/>
  <c r="CP180" i="1"/>
  <c r="CP288" i="1"/>
  <c r="CT198" i="1"/>
  <c r="CS201" i="1"/>
  <c r="CK201" i="1"/>
  <c r="CL198" i="1"/>
  <c r="CW46" i="1"/>
  <c r="CP62" i="1"/>
  <c r="CP63" i="1"/>
  <c r="BD203" i="1"/>
  <c r="BD205" i="1"/>
  <c r="CM199" i="1"/>
  <c r="CL201" i="1"/>
  <c r="DB199" i="1"/>
  <c r="DA201" i="1"/>
  <c r="DE198" i="1"/>
  <c r="DD201" i="1"/>
  <c r="CE198" i="1"/>
  <c r="CD201" i="1"/>
  <c r="CR262" i="1"/>
  <c r="CR268" i="1"/>
  <c r="CW281" i="1"/>
  <c r="CW278" i="1"/>
  <c r="CE346" i="1"/>
  <c r="CF346" i="1"/>
  <c r="CD346" i="1"/>
  <c r="CG346" i="1"/>
  <c r="CL346" i="1"/>
  <c r="CN346" i="1"/>
  <c r="CP346" i="1"/>
  <c r="CO346" i="1"/>
  <c r="CS346" i="1"/>
  <c r="CU346" i="1"/>
  <c r="CT346" i="1"/>
  <c r="CQ346" i="1"/>
  <c r="CN15" i="2"/>
  <c r="CS29" i="2"/>
  <c r="CS71" i="2"/>
  <c r="CM15" i="2"/>
  <c r="CS15" i="2"/>
  <c r="CX31" i="2"/>
  <c r="CX29" i="2"/>
  <c r="CX71" i="2"/>
  <c r="CR15" i="2"/>
  <c r="DC29" i="2"/>
  <c r="CX15" i="2"/>
  <c r="DC31" i="2"/>
  <c r="DC71" i="2"/>
  <c r="CW15" i="2"/>
  <c r="DH31" i="2"/>
  <c r="DC15" i="2"/>
  <c r="DH29" i="2"/>
  <c r="DH71" i="2"/>
  <c r="DG30" i="2"/>
  <c r="DB15" i="2"/>
  <c r="CN16" i="2"/>
  <c r="CN13" i="2"/>
  <c r="CN14" i="2"/>
  <c r="CN9" i="2"/>
  <c r="CN12" i="2"/>
  <c r="CS12" i="2"/>
  <c r="CS14" i="2"/>
  <c r="CS16" i="2"/>
  <c r="CS9" i="2"/>
  <c r="CS13" i="2"/>
  <c r="CX13" i="2"/>
  <c r="CX12" i="2"/>
  <c r="CX14" i="2"/>
  <c r="CX9" i="2"/>
  <c r="CX16" i="2"/>
  <c r="DC12" i="2"/>
  <c r="DC14" i="2"/>
  <c r="DC16" i="2"/>
  <c r="DC9" i="2"/>
  <c r="DC13" i="2"/>
  <c r="DH16" i="2"/>
  <c r="DH12" i="2"/>
  <c r="DH14" i="2"/>
  <c r="DH13" i="2"/>
  <c r="CI37" i="2"/>
  <c r="CD37" i="2"/>
  <c r="CM67" i="2"/>
  <c r="CM62" i="2"/>
  <c r="CW268" i="1"/>
  <c r="CW262" i="1"/>
  <c r="CH278" i="1"/>
  <c r="CH281" i="1"/>
  <c r="CR278" i="1"/>
  <c r="CR281" i="1"/>
  <c r="DB281" i="1"/>
  <c r="DB278" i="1"/>
  <c r="DC62" i="1"/>
  <c r="DC63" i="1"/>
  <c r="DB51" i="1"/>
  <c r="DB52" i="1"/>
  <c r="DA173" i="1"/>
  <c r="CV57" i="1"/>
  <c r="DC88" i="1"/>
  <c r="DC89" i="1"/>
  <c r="CQ25" i="1"/>
  <c r="DC34" i="2"/>
  <c r="CW27" i="1"/>
  <c r="CW28" i="1"/>
  <c r="CW29" i="1"/>
  <c r="CN245" i="1"/>
  <c r="CY62" i="1"/>
  <c r="CY63" i="1"/>
  <c r="CD231" i="1"/>
  <c r="CR17" i="1"/>
  <c r="CR18" i="1"/>
  <c r="CR19" i="1"/>
  <c r="DC61" i="1"/>
  <c r="DC60" i="1"/>
  <c r="DC353" i="1"/>
  <c r="CL41" i="1"/>
  <c r="CL44" i="1"/>
  <c r="CL45" i="1"/>
  <c r="CV46" i="1"/>
  <c r="CU71" i="1"/>
  <c r="DG57" i="1"/>
  <c r="CL25" i="1"/>
  <c r="DA57" i="1"/>
  <c r="BC203" i="1"/>
  <c r="DB262" i="1"/>
  <c r="DB268" i="1"/>
  <c r="DG281" i="1"/>
  <c r="DG278" i="1"/>
  <c r="CL296" i="1"/>
  <c r="CK296" i="1"/>
  <c r="CL14" i="1"/>
  <c r="CL12" i="1"/>
  <c r="DE354" i="1"/>
  <c r="DE60" i="1"/>
  <c r="CP95" i="1"/>
  <c r="DA55" i="1"/>
  <c r="DA56" i="1"/>
  <c r="CS60" i="1"/>
  <c r="CW172" i="1"/>
  <c r="CS354" i="1"/>
  <c r="CY245" i="1"/>
  <c r="BC35" i="1"/>
  <c r="CR34" i="2"/>
  <c r="CN231" i="1"/>
  <c r="DF41" i="1"/>
  <c r="DF46" i="1"/>
  <c r="CA34" i="1"/>
  <c r="BG34" i="1"/>
  <c r="BL34" i="1"/>
  <c r="BQ34" i="1"/>
  <c r="BV34" i="1"/>
  <c r="BV35" i="1"/>
  <c r="CZ111" i="1"/>
  <c r="BC207" i="1"/>
  <c r="BC205" i="1"/>
  <c r="BC206" i="1"/>
  <c r="BH207" i="1"/>
  <c r="CR25" i="1"/>
  <c r="DF30" i="1"/>
  <c r="DB141" i="1"/>
  <c r="DC173" i="1"/>
  <c r="DG173" i="1"/>
  <c r="DA36" i="1"/>
  <c r="CW245" i="1"/>
  <c r="CM25" i="1"/>
  <c r="CT353" i="1"/>
  <c r="CT60" i="1"/>
  <c r="CT61" i="1"/>
  <c r="DD95" i="1"/>
  <c r="CS199" i="1"/>
  <c r="CS237" i="1"/>
  <c r="DA166" i="1"/>
  <c r="CU201" i="1"/>
  <c r="CV198" i="1"/>
  <c r="CV237" i="1"/>
  <c r="CV199" i="1"/>
  <c r="CK199" i="1"/>
  <c r="DH15" i="2"/>
  <c r="DH9" i="2"/>
  <c r="DG268" i="1"/>
  <c r="DG262" i="1"/>
  <c r="DB277" i="1"/>
  <c r="DB271" i="1"/>
  <c r="CC43" i="2"/>
  <c r="CH43" i="2"/>
  <c r="CI53" i="2"/>
  <c r="CD53" i="2"/>
  <c r="BT60" i="2"/>
  <c r="BO60" i="2"/>
  <c r="CK69" i="2"/>
  <c r="CP69" i="2"/>
  <c r="CN225" i="2"/>
  <c r="CN257" i="2"/>
  <c r="CS225" i="2"/>
  <c r="CS257" i="2"/>
  <c r="CX225" i="2"/>
  <c r="CX257" i="2"/>
  <c r="DC225" i="2"/>
  <c r="DC257" i="2"/>
  <c r="DH225" i="2"/>
  <c r="DH257" i="2"/>
  <c r="CN258" i="2"/>
  <c r="CN256" i="2"/>
  <c r="CN226" i="2"/>
  <c r="CN254" i="2"/>
  <c r="CN255" i="2"/>
  <c r="CS258" i="2"/>
  <c r="CS255" i="2"/>
  <c r="CS256" i="2"/>
  <c r="CS226" i="2"/>
  <c r="CS254" i="2"/>
  <c r="CX254" i="2"/>
  <c r="CX226" i="2"/>
  <c r="CX255" i="2"/>
  <c r="CX256" i="2"/>
  <c r="CX258" i="2"/>
  <c r="DC226" i="2"/>
  <c r="DC254" i="2"/>
  <c r="DC255" i="2"/>
  <c r="DC256" i="2"/>
  <c r="DC258" i="2"/>
  <c r="DH255" i="2"/>
  <c r="DH256" i="2"/>
  <c r="DH226" i="2"/>
  <c r="DH254" i="2"/>
  <c r="DH258" i="2"/>
  <c r="CM254" i="2"/>
  <c r="CM258" i="2"/>
  <c r="CM255" i="2"/>
  <c r="CM226" i="2"/>
  <c r="CM256" i="2"/>
  <c r="CW258" i="2"/>
  <c r="CW255" i="2"/>
  <c r="CW256" i="2"/>
  <c r="CW226" i="2"/>
  <c r="CW254" i="2"/>
  <c r="DG254" i="2"/>
  <c r="DG256" i="2"/>
  <c r="DG226" i="2"/>
  <c r="DG258" i="2"/>
  <c r="DG255" i="2"/>
  <c r="CM257" i="2"/>
  <c r="CM225" i="2"/>
  <c r="CW257" i="2"/>
  <c r="CW225" i="2"/>
  <c r="DG257" i="2"/>
  <c r="DG225" i="2"/>
  <c r="CR254" i="2"/>
  <c r="CR258" i="2"/>
  <c r="CR226" i="2"/>
  <c r="CR255" i="2"/>
  <c r="CR256" i="2"/>
  <c r="DB258" i="2"/>
  <c r="DB256" i="2"/>
  <c r="DB255" i="2"/>
  <c r="DB226" i="2"/>
  <c r="DB254" i="2"/>
  <c r="BR60" i="2"/>
  <c r="BM60" i="2"/>
  <c r="CH60" i="2"/>
  <c r="CC60" i="2"/>
  <c r="CK62" i="2"/>
  <c r="CK68" i="2"/>
  <c r="DB257" i="2"/>
  <c r="DB225" i="2"/>
  <c r="CR257" i="2"/>
  <c r="CR225" i="2"/>
  <c r="CH53" i="2"/>
  <c r="CC59" i="2"/>
  <c r="DA245" i="1"/>
  <c r="DA165" i="1"/>
  <c r="AW124" i="1"/>
  <c r="DG61" i="1"/>
  <c r="DG353" i="1"/>
  <c r="DB243" i="1"/>
  <c r="CO254" i="1"/>
  <c r="BD209" i="1"/>
  <c r="BD210" i="1"/>
  <c r="DA38" i="1"/>
  <c r="DG41" i="1"/>
  <c r="CI60" i="2"/>
  <c r="CD55" i="2"/>
  <c r="CD59" i="2"/>
  <c r="CD60" i="2"/>
  <c r="CM278" i="1"/>
  <c r="CM281" i="1"/>
  <c r="CE296" i="1"/>
  <c r="CD296" i="1"/>
  <c r="CM277" i="1"/>
  <c r="CM271" i="1"/>
  <c r="CH37" i="2"/>
  <c r="CC42" i="2"/>
  <c r="CM262" i="1"/>
  <c r="CM268" i="1"/>
  <c r="DA237" i="1"/>
  <c r="DA199" i="1"/>
  <c r="DA198" i="1"/>
  <c r="CZ201" i="1"/>
  <c r="DE201" i="1"/>
  <c r="DF198" i="1"/>
  <c r="BA230" i="1"/>
  <c r="BD188" i="1"/>
  <c r="CE201" i="1"/>
  <c r="CF198" i="1"/>
  <c r="CE199" i="1"/>
  <c r="DG271" i="1"/>
  <c r="DG277" i="1"/>
  <c r="CL199" i="1"/>
  <c r="CL237" i="1"/>
  <c r="CM111" i="1"/>
  <c r="CT88" i="1"/>
  <c r="CT89" i="1"/>
  <c r="CW165" i="1"/>
  <c r="CW166" i="1"/>
  <c r="CQ296" i="1"/>
  <c r="DA258" i="1"/>
  <c r="CW109" i="1"/>
  <c r="CL231" i="2"/>
  <c r="DA25" i="1"/>
  <c r="DA23" i="1"/>
  <c r="CQ60" i="1"/>
  <c r="CQ351" i="1"/>
  <c r="DC34" i="1"/>
  <c r="CX35" i="1"/>
  <c r="CR173" i="1"/>
  <c r="BD354" i="1"/>
  <c r="CQ36" i="1"/>
  <c r="DG351" i="1"/>
  <c r="DG60" i="1"/>
  <c r="CL357" i="1"/>
  <c r="CV61" i="1"/>
  <c r="CV353" i="1"/>
  <c r="CW215" i="1"/>
  <c r="CS31" i="2"/>
  <c r="DG245" i="1"/>
  <c r="DF293" i="1"/>
  <c r="DG263" i="1"/>
  <c r="CW177" i="1"/>
  <c r="CZ288" i="1"/>
  <c r="CZ180" i="1"/>
  <c r="CN355" i="1"/>
  <c r="CV234" i="1"/>
  <c r="CQ201" i="1"/>
  <c r="CR199" i="1"/>
  <c r="CR166" i="1"/>
  <c r="CT201" i="1"/>
  <c r="CU198" i="1"/>
  <c r="BR210" i="1"/>
  <c r="DF232" i="2"/>
  <c r="CP198" i="1"/>
  <c r="CO201" i="1"/>
  <c r="CV60" i="1"/>
  <c r="CV351" i="1"/>
  <c r="CM228" i="2"/>
  <c r="DD357" i="1"/>
  <c r="DD242" i="1"/>
  <c r="DD235" i="1"/>
  <c r="CE357" i="1"/>
  <c r="CE237" i="1"/>
  <c r="CE242" i="1"/>
  <c r="CE235" i="1"/>
  <c r="CW359" i="1"/>
  <c r="CX166" i="1"/>
  <c r="BE115" i="1"/>
  <c r="BE117" i="1"/>
  <c r="BF114" i="1"/>
  <c r="AY125" i="1"/>
  <c r="AY124" i="1"/>
  <c r="CR31" i="2"/>
  <c r="CS66" i="2"/>
  <c r="CT231" i="2"/>
  <c r="CS109" i="1"/>
  <c r="CM110" i="1"/>
  <c r="CM109" i="1"/>
  <c r="CL43" i="1"/>
  <c r="CM43" i="1"/>
  <c r="CM46" i="1"/>
  <c r="CS205" i="1"/>
  <c r="CS206" i="1"/>
  <c r="CS207" i="1"/>
  <c r="CM234" i="1"/>
  <c r="CV41" i="1"/>
  <c r="CO198" i="1"/>
  <c r="CN201" i="1"/>
  <c r="CX155" i="1"/>
  <c r="DB32" i="2"/>
  <c r="CM259" i="1"/>
  <c r="CY231" i="2"/>
  <c r="CY198" i="1"/>
  <c r="CX201" i="1"/>
  <c r="CW271" i="1"/>
  <c r="CW277" i="1"/>
  <c r="CZ231" i="2"/>
  <c r="DC192" i="1"/>
  <c r="CK178" i="1"/>
  <c r="CQ234" i="2"/>
  <c r="CM107" i="1"/>
  <c r="CK109" i="1"/>
  <c r="CP291" i="1"/>
  <c r="CT237" i="1"/>
  <c r="CT199" i="1"/>
  <c r="CR271" i="1"/>
  <c r="CR277" i="1"/>
  <c r="CM106" i="1"/>
  <c r="CU259" i="1"/>
  <c r="CO231" i="1"/>
  <c r="DC201" i="1"/>
  <c r="DD198" i="1"/>
  <c r="CM256" i="1"/>
  <c r="CH330" i="1"/>
  <c r="CU88" i="1"/>
  <c r="CU89" i="1"/>
  <c r="CD199" i="1"/>
  <c r="CD71" i="1"/>
  <c r="CH71" i="1"/>
  <c r="CJ35" i="1"/>
  <c r="CU95" i="1"/>
  <c r="CS177" i="1"/>
  <c r="CW217" i="1"/>
  <c r="CE35" i="1"/>
  <c r="CM216" i="1"/>
  <c r="CM215" i="1"/>
  <c r="CY34" i="1"/>
  <c r="DD34" i="1"/>
  <c r="DD35" i="1"/>
  <c r="CL155" i="1"/>
  <c r="BU35" i="1"/>
  <c r="CN109" i="1"/>
  <c r="CM177" i="1"/>
  <c r="DB263" i="1"/>
  <c r="CS219" i="2"/>
  <c r="DA231" i="1"/>
  <c r="BY35" i="1"/>
  <c r="CV245" i="1"/>
  <c r="CQ57" i="1"/>
  <c r="DE234" i="2"/>
  <c r="CK95" i="1"/>
  <c r="CR231" i="2"/>
  <c r="CR88" i="1"/>
  <c r="CR89" i="1"/>
  <c r="CR67" i="2"/>
  <c r="CW350" i="1"/>
  <c r="DA35" i="1"/>
  <c r="CO192" i="1"/>
  <c r="CT192" i="1"/>
  <c r="CK179" i="1"/>
  <c r="CM179" i="1"/>
  <c r="CY232" i="2"/>
  <c r="CZ155" i="1"/>
  <c r="CK346" i="1"/>
  <c r="CW51" i="1"/>
  <c r="CW52" i="1"/>
  <c r="CM217" i="1"/>
  <c r="CL177" i="1"/>
  <c r="DA234" i="1"/>
  <c r="DA243" i="1"/>
  <c r="CP111" i="1"/>
  <c r="CI342" i="1"/>
  <c r="CX165" i="1"/>
  <c r="CX245" i="1"/>
  <c r="CS155" i="1"/>
  <c r="CU199" i="1"/>
  <c r="CC29" i="2"/>
  <c r="CD43" i="2"/>
  <c r="CD42" i="2"/>
  <c r="CI43" i="2"/>
  <c r="CW342" i="1"/>
  <c r="DE199" i="1"/>
  <c r="DF154" i="1"/>
  <c r="DG154" i="1"/>
  <c r="DG290" i="1"/>
  <c r="CE291" i="1"/>
  <c r="CX34" i="1"/>
  <c r="CD34" i="1"/>
  <c r="CI34" i="1"/>
  <c r="CN34" i="1"/>
  <c r="CS34" i="1"/>
  <c r="CS35" i="1"/>
  <c r="DB46" i="1"/>
  <c r="DF39" i="1"/>
  <c r="DF40" i="1"/>
  <c r="DF44" i="1"/>
  <c r="DF45" i="1"/>
  <c r="CM36" i="1"/>
  <c r="CY111" i="1"/>
  <c r="CP110" i="1"/>
  <c r="CP107" i="1"/>
  <c r="CP109" i="1"/>
  <c r="DB245" i="1"/>
  <c r="BH201" i="1"/>
  <c r="CQ342" i="1"/>
  <c r="T201" i="1"/>
  <c r="CP259" i="1"/>
  <c r="CR359" i="1"/>
  <c r="CO232" i="2"/>
  <c r="CW355" i="1"/>
  <c r="CR36" i="1"/>
  <c r="CK245" i="1"/>
  <c r="DA46" i="1"/>
  <c r="DA51" i="1"/>
  <c r="DA52" i="1"/>
  <c r="CW71" i="1"/>
  <c r="DD86" i="1"/>
  <c r="DD94" i="1"/>
  <c r="CM62" i="1"/>
  <c r="CM63" i="1"/>
  <c r="CI231" i="1"/>
  <c r="CN172" i="1"/>
  <c r="CR305" i="2"/>
  <c r="CR66" i="2"/>
  <c r="CR234" i="1"/>
  <c r="DG55" i="1"/>
  <c r="DG56" i="1"/>
  <c r="CV36" i="1"/>
  <c r="CV33" i="1"/>
  <c r="CW33" i="1"/>
  <c r="CW34" i="1"/>
  <c r="CW35" i="1"/>
  <c r="CV62" i="1"/>
  <c r="CV63" i="1"/>
  <c r="CY110" i="1"/>
  <c r="CY107" i="1"/>
  <c r="CY109" i="1"/>
  <c r="CD357" i="1"/>
  <c r="CD237" i="1"/>
  <c r="CD242" i="1"/>
  <c r="CD235" i="1"/>
  <c r="DD259" i="1"/>
  <c r="CW88" i="1"/>
  <c r="CW89" i="1"/>
  <c r="CR68" i="2"/>
  <c r="CR69" i="2"/>
  <c r="CV231" i="1"/>
  <c r="DA155" i="1"/>
  <c r="DF355" i="1"/>
  <c r="DA357" i="1"/>
  <c r="DA242" i="1"/>
  <c r="DA235" i="1"/>
  <c r="R33" i="2"/>
  <c r="Q9" i="1"/>
  <c r="Q329" i="1"/>
  <c r="CL8" i="1"/>
  <c r="CL335" i="1"/>
  <c r="DB95" i="1"/>
  <c r="DA257" i="1"/>
  <c r="CN342" i="1"/>
  <c r="CW163" i="1"/>
  <c r="CK29" i="2"/>
  <c r="CK33" i="2"/>
  <c r="CJ9" i="1"/>
  <c r="CJ329" i="1"/>
  <c r="CH355" i="1"/>
  <c r="CQ178" i="1"/>
  <c r="DF357" i="1"/>
  <c r="CR263" i="1"/>
  <c r="DG228" i="2"/>
  <c r="CN192" i="1"/>
  <c r="CR215" i="1"/>
  <c r="DG350" i="1"/>
  <c r="CM41" i="1"/>
  <c r="DB350" i="1"/>
  <c r="DB38" i="1"/>
  <c r="DG34" i="1"/>
  <c r="DG35" i="1"/>
  <c r="DB62" i="1"/>
  <c r="DB63" i="1"/>
  <c r="CM30" i="1"/>
  <c r="CR57" i="1"/>
  <c r="CB35" i="1"/>
  <c r="DB61" i="1"/>
  <c r="DB60" i="1"/>
  <c r="DB353" i="1"/>
  <c r="CP88" i="1"/>
  <c r="CP89" i="1"/>
  <c r="DA290" i="1"/>
  <c r="DA154" i="1"/>
  <c r="DB154" i="1"/>
  <c r="DF177" i="1"/>
  <c r="DF135" i="1"/>
  <c r="DG135" i="1"/>
  <c r="CW103" i="1"/>
  <c r="DD155" i="1"/>
  <c r="CY165" i="1"/>
  <c r="CY166" i="1"/>
  <c r="CZ357" i="1"/>
  <c r="CZ242" i="1"/>
  <c r="CZ235" i="1"/>
  <c r="CR154" i="1"/>
  <c r="CQ154" i="1"/>
  <c r="CQ290" i="1"/>
  <c r="DF234" i="2"/>
  <c r="DF201" i="1"/>
  <c r="CS172" i="1"/>
  <c r="CS62" i="1"/>
  <c r="CS63" i="1"/>
  <c r="DA62" i="1"/>
  <c r="DA63" i="1"/>
  <c r="CF296" i="1"/>
  <c r="CX222" i="1"/>
  <c r="CX258" i="1"/>
  <c r="CE223" i="1"/>
  <c r="CE286" i="1"/>
  <c r="BM35" i="1"/>
  <c r="CQ205" i="1"/>
  <c r="CQ206" i="1"/>
  <c r="CQ207" i="1"/>
  <c r="CW150" i="1"/>
  <c r="CW155" i="1"/>
  <c r="CQ245" i="1"/>
  <c r="CO111" i="1"/>
  <c r="CS176" i="1"/>
  <c r="CW176" i="1"/>
  <c r="DB359" i="1"/>
  <c r="CM231" i="2"/>
  <c r="DB66" i="2"/>
  <c r="DB31" i="2"/>
  <c r="DG133" i="1"/>
  <c r="DF175" i="1"/>
  <c r="CV259" i="1"/>
  <c r="CV234" i="2"/>
  <c r="DE109" i="1"/>
  <c r="CM291" i="2"/>
  <c r="CY235" i="1"/>
  <c r="CY242" i="1"/>
  <c r="CY357" i="1"/>
  <c r="CL111" i="1"/>
  <c r="DA88" i="1"/>
  <c r="DA89" i="1"/>
  <c r="DF36" i="1"/>
  <c r="DF33" i="1"/>
  <c r="DG33" i="1"/>
  <c r="CR221" i="1"/>
  <c r="CM141" i="1"/>
  <c r="CN173" i="1"/>
  <c r="CN234" i="2"/>
  <c r="CV289" i="1"/>
  <c r="CV153" i="1"/>
  <c r="CW153" i="1"/>
  <c r="BQ196" i="1"/>
  <c r="CN158" i="2"/>
  <c r="CN160" i="2"/>
  <c r="CN228" i="2"/>
  <c r="DB178" i="1"/>
  <c r="CW107" i="1"/>
  <c r="CW110" i="1"/>
  <c r="CW111" i="1"/>
  <c r="CT357" i="1"/>
  <c r="CT242" i="1"/>
  <c r="CT235" i="1"/>
  <c r="CW55" i="1"/>
  <c r="CW56" i="1"/>
  <c r="CZ110" i="1"/>
  <c r="CZ107" i="1"/>
  <c r="CZ109" i="1"/>
  <c r="CP342" i="1"/>
  <c r="CX178" i="1"/>
  <c r="BS330" i="1"/>
  <c r="CP219" i="2"/>
  <c r="DF237" i="1"/>
  <c r="CW330" i="1"/>
  <c r="CX233" i="1"/>
  <c r="DB233" i="1"/>
  <c r="CT166" i="1"/>
  <c r="DA259" i="1"/>
  <c r="CV354" i="1"/>
  <c r="DA296" i="1"/>
  <c r="DF109" i="1"/>
  <c r="CV178" i="1"/>
  <c r="DB228" i="2"/>
  <c r="DC199" i="1"/>
  <c r="CW22" i="1"/>
  <c r="CW23" i="1"/>
  <c r="CW24" i="1"/>
  <c r="CR135" i="1"/>
  <c r="CQ135" i="1"/>
  <c r="CQ177" i="1"/>
  <c r="CW178" i="1"/>
  <c r="DG25" i="1"/>
  <c r="CQ35" i="1"/>
  <c r="CS222" i="1"/>
  <c r="CS258" i="1"/>
  <c r="BI201" i="1"/>
  <c r="DG231" i="1"/>
  <c r="DF231" i="1"/>
  <c r="CV177" i="1"/>
  <c r="CM88" i="1"/>
  <c r="CM89" i="1"/>
  <c r="CZ71" i="1"/>
  <c r="CN293" i="2"/>
  <c r="CP149" i="1"/>
  <c r="CW8" i="1"/>
  <c r="CW335" i="1"/>
  <c r="DG103" i="1"/>
  <c r="BQ192" i="1"/>
  <c r="CR103" i="1"/>
  <c r="DG62" i="1"/>
  <c r="DG63" i="1"/>
  <c r="CK231" i="1"/>
  <c r="CU237" i="1"/>
  <c r="CV71" i="1"/>
  <c r="CT254" i="1"/>
  <c r="CS231" i="1"/>
  <c r="CQ41" i="1"/>
  <c r="DC219" i="2"/>
  <c r="CP232" i="2"/>
  <c r="CP296" i="1"/>
  <c r="CX109" i="1"/>
  <c r="CS71" i="1"/>
  <c r="CR237" i="1"/>
  <c r="CW263" i="1"/>
  <c r="CR214" i="1"/>
  <c r="CM245" i="1"/>
  <c r="CL353" i="1"/>
  <c r="CL60" i="1"/>
  <c r="CL61" i="1"/>
  <c r="CY259" i="1"/>
  <c r="CS231" i="2"/>
  <c r="CE354" i="1"/>
  <c r="DD234" i="2"/>
  <c r="DA231" i="2"/>
  <c r="DG223" i="1"/>
  <c r="BO30" i="2"/>
  <c r="CC9" i="1"/>
  <c r="CC329" i="1"/>
  <c r="DG69" i="2"/>
  <c r="DB221" i="1"/>
  <c r="BZ35" i="1"/>
  <c r="DB214" i="1"/>
  <c r="CZ148" i="1"/>
  <c r="BW35" i="1"/>
  <c r="CK237" i="1"/>
  <c r="CK71" i="1"/>
  <c r="CM71" i="1"/>
  <c r="BC354" i="1"/>
  <c r="CK155" i="1"/>
  <c r="CU357" i="1"/>
  <c r="CU242" i="1"/>
  <c r="CU235" i="1"/>
  <c r="DD62" i="1"/>
  <c r="DD63" i="1"/>
  <c r="CZ192" i="1"/>
  <c r="CM155" i="1"/>
  <c r="CD259" i="1"/>
  <c r="DB249" i="1"/>
  <c r="DB251" i="1"/>
  <c r="CU234" i="2"/>
  <c r="CV173" i="1"/>
  <c r="CV165" i="1"/>
  <c r="CV166" i="1"/>
  <c r="CS178" i="1"/>
  <c r="CK259" i="1"/>
  <c r="CN357" i="1"/>
  <c r="CN242" i="1"/>
  <c r="CN235" i="1"/>
  <c r="DD231" i="1"/>
  <c r="CO189" i="1"/>
  <c r="CT189" i="1"/>
  <c r="DG205" i="1"/>
  <c r="DG206" i="1"/>
  <c r="DG207" i="1"/>
  <c r="CL23" i="1"/>
  <c r="CL24" i="1"/>
  <c r="CG342" i="1"/>
  <c r="CV27" i="1"/>
  <c r="CV28" i="1"/>
  <c r="CV29" i="1"/>
  <c r="CN199" i="1"/>
  <c r="CO231" i="2"/>
  <c r="DG214" i="1"/>
  <c r="DC296" i="1"/>
  <c r="CT111" i="1"/>
  <c r="CU245" i="1"/>
  <c r="DA95" i="1"/>
  <c r="DC222" i="1"/>
  <c r="DC258" i="1"/>
  <c r="CX172" i="1"/>
  <c r="CX62" i="1"/>
  <c r="CX63" i="1"/>
  <c r="CL88" i="1"/>
  <c r="CL89" i="1"/>
  <c r="CP286" i="1"/>
  <c r="CQ199" i="1"/>
  <c r="CQ237" i="1"/>
  <c r="CI296" i="1"/>
  <c r="CL234" i="2"/>
  <c r="CN166" i="2"/>
  <c r="CN193" i="2"/>
  <c r="CN219" i="2"/>
  <c r="CR22" i="1"/>
  <c r="CR23" i="1"/>
  <c r="CR24" i="1"/>
  <c r="CL51" i="1"/>
  <c r="CL52" i="1"/>
  <c r="BY34" i="1"/>
  <c r="CW192" i="1"/>
  <c r="CV205" i="1"/>
  <c r="CV206" i="1"/>
  <c r="CV207" i="1"/>
  <c r="DF231" i="2"/>
  <c r="DA219" i="2"/>
  <c r="CS245" i="1"/>
  <c r="CR244" i="1"/>
  <c r="DH34" i="2"/>
  <c r="DE237" i="1"/>
  <c r="DF71" i="1"/>
  <c r="DA163" i="1"/>
  <c r="DG165" i="1"/>
  <c r="DG166" i="1"/>
  <c r="CV135" i="1"/>
  <c r="CW135" i="1"/>
  <c r="CX177" i="1"/>
  <c r="DB177" i="1"/>
  <c r="DF18" i="1"/>
  <c r="DF19" i="1"/>
  <c r="CR259" i="1"/>
  <c r="CT231" i="1"/>
  <c r="CK165" i="1"/>
  <c r="CK166" i="1"/>
  <c r="CZ150" i="1"/>
  <c r="CZ189" i="1"/>
  <c r="CM213" i="1"/>
  <c r="CM257" i="1"/>
  <c r="CV22" i="1"/>
  <c r="CV23" i="1"/>
  <c r="CV24" i="1"/>
  <c r="CD342" i="1"/>
  <c r="CG357" i="1"/>
  <c r="CD355" i="1"/>
  <c r="DD150" i="1"/>
  <c r="CR27" i="1"/>
  <c r="CR28" i="1"/>
  <c r="CR29" i="1"/>
  <c r="DA22" i="1"/>
  <c r="DB22" i="1"/>
  <c r="DB23" i="1"/>
  <c r="DB24" i="1"/>
  <c r="CQ173" i="1"/>
  <c r="DA109" i="1"/>
  <c r="DE355" i="1"/>
  <c r="CV39" i="1"/>
  <c r="CV40" i="1"/>
  <c r="CZ245" i="1"/>
  <c r="DE178" i="1"/>
  <c r="CW30" i="2"/>
  <c r="DA330" i="1"/>
  <c r="DF178" i="1"/>
  <c r="DF88" i="1"/>
  <c r="DF89" i="1"/>
  <c r="DG27" i="1"/>
  <c r="DG28" i="1"/>
  <c r="DG29" i="1"/>
  <c r="CQ259" i="1"/>
  <c r="DA178" i="1"/>
  <c r="CV329" i="1"/>
  <c r="BR35" i="1"/>
  <c r="CT109" i="1"/>
  <c r="CT107" i="1"/>
  <c r="CT110" i="1"/>
  <c r="CW214" i="1"/>
  <c r="CQ286" i="1"/>
  <c r="CQ291" i="1"/>
  <c r="CD39" i="2"/>
  <c r="CD29" i="2"/>
  <c r="CD33" i="2"/>
  <c r="DD231" i="2"/>
  <c r="CM54" i="1"/>
  <c r="CM249" i="1"/>
  <c r="CM251" i="1"/>
  <c r="CN110" i="1"/>
  <c r="CN111" i="1"/>
  <c r="BP35" i="1"/>
  <c r="CQ22" i="1"/>
  <c r="CQ23" i="1"/>
  <c r="CQ24" i="1"/>
  <c r="CR109" i="1"/>
  <c r="CZ225" i="1"/>
  <c r="DE225" i="1"/>
  <c r="DE148" i="1"/>
  <c r="DB103" i="1"/>
  <c r="BH35" i="1"/>
  <c r="CK150" i="1"/>
  <c r="CQ95" i="1"/>
  <c r="CM150" i="1"/>
  <c r="CZ199" i="1"/>
  <c r="DC67" i="2"/>
  <c r="CM34" i="2"/>
  <c r="CS235" i="1"/>
  <c r="CS242" i="1"/>
  <c r="CS357" i="1"/>
  <c r="CQ62" i="1"/>
  <c r="CQ63" i="1"/>
  <c r="S80" i="2"/>
  <c r="CL178" i="1"/>
  <c r="CP222" i="1"/>
  <c r="CP258" i="1"/>
  <c r="DF164" i="2"/>
  <c r="DF166" i="2"/>
  <c r="DF193" i="2"/>
  <c r="DF219" i="2"/>
  <c r="CL245" i="1"/>
  <c r="DA289" i="1"/>
  <c r="DA153" i="1"/>
  <c r="DB153" i="1"/>
  <c r="CM342" i="1"/>
  <c r="CL109" i="1"/>
  <c r="CL107" i="1"/>
  <c r="CL110" i="1"/>
  <c r="DF55" i="1"/>
  <c r="DF56" i="1"/>
  <c r="CV38" i="1"/>
  <c r="CW38" i="1"/>
  <c r="DB41" i="1"/>
  <c r="CW32" i="2"/>
  <c r="CO235" i="1"/>
  <c r="CO242" i="1"/>
  <c r="CO357" i="1"/>
  <c r="CU149" i="1"/>
  <c r="CW64" i="2"/>
  <c r="CW29" i="2"/>
  <c r="CK222" i="1"/>
  <c r="CK258" i="1"/>
  <c r="DB232" i="2"/>
  <c r="CX163" i="1"/>
  <c r="CM219" i="1"/>
  <c r="DF192" i="1"/>
  <c r="CL149" i="1"/>
  <c r="CM149" i="1"/>
  <c r="CN180" i="1"/>
  <c r="CR180" i="1"/>
  <c r="CV149" i="1"/>
  <c r="CW149" i="1"/>
  <c r="CX180" i="1"/>
  <c r="DB180" i="1"/>
  <c r="CL135" i="1"/>
  <c r="CM135" i="1"/>
  <c r="CN177" i="1"/>
  <c r="CR177" i="1"/>
  <c r="CH166" i="1"/>
  <c r="DG95" i="1"/>
  <c r="DC245" i="1"/>
  <c r="CU232" i="2"/>
  <c r="DF289" i="1"/>
  <c r="DA150" i="1"/>
  <c r="CZ219" i="2"/>
  <c r="DA232" i="2"/>
  <c r="DG176" i="1"/>
  <c r="CQ256" i="1"/>
  <c r="CQ234" i="1"/>
  <c r="CQ244" i="1"/>
  <c r="CV296" i="1"/>
  <c r="DA8" i="1"/>
  <c r="DA335" i="1"/>
  <c r="CP172" i="1"/>
  <c r="CS296" i="1"/>
  <c r="CL150" i="1"/>
  <c r="CQ222" i="1"/>
  <c r="CQ258" i="1"/>
  <c r="CQ176" i="1"/>
  <c r="CQ216" i="1"/>
  <c r="DF133" i="1"/>
  <c r="DF213" i="1"/>
  <c r="DF257" i="1"/>
  <c r="CP199" i="1"/>
  <c r="DG215" i="1"/>
  <c r="DC176" i="1"/>
  <c r="CV357" i="1"/>
  <c r="CR213" i="1"/>
  <c r="CR257" i="1"/>
  <c r="AX201" i="1"/>
  <c r="CL95" i="1"/>
  <c r="CE231" i="1"/>
  <c r="DA256" i="1"/>
  <c r="DC179" i="1"/>
  <c r="DG179" i="1"/>
  <c r="CS150" i="1"/>
  <c r="DC355" i="1"/>
  <c r="DF149" i="1"/>
  <c r="DG149" i="1"/>
  <c r="DG288" i="1"/>
  <c r="CZ259" i="1"/>
  <c r="CX192" i="1"/>
  <c r="DH158" i="2"/>
  <c r="DH160" i="2"/>
  <c r="DH228" i="2"/>
  <c r="CW286" i="1"/>
  <c r="CW291" i="1"/>
  <c r="CR165" i="1"/>
  <c r="CR245" i="1"/>
  <c r="CO172" i="1"/>
  <c r="CO62" i="1"/>
  <c r="CO63" i="1"/>
  <c r="CE226" i="1"/>
  <c r="CE149" i="1"/>
  <c r="CE180" i="1"/>
  <c r="CH180" i="1"/>
  <c r="DG15" i="2"/>
  <c r="DF22" i="1"/>
  <c r="DG22" i="1"/>
  <c r="DG23" i="1"/>
  <c r="DG24" i="1"/>
  <c r="CZ149" i="1"/>
  <c r="CX234" i="2"/>
  <c r="DA250" i="1"/>
  <c r="CR62" i="1"/>
  <c r="CR63" i="1"/>
  <c r="CL286" i="1"/>
  <c r="CL291" i="1"/>
  <c r="CS213" i="1"/>
  <c r="CS257" i="1"/>
  <c r="DC193" i="2"/>
  <c r="DC234" i="2"/>
  <c r="DG66" i="2"/>
  <c r="DG31" i="2"/>
  <c r="CT252" i="1"/>
  <c r="DG139" i="1"/>
  <c r="CO150" i="1"/>
  <c r="CO155" i="1"/>
  <c r="CP234" i="2"/>
  <c r="CP166" i="2"/>
  <c r="CP193" i="2"/>
  <c r="CP231" i="2"/>
  <c r="CP164" i="2"/>
  <c r="CV293" i="1"/>
  <c r="DE231" i="2"/>
  <c r="DD254" i="1"/>
  <c r="DE286" i="1"/>
  <c r="DE291" i="1"/>
  <c r="CK94" i="1"/>
  <c r="CR95" i="1"/>
  <c r="CP148" i="1"/>
  <c r="CU225" i="1"/>
  <c r="CP225" i="1"/>
  <c r="CK148" i="1"/>
  <c r="CO95" i="1"/>
  <c r="CQ257" i="1"/>
  <c r="CF259" i="1"/>
  <c r="DD193" i="2"/>
  <c r="DD219" i="2"/>
  <c r="CY234" i="2"/>
  <c r="DC166" i="2"/>
  <c r="CW147" i="1"/>
  <c r="DB222" i="1"/>
  <c r="DB258" i="1"/>
  <c r="CY237" i="1"/>
  <c r="BM59" i="2"/>
  <c r="DA148" i="1"/>
  <c r="DB231" i="2"/>
  <c r="DB164" i="2"/>
  <c r="DB274" i="1"/>
  <c r="DH231" i="2"/>
  <c r="BI196" i="1"/>
  <c r="CR231" i="1"/>
  <c r="CQ8" i="1"/>
  <c r="CQ335" i="1"/>
  <c r="CS252" i="1"/>
  <c r="CS254" i="1"/>
  <c r="DF163" i="2"/>
  <c r="CS32" i="2"/>
  <c r="CV103" i="1"/>
  <c r="CV106" i="1"/>
  <c r="CW106" i="1"/>
  <c r="CS193" i="2"/>
  <c r="CS234" i="2"/>
  <c r="CU205" i="1"/>
  <c r="CU206" i="1"/>
  <c r="CU207" i="1"/>
  <c r="CO342" i="1"/>
  <c r="CX296" i="1"/>
  <c r="DG359" i="1"/>
  <c r="DB237" i="1"/>
  <c r="DC71" i="1"/>
  <c r="DG71" i="1"/>
  <c r="DB191" i="2"/>
  <c r="DB217" i="2"/>
  <c r="CG201" i="1"/>
  <c r="CH199" i="1"/>
  <c r="CI198" i="1"/>
  <c r="CI201" i="1"/>
  <c r="CL355" i="1"/>
  <c r="CV256" i="1"/>
  <c r="CV232" i="2"/>
  <c r="CV166" i="2"/>
  <c r="CV193" i="2"/>
  <c r="CV219" i="2"/>
  <c r="CG354" i="1"/>
  <c r="CP178" i="1"/>
  <c r="CP355" i="1"/>
  <c r="CV192" i="1"/>
  <c r="CQ109" i="1"/>
  <c r="CR228" i="2"/>
  <c r="BO59" i="2"/>
  <c r="CH178" i="1"/>
  <c r="CH173" i="1"/>
  <c r="CH354" i="1"/>
  <c r="DB64" i="2"/>
  <c r="DB29" i="2"/>
  <c r="DD166" i="1"/>
  <c r="CS355" i="1"/>
  <c r="CS175" i="1"/>
  <c r="CW175" i="1"/>
  <c r="DC158" i="2"/>
  <c r="DC160" i="2"/>
  <c r="DC228" i="2"/>
  <c r="DF189" i="1"/>
  <c r="DA216" i="1"/>
  <c r="DA176" i="1"/>
  <c r="DG46" i="1"/>
  <c r="DG43" i="1"/>
  <c r="DF43" i="1"/>
  <c r="CV18" i="1"/>
  <c r="CV19" i="1"/>
  <c r="DA33" i="1"/>
  <c r="DB33" i="1"/>
  <c r="DB34" i="1"/>
  <c r="DB35" i="1"/>
  <c r="CV17" i="1"/>
  <c r="CW17" i="1"/>
  <c r="CW18" i="1"/>
  <c r="CW19" i="1"/>
  <c r="CY192" i="1"/>
  <c r="DD189" i="1"/>
  <c r="DD192" i="1"/>
  <c r="DA107" i="1"/>
  <c r="DA110" i="1"/>
  <c r="DA111" i="1"/>
  <c r="DF222" i="1"/>
  <c r="DF258" i="1"/>
  <c r="DA213" i="1"/>
  <c r="CL22" i="1"/>
  <c r="CM22" i="1"/>
  <c r="CM23" i="1"/>
  <c r="CM24" i="1"/>
  <c r="CQ51" i="1"/>
  <c r="CQ52" i="1"/>
  <c r="CR38" i="1"/>
  <c r="CQ38" i="1"/>
  <c r="CQ39" i="1"/>
  <c r="CQ40" i="1"/>
  <c r="CW34" i="2"/>
  <c r="CW33" i="2"/>
  <c r="CV9" i="1"/>
  <c r="CR346" i="1"/>
  <c r="CD286" i="1"/>
  <c r="CD291" i="1"/>
  <c r="CF166" i="1"/>
  <c r="CV170" i="1"/>
  <c r="CV182" i="1"/>
  <c r="DC172" i="1"/>
  <c r="CW219" i="2"/>
  <c r="DA86" i="1"/>
  <c r="DA94" i="1"/>
  <c r="CK163" i="1"/>
  <c r="DB109" i="1"/>
  <c r="DG88" i="1"/>
  <c r="DG89" i="1"/>
  <c r="CQ192" i="1"/>
  <c r="DB67" i="2"/>
  <c r="DG32" i="2"/>
  <c r="CY178" i="1"/>
  <c r="CY355" i="1"/>
  <c r="DC231" i="2"/>
  <c r="CM165" i="1"/>
  <c r="CM166" i="1"/>
  <c r="CM51" i="1"/>
  <c r="CM52" i="1"/>
  <c r="CV111" i="1"/>
  <c r="DE95" i="1"/>
  <c r="CH259" i="1"/>
  <c r="CU62" i="1"/>
  <c r="CU63" i="1"/>
  <c r="CI166" i="1"/>
  <c r="CX232" i="2"/>
  <c r="DE231" i="1"/>
  <c r="CW95" i="1"/>
  <c r="BA209" i="1"/>
  <c r="BA210" i="1"/>
  <c r="CG35" i="1"/>
  <c r="DG65" i="1"/>
  <c r="CV88" i="1"/>
  <c r="CV89" i="1"/>
  <c r="CO252" i="1"/>
  <c r="CV176" i="1"/>
  <c r="CV216" i="1"/>
  <c r="DA222" i="1"/>
  <c r="CG231" i="1"/>
  <c r="CO35" i="1"/>
  <c r="BK34" i="1"/>
  <c r="BP34" i="1"/>
  <c r="BU34" i="1"/>
  <c r="BZ34" i="1"/>
  <c r="CE34" i="1"/>
  <c r="CJ34" i="1"/>
  <c r="CO34" i="1"/>
  <c r="CT34" i="1"/>
  <c r="DA205" i="1"/>
  <c r="DA206" i="1"/>
  <c r="DA207" i="1"/>
  <c r="CV55" i="1"/>
  <c r="CV56" i="1"/>
  <c r="BO32" i="2"/>
  <c r="DC235" i="1"/>
  <c r="DC242" i="1"/>
  <c r="DC357" i="1"/>
  <c r="CP226" i="1"/>
  <c r="CU226" i="1"/>
  <c r="CZ226" i="1"/>
  <c r="DE226" i="1"/>
  <c r="DE149" i="1"/>
  <c r="BO55" i="2"/>
  <c r="BO29" i="2"/>
  <c r="BO33" i="2"/>
  <c r="BN9" i="1"/>
  <c r="BN329" i="1"/>
  <c r="CM235" i="1"/>
  <c r="CM242" i="1"/>
  <c r="CM357" i="1"/>
  <c r="DE235" i="1"/>
  <c r="DE242" i="1"/>
  <c r="DE357" i="1"/>
  <c r="CG296" i="1"/>
  <c r="CW357" i="1"/>
  <c r="BA201" i="1"/>
  <c r="CX32" i="2"/>
  <c r="DB9" i="1"/>
  <c r="DB329" i="1"/>
  <c r="DC65" i="2"/>
  <c r="DC30" i="2"/>
  <c r="DG330" i="1"/>
  <c r="DF354" i="1"/>
  <c r="CN296" i="1"/>
  <c r="CV189" i="1"/>
  <c r="DB216" i="1"/>
  <c r="DB256" i="1"/>
  <c r="DB259" i="1"/>
  <c r="CN231" i="2"/>
  <c r="CK149" i="1"/>
  <c r="CK180" i="1"/>
  <c r="CM180" i="1"/>
  <c r="CQ149" i="1"/>
  <c r="CR149" i="1"/>
  <c r="CS180" i="1"/>
  <c r="CW180" i="1"/>
  <c r="DA149" i="1"/>
  <c r="DB149" i="1"/>
  <c r="DC180" i="1"/>
  <c r="DG180" i="1"/>
  <c r="CK293" i="1"/>
  <c r="CU231" i="1"/>
  <c r="CW228" i="2"/>
  <c r="BH194" i="1"/>
  <c r="BH196" i="1"/>
  <c r="AW196" i="1"/>
  <c r="AW201" i="1"/>
  <c r="CK342" i="1"/>
  <c r="CK131" i="1"/>
  <c r="CK137" i="1"/>
  <c r="CK142" i="1"/>
  <c r="CK283" i="1"/>
  <c r="CX235" i="1"/>
  <c r="CX242" i="1"/>
  <c r="CX357" i="1"/>
  <c r="CK192" i="1"/>
  <c r="DC233" i="1"/>
  <c r="DG233" i="1"/>
  <c r="DB213" i="1"/>
  <c r="DB257" i="1"/>
  <c r="CQ55" i="1"/>
  <c r="CQ56" i="1"/>
  <c r="CV148" i="1"/>
  <c r="CY172" i="1"/>
  <c r="CK107" i="1"/>
  <c r="CK110" i="1"/>
  <c r="CK111" i="1"/>
  <c r="CN32" i="2"/>
  <c r="CU355" i="1"/>
  <c r="CQ231" i="1"/>
  <c r="CW189" i="1"/>
  <c r="CS189" i="1"/>
  <c r="CS192" i="1"/>
  <c r="CZ165" i="1"/>
  <c r="CZ166" i="1"/>
  <c r="CR329" i="1"/>
  <c r="CO199" i="1"/>
  <c r="CZ232" i="2"/>
  <c r="DH30" i="2"/>
  <c r="DH65" i="2"/>
  <c r="DH67" i="2"/>
  <c r="DG357" i="1"/>
  <c r="DF234" i="1"/>
  <c r="CW274" i="1"/>
  <c r="DE254" i="1"/>
  <c r="CV150" i="1"/>
  <c r="CV155" i="1"/>
  <c r="AY210" i="1"/>
  <c r="CM243" i="1"/>
  <c r="DF62" i="1"/>
  <c r="DF63" i="1"/>
  <c r="DE252" i="1"/>
  <c r="DD252" i="1"/>
  <c r="CL175" i="1"/>
  <c r="CM175" i="1"/>
  <c r="CM355" i="1"/>
  <c r="DF139" i="1"/>
  <c r="DF172" i="1"/>
  <c r="CP163" i="2"/>
  <c r="CP231" i="1"/>
  <c r="CP137" i="1"/>
  <c r="CP142" i="1"/>
  <c r="CP283" i="1"/>
  <c r="CP293" i="1"/>
  <c r="CR65" i="1"/>
  <c r="DC231" i="1"/>
  <c r="CV163" i="1"/>
  <c r="CL35" i="1"/>
  <c r="DF245" i="1"/>
  <c r="CQ213" i="1"/>
  <c r="DD296" i="1"/>
  <c r="DC205" i="1"/>
  <c r="DC206" i="1"/>
  <c r="DC207" i="1"/>
  <c r="CN291" i="1"/>
  <c r="DG155" i="1"/>
  <c r="CM270" i="1"/>
  <c r="DH163" i="2"/>
  <c r="DH164" i="2"/>
  <c r="DH232" i="2"/>
  <c r="CR141" i="1"/>
  <c r="CS173" i="1"/>
  <c r="CW173" i="1"/>
  <c r="CM68" i="2"/>
  <c r="CM69" i="2"/>
  <c r="CH277" i="1"/>
  <c r="CZ296" i="1"/>
  <c r="CN148" i="1"/>
  <c r="CN179" i="1"/>
  <c r="CR179" i="1"/>
  <c r="CS286" i="1"/>
  <c r="CS291" i="1"/>
  <c r="CX213" i="1"/>
  <c r="CX257" i="1"/>
  <c r="DG274" i="1"/>
  <c r="CW231" i="2"/>
  <c r="CO137" i="1"/>
  <c r="CO142" i="1"/>
  <c r="CO283" i="1"/>
  <c r="CO293" i="1"/>
  <c r="CW273" i="1"/>
  <c r="CX148" i="1"/>
  <c r="CX179" i="1"/>
  <c r="DB179" i="1"/>
  <c r="CS259" i="1"/>
  <c r="CU172" i="1"/>
  <c r="CM231" i="1"/>
  <c r="DC32" i="2"/>
  <c r="DC28" i="2"/>
  <c r="DC33" i="2"/>
  <c r="DD165" i="1"/>
  <c r="DD245" i="1"/>
  <c r="CF231" i="1"/>
  <c r="DF150" i="1"/>
  <c r="DF155" i="1"/>
  <c r="CT342" i="1"/>
  <c r="CX67" i="2"/>
  <c r="DB86" i="1"/>
  <c r="DB94" i="1"/>
  <c r="DD111" i="1"/>
  <c r="DG213" i="1"/>
  <c r="DG257" i="1"/>
  <c r="DG68" i="2"/>
  <c r="DG67" i="2"/>
  <c r="CN213" i="1"/>
  <c r="CN257" i="1"/>
  <c r="CN286" i="1"/>
  <c r="CM293" i="2"/>
  <c r="CS163" i="1"/>
  <c r="CS165" i="1"/>
  <c r="CS166" i="1"/>
  <c r="DA234" i="2"/>
  <c r="DA164" i="2"/>
  <c r="DA166" i="2"/>
  <c r="DA193" i="2"/>
  <c r="AW192" i="1"/>
  <c r="CQ232" i="2"/>
  <c r="CQ166" i="2"/>
  <c r="CQ193" i="2"/>
  <c r="CQ219" i="2"/>
  <c r="CR270" i="1"/>
  <c r="CG199" i="1"/>
  <c r="DG8" i="1"/>
  <c r="DG335" i="1"/>
  <c r="DG191" i="2"/>
  <c r="DG217" i="2"/>
  <c r="CI150" i="1"/>
  <c r="CI155" i="1"/>
  <c r="CI165" i="1"/>
  <c r="CT234" i="2"/>
  <c r="CX355" i="1"/>
  <c r="CV8" i="1"/>
  <c r="CV335" i="1"/>
  <c r="CU192" i="1"/>
  <c r="DD172" i="1"/>
  <c r="DB231" i="1"/>
  <c r="CD178" i="1"/>
  <c r="CD173" i="1"/>
  <c r="CD354" i="1"/>
  <c r="CQ164" i="2"/>
  <c r="CQ231" i="2"/>
  <c r="DB163" i="1"/>
  <c r="DB165" i="1"/>
  <c r="DB166" i="1"/>
  <c r="CM286" i="1"/>
  <c r="CM291" i="1"/>
  <c r="CN205" i="1"/>
  <c r="CN206" i="1"/>
  <c r="CN207" i="1"/>
  <c r="CJ296" i="1"/>
  <c r="BR209" i="1"/>
  <c r="DG51" i="1"/>
  <c r="DG52" i="1"/>
  <c r="CU178" i="1"/>
  <c r="DE259" i="1"/>
  <c r="DH234" i="2"/>
  <c r="CJ259" i="1"/>
  <c r="CS166" i="2"/>
  <c r="CO234" i="2"/>
  <c r="CL148" i="1"/>
  <c r="DG86" i="1"/>
  <c r="DG94" i="1"/>
  <c r="AY209" i="1"/>
  <c r="CQ175" i="1"/>
  <c r="CQ355" i="1"/>
  <c r="CL252" i="1"/>
  <c r="CL254" i="1"/>
  <c r="CC39" i="2"/>
  <c r="CX150" i="1"/>
  <c r="CX189" i="1"/>
  <c r="DB189" i="1"/>
  <c r="DB192" i="1"/>
  <c r="CM222" i="1"/>
  <c r="CM258" i="1"/>
  <c r="DF296" i="1"/>
  <c r="CV231" i="2"/>
  <c r="CV164" i="2"/>
  <c r="DG231" i="2"/>
  <c r="CW141" i="1"/>
  <c r="CX173" i="1"/>
  <c r="DB173" i="1"/>
  <c r="CF354" i="1"/>
  <c r="CW191" i="2"/>
  <c r="CW217" i="2"/>
  <c r="DE222" i="1"/>
  <c r="DE258" i="1"/>
  <c r="CD222" i="1"/>
  <c r="CD258" i="1"/>
  <c r="CU109" i="1"/>
  <c r="CH243" i="1"/>
  <c r="CT95" i="1"/>
  <c r="DC86" i="1"/>
  <c r="DC94" i="1"/>
  <c r="DC293" i="1"/>
  <c r="CY201" i="1"/>
  <c r="CY199" i="1"/>
  <c r="CZ198" i="1"/>
  <c r="CT165" i="1"/>
  <c r="CT245" i="1"/>
  <c r="CR32" i="2"/>
  <c r="DG34" i="2"/>
  <c r="CR249" i="1"/>
  <c r="CR251" i="1"/>
  <c r="CQ148" i="1"/>
  <c r="CW43" i="1"/>
  <c r="CV43" i="1"/>
  <c r="CV44" i="1"/>
  <c r="CV45" i="1"/>
  <c r="CS163" i="2"/>
  <c r="CS164" i="2"/>
  <c r="CS232" i="2"/>
  <c r="CS342" i="1"/>
  <c r="CL163" i="1"/>
  <c r="CL165" i="1"/>
  <c r="CL166" i="1"/>
  <c r="CC31" i="2"/>
  <c r="CC28" i="2"/>
  <c r="CC33" i="2"/>
  <c r="CB9" i="1"/>
  <c r="CB329" i="1"/>
  <c r="CW67" i="2"/>
  <c r="CW28" i="2"/>
  <c r="CU342" i="1"/>
  <c r="CU107" i="1"/>
  <c r="CU110" i="1"/>
  <c r="CU111" i="1"/>
  <c r="CQ107" i="1"/>
  <c r="CQ110" i="1"/>
  <c r="CQ111" i="1"/>
  <c r="CL234" i="1"/>
  <c r="CL243" i="1"/>
  <c r="BR192" i="1"/>
  <c r="BR196" i="1"/>
  <c r="DG234" i="2"/>
  <c r="CO163" i="2"/>
  <c r="CO164" i="2"/>
  <c r="CO166" i="2"/>
  <c r="CO193" i="2"/>
  <c r="CO219" i="2"/>
  <c r="CX65" i="2"/>
  <c r="CX30" i="2"/>
  <c r="DB330" i="1"/>
  <c r="CW234" i="2"/>
  <c r="CW166" i="2"/>
  <c r="CW193" i="2"/>
  <c r="CM65" i="1"/>
  <c r="CY296" i="1"/>
  <c r="CS34" i="2"/>
  <c r="CS28" i="2"/>
  <c r="CS33" i="2"/>
  <c r="CR9" i="1"/>
  <c r="CX28" i="2"/>
  <c r="CX33" i="2"/>
  <c r="CW9" i="1"/>
  <c r="CW329" i="1"/>
  <c r="CD30" i="2"/>
  <c r="CY163" i="1"/>
  <c r="CR273" i="1"/>
  <c r="CR274" i="1"/>
  <c r="CL342" i="1"/>
  <c r="CK31" i="2"/>
  <c r="CK28" i="2"/>
  <c r="CN95" i="1"/>
  <c r="DB43" i="1"/>
  <c r="DA43" i="1"/>
  <c r="DA44" i="1"/>
  <c r="DA45" i="1"/>
  <c r="CU166" i="2"/>
  <c r="CU193" i="2"/>
  <c r="CU219" i="2"/>
  <c r="CL9" i="1"/>
  <c r="CL329" i="1"/>
  <c r="CK205" i="1"/>
  <c r="CK206" i="1"/>
  <c r="CK207" i="1"/>
  <c r="DF107" i="1"/>
  <c r="DF110" i="1"/>
  <c r="DF111" i="1"/>
  <c r="CC55" i="2"/>
  <c r="CO245" i="1"/>
  <c r="CQ189" i="1"/>
  <c r="CZ86" i="1"/>
  <c r="CZ94" i="1"/>
  <c r="CZ95" i="1"/>
  <c r="CQ33" i="1"/>
  <c r="CR33" i="1"/>
  <c r="CR34" i="1"/>
  <c r="CR35" i="1"/>
  <c r="CR286" i="1"/>
  <c r="CR291" i="1"/>
  <c r="DC107" i="1"/>
  <c r="DC110" i="1"/>
  <c r="DC111" i="1"/>
  <c r="CR64" i="2"/>
  <c r="CR29" i="2"/>
  <c r="CF355" i="1"/>
  <c r="CF178" i="1"/>
  <c r="CF173" i="1"/>
  <c r="CL86" i="1"/>
  <c r="CL94" i="1"/>
  <c r="BF194" i="1"/>
  <c r="BF196" i="1"/>
  <c r="BF201" i="1"/>
  <c r="CM95" i="1"/>
  <c r="CM354" i="1"/>
  <c r="CO131" i="1"/>
  <c r="CO237" i="1"/>
  <c r="CP71" i="1"/>
  <c r="CR54" i="1"/>
  <c r="CR55" i="1"/>
  <c r="CR56" i="1"/>
  <c r="DG242" i="1"/>
  <c r="DG235" i="1"/>
  <c r="DG234" i="1"/>
  <c r="DE232" i="2"/>
  <c r="DB27" i="1"/>
  <c r="DB28" i="1"/>
  <c r="DB29" i="1"/>
  <c r="BE196" i="1"/>
  <c r="BE201" i="1"/>
  <c r="DA103" i="1"/>
  <c r="DA106" i="1"/>
  <c r="DB106" i="1"/>
  <c r="BP209" i="1"/>
  <c r="BP210" i="1"/>
  <c r="CX199" i="1"/>
  <c r="CS170" i="1"/>
  <c r="CS182" i="1"/>
  <c r="CZ286" i="1"/>
  <c r="CZ291" i="1"/>
  <c r="DA77" i="1"/>
  <c r="CG137" i="1"/>
  <c r="CG142" i="1"/>
  <c r="CG283" i="1"/>
  <c r="CG293" i="1"/>
  <c r="CW66" i="2"/>
  <c r="CW31" i="2"/>
  <c r="DB30" i="2"/>
  <c r="DF330" i="1"/>
  <c r="CV172" i="1"/>
  <c r="CY88" i="1"/>
  <c r="CY89" i="1"/>
  <c r="CM234" i="2"/>
  <c r="DG237" i="1"/>
  <c r="CV12" i="1"/>
  <c r="CV13" i="1"/>
  <c r="CG234" i="1"/>
  <c r="CG243" i="1"/>
  <c r="CL354" i="1"/>
  <c r="CL173" i="1"/>
  <c r="CM173" i="1"/>
  <c r="CL36" i="1"/>
  <c r="CL33" i="1"/>
  <c r="CM33" i="1"/>
  <c r="CM34" i="1"/>
  <c r="CM35" i="1"/>
  <c r="CQ17" i="1"/>
  <c r="CQ27" i="1"/>
  <c r="CQ28" i="1"/>
  <c r="CQ29" i="1"/>
  <c r="CP205" i="1"/>
  <c r="CP206" i="1"/>
  <c r="CP207" i="1"/>
  <c r="CU155" i="1"/>
  <c r="DB357" i="1"/>
  <c r="CL343" i="1"/>
  <c r="CL345" i="1"/>
  <c r="CL74" i="1"/>
  <c r="CL79" i="1"/>
  <c r="CL170" i="1"/>
  <c r="CL182" i="1"/>
  <c r="CL205" i="1"/>
  <c r="CL206" i="1"/>
  <c r="CL207" i="1"/>
  <c r="CR164" i="2"/>
  <c r="CR232" i="2"/>
  <c r="CM8" i="1"/>
  <c r="CM335" i="1"/>
  <c r="CR205" i="1"/>
  <c r="CR206" i="1"/>
  <c r="CR207" i="1"/>
  <c r="DD199" i="1"/>
  <c r="CV213" i="1"/>
  <c r="CV257" i="1"/>
  <c r="CT193" i="2"/>
  <c r="CT219" i="2"/>
  <c r="CM266" i="1"/>
  <c r="CM269" i="1"/>
  <c r="CM86" i="1"/>
  <c r="CM94" i="1"/>
  <c r="CX110" i="1"/>
  <c r="CX111" i="1"/>
  <c r="CL232" i="2"/>
  <c r="DD232" i="2"/>
  <c r="CM191" i="2"/>
  <c r="CM217" i="2"/>
  <c r="CZ222" i="1"/>
  <c r="CZ258" i="1"/>
  <c r="DA74" i="1"/>
  <c r="DA79" i="1"/>
  <c r="DA170" i="1"/>
  <c r="DA182" i="1"/>
  <c r="DE192" i="1"/>
  <c r="CH342" i="1"/>
  <c r="CH346" i="1"/>
  <c r="U33" i="2"/>
  <c r="T9" i="1"/>
  <c r="T329" i="1"/>
  <c r="CW164" i="2"/>
  <c r="CW232" i="2"/>
  <c r="CN31" i="2"/>
  <c r="CU86" i="1"/>
  <c r="CU94" i="1"/>
  <c r="T196" i="1"/>
  <c r="BR190" i="1"/>
  <c r="BR125" i="1"/>
  <c r="BR124" i="1"/>
  <c r="DC189" i="1"/>
  <c r="DG189" i="1"/>
  <c r="DG192" i="1"/>
  <c r="CZ172" i="1"/>
  <c r="DE166" i="1"/>
  <c r="DA172" i="1"/>
  <c r="DA354" i="1"/>
  <c r="CN88" i="1"/>
  <c r="CN89" i="1"/>
  <c r="CW62" i="1"/>
  <c r="CW63" i="1"/>
  <c r="DG259" i="1"/>
  <c r="CQ103" i="1"/>
  <c r="CQ106" i="1"/>
  <c r="CR106" i="1"/>
  <c r="CW205" i="1"/>
  <c r="CW206" i="1"/>
  <c r="CW207" i="1"/>
  <c r="CV286" i="1"/>
  <c r="CV291" i="1"/>
  <c r="DF286" i="1"/>
  <c r="DF291" i="1"/>
  <c r="DD163" i="2"/>
  <c r="DD164" i="2"/>
  <c r="DD166" i="2"/>
  <c r="DH166" i="2"/>
  <c r="DH193" i="2"/>
  <c r="DH219" i="2"/>
  <c r="CR216" i="1"/>
  <c r="CR256" i="1"/>
  <c r="DE107" i="1"/>
  <c r="DE110" i="1"/>
  <c r="DE111" i="1"/>
  <c r="CL259" i="1"/>
  <c r="DA163" i="2"/>
  <c r="DF254" i="1"/>
  <c r="CK253" i="1"/>
  <c r="CK254" i="1"/>
  <c r="CZ178" i="1"/>
  <c r="CZ355" i="1"/>
  <c r="CR342" i="1"/>
  <c r="DH32" i="2"/>
  <c r="DH28" i="2"/>
  <c r="DH33" i="2"/>
  <c r="DG9" i="1"/>
  <c r="DG329" i="1"/>
  <c r="CX166" i="2"/>
  <c r="CX193" i="2"/>
  <c r="CX219" i="2"/>
  <c r="CW133" i="1"/>
  <c r="CX175" i="1"/>
  <c r="DB175" i="1"/>
  <c r="DB355" i="1"/>
  <c r="CW65" i="1"/>
  <c r="DE205" i="1"/>
  <c r="DE206" i="1"/>
  <c r="DE207" i="1"/>
  <c r="CY189" i="1"/>
  <c r="CQ77" i="1"/>
  <c r="CZ163" i="1"/>
  <c r="CR147" i="1"/>
  <c r="CW222" i="1"/>
  <c r="CW258" i="1"/>
  <c r="CM274" i="1"/>
  <c r="DA12" i="1"/>
  <c r="DA13" i="1"/>
  <c r="R80" i="2"/>
  <c r="CR8" i="1"/>
  <c r="CR335" i="1"/>
  <c r="DD205" i="1"/>
  <c r="DD206" i="1"/>
  <c r="DD207" i="1"/>
  <c r="CW242" i="1"/>
  <c r="CW235" i="1"/>
  <c r="CW234" i="1"/>
  <c r="CU222" i="1"/>
  <c r="CU258" i="1"/>
  <c r="CD166" i="1"/>
  <c r="CV95" i="1"/>
  <c r="BT35" i="1"/>
  <c r="BT34" i="1"/>
  <c r="AY201" i="1"/>
  <c r="CR222" i="1"/>
  <c r="CR258" i="1"/>
  <c r="CF342" i="1"/>
  <c r="CJ346" i="1"/>
  <c r="T33" i="2"/>
  <c r="S9" i="1"/>
  <c r="S329" i="1"/>
  <c r="CO205" i="1"/>
  <c r="CO206" i="1"/>
  <c r="CO207" i="1"/>
  <c r="DC291" i="1"/>
  <c r="CR50" i="1"/>
  <c r="CR343" i="1"/>
  <c r="CR345" i="1"/>
  <c r="CG355" i="1"/>
  <c r="CG178" i="1"/>
  <c r="CG173" i="1"/>
  <c r="CW14" i="1"/>
  <c r="CX176" i="1"/>
  <c r="DB176" i="1"/>
  <c r="BF34" i="1"/>
  <c r="DG178" i="1"/>
  <c r="DE172" i="1"/>
  <c r="DE62" i="1"/>
  <c r="DE63" i="1"/>
  <c r="DC79" i="1"/>
  <c r="DC170" i="1"/>
  <c r="DC182" i="1"/>
  <c r="DB273" i="1"/>
  <c r="CR63" i="2"/>
  <c r="CR28" i="2"/>
  <c r="CR33" i="2"/>
  <c r="CQ9" i="1"/>
  <c r="CQ329" i="1"/>
  <c r="DA286" i="1"/>
  <c r="DA291" i="1"/>
  <c r="CS67" i="2"/>
  <c r="CS65" i="2"/>
  <c r="CS30" i="2"/>
  <c r="DD237" i="1"/>
  <c r="DE71" i="1"/>
  <c r="DF250" i="1"/>
  <c r="DF103" i="1"/>
  <c r="DF106" i="1"/>
  <c r="DG106" i="1"/>
  <c r="BP192" i="1"/>
  <c r="BP196" i="1"/>
  <c r="BP202" i="1"/>
  <c r="BQ202" i="1"/>
  <c r="CO110" i="1"/>
  <c r="CO107" i="1"/>
  <c r="CO109" i="1"/>
  <c r="DD163" i="1"/>
  <c r="CV110" i="1"/>
  <c r="CV107" i="1"/>
  <c r="CV109" i="1"/>
  <c r="BB34" i="1"/>
  <c r="DG79" i="1"/>
  <c r="DG170" i="1"/>
  <c r="DG182" i="1"/>
  <c r="CN259" i="1"/>
  <c r="U201" i="1"/>
  <c r="CQ170" i="1"/>
  <c r="CQ182" i="1"/>
  <c r="CX293" i="1"/>
  <c r="CG259" i="1"/>
  <c r="CQ354" i="1"/>
  <c r="DB234" i="2"/>
  <c r="T80" i="2"/>
  <c r="DE163" i="2"/>
  <c r="DE164" i="2"/>
  <c r="DE166" i="2"/>
  <c r="DE193" i="2"/>
  <c r="DE219" i="2"/>
  <c r="CM163" i="1"/>
  <c r="DG216" i="1"/>
  <c r="DG256" i="1"/>
  <c r="CS88" i="1"/>
  <c r="CS89" i="1"/>
  <c r="AX196" i="1"/>
  <c r="CN252" i="1"/>
  <c r="CN254" i="1"/>
  <c r="CW54" i="1"/>
  <c r="CW249" i="1"/>
  <c r="CW251" i="1"/>
  <c r="DB88" i="1"/>
  <c r="DB89" i="1"/>
  <c r="CR234" i="2"/>
  <c r="CO163" i="1"/>
  <c r="CO165" i="1"/>
  <c r="CO166" i="1"/>
  <c r="DC286" i="1"/>
  <c r="DC178" i="1"/>
  <c r="DE293" i="1"/>
  <c r="CF165" i="1"/>
  <c r="CH165" i="1"/>
  <c r="CW63" i="2"/>
  <c r="CW68" i="2"/>
  <c r="CW69" i="2"/>
  <c r="CV342" i="1"/>
  <c r="CV137" i="1"/>
  <c r="CV142" i="1"/>
  <c r="CV283" i="1"/>
  <c r="CQ163" i="2"/>
  <c r="DC237" i="1"/>
  <c r="DD71" i="1"/>
  <c r="DF8" i="1"/>
  <c r="DF335" i="1"/>
  <c r="CM205" i="1"/>
  <c r="CM206" i="1"/>
  <c r="CM207" i="1"/>
  <c r="DD178" i="1"/>
  <c r="DD355" i="1"/>
  <c r="DB65" i="1"/>
  <c r="CY205" i="1"/>
  <c r="CY206" i="1"/>
  <c r="CY207" i="1"/>
  <c r="CQ357" i="1"/>
  <c r="CN189" i="1"/>
  <c r="CR189" i="1"/>
  <c r="CR192" i="1"/>
  <c r="CG235" i="1"/>
  <c r="CG244" i="1"/>
  <c r="CH244" i="1"/>
  <c r="CY252" i="1"/>
  <c r="CY254" i="1"/>
  <c r="DC213" i="1"/>
  <c r="DC257" i="1"/>
  <c r="CX286" i="1"/>
  <c r="CX291" i="1"/>
  <c r="CF222" i="1"/>
  <c r="CF258" i="1"/>
  <c r="DF205" i="1"/>
  <c r="DF206" i="1"/>
  <c r="DF207" i="1"/>
  <c r="CP238" i="1"/>
  <c r="CP241" i="1"/>
  <c r="CQ65" i="1"/>
  <c r="CR163" i="2"/>
  <c r="DB166" i="2"/>
  <c r="DB193" i="2"/>
  <c r="DB219" i="2"/>
  <c r="CN150" i="1"/>
  <c r="CN155" i="1"/>
  <c r="CE293" i="1"/>
  <c r="DC163" i="1"/>
  <c r="DC165" i="1"/>
  <c r="DC166" i="1"/>
  <c r="BC34" i="1"/>
  <c r="BH34" i="1"/>
  <c r="BM34" i="1"/>
  <c r="BR34" i="1"/>
  <c r="BW34" i="1"/>
  <c r="CB34" i="1"/>
  <c r="CG34" i="1"/>
  <c r="CL34" i="1"/>
  <c r="CQ34" i="1"/>
  <c r="CV34" i="1"/>
  <c r="DA34" i="1"/>
  <c r="DF34" i="1"/>
  <c r="DF35" i="1"/>
  <c r="CU163" i="1"/>
  <c r="CU165" i="1"/>
  <c r="CU166" i="1"/>
  <c r="CH222" i="1"/>
  <c r="CH258" i="1"/>
  <c r="AW209" i="1"/>
  <c r="AW210" i="1"/>
  <c r="CU189" i="1"/>
  <c r="CU150" i="1"/>
  <c r="CL17" i="1"/>
  <c r="CL27" i="1"/>
  <c r="CM27" i="1"/>
  <c r="CM28" i="1"/>
  <c r="CM29" i="1"/>
  <c r="DE189" i="1"/>
  <c r="CX158" i="2"/>
  <c r="CX160" i="2"/>
  <c r="CX228" i="2"/>
  <c r="CH231" i="1"/>
  <c r="CH150" i="1"/>
  <c r="CH155" i="1"/>
  <c r="DF199" i="1"/>
  <c r="DG199" i="1"/>
  <c r="DG201" i="1"/>
  <c r="CE283" i="1"/>
  <c r="CQ172" i="1"/>
  <c r="CP150" i="1"/>
  <c r="CP155" i="1"/>
  <c r="CM273" i="1"/>
  <c r="DB242" i="1"/>
  <c r="DB235" i="1"/>
  <c r="DB234" i="1"/>
  <c r="CY95" i="1"/>
  <c r="DD88" i="1"/>
  <c r="DD89" i="1"/>
  <c r="DD170" i="1"/>
  <c r="DD182" i="1"/>
  <c r="DA175" i="1"/>
  <c r="DA355" i="1"/>
  <c r="CL65" i="1"/>
  <c r="CM163" i="2"/>
  <c r="CM164" i="2"/>
  <c r="CM232" i="2"/>
  <c r="CP163" i="1"/>
  <c r="CP165" i="1"/>
  <c r="CP166" i="1"/>
  <c r="AY190" i="1"/>
  <c r="AY192" i="1"/>
  <c r="AY196" i="1"/>
  <c r="CS148" i="1"/>
  <c r="CS179" i="1"/>
  <c r="CW179" i="1"/>
  <c r="CX107" i="1"/>
  <c r="DB107" i="1"/>
  <c r="DB110" i="1"/>
  <c r="DB111" i="1"/>
  <c r="CQ133" i="1"/>
  <c r="CR133" i="1"/>
  <c r="CW213" i="1"/>
  <c r="CW257" i="1"/>
  <c r="CT296" i="1"/>
  <c r="BQ125" i="1"/>
  <c r="BQ190" i="1"/>
  <c r="BQ209" i="1"/>
  <c r="BQ210" i="1"/>
  <c r="DD110" i="1"/>
  <c r="DD65" i="1"/>
  <c r="DD74" i="1"/>
  <c r="DD79" i="1"/>
  <c r="DD107" i="1"/>
  <c r="DD109" i="1"/>
  <c r="CT166" i="2"/>
  <c r="CT164" i="2"/>
  <c r="CT232" i="2"/>
  <c r="CO170" i="1"/>
  <c r="CO182" i="1"/>
  <c r="CQ252" i="1"/>
  <c r="CQ254" i="1"/>
  <c r="DG270" i="1"/>
  <c r="DF137" i="1"/>
  <c r="DF142" i="1"/>
  <c r="DF283" i="1"/>
  <c r="DB68" i="2"/>
  <c r="DB69" i="2"/>
  <c r="CV51" i="1"/>
  <c r="CV52" i="1"/>
  <c r="DE245" i="1"/>
  <c r="DE165" i="1"/>
  <c r="CK225" i="1"/>
  <c r="DC150" i="1"/>
  <c r="DC155" i="1"/>
  <c r="CE166" i="1"/>
  <c r="DE163" i="1"/>
  <c r="CT86" i="1"/>
  <c r="CT94" i="1"/>
  <c r="CW346" i="1"/>
  <c r="CX252" i="1"/>
  <c r="CX254" i="1"/>
  <c r="CO88" i="1"/>
  <c r="CO89" i="1"/>
  <c r="CV346" i="1"/>
  <c r="CZ234" i="2"/>
  <c r="CZ164" i="2"/>
  <c r="CZ166" i="2"/>
  <c r="CZ193" i="2"/>
  <c r="CT178" i="1"/>
  <c r="CT355" i="1"/>
  <c r="CR170" i="1"/>
  <c r="CR182" i="1"/>
  <c r="CR235" i="1"/>
  <c r="CR242" i="1"/>
  <c r="CR357" i="1"/>
  <c r="CN233" i="1"/>
  <c r="CR233" i="1"/>
  <c r="CR295" i="1"/>
  <c r="CR296" i="1"/>
  <c r="CK170" i="1"/>
  <c r="CK182" i="1"/>
  <c r="CK226" i="1"/>
  <c r="CF226" i="1"/>
  <c r="CF149" i="1"/>
  <c r="CQ150" i="1"/>
  <c r="CQ155" i="1"/>
  <c r="CZ145" i="1"/>
  <c r="CZ238" i="1"/>
  <c r="CZ241" i="1"/>
  <c r="DA65" i="1"/>
  <c r="DB163" i="2"/>
  <c r="CL213" i="1"/>
  <c r="CL257" i="1"/>
  <c r="CS107" i="1"/>
  <c r="CS110" i="1"/>
  <c r="CS111" i="1"/>
  <c r="CS95" i="1"/>
  <c r="CU79" i="1"/>
  <c r="CU170" i="1"/>
  <c r="CU182" i="1"/>
  <c r="DG273" i="1"/>
  <c r="DC259" i="1"/>
  <c r="CD57" i="2"/>
  <c r="CC57" i="2"/>
  <c r="CC56" i="2"/>
  <c r="CD56" i="2"/>
  <c r="CX164" i="2"/>
  <c r="CT163" i="2"/>
  <c r="CX163" i="2"/>
  <c r="CX231" i="2"/>
  <c r="CR191" i="2"/>
  <c r="CR217" i="2"/>
  <c r="DA137" i="1"/>
  <c r="DA142" i="1"/>
  <c r="DA283" i="1"/>
  <c r="DA293" i="1"/>
  <c r="DB295" i="1"/>
  <c r="DB296" i="1"/>
  <c r="CL189" i="1"/>
  <c r="CL192" i="1"/>
  <c r="CL231" i="1"/>
  <c r="CL137" i="1"/>
  <c r="CL142" i="1"/>
  <c r="CL283" i="1"/>
  <c r="CL293" i="1"/>
  <c r="DA177" i="1"/>
  <c r="CP145" i="1"/>
  <c r="CP189" i="1"/>
  <c r="CP192" i="1"/>
  <c r="CN176" i="1"/>
  <c r="CR176" i="1"/>
  <c r="CV163" i="2"/>
  <c r="CU65" i="1"/>
  <c r="CU74" i="1"/>
  <c r="CW231" i="1"/>
  <c r="CU231" i="2"/>
  <c r="CU163" i="2"/>
  <c r="CU164" i="2"/>
  <c r="CQ54" i="1"/>
  <c r="CQ249" i="1"/>
  <c r="CQ251" i="1"/>
  <c r="CU252" i="1"/>
  <c r="CU254" i="1"/>
  <c r="DB8" i="1"/>
  <c r="DB335" i="1"/>
  <c r="CM33" i="2"/>
  <c r="CK64" i="2"/>
  <c r="CM64" i="2"/>
  <c r="CM29" i="2"/>
  <c r="CM32" i="2"/>
  <c r="BG201" i="1"/>
  <c r="CM147" i="1"/>
  <c r="CN222" i="1"/>
  <c r="CN258" i="1"/>
  <c r="DG166" i="2"/>
  <c r="DG193" i="2"/>
  <c r="DG219" i="2"/>
  <c r="DB205" i="1"/>
  <c r="DB206" i="1"/>
  <c r="DB207" i="1"/>
  <c r="DB270" i="1"/>
  <c r="CV74" i="1"/>
  <c r="CV79" i="1"/>
  <c r="CV86" i="1"/>
  <c r="CV94" i="1"/>
  <c r="DA238" i="1"/>
  <c r="DA241" i="1"/>
  <c r="CM14" i="1"/>
  <c r="CJ222" i="1"/>
  <c r="CJ258" i="1"/>
  <c r="DG241" i="1"/>
  <c r="CO178" i="1"/>
  <c r="CO355" i="1"/>
  <c r="DF170" i="1"/>
  <c r="DF182" i="1"/>
  <c r="CR30" i="2"/>
  <c r="CV330" i="1"/>
  <c r="DG50" i="1"/>
  <c r="DG54" i="1"/>
  <c r="DG249" i="1"/>
  <c r="DG251" i="1"/>
  <c r="CQ86" i="1"/>
  <c r="CQ94" i="1"/>
  <c r="DG38" i="1"/>
  <c r="DF38" i="1"/>
  <c r="DF51" i="1"/>
  <c r="DF52" i="1"/>
  <c r="CX95" i="1"/>
  <c r="CW7" i="1"/>
  <c r="CW11" i="1"/>
  <c r="CV11" i="1"/>
  <c r="CV134" i="1"/>
  <c r="CW134" i="1"/>
  <c r="CX216" i="1"/>
  <c r="CX256" i="1"/>
  <c r="CX259" i="1"/>
  <c r="DE88" i="1"/>
  <c r="DE89" i="1"/>
  <c r="CD31" i="2"/>
  <c r="CD40" i="2"/>
  <c r="CC40" i="2"/>
  <c r="DE150" i="1"/>
  <c r="DE155" i="1"/>
  <c r="DE296" i="1"/>
  <c r="DE139" i="1"/>
  <c r="DE145" i="1"/>
  <c r="DE238" i="1"/>
  <c r="DE241" i="1"/>
  <c r="DF65" i="1"/>
  <c r="DG163" i="2"/>
  <c r="DG164" i="2"/>
  <c r="DG232" i="2"/>
  <c r="DB150" i="1"/>
  <c r="DB155" i="1"/>
  <c r="DA189" i="1"/>
  <c r="DA192" i="1"/>
  <c r="CY164" i="2"/>
  <c r="CY166" i="2"/>
  <c r="CY193" i="2"/>
  <c r="CY219" i="2"/>
  <c r="CD179" i="1"/>
  <c r="CH179" i="1"/>
  <c r="DG159" i="1"/>
  <c r="DG163" i="1"/>
  <c r="CK88" i="1"/>
  <c r="CK89" i="1"/>
  <c r="CN225" i="1"/>
  <c r="CS225" i="1"/>
  <c r="CX225" i="1"/>
  <c r="DC225" i="1"/>
  <c r="DC148" i="1"/>
  <c r="CV238" i="1"/>
  <c r="CV241" i="1"/>
  <c r="CV242" i="1"/>
  <c r="CV235" i="1"/>
  <c r="CV243" i="1"/>
  <c r="CW243" i="1"/>
  <c r="DG63" i="2"/>
  <c r="DG28" i="2"/>
  <c r="DG33" i="2"/>
  <c r="DF9" i="1"/>
  <c r="DF329" i="1"/>
  <c r="CL222" i="1"/>
  <c r="CL258" i="1"/>
  <c r="CW270" i="1"/>
  <c r="CK286" i="1"/>
  <c r="CK291" i="1"/>
  <c r="CX237" i="1"/>
  <c r="CY71" i="1"/>
  <c r="CO259" i="1"/>
  <c r="CL106" i="1"/>
  <c r="CL103" i="1"/>
  <c r="CM103" i="1"/>
  <c r="DF17" i="1"/>
  <c r="DF27" i="1"/>
  <c r="DF28" i="1"/>
  <c r="DF29" i="1"/>
  <c r="BA35" i="1"/>
  <c r="BA34" i="1"/>
  <c r="DE159" i="1"/>
  <c r="DF159" i="1"/>
  <c r="DF163" i="1"/>
  <c r="DF165" i="1"/>
  <c r="DF166" i="1"/>
  <c r="DA17" i="1"/>
  <c r="DA27" i="1"/>
  <c r="DA28" i="1"/>
  <c r="DA29" i="1"/>
  <c r="CW50" i="1"/>
  <c r="CW343" i="1"/>
  <c r="CW345" i="1"/>
  <c r="CQ343" i="1"/>
  <c r="CQ345" i="1"/>
  <c r="CM237" i="1"/>
  <c r="CN71" i="1"/>
  <c r="CR71" i="1"/>
  <c r="CT163" i="1"/>
  <c r="CN137" i="1"/>
  <c r="CN142" i="1"/>
  <c r="CN283" i="1"/>
  <c r="CN293" i="1"/>
  <c r="CO296" i="1"/>
  <c r="CE355" i="1"/>
  <c r="CE178" i="1"/>
  <c r="CE173" i="1"/>
  <c r="CU131" i="1"/>
  <c r="CU137" i="1"/>
  <c r="CU142" i="1"/>
  <c r="CU283" i="1"/>
  <c r="CU293" i="1"/>
  <c r="CX283" i="1"/>
  <c r="CX142" i="1"/>
  <c r="CX131" i="1"/>
  <c r="CX137" i="1"/>
  <c r="CX231" i="1"/>
  <c r="CN170" i="1"/>
  <c r="CN182" i="1"/>
  <c r="R9" i="1"/>
  <c r="R329" i="1"/>
  <c r="AX35" i="1"/>
  <c r="AX34" i="1"/>
  <c r="BE194" i="1"/>
  <c r="BI194" i="1"/>
  <c r="BG194" i="1"/>
  <c r="BG196" i="1"/>
  <c r="CY231" i="1"/>
  <c r="DB79" i="1"/>
  <c r="DB170" i="1"/>
  <c r="DB182" i="1"/>
  <c r="BC173" i="1"/>
  <c r="BD173" i="1"/>
  <c r="BD182" i="1"/>
  <c r="BD196" i="1"/>
  <c r="BD201" i="1"/>
  <c r="CL216" i="1"/>
  <c r="CL256" i="1"/>
  <c r="BP190" i="1"/>
  <c r="BP125" i="1"/>
  <c r="BS125" i="1"/>
  <c r="BS124" i="1"/>
  <c r="CH273" i="1"/>
  <c r="CH274" i="1"/>
  <c r="CL164" i="2"/>
  <c r="CL166" i="2"/>
  <c r="CL193" i="2"/>
  <c r="CL219" i="2"/>
  <c r="CL293" i="2"/>
  <c r="BA229" i="1"/>
  <c r="BA188" i="1"/>
  <c r="BA192" i="1"/>
  <c r="BA196" i="1"/>
  <c r="DA131" i="1"/>
  <c r="DB131" i="1"/>
  <c r="DB137" i="1"/>
  <c r="DB142" i="1"/>
  <c r="DB283" i="1"/>
  <c r="DB293" i="1"/>
  <c r="CW295" i="1"/>
  <c r="CW296" i="1"/>
  <c r="DA135" i="1"/>
  <c r="DB135" i="1"/>
  <c r="DC177" i="1"/>
  <c r="DG177" i="1"/>
  <c r="CV252" i="1"/>
  <c r="CV254" i="1"/>
  <c r="R29" i="2"/>
  <c r="R32" i="2"/>
  <c r="R79" i="2"/>
  <c r="R76" i="2"/>
  <c r="DF153" i="1"/>
  <c r="DG153" i="1"/>
  <c r="DG289" i="1"/>
  <c r="CQ137" i="1"/>
  <c r="CQ142" i="1"/>
  <c r="CQ283" i="1"/>
  <c r="CQ293" i="1"/>
  <c r="CP252" i="1"/>
  <c r="CP254" i="1"/>
  <c r="CW137" i="1"/>
  <c r="CW142" i="1"/>
  <c r="CW283" i="1"/>
  <c r="CW293" i="1"/>
  <c r="CP147" i="1"/>
  <c r="CP131" i="1"/>
  <c r="CP237" i="1"/>
  <c r="CQ71" i="1"/>
  <c r="CK189" i="1"/>
  <c r="CM189" i="1"/>
  <c r="CM192" i="1"/>
  <c r="CP170" i="1"/>
  <c r="CP182" i="1"/>
  <c r="S76" i="2"/>
  <c r="CR266" i="1"/>
  <c r="CR269" i="1"/>
  <c r="CO65" i="1"/>
  <c r="CO74" i="1"/>
  <c r="CO79" i="1"/>
  <c r="CO86" i="1"/>
  <c r="CO94" i="1"/>
  <c r="CL225" i="1"/>
  <c r="CQ225" i="1"/>
  <c r="CV225" i="1"/>
  <c r="DA225" i="1"/>
  <c r="DF225" i="1"/>
  <c r="DF148" i="1"/>
  <c r="DG148" i="1"/>
  <c r="DG287" i="1"/>
  <c r="CZ205" i="1"/>
  <c r="CZ206" i="1"/>
  <c r="CZ207" i="1"/>
  <c r="CN86" i="1"/>
  <c r="CN94" i="1"/>
  <c r="CG286" i="1"/>
  <c r="CG291" i="1"/>
  <c r="CF131" i="1"/>
  <c r="CF137" i="1"/>
  <c r="CF142" i="1"/>
  <c r="CF283" i="1"/>
  <c r="CF293" i="1"/>
  <c r="CM346" i="1"/>
  <c r="CS233" i="1"/>
  <c r="CW233" i="1"/>
  <c r="CU296" i="1"/>
  <c r="CS158" i="2"/>
  <c r="CS160" i="2"/>
  <c r="CS228" i="2"/>
  <c r="DF238" i="1"/>
  <c r="DF241" i="1"/>
  <c r="DF242" i="1"/>
  <c r="DF235" i="1"/>
  <c r="DF243" i="1"/>
  <c r="DG243" i="1"/>
  <c r="CN163" i="1"/>
  <c r="CN165" i="1"/>
  <c r="CN166" i="1"/>
  <c r="CN131" i="1"/>
  <c r="CN237" i="1"/>
  <c r="CO71" i="1"/>
  <c r="DG150" i="1"/>
  <c r="DF141" i="1"/>
  <c r="DF145" i="1"/>
  <c r="DG145" i="1"/>
  <c r="DG238" i="1"/>
  <c r="DF54" i="1"/>
  <c r="DF249" i="1"/>
  <c r="DF251" i="1"/>
  <c r="DF252" i="1"/>
  <c r="DE86" i="1"/>
  <c r="DE94" i="1"/>
  <c r="CI222" i="1"/>
  <c r="CI258" i="1"/>
  <c r="CI259" i="1"/>
  <c r="DB76" i="1"/>
  <c r="DA76" i="1"/>
  <c r="CL176" i="1"/>
  <c r="CM176" i="1"/>
  <c r="CR163" i="1"/>
  <c r="CE131" i="1"/>
  <c r="CE137" i="1"/>
  <c r="CE142" i="1"/>
  <c r="CE342" i="1"/>
  <c r="CI346" i="1"/>
  <c r="CT65" i="1"/>
  <c r="CT74" i="1"/>
  <c r="CT79" i="1"/>
  <c r="CT170" i="1"/>
  <c r="CT182" i="1"/>
  <c r="CT205" i="1"/>
  <c r="CT206" i="1"/>
  <c r="CT207" i="1"/>
  <c r="CL131" i="1"/>
  <c r="CM131" i="1"/>
  <c r="CM137" i="1"/>
  <c r="CM142" i="1"/>
  <c r="CM283" i="1"/>
  <c r="CM293" i="1"/>
  <c r="CM295" i="1"/>
  <c r="CM296" i="1"/>
  <c r="CL163" i="2"/>
  <c r="CN163" i="2"/>
  <c r="CN164" i="2"/>
  <c r="CN232" i="2"/>
  <c r="CT172" i="1"/>
  <c r="CT62" i="1"/>
  <c r="CT63" i="1"/>
  <c r="CW216" i="1"/>
  <c r="CW256" i="1"/>
  <c r="CW259" i="1"/>
  <c r="CR150" i="1"/>
  <c r="CR155" i="1"/>
  <c r="DG64" i="2"/>
  <c r="DG29" i="2"/>
  <c r="DA133" i="1"/>
  <c r="DB133" i="1"/>
  <c r="DC175" i="1"/>
  <c r="DG175" i="1"/>
  <c r="DG355" i="1"/>
  <c r="CF286" i="1"/>
  <c r="CF291" i="1"/>
  <c r="CD165" i="1"/>
  <c r="CV147" i="1"/>
  <c r="CV131" i="1"/>
  <c r="CW131" i="1"/>
  <c r="CW237" i="1"/>
  <c r="CX71" i="1"/>
  <c r="DB71" i="1"/>
  <c r="CZ88" i="1"/>
  <c r="CZ89" i="1"/>
  <c r="CS131" i="1"/>
  <c r="CS137" i="1"/>
  <c r="CS142" i="1"/>
  <c r="CS283" i="1"/>
  <c r="CS293" i="1"/>
  <c r="DC252" i="1"/>
  <c r="DC254" i="1"/>
  <c r="CD131" i="1"/>
  <c r="CD137" i="1"/>
  <c r="CD142" i="1"/>
  <c r="CD283" i="1"/>
  <c r="CD293" i="1"/>
  <c r="DG266" i="1"/>
  <c r="DG269" i="1"/>
  <c r="CI286" i="1"/>
  <c r="CI291" i="1"/>
  <c r="CI293" i="1"/>
  <c r="AZ35" i="1"/>
  <c r="AZ34" i="1"/>
  <c r="CM38" i="1"/>
  <c r="CL38" i="1"/>
  <c r="CL39" i="1"/>
  <c r="CL40" i="1"/>
  <c r="CR79" i="1"/>
  <c r="CR86" i="1"/>
  <c r="CR94" i="1"/>
  <c r="CE147" i="1"/>
  <c r="CE150" i="1"/>
  <c r="CE155" i="1"/>
  <c r="CE165" i="1"/>
  <c r="CQ163" i="1"/>
  <c r="CQ165" i="1"/>
  <c r="CQ166" i="1"/>
  <c r="DG147" i="1"/>
  <c r="DG286" i="1"/>
  <c r="DG291" i="1"/>
  <c r="DB50" i="1"/>
  <c r="DB54" i="1"/>
  <c r="DB55" i="1"/>
  <c r="DB56" i="1"/>
  <c r="CV343" i="1"/>
  <c r="CV345" i="1"/>
  <c r="CZ163" i="2"/>
  <c r="DG222" i="1"/>
  <c r="DG258" i="1"/>
  <c r="CY222" i="1"/>
  <c r="CY258" i="1"/>
  <c r="DB63" i="2"/>
  <c r="DB28" i="2"/>
  <c r="DB33" i="2"/>
  <c r="DA9" i="1"/>
  <c r="DA329" i="1"/>
  <c r="CV77" i="1"/>
  <c r="AW35" i="1"/>
  <c r="AW34" i="1"/>
  <c r="CV133" i="1"/>
  <c r="CV175" i="1"/>
  <c r="CV355" i="1"/>
  <c r="CM7" i="1"/>
  <c r="CM11" i="1"/>
  <c r="CL11" i="1"/>
  <c r="CL134" i="1"/>
  <c r="CM134" i="1"/>
  <c r="CN216" i="1"/>
  <c r="CN256" i="1"/>
  <c r="T194" i="1"/>
  <c r="U194" i="1"/>
  <c r="U196" i="1"/>
  <c r="CS79" i="1"/>
  <c r="CS86" i="1"/>
  <c r="CS94" i="1"/>
  <c r="CG222" i="1"/>
  <c r="CG258" i="1"/>
  <c r="DG296" i="1"/>
  <c r="DB7" i="1"/>
  <c r="DB11" i="1"/>
  <c r="DA11" i="1"/>
  <c r="DA134" i="1"/>
  <c r="DB134" i="1"/>
  <c r="DC216" i="1"/>
  <c r="DC256" i="1"/>
  <c r="CW76" i="1"/>
  <c r="CV76" i="1"/>
  <c r="CX147" i="1"/>
  <c r="CN79" i="1"/>
  <c r="CN107" i="1"/>
  <c r="CR107" i="1"/>
  <c r="CR110" i="1"/>
  <c r="CR111" i="1"/>
  <c r="CR160" i="2"/>
  <c r="CQ50" i="1"/>
  <c r="CQ74" i="1"/>
  <c r="CQ79" i="1"/>
  <c r="CQ88" i="1"/>
  <c r="CQ89" i="1"/>
  <c r="CX88" i="1"/>
  <c r="CX89" i="1"/>
  <c r="CT150" i="1"/>
  <c r="CT155" i="1"/>
  <c r="BO56" i="2"/>
  <c r="BM56" i="2"/>
  <c r="BM55" i="2"/>
  <c r="CW170" i="1"/>
  <c r="CW182" i="1"/>
  <c r="CY86" i="1"/>
  <c r="CY94" i="1"/>
  <c r="V32" i="2"/>
  <c r="V29" i="2"/>
  <c r="V33" i="2"/>
  <c r="U9" i="1"/>
  <c r="U329" i="1"/>
  <c r="S33" i="2"/>
  <c r="CG131" i="1"/>
  <c r="CG237" i="1"/>
  <c r="CG242" i="1"/>
  <c r="DF95" i="1"/>
  <c r="CT259" i="1"/>
  <c r="DD222" i="1"/>
  <c r="DD258" i="1"/>
  <c r="DE147" i="1"/>
  <c r="DE131" i="1"/>
  <c r="DE137" i="1"/>
  <c r="DE142" i="1"/>
  <c r="DE283" i="1"/>
  <c r="DE65" i="1"/>
  <c r="DE74" i="1"/>
  <c r="DE79" i="1"/>
  <c r="DE170" i="1"/>
  <c r="DE182" i="1"/>
  <c r="CO222" i="1"/>
  <c r="CO258" i="1"/>
  <c r="CL77" i="1"/>
  <c r="CR7" i="1"/>
  <c r="CR11" i="1"/>
  <c r="CQ11" i="1"/>
  <c r="CQ134" i="1"/>
  <c r="CR134" i="1"/>
  <c r="CS216" i="1"/>
  <c r="CS256" i="1"/>
  <c r="CN145" i="1"/>
  <c r="CN238" i="1"/>
  <c r="CN241" i="1"/>
  <c r="DC131" i="1"/>
  <c r="DC137" i="1"/>
  <c r="DC142" i="1"/>
  <c r="DC283" i="1"/>
  <c r="CZ237" i="1"/>
  <c r="DA71" i="1"/>
  <c r="CL55" i="1"/>
  <c r="CL56" i="1"/>
  <c r="CZ252" i="1"/>
  <c r="CZ254" i="1"/>
  <c r="CV222" i="1"/>
  <c r="CV258" i="1"/>
  <c r="CX157" i="2"/>
  <c r="CW157" i="2"/>
  <c r="CW158" i="2"/>
  <c r="CW160" i="2"/>
  <c r="CV50" i="1"/>
  <c r="CV54" i="1"/>
  <c r="CV249" i="1"/>
  <c r="CV251" i="1"/>
  <c r="CY238" i="1"/>
  <c r="CY241" i="1"/>
  <c r="CZ65" i="1"/>
  <c r="CZ74" i="1"/>
  <c r="CZ79" i="1"/>
  <c r="CZ170" i="1"/>
  <c r="CZ182" i="1"/>
  <c r="CW79" i="1"/>
  <c r="CW86" i="1"/>
  <c r="CW94" i="1"/>
  <c r="BC218" i="1"/>
  <c r="BC184" i="1"/>
  <c r="BC186" i="1"/>
  <c r="BC182" i="1"/>
  <c r="CN147" i="1"/>
  <c r="CN178" i="1"/>
  <c r="CR178" i="1"/>
  <c r="CX145" i="1"/>
  <c r="CX238" i="1"/>
  <c r="CX241" i="1"/>
  <c r="CY65" i="1"/>
  <c r="CY74" i="1"/>
  <c r="CY79" i="1"/>
  <c r="CY170" i="1"/>
  <c r="CY182" i="1"/>
  <c r="DG295" i="1"/>
  <c r="CX223" i="1"/>
  <c r="DC223" i="1"/>
  <c r="DC147" i="1"/>
  <c r="AX192" i="1"/>
  <c r="CY163" i="2"/>
  <c r="DC163" i="2"/>
  <c r="DC164" i="2"/>
  <c r="DC232" i="2"/>
  <c r="CL147" i="1"/>
  <c r="DG293" i="1"/>
  <c r="CU145" i="1"/>
  <c r="CU238" i="1"/>
  <c r="CU241" i="1"/>
  <c r="CV65" i="1"/>
  <c r="CW163" i="2"/>
  <c r="DF259" i="1"/>
  <c r="CG166" i="1"/>
  <c r="DC145" i="1"/>
  <c r="DC238" i="1"/>
  <c r="DC241" i="1"/>
  <c r="CZ293" i="1"/>
  <c r="CZ231" i="1"/>
  <c r="DC65" i="1"/>
  <c r="DC74" i="1"/>
  <c r="DG74" i="1"/>
  <c r="DG76" i="1"/>
  <c r="DF76" i="1"/>
  <c r="DF77" i="1"/>
  <c r="CE225" i="1"/>
  <c r="CE148" i="1"/>
  <c r="CY131" i="1"/>
  <c r="CY137" i="1"/>
  <c r="CY142" i="1"/>
  <c r="CY283" i="1"/>
  <c r="CY293" i="1"/>
  <c r="CT145" i="1"/>
  <c r="CT238" i="1"/>
  <c r="CT241" i="1"/>
  <c r="CU147" i="1"/>
  <c r="CU286" i="1"/>
  <c r="CU291" i="1"/>
  <c r="CL238" i="1"/>
  <c r="CL241" i="1"/>
  <c r="CL242" i="1"/>
  <c r="CL235" i="1"/>
  <c r="CL244" i="1"/>
  <c r="CM244" i="1"/>
  <c r="T29" i="2"/>
  <c r="T32" i="2"/>
  <c r="T79" i="2"/>
  <c r="T76" i="2"/>
  <c r="CX170" i="1"/>
  <c r="CX182" i="1"/>
  <c r="CX205" i="1"/>
  <c r="CX206" i="1"/>
  <c r="CX207" i="1"/>
  <c r="S79" i="2"/>
  <c r="S32" i="2"/>
  <c r="S29" i="2"/>
  <c r="CS157" i="2"/>
  <c r="CR157" i="2"/>
  <c r="CR158" i="2"/>
  <c r="CR166" i="2"/>
  <c r="CR193" i="2"/>
  <c r="CR219" i="2"/>
  <c r="DA252" i="1"/>
  <c r="DA254" i="1"/>
  <c r="DH157" i="2"/>
  <c r="DG157" i="2"/>
  <c r="DG158" i="2"/>
  <c r="DG160" i="2"/>
  <c r="DF50" i="1"/>
  <c r="DF74" i="1"/>
  <c r="DF79" i="1"/>
  <c r="DF86" i="1"/>
  <c r="DF94" i="1"/>
  <c r="CI225" i="1"/>
  <c r="CI148" i="1"/>
  <c r="CI147" i="1"/>
  <c r="CI223" i="1"/>
  <c r="CN223" i="1"/>
  <c r="CS223" i="1"/>
  <c r="CS147" i="1"/>
  <c r="CT222" i="1"/>
  <c r="CT258" i="1"/>
  <c r="DE223" i="1"/>
  <c r="DB8" i="2"/>
  <c r="DB9" i="2"/>
  <c r="DA7" i="1"/>
  <c r="DA141" i="1"/>
  <c r="DA145" i="1"/>
  <c r="DB145" i="1"/>
  <c r="DB238" i="1"/>
  <c r="DB241" i="1"/>
  <c r="CF150" i="1"/>
  <c r="CF155" i="1"/>
  <c r="CZ139" i="1"/>
  <c r="DA139" i="1"/>
  <c r="DB139" i="1"/>
  <c r="DC139" i="1"/>
  <c r="DD139" i="1"/>
  <c r="DD145" i="1"/>
  <c r="DD238" i="1"/>
  <c r="DD241" i="1"/>
  <c r="DD293" i="1"/>
  <c r="CX139" i="1"/>
  <c r="CY139" i="1"/>
  <c r="CY145" i="1"/>
  <c r="CY150" i="1"/>
  <c r="CY155" i="1"/>
  <c r="CD150" i="1"/>
  <c r="CD155" i="1"/>
  <c r="CM76" i="1"/>
  <c r="CL76" i="1"/>
  <c r="DB74" i="1"/>
  <c r="DB266" i="1"/>
  <c r="DB269" i="1"/>
  <c r="CM50" i="1"/>
  <c r="CM343" i="1"/>
  <c r="CM345" i="1"/>
  <c r="CO145" i="1"/>
  <c r="CO238" i="1"/>
  <c r="CO241" i="1"/>
  <c r="CP65" i="1"/>
  <c r="CP74" i="1"/>
  <c r="CP79" i="1"/>
  <c r="CP86" i="1"/>
  <c r="CP94" i="1"/>
  <c r="CT131" i="1"/>
  <c r="CT137" i="1"/>
  <c r="CT142" i="1"/>
  <c r="CT283" i="1"/>
  <c r="CT293" i="1"/>
  <c r="CD225" i="1"/>
  <c r="CD148" i="1"/>
  <c r="CD147" i="1"/>
  <c r="CE222" i="1"/>
  <c r="CE258" i="1"/>
  <c r="CE259" i="1"/>
  <c r="CM74" i="1"/>
  <c r="CM79" i="1"/>
  <c r="CM170" i="1"/>
  <c r="CM182" i="1"/>
  <c r="CM160" i="2"/>
  <c r="CL50" i="1"/>
  <c r="CL54" i="1"/>
  <c r="CL249" i="1"/>
  <c r="CL251" i="1"/>
  <c r="CH147" i="1"/>
  <c r="CH286" i="1"/>
  <c r="CH291" i="1"/>
  <c r="CH293" i="1"/>
  <c r="CH295" i="1"/>
  <c r="CH296" i="1"/>
  <c r="CN157" i="2"/>
  <c r="CM157" i="2"/>
  <c r="CM158" i="2"/>
  <c r="CM166" i="2"/>
  <c r="CM193" i="2"/>
  <c r="CM219" i="2"/>
  <c r="CX65" i="1"/>
  <c r="CX74" i="1"/>
  <c r="CX79" i="1"/>
  <c r="CX86" i="1"/>
  <c r="CX94" i="1"/>
  <c r="CL133" i="1"/>
  <c r="CM133" i="1"/>
  <c r="CN175" i="1"/>
  <c r="CR175" i="1"/>
  <c r="CR355" i="1"/>
  <c r="DC157" i="2"/>
  <c r="DB157" i="2"/>
  <c r="DB158" i="2"/>
  <c r="DB160" i="2"/>
  <c r="DA50" i="1"/>
  <c r="DA54" i="1"/>
  <c r="DA249" i="1"/>
  <c r="DA251" i="1"/>
  <c r="CQ147" i="1"/>
  <c r="CQ131" i="1"/>
  <c r="CR131" i="1"/>
  <c r="CR137" i="1"/>
  <c r="CR142" i="1"/>
  <c r="CR283" i="1"/>
  <c r="CR293" i="1"/>
  <c r="DA147" i="1"/>
  <c r="DB147" i="1"/>
  <c r="DB286" i="1"/>
  <c r="DB291" i="1"/>
  <c r="AW125" i="1"/>
  <c r="AW190" i="1"/>
  <c r="AX190" i="1"/>
  <c r="AX209" i="1"/>
  <c r="AX210" i="1"/>
  <c r="CR145" i="1"/>
  <c r="CR238" i="1"/>
  <c r="CR241" i="1"/>
  <c r="CS65" i="1"/>
  <c r="CS74" i="1"/>
  <c r="CW74" i="1"/>
  <c r="CW266" i="1"/>
  <c r="CW269" i="1"/>
  <c r="CW8" i="2"/>
  <c r="CW9" i="2"/>
  <c r="CV7" i="1"/>
  <c r="CV141" i="1"/>
  <c r="CV145" i="1"/>
  <c r="CW145" i="1"/>
  <c r="CW238" i="1"/>
  <c r="CW241" i="1"/>
  <c r="CR8" i="2"/>
  <c r="CR9" i="2"/>
  <c r="CQ7" i="1"/>
  <c r="CQ141" i="1"/>
  <c r="CQ145" i="1"/>
  <c r="CQ238" i="1"/>
  <c r="CQ241" i="1"/>
  <c r="CQ242" i="1"/>
  <c r="CQ235" i="1"/>
  <c r="CQ243" i="1"/>
  <c r="CR243" i="1"/>
  <c r="CG223" i="1"/>
  <c r="CL223" i="1"/>
  <c r="CQ223" i="1"/>
  <c r="CV223" i="1"/>
  <c r="DA223" i="1"/>
  <c r="DF223" i="1"/>
  <c r="DF147" i="1"/>
  <c r="DF131" i="1"/>
  <c r="DG131" i="1"/>
  <c r="DG137" i="1"/>
  <c r="DG142" i="1"/>
  <c r="DG283" i="1"/>
  <c r="CS145" i="1"/>
  <c r="CS238" i="1"/>
  <c r="CS241" i="1"/>
  <c r="CS8" i="2"/>
  <c r="CX8" i="2"/>
  <c r="DC8" i="2"/>
  <c r="DH8" i="2"/>
  <c r="DG8" i="2"/>
  <c r="DG9" i="2"/>
  <c r="DF7" i="1"/>
  <c r="DG7" i="1"/>
  <c r="DG11" i="1"/>
  <c r="DF11" i="1"/>
  <c r="DF134" i="1"/>
  <c r="DF216" i="1"/>
  <c r="DF256" i="1"/>
  <c r="U80" i="2"/>
  <c r="U29" i="2"/>
  <c r="U32" i="2"/>
  <c r="U79" i="2"/>
  <c r="U76" i="2"/>
  <c r="CG225" i="1"/>
  <c r="CG148" i="1"/>
  <c r="CG147" i="1"/>
  <c r="CG150" i="1"/>
  <c r="CG155" i="1"/>
  <c r="CG165" i="1"/>
  <c r="CL184" i="1"/>
  <c r="CL139" i="1"/>
  <c r="CM139" i="1"/>
  <c r="CN139" i="1"/>
  <c r="CO139" i="1"/>
  <c r="CP139" i="1"/>
  <c r="CQ139" i="1"/>
  <c r="CR139" i="1"/>
  <c r="CS139" i="1"/>
  <c r="CT139" i="1"/>
  <c r="CU139" i="1"/>
  <c r="CV139" i="1"/>
  <c r="CW139" i="1"/>
  <c r="CK66" i="2"/>
  <c r="CN66" i="2"/>
  <c r="CN67" i="2"/>
  <c r="CN8" i="2"/>
  <c r="CM8" i="2"/>
  <c r="CM9" i="2"/>
  <c r="CL7" i="1"/>
  <c r="CL141" i="1"/>
  <c r="CL145" i="1"/>
  <c r="CM145" i="1"/>
  <c r="CM238" i="1"/>
  <c r="CM241" i="1"/>
  <c r="CN65" i="1"/>
  <c r="CN74" i="1"/>
  <c r="CR74" i="1"/>
  <c r="CR76" i="1"/>
  <c r="CQ76" i="1"/>
  <c r="CK147" i="1"/>
  <c r="CK145" i="1"/>
  <c r="CK238" i="1"/>
  <c r="CK241" i="1"/>
  <c r="CK65" i="1"/>
  <c r="CK74" i="1"/>
  <c r="CK79" i="1"/>
  <c r="CK86" i="1"/>
  <c r="CK159" i="1"/>
  <c r="CL159" i="1"/>
  <c r="CM159" i="1"/>
  <c r="CN159" i="1"/>
  <c r="CO159" i="1"/>
  <c r="CP159" i="1"/>
  <c r="CQ159" i="1"/>
  <c r="CR159" i="1"/>
  <c r="CS159" i="1"/>
  <c r="CT159" i="1"/>
  <c r="CU159" i="1"/>
  <c r="CV159" i="1"/>
  <c r="CW159" i="1"/>
  <c r="CX159" i="1"/>
  <c r="CY159" i="1"/>
  <c r="CZ159" i="1"/>
  <c r="DA159" i="1"/>
  <c r="DB159" i="1"/>
  <c r="DC159" i="1"/>
  <c r="DD159" i="1"/>
  <c r="DD131" i="1"/>
  <c r="DD137" i="1"/>
  <c r="DD142" i="1"/>
  <c r="DD283" i="1"/>
  <c r="CF225" i="1"/>
  <c r="CF148" i="1"/>
  <c r="CF147" i="1"/>
  <c r="CF223" i="1"/>
  <c r="CK223" i="1"/>
  <c r="CP223" i="1"/>
  <c r="CU223" i="1"/>
  <c r="CZ223" i="1"/>
  <c r="CZ147" i="1"/>
  <c r="CZ131" i="1"/>
  <c r="CZ137" i="1"/>
  <c r="CZ142" i="1"/>
  <c r="CZ283" i="1"/>
</calcChain>
</file>

<file path=xl/comments1.xml><?xml version="1.0" encoding="utf-8"?>
<comments xmlns="http://schemas.openxmlformats.org/spreadsheetml/2006/main">
  <authors>
    <author>grunke</author>
    <author>McHugh, Tom (Research)</author>
    <author>linalis</author>
    <author>Fitzgerald, Kyle (Research)</author>
    <author>Falorni, Filippo (Research)</author>
    <author>mukeruma</author>
    <author>doctobob</author>
    <author>cruzv</author>
    <author>Doctor, Bob (Research)</author>
    <author>Dara Mohsenian</author>
    <author>ayalavin</author>
    <author>u148087</author>
  </authors>
  <commentList>
    <comment ref="Q5" authorId="0">
      <text>
        <r>
          <rPr>
            <b/>
            <sz val="8"/>
            <color indexed="81"/>
            <rFont val="Tahoma"/>
            <family val="2"/>
          </rPr>
          <t>grunke:</t>
        </r>
        <r>
          <rPr>
            <sz val="8"/>
            <color indexed="81"/>
            <rFont val="Tahoma"/>
            <family val="2"/>
          </rPr>
          <t xml:space="preserve">
businesses exchanged with Henkel in Nov. 2004 reflected in discontinued operations</t>
        </r>
      </text>
    </comment>
    <comment ref="R5" authorId="0">
      <text>
        <r>
          <rPr>
            <b/>
            <sz val="8"/>
            <color indexed="81"/>
            <rFont val="Tahoma"/>
            <family val="2"/>
          </rPr>
          <t>grunke:</t>
        </r>
        <r>
          <rPr>
            <sz val="8"/>
            <color indexed="81"/>
            <rFont val="Tahoma"/>
            <family val="2"/>
          </rPr>
          <t xml:space="preserve">
businesses exchanged with Henkel in Nov. 2004 reflected in discontinued operations</t>
        </r>
      </text>
    </comment>
    <comment ref="S5" authorId="0">
      <text>
        <r>
          <rPr>
            <b/>
            <sz val="8"/>
            <color indexed="81"/>
            <rFont val="Tahoma"/>
            <family val="2"/>
          </rPr>
          <t>grunke:</t>
        </r>
        <r>
          <rPr>
            <sz val="8"/>
            <color indexed="81"/>
            <rFont val="Tahoma"/>
            <family val="2"/>
          </rPr>
          <t xml:space="preserve">
businesses exchanged with Henkel in Nov. 2004 reflected in discontinued operations</t>
        </r>
      </text>
    </comment>
    <comment ref="T5" authorId="0">
      <text>
        <r>
          <rPr>
            <b/>
            <sz val="8"/>
            <color indexed="81"/>
            <rFont val="Tahoma"/>
            <family val="2"/>
          </rPr>
          <t>grunke:</t>
        </r>
        <r>
          <rPr>
            <sz val="8"/>
            <color indexed="81"/>
            <rFont val="Tahoma"/>
            <family val="2"/>
          </rPr>
          <t xml:space="preserve">
businesses exchanged with Henkel in Nov. 2004 reflected in discontinued operations</t>
        </r>
      </text>
    </comment>
    <comment ref="V5" authorId="0">
      <text>
        <r>
          <rPr>
            <b/>
            <sz val="8"/>
            <color indexed="81"/>
            <rFont val="Tahoma"/>
            <family val="2"/>
          </rPr>
          <t>grunke:</t>
        </r>
        <r>
          <rPr>
            <sz val="8"/>
            <color indexed="81"/>
            <rFont val="Tahoma"/>
            <family val="2"/>
          </rPr>
          <t xml:space="preserve">
businesses exchanged with Henkel in Nov. 2004 reflected in discontinued operations</t>
        </r>
      </text>
    </comment>
    <comment ref="BP7" authorId="1">
      <text>
        <r>
          <rPr>
            <b/>
            <sz val="9"/>
            <color indexed="81"/>
            <rFont val="Tahoma"/>
            <family val="2"/>
          </rPr>
          <t>McHugh, Tom (Research):</t>
        </r>
        <r>
          <rPr>
            <sz val="9"/>
            <color indexed="81"/>
            <rFont val="Tahoma"/>
            <family val="2"/>
          </rPr>
          <t xml:space="preserve">
Restated due to VZ exit, was 1330</t>
        </r>
      </text>
    </comment>
    <comment ref="BQ7" authorId="1">
      <text>
        <r>
          <rPr>
            <b/>
            <sz val="9"/>
            <color indexed="81"/>
            <rFont val="Tahoma"/>
            <family val="2"/>
          </rPr>
          <t>McHugh, Tom (Research):</t>
        </r>
        <r>
          <rPr>
            <sz val="9"/>
            <color indexed="81"/>
            <rFont val="Tahoma"/>
            <family val="2"/>
          </rPr>
          <t xml:space="preserve">
Restated due to VZ exit, was 1386</t>
        </r>
      </text>
    </comment>
    <comment ref="BD8" authorId="2">
      <text>
        <r>
          <rPr>
            <b/>
            <sz val="8"/>
            <color indexed="81"/>
            <rFont val="Tahoma"/>
            <family val="2"/>
          </rPr>
          <t>linalis:</t>
        </r>
        <r>
          <rPr>
            <sz val="8"/>
            <color indexed="81"/>
            <rFont val="Tahoma"/>
            <family val="2"/>
          </rPr>
          <t xml:space="preserve">
5.3.11: flat to -1% guidance</t>
        </r>
      </text>
    </comment>
    <comment ref="CC8" authorId="3">
      <text>
        <r>
          <rPr>
            <b/>
            <sz val="9"/>
            <color indexed="81"/>
            <rFont val="Tahoma"/>
            <family val="2"/>
          </rPr>
          <t>Fitzgerald, Kyle (Research):</t>
        </r>
        <r>
          <rPr>
            <sz val="9"/>
            <color indexed="81"/>
            <rFont val="Tahoma"/>
            <family val="2"/>
          </rPr>
          <t xml:space="preserve">
1-2%</t>
        </r>
      </text>
    </comment>
    <comment ref="CH8" authorId="4">
      <text>
        <r>
          <rPr>
            <b/>
            <sz val="9"/>
            <color indexed="81"/>
            <rFont val="Tahoma"/>
            <family val="2"/>
          </rPr>
          <t>Falorni, Filippo (Research):</t>
        </r>
        <r>
          <rPr>
            <sz val="9"/>
            <color indexed="81"/>
            <rFont val="Tahoma"/>
            <family val="2"/>
          </rPr>
          <t xml:space="preserve">
G at 3Q17: </t>
        </r>
        <r>
          <rPr>
            <b/>
            <sz val="9"/>
            <color indexed="81"/>
            <rFont val="Tahoma"/>
            <family val="2"/>
          </rPr>
          <t>R</t>
        </r>
        <r>
          <rPr>
            <sz val="9"/>
            <color indexed="81"/>
            <rFont val="Tahoma"/>
            <family val="2"/>
          </rPr>
          <t xml:space="preserve">
G at 2Q17: 3-4%</t>
        </r>
      </text>
    </comment>
    <comment ref="CM8" authorId="4">
      <text>
        <r>
          <rPr>
            <b/>
            <sz val="9"/>
            <color indexed="81"/>
            <rFont val="Tahoma"/>
            <family val="2"/>
          </rPr>
          <t>Falorni, Filippo (Research):</t>
        </r>
        <r>
          <rPr>
            <sz val="9"/>
            <color indexed="81"/>
            <rFont val="Tahoma"/>
            <family val="2"/>
          </rPr>
          <t xml:space="preserve">
G at F2Q18: </t>
        </r>
        <r>
          <rPr>
            <b/>
            <sz val="9"/>
            <color indexed="81"/>
            <rFont val="Tahoma"/>
            <family val="2"/>
          </rPr>
          <t>R</t>
        </r>
        <r>
          <rPr>
            <sz val="9"/>
            <color indexed="81"/>
            <rFont val="Tahoma"/>
            <family val="2"/>
          </rPr>
          <t xml:space="preserve">
G at F1Q18: +1-3%
G at FQ417: +2-4%</t>
        </r>
      </text>
    </comment>
    <comment ref="BJ9" authorId="5">
      <text>
        <r>
          <rPr>
            <b/>
            <sz val="8"/>
            <color indexed="81"/>
            <rFont val="Tahoma"/>
            <family val="2"/>
          </rPr>
          <t>mukeruma:</t>
        </r>
        <r>
          <rPr>
            <sz val="8"/>
            <color indexed="81"/>
            <rFont val="Tahoma"/>
            <family val="2"/>
          </rPr>
          <t xml:space="preserve">
1H also 2-4%</t>
        </r>
      </text>
    </comment>
    <comment ref="BK9" authorId="5">
      <text>
        <r>
          <rPr>
            <b/>
            <sz val="8"/>
            <color indexed="81"/>
            <rFont val="Tahoma"/>
            <family val="2"/>
          </rPr>
          <t>mukeruma:</t>
        </r>
        <r>
          <rPr>
            <sz val="8"/>
            <color indexed="81"/>
            <rFont val="Tahoma"/>
            <family val="2"/>
          </rPr>
          <t xml:space="preserve">
1H also 2-4%</t>
        </r>
      </text>
    </comment>
    <comment ref="CC9" authorId="3">
      <text>
        <r>
          <rPr>
            <b/>
            <sz val="9"/>
            <color indexed="81"/>
            <rFont val="Tahoma"/>
            <family val="2"/>
          </rPr>
          <t>Fitzgerald, Kyle (Research):</t>
        </r>
        <r>
          <rPr>
            <sz val="9"/>
            <color indexed="81"/>
            <rFont val="Tahoma"/>
            <family val="2"/>
          </rPr>
          <t xml:space="preserve">
3-4%</t>
        </r>
      </text>
    </comment>
    <comment ref="BO11" authorId="1">
      <text>
        <r>
          <rPr>
            <b/>
            <sz val="9"/>
            <color indexed="81"/>
            <rFont val="Tahoma"/>
            <family val="2"/>
          </rPr>
          <t>McHugh, Tom (Research):</t>
        </r>
        <r>
          <rPr>
            <sz val="9"/>
            <color indexed="81"/>
            <rFont val="Tahoma"/>
            <family val="2"/>
          </rPr>
          <t xml:space="preserve">
Restated post VZ exit in 1Q15, was -779</t>
        </r>
      </text>
    </comment>
    <comment ref="BP11" authorId="1">
      <text>
        <r>
          <rPr>
            <b/>
            <sz val="9"/>
            <color indexed="81"/>
            <rFont val="Tahoma"/>
            <family val="2"/>
          </rPr>
          <t>McHugh, Tom (Research):</t>
        </r>
        <r>
          <rPr>
            <sz val="9"/>
            <color indexed="81"/>
            <rFont val="Tahoma"/>
            <family val="2"/>
          </rPr>
          <t xml:space="preserve">
Restated due to VZ exit, was -773</t>
        </r>
      </text>
    </comment>
    <comment ref="BQ11" authorId="1">
      <text>
        <r>
          <rPr>
            <b/>
            <sz val="9"/>
            <color indexed="81"/>
            <rFont val="Tahoma"/>
            <family val="2"/>
          </rPr>
          <t>McHugh, Tom (Research):</t>
        </r>
        <r>
          <rPr>
            <sz val="9"/>
            <color indexed="81"/>
            <rFont val="Tahoma"/>
            <family val="2"/>
          </rPr>
          <t xml:space="preserve">
Restated due to VZ exit, was -807</t>
        </r>
      </text>
    </comment>
    <comment ref="BR11" authorId="1">
      <text>
        <r>
          <rPr>
            <b/>
            <sz val="9"/>
            <color indexed="81"/>
            <rFont val="Tahoma"/>
            <family val="2"/>
          </rPr>
          <t>McHugh, Tom (Research):</t>
        </r>
        <r>
          <rPr>
            <sz val="9"/>
            <color indexed="81"/>
            <rFont val="Tahoma"/>
            <family val="2"/>
          </rPr>
          <t xml:space="preserve">
Restated due to VZ exit, was -872</t>
        </r>
      </text>
    </comment>
    <comment ref="CB13" authorId="3">
      <text>
        <r>
          <rPr>
            <b/>
            <sz val="9"/>
            <color indexed="81"/>
            <rFont val="Tahoma"/>
            <family val="2"/>
          </rPr>
          <t>Fitzgerald, Kyle (Research):</t>
        </r>
        <r>
          <rPr>
            <sz val="9"/>
            <color indexed="81"/>
            <rFont val="Tahoma"/>
            <family val="2"/>
          </rPr>
          <t xml:space="preserve">
Flattish</t>
        </r>
      </text>
    </comment>
    <comment ref="CD13" authorId="3">
      <text>
        <r>
          <rPr>
            <b/>
            <sz val="9"/>
            <color indexed="81"/>
            <rFont val="Tahoma"/>
            <family val="2"/>
          </rPr>
          <t>Fitzgerald, Kyle (Research):</t>
        </r>
        <r>
          <rPr>
            <sz val="9"/>
            <color indexed="81"/>
            <rFont val="Tahoma"/>
            <family val="2"/>
          </rPr>
          <t xml:space="preserve">
Flattish</t>
        </r>
      </text>
    </comment>
    <comment ref="CJ13" authorId="4">
      <text>
        <r>
          <rPr>
            <b/>
            <sz val="9"/>
            <color indexed="81"/>
            <rFont val="Tahoma"/>
            <family val="2"/>
          </rPr>
          <t>Falorni, Filippo (Research):</t>
        </r>
        <r>
          <rPr>
            <sz val="9"/>
            <color indexed="81"/>
            <rFont val="Tahoma"/>
            <family val="2"/>
          </rPr>
          <t xml:space="preserve">
G at F1Q18: cost pressures related to the recent hurricanes, especially in the second and third quarters</t>
        </r>
      </text>
    </comment>
    <comment ref="CK13" authorId="4">
      <text>
        <r>
          <rPr>
            <b/>
            <sz val="9"/>
            <color indexed="81"/>
            <rFont val="Tahoma"/>
            <family val="2"/>
          </rPr>
          <t>Falorni, Filippo (Research):</t>
        </r>
        <r>
          <rPr>
            <sz val="9"/>
            <color indexed="81"/>
            <rFont val="Tahoma"/>
            <family val="2"/>
          </rPr>
          <t xml:space="preserve">
G at F1Q18: cost pressures related to the recent hurricanes, especially in the second and third quarters</t>
        </r>
      </text>
    </comment>
    <comment ref="AK15" authorId="0">
      <text>
        <r>
          <rPr>
            <b/>
            <sz val="8"/>
            <color indexed="81"/>
            <rFont val="Tahoma"/>
            <family val="2"/>
          </rPr>
          <t>grunke:</t>
        </r>
        <r>
          <rPr>
            <sz val="8"/>
            <color indexed="81"/>
            <rFont val="Tahoma"/>
            <family val="2"/>
          </rPr>
          <t xml:space="preserve">
restructuring</t>
        </r>
      </text>
    </comment>
    <comment ref="AL15" authorId="0">
      <text>
        <r>
          <rPr>
            <b/>
            <sz val="8"/>
            <color indexed="81"/>
            <rFont val="Tahoma"/>
            <family val="2"/>
          </rPr>
          <t>grunke:</t>
        </r>
        <r>
          <rPr>
            <sz val="8"/>
            <color indexed="81"/>
            <rFont val="Tahoma"/>
            <family val="2"/>
          </rPr>
          <t xml:space="preserve">
includes ~$3M restructuring and ~$5M from Burt's Bees</t>
        </r>
      </text>
    </comment>
    <comment ref="AM15" authorId="0">
      <text>
        <r>
          <rPr>
            <b/>
            <sz val="8"/>
            <color indexed="81"/>
            <rFont val="Tahoma"/>
            <family val="2"/>
          </rPr>
          <t>grunke:</t>
        </r>
        <r>
          <rPr>
            <sz val="8"/>
            <color indexed="81"/>
            <rFont val="Tahoma"/>
            <family val="2"/>
          </rPr>
          <t xml:space="preserve">
includes ~$10M restructuring and ~$11M from Burt's Bees</t>
        </r>
      </text>
    </comment>
    <comment ref="AN15" authorId="0">
      <text>
        <r>
          <rPr>
            <b/>
            <sz val="8"/>
            <color indexed="81"/>
            <rFont val="Tahoma"/>
            <family val="2"/>
          </rPr>
          <t>grunke:</t>
        </r>
        <r>
          <rPr>
            <sz val="8"/>
            <color indexed="81"/>
            <rFont val="Tahoma"/>
            <family val="2"/>
          </rPr>
          <t xml:space="preserve">
includes ~$8M restructuring and ~$3M from Burt's Bees</t>
        </r>
      </text>
    </comment>
    <comment ref="AO15" authorId="0">
      <text>
        <r>
          <rPr>
            <b/>
            <sz val="8"/>
            <color indexed="81"/>
            <rFont val="Tahoma"/>
            <family val="2"/>
          </rPr>
          <t>grunke:</t>
        </r>
        <r>
          <rPr>
            <sz val="8"/>
            <color indexed="81"/>
            <rFont val="Tahoma"/>
            <family val="2"/>
          </rPr>
          <t xml:space="preserve">
includes:
$23M restructuring
$19M Burts </t>
        </r>
      </text>
    </comment>
    <comment ref="AP15" authorId="0">
      <text>
        <r>
          <rPr>
            <b/>
            <sz val="8"/>
            <color indexed="81"/>
            <rFont val="Tahoma"/>
            <family val="2"/>
          </rPr>
          <t>grunke:</t>
        </r>
        <r>
          <rPr>
            <sz val="8"/>
            <color indexed="81"/>
            <rFont val="Tahoma"/>
            <family val="2"/>
          </rPr>
          <t xml:space="preserve">
includes ~$5M restructuring and ~$3M from Burt's Bees</t>
        </r>
      </text>
    </comment>
    <comment ref="AQ15" authorId="0">
      <text>
        <r>
          <rPr>
            <b/>
            <sz val="8"/>
            <color indexed="81"/>
            <rFont val="Tahoma"/>
            <family val="2"/>
          </rPr>
          <t>grunke:</t>
        </r>
        <r>
          <rPr>
            <sz val="8"/>
            <color indexed="81"/>
            <rFont val="Tahoma"/>
            <family val="2"/>
          </rPr>
          <t xml:space="preserve">
includes ~$2M restructuring and ~$2M from Burt's Bees</t>
        </r>
      </text>
    </comment>
    <comment ref="AR15" authorId="0">
      <text>
        <r>
          <rPr>
            <b/>
            <sz val="8"/>
            <color indexed="81"/>
            <rFont val="Tahoma"/>
            <family val="2"/>
          </rPr>
          <t>grunke:</t>
        </r>
        <r>
          <rPr>
            <sz val="8"/>
            <color indexed="81"/>
            <rFont val="Tahoma"/>
            <family val="2"/>
          </rPr>
          <t xml:space="preserve">
restructuring</t>
        </r>
      </text>
    </comment>
    <comment ref="AS15" authorId="0">
      <text>
        <r>
          <rPr>
            <b/>
            <sz val="8"/>
            <color indexed="81"/>
            <rFont val="Tahoma"/>
            <family val="2"/>
          </rPr>
          <t>grunke:</t>
        </r>
        <r>
          <rPr>
            <sz val="8"/>
            <color indexed="81"/>
            <rFont val="Tahoma"/>
            <family val="2"/>
          </rPr>
          <t xml:space="preserve">
restructuring</t>
        </r>
      </text>
    </comment>
    <comment ref="AU15" authorId="0">
      <text>
        <r>
          <rPr>
            <b/>
            <sz val="8"/>
            <color indexed="81"/>
            <rFont val="Tahoma"/>
            <family val="2"/>
          </rPr>
          <t>grunke:</t>
        </r>
        <r>
          <rPr>
            <sz val="8"/>
            <color indexed="81"/>
            <rFont val="Tahoma"/>
            <family val="2"/>
          </rPr>
          <t xml:space="preserve">
restructuring</t>
        </r>
      </text>
    </comment>
    <comment ref="AV15" authorId="0">
      <text>
        <r>
          <rPr>
            <b/>
            <sz val="8"/>
            <color indexed="81"/>
            <rFont val="Tahoma"/>
            <family val="2"/>
          </rPr>
          <t>grunke:</t>
        </r>
        <r>
          <rPr>
            <sz val="8"/>
            <color indexed="81"/>
            <rFont val="Tahoma"/>
            <family val="2"/>
          </rPr>
          <t xml:space="preserve">
restructuring</t>
        </r>
      </text>
    </comment>
    <comment ref="AW15" authorId="0">
      <text>
        <r>
          <rPr>
            <b/>
            <sz val="8"/>
            <color indexed="81"/>
            <rFont val="Tahoma"/>
            <family val="2"/>
          </rPr>
          <t>grunke:</t>
        </r>
        <r>
          <rPr>
            <sz val="8"/>
            <color indexed="81"/>
            <rFont val="Tahoma"/>
            <family val="2"/>
          </rPr>
          <t xml:space="preserve">
restructuring</t>
        </r>
      </text>
    </comment>
    <comment ref="BJ18" authorId="5">
      <text>
        <r>
          <rPr>
            <b/>
            <sz val="8"/>
            <color indexed="81"/>
            <rFont val="Tahoma"/>
            <family val="2"/>
          </rPr>
          <t>mukeruma:</t>
        </r>
        <r>
          <rPr>
            <sz val="8"/>
            <color indexed="81"/>
            <rFont val="Tahoma"/>
            <family val="2"/>
          </rPr>
          <t xml:space="preserve">
guidance: GM improves in first half but EBIT margin will decline</t>
        </r>
      </text>
    </comment>
    <comment ref="BD19" authorId="2">
      <text>
        <r>
          <rPr>
            <b/>
            <sz val="8"/>
            <color indexed="81"/>
            <rFont val="Tahoma"/>
            <family val="2"/>
          </rPr>
          <t>linalis:</t>
        </r>
        <r>
          <rPr>
            <sz val="8"/>
            <color indexed="81"/>
            <rFont val="Tahoma"/>
            <family val="2"/>
          </rPr>
          <t xml:space="preserve">
5.3.11: guided to a decrease of 75-100 bps </t>
        </r>
      </text>
    </comment>
    <comment ref="BI19" authorId="5">
      <text>
        <r>
          <rPr>
            <b/>
            <sz val="8"/>
            <color indexed="81"/>
            <rFont val="Tahoma"/>
            <family val="2"/>
          </rPr>
          <t>mukeruma:</t>
        </r>
        <r>
          <rPr>
            <sz val="8"/>
            <color indexed="81"/>
            <rFont val="Tahoma"/>
            <family val="2"/>
          </rPr>
          <t xml:space="preserve">
down 125-150 guidance</t>
        </r>
      </text>
    </comment>
    <comment ref="BR19" authorId="6">
      <text>
        <r>
          <rPr>
            <b/>
            <sz val="8"/>
            <color indexed="81"/>
            <rFont val="Tahoma"/>
            <family val="2"/>
          </rPr>
          <t>doctobob:</t>
        </r>
        <r>
          <rPr>
            <sz val="8"/>
            <color indexed="81"/>
            <rFont val="Tahoma"/>
            <family val="2"/>
          </rPr>
          <t xml:space="preserve">
down modestly</t>
        </r>
      </text>
    </comment>
    <comment ref="BS19" authorId="7">
      <text>
        <r>
          <rPr>
            <b/>
            <sz val="8"/>
            <color indexed="81"/>
            <rFont val="Tahoma"/>
            <family val="2"/>
          </rPr>
          <t>cruzv:</t>
        </r>
        <r>
          <rPr>
            <sz val="8"/>
            <color indexed="81"/>
            <rFont val="Tahoma"/>
            <family val="2"/>
          </rPr>
          <t xml:space="preserve">
expected to be down modestly</t>
        </r>
      </text>
    </comment>
    <comment ref="BX19" authorId="6">
      <text>
        <r>
          <rPr>
            <b/>
            <sz val="8"/>
            <color indexed="81"/>
            <rFont val="Tahoma"/>
            <family val="2"/>
          </rPr>
          <t>doctobob:</t>
        </r>
        <r>
          <rPr>
            <sz val="8"/>
            <color indexed="81"/>
            <rFont val="Tahoma"/>
            <family val="2"/>
          </rPr>
          <t xml:space="preserve">
up slightly for the year</t>
        </r>
      </text>
    </comment>
    <comment ref="CH19" authorId="8">
      <text>
        <r>
          <rPr>
            <b/>
            <sz val="9"/>
            <color indexed="81"/>
            <rFont val="Tahoma"/>
            <family val="2"/>
          </rPr>
          <t>Doctor, Bob (Research):</t>
        </r>
        <r>
          <rPr>
            <sz val="9"/>
            <color indexed="81"/>
            <rFont val="Tahoma"/>
            <family val="2"/>
          </rPr>
          <t xml:space="preserve">
decrease modestly</t>
        </r>
      </text>
    </comment>
    <comment ref="CJ19" authorId="4">
      <text>
        <r>
          <rPr>
            <b/>
            <sz val="9"/>
            <color indexed="81"/>
            <rFont val="Tahoma"/>
            <family val="2"/>
          </rPr>
          <t>Falorni, Filippo (Research):</t>
        </r>
        <r>
          <rPr>
            <sz val="9"/>
            <color indexed="81"/>
            <rFont val="Tahoma"/>
            <family val="2"/>
          </rPr>
          <t xml:space="preserve">
G at F1Q18 (call): -150 bps yoy</t>
        </r>
      </text>
    </comment>
    <comment ref="CK19" authorId="4">
      <text>
        <r>
          <rPr>
            <b/>
            <sz val="9"/>
            <color indexed="81"/>
            <rFont val="Tahoma"/>
            <family val="2"/>
          </rPr>
          <t>Falorni, Filippo (Research):</t>
        </r>
        <r>
          <rPr>
            <sz val="9"/>
            <color indexed="81"/>
            <rFont val="Tahoma"/>
            <family val="2"/>
          </rPr>
          <t xml:space="preserve">
G at F2Q18 (call): GM down in Q3 and Q4</t>
        </r>
      </text>
    </comment>
    <comment ref="CL19" authorId="4">
      <text>
        <r>
          <rPr>
            <b/>
            <sz val="9"/>
            <color indexed="81"/>
            <rFont val="Tahoma"/>
            <family val="2"/>
          </rPr>
          <t>Falorni, Filippo (Research):</t>
        </r>
        <r>
          <rPr>
            <sz val="9"/>
            <color indexed="81"/>
            <rFont val="Tahoma"/>
            <family val="2"/>
          </rPr>
          <t xml:space="preserve">
G at F2Q18 (call): GM down in Q3 and Q4
G at F1Q18 (call): gross margin expansion in Q4</t>
        </r>
      </text>
    </comment>
    <comment ref="CM19" authorId="4">
      <text>
        <r>
          <rPr>
            <b/>
            <sz val="9"/>
            <color indexed="81"/>
            <rFont val="Tahoma"/>
            <family val="2"/>
          </rPr>
          <t>Falorni, Filippo (Research):</t>
        </r>
        <r>
          <rPr>
            <sz val="9"/>
            <color indexed="81"/>
            <rFont val="Tahoma"/>
            <family val="2"/>
          </rPr>
          <t xml:space="preserve">
G at F2Q18: </t>
        </r>
        <r>
          <rPr>
            <u/>
            <sz val="9"/>
            <color indexed="81"/>
            <rFont val="Tahoma"/>
            <family val="2"/>
          </rPr>
          <t>GM is now expected to decrease modestly</t>
        </r>
        <r>
          <rPr>
            <sz val="9"/>
            <color indexed="81"/>
            <rFont val="Tahoma"/>
            <family val="2"/>
          </rPr>
          <t xml:space="preserve"> as a result of higher input costs related to commodities and further tightening of the transportation market. (</t>
        </r>
        <r>
          <rPr>
            <u/>
            <sz val="9"/>
            <color indexed="81"/>
            <rFont val="Tahoma"/>
            <family val="2"/>
          </rPr>
          <t>Less than 1 point per call</t>
        </r>
        <r>
          <rPr>
            <sz val="9"/>
            <color indexed="81"/>
            <rFont val="Tahoma"/>
            <family val="2"/>
          </rPr>
          <t xml:space="preserve">)
G at F1Q18: </t>
        </r>
        <r>
          <rPr>
            <u/>
            <sz val="9"/>
            <color indexed="81"/>
            <rFont val="Tahoma"/>
            <family val="2"/>
          </rPr>
          <t>GM  to be down slightly</t>
        </r>
        <r>
          <rPr>
            <sz val="9"/>
            <color indexed="81"/>
            <rFont val="Tahoma"/>
            <family val="2"/>
          </rPr>
          <t xml:space="preserve"> for the fiscal year
G at F4Q17: </t>
        </r>
        <r>
          <rPr>
            <u/>
            <sz val="9"/>
            <color indexed="81"/>
            <rFont val="Tahoma"/>
            <family val="2"/>
          </rPr>
          <t xml:space="preserve">GM up slightly </t>
        </r>
        <r>
          <rPr>
            <sz val="9"/>
            <color indexed="81"/>
            <rFont val="Tahoma"/>
            <family val="2"/>
          </rPr>
          <t>on cost savings and price increases, partially offset by higher mfg COGS and higher commodity costs</t>
        </r>
      </text>
    </comment>
    <comment ref="CR19" authorId="4">
      <text>
        <r>
          <rPr>
            <b/>
            <sz val="9"/>
            <color indexed="81"/>
            <rFont val="Tahoma"/>
            <family val="2"/>
          </rPr>
          <t>Falorni, Filippo (Research):</t>
        </r>
        <r>
          <rPr>
            <sz val="9"/>
            <color indexed="81"/>
            <rFont val="Tahoma"/>
            <family val="2"/>
          </rPr>
          <t xml:space="preserve">
G at F2Q18 (call): +25-50bps longer term</t>
        </r>
      </text>
    </comment>
    <comment ref="CW19" authorId="4">
      <text>
        <r>
          <rPr>
            <b/>
            <sz val="9"/>
            <color indexed="81"/>
            <rFont val="Tahoma"/>
            <family val="2"/>
          </rPr>
          <t>Falorni, Filippo (Research):</t>
        </r>
        <r>
          <rPr>
            <sz val="9"/>
            <color indexed="81"/>
            <rFont val="Tahoma"/>
            <family val="2"/>
          </rPr>
          <t xml:space="preserve">
G at F2Q18 (call): +25-50bps longer term</t>
        </r>
      </text>
    </comment>
    <comment ref="S27" authorId="0">
      <text>
        <r>
          <rPr>
            <b/>
            <sz val="8"/>
            <color indexed="81"/>
            <rFont val="Tahoma"/>
            <family val="2"/>
          </rPr>
          <t>grunke:</t>
        </r>
        <r>
          <rPr>
            <sz val="8"/>
            <color indexed="81"/>
            <rFont val="Tahoma"/>
            <family val="2"/>
          </rPr>
          <t xml:space="preserve">
Includes $6M contribution to Clorox foundation</t>
        </r>
      </text>
    </comment>
    <comment ref="BD27" authorId="9">
      <text>
        <r>
          <rPr>
            <b/>
            <sz val="8"/>
            <color indexed="81"/>
            <rFont val="Tahoma"/>
            <family val="2"/>
          </rPr>
          <t>grunke:</t>
        </r>
        <r>
          <rPr>
            <sz val="8"/>
            <color indexed="81"/>
            <rFont val="Tahoma"/>
            <family val="2"/>
          </rPr>
          <t xml:space="preserve">
$15-$17M incremental for IT spending
$10-$12M related to R&amp;D campus </t>
        </r>
      </text>
    </comment>
    <comment ref="BE27" authorId="0">
      <text>
        <r>
          <rPr>
            <b/>
            <sz val="8"/>
            <color indexed="81"/>
            <rFont val="Tahoma"/>
            <family val="2"/>
          </rPr>
          <t>grunke:</t>
        </r>
        <r>
          <rPr>
            <sz val="8"/>
            <color indexed="81"/>
            <rFont val="Tahoma"/>
            <family val="2"/>
          </rPr>
          <t xml:space="preserve">
includes advisory fees of $12M </t>
        </r>
      </text>
    </comment>
    <comment ref="BO27" authorId="1">
      <text>
        <r>
          <rPr>
            <b/>
            <sz val="9"/>
            <color indexed="81"/>
            <rFont val="Tahoma"/>
            <family val="2"/>
          </rPr>
          <t>McHugh, Tom (Research):</t>
        </r>
        <r>
          <rPr>
            <sz val="9"/>
            <color indexed="81"/>
            <rFont val="Tahoma"/>
            <family val="2"/>
          </rPr>
          <t xml:space="preserve">
Restated post VZ exit in 1Q15, was -198</t>
        </r>
      </text>
    </comment>
    <comment ref="BP27" authorId="1">
      <text>
        <r>
          <rPr>
            <b/>
            <sz val="9"/>
            <color indexed="81"/>
            <rFont val="Tahoma"/>
            <family val="2"/>
          </rPr>
          <t>McHugh, Tom (Research):</t>
        </r>
        <r>
          <rPr>
            <sz val="9"/>
            <color indexed="81"/>
            <rFont val="Tahoma"/>
            <family val="2"/>
          </rPr>
          <t xml:space="preserve">
Restated post VZ exit in 1Q15, was -200</t>
        </r>
      </text>
    </comment>
    <comment ref="BQ27" authorId="1">
      <text>
        <r>
          <rPr>
            <b/>
            <sz val="9"/>
            <color indexed="81"/>
            <rFont val="Tahoma"/>
            <family val="2"/>
          </rPr>
          <t>McHugh, Tom (Research):</t>
        </r>
        <r>
          <rPr>
            <sz val="9"/>
            <color indexed="81"/>
            <rFont val="Tahoma"/>
            <family val="2"/>
          </rPr>
          <t xml:space="preserve">
Restated due to VZ exit, was -182</t>
        </r>
      </text>
    </comment>
    <comment ref="BR27" authorId="1">
      <text>
        <r>
          <rPr>
            <b/>
            <sz val="9"/>
            <color indexed="81"/>
            <rFont val="Tahoma"/>
            <family val="2"/>
          </rPr>
          <t>McHugh, Tom (Research):</t>
        </r>
        <r>
          <rPr>
            <sz val="9"/>
            <color indexed="81"/>
            <rFont val="Tahoma"/>
            <family val="2"/>
          </rPr>
          <t xml:space="preserve">
Restated due to VZ exit, was -185</t>
        </r>
      </text>
    </comment>
    <comment ref="BS28" authorId="7">
      <text>
        <r>
          <rPr>
            <b/>
            <sz val="8"/>
            <color indexed="81"/>
            <rFont val="Tahoma"/>
            <family val="2"/>
          </rPr>
          <t>cruzv:</t>
        </r>
        <r>
          <rPr>
            <sz val="8"/>
            <color indexed="81"/>
            <rFont val="Tahoma"/>
            <family val="2"/>
          </rPr>
          <t xml:space="preserve">
14% or less long-term goal</t>
        </r>
      </text>
    </comment>
    <comment ref="BX28" authorId="6">
      <text>
        <r>
          <rPr>
            <b/>
            <sz val="8"/>
            <color indexed="81"/>
            <rFont val="Tahoma"/>
            <family val="2"/>
          </rPr>
          <t>doctobob:</t>
        </r>
        <r>
          <rPr>
            <sz val="8"/>
            <color indexed="81"/>
            <rFont val="Tahoma"/>
            <family val="2"/>
          </rPr>
          <t xml:space="preserve">
about 14%</t>
        </r>
      </text>
    </comment>
    <comment ref="CC28" authorId="3">
      <text>
        <r>
          <rPr>
            <b/>
            <sz val="9"/>
            <color indexed="81"/>
            <rFont val="Tahoma"/>
            <family val="2"/>
          </rPr>
          <t>Fitzgerald, Kyle (Research):</t>
        </r>
        <r>
          <rPr>
            <sz val="9"/>
            <color indexed="81"/>
            <rFont val="Tahoma"/>
            <family val="2"/>
          </rPr>
          <t xml:space="preserve">
About 14% of sales</t>
        </r>
      </text>
    </comment>
    <comment ref="CH28" authorId="8">
      <text>
        <r>
          <rPr>
            <b/>
            <sz val="9"/>
            <color indexed="81"/>
            <rFont val="Tahoma"/>
            <family val="2"/>
          </rPr>
          <t>Doctor, Bob (Research):</t>
        </r>
        <r>
          <rPr>
            <sz val="9"/>
            <color indexed="81"/>
            <rFont val="Tahoma"/>
            <family val="2"/>
          </rPr>
          <t xml:space="preserve">
less than 14%</t>
        </r>
      </text>
    </comment>
    <comment ref="AD31" authorId="0">
      <text>
        <r>
          <rPr>
            <b/>
            <sz val="8"/>
            <color indexed="81"/>
            <rFont val="Tahoma"/>
            <family val="2"/>
          </rPr>
          <t>grunke:</t>
        </r>
        <r>
          <rPr>
            <sz val="8"/>
            <color indexed="81"/>
            <rFont val="Tahoma"/>
            <family val="2"/>
          </rPr>
          <t xml:space="preserve">
est. pre-tax charges for:
$25M - options back-dating
$11M - CEO retirement comp</t>
        </r>
      </text>
    </comment>
    <comment ref="AF31" authorId="0">
      <text>
        <r>
          <rPr>
            <b/>
            <sz val="8"/>
            <color indexed="81"/>
            <rFont val="Tahoma"/>
            <family val="2"/>
          </rPr>
          <t>grunke:</t>
        </r>
        <r>
          <rPr>
            <sz val="8"/>
            <color indexed="81"/>
            <rFont val="Tahoma"/>
            <family val="2"/>
          </rPr>
          <t xml:space="preserve">
IT charges</t>
        </r>
      </text>
    </comment>
    <comment ref="AG31" authorId="0">
      <text>
        <r>
          <rPr>
            <b/>
            <sz val="8"/>
            <color indexed="81"/>
            <rFont val="Tahoma"/>
            <family val="2"/>
          </rPr>
          <t>grunke:</t>
        </r>
        <r>
          <rPr>
            <sz val="8"/>
            <color indexed="81"/>
            <rFont val="Tahoma"/>
            <family val="2"/>
          </rPr>
          <t xml:space="preserve">
IT charges</t>
        </r>
      </text>
    </comment>
    <comment ref="AH31" authorId="0">
      <text>
        <r>
          <rPr>
            <b/>
            <sz val="8"/>
            <color indexed="81"/>
            <rFont val="Tahoma"/>
            <family val="2"/>
          </rPr>
          <t>grunke:</t>
        </r>
        <r>
          <rPr>
            <sz val="8"/>
            <color indexed="81"/>
            <rFont val="Tahoma"/>
            <family val="2"/>
          </rPr>
          <t xml:space="preserve">
IT charges</t>
        </r>
      </text>
    </comment>
    <comment ref="AR31" authorId="0">
      <text>
        <r>
          <rPr>
            <b/>
            <sz val="8"/>
            <color indexed="81"/>
            <rFont val="Tahoma"/>
            <family val="2"/>
          </rPr>
          <t>grunke:</t>
        </r>
        <r>
          <rPr>
            <sz val="8"/>
            <color indexed="81"/>
            <rFont val="Tahoma"/>
            <family val="2"/>
          </rPr>
          <t xml:space="preserve">
restructuring</t>
        </r>
      </text>
    </comment>
    <comment ref="AS31" authorId="0">
      <text>
        <r>
          <rPr>
            <b/>
            <sz val="8"/>
            <color indexed="81"/>
            <rFont val="Tahoma"/>
            <family val="2"/>
          </rPr>
          <t>grunke:</t>
        </r>
        <r>
          <rPr>
            <sz val="8"/>
            <color indexed="81"/>
            <rFont val="Tahoma"/>
            <family val="2"/>
          </rPr>
          <t xml:space="preserve">
restructuring</t>
        </r>
      </text>
    </comment>
    <comment ref="AU31" authorId="0">
      <text>
        <r>
          <rPr>
            <b/>
            <sz val="8"/>
            <color indexed="81"/>
            <rFont val="Tahoma"/>
            <family val="2"/>
          </rPr>
          <t>grunke:</t>
        </r>
        <r>
          <rPr>
            <sz val="8"/>
            <color indexed="81"/>
            <rFont val="Tahoma"/>
            <family val="2"/>
          </rPr>
          <t xml:space="preserve">
restructuring</t>
        </r>
      </text>
    </comment>
    <comment ref="BP38" authorId="1">
      <text>
        <r>
          <rPr>
            <b/>
            <sz val="9"/>
            <color indexed="81"/>
            <rFont val="Tahoma"/>
            <family val="2"/>
          </rPr>
          <t>McHugh, Tom (Research):</t>
        </r>
        <r>
          <rPr>
            <sz val="9"/>
            <color indexed="81"/>
            <rFont val="Tahoma"/>
            <family val="2"/>
          </rPr>
          <t xml:space="preserve">
Restated post VZ exit in 1Q15, was -123</t>
        </r>
      </text>
    </comment>
    <comment ref="BX39" authorId="8">
      <text>
        <r>
          <rPr>
            <b/>
            <sz val="9"/>
            <color indexed="81"/>
            <rFont val="Tahoma"/>
            <family val="2"/>
          </rPr>
          <t>Doctor, Bob (Research):</t>
        </r>
        <r>
          <rPr>
            <sz val="9"/>
            <color indexed="81"/>
            <rFont val="Tahoma"/>
            <family val="2"/>
          </rPr>
          <t xml:space="preserve">
about 9%</t>
        </r>
      </text>
    </comment>
    <comment ref="CB39" authorId="3">
      <text>
        <r>
          <rPr>
            <b/>
            <sz val="9"/>
            <color indexed="81"/>
            <rFont val="Tahoma"/>
            <family val="2"/>
          </rPr>
          <t>Fitzgerald, Kyle (Research):</t>
        </r>
        <r>
          <rPr>
            <sz val="9"/>
            <color indexed="81"/>
            <rFont val="Tahoma"/>
            <family val="2"/>
          </rPr>
          <t xml:space="preserve">
12% of sales</t>
        </r>
      </text>
    </comment>
    <comment ref="CC39" authorId="3">
      <text>
        <r>
          <rPr>
            <b/>
            <sz val="9"/>
            <color indexed="81"/>
            <rFont val="Tahoma"/>
            <family val="2"/>
          </rPr>
          <t>Fitzgerald, Kyle (Research):</t>
        </r>
        <r>
          <rPr>
            <sz val="9"/>
            <color indexed="81"/>
            <rFont val="Tahoma"/>
            <family val="2"/>
          </rPr>
          <t xml:space="preserve">
10%</t>
        </r>
      </text>
    </comment>
    <comment ref="CD39" authorId="3">
      <text>
        <r>
          <rPr>
            <b/>
            <sz val="9"/>
            <color indexed="81"/>
            <rFont val="Tahoma"/>
            <family val="2"/>
          </rPr>
          <t>Fitzgerald, Kyle (Research):</t>
        </r>
        <r>
          <rPr>
            <sz val="9"/>
            <color indexed="81"/>
            <rFont val="Tahoma"/>
            <family val="2"/>
          </rPr>
          <t xml:space="preserve">
12% of sales</t>
        </r>
      </text>
    </comment>
    <comment ref="CH39" authorId="8">
      <text>
        <r>
          <rPr>
            <b/>
            <sz val="9"/>
            <color indexed="81"/>
            <rFont val="Tahoma"/>
            <family val="2"/>
          </rPr>
          <t>Doctor, Bob (Research):</t>
        </r>
        <r>
          <rPr>
            <sz val="9"/>
            <color indexed="81"/>
            <rFont val="Tahoma"/>
            <family val="2"/>
          </rPr>
          <t xml:space="preserve">
~10%; inline with last year</t>
        </r>
      </text>
    </comment>
    <comment ref="CM39" authorId="4">
      <text>
        <r>
          <rPr>
            <b/>
            <sz val="9"/>
            <color indexed="81"/>
            <rFont val="Tahoma"/>
            <family val="2"/>
          </rPr>
          <t>Falorni, Filippo (Research):</t>
        </r>
        <r>
          <rPr>
            <sz val="9"/>
            <color indexed="81"/>
            <rFont val="Tahoma"/>
            <family val="2"/>
          </rPr>
          <t xml:space="preserve">
G at F2Q18 (call): about ~10% of sales</t>
        </r>
      </text>
    </comment>
    <comment ref="BJ51" authorId="5">
      <text>
        <r>
          <rPr>
            <b/>
            <sz val="8"/>
            <color indexed="81"/>
            <rFont val="Tahoma"/>
            <family val="2"/>
          </rPr>
          <t>mukeruma:</t>
        </r>
        <r>
          <rPr>
            <sz val="8"/>
            <color indexed="81"/>
            <rFont val="Tahoma"/>
            <family val="2"/>
          </rPr>
          <t xml:space="preserve">
guidance: GM improves in first half but EBIT margin will decline</t>
        </r>
      </text>
    </comment>
    <comment ref="BS52" authorId="7">
      <text>
        <r>
          <rPr>
            <b/>
            <sz val="8"/>
            <color indexed="81"/>
            <rFont val="Tahoma"/>
            <family val="2"/>
          </rPr>
          <t>cruzv:</t>
        </r>
        <r>
          <rPr>
            <sz val="8"/>
            <color indexed="81"/>
            <rFont val="Tahoma"/>
            <family val="2"/>
          </rPr>
          <t xml:space="preserve">
Up 0-25 bps</t>
        </r>
      </text>
    </comment>
    <comment ref="BX52" authorId="6">
      <text>
        <r>
          <rPr>
            <b/>
            <sz val="8"/>
            <color indexed="81"/>
            <rFont val="Tahoma"/>
            <family val="2"/>
          </rPr>
          <t>doctobob:</t>
        </r>
        <r>
          <rPr>
            <sz val="8"/>
            <color indexed="81"/>
            <rFont val="Tahoma"/>
            <family val="2"/>
          </rPr>
          <t xml:space="preserve">
flat</t>
        </r>
      </text>
    </comment>
    <comment ref="CC52" authorId="3">
      <text>
        <r>
          <rPr>
            <b/>
            <sz val="9"/>
            <color indexed="81"/>
            <rFont val="Tahoma"/>
            <family val="2"/>
          </rPr>
          <t>Fitzgerald, Kyle (Research):</t>
        </r>
        <r>
          <rPr>
            <sz val="9"/>
            <color indexed="81"/>
            <rFont val="Tahoma"/>
            <family val="2"/>
          </rPr>
          <t xml:space="preserve">
50 bps expansion</t>
        </r>
      </text>
    </comment>
    <comment ref="CH52" authorId="8">
      <text>
        <r>
          <rPr>
            <b/>
            <sz val="9"/>
            <color indexed="81"/>
            <rFont val="Tahoma"/>
            <family val="2"/>
          </rPr>
          <t>Doctor, Bob (Research):</t>
        </r>
        <r>
          <rPr>
            <sz val="9"/>
            <color indexed="81"/>
            <rFont val="Tahoma"/>
            <family val="2"/>
          </rPr>
          <t xml:space="preserve">
Q3: +25
Q2: 25-50</t>
        </r>
      </text>
    </comment>
    <comment ref="CM52" authorId="4">
      <text>
        <r>
          <rPr>
            <b/>
            <sz val="9"/>
            <color indexed="81"/>
            <rFont val="Tahoma"/>
            <family val="2"/>
          </rPr>
          <t>Falorni, Filippo (Research):</t>
        </r>
        <r>
          <rPr>
            <sz val="9"/>
            <color indexed="81"/>
            <rFont val="Tahoma"/>
            <family val="2"/>
          </rPr>
          <t xml:space="preserve">
G at F2Q18 (call): implies modestly down
G at FQ417: EBIT margin to expand modestly</t>
        </r>
      </text>
    </comment>
    <comment ref="BI65" authorId="2">
      <text>
        <r>
          <rPr>
            <b/>
            <sz val="8"/>
            <color indexed="81"/>
            <rFont val="Tahoma"/>
            <family val="2"/>
          </rPr>
          <t>linalis:</t>
        </r>
        <r>
          <rPr>
            <sz val="8"/>
            <color indexed="81"/>
            <rFont val="Tahoma"/>
            <family val="2"/>
          </rPr>
          <t xml:space="preserve">
5.3.11: $113-$116 guidance
2.3.12: $125 million</t>
        </r>
      </text>
    </comment>
    <comment ref="Q66" authorId="0">
      <text>
        <r>
          <rPr>
            <b/>
            <sz val="8"/>
            <color indexed="81"/>
            <rFont val="Tahoma"/>
            <family val="2"/>
          </rPr>
          <t>grunke:</t>
        </r>
        <r>
          <rPr>
            <sz val="8"/>
            <color indexed="81"/>
            <rFont val="Tahoma"/>
            <family val="2"/>
          </rPr>
          <t xml:space="preserve">
Includes: 
- $3M in equity earnings and gain on exchange of Henkel Iberica</t>
        </r>
      </text>
    </comment>
    <comment ref="R66" authorId="0">
      <text>
        <r>
          <rPr>
            <b/>
            <sz val="8"/>
            <color indexed="81"/>
            <rFont val="Tahoma"/>
            <family val="2"/>
          </rPr>
          <t>grunke:</t>
        </r>
        <r>
          <rPr>
            <sz val="8"/>
            <color indexed="81"/>
            <rFont val="Tahoma"/>
            <family val="2"/>
          </rPr>
          <t xml:space="preserve">
Includes:
-$2M of equity earnings and gain on exchange of Henkel Iberica</t>
        </r>
      </text>
    </comment>
    <comment ref="V66" authorId="0">
      <text>
        <r>
          <rPr>
            <b/>
            <sz val="8"/>
            <color indexed="81"/>
            <rFont val="Tahoma"/>
            <family val="2"/>
          </rPr>
          <t>grunke:</t>
        </r>
        <r>
          <rPr>
            <sz val="8"/>
            <color indexed="81"/>
            <rFont val="Tahoma"/>
            <family val="2"/>
          </rPr>
          <t xml:space="preserve">
Includes:
- $3M of equity earnings and gain on exchange of Henkel Iberica</t>
        </r>
      </text>
    </comment>
    <comment ref="W66" authorId="0">
      <text>
        <r>
          <rPr>
            <b/>
            <sz val="8"/>
            <color indexed="81"/>
            <rFont val="Tahoma"/>
            <family val="2"/>
          </rPr>
          <t>grunke:</t>
        </r>
        <r>
          <rPr>
            <sz val="8"/>
            <color indexed="81"/>
            <rFont val="Tahoma"/>
            <family val="2"/>
          </rPr>
          <t xml:space="preserve">
Includes:
-$22M of equity earnings and gain on exchange of Henkel Iberica</t>
        </r>
      </text>
    </comment>
    <comment ref="AV66" authorId="0">
      <text>
        <r>
          <rPr>
            <b/>
            <sz val="8"/>
            <color indexed="81"/>
            <rFont val="Tahoma"/>
            <family val="2"/>
          </rPr>
          <t>grunke:</t>
        </r>
        <r>
          <rPr>
            <sz val="8"/>
            <color indexed="81"/>
            <rFont val="Tahoma"/>
            <family val="2"/>
          </rPr>
          <t xml:space="preserve">
primarily Venezuela translation</t>
        </r>
      </text>
    </comment>
    <comment ref="AW66" authorId="0">
      <text>
        <r>
          <rPr>
            <b/>
            <sz val="8"/>
            <color indexed="81"/>
            <rFont val="Tahoma"/>
            <family val="2"/>
          </rPr>
          <t>grunke: 10-Q</t>
        </r>
        <r>
          <rPr>
            <sz val="8"/>
            <color indexed="81"/>
            <rFont val="Tahoma"/>
            <family val="2"/>
          </rPr>
          <t xml:space="preserve">
The remeasurement loss as a result of using the parallel market currency exchange rate for the three and nine months ended March 31, 2010, was approximately $2 ($0.01 per diluted share) and $14 ($0.06 per diluted share), respectively . The rate used at March 31, 2010, was 7.05 VEF to the U.S. dollar. 
</t>
        </r>
      </text>
    </comment>
    <comment ref="BE66" authorId="0">
      <text>
        <r>
          <rPr>
            <b/>
            <sz val="8"/>
            <color indexed="81"/>
            <rFont val="Tahoma"/>
            <family val="2"/>
          </rPr>
          <t>grunke:</t>
        </r>
        <r>
          <rPr>
            <sz val="8"/>
            <color indexed="81"/>
            <rFont val="Tahoma"/>
            <family val="2"/>
          </rPr>
          <t xml:space="preserve">
primarily transition services from auto business </t>
        </r>
      </text>
    </comment>
    <comment ref="BF66" authorId="0">
      <text>
        <r>
          <rPr>
            <b/>
            <sz val="8"/>
            <color indexed="81"/>
            <rFont val="Tahoma"/>
            <family val="2"/>
          </rPr>
          <t>grunke:</t>
        </r>
        <r>
          <rPr>
            <sz val="8"/>
            <color indexed="81"/>
            <rFont val="Tahoma"/>
            <family val="2"/>
          </rPr>
          <t xml:space="preserve">
includes est for service fees associated with auto care divestiture</t>
        </r>
      </text>
    </comment>
    <comment ref="BQ66" authorId="1">
      <text>
        <r>
          <rPr>
            <b/>
            <sz val="9"/>
            <color indexed="81"/>
            <rFont val="Tahoma"/>
            <family val="2"/>
          </rPr>
          <t>McHugh, Tom (Research):</t>
        </r>
        <r>
          <rPr>
            <sz val="9"/>
            <color indexed="81"/>
            <rFont val="Tahoma"/>
            <family val="2"/>
          </rPr>
          <t xml:space="preserve">
Restated due to VZ exit, was -10</t>
        </r>
      </text>
    </comment>
    <comment ref="AT67" authorId="0">
      <text>
        <r>
          <rPr>
            <b/>
            <sz val="8"/>
            <color indexed="81"/>
            <rFont val="Tahoma"/>
            <family val="2"/>
          </rPr>
          <t>grunke:</t>
        </r>
        <r>
          <rPr>
            <sz val="8"/>
            <color indexed="81"/>
            <rFont val="Tahoma"/>
            <family val="2"/>
          </rPr>
          <t xml:space="preserve">
10-K
Approximately 70% of the fiscal year 2009 foreign exchange transaction losses were related to the conversion of local currency balances to U.S. dollars by the Company’s Venezuelan subsidiary.</t>
        </r>
      </text>
    </comment>
    <comment ref="A70" authorId="0">
      <text>
        <r>
          <rPr>
            <b/>
            <sz val="8"/>
            <color indexed="81"/>
            <rFont val="Tahoma"/>
            <family val="2"/>
          </rPr>
          <t>grunke:</t>
        </r>
        <r>
          <rPr>
            <sz val="8"/>
            <color indexed="81"/>
            <rFont val="Tahoma"/>
            <family val="2"/>
          </rPr>
          <t xml:space="preserve">
In January 2003, the Company entered into an agreement with The Procter &amp; Gamble Company (P&amp;G) by which a venture was formed related to the Company’s Glad ® plastic bags, wraps and containers business.</t>
        </r>
      </text>
    </comment>
    <comment ref="BF72" authorId="0">
      <text>
        <r>
          <rPr>
            <b/>
            <sz val="8"/>
            <color indexed="81"/>
            <rFont val="Tahoma"/>
            <family val="2"/>
          </rPr>
          <t>grunke:</t>
        </r>
        <r>
          <rPr>
            <sz val="8"/>
            <color indexed="81"/>
            <rFont val="Tahoma"/>
            <family val="2"/>
          </rPr>
          <t xml:space="preserve">
includes est. for favorable impact of auto care fees </t>
        </r>
      </text>
    </comment>
    <comment ref="AU74" authorId="0">
      <text>
        <r>
          <rPr>
            <b/>
            <sz val="8"/>
            <color indexed="81"/>
            <rFont val="Tahoma"/>
            <family val="2"/>
          </rPr>
          <t>grunke:</t>
        </r>
        <r>
          <rPr>
            <sz val="8"/>
            <color indexed="81"/>
            <rFont val="Tahoma"/>
            <family val="2"/>
          </rPr>
          <t xml:space="preserve">
$217M ex auto care</t>
        </r>
      </text>
    </comment>
    <comment ref="AV74" authorId="0">
      <text>
        <r>
          <rPr>
            <b/>
            <sz val="8"/>
            <color indexed="81"/>
            <rFont val="Tahoma"/>
            <family val="2"/>
          </rPr>
          <t>grunke:</t>
        </r>
        <r>
          <rPr>
            <sz val="8"/>
            <color indexed="81"/>
            <rFont val="Tahoma"/>
            <family val="2"/>
          </rPr>
          <t xml:space="preserve">
$137M ex auto care</t>
        </r>
      </text>
    </comment>
    <comment ref="AW74" authorId="0">
      <text>
        <r>
          <rPr>
            <b/>
            <sz val="8"/>
            <color indexed="81"/>
            <rFont val="Tahoma"/>
            <family val="2"/>
          </rPr>
          <t>grunke:</t>
        </r>
        <r>
          <rPr>
            <sz val="8"/>
            <color indexed="81"/>
            <rFont val="Tahoma"/>
            <family val="2"/>
          </rPr>
          <t xml:space="preserve">
$209M ex auto care</t>
        </r>
      </text>
    </comment>
    <comment ref="AX74" authorId="0">
      <text>
        <r>
          <rPr>
            <b/>
            <sz val="8"/>
            <color indexed="81"/>
            <rFont val="Tahoma"/>
            <family val="2"/>
          </rPr>
          <t>grunke:</t>
        </r>
        <r>
          <rPr>
            <sz val="8"/>
            <color indexed="81"/>
            <rFont val="Tahoma"/>
            <family val="2"/>
          </rPr>
          <t xml:space="preserve">
$242M ex auto care</t>
        </r>
      </text>
    </comment>
    <comment ref="AU75" authorId="0">
      <text>
        <r>
          <rPr>
            <b/>
            <sz val="8"/>
            <color indexed="81"/>
            <rFont val="Tahoma"/>
            <family val="2"/>
          </rPr>
          <t>grunke:</t>
        </r>
        <r>
          <rPr>
            <sz val="8"/>
            <color indexed="81"/>
            <rFont val="Tahoma"/>
            <family val="2"/>
          </rPr>
          <t xml:space="preserve">
16.7% ex auto care</t>
        </r>
      </text>
    </comment>
    <comment ref="AV75" authorId="0">
      <text>
        <r>
          <rPr>
            <b/>
            <sz val="8"/>
            <color indexed="81"/>
            <rFont val="Tahoma"/>
            <family val="2"/>
          </rPr>
          <t>grunke:</t>
        </r>
        <r>
          <rPr>
            <sz val="8"/>
            <color indexed="81"/>
            <rFont val="Tahoma"/>
            <family val="2"/>
          </rPr>
          <t xml:space="preserve">
11.3% ex auto care</t>
        </r>
      </text>
    </comment>
    <comment ref="AW75" authorId="0">
      <text>
        <r>
          <rPr>
            <b/>
            <sz val="8"/>
            <color indexed="81"/>
            <rFont val="Tahoma"/>
            <family val="2"/>
          </rPr>
          <t>grunke:</t>
        </r>
        <r>
          <rPr>
            <sz val="8"/>
            <color indexed="81"/>
            <rFont val="Tahoma"/>
            <family val="2"/>
          </rPr>
          <t xml:space="preserve">
16.2% ex auto care</t>
        </r>
      </text>
    </comment>
    <comment ref="AX75" authorId="0">
      <text>
        <r>
          <rPr>
            <b/>
            <sz val="8"/>
            <color indexed="81"/>
            <rFont val="Tahoma"/>
            <family val="2"/>
          </rPr>
          <t>grunke:</t>
        </r>
        <r>
          <rPr>
            <sz val="8"/>
            <color indexed="81"/>
            <rFont val="Tahoma"/>
            <family val="2"/>
          </rPr>
          <t xml:space="preserve">
16.9% ex auto care</t>
        </r>
      </text>
    </comment>
    <comment ref="BJ75" authorId="5">
      <text>
        <r>
          <rPr>
            <b/>
            <sz val="8"/>
            <color indexed="81"/>
            <rFont val="Tahoma"/>
            <family val="2"/>
          </rPr>
          <t>mukeruma:</t>
        </r>
        <r>
          <rPr>
            <sz val="8"/>
            <color indexed="81"/>
            <rFont val="Tahoma"/>
            <family val="2"/>
          </rPr>
          <t xml:space="preserve">
guidance: GM improves in first half but EBIT margin will decline</t>
        </r>
      </text>
    </comment>
    <comment ref="BP76" authorId="1">
      <text>
        <r>
          <rPr>
            <b/>
            <sz val="9"/>
            <color indexed="81"/>
            <rFont val="Tahoma"/>
            <family val="2"/>
          </rPr>
          <t>McHugh, Tom (Research):</t>
        </r>
        <r>
          <rPr>
            <sz val="9"/>
            <color indexed="81"/>
            <rFont val="Tahoma"/>
            <family val="2"/>
          </rPr>
          <t xml:space="preserve">
Restated post VZ exit in 1Q15, was -65;</t>
        </r>
      </text>
    </comment>
    <comment ref="BR76" authorId="1">
      <text>
        <r>
          <rPr>
            <b/>
            <sz val="9"/>
            <color indexed="81"/>
            <rFont val="Tahoma"/>
            <family val="2"/>
          </rPr>
          <t>McHugh, Tom (Research):</t>
        </r>
        <r>
          <rPr>
            <sz val="9"/>
            <color indexed="81"/>
            <rFont val="Tahoma"/>
            <family val="2"/>
          </rPr>
          <t xml:space="preserve">
Restated due to VZ exit, was -88</t>
        </r>
      </text>
    </comment>
    <comment ref="BV76" authorId="3">
      <text>
        <r>
          <rPr>
            <b/>
            <sz val="9"/>
            <color indexed="81"/>
            <rFont val="Tahoma"/>
            <family val="2"/>
          </rPr>
          <t>Fitzgerald, Kyle (Research):</t>
        </r>
        <r>
          <rPr>
            <sz val="9"/>
            <color indexed="81"/>
            <rFont val="Tahoma"/>
            <family val="2"/>
          </rPr>
          <t xml:space="preserve">
adj to hit core EPS number</t>
        </r>
      </text>
    </comment>
    <comment ref="BZ76" authorId="3">
      <text>
        <r>
          <rPr>
            <b/>
            <sz val="9"/>
            <color indexed="81"/>
            <rFont val="Tahoma"/>
            <family val="2"/>
          </rPr>
          <t>Fitzgerald, Kyle (Research):</t>
        </r>
        <r>
          <rPr>
            <sz val="9"/>
            <color indexed="81"/>
            <rFont val="Tahoma"/>
            <family val="2"/>
          </rPr>
          <t xml:space="preserve">
Adj. to hit core EPS</t>
        </r>
      </text>
    </comment>
    <comment ref="BD77" authorId="0">
      <text>
        <r>
          <rPr>
            <b/>
            <sz val="8"/>
            <color indexed="81"/>
            <rFont val="Tahoma"/>
            <family val="2"/>
          </rPr>
          <t>grunke:</t>
        </r>
        <r>
          <rPr>
            <sz val="8"/>
            <color indexed="81"/>
            <rFont val="Tahoma"/>
            <family val="2"/>
          </rPr>
          <t xml:space="preserve">
34-35% guidance</t>
        </r>
      </text>
    </comment>
    <comment ref="BQ77" authorId="6">
      <text>
        <r>
          <rPr>
            <b/>
            <sz val="8"/>
            <color indexed="81"/>
            <rFont val="Tahoma"/>
            <family val="2"/>
          </rPr>
          <t>doctobob:</t>
        </r>
        <r>
          <rPr>
            <sz val="8"/>
            <color indexed="81"/>
            <rFont val="Tahoma"/>
            <family val="2"/>
          </rPr>
          <t xml:space="preserve">
adj to hit core EPS number</t>
        </r>
      </text>
    </comment>
    <comment ref="BX77" authorId="6">
      <text>
        <r>
          <rPr>
            <b/>
            <sz val="8"/>
            <color indexed="81"/>
            <rFont val="Tahoma"/>
            <family val="2"/>
          </rPr>
          <t>doctobob:</t>
        </r>
        <r>
          <rPr>
            <sz val="8"/>
            <color indexed="81"/>
            <rFont val="Tahoma"/>
            <family val="2"/>
          </rPr>
          <t xml:space="preserve">
closer to 34%</t>
        </r>
      </text>
    </comment>
    <comment ref="CC77" authorId="3">
      <text>
        <r>
          <rPr>
            <b/>
            <sz val="9"/>
            <color indexed="81"/>
            <rFont val="Tahoma"/>
            <family val="2"/>
          </rPr>
          <t>Fitzgerald, Kyle (Research):</t>
        </r>
        <r>
          <rPr>
            <sz val="9"/>
            <color indexed="81"/>
            <rFont val="Tahoma"/>
            <family val="2"/>
          </rPr>
          <t xml:space="preserve">
Between 34-35%</t>
        </r>
      </text>
    </comment>
    <comment ref="CH77" authorId="8">
      <text>
        <r>
          <rPr>
            <b/>
            <sz val="9"/>
            <color indexed="81"/>
            <rFont val="Tahoma"/>
            <family val="2"/>
          </rPr>
          <t>Doctor, Bob (Research):</t>
        </r>
        <r>
          <rPr>
            <sz val="9"/>
            <color indexed="81"/>
            <rFont val="Tahoma"/>
            <family val="2"/>
          </rPr>
          <t xml:space="preserve">
32-33 with benefit v historical 34-35 range</t>
        </r>
      </text>
    </comment>
    <comment ref="CM77" authorId="4">
      <text>
        <r>
          <rPr>
            <b/>
            <sz val="9"/>
            <color indexed="81"/>
            <rFont val="Tahoma"/>
            <family val="2"/>
          </rPr>
          <t>Falorni, Filippo (Research):</t>
        </r>
        <r>
          <rPr>
            <sz val="9"/>
            <color indexed="81"/>
            <rFont val="Tahoma"/>
            <family val="2"/>
          </rPr>
          <t xml:space="preserve">
G at F2Q18: 23-24%
G at F1Q18: </t>
        </r>
        <r>
          <rPr>
            <b/>
            <sz val="9"/>
            <color indexed="81"/>
            <rFont val="Tahoma"/>
            <family val="2"/>
          </rPr>
          <t>R</t>
        </r>
        <r>
          <rPr>
            <sz val="9"/>
            <color indexed="81"/>
            <rFont val="Tahoma"/>
            <family val="2"/>
          </rPr>
          <t xml:space="preserve">
G at FQ417: 32-33%</t>
        </r>
      </text>
    </comment>
    <comment ref="CR77" authorId="4">
      <text>
        <r>
          <rPr>
            <b/>
            <sz val="9"/>
            <color indexed="81"/>
            <rFont val="Tahoma"/>
            <family val="2"/>
          </rPr>
          <t>Falorni, Filippo (Research):</t>
        </r>
        <r>
          <rPr>
            <sz val="9"/>
            <color indexed="81"/>
            <rFont val="Tahoma"/>
            <family val="2"/>
          </rPr>
          <t xml:space="preserve">
G at F2Q18: "Mid-20s tax rate range longer term"</t>
        </r>
      </text>
    </comment>
    <comment ref="CW77" authorId="4">
      <text>
        <r>
          <rPr>
            <b/>
            <sz val="9"/>
            <color indexed="81"/>
            <rFont val="Tahoma"/>
            <family val="2"/>
          </rPr>
          <t>Falorni, Filippo (Research):</t>
        </r>
        <r>
          <rPr>
            <sz val="9"/>
            <color indexed="81"/>
            <rFont val="Tahoma"/>
            <family val="2"/>
          </rPr>
          <t xml:space="preserve">
G at F2Q18: "Mid-20s tax rate range longer term"</t>
        </r>
      </text>
    </comment>
    <comment ref="AZ84" authorId="5">
      <text>
        <r>
          <rPr>
            <b/>
            <sz val="8"/>
            <color indexed="81"/>
            <rFont val="Tahoma"/>
            <family val="2"/>
          </rPr>
          <t>mukeruma:</t>
        </r>
        <r>
          <rPr>
            <sz val="8"/>
            <color indexed="81"/>
            <rFont val="Tahoma"/>
            <family val="2"/>
          </rPr>
          <t xml:space="preserve">
+76</t>
        </r>
      </text>
    </comment>
    <comment ref="BA84" authorId="0">
      <text>
        <r>
          <rPr>
            <b/>
            <sz val="8"/>
            <color indexed="81"/>
            <rFont val="Tahoma"/>
            <family val="2"/>
          </rPr>
          <t>grunke:</t>
        </r>
        <r>
          <rPr>
            <sz val="8"/>
            <color indexed="81"/>
            <rFont val="Tahoma"/>
            <family val="2"/>
          </rPr>
          <t xml:space="preserve">
-73 also includes Burt's charge (not related to disc ops) and rounding, in order to reconcile to GAAP EPS
</t>
        </r>
      </text>
    </comment>
    <comment ref="BO84" authorId="1">
      <text>
        <r>
          <rPr>
            <b/>
            <sz val="9"/>
            <color indexed="81"/>
            <rFont val="Tahoma"/>
            <family val="2"/>
          </rPr>
          <t>McHugh, Tom (Research):</t>
        </r>
        <r>
          <rPr>
            <sz val="9"/>
            <color indexed="81"/>
            <rFont val="Tahoma"/>
            <family val="2"/>
          </rPr>
          <t xml:space="preserve">
VZ exit</t>
        </r>
      </text>
    </comment>
    <comment ref="BP84" authorId="1">
      <text>
        <r>
          <rPr>
            <b/>
            <sz val="9"/>
            <color indexed="81"/>
            <rFont val="Tahoma"/>
            <family val="2"/>
          </rPr>
          <t>McHugh, Tom (Research):</t>
        </r>
        <r>
          <rPr>
            <sz val="9"/>
            <color indexed="81"/>
            <rFont val="Tahoma"/>
            <family val="2"/>
          </rPr>
          <t xml:space="preserve">
VZ exit</t>
        </r>
      </text>
    </comment>
    <comment ref="BQ84" authorId="1">
      <text>
        <r>
          <rPr>
            <b/>
            <sz val="9"/>
            <color indexed="81"/>
            <rFont val="Tahoma"/>
            <family val="2"/>
          </rPr>
          <t>McHugh, Tom (Research):</t>
        </r>
        <r>
          <rPr>
            <sz val="9"/>
            <color indexed="81"/>
            <rFont val="Tahoma"/>
            <family val="2"/>
          </rPr>
          <t xml:space="preserve">
VZ exit</t>
        </r>
      </text>
    </comment>
    <comment ref="BR84" authorId="1">
      <text>
        <r>
          <rPr>
            <b/>
            <sz val="9"/>
            <color indexed="81"/>
            <rFont val="Tahoma"/>
            <family val="2"/>
          </rPr>
          <t>McHugh, Tom (Research):</t>
        </r>
        <r>
          <rPr>
            <sz val="9"/>
            <color indexed="81"/>
            <rFont val="Tahoma"/>
            <family val="2"/>
          </rPr>
          <t xml:space="preserve">
VZ exit</t>
        </r>
      </text>
    </comment>
    <comment ref="G88" authorId="0">
      <text>
        <r>
          <rPr>
            <b/>
            <sz val="8"/>
            <color indexed="81"/>
            <rFont val="Tahoma"/>
            <family val="2"/>
          </rPr>
          <t>grunke:</t>
        </r>
        <r>
          <rPr>
            <sz val="8"/>
            <color indexed="81"/>
            <rFont val="Tahoma"/>
            <family val="2"/>
          </rPr>
          <t xml:space="preserve">
includes rounding</t>
        </r>
      </text>
    </comment>
    <comment ref="U88" authorId="0">
      <text>
        <r>
          <rPr>
            <b/>
            <sz val="8"/>
            <color indexed="81"/>
            <rFont val="Tahoma"/>
            <family val="2"/>
          </rPr>
          <t>grunke:</t>
        </r>
        <r>
          <rPr>
            <sz val="8"/>
            <color indexed="81"/>
            <rFont val="Tahoma"/>
            <family val="2"/>
          </rPr>
          <t xml:space="preserve">
includes rounding</t>
        </r>
      </text>
    </comment>
    <comment ref="X88" authorId="0">
      <text>
        <r>
          <rPr>
            <b/>
            <sz val="8"/>
            <color indexed="81"/>
            <rFont val="Tahoma"/>
            <family val="2"/>
          </rPr>
          <t>grunke:</t>
        </r>
        <r>
          <rPr>
            <sz val="8"/>
            <color indexed="81"/>
            <rFont val="Tahoma"/>
            <family val="2"/>
          </rPr>
          <t xml:space="preserve">
includes rounding</t>
        </r>
      </text>
    </comment>
    <comment ref="Y88" authorId="0">
      <text>
        <r>
          <rPr>
            <b/>
            <sz val="8"/>
            <color indexed="81"/>
            <rFont val="Tahoma"/>
            <family val="2"/>
          </rPr>
          <t>grunke:</t>
        </r>
        <r>
          <rPr>
            <sz val="8"/>
            <color indexed="81"/>
            <rFont val="Tahoma"/>
            <family val="2"/>
          </rPr>
          <t xml:space="preserve">
includes rounding</t>
        </r>
      </text>
    </comment>
    <comment ref="Z88" authorId="0">
      <text>
        <r>
          <rPr>
            <b/>
            <sz val="8"/>
            <color indexed="81"/>
            <rFont val="Tahoma"/>
            <family val="2"/>
          </rPr>
          <t>grunke:</t>
        </r>
        <r>
          <rPr>
            <sz val="8"/>
            <color indexed="81"/>
            <rFont val="Tahoma"/>
            <family val="2"/>
          </rPr>
          <t xml:space="preserve">
includes rounding</t>
        </r>
      </text>
    </comment>
    <comment ref="AA88" authorId="0">
      <text>
        <r>
          <rPr>
            <b/>
            <sz val="8"/>
            <color indexed="81"/>
            <rFont val="Tahoma"/>
            <family val="2"/>
          </rPr>
          <t>grunke:</t>
        </r>
        <r>
          <rPr>
            <sz val="8"/>
            <color indexed="81"/>
            <rFont val="Tahoma"/>
            <family val="2"/>
          </rPr>
          <t xml:space="preserve">
includes rounding</t>
        </r>
      </text>
    </comment>
    <comment ref="AD88" authorId="0">
      <text>
        <r>
          <rPr>
            <b/>
            <sz val="8"/>
            <color indexed="81"/>
            <rFont val="Tahoma"/>
            <family val="2"/>
          </rPr>
          <t>grunke:</t>
        </r>
        <r>
          <rPr>
            <sz val="8"/>
            <color indexed="81"/>
            <rFont val="Tahoma"/>
            <family val="2"/>
          </rPr>
          <t xml:space="preserve">
rounding </t>
        </r>
      </text>
    </comment>
    <comment ref="AI88" authorId="0">
      <text>
        <r>
          <rPr>
            <b/>
            <sz val="8"/>
            <color indexed="81"/>
            <rFont val="Tahoma"/>
            <family val="2"/>
          </rPr>
          <t>grunke:</t>
        </r>
        <r>
          <rPr>
            <sz val="8"/>
            <color indexed="81"/>
            <rFont val="Tahoma"/>
            <family val="2"/>
          </rPr>
          <t xml:space="preserve">
includes rounding </t>
        </r>
      </text>
    </comment>
    <comment ref="AJ88" authorId="0">
      <text>
        <r>
          <rPr>
            <b/>
            <sz val="8"/>
            <color indexed="81"/>
            <rFont val="Tahoma"/>
            <family val="2"/>
          </rPr>
          <t>grunke:</t>
        </r>
        <r>
          <rPr>
            <sz val="8"/>
            <color indexed="81"/>
            <rFont val="Tahoma"/>
            <family val="2"/>
          </rPr>
          <t xml:space="preserve">
includes rounding</t>
        </r>
      </text>
    </comment>
    <comment ref="AO88" authorId="0">
      <text>
        <r>
          <rPr>
            <b/>
            <sz val="8"/>
            <color indexed="81"/>
            <rFont val="Tahoma"/>
            <family val="2"/>
          </rPr>
          <t>grunke:</t>
        </r>
        <r>
          <rPr>
            <sz val="8"/>
            <color indexed="81"/>
            <rFont val="Tahoma"/>
            <family val="2"/>
          </rPr>
          <t xml:space="preserve">
includes 1 cent from rounding</t>
        </r>
      </text>
    </comment>
    <comment ref="AP88" authorId="0">
      <text>
        <r>
          <rPr>
            <b/>
            <sz val="8"/>
            <color indexed="81"/>
            <rFont val="Tahoma"/>
            <family val="2"/>
          </rPr>
          <t>grunke:</t>
        </r>
        <r>
          <rPr>
            <sz val="8"/>
            <color indexed="81"/>
            <rFont val="Tahoma"/>
            <family val="2"/>
          </rPr>
          <t xml:space="preserve">
includes adj for participating securities and rounding </t>
        </r>
      </text>
    </comment>
    <comment ref="AQ88" authorId="0">
      <text>
        <r>
          <rPr>
            <b/>
            <sz val="8"/>
            <color indexed="81"/>
            <rFont val="Tahoma"/>
            <family val="2"/>
          </rPr>
          <t>grunke:</t>
        </r>
        <r>
          <rPr>
            <sz val="8"/>
            <color indexed="81"/>
            <rFont val="Tahoma"/>
            <family val="2"/>
          </rPr>
          <t xml:space="preserve">
includes adj for participating securities </t>
        </r>
      </text>
    </comment>
    <comment ref="AR88" authorId="0">
      <text>
        <r>
          <rPr>
            <b/>
            <sz val="8"/>
            <color indexed="81"/>
            <rFont val="Tahoma"/>
            <family val="2"/>
          </rPr>
          <t>grunke:</t>
        </r>
        <r>
          <rPr>
            <sz val="8"/>
            <color indexed="81"/>
            <rFont val="Tahoma"/>
            <family val="2"/>
          </rPr>
          <t xml:space="preserve">
includes rounding</t>
        </r>
      </text>
    </comment>
    <comment ref="AU88" authorId="0">
      <text>
        <r>
          <rPr>
            <b/>
            <sz val="8"/>
            <color indexed="81"/>
            <rFont val="Tahoma"/>
            <family val="2"/>
          </rPr>
          <t>grunke:</t>
        </r>
        <r>
          <rPr>
            <sz val="8"/>
            <color indexed="81"/>
            <rFont val="Tahoma"/>
            <family val="2"/>
          </rPr>
          <t xml:space="preserve">
includes adj for participating securities </t>
        </r>
      </text>
    </comment>
    <comment ref="AV88" authorId="0">
      <text>
        <r>
          <rPr>
            <b/>
            <sz val="8"/>
            <color indexed="81"/>
            <rFont val="Tahoma"/>
            <family val="2"/>
          </rPr>
          <t>grunke:</t>
        </r>
        <r>
          <rPr>
            <sz val="8"/>
            <color indexed="81"/>
            <rFont val="Tahoma"/>
            <family val="2"/>
          </rPr>
          <t xml:space="preserve">
includes adj for participating securities 
On July 1, 2009, the Company adopted a new accounting standard which provides that unvested share-based payment awards that contain nonforfeitable rights to dividends or dividend equivalents, whether paid or unpaid, are participating securities that must be included in the computation of earnings per share pursuant to the two-class method. These payment awards were previously not considered participating securities. Accordingly, the Company’s unvested performance units, restricted stock awards and restricted stock units that provide such nonforfeitable rights are now considered participating securities in the calculation of net earnings per share (EPS). </t>
        </r>
      </text>
    </comment>
    <comment ref="BD88" authorId="2">
      <text>
        <r>
          <rPr>
            <b/>
            <sz val="8"/>
            <color indexed="81"/>
            <rFont val="Tahoma"/>
            <family val="2"/>
          </rPr>
          <t>linalis:</t>
        </r>
        <r>
          <rPr>
            <sz val="8"/>
            <color indexed="81"/>
            <rFont val="Tahoma"/>
            <family val="2"/>
          </rPr>
          <t xml:space="preserve">
5.3.11: $3.85-$3.95 guidance</t>
        </r>
      </text>
    </comment>
    <comment ref="BI88" authorId="2">
      <text>
        <r>
          <rPr>
            <b/>
            <sz val="8"/>
            <color indexed="81"/>
            <rFont val="Tahoma"/>
            <family val="2"/>
          </rPr>
          <t>linalis:</t>
        </r>
        <r>
          <rPr>
            <sz val="8"/>
            <color indexed="81"/>
            <rFont val="Tahoma"/>
            <family val="2"/>
          </rPr>
          <t xml:space="preserve">
5.3.11: $4.00-$4.10 guidance</t>
        </r>
      </text>
    </comment>
    <comment ref="BX88" authorId="6">
      <text>
        <r>
          <rPr>
            <b/>
            <sz val="8"/>
            <color indexed="81"/>
            <rFont val="Tahoma"/>
            <family val="2"/>
          </rPr>
          <t>doctobob:</t>
        </r>
        <r>
          <rPr>
            <sz val="8"/>
            <color indexed="81"/>
            <rFont val="Tahoma"/>
            <family val="2"/>
          </rPr>
          <t xml:space="preserve">
4.40-4.55 all in </t>
        </r>
      </text>
    </comment>
    <comment ref="CC88" authorId="3">
      <text>
        <r>
          <rPr>
            <b/>
            <sz val="9"/>
            <color indexed="81"/>
            <rFont val="Tahoma"/>
            <family val="2"/>
          </rPr>
          <t>Fitzgerald, Kyle (Research):</t>
        </r>
        <r>
          <rPr>
            <sz val="9"/>
            <color indexed="81"/>
            <rFont val="Tahoma"/>
            <family val="2"/>
          </rPr>
          <t xml:space="preserve">
4.75-4.90</t>
        </r>
      </text>
    </comment>
    <comment ref="CH88" authorId="8">
      <text>
        <r>
          <rPr>
            <b/>
            <sz val="9"/>
            <color indexed="81"/>
            <rFont val="Tahoma"/>
            <family val="2"/>
          </rPr>
          <t>Doctor, Bob (Research):</t>
        </r>
        <r>
          <rPr>
            <sz val="9"/>
            <color indexed="81"/>
            <rFont val="Tahoma"/>
            <family val="2"/>
          </rPr>
          <t xml:space="preserve">
3Q: 5.25-5.35
2Q: 5.23-5.38
5.13-5.28 ex stock comp benefit…..5.23-5.43</t>
        </r>
      </text>
    </comment>
    <comment ref="CM88" authorId="4">
      <text>
        <r>
          <rPr>
            <b/>
            <sz val="9"/>
            <color indexed="81"/>
            <rFont val="Tahoma"/>
            <family val="2"/>
          </rPr>
          <t>Falorni, Filippo (Research):</t>
        </r>
        <r>
          <rPr>
            <sz val="9"/>
            <color indexed="81"/>
            <rFont val="Tahoma"/>
            <family val="2"/>
          </rPr>
          <t xml:space="preserve">
G at F2Q18: $6.17-$6.37 (m/p $6.27), +70-75 bps from tax reform, offset by lower gross margins
G at F1Q18: $5.47-$5.67 (m/p $5.57), -10 cents from hurricanes, +5 cents from business strength
G at FQ417: $5.52-$5.72 (m/p $5.62)</t>
        </r>
      </text>
    </comment>
    <comment ref="AI91" authorId="0">
      <text>
        <r>
          <rPr>
            <b/>
            <sz val="8"/>
            <color indexed="81"/>
            <rFont val="Tahoma"/>
            <family val="2"/>
          </rPr>
          <t>grunke:</t>
        </r>
        <r>
          <rPr>
            <sz val="8"/>
            <color indexed="81"/>
            <rFont val="Tahoma"/>
            <family val="2"/>
          </rPr>
          <t xml:space="preserve">
includes rounding</t>
        </r>
      </text>
    </comment>
    <comment ref="AP91" authorId="0">
      <text>
        <r>
          <rPr>
            <b/>
            <sz val="8"/>
            <color indexed="81"/>
            <rFont val="Tahoma"/>
            <family val="2"/>
          </rPr>
          <t>grunke:</t>
        </r>
        <r>
          <rPr>
            <sz val="8"/>
            <color indexed="81"/>
            <rFont val="Tahoma"/>
            <family val="2"/>
          </rPr>
          <t xml:space="preserve">
includes adj for participating securities </t>
        </r>
      </text>
    </comment>
    <comment ref="AQ91" authorId="0">
      <text>
        <r>
          <rPr>
            <b/>
            <sz val="8"/>
            <color indexed="81"/>
            <rFont val="Tahoma"/>
            <family val="2"/>
          </rPr>
          <t>grunke:</t>
        </r>
        <r>
          <rPr>
            <sz val="8"/>
            <color indexed="81"/>
            <rFont val="Tahoma"/>
            <family val="2"/>
          </rPr>
          <t xml:space="preserve">
includes adj for participating securities </t>
        </r>
      </text>
    </comment>
    <comment ref="AU91" authorId="0">
      <text>
        <r>
          <rPr>
            <b/>
            <sz val="8"/>
            <color indexed="81"/>
            <rFont val="Tahoma"/>
            <family val="2"/>
          </rPr>
          <t>grunke:</t>
        </r>
        <r>
          <rPr>
            <sz val="8"/>
            <color indexed="81"/>
            <rFont val="Tahoma"/>
            <family val="2"/>
          </rPr>
          <t xml:space="preserve">
includes adj for participating securities </t>
        </r>
      </text>
    </comment>
    <comment ref="AV91" authorId="0">
      <text>
        <r>
          <rPr>
            <b/>
            <sz val="8"/>
            <color indexed="81"/>
            <rFont val="Tahoma"/>
            <family val="2"/>
          </rPr>
          <t>grunke:</t>
        </r>
        <r>
          <rPr>
            <sz val="8"/>
            <color indexed="81"/>
            <rFont val="Tahoma"/>
            <family val="2"/>
          </rPr>
          <t xml:space="preserve">
includes adj for participating securities </t>
        </r>
      </text>
    </comment>
    <comment ref="Y94" authorId="0">
      <text>
        <r>
          <rPr>
            <b/>
            <sz val="8"/>
            <color indexed="81"/>
            <rFont val="Tahoma"/>
            <family val="2"/>
          </rPr>
          <t>grunke:</t>
        </r>
        <r>
          <rPr>
            <sz val="8"/>
            <color indexed="81"/>
            <rFont val="Tahoma"/>
            <family val="2"/>
          </rPr>
          <t xml:space="preserve">
includes rounding</t>
        </r>
      </text>
    </comment>
    <comment ref="Z94" authorId="0">
      <text>
        <r>
          <rPr>
            <b/>
            <sz val="8"/>
            <color indexed="81"/>
            <rFont val="Tahoma"/>
            <family val="2"/>
          </rPr>
          <t>grunke:</t>
        </r>
        <r>
          <rPr>
            <sz val="8"/>
            <color indexed="81"/>
            <rFont val="Tahoma"/>
            <family val="2"/>
          </rPr>
          <t xml:space="preserve">
includes rounding</t>
        </r>
      </text>
    </comment>
    <comment ref="AD94" authorId="0">
      <text>
        <r>
          <rPr>
            <b/>
            <sz val="8"/>
            <color indexed="81"/>
            <rFont val="Tahoma"/>
            <family val="2"/>
          </rPr>
          <t>grunke:</t>
        </r>
        <r>
          <rPr>
            <sz val="8"/>
            <color indexed="81"/>
            <rFont val="Tahoma"/>
            <family val="2"/>
          </rPr>
          <t xml:space="preserve">
includes rounding</t>
        </r>
      </text>
    </comment>
    <comment ref="AJ94" authorId="0">
      <text>
        <r>
          <rPr>
            <b/>
            <sz val="8"/>
            <color indexed="81"/>
            <rFont val="Tahoma"/>
            <family val="2"/>
          </rPr>
          <t>grunke:</t>
        </r>
        <r>
          <rPr>
            <sz val="8"/>
            <color indexed="81"/>
            <rFont val="Tahoma"/>
            <family val="2"/>
          </rPr>
          <t xml:space="preserve">
includes rounding</t>
        </r>
      </text>
    </comment>
    <comment ref="AO94" authorId="0">
      <text>
        <r>
          <rPr>
            <b/>
            <sz val="8"/>
            <color indexed="81"/>
            <rFont val="Tahoma"/>
            <family val="2"/>
          </rPr>
          <t>grunke:</t>
        </r>
        <r>
          <rPr>
            <sz val="8"/>
            <color indexed="81"/>
            <rFont val="Tahoma"/>
            <family val="2"/>
          </rPr>
          <t xml:space="preserve">
includes 1 cent from rounding</t>
        </r>
      </text>
    </comment>
    <comment ref="AP94" authorId="0">
      <text>
        <r>
          <rPr>
            <b/>
            <sz val="8"/>
            <color indexed="81"/>
            <rFont val="Tahoma"/>
            <family val="2"/>
          </rPr>
          <t>grunke:</t>
        </r>
        <r>
          <rPr>
            <sz val="8"/>
            <color indexed="81"/>
            <rFont val="Tahoma"/>
            <family val="2"/>
          </rPr>
          <t xml:space="preserve">
includes adj for participating securities and rounding </t>
        </r>
      </text>
    </comment>
    <comment ref="AR94" authorId="0">
      <text>
        <r>
          <rPr>
            <b/>
            <sz val="8"/>
            <color indexed="81"/>
            <rFont val="Tahoma"/>
            <family val="2"/>
          </rPr>
          <t>grunke:</t>
        </r>
        <r>
          <rPr>
            <sz val="8"/>
            <color indexed="81"/>
            <rFont val="Tahoma"/>
            <family val="2"/>
          </rPr>
          <t xml:space="preserve">
includes rounding</t>
        </r>
      </text>
    </comment>
    <comment ref="AU94" authorId="0">
      <text>
        <r>
          <rPr>
            <b/>
            <sz val="8"/>
            <color indexed="81"/>
            <rFont val="Tahoma"/>
            <family val="2"/>
          </rPr>
          <t>grunke:</t>
        </r>
        <r>
          <rPr>
            <sz val="8"/>
            <color indexed="81"/>
            <rFont val="Tahoma"/>
            <family val="2"/>
          </rPr>
          <t xml:space="preserve">
includes adj for participating securities </t>
        </r>
      </text>
    </comment>
    <comment ref="AV94" authorId="0">
      <text>
        <r>
          <rPr>
            <b/>
            <sz val="8"/>
            <color indexed="81"/>
            <rFont val="Tahoma"/>
            <family val="2"/>
          </rPr>
          <t>grunke:</t>
        </r>
        <r>
          <rPr>
            <sz val="8"/>
            <color indexed="81"/>
            <rFont val="Tahoma"/>
            <family val="2"/>
          </rPr>
          <t xml:space="preserve">
includes adj for participating securities </t>
        </r>
      </text>
    </comment>
    <comment ref="AZ94" authorId="0">
      <text>
        <r>
          <rPr>
            <b/>
            <sz val="8"/>
            <color indexed="81"/>
            <rFont val="Tahoma"/>
            <family val="2"/>
          </rPr>
          <t>grunke:</t>
        </r>
        <r>
          <rPr>
            <sz val="8"/>
            <color indexed="81"/>
            <rFont val="Tahoma"/>
            <family val="2"/>
          </rPr>
          <t xml:space="preserve">
MS rounded to tie out to $1.52</t>
        </r>
      </text>
    </comment>
    <comment ref="A102" authorId="0">
      <text>
        <r>
          <rPr>
            <b/>
            <sz val="8"/>
            <color indexed="81"/>
            <rFont val="Tahoma"/>
            <family val="2"/>
          </rPr>
          <t>grunke:</t>
        </r>
        <r>
          <rPr>
            <sz val="8"/>
            <color indexed="81"/>
            <rFont val="Tahoma"/>
            <family val="2"/>
          </rPr>
          <t xml:space="preserve">
includes COGS, SG&amp;A and RESTRUCTURING LINE ITEM</t>
        </r>
      </text>
    </comment>
    <comment ref="AF102" authorId="0">
      <text>
        <r>
          <rPr>
            <b/>
            <sz val="8"/>
            <color indexed="81"/>
            <rFont val="Tahoma"/>
            <family val="2"/>
          </rPr>
          <t>grunke:</t>
        </r>
        <r>
          <rPr>
            <sz val="8"/>
            <color indexed="81"/>
            <rFont val="Tahoma"/>
            <family val="2"/>
          </rPr>
          <t xml:space="preserve">
IT charges</t>
        </r>
      </text>
    </comment>
    <comment ref="AG102" authorId="0">
      <text>
        <r>
          <rPr>
            <b/>
            <sz val="8"/>
            <color indexed="81"/>
            <rFont val="Tahoma"/>
            <family val="2"/>
          </rPr>
          <t>grunke:</t>
        </r>
        <r>
          <rPr>
            <sz val="8"/>
            <color indexed="81"/>
            <rFont val="Tahoma"/>
            <family val="2"/>
          </rPr>
          <t xml:space="preserve">
IT charges </t>
        </r>
      </text>
    </comment>
    <comment ref="AH102" authorId="0">
      <text>
        <r>
          <rPr>
            <b/>
            <sz val="8"/>
            <color indexed="81"/>
            <rFont val="Tahoma"/>
            <family val="2"/>
          </rPr>
          <t>grunke:</t>
        </r>
        <r>
          <rPr>
            <sz val="8"/>
            <color indexed="81"/>
            <rFont val="Tahoma"/>
            <family val="2"/>
          </rPr>
          <t xml:space="preserve">
IT/restructuring charges</t>
        </r>
      </text>
    </comment>
    <comment ref="AH103" authorId="0">
      <text>
        <r>
          <rPr>
            <b/>
            <sz val="8"/>
            <color indexed="81"/>
            <rFont val="Tahoma"/>
            <family val="2"/>
          </rPr>
          <t>grunke:</t>
        </r>
        <r>
          <rPr>
            <sz val="8"/>
            <color indexed="81"/>
            <rFont val="Tahoma"/>
            <family val="2"/>
          </rPr>
          <t xml:space="preserve">
used lower tax rate to round to CLX's adjusted $0.90 EPS</t>
        </r>
      </text>
    </comment>
    <comment ref="AR103" authorId="0">
      <text>
        <r>
          <rPr>
            <b/>
            <sz val="8"/>
            <color indexed="81"/>
            <rFont val="Tahoma"/>
            <family val="2"/>
          </rPr>
          <t>grunke:</t>
        </r>
        <r>
          <rPr>
            <sz val="8"/>
            <color indexed="81"/>
            <rFont val="Tahoma"/>
            <family val="2"/>
          </rPr>
          <t xml:space="preserve">
includes rounding</t>
        </r>
      </text>
    </comment>
    <comment ref="AM104" authorId="0">
      <text>
        <r>
          <rPr>
            <b/>
            <sz val="8"/>
            <color indexed="81"/>
            <rFont val="Tahoma"/>
            <family val="2"/>
          </rPr>
          <t>grunke:</t>
        </r>
        <r>
          <rPr>
            <sz val="8"/>
            <color indexed="81"/>
            <rFont val="Tahoma"/>
            <family val="2"/>
          </rPr>
          <t xml:space="preserve">
impact from Burt's</t>
        </r>
      </text>
    </comment>
    <comment ref="AN104" authorId="0">
      <text>
        <r>
          <rPr>
            <b/>
            <sz val="8"/>
            <color indexed="81"/>
            <rFont val="Tahoma"/>
            <family val="2"/>
          </rPr>
          <t>grunke:</t>
        </r>
        <r>
          <rPr>
            <sz val="8"/>
            <color indexed="81"/>
            <rFont val="Tahoma"/>
            <family val="2"/>
          </rPr>
          <t xml:space="preserve">
Burt's</t>
        </r>
      </text>
    </comment>
    <comment ref="AP104" authorId="0">
      <text>
        <r>
          <rPr>
            <b/>
            <sz val="8"/>
            <color indexed="81"/>
            <rFont val="Tahoma"/>
            <family val="2"/>
          </rPr>
          <t>grunke:</t>
        </r>
        <r>
          <rPr>
            <sz val="8"/>
            <color indexed="81"/>
            <rFont val="Tahoma"/>
            <family val="2"/>
          </rPr>
          <t xml:space="preserve">
charge related to Burt's Bee's Acquistion</t>
        </r>
      </text>
    </comment>
    <comment ref="AQ104" authorId="0">
      <text>
        <r>
          <rPr>
            <b/>
            <sz val="8"/>
            <color indexed="81"/>
            <rFont val="Tahoma"/>
            <family val="2"/>
          </rPr>
          <t>grunke:</t>
        </r>
        <r>
          <rPr>
            <sz val="8"/>
            <color indexed="81"/>
            <rFont val="Tahoma"/>
            <family val="2"/>
          </rPr>
          <t xml:space="preserve">
1 cent from Burts</t>
        </r>
      </text>
    </comment>
    <comment ref="AK105" authorId="0">
      <text>
        <r>
          <rPr>
            <b/>
            <sz val="8"/>
            <color indexed="81"/>
            <rFont val="Tahoma"/>
            <family val="2"/>
          </rPr>
          <t>grunke:</t>
        </r>
        <r>
          <rPr>
            <sz val="8"/>
            <color indexed="81"/>
            <rFont val="Tahoma"/>
            <family val="2"/>
          </rPr>
          <t xml:space="preserve">
MS Est - amount not disclosed
FX impact for the year was unfavorble 1 cent, and Q4 impact of +4 cents was disclosed.  Therefore, Q1-Q3 impact of -5 cents was smoothed by MS </t>
        </r>
      </text>
    </comment>
    <comment ref="AL105" authorId="0">
      <text>
        <r>
          <rPr>
            <b/>
            <sz val="8"/>
            <color indexed="81"/>
            <rFont val="Tahoma"/>
            <family val="2"/>
          </rPr>
          <t>grunke:</t>
        </r>
        <r>
          <rPr>
            <sz val="8"/>
            <color indexed="81"/>
            <rFont val="Tahoma"/>
            <family val="2"/>
          </rPr>
          <t xml:space="preserve">
MS Est - amount not disclosed
FX impact for the year was unfavorble 1 cent, and Q4 impact of +4 cents was disclosed.  Therefore, Q1-Q3 impact of -5 cents was smoothed by MS </t>
        </r>
      </text>
    </comment>
    <comment ref="AM105" authorId="0">
      <text>
        <r>
          <rPr>
            <b/>
            <sz val="8"/>
            <color indexed="81"/>
            <rFont val="Tahoma"/>
            <family val="2"/>
          </rPr>
          <t>grunke:</t>
        </r>
        <r>
          <rPr>
            <sz val="8"/>
            <color indexed="81"/>
            <rFont val="Tahoma"/>
            <family val="2"/>
          </rPr>
          <t xml:space="preserve">
MS Est - amount not disclosed
FX impact for the year was unfavorble 1 cent, and Q4 impact of +4 cents was disclosed.  Therefore, Q1-Q3 impact of -5 cents was smoothed by MS </t>
        </r>
      </text>
    </comment>
    <comment ref="AN105" authorId="0">
      <text>
        <r>
          <rPr>
            <b/>
            <sz val="8"/>
            <color indexed="81"/>
            <rFont val="Tahoma"/>
            <family val="2"/>
          </rPr>
          <t>grunke:</t>
        </r>
        <r>
          <rPr>
            <sz val="8"/>
            <color indexed="81"/>
            <rFont val="Tahoma"/>
            <family val="2"/>
          </rPr>
          <t xml:space="preserve">
favorable FX</t>
        </r>
      </text>
    </comment>
    <comment ref="AP105" authorId="0">
      <text>
        <r>
          <rPr>
            <b/>
            <sz val="8"/>
            <color indexed="81"/>
            <rFont val="Tahoma"/>
            <family val="2"/>
          </rPr>
          <t>grunke:</t>
        </r>
        <r>
          <rPr>
            <sz val="8"/>
            <color indexed="81"/>
            <rFont val="Tahoma"/>
            <family val="2"/>
          </rPr>
          <t xml:space="preserve">
FX</t>
        </r>
      </text>
    </comment>
    <comment ref="AQ105" authorId="0">
      <text>
        <r>
          <rPr>
            <b/>
            <sz val="8"/>
            <color indexed="81"/>
            <rFont val="Tahoma"/>
            <family val="2"/>
          </rPr>
          <t>grunke:</t>
        </r>
        <r>
          <rPr>
            <sz val="8"/>
            <color indexed="81"/>
            <rFont val="Tahoma"/>
            <family val="2"/>
          </rPr>
          <t xml:space="preserve">
+1 cent FX Impact
</t>
        </r>
      </text>
    </comment>
    <comment ref="AR105" authorId="0">
      <text>
        <r>
          <rPr>
            <b/>
            <sz val="8"/>
            <color indexed="81"/>
            <rFont val="Tahoma"/>
            <family val="2"/>
          </rPr>
          <t>grunke:</t>
        </r>
        <r>
          <rPr>
            <sz val="8"/>
            <color indexed="81"/>
            <rFont val="Tahoma"/>
            <family val="2"/>
          </rPr>
          <t xml:space="preserve">
FX</t>
        </r>
      </text>
    </comment>
    <comment ref="AS105" authorId="0">
      <text>
        <r>
          <rPr>
            <b/>
            <sz val="8"/>
            <color indexed="81"/>
            <rFont val="Tahoma"/>
            <family val="2"/>
          </rPr>
          <t>grunke:</t>
        </r>
        <r>
          <rPr>
            <sz val="8"/>
            <color indexed="81"/>
            <rFont val="Tahoma"/>
            <family val="2"/>
          </rPr>
          <t xml:space="preserve">
FX transaction losses</t>
        </r>
      </text>
    </comment>
    <comment ref="AU105" authorId="0">
      <text>
        <r>
          <rPr>
            <b/>
            <sz val="8"/>
            <color indexed="81"/>
            <rFont val="Tahoma"/>
            <family val="2"/>
          </rPr>
          <t>grunke:</t>
        </r>
        <r>
          <rPr>
            <sz val="8"/>
            <color indexed="81"/>
            <rFont val="Tahoma"/>
            <family val="2"/>
          </rPr>
          <t xml:space="preserve">
FX transaction impact, primarily Venezuela</t>
        </r>
      </text>
    </comment>
    <comment ref="AV105" authorId="0">
      <text>
        <r>
          <rPr>
            <b/>
            <sz val="8"/>
            <color indexed="81"/>
            <rFont val="Tahoma"/>
            <family val="2"/>
          </rPr>
          <t>grunke:</t>
        </r>
        <r>
          <rPr>
            <sz val="8"/>
            <color indexed="81"/>
            <rFont val="Tahoma"/>
            <family val="2"/>
          </rPr>
          <t xml:space="preserve">
FX translation impact (Venezuela) = 6 cents 
FX transaction impact = 3 cents</t>
        </r>
      </text>
    </comment>
    <comment ref="AW105" authorId="0">
      <text>
        <r>
          <rPr>
            <b/>
            <sz val="8"/>
            <color indexed="81"/>
            <rFont val="Tahoma"/>
            <family val="2"/>
          </rPr>
          <t>grunke:</t>
        </r>
        <r>
          <rPr>
            <sz val="8"/>
            <color indexed="81"/>
            <rFont val="Tahoma"/>
            <family val="2"/>
          </rPr>
          <t xml:space="preserve">
FX exchange impact (Venezuela) = 7 cents</t>
        </r>
      </text>
    </comment>
    <comment ref="AX105" authorId="0">
      <text>
        <r>
          <rPr>
            <b/>
            <sz val="8"/>
            <color indexed="81"/>
            <rFont val="Tahoma"/>
            <family val="2"/>
          </rPr>
          <t>grunke:</t>
        </r>
        <r>
          <rPr>
            <sz val="8"/>
            <color indexed="81"/>
            <rFont val="Tahoma"/>
            <family val="2"/>
          </rPr>
          <t xml:space="preserve">
5 cent negative impact from VZ in the quarter </t>
        </r>
      </text>
    </comment>
    <comment ref="AZ105" authorId="0">
      <text>
        <r>
          <rPr>
            <b/>
            <sz val="8"/>
            <color indexed="81"/>
            <rFont val="Tahoma"/>
            <family val="2"/>
          </rPr>
          <t>grunke:</t>
        </r>
        <r>
          <rPr>
            <sz val="8"/>
            <color indexed="81"/>
            <rFont val="Tahoma"/>
            <family val="2"/>
          </rPr>
          <t xml:space="preserve">
assumes $15M in Venezuela translation losses (no significant B/S or transaction losses expected), in-line with CLX guidance of $25-$30M in H111e</t>
        </r>
      </text>
    </comment>
    <comment ref="BA105" authorId="0">
      <text>
        <r>
          <rPr>
            <b/>
            <sz val="8"/>
            <color indexed="81"/>
            <rFont val="Tahoma"/>
            <family val="2"/>
          </rPr>
          <t>grunke:</t>
        </r>
        <r>
          <rPr>
            <sz val="8"/>
            <color indexed="81"/>
            <rFont val="Tahoma"/>
            <family val="2"/>
          </rPr>
          <t xml:space="preserve">
assumes $15M in Venezuela transaction losses (no significant translation losses expected), in-line with CLX guidance</t>
        </r>
      </text>
    </comment>
    <comment ref="AR108" authorId="0">
      <text>
        <r>
          <rPr>
            <b/>
            <sz val="8"/>
            <color indexed="81"/>
            <rFont val="Tahoma"/>
            <family val="2"/>
          </rPr>
          <t>grunke:</t>
        </r>
        <r>
          <rPr>
            <sz val="8"/>
            <color indexed="81"/>
            <rFont val="Tahoma"/>
            <family val="2"/>
          </rPr>
          <t xml:space="preserve">
CLX reports $2M - rounded to $1M to tie to adj. EPS reported by CLX</t>
        </r>
      </text>
    </comment>
    <comment ref="AZ108" authorId="0">
      <text>
        <r>
          <rPr>
            <b/>
            <sz val="8"/>
            <color indexed="81"/>
            <rFont val="Tahoma"/>
            <family val="2"/>
          </rPr>
          <t>grunke:</t>
        </r>
        <r>
          <rPr>
            <sz val="8"/>
            <color indexed="81"/>
            <rFont val="Tahoma"/>
            <family val="2"/>
          </rPr>
          <t xml:space="preserve">
1 per CLX but bumped up to reconcile to $0.98 EPS</t>
        </r>
      </text>
    </comment>
    <comment ref="BE108" authorId="0">
      <text>
        <r>
          <rPr>
            <b/>
            <sz val="8"/>
            <color indexed="81"/>
            <rFont val="Tahoma"/>
            <family val="2"/>
          </rPr>
          <t>grunke:</t>
        </r>
        <r>
          <rPr>
            <sz val="8"/>
            <color indexed="81"/>
            <rFont val="Tahoma"/>
            <family val="2"/>
          </rPr>
          <t xml:space="preserve">
rounding to tie out to $0.98 EPS 
</t>
        </r>
      </text>
    </comment>
    <comment ref="U109" authorId="0">
      <text>
        <r>
          <rPr>
            <b/>
            <sz val="8"/>
            <color indexed="81"/>
            <rFont val="Tahoma"/>
            <family val="2"/>
          </rPr>
          <t>grunke:</t>
        </r>
        <r>
          <rPr>
            <sz val="8"/>
            <color indexed="81"/>
            <rFont val="Tahoma"/>
            <family val="2"/>
          </rPr>
          <t xml:space="preserve">
includes rounding</t>
        </r>
      </text>
    </comment>
    <comment ref="X109" authorId="0">
      <text>
        <r>
          <rPr>
            <b/>
            <sz val="8"/>
            <color indexed="81"/>
            <rFont val="Tahoma"/>
            <family val="2"/>
          </rPr>
          <t>grunke:</t>
        </r>
        <r>
          <rPr>
            <sz val="8"/>
            <color indexed="81"/>
            <rFont val="Tahoma"/>
            <family val="2"/>
          </rPr>
          <t xml:space="preserve">
includes rounding</t>
        </r>
      </text>
    </comment>
    <comment ref="Y109" authorId="0">
      <text>
        <r>
          <rPr>
            <b/>
            <sz val="8"/>
            <color indexed="81"/>
            <rFont val="Tahoma"/>
            <family val="2"/>
          </rPr>
          <t>grunke:</t>
        </r>
        <r>
          <rPr>
            <sz val="8"/>
            <color indexed="81"/>
            <rFont val="Tahoma"/>
            <family val="2"/>
          </rPr>
          <t xml:space="preserve">
includes rounding</t>
        </r>
      </text>
    </comment>
    <comment ref="Z109" authorId="0">
      <text>
        <r>
          <rPr>
            <b/>
            <sz val="8"/>
            <color indexed="81"/>
            <rFont val="Tahoma"/>
            <family val="2"/>
          </rPr>
          <t>grunke:</t>
        </r>
        <r>
          <rPr>
            <sz val="8"/>
            <color indexed="81"/>
            <rFont val="Tahoma"/>
            <family val="2"/>
          </rPr>
          <t xml:space="preserve">
includes rounding</t>
        </r>
      </text>
    </comment>
    <comment ref="AA109" authorId="0">
      <text>
        <r>
          <rPr>
            <b/>
            <sz val="8"/>
            <color indexed="81"/>
            <rFont val="Tahoma"/>
            <family val="2"/>
          </rPr>
          <t>grunke:</t>
        </r>
        <r>
          <rPr>
            <sz val="8"/>
            <color indexed="81"/>
            <rFont val="Tahoma"/>
            <family val="2"/>
          </rPr>
          <t xml:space="preserve">
includes rounding</t>
        </r>
      </text>
    </comment>
    <comment ref="AI109" authorId="0">
      <text>
        <r>
          <rPr>
            <b/>
            <sz val="8"/>
            <color indexed="81"/>
            <rFont val="Tahoma"/>
            <family val="2"/>
          </rPr>
          <t>grunke:</t>
        </r>
        <r>
          <rPr>
            <sz val="8"/>
            <color indexed="81"/>
            <rFont val="Tahoma"/>
            <family val="2"/>
          </rPr>
          <t xml:space="preserve">
includes rounding</t>
        </r>
      </text>
    </comment>
    <comment ref="W116" authorId="0">
      <text>
        <r>
          <rPr>
            <b/>
            <sz val="8"/>
            <color indexed="81"/>
            <rFont val="Tahoma"/>
            <family val="2"/>
          </rPr>
          <t>grunke:</t>
        </r>
        <r>
          <rPr>
            <sz val="8"/>
            <color indexed="81"/>
            <rFont val="Tahoma"/>
            <family val="2"/>
          </rPr>
          <t xml:space="preserve">
In November 2004, the Company completed the exchange of its ownership interest in a subsidiary for approximately 61.4 million shares of its common stock held by Henkel, which represented approximately 29% of the Company’s outstanding common stock prior to the exchange. The parties agreed that the Company would provide exchange value equal to $46.25 per share of Company common stock being acquired in the exchange. The subsidiary transferred to Henkel contained the Company’s existing insecticides and Soft Scrub® cleaner businesses, its 20% interest in the Henkel Iberica, S.A. joint venture and approximately $2.1 billion in cash. </t>
        </r>
      </text>
    </comment>
    <comment ref="AK123" authorId="0">
      <text>
        <r>
          <rPr>
            <b/>
            <sz val="8"/>
            <color indexed="81"/>
            <rFont val="Tahoma"/>
            <family val="2"/>
          </rPr>
          <t>grunke:</t>
        </r>
        <r>
          <rPr>
            <sz val="8"/>
            <color indexed="81"/>
            <rFont val="Tahoma"/>
            <family val="2"/>
          </rPr>
          <t xml:space="preserve">
~10.9M from ASR agreement
~2M under evergreen program
In August 2007, the Company entered into an ASR agreement with two investment banks in which the Company received 10.9 million shares in August 2007 and 1.1 million shares in January 2008. </t>
        </r>
      </text>
    </comment>
    <comment ref="AM123" authorId="0">
      <text>
        <r>
          <rPr>
            <b/>
            <sz val="8"/>
            <color indexed="81"/>
            <rFont val="Tahoma"/>
            <family val="2"/>
          </rPr>
          <t>grunke:</t>
        </r>
        <r>
          <rPr>
            <sz val="8"/>
            <color indexed="81"/>
            <rFont val="Tahoma"/>
            <family val="2"/>
          </rPr>
          <t xml:space="preserve">
part of accelerated share repurchase program - shares delivered by partipating banks; however, final settlement did not require additional cash/share payment</t>
        </r>
      </text>
    </comment>
    <comment ref="BI125" authorId="0">
      <text>
        <r>
          <rPr>
            <b/>
            <sz val="8"/>
            <color indexed="81"/>
            <rFont val="Tahoma"/>
            <family val="2"/>
          </rPr>
          <t>grunke:</t>
        </r>
        <r>
          <rPr>
            <sz val="8"/>
            <color indexed="81"/>
            <rFont val="Tahoma"/>
            <family val="2"/>
          </rPr>
          <t xml:space="preserve">
remaining $150M of auto care proceeds, more 2H12 weighted </t>
        </r>
      </text>
    </comment>
    <comment ref="BQ125" authorId="6">
      <text>
        <r>
          <rPr>
            <b/>
            <sz val="8"/>
            <color indexed="81"/>
            <rFont val="Tahoma"/>
            <family val="2"/>
          </rPr>
          <t>doctobob:</t>
        </r>
        <r>
          <rPr>
            <sz val="8"/>
            <color indexed="81"/>
            <rFont val="Tahoma"/>
            <family val="2"/>
          </rPr>
          <t xml:space="preserve">
130M</t>
        </r>
      </text>
    </comment>
    <comment ref="BR125" authorId="8">
      <text>
        <r>
          <rPr>
            <b/>
            <sz val="9"/>
            <color indexed="81"/>
            <rFont val="Tahoma"/>
            <family val="2"/>
          </rPr>
          <t>Doctor, Bob (Research):</t>
        </r>
        <r>
          <rPr>
            <sz val="9"/>
            <color indexed="81"/>
            <rFont val="Tahoma"/>
            <family val="2"/>
          </rPr>
          <t xml:space="preserve">
260M</t>
        </r>
      </text>
    </comment>
    <comment ref="V136" authorId="0">
      <text>
        <r>
          <rPr>
            <b/>
            <sz val="8"/>
            <color indexed="81"/>
            <rFont val="Tahoma"/>
            <family val="2"/>
          </rPr>
          <t>grunke:</t>
        </r>
        <r>
          <rPr>
            <sz val="8"/>
            <color indexed="81"/>
            <rFont val="Tahoma"/>
            <family val="2"/>
          </rPr>
          <t xml:space="preserve">
Assets to be exchanged in the Henkel transaction</t>
        </r>
      </text>
    </comment>
    <comment ref="BJ146" authorId="10">
      <text>
        <r>
          <rPr>
            <b/>
            <sz val="8"/>
            <color indexed="81"/>
            <rFont val="Tahoma"/>
            <family val="2"/>
          </rPr>
          <t>ayalavin:</t>
        </r>
        <r>
          <rPr>
            <sz val="8"/>
            <color indexed="81"/>
            <rFont val="Tahoma"/>
            <family val="2"/>
          </rPr>
          <t xml:space="preserve">
Due October 2012</t>
        </r>
      </text>
    </comment>
    <comment ref="AG160" authorId="0">
      <text>
        <r>
          <rPr>
            <b/>
            <sz val="8"/>
            <color indexed="81"/>
            <rFont val="Tahoma"/>
            <family val="2"/>
          </rPr>
          <t>grunke:</t>
        </r>
        <r>
          <rPr>
            <sz val="8"/>
            <color indexed="81"/>
            <rFont val="Tahoma"/>
            <family val="2"/>
          </rPr>
          <t xml:space="preserve">
During the second quarter of fiscal year 2007, Clorox retired 91 million shares of its treasury stock. As a result of the retirement, treasury stock was reduced by $4,137 and common stock and retained earnings were reduced by $91 and $4,046, respectively. There was no impact to the company’s overall equity position as a result of the retirement.</t>
        </r>
      </text>
    </comment>
    <comment ref="Q181" authorId="11">
      <text>
        <r>
          <rPr>
            <b/>
            <sz val="8"/>
            <color indexed="81"/>
            <rFont val="Tahoma"/>
            <family val="2"/>
          </rPr>
          <t>u148087:</t>
        </r>
        <r>
          <rPr>
            <sz val="8"/>
            <color indexed="81"/>
            <rFont val="Tahoma"/>
            <family val="2"/>
          </rPr>
          <t xml:space="preserve">
includes $37M pension contribution "other"</t>
        </r>
      </text>
    </comment>
    <comment ref="BI184" authorId="2">
      <text>
        <r>
          <rPr>
            <b/>
            <sz val="8"/>
            <color indexed="81"/>
            <rFont val="Tahoma"/>
            <family val="2"/>
          </rPr>
          <t>linalis:</t>
        </r>
        <r>
          <rPr>
            <sz val="8"/>
            <color indexed="81"/>
            <rFont val="Tahoma"/>
            <family val="2"/>
          </rPr>
          <t xml:space="preserve">
5.3.2011: $240-250M</t>
        </r>
      </text>
    </comment>
    <comment ref="BN184" authorId="0">
      <text>
        <r>
          <rPr>
            <b/>
            <sz val="8"/>
            <color indexed="81"/>
            <rFont val="Tahoma"/>
            <family val="2"/>
          </rPr>
          <t>grunke:</t>
        </r>
        <r>
          <rPr>
            <sz val="8"/>
            <color indexed="81"/>
            <rFont val="Tahoma"/>
            <family val="2"/>
          </rPr>
          <t xml:space="preserve">
200-210 guid</t>
        </r>
      </text>
    </comment>
    <comment ref="BA185" authorId="0">
      <text>
        <r>
          <rPr>
            <b/>
            <sz val="8"/>
            <color indexed="81"/>
            <rFont val="Tahoma"/>
            <family val="2"/>
          </rPr>
          <t>grunke:</t>
        </r>
        <r>
          <rPr>
            <sz val="8"/>
            <color indexed="81"/>
            <rFont val="Tahoma"/>
            <family val="2"/>
          </rPr>
          <t xml:space="preserve">
primarily auto care, which was $680M in after-tax proceeds</t>
        </r>
      </text>
    </comment>
    <comment ref="BK185" authorId="0">
      <text>
        <r>
          <rPr>
            <b/>
            <sz val="8"/>
            <color indexed="81"/>
            <rFont val="Tahoma"/>
            <family val="2"/>
          </rPr>
          <t>grunke:</t>
        </r>
        <r>
          <rPr>
            <sz val="8"/>
            <color indexed="81"/>
            <rFont val="Tahoma"/>
            <family val="2"/>
          </rPr>
          <t xml:space="preserve">
includes $108M of proceeds from sale/leaseback</t>
        </r>
      </text>
    </comment>
    <comment ref="AR191" authorId="0">
      <text>
        <r>
          <rPr>
            <b/>
            <sz val="8"/>
            <color indexed="81"/>
            <rFont val="Tahoma"/>
            <family val="2"/>
          </rPr>
          <t>grunke:</t>
        </r>
        <r>
          <rPr>
            <sz val="8"/>
            <color indexed="81"/>
            <rFont val="Tahoma"/>
            <family val="2"/>
          </rPr>
          <t xml:space="preserve">
issuance of common stock for EE stock plans and other</t>
        </r>
      </text>
    </comment>
    <comment ref="BP191" authorId="7">
      <text>
        <r>
          <rPr>
            <b/>
            <sz val="8"/>
            <color indexed="81"/>
            <rFont val="Tahoma"/>
            <family val="2"/>
          </rPr>
          <t>cruzv:</t>
        </r>
        <r>
          <rPr>
            <sz val="8"/>
            <color indexed="81"/>
            <rFont val="Tahoma"/>
            <family val="2"/>
          </rPr>
          <t xml:space="preserve">
plug</t>
        </r>
      </text>
    </comment>
    <comment ref="BQ191" authorId="7">
      <text>
        <r>
          <rPr>
            <b/>
            <sz val="8"/>
            <color indexed="81"/>
            <rFont val="Tahoma"/>
            <family val="2"/>
          </rPr>
          <t>cruzv:</t>
        </r>
        <r>
          <rPr>
            <sz val="8"/>
            <color indexed="81"/>
            <rFont val="Tahoma"/>
            <family val="2"/>
          </rPr>
          <t xml:space="preserve">
plug</t>
        </r>
      </text>
    </comment>
    <comment ref="BR191" authorId="1">
      <text>
        <r>
          <rPr>
            <b/>
            <sz val="9"/>
            <color indexed="81"/>
            <rFont val="Tahoma"/>
            <family val="2"/>
          </rPr>
          <t>McHugh, Tom (Research):</t>
        </r>
        <r>
          <rPr>
            <sz val="9"/>
            <color indexed="81"/>
            <rFont val="Tahoma"/>
            <family val="2"/>
          </rPr>
          <t xml:space="preserve">
Temp plug as with Q3, Q2</t>
        </r>
      </text>
    </comment>
    <comment ref="BS191" authorId="1">
      <text>
        <r>
          <rPr>
            <b/>
            <sz val="9"/>
            <color indexed="81"/>
            <rFont val="Tahoma"/>
            <family val="2"/>
          </rPr>
          <t>McHugh, Tom (Research):</t>
        </r>
        <r>
          <rPr>
            <sz val="9"/>
            <color indexed="81"/>
            <rFont val="Tahoma"/>
            <family val="2"/>
          </rPr>
          <t xml:space="preserve">
Temp plug as per Q4,Q3,Q2</t>
        </r>
      </text>
    </comment>
    <comment ref="BI205" authorId="2">
      <text>
        <r>
          <rPr>
            <b/>
            <sz val="8"/>
            <color indexed="81"/>
            <rFont val="Tahoma"/>
            <family val="2"/>
          </rPr>
          <t>linalis:</t>
        </r>
        <r>
          <rPr>
            <sz val="8"/>
            <color indexed="81"/>
            <rFont val="Tahoma"/>
            <family val="2"/>
          </rPr>
          <t xml:space="preserve">
 5.3.11: guided to FCF as a % of sales of 10-11%, but likely lower end of range</t>
        </r>
      </text>
    </comment>
    <comment ref="BT205" authorId="8">
      <text>
        <r>
          <rPr>
            <b/>
            <sz val="9"/>
            <color indexed="81"/>
            <rFont val="Tahoma"/>
            <family val="2"/>
          </rPr>
          <t>Doctor, Bob (Research):</t>
        </r>
        <r>
          <rPr>
            <sz val="9"/>
            <color indexed="81"/>
            <rFont val="Tahoma"/>
            <family val="2"/>
          </rPr>
          <t xml:space="preserve">
205M</t>
        </r>
      </text>
    </comment>
    <comment ref="BN208" authorId="0">
      <text>
        <r>
          <rPr>
            <b/>
            <sz val="8"/>
            <color indexed="81"/>
            <rFont val="Tahoma"/>
            <family val="2"/>
          </rPr>
          <t>grunke:</t>
        </r>
        <r>
          <rPr>
            <sz val="8"/>
            <color indexed="81"/>
            <rFont val="Tahoma"/>
            <family val="2"/>
          </rPr>
          <t xml:space="preserve">
9-10% sales guid</t>
        </r>
      </text>
    </comment>
    <comment ref="BS208" authorId="7">
      <text>
        <r>
          <rPr>
            <b/>
            <sz val="8"/>
            <color indexed="81"/>
            <rFont val="Tahoma"/>
            <family val="2"/>
          </rPr>
          <t>cruzv:</t>
        </r>
        <r>
          <rPr>
            <sz val="8"/>
            <color indexed="81"/>
            <rFont val="Tahoma"/>
            <family val="2"/>
          </rPr>
          <t xml:space="preserve">
10% guidance</t>
        </r>
      </text>
    </comment>
    <comment ref="BX208" authorId="8">
      <text>
        <r>
          <rPr>
            <b/>
            <sz val="9"/>
            <color indexed="81"/>
            <rFont val="Tahoma"/>
            <family val="2"/>
          </rPr>
          <t>Doctor, Bob (Research):</t>
        </r>
        <r>
          <rPr>
            <sz val="9"/>
            <color indexed="81"/>
            <rFont val="Tahoma"/>
            <family val="2"/>
          </rPr>
          <t xml:space="preserve">
10%</t>
        </r>
      </text>
    </comment>
    <comment ref="AW262" authorId="9">
      <text>
        <r>
          <rPr>
            <b/>
            <sz val="8"/>
            <color indexed="81"/>
            <rFont val="Tahoma"/>
            <family val="2"/>
          </rPr>
          <t>Dara Mohsenian:</t>
        </r>
        <r>
          <rPr>
            <sz val="8"/>
            <color indexed="81"/>
            <rFont val="Tahoma"/>
            <family val="2"/>
          </rPr>
          <t xml:space="preserve">
575 M LT debt now funded by CP</t>
        </r>
      </text>
    </comment>
    <comment ref="AE270" authorId="0">
      <text>
        <r>
          <rPr>
            <b/>
            <sz val="8"/>
            <color indexed="81"/>
            <rFont val="Tahoma"/>
            <family val="2"/>
          </rPr>
          <t>grunke:</t>
        </r>
        <r>
          <rPr>
            <sz val="8"/>
            <color indexed="81"/>
            <rFont val="Tahoma"/>
            <family val="2"/>
          </rPr>
          <t xml:space="preserve">
includes rounding to tie out to CLX data</t>
        </r>
      </text>
    </comment>
    <comment ref="AY270" authorId="0">
      <text>
        <r>
          <rPr>
            <b/>
            <sz val="8"/>
            <color indexed="81"/>
            <rFont val="Tahoma"/>
            <family val="2"/>
          </rPr>
          <t>grunke:</t>
        </r>
        <r>
          <rPr>
            <sz val="8"/>
            <color indexed="81"/>
            <rFont val="Tahoma"/>
            <family val="2"/>
          </rPr>
          <t xml:space="preserve">
includes rounding</t>
        </r>
      </text>
    </comment>
    <comment ref="AT296" authorId="0">
      <text>
        <r>
          <rPr>
            <b/>
            <sz val="8"/>
            <color indexed="81"/>
            <rFont val="Tahoma"/>
            <family val="2"/>
          </rPr>
          <t>grunke:</t>
        </r>
        <r>
          <rPr>
            <sz val="8"/>
            <color indexed="81"/>
            <rFont val="Tahoma"/>
            <family val="2"/>
          </rPr>
          <t xml:space="preserve">
manually adjusted to reconcile to company avg. capital</t>
        </r>
      </text>
    </comment>
    <comment ref="AY296" authorId="0">
      <text>
        <r>
          <rPr>
            <b/>
            <sz val="8"/>
            <color indexed="81"/>
            <rFont val="Tahoma"/>
            <family val="2"/>
          </rPr>
          <t>grunke:</t>
        </r>
        <r>
          <rPr>
            <sz val="8"/>
            <color indexed="81"/>
            <rFont val="Tahoma"/>
            <family val="2"/>
          </rPr>
          <t xml:space="preserve">
rounding to tie to CLX's published number</t>
        </r>
      </text>
    </comment>
    <comment ref="AS299" authorId="0">
      <text>
        <r>
          <rPr>
            <b/>
            <sz val="8"/>
            <color indexed="81"/>
            <rFont val="Tahoma"/>
            <family val="2"/>
          </rPr>
          <t>grunke:</t>
        </r>
        <r>
          <rPr>
            <sz val="8"/>
            <color indexed="81"/>
            <rFont val="Tahoma"/>
            <family val="2"/>
          </rPr>
          <t xml:space="preserve">
Venezuela - conversion </t>
        </r>
      </text>
    </comment>
    <comment ref="AV299" authorId="0">
      <text>
        <r>
          <rPr>
            <b/>
            <sz val="8"/>
            <color indexed="81"/>
            <rFont val="Tahoma"/>
            <family val="2"/>
          </rPr>
          <t>grunke: Q2 PRESS RELEASE</t>
        </r>
        <r>
          <rPr>
            <sz val="8"/>
            <color indexed="81"/>
            <rFont val="Tahoma"/>
            <family val="2"/>
          </rPr>
          <t xml:space="preserve">
Clorox's second-quarter earnings reflected pretax losses of $19 million, or 9 cents diluted EPS, associated with its Venezuela operations. There were two components to this expense. 
First, Clorox recorded $7 million in pretax foreign currency transaction losses, or 3 cents diluted EPS, as a result of converting local currency to U.S. dollars through the parallel currency exchange market for inventory purchases. This impact had already been assumed in the company's previous financial outlook. 
Second, as of Dec. 31, 2009, Clorox decided to begin using the parallel market currency exchange rate to account for its Venezuela business, resulting in $12 million in pretax currency losses, or 6 cents diluted EPS, for the remeasurement of certain assets and liabilities in Venezuela. This pretax loss had not been assumed in the prior outlook.
The Venezuela currency devaluation had no impact on second-quarter sales.
</t>
        </r>
      </text>
    </comment>
    <comment ref="AW299" authorId="0">
      <text>
        <r>
          <rPr>
            <b/>
            <sz val="8"/>
            <color indexed="81"/>
            <rFont val="Tahoma"/>
            <family val="2"/>
          </rPr>
          <t>grunke:</t>
        </r>
        <r>
          <rPr>
            <sz val="8"/>
            <color indexed="81"/>
            <rFont val="Tahoma"/>
            <family val="2"/>
          </rPr>
          <t xml:space="preserve">
Venezuela Impact</t>
        </r>
      </text>
    </comment>
    <comment ref="AV300" authorId="0">
      <text>
        <r>
          <rPr>
            <b/>
            <sz val="8"/>
            <color indexed="81"/>
            <rFont val="Tahoma"/>
            <family val="2"/>
          </rPr>
          <t>grunke:</t>
        </r>
        <r>
          <rPr>
            <sz val="8"/>
            <color indexed="81"/>
            <rFont val="Tahoma"/>
            <family val="2"/>
          </rPr>
          <t xml:space="preserve">
Venezuela</t>
        </r>
      </text>
    </comment>
  </commentList>
</comments>
</file>

<file path=xl/comments2.xml><?xml version="1.0" encoding="utf-8"?>
<comments xmlns="http://schemas.openxmlformats.org/spreadsheetml/2006/main">
  <authors>
    <author>grunke</author>
    <author>mukeruma</author>
    <author>McHugh, Tom (Research)</author>
    <author>Doctor, Bob (Research)</author>
    <author>Falorni, Filippo (Research)</author>
    <author>doctobob</author>
    <author>cruzv</author>
    <author>Fitzgerald, Kyle (Research)</author>
    <author>Sofya</author>
  </authors>
  <commentList>
    <comment ref="H3" authorId="0">
      <text>
        <r>
          <rPr>
            <b/>
            <sz val="8"/>
            <color indexed="81"/>
            <rFont val="Tahoma"/>
            <family val="2"/>
          </rPr>
          <t>grunke:</t>
        </r>
        <r>
          <rPr>
            <sz val="8"/>
            <color indexed="81"/>
            <rFont val="Tahoma"/>
            <family val="2"/>
          </rPr>
          <t xml:space="preserve">
</t>
        </r>
        <r>
          <rPr>
            <b/>
            <sz val="8"/>
            <color indexed="81"/>
            <rFont val="Tahoma"/>
            <family val="2"/>
          </rPr>
          <t>As of 1Q02 Glad moved from Specialty to HHNA
All '02 growth %s are vs. 2001 pro forma</t>
        </r>
      </text>
    </comment>
    <comment ref="AV5" authorId="1">
      <text>
        <r>
          <rPr>
            <b/>
            <sz val="8"/>
            <color indexed="81"/>
            <rFont val="Tahoma"/>
            <family val="2"/>
          </rPr>
          <t>mukeruma:</t>
        </r>
        <r>
          <rPr>
            <sz val="8"/>
            <color indexed="81"/>
            <rFont val="Tahoma"/>
            <family val="2"/>
          </rPr>
          <t xml:space="preserve">
restated for auto divestiture</t>
        </r>
      </text>
    </comment>
    <comment ref="AW5" authorId="1">
      <text>
        <r>
          <rPr>
            <b/>
            <sz val="8"/>
            <color indexed="81"/>
            <rFont val="Tahoma"/>
            <family val="2"/>
          </rPr>
          <t>mukeruma:</t>
        </r>
        <r>
          <rPr>
            <sz val="8"/>
            <color indexed="81"/>
            <rFont val="Tahoma"/>
            <family val="2"/>
          </rPr>
          <t xml:space="preserve">
restated for auto divestiture</t>
        </r>
      </text>
    </comment>
    <comment ref="AX5" authorId="1">
      <text>
        <r>
          <rPr>
            <b/>
            <sz val="8"/>
            <color indexed="81"/>
            <rFont val="Tahoma"/>
            <family val="2"/>
          </rPr>
          <t>mukeruma:</t>
        </r>
        <r>
          <rPr>
            <sz val="8"/>
            <color indexed="81"/>
            <rFont val="Tahoma"/>
            <family val="2"/>
          </rPr>
          <t xml:space="preserve">
restated for auto divestiture</t>
        </r>
      </text>
    </comment>
    <comment ref="AY5" authorId="1">
      <text>
        <r>
          <rPr>
            <b/>
            <sz val="8"/>
            <color indexed="81"/>
            <rFont val="Tahoma"/>
            <family val="2"/>
          </rPr>
          <t>mukeruma:</t>
        </r>
        <r>
          <rPr>
            <sz val="8"/>
            <color indexed="81"/>
            <rFont val="Tahoma"/>
            <family val="2"/>
          </rPr>
          <t xml:space="preserve">
restated for auto divestiture</t>
        </r>
      </text>
    </comment>
    <comment ref="AZ5" authorId="1">
      <text>
        <r>
          <rPr>
            <b/>
            <sz val="8"/>
            <color indexed="81"/>
            <rFont val="Tahoma"/>
            <family val="2"/>
          </rPr>
          <t>mukeruma:</t>
        </r>
        <r>
          <rPr>
            <sz val="8"/>
            <color indexed="81"/>
            <rFont val="Tahoma"/>
            <family val="2"/>
          </rPr>
          <t xml:space="preserve">
restated for auto divestiture</t>
        </r>
      </text>
    </comment>
    <comment ref="BA7" authorId="1">
      <text>
        <r>
          <rPr>
            <b/>
            <sz val="8"/>
            <color indexed="81"/>
            <rFont val="Tahoma"/>
            <family val="2"/>
          </rPr>
          <t>mukeruma:</t>
        </r>
        <r>
          <rPr>
            <sz val="8"/>
            <color indexed="81"/>
            <rFont val="Tahoma"/>
            <family val="2"/>
          </rPr>
          <t xml:space="preserve">
restated</t>
        </r>
      </text>
    </comment>
    <comment ref="BB7" authorId="1">
      <text>
        <r>
          <rPr>
            <b/>
            <sz val="8"/>
            <color indexed="81"/>
            <rFont val="Tahoma"/>
            <family val="2"/>
          </rPr>
          <t>mukeruma:</t>
        </r>
        <r>
          <rPr>
            <sz val="8"/>
            <color indexed="81"/>
            <rFont val="Tahoma"/>
            <family val="2"/>
          </rPr>
          <t xml:space="preserve">
restated</t>
        </r>
      </text>
    </comment>
    <comment ref="BC7" authorId="1">
      <text>
        <r>
          <rPr>
            <b/>
            <sz val="8"/>
            <color indexed="81"/>
            <rFont val="Tahoma"/>
            <family val="2"/>
          </rPr>
          <t>mukeruma:</t>
        </r>
        <r>
          <rPr>
            <sz val="8"/>
            <color indexed="81"/>
            <rFont val="Tahoma"/>
            <family val="2"/>
          </rPr>
          <t xml:space="preserve">
restated</t>
        </r>
      </text>
    </comment>
    <comment ref="BD7" authorId="1">
      <text>
        <r>
          <rPr>
            <b/>
            <sz val="8"/>
            <color indexed="81"/>
            <rFont val="Tahoma"/>
            <family val="2"/>
          </rPr>
          <t>mukeruma:</t>
        </r>
        <r>
          <rPr>
            <sz val="8"/>
            <color indexed="81"/>
            <rFont val="Tahoma"/>
            <family val="2"/>
          </rPr>
          <t xml:space="preserve">
restated</t>
        </r>
      </text>
    </comment>
    <comment ref="BE7" authorId="1">
      <text>
        <r>
          <rPr>
            <b/>
            <sz val="8"/>
            <color indexed="81"/>
            <rFont val="Tahoma"/>
            <family val="2"/>
          </rPr>
          <t>mukeruma:</t>
        </r>
        <r>
          <rPr>
            <sz val="8"/>
            <color indexed="81"/>
            <rFont val="Tahoma"/>
            <family val="2"/>
          </rPr>
          <t xml:space="preserve">
restated</t>
        </r>
      </text>
    </comment>
    <comment ref="BF7" authorId="1">
      <text>
        <r>
          <rPr>
            <b/>
            <sz val="8"/>
            <color indexed="81"/>
            <rFont val="Tahoma"/>
            <family val="2"/>
          </rPr>
          <t>mukeruma:</t>
        </r>
        <r>
          <rPr>
            <sz val="8"/>
            <color indexed="81"/>
            <rFont val="Tahoma"/>
            <family val="2"/>
          </rPr>
          <t xml:space="preserve">
restated</t>
        </r>
      </text>
    </comment>
    <comment ref="BG7" authorId="1">
      <text>
        <r>
          <rPr>
            <b/>
            <sz val="8"/>
            <color indexed="81"/>
            <rFont val="Tahoma"/>
            <family val="2"/>
          </rPr>
          <t>mukeruma:</t>
        </r>
        <r>
          <rPr>
            <sz val="8"/>
            <color indexed="81"/>
            <rFont val="Tahoma"/>
            <family val="2"/>
          </rPr>
          <t xml:space="preserve">
restated</t>
        </r>
      </text>
    </comment>
    <comment ref="BH7" authorId="1">
      <text>
        <r>
          <rPr>
            <b/>
            <sz val="8"/>
            <color indexed="81"/>
            <rFont val="Tahoma"/>
            <family val="2"/>
          </rPr>
          <t>mukeruma:</t>
        </r>
        <r>
          <rPr>
            <sz val="8"/>
            <color indexed="81"/>
            <rFont val="Tahoma"/>
            <family val="2"/>
          </rPr>
          <t xml:space="preserve">
restated</t>
        </r>
      </text>
    </comment>
    <comment ref="AV8" authorId="1">
      <text>
        <r>
          <rPr>
            <b/>
            <sz val="8"/>
            <color indexed="81"/>
            <rFont val="Tahoma"/>
            <family val="2"/>
          </rPr>
          <t>mukeruma:</t>
        </r>
        <r>
          <rPr>
            <sz val="8"/>
            <color indexed="81"/>
            <rFont val="Tahoma"/>
            <family val="2"/>
          </rPr>
          <t xml:space="preserve">
restated for auto divestiture</t>
        </r>
      </text>
    </comment>
    <comment ref="AW8" authorId="1">
      <text>
        <r>
          <rPr>
            <b/>
            <sz val="8"/>
            <color indexed="81"/>
            <rFont val="Tahoma"/>
            <family val="2"/>
          </rPr>
          <t>mukeruma:</t>
        </r>
        <r>
          <rPr>
            <sz val="8"/>
            <color indexed="81"/>
            <rFont val="Tahoma"/>
            <family val="2"/>
          </rPr>
          <t xml:space="preserve">
restated for auto divestiture</t>
        </r>
      </text>
    </comment>
    <comment ref="AX8" authorId="1">
      <text>
        <r>
          <rPr>
            <b/>
            <sz val="8"/>
            <color indexed="81"/>
            <rFont val="Tahoma"/>
            <family val="2"/>
          </rPr>
          <t>mukeruma:</t>
        </r>
        <r>
          <rPr>
            <sz val="8"/>
            <color indexed="81"/>
            <rFont val="Tahoma"/>
            <family val="2"/>
          </rPr>
          <t xml:space="preserve">
restated for auto divestiture</t>
        </r>
      </text>
    </comment>
    <comment ref="AY8" authorId="1">
      <text>
        <r>
          <rPr>
            <b/>
            <sz val="8"/>
            <color indexed="81"/>
            <rFont val="Tahoma"/>
            <family val="2"/>
          </rPr>
          <t>mukeruma:</t>
        </r>
        <r>
          <rPr>
            <sz val="8"/>
            <color indexed="81"/>
            <rFont val="Tahoma"/>
            <family val="2"/>
          </rPr>
          <t xml:space="preserve">
restated for auto divestiture</t>
        </r>
      </text>
    </comment>
    <comment ref="AZ8" authorId="1">
      <text>
        <r>
          <rPr>
            <b/>
            <sz val="8"/>
            <color indexed="81"/>
            <rFont val="Tahoma"/>
            <family val="2"/>
          </rPr>
          <t>mukeruma:</t>
        </r>
        <r>
          <rPr>
            <sz val="8"/>
            <color indexed="81"/>
            <rFont val="Tahoma"/>
            <family val="2"/>
          </rPr>
          <t xml:space="preserve">
restated for auto divestiture</t>
        </r>
      </text>
    </comment>
    <comment ref="BA8" authorId="1">
      <text>
        <r>
          <rPr>
            <b/>
            <sz val="8"/>
            <color indexed="81"/>
            <rFont val="Tahoma"/>
            <family val="2"/>
          </rPr>
          <t>mukeruma:</t>
        </r>
        <r>
          <rPr>
            <sz val="8"/>
            <color indexed="81"/>
            <rFont val="Tahoma"/>
            <family val="2"/>
          </rPr>
          <t xml:space="preserve">
restated</t>
        </r>
      </text>
    </comment>
    <comment ref="BB8" authorId="1">
      <text>
        <r>
          <rPr>
            <b/>
            <sz val="8"/>
            <color indexed="81"/>
            <rFont val="Tahoma"/>
            <family val="2"/>
          </rPr>
          <t>mukeruma:</t>
        </r>
        <r>
          <rPr>
            <sz val="8"/>
            <color indexed="81"/>
            <rFont val="Tahoma"/>
            <family val="2"/>
          </rPr>
          <t xml:space="preserve">
restated</t>
        </r>
      </text>
    </comment>
    <comment ref="BC8" authorId="1">
      <text>
        <r>
          <rPr>
            <b/>
            <sz val="8"/>
            <color indexed="81"/>
            <rFont val="Tahoma"/>
            <family val="2"/>
          </rPr>
          <t>mukeruma:</t>
        </r>
        <r>
          <rPr>
            <sz val="8"/>
            <color indexed="81"/>
            <rFont val="Tahoma"/>
            <family val="2"/>
          </rPr>
          <t xml:space="preserve">
restated</t>
        </r>
      </text>
    </comment>
    <comment ref="BD8" authorId="1">
      <text>
        <r>
          <rPr>
            <b/>
            <sz val="8"/>
            <color indexed="81"/>
            <rFont val="Tahoma"/>
            <family val="2"/>
          </rPr>
          <t>mukeruma:</t>
        </r>
        <r>
          <rPr>
            <sz val="8"/>
            <color indexed="81"/>
            <rFont val="Tahoma"/>
            <family val="2"/>
          </rPr>
          <t xml:space="preserve">
restated</t>
        </r>
      </text>
    </comment>
    <comment ref="BE8" authorId="1">
      <text>
        <r>
          <rPr>
            <b/>
            <sz val="8"/>
            <color indexed="81"/>
            <rFont val="Tahoma"/>
            <family val="2"/>
          </rPr>
          <t>mukeruma:</t>
        </r>
        <r>
          <rPr>
            <sz val="8"/>
            <color indexed="81"/>
            <rFont val="Tahoma"/>
            <family val="2"/>
          </rPr>
          <t xml:space="preserve">
restated</t>
        </r>
      </text>
    </comment>
    <comment ref="BF8" authorId="1">
      <text>
        <r>
          <rPr>
            <b/>
            <sz val="8"/>
            <color indexed="81"/>
            <rFont val="Tahoma"/>
            <family val="2"/>
          </rPr>
          <t>mukeruma:</t>
        </r>
        <r>
          <rPr>
            <sz val="8"/>
            <color indexed="81"/>
            <rFont val="Tahoma"/>
            <family val="2"/>
          </rPr>
          <t xml:space="preserve">
restated</t>
        </r>
      </text>
    </comment>
    <comment ref="BG8" authorId="1">
      <text>
        <r>
          <rPr>
            <b/>
            <sz val="8"/>
            <color indexed="81"/>
            <rFont val="Tahoma"/>
            <family val="2"/>
          </rPr>
          <t>mukeruma:</t>
        </r>
        <r>
          <rPr>
            <sz val="8"/>
            <color indexed="81"/>
            <rFont val="Tahoma"/>
            <family val="2"/>
          </rPr>
          <t xml:space="preserve">
restated</t>
        </r>
      </text>
    </comment>
    <comment ref="BH8" authorId="1">
      <text>
        <r>
          <rPr>
            <b/>
            <sz val="8"/>
            <color indexed="81"/>
            <rFont val="Tahoma"/>
            <family val="2"/>
          </rPr>
          <t>mukeruma:</t>
        </r>
        <r>
          <rPr>
            <sz val="8"/>
            <color indexed="81"/>
            <rFont val="Tahoma"/>
            <family val="2"/>
          </rPr>
          <t xml:space="preserve">
restated</t>
        </r>
      </text>
    </comment>
    <comment ref="BP8" authorId="2">
      <text>
        <r>
          <rPr>
            <b/>
            <sz val="9"/>
            <color indexed="81"/>
            <rFont val="Tahoma"/>
            <family val="2"/>
          </rPr>
          <t>McHugh, Tom (Research):</t>
        </r>
        <r>
          <rPr>
            <sz val="9"/>
            <color indexed="81"/>
            <rFont val="Tahoma"/>
            <family val="2"/>
          </rPr>
          <t xml:space="preserve">
Restated due to VZ exit, was 295</t>
        </r>
      </text>
    </comment>
    <comment ref="BQ8" authorId="2">
      <text>
        <r>
          <rPr>
            <b/>
            <sz val="9"/>
            <color indexed="81"/>
            <rFont val="Tahoma"/>
            <family val="2"/>
          </rPr>
          <t>McHugh, Tom (Research):</t>
        </r>
        <r>
          <rPr>
            <sz val="9"/>
            <color indexed="81"/>
            <rFont val="Tahoma"/>
            <family val="2"/>
          </rPr>
          <t xml:space="preserve">
Restated due to VZ exit, was 309</t>
        </r>
      </text>
    </comment>
    <comment ref="BR8" authorId="2">
      <text>
        <r>
          <rPr>
            <b/>
            <sz val="9"/>
            <color indexed="81"/>
            <rFont val="Tahoma"/>
            <family val="2"/>
          </rPr>
          <t>McHugh, Tom (Research):</t>
        </r>
        <r>
          <rPr>
            <sz val="9"/>
            <color indexed="81"/>
            <rFont val="Tahoma"/>
            <family val="2"/>
          </rPr>
          <t xml:space="preserve">
Restated due to VZ exit, was 284</t>
        </r>
      </text>
    </comment>
    <comment ref="BS8" authorId="2">
      <text>
        <r>
          <rPr>
            <b/>
            <sz val="9"/>
            <color indexed="81"/>
            <rFont val="Tahoma"/>
            <family val="2"/>
          </rPr>
          <t>McHugh, Tom (Research):</t>
        </r>
        <r>
          <rPr>
            <sz val="9"/>
            <color indexed="81"/>
            <rFont val="Tahoma"/>
            <family val="2"/>
          </rPr>
          <t xml:space="preserve">
Restated due to VZ exit, was 282</t>
        </r>
      </text>
    </comment>
    <comment ref="AI19" authorId="0">
      <text>
        <r>
          <rPr>
            <b/>
            <sz val="8"/>
            <color indexed="81"/>
            <rFont val="Tahoma"/>
            <family val="2"/>
          </rPr>
          <t>grunke:</t>
        </r>
        <r>
          <rPr>
            <sz val="8"/>
            <color indexed="81"/>
            <rFont val="Tahoma"/>
            <family val="2"/>
          </rPr>
          <t xml:space="preserve">
Launch of CLX  disinfecting cleaner</t>
        </r>
      </text>
    </comment>
    <comment ref="AM19" authorId="0">
      <text>
        <r>
          <rPr>
            <b/>
            <sz val="8"/>
            <color indexed="81"/>
            <rFont val="Tahoma"/>
            <family val="2"/>
          </rPr>
          <t>grunke:</t>
        </r>
        <r>
          <rPr>
            <sz val="8"/>
            <color indexed="81"/>
            <rFont val="Tahoma"/>
            <family val="2"/>
          </rPr>
          <t xml:space="preserve">
Burt's deal closed 11/30
Q208 includes one month of P&amp;L $15MM 
Quarter also includes initial shipments of Green Works natural cleaners</t>
        </r>
      </text>
    </comment>
    <comment ref="A22" authorId="0">
      <text>
        <r>
          <rPr>
            <b/>
            <sz val="8"/>
            <color indexed="81"/>
            <rFont val="Tahoma"/>
            <family val="2"/>
          </rPr>
          <t>grunke:</t>
        </r>
        <r>
          <rPr>
            <sz val="8"/>
            <color indexed="81"/>
            <rFont val="Tahoma"/>
            <family val="2"/>
          </rPr>
          <t xml:space="preserve">
Formerly called  Household Products - Latin America &amp; Other</t>
        </r>
      </text>
    </comment>
    <comment ref="H22" authorId="0">
      <text>
        <r>
          <rPr>
            <b/>
            <sz val="8"/>
            <color indexed="81"/>
            <rFont val="Tahoma"/>
            <family val="2"/>
          </rPr>
          <t>grunke:</t>
        </r>
        <r>
          <rPr>
            <sz val="8"/>
            <color indexed="81"/>
            <rFont val="Tahoma"/>
            <family val="2"/>
          </rPr>
          <t xml:space="preserve">
excludes disc ops from Brazil ($7.7M in net sales)</t>
        </r>
      </text>
    </comment>
    <comment ref="R28" authorId="0">
      <text>
        <r>
          <rPr>
            <b/>
            <sz val="8"/>
            <color indexed="81"/>
            <rFont val="Tahoma"/>
            <family val="2"/>
          </rPr>
          <t>grunke:</t>
        </r>
        <r>
          <rPr>
            <sz val="8"/>
            <color indexed="81"/>
            <rFont val="Tahoma"/>
            <family val="2"/>
          </rPr>
          <t xml:space="preserve">
ex transferred biz and Cat litter divestitures</t>
        </r>
      </text>
    </comment>
    <comment ref="S28" authorId="0">
      <text>
        <r>
          <rPr>
            <b/>
            <sz val="8"/>
            <color indexed="81"/>
            <rFont val="Tahoma"/>
            <family val="2"/>
          </rPr>
          <t>grunke:</t>
        </r>
        <r>
          <rPr>
            <sz val="8"/>
            <color indexed="81"/>
            <rFont val="Tahoma"/>
            <family val="2"/>
          </rPr>
          <t xml:space="preserve">
ex transferred biz and Cat litter divestitures</t>
        </r>
      </text>
    </comment>
    <comment ref="T28" authorId="0">
      <text>
        <r>
          <rPr>
            <b/>
            <sz val="8"/>
            <color indexed="81"/>
            <rFont val="Tahoma"/>
            <family val="2"/>
          </rPr>
          <t>grunke:</t>
        </r>
        <r>
          <rPr>
            <sz val="8"/>
            <color indexed="81"/>
            <rFont val="Tahoma"/>
            <family val="2"/>
          </rPr>
          <t xml:space="preserve">
ex transferred biz and Cat litter divestitures</t>
        </r>
      </text>
    </comment>
    <comment ref="U28" authorId="0">
      <text>
        <r>
          <rPr>
            <b/>
            <sz val="8"/>
            <color indexed="81"/>
            <rFont val="Tahoma"/>
            <family val="2"/>
          </rPr>
          <t>grunke:</t>
        </r>
        <r>
          <rPr>
            <sz val="8"/>
            <color indexed="81"/>
            <rFont val="Tahoma"/>
            <family val="2"/>
          </rPr>
          <t xml:space="preserve">
ex transferred biz and Cat litter divestitures</t>
        </r>
      </text>
    </comment>
    <comment ref="X28" authorId="0">
      <text>
        <r>
          <rPr>
            <b/>
            <sz val="8"/>
            <color indexed="81"/>
            <rFont val="Tahoma"/>
            <family val="2"/>
          </rPr>
          <t>grunke:</t>
        </r>
        <r>
          <rPr>
            <sz val="8"/>
            <color indexed="81"/>
            <rFont val="Tahoma"/>
            <family val="2"/>
          </rPr>
          <t xml:space="preserve">
excludes cat litter divestittures</t>
        </r>
      </text>
    </comment>
    <comment ref="Y28" authorId="0">
      <text>
        <r>
          <rPr>
            <b/>
            <sz val="8"/>
            <color indexed="81"/>
            <rFont val="Tahoma"/>
            <family val="2"/>
          </rPr>
          <t>grunke:</t>
        </r>
        <r>
          <rPr>
            <sz val="8"/>
            <color indexed="81"/>
            <rFont val="Tahoma"/>
            <family val="2"/>
          </rPr>
          <t xml:space="preserve">
excludes cat litter divestittures</t>
        </r>
      </text>
    </comment>
    <comment ref="Z28" authorId="0">
      <text>
        <r>
          <rPr>
            <b/>
            <sz val="8"/>
            <color indexed="81"/>
            <rFont val="Tahoma"/>
            <family val="2"/>
          </rPr>
          <t>grunke:</t>
        </r>
        <r>
          <rPr>
            <sz val="8"/>
            <color indexed="81"/>
            <rFont val="Tahoma"/>
            <family val="2"/>
          </rPr>
          <t xml:space="preserve">
excludes cat litter divestittures</t>
        </r>
      </text>
    </comment>
    <comment ref="AA28" authorId="0">
      <text>
        <r>
          <rPr>
            <b/>
            <sz val="8"/>
            <color indexed="81"/>
            <rFont val="Tahoma"/>
            <family val="2"/>
          </rPr>
          <t>grunke:</t>
        </r>
        <r>
          <rPr>
            <sz val="8"/>
            <color indexed="81"/>
            <rFont val="Tahoma"/>
            <family val="2"/>
          </rPr>
          <t xml:space="preserve">
excludes cat litter divestittures</t>
        </r>
      </text>
    </comment>
    <comment ref="AI28" authorId="0">
      <text>
        <r>
          <rPr>
            <b/>
            <sz val="8"/>
            <color indexed="81"/>
            <rFont val="Tahoma"/>
            <family val="2"/>
          </rPr>
          <t>grunke:</t>
        </r>
        <r>
          <rPr>
            <sz val="8"/>
            <color indexed="81"/>
            <rFont val="Tahoma"/>
            <family val="2"/>
          </rPr>
          <t xml:space="preserve">
assumes acq impact all related to volume growth</t>
        </r>
      </text>
    </comment>
    <comment ref="AJ28" authorId="0">
      <text>
        <r>
          <rPr>
            <b/>
            <sz val="8"/>
            <color indexed="81"/>
            <rFont val="Tahoma"/>
            <family val="2"/>
          </rPr>
          <t>grunke:</t>
        </r>
        <r>
          <rPr>
            <sz val="8"/>
            <color indexed="81"/>
            <rFont val="Tahoma"/>
            <family val="2"/>
          </rPr>
          <t xml:space="preserve">
assumes acq impact all related to volume growth</t>
        </r>
      </text>
    </comment>
    <comment ref="AK28" authorId="0">
      <text>
        <r>
          <rPr>
            <b/>
            <sz val="8"/>
            <color indexed="81"/>
            <rFont val="Tahoma"/>
            <family val="2"/>
          </rPr>
          <t>grunke:</t>
        </r>
        <r>
          <rPr>
            <sz val="8"/>
            <color indexed="81"/>
            <rFont val="Tahoma"/>
            <family val="2"/>
          </rPr>
          <t xml:space="preserve">
assumes acq impact all related to volume growth</t>
        </r>
      </text>
    </comment>
    <comment ref="AL28" authorId="0">
      <text>
        <r>
          <rPr>
            <b/>
            <sz val="8"/>
            <color indexed="81"/>
            <rFont val="Tahoma"/>
            <family val="2"/>
          </rPr>
          <t>grunke:</t>
        </r>
        <r>
          <rPr>
            <sz val="8"/>
            <color indexed="81"/>
            <rFont val="Tahoma"/>
            <family val="2"/>
          </rPr>
          <t xml:space="preserve">
assumes all acq/divest impact attributable to volumes</t>
        </r>
      </text>
    </comment>
    <comment ref="AM28" authorId="0">
      <text>
        <r>
          <rPr>
            <b/>
            <sz val="8"/>
            <color indexed="81"/>
            <rFont val="Tahoma"/>
            <family val="2"/>
          </rPr>
          <t>grunke:</t>
        </r>
        <r>
          <rPr>
            <sz val="8"/>
            <color indexed="81"/>
            <rFont val="Tahoma"/>
            <family val="2"/>
          </rPr>
          <t xml:space="preserve">
assume all of Burt's and Bleach contribution was volume growth</t>
        </r>
      </text>
    </comment>
    <comment ref="AN28" authorId="0">
      <text>
        <r>
          <rPr>
            <b/>
            <sz val="8"/>
            <color indexed="81"/>
            <rFont val="Tahoma"/>
            <family val="2"/>
          </rPr>
          <t>grunke:</t>
        </r>
        <r>
          <rPr>
            <sz val="8"/>
            <color indexed="81"/>
            <rFont val="Tahoma"/>
            <family val="2"/>
          </rPr>
          <t xml:space="preserve">
assumes 3 of acq topline impact from Burt's, Bleach, PL est. due to volume</t>
        </r>
      </text>
    </comment>
    <comment ref="AO28" authorId="0">
      <text>
        <r>
          <rPr>
            <b/>
            <sz val="8"/>
            <color indexed="81"/>
            <rFont val="Tahoma"/>
            <family val="2"/>
          </rPr>
          <t>grunke:</t>
        </r>
        <r>
          <rPr>
            <sz val="8"/>
            <color indexed="81"/>
            <rFont val="Tahoma"/>
            <family val="2"/>
          </rPr>
          <t xml:space="preserve">
est. all of Burt's contribution attributable to volume growth
</t>
        </r>
      </text>
    </comment>
    <comment ref="AQ28" authorId="0">
      <text>
        <r>
          <rPr>
            <b/>
            <sz val="8"/>
            <color indexed="81"/>
            <rFont val="Tahoma"/>
            <family val="2"/>
          </rPr>
          <t>grunke:</t>
        </r>
        <r>
          <rPr>
            <sz val="8"/>
            <color indexed="81"/>
            <rFont val="Tahoma"/>
            <family val="2"/>
          </rPr>
          <t xml:space="preserve">
Burt's added 3.4 pts to topline growth - we assume all related to volume 
added back all of PL impact</t>
        </r>
      </text>
    </comment>
    <comment ref="AR28" authorId="0">
      <text>
        <r>
          <rPr>
            <b/>
            <sz val="8"/>
            <color indexed="81"/>
            <rFont val="Tahoma"/>
            <family val="2"/>
          </rPr>
          <t>grunke:</t>
        </r>
        <r>
          <rPr>
            <sz val="8"/>
            <color indexed="81"/>
            <rFont val="Tahoma"/>
            <family val="2"/>
          </rPr>
          <t xml:space="preserve">
Burt's added 2.9 pts to topline growth - we assumeall related to volume growth
est. 0.8% drag from exit of PL business </t>
        </r>
      </text>
    </comment>
    <comment ref="AS28" authorId="0">
      <text>
        <r>
          <rPr>
            <b/>
            <sz val="8"/>
            <color indexed="81"/>
            <rFont val="Tahoma"/>
            <family val="2"/>
          </rPr>
          <t>grunke:</t>
        </r>
        <r>
          <rPr>
            <sz val="8"/>
            <color indexed="81"/>
            <rFont val="Tahoma"/>
            <family val="2"/>
          </rPr>
          <t xml:space="preserve">
added back drag from exit of PL business</t>
        </r>
      </text>
    </comment>
    <comment ref="AT28" authorId="0">
      <text>
        <r>
          <rPr>
            <b/>
            <sz val="8"/>
            <color indexed="81"/>
            <rFont val="Tahoma"/>
            <family val="2"/>
          </rPr>
          <t>grunke:</t>
        </r>
        <r>
          <rPr>
            <sz val="8"/>
            <color indexed="81"/>
            <rFont val="Tahoma"/>
            <family val="2"/>
          </rPr>
          <t xml:space="preserve">
adj for exit from PL business</t>
        </r>
      </text>
    </comment>
    <comment ref="AV28" authorId="0">
      <text>
        <r>
          <rPr>
            <b/>
            <sz val="8"/>
            <color indexed="81"/>
            <rFont val="Tahoma"/>
            <family val="2"/>
          </rPr>
          <t>grunke:</t>
        </r>
        <r>
          <rPr>
            <sz val="8"/>
            <color indexed="81"/>
            <rFont val="Tahoma"/>
            <family val="2"/>
          </rPr>
          <t xml:space="preserve">
est. 0.5% drag from PL business </t>
        </r>
      </text>
    </comment>
    <comment ref="BH28" authorId="1">
      <text>
        <r>
          <rPr>
            <b/>
            <sz val="8"/>
            <color indexed="81"/>
            <rFont val="Tahoma"/>
            <family val="2"/>
          </rPr>
          <t>mukeruma:</t>
        </r>
        <r>
          <rPr>
            <sz val="8"/>
            <color indexed="81"/>
            <rFont val="Tahoma"/>
            <family val="2"/>
          </rPr>
          <t xml:space="preserve">
ex acquisition</t>
        </r>
      </text>
    </comment>
    <comment ref="BJ28" authorId="0">
      <text>
        <r>
          <rPr>
            <b/>
            <sz val="8"/>
            <color indexed="81"/>
            <rFont val="Tahoma"/>
            <family val="2"/>
          </rPr>
          <t>grunke:</t>
        </r>
        <r>
          <rPr>
            <sz val="8"/>
            <color indexed="81"/>
            <rFont val="Tahoma"/>
            <family val="2"/>
          </rPr>
          <t xml:space="preserve">
flat volume growth guidance </t>
        </r>
      </text>
    </comment>
    <comment ref="BL28" authorId="0">
      <text>
        <r>
          <rPr>
            <b/>
            <sz val="8"/>
            <color indexed="81"/>
            <rFont val="Tahoma"/>
            <family val="2"/>
          </rPr>
          <t>grunke:</t>
        </r>
        <r>
          <rPr>
            <sz val="8"/>
            <color indexed="81"/>
            <rFont val="Tahoma"/>
            <family val="2"/>
          </rPr>
          <t xml:space="preserve">
includes: 
+1.5 pts from extra shipping day
also includes benefit from tough flu season and retailer re-set with new compacted bleach products </t>
        </r>
      </text>
    </comment>
    <comment ref="CI28" authorId="3">
      <text>
        <r>
          <rPr>
            <b/>
            <sz val="9"/>
            <color indexed="81"/>
            <rFont val="Tahoma"/>
            <family val="2"/>
          </rPr>
          <t>Doctor, Bob (Research):</t>
        </r>
        <r>
          <rPr>
            <sz val="9"/>
            <color indexed="81"/>
            <rFont val="Tahoma"/>
            <family val="2"/>
          </rPr>
          <t xml:space="preserve">
volume growth faster than total growth</t>
        </r>
      </text>
    </comment>
    <comment ref="CN28" authorId="4">
      <text>
        <r>
          <rPr>
            <b/>
            <sz val="9"/>
            <color indexed="81"/>
            <rFont val="Tahoma"/>
            <family val="2"/>
          </rPr>
          <t>Falorni, Filippo (Research):</t>
        </r>
        <r>
          <rPr>
            <sz val="9"/>
            <color indexed="81"/>
            <rFont val="Tahoma"/>
            <family val="2"/>
          </rPr>
          <t xml:space="preserve">
Innovation +3%</t>
        </r>
      </text>
    </comment>
    <comment ref="BI29" authorId="1">
      <text>
        <r>
          <rPr>
            <b/>
            <sz val="8"/>
            <color indexed="81"/>
            <rFont val="Tahoma"/>
            <family val="2"/>
          </rPr>
          <t>mukeruma:</t>
        </r>
        <r>
          <rPr>
            <sz val="8"/>
            <color indexed="81"/>
            <rFont val="Tahoma"/>
            <family val="2"/>
          </rPr>
          <t xml:space="preserve">
5% pricing offset by -2% promo/mix</t>
        </r>
      </text>
    </comment>
    <comment ref="BY29" authorId="5">
      <text>
        <r>
          <rPr>
            <b/>
            <sz val="8"/>
            <color indexed="81"/>
            <rFont val="Tahoma"/>
            <family val="2"/>
          </rPr>
          <t>doctobob:</t>
        </r>
        <r>
          <rPr>
            <sz val="8"/>
            <color indexed="81"/>
            <rFont val="Tahoma"/>
            <family val="2"/>
          </rPr>
          <t xml:space="preserve">
modest pricing</t>
        </r>
      </text>
    </comment>
    <comment ref="CN29" authorId="4">
      <text>
        <r>
          <rPr>
            <b/>
            <sz val="9"/>
            <color indexed="81"/>
            <rFont val="Tahoma"/>
            <family val="2"/>
          </rPr>
          <t>Falorni, Filippo (Research):</t>
        </r>
        <r>
          <rPr>
            <sz val="9"/>
            <color indexed="81"/>
            <rFont val="Tahoma"/>
            <family val="2"/>
          </rPr>
          <t xml:space="preserve">
G at F1Q18 (call): Slightly less than 1%
G at FQ417: +1%</t>
        </r>
      </text>
    </comment>
    <comment ref="H30" authorId="0">
      <text>
        <r>
          <rPr>
            <b/>
            <sz val="8"/>
            <color indexed="81"/>
            <rFont val="Tahoma"/>
            <family val="2"/>
          </rPr>
          <t>grunke:</t>
        </r>
        <r>
          <rPr>
            <sz val="8"/>
            <color indexed="81"/>
            <rFont val="Tahoma"/>
            <family val="2"/>
          </rPr>
          <t xml:space="preserve">
10-Q</t>
        </r>
      </text>
    </comment>
    <comment ref="I30" authorId="0">
      <text>
        <r>
          <rPr>
            <b/>
            <sz val="8"/>
            <color indexed="81"/>
            <rFont val="Tahoma"/>
            <family val="2"/>
          </rPr>
          <t>grunke:</t>
        </r>
        <r>
          <rPr>
            <sz val="8"/>
            <color indexed="81"/>
            <rFont val="Tahoma"/>
            <family val="2"/>
          </rPr>
          <t xml:space="preserve">
legacy MS est.</t>
        </r>
      </text>
    </comment>
    <comment ref="J30" authorId="0">
      <text>
        <r>
          <rPr>
            <b/>
            <sz val="8"/>
            <color indexed="81"/>
            <rFont val="Tahoma"/>
            <family val="2"/>
          </rPr>
          <t>grunke:</t>
        </r>
        <r>
          <rPr>
            <sz val="8"/>
            <color indexed="81"/>
            <rFont val="Tahoma"/>
            <family val="2"/>
          </rPr>
          <t xml:space="preserve">
legacy MS est.</t>
        </r>
      </text>
    </comment>
    <comment ref="K30" authorId="0">
      <text>
        <r>
          <rPr>
            <b/>
            <sz val="8"/>
            <color indexed="81"/>
            <rFont val="Tahoma"/>
            <family val="2"/>
          </rPr>
          <t>grunke:</t>
        </r>
        <r>
          <rPr>
            <sz val="8"/>
            <color indexed="81"/>
            <rFont val="Tahoma"/>
            <family val="2"/>
          </rPr>
          <t xml:space="preserve">
legacy MS est.</t>
        </r>
      </text>
    </comment>
    <comment ref="L30" authorId="0">
      <text>
        <r>
          <rPr>
            <b/>
            <sz val="8"/>
            <color indexed="81"/>
            <rFont val="Tahoma"/>
            <family val="2"/>
          </rPr>
          <t>grunke:</t>
        </r>
        <r>
          <rPr>
            <sz val="8"/>
            <color indexed="81"/>
            <rFont val="Tahoma"/>
            <family val="2"/>
          </rPr>
          <t xml:space="preserve">
legacy MS est.</t>
        </r>
      </text>
    </comment>
    <comment ref="M30" authorId="0">
      <text>
        <r>
          <rPr>
            <b/>
            <sz val="8"/>
            <color indexed="81"/>
            <rFont val="Tahoma"/>
            <family val="2"/>
          </rPr>
          <t>grunke:</t>
        </r>
        <r>
          <rPr>
            <sz val="8"/>
            <color indexed="81"/>
            <rFont val="Tahoma"/>
            <family val="2"/>
          </rPr>
          <t xml:space="preserve">
legacy MS est.</t>
        </r>
      </text>
    </comment>
    <comment ref="N30" authorId="0">
      <text>
        <r>
          <rPr>
            <b/>
            <sz val="8"/>
            <color indexed="81"/>
            <rFont val="Tahoma"/>
            <family val="2"/>
          </rPr>
          <t>grunke:</t>
        </r>
        <r>
          <rPr>
            <sz val="8"/>
            <color indexed="81"/>
            <rFont val="Tahoma"/>
            <family val="2"/>
          </rPr>
          <t xml:space="preserve">
legacy MS est.</t>
        </r>
      </text>
    </comment>
    <comment ref="O30" authorId="0">
      <text>
        <r>
          <rPr>
            <b/>
            <sz val="8"/>
            <color indexed="81"/>
            <rFont val="Tahoma"/>
            <family val="2"/>
          </rPr>
          <t>grunke:</t>
        </r>
        <r>
          <rPr>
            <sz val="8"/>
            <color indexed="81"/>
            <rFont val="Tahoma"/>
            <family val="2"/>
          </rPr>
          <t xml:space="preserve">
legacy MS est.</t>
        </r>
      </text>
    </comment>
    <comment ref="P30" authorId="0">
      <text>
        <r>
          <rPr>
            <b/>
            <sz val="8"/>
            <color indexed="81"/>
            <rFont val="Tahoma"/>
            <family val="2"/>
          </rPr>
          <t>grunke:</t>
        </r>
        <r>
          <rPr>
            <sz val="8"/>
            <color indexed="81"/>
            <rFont val="Tahoma"/>
            <family val="2"/>
          </rPr>
          <t xml:space="preserve">
legacy MS est.</t>
        </r>
      </text>
    </comment>
    <comment ref="Q30" authorId="0">
      <text>
        <r>
          <rPr>
            <b/>
            <sz val="8"/>
            <color indexed="81"/>
            <rFont val="Tahoma"/>
            <family val="2"/>
          </rPr>
          <t>grunke:</t>
        </r>
        <r>
          <rPr>
            <sz val="8"/>
            <color indexed="81"/>
            <rFont val="Tahoma"/>
            <family val="2"/>
          </rPr>
          <t xml:space="preserve">
legacy MS est.</t>
        </r>
      </text>
    </comment>
    <comment ref="R30" authorId="0">
      <text>
        <r>
          <rPr>
            <b/>
            <sz val="8"/>
            <color indexed="81"/>
            <rFont val="Tahoma"/>
            <family val="2"/>
          </rPr>
          <t>grunke:</t>
        </r>
        <r>
          <rPr>
            <sz val="8"/>
            <color indexed="81"/>
            <rFont val="Tahoma"/>
            <family val="2"/>
          </rPr>
          <t xml:space="preserve">
legacy MS est.</t>
        </r>
      </text>
    </comment>
    <comment ref="S30" authorId="0">
      <text>
        <r>
          <rPr>
            <b/>
            <sz val="8"/>
            <color indexed="81"/>
            <rFont val="Tahoma"/>
            <family val="2"/>
          </rPr>
          <t>grunke:</t>
        </r>
        <r>
          <rPr>
            <sz val="8"/>
            <color indexed="81"/>
            <rFont val="Tahoma"/>
            <family val="2"/>
          </rPr>
          <t xml:space="preserve">
legacy MS est.</t>
        </r>
      </text>
    </comment>
    <comment ref="T30" authorId="0">
      <text>
        <r>
          <rPr>
            <b/>
            <sz val="8"/>
            <color indexed="81"/>
            <rFont val="Tahoma"/>
            <family val="2"/>
          </rPr>
          <t>grunke:</t>
        </r>
        <r>
          <rPr>
            <sz val="8"/>
            <color indexed="81"/>
            <rFont val="Tahoma"/>
            <family val="2"/>
          </rPr>
          <t xml:space="preserve">
legacy MS est.</t>
        </r>
      </text>
    </comment>
    <comment ref="W30" authorId="0">
      <text>
        <r>
          <rPr>
            <b/>
            <sz val="8"/>
            <color indexed="81"/>
            <rFont val="Tahoma"/>
            <family val="2"/>
          </rPr>
          <t>grunke:</t>
        </r>
        <r>
          <rPr>
            <sz val="8"/>
            <color indexed="81"/>
            <rFont val="Tahoma"/>
            <family val="2"/>
          </rPr>
          <t xml:space="preserve">
legacy MS est.</t>
        </r>
      </text>
    </comment>
    <comment ref="X30" authorId="0">
      <text>
        <r>
          <rPr>
            <b/>
            <sz val="8"/>
            <color indexed="81"/>
            <rFont val="Tahoma"/>
            <family val="2"/>
          </rPr>
          <t>grunke:</t>
        </r>
        <r>
          <rPr>
            <sz val="8"/>
            <color indexed="81"/>
            <rFont val="Tahoma"/>
            <family val="2"/>
          </rPr>
          <t xml:space="preserve">
legacy MS est.</t>
        </r>
      </text>
    </comment>
    <comment ref="Y30" authorId="0">
      <text>
        <r>
          <rPr>
            <b/>
            <sz val="8"/>
            <color indexed="81"/>
            <rFont val="Tahoma"/>
            <family val="2"/>
          </rPr>
          <t>grunke:</t>
        </r>
        <r>
          <rPr>
            <sz val="8"/>
            <color indexed="81"/>
            <rFont val="Tahoma"/>
            <family val="2"/>
          </rPr>
          <t xml:space="preserve">
legacy MS est.</t>
        </r>
      </text>
    </comment>
    <comment ref="Z30" authorId="0">
      <text>
        <r>
          <rPr>
            <b/>
            <sz val="8"/>
            <color indexed="81"/>
            <rFont val="Tahoma"/>
            <family val="2"/>
          </rPr>
          <t>grunke:</t>
        </r>
        <r>
          <rPr>
            <sz val="8"/>
            <color indexed="81"/>
            <rFont val="Tahoma"/>
            <family val="2"/>
          </rPr>
          <t xml:space="preserve">
legacy MS est.</t>
        </r>
      </text>
    </comment>
    <comment ref="AB30" authorId="0">
      <text>
        <r>
          <rPr>
            <b/>
            <sz val="8"/>
            <color indexed="81"/>
            <rFont val="Tahoma"/>
            <family val="2"/>
          </rPr>
          <t>grunke:</t>
        </r>
        <r>
          <rPr>
            <sz val="8"/>
            <color indexed="81"/>
            <rFont val="Tahoma"/>
            <family val="2"/>
          </rPr>
          <t xml:space="preserve">
legacy MS est.</t>
        </r>
      </text>
    </comment>
    <comment ref="AE30" authorId="0">
      <text>
        <r>
          <rPr>
            <b/>
            <sz val="8"/>
            <color indexed="81"/>
            <rFont val="Tahoma"/>
            <family val="2"/>
          </rPr>
          <t>grunke:</t>
        </r>
        <r>
          <rPr>
            <sz val="8"/>
            <color indexed="81"/>
            <rFont val="Tahoma"/>
            <family val="2"/>
          </rPr>
          <t xml:space="preserve">
legacy MS est.</t>
        </r>
      </text>
    </comment>
    <comment ref="AG30" authorId="0">
      <text>
        <r>
          <rPr>
            <b/>
            <sz val="8"/>
            <color indexed="81"/>
            <rFont val="Tahoma"/>
            <family val="2"/>
          </rPr>
          <t>grunke:</t>
        </r>
        <r>
          <rPr>
            <sz val="8"/>
            <color indexed="81"/>
            <rFont val="Tahoma"/>
            <family val="2"/>
          </rPr>
          <t xml:space="preserve">
not disclosed</t>
        </r>
      </text>
    </comment>
    <comment ref="AH30" authorId="0">
      <text>
        <r>
          <rPr>
            <b/>
            <sz val="8"/>
            <color indexed="81"/>
            <rFont val="Tahoma"/>
            <family val="2"/>
          </rPr>
          <t>grunke:</t>
        </r>
        <r>
          <rPr>
            <sz val="8"/>
            <color indexed="81"/>
            <rFont val="Tahoma"/>
            <family val="2"/>
          </rPr>
          <t xml:space="preserve">
not disclosed</t>
        </r>
      </text>
    </comment>
    <comment ref="AT30" authorId="0">
      <text>
        <r>
          <rPr>
            <b/>
            <sz val="8"/>
            <color indexed="81"/>
            <rFont val="Tahoma"/>
            <family val="2"/>
          </rPr>
          <t>grunke:</t>
        </r>
        <r>
          <rPr>
            <sz val="8"/>
            <color indexed="81"/>
            <rFont val="Tahoma"/>
            <family val="2"/>
          </rPr>
          <t xml:space="preserve">
MS est.</t>
        </r>
      </text>
    </comment>
    <comment ref="AU30" authorId="0">
      <text>
        <r>
          <rPr>
            <b/>
            <sz val="8"/>
            <color indexed="81"/>
            <rFont val="Tahoma"/>
            <family val="2"/>
          </rPr>
          <t>grunke:</t>
        </r>
        <r>
          <rPr>
            <sz val="8"/>
            <color indexed="81"/>
            <rFont val="Tahoma"/>
            <family val="2"/>
          </rPr>
          <t xml:space="preserve">
includes rounding to tie out to CLX's 4.4% organic growth </t>
        </r>
      </text>
    </comment>
    <comment ref="AW30" authorId="0">
      <text>
        <r>
          <rPr>
            <b/>
            <sz val="8"/>
            <color indexed="81"/>
            <rFont val="Tahoma"/>
            <family val="2"/>
          </rPr>
          <t>grunke:</t>
        </r>
        <r>
          <rPr>
            <sz val="8"/>
            <color indexed="81"/>
            <rFont val="Tahoma"/>
            <family val="2"/>
          </rPr>
          <t xml:space="preserve">
CLX reported +1.7% - includes rounding to tie out to CLX reported org growth</t>
        </r>
      </text>
    </comment>
    <comment ref="BB30" authorId="0">
      <text>
        <r>
          <rPr>
            <b/>
            <sz val="8"/>
            <color indexed="81"/>
            <rFont val="Tahoma"/>
            <family val="2"/>
          </rPr>
          <t>grunke:</t>
        </r>
        <r>
          <rPr>
            <sz val="8"/>
            <color indexed="81"/>
            <rFont val="Tahoma"/>
            <family val="2"/>
          </rPr>
          <t xml:space="preserve">
VZ -2.9%
All other +0.7%</t>
        </r>
      </text>
    </comment>
    <comment ref="BT30" authorId="6">
      <text>
        <r>
          <rPr>
            <b/>
            <sz val="8"/>
            <color indexed="81"/>
            <rFont val="Tahoma"/>
            <family val="2"/>
          </rPr>
          <t>cruzv:</t>
        </r>
        <r>
          <rPr>
            <sz val="8"/>
            <color indexed="81"/>
            <rFont val="Tahoma"/>
            <family val="2"/>
          </rPr>
          <t xml:space="preserve">
At least -2% headwind</t>
        </r>
      </text>
    </comment>
    <comment ref="BY30" authorId="5">
      <text>
        <r>
          <rPr>
            <b/>
            <sz val="8"/>
            <color indexed="81"/>
            <rFont val="Tahoma"/>
            <family val="2"/>
          </rPr>
          <t xml:space="preserve">doctobob:
</t>
        </r>
        <r>
          <rPr>
            <sz val="8"/>
            <color indexed="81"/>
            <rFont val="Tahoma"/>
            <family val="2"/>
          </rPr>
          <t>2-3</t>
        </r>
      </text>
    </comment>
    <comment ref="CD30" authorId="7">
      <text>
        <r>
          <rPr>
            <b/>
            <sz val="9"/>
            <color indexed="81"/>
            <rFont val="Tahoma"/>
            <family val="2"/>
          </rPr>
          <t>Fitzgerald, Kyle (Research):</t>
        </r>
        <r>
          <rPr>
            <sz val="9"/>
            <color indexed="81"/>
            <rFont val="Tahoma"/>
            <family val="2"/>
          </rPr>
          <t xml:space="preserve">
3 points, but about half from anticipated Arg devaluation</t>
        </r>
      </text>
    </comment>
    <comment ref="CI30" authorId="3">
      <text>
        <r>
          <rPr>
            <b/>
            <sz val="9"/>
            <color indexed="81"/>
            <rFont val="Tahoma"/>
            <family val="2"/>
          </rPr>
          <t>Doctor, Bob (Research):</t>
        </r>
        <r>
          <rPr>
            <sz val="9"/>
            <color indexed="81"/>
            <rFont val="Tahoma"/>
            <family val="2"/>
          </rPr>
          <t xml:space="preserve">
3Q: -1%
2Q:- 1 to -2%
-2%</t>
        </r>
      </text>
    </comment>
    <comment ref="CN30" authorId="4">
      <text>
        <r>
          <rPr>
            <b/>
            <sz val="9"/>
            <color indexed="81"/>
            <rFont val="Tahoma"/>
            <family val="2"/>
          </rPr>
          <t>Falorni, Filippo (Research):</t>
        </r>
        <r>
          <rPr>
            <sz val="9"/>
            <color indexed="81"/>
            <rFont val="Tahoma"/>
            <family val="2"/>
          </rPr>
          <t xml:space="preserve">
G at FQ417: -1%</t>
        </r>
      </text>
    </comment>
    <comment ref="H31" authorId="0">
      <text>
        <r>
          <rPr>
            <b/>
            <sz val="8"/>
            <color indexed="81"/>
            <rFont val="Tahoma"/>
            <family val="2"/>
          </rPr>
          <t>grunke:</t>
        </r>
        <r>
          <rPr>
            <sz val="8"/>
            <color indexed="81"/>
            <rFont val="Tahoma"/>
            <family val="2"/>
          </rPr>
          <t xml:space="preserve">
volume impact only, price not provided</t>
        </r>
      </text>
    </comment>
    <comment ref="I31" authorId="0">
      <text>
        <r>
          <rPr>
            <b/>
            <sz val="8"/>
            <color indexed="81"/>
            <rFont val="Tahoma"/>
            <family val="2"/>
          </rPr>
          <t>grunke:</t>
        </r>
        <r>
          <rPr>
            <sz val="8"/>
            <color indexed="81"/>
            <rFont val="Tahoma"/>
            <family val="2"/>
          </rPr>
          <t xml:space="preserve">
volume impact only, price not provided</t>
        </r>
      </text>
    </comment>
    <comment ref="J31" authorId="0">
      <text>
        <r>
          <rPr>
            <b/>
            <sz val="8"/>
            <color indexed="81"/>
            <rFont val="Tahoma"/>
            <family val="2"/>
          </rPr>
          <t>grunke:</t>
        </r>
        <r>
          <rPr>
            <sz val="8"/>
            <color indexed="81"/>
            <rFont val="Tahoma"/>
            <family val="2"/>
          </rPr>
          <t xml:space="preserve">
volume impact only, price not provided</t>
        </r>
      </text>
    </comment>
    <comment ref="K31" authorId="0">
      <text>
        <r>
          <rPr>
            <b/>
            <sz val="8"/>
            <color indexed="81"/>
            <rFont val="Tahoma"/>
            <family val="2"/>
          </rPr>
          <t>grunke:</t>
        </r>
        <r>
          <rPr>
            <sz val="8"/>
            <color indexed="81"/>
            <rFont val="Tahoma"/>
            <family val="2"/>
          </rPr>
          <t xml:space="preserve">
volume impact only, price not provided</t>
        </r>
      </text>
    </comment>
    <comment ref="L31" authorId="0">
      <text>
        <r>
          <rPr>
            <b/>
            <sz val="8"/>
            <color indexed="81"/>
            <rFont val="Tahoma"/>
            <family val="2"/>
          </rPr>
          <t>grunke:</t>
        </r>
        <r>
          <rPr>
            <sz val="8"/>
            <color indexed="81"/>
            <rFont val="Tahoma"/>
            <family val="2"/>
          </rPr>
          <t xml:space="preserve">
volume impact only, price not provided</t>
        </r>
      </text>
    </comment>
    <comment ref="M31" authorId="0">
      <text>
        <r>
          <rPr>
            <b/>
            <sz val="8"/>
            <color indexed="81"/>
            <rFont val="Tahoma"/>
            <family val="2"/>
          </rPr>
          <t>grunke:</t>
        </r>
        <r>
          <rPr>
            <sz val="8"/>
            <color indexed="81"/>
            <rFont val="Tahoma"/>
            <family val="2"/>
          </rPr>
          <t xml:space="preserve">
volume impact only, price not provided</t>
        </r>
      </text>
    </comment>
    <comment ref="N31" authorId="0">
      <text>
        <r>
          <rPr>
            <b/>
            <sz val="8"/>
            <color indexed="81"/>
            <rFont val="Tahoma"/>
            <family val="2"/>
          </rPr>
          <t>grunke:</t>
        </r>
        <r>
          <rPr>
            <sz val="8"/>
            <color indexed="81"/>
            <rFont val="Tahoma"/>
            <family val="2"/>
          </rPr>
          <t xml:space="preserve">
volume impact only, price not provided</t>
        </r>
      </text>
    </comment>
    <comment ref="O31" authorId="0">
      <text>
        <r>
          <rPr>
            <b/>
            <sz val="8"/>
            <color indexed="81"/>
            <rFont val="Tahoma"/>
            <family val="2"/>
          </rPr>
          <t>grunke:</t>
        </r>
        <r>
          <rPr>
            <sz val="8"/>
            <color indexed="81"/>
            <rFont val="Tahoma"/>
            <family val="2"/>
          </rPr>
          <t xml:space="preserve">
volume impact only, price not provided</t>
        </r>
      </text>
    </comment>
    <comment ref="P31" authorId="0">
      <text>
        <r>
          <rPr>
            <b/>
            <sz val="8"/>
            <color indexed="81"/>
            <rFont val="Tahoma"/>
            <family val="2"/>
          </rPr>
          <t>grunke:</t>
        </r>
        <r>
          <rPr>
            <sz val="8"/>
            <color indexed="81"/>
            <rFont val="Tahoma"/>
            <family val="2"/>
          </rPr>
          <t xml:space="preserve">
volume impact only, price not provided</t>
        </r>
      </text>
    </comment>
    <comment ref="Q31" authorId="0">
      <text>
        <r>
          <rPr>
            <b/>
            <sz val="8"/>
            <color indexed="81"/>
            <rFont val="Tahoma"/>
            <family val="2"/>
          </rPr>
          <t>grunke:</t>
        </r>
        <r>
          <rPr>
            <sz val="8"/>
            <color indexed="81"/>
            <rFont val="Tahoma"/>
            <family val="2"/>
          </rPr>
          <t xml:space="preserve">
volume impact only, price not provided</t>
        </r>
      </text>
    </comment>
    <comment ref="R31" authorId="0">
      <text>
        <r>
          <rPr>
            <b/>
            <sz val="8"/>
            <color indexed="81"/>
            <rFont val="Tahoma"/>
            <family val="2"/>
          </rPr>
          <t>grunke:</t>
        </r>
        <r>
          <rPr>
            <sz val="8"/>
            <color indexed="81"/>
            <rFont val="Tahoma"/>
            <family val="2"/>
          </rPr>
          <t xml:space="preserve">
transferred biz to Henkel and Cat Litter divestitures</t>
        </r>
      </text>
    </comment>
    <comment ref="S31" authorId="0">
      <text>
        <r>
          <rPr>
            <b/>
            <sz val="8"/>
            <color indexed="81"/>
            <rFont val="Tahoma"/>
            <family val="2"/>
          </rPr>
          <t>grunke:</t>
        </r>
        <r>
          <rPr>
            <sz val="8"/>
            <color indexed="81"/>
            <rFont val="Tahoma"/>
            <family val="2"/>
          </rPr>
          <t xml:space="preserve">
transferred biz to Henkel and Cat Litter divestitures</t>
        </r>
      </text>
    </comment>
    <comment ref="T31" authorId="0">
      <text>
        <r>
          <rPr>
            <b/>
            <sz val="8"/>
            <color indexed="81"/>
            <rFont val="Tahoma"/>
            <family val="2"/>
          </rPr>
          <t>grunke:</t>
        </r>
        <r>
          <rPr>
            <sz val="8"/>
            <color indexed="81"/>
            <rFont val="Tahoma"/>
            <family val="2"/>
          </rPr>
          <t xml:space="preserve">
transferred biz to Henkel and Cat Litter divestitures</t>
        </r>
      </text>
    </comment>
    <comment ref="U31" authorId="0">
      <text>
        <r>
          <rPr>
            <b/>
            <sz val="8"/>
            <color indexed="81"/>
            <rFont val="Tahoma"/>
            <family val="2"/>
          </rPr>
          <t>grunke:</t>
        </r>
        <r>
          <rPr>
            <sz val="8"/>
            <color indexed="81"/>
            <rFont val="Tahoma"/>
            <family val="2"/>
          </rPr>
          <t xml:space="preserve">
transferred biz to Henkel and Cat Litter divestitures</t>
        </r>
      </text>
    </comment>
    <comment ref="V31" authorId="0">
      <text>
        <r>
          <rPr>
            <b/>
            <sz val="8"/>
            <color indexed="81"/>
            <rFont val="Tahoma"/>
            <family val="2"/>
          </rPr>
          <t>grunke:</t>
        </r>
        <r>
          <rPr>
            <sz val="8"/>
            <color indexed="81"/>
            <rFont val="Tahoma"/>
            <family val="2"/>
          </rPr>
          <t xml:space="preserve">
transferred biz to Henkel and Cat Litter divestitures</t>
        </r>
      </text>
    </comment>
    <comment ref="AI31" authorId="0">
      <text>
        <r>
          <rPr>
            <b/>
            <sz val="8"/>
            <color indexed="81"/>
            <rFont val="Tahoma"/>
            <family val="2"/>
          </rPr>
          <t>grunke:</t>
        </r>
        <r>
          <rPr>
            <sz val="8"/>
            <color indexed="81"/>
            <rFont val="Tahoma"/>
            <family val="2"/>
          </rPr>
          <t xml:space="preserve">
Bleach biz
The Company purchased bleach businesses in Canada, effective December 29, 2006, and in certain Latin American countries, effective February 28, 2007, for an aggregate price of $123, with the objective of expanding its global bleach business. </t>
        </r>
      </text>
    </comment>
    <comment ref="AJ31" authorId="0">
      <text>
        <r>
          <rPr>
            <b/>
            <sz val="8"/>
            <color indexed="81"/>
            <rFont val="Tahoma"/>
            <family val="2"/>
          </rPr>
          <t>grunke:</t>
        </r>
        <r>
          <rPr>
            <sz val="8"/>
            <color indexed="81"/>
            <rFont val="Tahoma"/>
            <family val="2"/>
          </rPr>
          <t xml:space="preserve">
bleach biz</t>
        </r>
      </text>
    </comment>
    <comment ref="AK31" authorId="0">
      <text>
        <r>
          <rPr>
            <b/>
            <sz val="8"/>
            <color indexed="81"/>
            <rFont val="Tahoma"/>
            <family val="2"/>
          </rPr>
          <t>grunke:</t>
        </r>
        <r>
          <rPr>
            <sz val="8"/>
            <color indexed="81"/>
            <rFont val="Tahoma"/>
            <family val="2"/>
          </rPr>
          <t xml:space="preserve">
Bleach biz</t>
        </r>
      </text>
    </comment>
    <comment ref="AL31" authorId="0">
      <text>
        <r>
          <rPr>
            <b/>
            <sz val="8"/>
            <color indexed="81"/>
            <rFont val="Tahoma"/>
            <family val="2"/>
          </rPr>
          <t>grunke:</t>
        </r>
        <r>
          <rPr>
            <sz val="8"/>
            <color indexed="81"/>
            <rFont val="Tahoma"/>
            <family val="2"/>
          </rPr>
          <t xml:space="preserve">
Bleach biz +1.9%
Exit from PL biz -0.1%</t>
        </r>
      </text>
    </comment>
    <comment ref="AM31" authorId="0">
      <text>
        <r>
          <rPr>
            <b/>
            <sz val="8"/>
            <color indexed="81"/>
            <rFont val="Tahoma"/>
            <family val="2"/>
          </rPr>
          <t>grunke:</t>
        </r>
        <r>
          <rPr>
            <sz val="8"/>
            <color indexed="81"/>
            <rFont val="Tahoma"/>
            <family val="2"/>
          </rPr>
          <t xml:space="preserve">
Burt's +1.3%
Bleach acq +1.5%</t>
        </r>
      </text>
    </comment>
    <comment ref="AN31" authorId="0">
      <text>
        <r>
          <rPr>
            <b/>
            <sz val="8"/>
            <color indexed="81"/>
            <rFont val="Tahoma"/>
            <family val="2"/>
          </rPr>
          <t>grunke:</t>
        </r>
        <r>
          <rPr>
            <sz val="8"/>
            <color indexed="81"/>
            <rFont val="Tahoma"/>
            <family val="2"/>
          </rPr>
          <t xml:space="preserve">
Burt's 3.7%
Bleach acquisition +0.5%
Exit PL business -0.1%</t>
        </r>
      </text>
    </comment>
    <comment ref="AO31" authorId="0">
      <text>
        <r>
          <rPr>
            <b/>
            <sz val="8"/>
            <color indexed="81"/>
            <rFont val="Tahoma"/>
            <family val="2"/>
          </rPr>
          <t>grunke:</t>
        </r>
        <r>
          <rPr>
            <sz val="8"/>
            <color indexed="81"/>
            <rFont val="Tahoma"/>
            <family val="2"/>
          </rPr>
          <t xml:space="preserve">
Burt's +2.9%
Exit PL biz -0.3%</t>
        </r>
      </text>
    </comment>
    <comment ref="AP31" authorId="0">
      <text>
        <r>
          <rPr>
            <b/>
            <sz val="8"/>
            <color indexed="81"/>
            <rFont val="Tahoma"/>
            <family val="2"/>
          </rPr>
          <t>grunke:</t>
        </r>
        <r>
          <rPr>
            <sz val="8"/>
            <color indexed="81"/>
            <rFont val="Tahoma"/>
            <family val="2"/>
          </rPr>
          <t xml:space="preserve">
Burts +2.1%
Bleach Biz +0.9%
Exit PL biz -0.1%</t>
        </r>
      </text>
    </comment>
    <comment ref="AQ31" authorId="0">
      <text>
        <r>
          <rPr>
            <b/>
            <sz val="8"/>
            <color indexed="81"/>
            <rFont val="Tahoma"/>
            <family val="2"/>
          </rPr>
          <t>grunke:</t>
        </r>
        <r>
          <rPr>
            <sz val="8"/>
            <color indexed="81"/>
            <rFont val="Tahoma"/>
            <family val="2"/>
          </rPr>
          <t xml:space="preserve">
Burt's +3.4
PL exit -0.4%</t>
        </r>
      </text>
    </comment>
    <comment ref="AR31" authorId="0">
      <text>
        <r>
          <rPr>
            <b/>
            <sz val="8"/>
            <color indexed="81"/>
            <rFont val="Tahoma"/>
            <family val="2"/>
          </rPr>
          <t>grunke:</t>
        </r>
        <r>
          <rPr>
            <sz val="8"/>
            <color indexed="81"/>
            <rFont val="Tahoma"/>
            <family val="2"/>
          </rPr>
          <t xml:space="preserve">
Burt's +2.9%
Exit of PL food business est. -0.8%</t>
        </r>
      </text>
    </comment>
    <comment ref="AS31" authorId="0">
      <text>
        <r>
          <rPr>
            <b/>
            <sz val="8"/>
            <color indexed="81"/>
            <rFont val="Tahoma"/>
            <family val="2"/>
          </rPr>
          <t>grunke:</t>
        </r>
        <r>
          <rPr>
            <sz val="8"/>
            <color indexed="81"/>
            <rFont val="Tahoma"/>
            <family val="2"/>
          </rPr>
          <t xml:space="preserve">
est. exit from PL business</t>
        </r>
      </text>
    </comment>
    <comment ref="AT31" authorId="0">
      <text>
        <r>
          <rPr>
            <b/>
            <sz val="8"/>
            <color indexed="81"/>
            <rFont val="Tahoma"/>
            <family val="2"/>
          </rPr>
          <t>grunke:</t>
        </r>
        <r>
          <rPr>
            <sz val="8"/>
            <color indexed="81"/>
            <rFont val="Tahoma"/>
            <family val="2"/>
          </rPr>
          <t xml:space="preserve">
est. exit from PL business</t>
        </r>
      </text>
    </comment>
    <comment ref="AU31" authorId="0">
      <text>
        <r>
          <rPr>
            <b/>
            <sz val="8"/>
            <color indexed="81"/>
            <rFont val="Tahoma"/>
            <family val="2"/>
          </rPr>
          <t>grunke:</t>
        </r>
        <r>
          <rPr>
            <sz val="8"/>
            <color indexed="81"/>
            <rFont val="Tahoma"/>
            <family val="2"/>
          </rPr>
          <t xml:space="preserve">
Burts +1.5%
Exit PL -0.6%</t>
        </r>
      </text>
    </comment>
    <comment ref="AV31" authorId="0">
      <text>
        <r>
          <rPr>
            <sz val="8"/>
            <color indexed="81"/>
            <rFont val="Tahoma"/>
            <family val="2"/>
          </rPr>
          <t>est. exit from PL business and auto care divestiture</t>
        </r>
      </text>
    </comment>
    <comment ref="AW31" authorId="1">
      <text>
        <r>
          <rPr>
            <b/>
            <sz val="8"/>
            <color indexed="81"/>
            <rFont val="Tahoma"/>
            <family val="2"/>
          </rPr>
          <t>mukeruma:</t>
        </r>
        <r>
          <rPr>
            <sz val="8"/>
            <color indexed="81"/>
            <rFont val="Tahoma"/>
            <family val="2"/>
          </rPr>
          <t xml:space="preserve">
autocare</t>
        </r>
      </text>
    </comment>
    <comment ref="AX31" authorId="0">
      <text>
        <r>
          <rPr>
            <b/>
            <sz val="8"/>
            <color indexed="81"/>
            <rFont val="Tahoma"/>
            <family val="2"/>
          </rPr>
          <t>grunke:</t>
        </r>
        <r>
          <rPr>
            <sz val="8"/>
            <color indexed="81"/>
            <rFont val="Tahoma"/>
            <family val="2"/>
          </rPr>
          <t xml:space="preserve">
does not include Caltech - impact was est at $3M</t>
        </r>
      </text>
    </comment>
    <comment ref="AY31" authorId="0">
      <text>
        <r>
          <rPr>
            <b/>
            <sz val="8"/>
            <color indexed="81"/>
            <rFont val="Tahoma"/>
            <family val="2"/>
          </rPr>
          <t>grunke:</t>
        </r>
        <r>
          <rPr>
            <sz val="8"/>
            <color indexed="81"/>
            <rFont val="Tahoma"/>
            <family val="2"/>
          </rPr>
          <t xml:space="preserve">
does not include Caltech - impact was est at $3M</t>
        </r>
      </text>
    </comment>
    <comment ref="AZ31" authorId="0">
      <text>
        <r>
          <rPr>
            <sz val="8"/>
            <color indexed="81"/>
            <rFont val="Tahoma"/>
            <family val="2"/>
          </rPr>
          <t>est. exit from PL business and auto care divestiture</t>
        </r>
      </text>
    </comment>
    <comment ref="BB31" authorId="0">
      <text>
        <r>
          <rPr>
            <b/>
            <sz val="8"/>
            <color indexed="81"/>
            <rFont val="Tahoma"/>
            <family val="2"/>
          </rPr>
          <t>grunke:</t>
        </r>
        <r>
          <rPr>
            <sz val="8"/>
            <color indexed="81"/>
            <rFont val="Tahoma"/>
            <family val="2"/>
          </rPr>
          <t xml:space="preserve">
includes rounding/customer pick up allowance (-50bps reported impact) </t>
        </r>
      </text>
    </comment>
    <comment ref="BD31" authorId="0">
      <text>
        <r>
          <rPr>
            <b/>
            <sz val="8"/>
            <color indexed="81"/>
            <rFont val="Tahoma"/>
            <family val="2"/>
          </rPr>
          <t>grunke:</t>
        </r>
        <r>
          <rPr>
            <sz val="8"/>
            <color indexed="81"/>
            <rFont val="Tahoma"/>
            <family val="2"/>
          </rPr>
          <t xml:space="preserve">
assumes auto care sales flat YoY</t>
        </r>
      </text>
    </comment>
    <comment ref="CC31" authorId="3">
      <text>
        <r>
          <rPr>
            <b/>
            <sz val="9"/>
            <color indexed="81"/>
            <rFont val="Tahoma"/>
            <family val="2"/>
          </rPr>
          <t>Doctor, Bob (Research):</t>
        </r>
        <r>
          <rPr>
            <sz val="9"/>
            <color indexed="81"/>
            <rFont val="Tahoma"/>
            <family val="2"/>
          </rPr>
          <t xml:space="preserve">
more than 1 pt from renew</t>
        </r>
      </text>
    </comment>
    <comment ref="CD31" authorId="3">
      <text>
        <r>
          <rPr>
            <b/>
            <sz val="9"/>
            <color indexed="81"/>
            <rFont val="Tahoma"/>
            <family val="2"/>
          </rPr>
          <t>Doctor, Bob (Research):</t>
        </r>
        <r>
          <rPr>
            <sz val="9"/>
            <color indexed="81"/>
            <rFont val="Tahoma"/>
            <family val="2"/>
          </rPr>
          <t xml:space="preserve">
half point</t>
        </r>
      </text>
    </comment>
    <comment ref="CI31" authorId="3">
      <text>
        <r>
          <rPr>
            <b/>
            <sz val="9"/>
            <color indexed="81"/>
            <rFont val="Tahoma"/>
            <family val="2"/>
          </rPr>
          <t>Doctor, Bob (Research):</t>
        </r>
        <r>
          <rPr>
            <sz val="9"/>
            <color indexed="81"/>
            <rFont val="Tahoma"/>
            <family val="2"/>
          </rPr>
          <t xml:space="preserve">
2</t>
        </r>
      </text>
    </comment>
    <comment ref="CJ31" authorId="4">
      <text>
        <r>
          <rPr>
            <b/>
            <sz val="9"/>
            <color indexed="81"/>
            <rFont val="Tahoma"/>
            <family val="2"/>
          </rPr>
          <t>Falorni, Filippo (Research):</t>
        </r>
        <r>
          <rPr>
            <sz val="9"/>
            <color indexed="81"/>
            <rFont val="Tahoma"/>
            <family val="2"/>
          </rPr>
          <t xml:space="preserve">
F1Q18 (call): less than half a point</t>
        </r>
      </text>
    </comment>
    <comment ref="CN31" authorId="4">
      <text>
        <r>
          <rPr>
            <b/>
            <sz val="9"/>
            <color indexed="81"/>
            <rFont val="Tahoma"/>
            <family val="2"/>
          </rPr>
          <t>Falorni, Filippo (Research):</t>
        </r>
        <r>
          <rPr>
            <sz val="9"/>
            <color indexed="81"/>
            <rFont val="Tahoma"/>
            <family val="2"/>
          </rPr>
          <t xml:space="preserve">
G at F1Q18: -1% (Aplicare divestiture)</t>
        </r>
      </text>
    </comment>
    <comment ref="BT32" authorId="6">
      <text>
        <r>
          <rPr>
            <b/>
            <sz val="8"/>
            <color indexed="81"/>
            <rFont val="Tahoma"/>
            <family val="2"/>
          </rPr>
          <t>cruzv:</t>
        </r>
        <r>
          <rPr>
            <sz val="8"/>
            <color indexed="81"/>
            <rFont val="Tahoma"/>
            <family val="2"/>
          </rPr>
          <t xml:space="preserve">
down slightly</t>
        </r>
      </text>
    </comment>
    <comment ref="BY32" authorId="5">
      <text>
        <r>
          <rPr>
            <b/>
            <sz val="8"/>
            <color indexed="81"/>
            <rFont val="Tahoma"/>
            <family val="2"/>
          </rPr>
          <t>doctobob:</t>
        </r>
        <r>
          <rPr>
            <sz val="8"/>
            <color indexed="81"/>
            <rFont val="Tahoma"/>
            <family val="2"/>
          </rPr>
          <t xml:space="preserve">
flat</t>
        </r>
      </text>
    </comment>
    <comment ref="CD32" authorId="7">
      <text>
        <r>
          <rPr>
            <b/>
            <sz val="9"/>
            <color indexed="81"/>
            <rFont val="Tahoma"/>
            <family val="2"/>
          </rPr>
          <t>Fitzgerald, Kyle (Research):</t>
        </r>
        <r>
          <rPr>
            <sz val="9"/>
            <color indexed="81"/>
            <rFont val="Tahoma"/>
            <family val="2"/>
          </rPr>
          <t xml:space="preserve">
flat to +1% (assuming 3 pts FX: 1.5 pts from Arg deval)</t>
        </r>
      </text>
    </comment>
    <comment ref="CN32" authorId="4">
      <text>
        <r>
          <rPr>
            <b/>
            <sz val="9"/>
            <color indexed="81"/>
            <rFont val="Tahoma"/>
            <family val="2"/>
          </rPr>
          <t>Falorni, Filippo (Research):</t>
        </r>
        <r>
          <rPr>
            <sz val="9"/>
            <color indexed="81"/>
            <rFont val="Tahoma"/>
            <family val="2"/>
          </rPr>
          <t xml:space="preserve">
G at F1Q18: +1-3%
G at FQ417: +2-4%</t>
        </r>
      </text>
    </comment>
    <comment ref="AV33" authorId="0">
      <text>
        <r>
          <rPr>
            <b/>
            <sz val="8"/>
            <color indexed="81"/>
            <rFont val="Tahoma"/>
            <family val="2"/>
          </rPr>
          <t>grunke:</t>
        </r>
        <r>
          <rPr>
            <sz val="8"/>
            <color indexed="81"/>
            <rFont val="Tahoma"/>
            <family val="2"/>
          </rPr>
          <t xml:space="preserve">
includes 2 pt lift from H1N1</t>
        </r>
      </text>
    </comment>
    <comment ref="BD33" authorId="1">
      <text>
        <r>
          <rPr>
            <b/>
            <sz val="8"/>
            <color indexed="81"/>
            <rFont val="Tahoma"/>
            <family val="2"/>
          </rPr>
          <t>mukeruma:</t>
        </r>
        <r>
          <rPr>
            <sz val="8"/>
            <color indexed="81"/>
            <rFont val="Tahoma"/>
            <family val="2"/>
          </rPr>
          <t xml:space="preserve">
3.2% excluding Wal-Mart allowance issue</t>
        </r>
      </text>
    </comment>
    <comment ref="BT33" authorId="6">
      <text>
        <r>
          <rPr>
            <b/>
            <sz val="8"/>
            <color indexed="81"/>
            <rFont val="Tahoma"/>
            <family val="2"/>
          </rPr>
          <t>cruzv:</t>
        </r>
        <r>
          <rPr>
            <sz val="8"/>
            <color indexed="81"/>
            <rFont val="Tahoma"/>
            <family val="2"/>
          </rPr>
          <t xml:space="preserve">
2%  guidance</t>
        </r>
      </text>
    </comment>
    <comment ref="BY33" authorId="5">
      <text>
        <r>
          <rPr>
            <b/>
            <sz val="8"/>
            <color indexed="81"/>
            <rFont val="Tahoma"/>
            <family val="2"/>
          </rPr>
          <t>doctobob:</t>
        </r>
        <r>
          <rPr>
            <sz val="8"/>
            <color indexed="81"/>
            <rFont val="Tahoma"/>
            <family val="2"/>
          </rPr>
          <t xml:space="preserve">
3-4%</t>
        </r>
      </text>
    </comment>
    <comment ref="CK33" authorId="4">
      <text>
        <r>
          <rPr>
            <b/>
            <sz val="9"/>
            <color indexed="81"/>
            <rFont val="Tahoma"/>
            <family val="2"/>
          </rPr>
          <t>Falorni, Filippo (Research):</t>
        </r>
        <r>
          <rPr>
            <sz val="9"/>
            <color indexed="81"/>
            <rFont val="Tahoma"/>
            <family val="2"/>
          </rPr>
          <t xml:space="preserve">
-1% from inventory retailer adjustments and supply contraint, that will move to Q3</t>
        </r>
      </text>
    </comment>
    <comment ref="CL33" authorId="4">
      <text>
        <r>
          <rPr>
            <b/>
            <sz val="9"/>
            <color indexed="81"/>
            <rFont val="Tahoma"/>
            <family val="2"/>
          </rPr>
          <t>Falorni, Filippo (Research):</t>
        </r>
        <r>
          <rPr>
            <sz val="9"/>
            <color indexed="81"/>
            <rFont val="Tahoma"/>
            <family val="2"/>
          </rPr>
          <t xml:space="preserve">
Inventory shipments from Q2 into Q3, ~1 point</t>
        </r>
      </text>
    </comment>
    <comment ref="CN33" authorId="4">
      <text>
        <r>
          <rPr>
            <b/>
            <sz val="9"/>
            <color indexed="81"/>
            <rFont val="Tahoma"/>
            <family val="2"/>
          </rPr>
          <t>Falorni, Filippo (Research):</t>
        </r>
        <r>
          <rPr>
            <sz val="9"/>
            <color indexed="81"/>
            <rFont val="Tahoma"/>
            <family val="2"/>
          </rPr>
          <t xml:space="preserve">
G at F1Q18: +3-5% (ex-FX and Aplicare)
G at FQ417: +3-5% ex-FX</t>
        </r>
      </text>
    </comment>
    <comment ref="CC38" authorId="7">
      <text>
        <r>
          <rPr>
            <b/>
            <sz val="9"/>
            <color indexed="81"/>
            <rFont val="Tahoma"/>
            <family val="2"/>
          </rPr>
          <t>Fitzgerald, Kyle (Research):</t>
        </r>
        <r>
          <rPr>
            <sz val="9"/>
            <color indexed="81"/>
            <rFont val="Tahoma"/>
            <family val="2"/>
          </rPr>
          <t xml:space="preserve">
Costco wipes distribution gain</t>
        </r>
      </text>
    </comment>
    <comment ref="CJ38" authorId="4">
      <text>
        <r>
          <rPr>
            <b/>
            <sz val="9"/>
            <color indexed="81"/>
            <rFont val="Tahoma"/>
            <family val="2"/>
          </rPr>
          <t>Falorni, Filippo (Research):</t>
        </r>
        <r>
          <rPr>
            <sz val="9"/>
            <color indexed="81"/>
            <rFont val="Tahoma"/>
            <family val="2"/>
          </rPr>
          <t xml:space="preserve">
benefit of </t>
        </r>
        <r>
          <rPr>
            <u/>
            <sz val="9"/>
            <color indexed="81"/>
            <rFont val="Tahoma"/>
            <family val="2"/>
          </rPr>
          <t>less than 2 points</t>
        </r>
        <r>
          <rPr>
            <sz val="9"/>
            <color indexed="81"/>
            <rFont val="Tahoma"/>
            <family val="2"/>
          </rPr>
          <t xml:space="preserve"> from incremental shipments of bleach and cleaning products related to hurricane recovery</t>
        </r>
      </text>
    </comment>
    <comment ref="AP39" authorId="0">
      <text>
        <r>
          <rPr>
            <b/>
            <sz val="8"/>
            <color indexed="81"/>
            <rFont val="Tahoma"/>
            <family val="2"/>
          </rPr>
          <t>grunke:</t>
        </r>
        <r>
          <rPr>
            <sz val="8"/>
            <color indexed="81"/>
            <rFont val="Tahoma"/>
            <family val="2"/>
          </rPr>
          <t xml:space="preserve">
0.5% pricing and 0.5% rounding</t>
        </r>
      </text>
    </comment>
    <comment ref="AU39" authorId="0">
      <text>
        <r>
          <rPr>
            <b/>
            <sz val="8"/>
            <color indexed="81"/>
            <rFont val="Tahoma"/>
            <family val="2"/>
          </rPr>
          <t>grunke:</t>
        </r>
        <r>
          <rPr>
            <sz val="8"/>
            <color indexed="81"/>
            <rFont val="Tahoma"/>
            <family val="2"/>
          </rPr>
          <t xml:space="preserve">
CLX 10-K 
price increases = 4% and rounding of 2%</t>
        </r>
      </text>
    </comment>
    <comment ref="BA39" authorId="0">
      <text>
        <r>
          <rPr>
            <b/>
            <sz val="8"/>
            <color indexed="81"/>
            <rFont val="Tahoma"/>
            <family val="2"/>
          </rPr>
          <t>grunke:</t>
        </r>
        <r>
          <rPr>
            <sz val="8"/>
            <color indexed="81"/>
            <rFont val="Tahoma"/>
            <family val="2"/>
          </rPr>
          <t xml:space="preserve">
-110 bp from higher promo
-80 from mix</t>
        </r>
      </text>
    </comment>
    <comment ref="AV40" authorId="1">
      <text>
        <r>
          <rPr>
            <b/>
            <sz val="8"/>
            <color indexed="81"/>
            <rFont val="Tahoma"/>
            <family val="2"/>
          </rPr>
          <t>mukeruma:</t>
        </r>
        <r>
          <rPr>
            <sz val="8"/>
            <color indexed="81"/>
            <rFont val="Tahoma"/>
            <family val="2"/>
          </rPr>
          <t xml:space="preserve">
autocare</t>
        </r>
      </text>
    </comment>
    <comment ref="AW40" authorId="1">
      <text>
        <r>
          <rPr>
            <b/>
            <sz val="8"/>
            <color indexed="81"/>
            <rFont val="Tahoma"/>
            <family val="2"/>
          </rPr>
          <t>mukeruma:</t>
        </r>
        <r>
          <rPr>
            <sz val="8"/>
            <color indexed="81"/>
            <rFont val="Tahoma"/>
            <family val="2"/>
          </rPr>
          <t xml:space="preserve">
autocare</t>
        </r>
      </text>
    </comment>
    <comment ref="AX40" authorId="1">
      <text>
        <r>
          <rPr>
            <b/>
            <sz val="8"/>
            <color indexed="81"/>
            <rFont val="Tahoma"/>
            <family val="2"/>
          </rPr>
          <t>mukeruma:</t>
        </r>
        <r>
          <rPr>
            <sz val="8"/>
            <color indexed="81"/>
            <rFont val="Tahoma"/>
            <family val="2"/>
          </rPr>
          <t xml:space="preserve">
autocare</t>
        </r>
      </text>
    </comment>
    <comment ref="AY40" authorId="1">
      <text>
        <r>
          <rPr>
            <b/>
            <sz val="8"/>
            <color indexed="81"/>
            <rFont val="Tahoma"/>
            <family val="2"/>
          </rPr>
          <t>mukeruma:</t>
        </r>
        <r>
          <rPr>
            <sz val="8"/>
            <color indexed="81"/>
            <rFont val="Tahoma"/>
            <family val="2"/>
          </rPr>
          <t xml:space="preserve">
autocare</t>
        </r>
      </text>
    </comment>
    <comment ref="AZ40" authorId="1">
      <text>
        <r>
          <rPr>
            <b/>
            <sz val="8"/>
            <color indexed="81"/>
            <rFont val="Tahoma"/>
            <family val="2"/>
          </rPr>
          <t>mukeruma:</t>
        </r>
        <r>
          <rPr>
            <sz val="8"/>
            <color indexed="81"/>
            <rFont val="Tahoma"/>
            <family val="2"/>
          </rPr>
          <t xml:space="preserve">
autocare</t>
        </r>
      </text>
    </comment>
    <comment ref="BH40" authorId="1">
      <text>
        <r>
          <rPr>
            <b/>
            <sz val="8"/>
            <color indexed="81"/>
            <rFont val="Tahoma"/>
            <family val="2"/>
          </rPr>
          <t>mukeruma:</t>
        </r>
        <r>
          <rPr>
            <sz val="8"/>
            <color indexed="81"/>
            <rFont val="Tahoma"/>
            <family val="2"/>
          </rPr>
          <t xml:space="preserve">
Aplicare and Healthlink</t>
        </r>
      </text>
    </comment>
    <comment ref="BI40" authorId="1">
      <text>
        <r>
          <rPr>
            <b/>
            <sz val="8"/>
            <color indexed="81"/>
            <rFont val="Tahoma"/>
            <family val="2"/>
          </rPr>
          <t>mukeruma:</t>
        </r>
        <r>
          <rPr>
            <sz val="8"/>
            <color indexed="81"/>
            <rFont val="Tahoma"/>
            <family val="2"/>
          </rPr>
          <t xml:space="preserve">
Aplicare and Healthlink</t>
        </r>
      </text>
    </comment>
    <comment ref="BK40" authorId="1">
      <text>
        <r>
          <rPr>
            <b/>
            <sz val="8"/>
            <color indexed="81"/>
            <rFont val="Tahoma"/>
            <family val="2"/>
          </rPr>
          <t>mukeruma:</t>
        </r>
        <r>
          <rPr>
            <sz val="8"/>
            <color indexed="81"/>
            <rFont val="Tahoma"/>
            <family val="2"/>
          </rPr>
          <t xml:space="preserve">
Aplicare and Healthlink</t>
        </r>
      </text>
    </comment>
    <comment ref="BL40" authorId="1">
      <text>
        <r>
          <rPr>
            <b/>
            <sz val="8"/>
            <color indexed="81"/>
            <rFont val="Tahoma"/>
            <family val="2"/>
          </rPr>
          <t>mukeruma:</t>
        </r>
        <r>
          <rPr>
            <sz val="8"/>
            <color indexed="81"/>
            <rFont val="Tahoma"/>
            <family val="2"/>
          </rPr>
          <t xml:space="preserve">
Aplicare and Healthlink</t>
        </r>
      </text>
    </comment>
    <comment ref="CJ40" authorId="4">
      <text>
        <r>
          <rPr>
            <b/>
            <sz val="9"/>
            <color indexed="81"/>
            <rFont val="Tahoma"/>
            <family val="2"/>
          </rPr>
          <t>Falorni, Filippo (Research):</t>
        </r>
        <r>
          <rPr>
            <sz val="9"/>
            <color indexed="81"/>
            <rFont val="Tahoma"/>
            <family val="2"/>
          </rPr>
          <t xml:space="preserve">
-1 point of impact from the Aplicare divestiture in late August 2017</t>
        </r>
      </text>
    </comment>
    <comment ref="CK40" authorId="4">
      <text>
        <r>
          <rPr>
            <b/>
            <sz val="9"/>
            <color indexed="81"/>
            <rFont val="Tahoma"/>
            <family val="2"/>
          </rPr>
          <t>Falorni, Filippo (Research):</t>
        </r>
        <r>
          <rPr>
            <sz val="9"/>
            <color indexed="81"/>
            <rFont val="Tahoma"/>
            <family val="2"/>
          </rPr>
          <t xml:space="preserve">
- 2 points from Aplicare (call)</t>
        </r>
      </text>
    </comment>
    <comment ref="CN40" authorId="4">
      <text>
        <r>
          <rPr>
            <b/>
            <sz val="9"/>
            <color indexed="81"/>
            <rFont val="Tahoma"/>
            <family val="2"/>
          </rPr>
          <t>Falorni, Filippo (Research):</t>
        </r>
        <r>
          <rPr>
            <sz val="9"/>
            <color indexed="81"/>
            <rFont val="Tahoma"/>
            <family val="2"/>
          </rPr>
          <t xml:space="preserve">
Aplicare divestiture</t>
        </r>
      </text>
    </comment>
    <comment ref="AP46" authorId="0">
      <text>
        <r>
          <rPr>
            <b/>
            <sz val="8"/>
            <color indexed="81"/>
            <rFont val="Tahoma"/>
            <family val="2"/>
          </rPr>
          <t>grunke:</t>
        </r>
        <r>
          <rPr>
            <sz val="8"/>
            <color indexed="81"/>
            <rFont val="Tahoma"/>
            <family val="2"/>
          </rPr>
          <t xml:space="preserve">
added back exit from PL business</t>
        </r>
      </text>
    </comment>
    <comment ref="BU46" authorId="3">
      <text>
        <r>
          <rPr>
            <b/>
            <sz val="9"/>
            <color indexed="81"/>
            <rFont val="Tahoma"/>
            <family val="2"/>
          </rPr>
          <t>Doctor, Bob (Research):</t>
        </r>
        <r>
          <rPr>
            <sz val="9"/>
            <color indexed="81"/>
            <rFont val="Tahoma"/>
            <family val="2"/>
          </rPr>
          <t xml:space="preserve">
-  charcoal business grew volume 16%, due to promotions and consumption behind
the Labor Day holiday and outstanding execution at retail.
- In bags and wraps, volume and sales were up
- cat litter volume was flat,</t>
        </r>
      </text>
    </comment>
    <comment ref="AP47" authorId="0">
      <text>
        <r>
          <rPr>
            <b/>
            <sz val="8"/>
            <color indexed="81"/>
            <rFont val="Tahoma"/>
            <family val="2"/>
          </rPr>
          <t>grunke:</t>
        </r>
        <r>
          <rPr>
            <sz val="8"/>
            <color indexed="81"/>
            <rFont val="Tahoma"/>
            <family val="2"/>
          </rPr>
          <t xml:space="preserve">
2.5% pricing and rounding</t>
        </r>
      </text>
    </comment>
    <comment ref="BA47" authorId="0">
      <text>
        <r>
          <rPr>
            <b/>
            <sz val="8"/>
            <color indexed="81"/>
            <rFont val="Tahoma"/>
            <family val="2"/>
          </rPr>
          <t>grunke:</t>
        </r>
        <r>
          <rPr>
            <sz val="8"/>
            <color indexed="81"/>
            <rFont val="Tahoma"/>
            <family val="2"/>
          </rPr>
          <t xml:space="preserve">
+160 favorable mix</t>
        </r>
      </text>
    </comment>
    <comment ref="CK47" authorId="4">
      <text>
        <r>
          <rPr>
            <b/>
            <sz val="9"/>
            <color indexed="81"/>
            <rFont val="Tahoma"/>
            <family val="2"/>
          </rPr>
          <t xml:space="preserve">Doctor, Bob (Research):
</t>
        </r>
        <r>
          <rPr>
            <sz val="9"/>
            <color indexed="81"/>
            <rFont val="Tahoma"/>
            <family val="2"/>
          </rPr>
          <t>glad price impact</t>
        </r>
      </text>
    </comment>
    <comment ref="CL47" authorId="4">
      <text>
        <r>
          <rPr>
            <b/>
            <sz val="9"/>
            <color indexed="81"/>
            <rFont val="Tahoma"/>
            <family val="2"/>
          </rPr>
          <t xml:space="preserve">Doctor, Bob (Research):
</t>
        </r>
        <r>
          <rPr>
            <sz val="9"/>
            <color indexed="81"/>
            <rFont val="Tahoma"/>
            <family val="2"/>
          </rPr>
          <t xml:space="preserve">glad price impact
</t>
        </r>
      </text>
    </comment>
    <comment ref="CC48" authorId="3">
      <text>
        <r>
          <rPr>
            <b/>
            <sz val="9"/>
            <color indexed="81"/>
            <rFont val="Tahoma"/>
            <family val="2"/>
          </rPr>
          <t>Doctor, Bob (Research):</t>
        </r>
        <r>
          <rPr>
            <sz val="9"/>
            <color indexed="81"/>
            <rFont val="Tahoma"/>
            <family val="2"/>
          </rPr>
          <t xml:space="preserve">
RenewLife May 2 close</t>
        </r>
      </text>
    </comment>
    <comment ref="AP54" authorId="0">
      <text>
        <r>
          <rPr>
            <b/>
            <sz val="8"/>
            <color indexed="81"/>
            <rFont val="Tahoma"/>
            <family val="2"/>
          </rPr>
          <t>grunke:</t>
        </r>
        <r>
          <rPr>
            <sz val="8"/>
            <color indexed="81"/>
            <rFont val="Tahoma"/>
            <family val="2"/>
          </rPr>
          <t xml:space="preserve">
Burt's </t>
        </r>
      </text>
    </comment>
    <comment ref="BU54" authorId="3">
      <text>
        <r>
          <rPr>
            <b/>
            <sz val="9"/>
            <color indexed="81"/>
            <rFont val="Tahoma"/>
            <family val="2"/>
          </rPr>
          <t>Doctor, Bob (Research):</t>
        </r>
        <r>
          <rPr>
            <sz val="9"/>
            <color indexed="81"/>
            <rFont val="Tahoma"/>
            <family val="2"/>
          </rPr>
          <t xml:space="preserve">
- lower shipments of Hidden Valley salad dressing and Brita products.
- double-digit volume and sales growth on Burt's Bees products, largely due to innovation in lip and face care products</t>
        </r>
      </text>
    </comment>
    <comment ref="AP55" authorId="0">
      <text>
        <r>
          <rPr>
            <b/>
            <sz val="8"/>
            <color indexed="81"/>
            <rFont val="Tahoma"/>
            <family val="2"/>
          </rPr>
          <t>grunke:</t>
        </r>
        <r>
          <rPr>
            <sz val="8"/>
            <color indexed="81"/>
            <rFont val="Tahoma"/>
            <family val="2"/>
          </rPr>
          <t xml:space="preserve">
pricing and rounding</t>
        </r>
      </text>
    </comment>
    <comment ref="A56" authorId="0">
      <text>
        <r>
          <rPr>
            <b/>
            <sz val="8"/>
            <color indexed="81"/>
            <rFont val="Tahoma"/>
            <family val="2"/>
          </rPr>
          <t>grunke:</t>
        </r>
        <r>
          <rPr>
            <sz val="8"/>
            <color indexed="81"/>
            <rFont val="Tahoma"/>
            <family val="2"/>
          </rPr>
          <t xml:space="preserve">
Burt's ~90% US at time of acquistion
Now roughly 80/20 US/Intl</t>
        </r>
      </text>
    </comment>
    <comment ref="AP64" authorId="0">
      <text>
        <r>
          <rPr>
            <b/>
            <sz val="8"/>
            <color indexed="81"/>
            <rFont val="Tahoma"/>
            <family val="2"/>
          </rPr>
          <t>grunke:</t>
        </r>
        <r>
          <rPr>
            <sz val="8"/>
            <color indexed="81"/>
            <rFont val="Tahoma"/>
            <family val="2"/>
          </rPr>
          <t xml:space="preserve">
2.8% pricing and rounding</t>
        </r>
      </text>
    </comment>
    <comment ref="AU64" authorId="0">
      <text>
        <r>
          <rPr>
            <b/>
            <sz val="8"/>
            <color indexed="81"/>
            <rFont val="Tahoma"/>
            <family val="2"/>
          </rPr>
          <t>grunke:</t>
        </r>
        <r>
          <rPr>
            <sz val="8"/>
            <color indexed="81"/>
            <rFont val="Tahoma"/>
            <family val="2"/>
          </rPr>
          <t xml:space="preserve">
7.7% pricing and rounding</t>
        </r>
      </text>
    </comment>
    <comment ref="AW65" authorId="0">
      <text>
        <r>
          <rPr>
            <b/>
            <sz val="8"/>
            <color indexed="81"/>
            <rFont val="Tahoma"/>
            <family val="2"/>
          </rPr>
          <t>grunke:</t>
        </r>
        <r>
          <rPr>
            <sz val="8"/>
            <color indexed="81"/>
            <rFont val="Tahoma"/>
            <family val="2"/>
          </rPr>
          <t xml:space="preserve">
1.7% FX impact on total CLX</t>
        </r>
      </text>
    </comment>
    <comment ref="AV66" authorId="1">
      <text>
        <r>
          <rPr>
            <b/>
            <sz val="8"/>
            <color indexed="81"/>
            <rFont val="Tahoma"/>
            <family val="2"/>
          </rPr>
          <t>mukeruma:</t>
        </r>
        <r>
          <rPr>
            <sz val="8"/>
            <color indexed="81"/>
            <rFont val="Tahoma"/>
            <family val="2"/>
          </rPr>
          <t xml:space="preserve">
autocare</t>
        </r>
      </text>
    </comment>
    <comment ref="AW66" authorId="1">
      <text>
        <r>
          <rPr>
            <b/>
            <sz val="8"/>
            <color indexed="81"/>
            <rFont val="Tahoma"/>
            <family val="2"/>
          </rPr>
          <t>mukeruma:</t>
        </r>
        <r>
          <rPr>
            <sz val="8"/>
            <color indexed="81"/>
            <rFont val="Tahoma"/>
            <family val="2"/>
          </rPr>
          <t xml:space="preserve">
autocare</t>
        </r>
      </text>
    </comment>
    <comment ref="AX66" authorId="1">
      <text>
        <r>
          <rPr>
            <b/>
            <sz val="8"/>
            <color indexed="81"/>
            <rFont val="Tahoma"/>
            <family val="2"/>
          </rPr>
          <t>mukeruma:</t>
        </r>
        <r>
          <rPr>
            <sz val="8"/>
            <color indexed="81"/>
            <rFont val="Tahoma"/>
            <family val="2"/>
          </rPr>
          <t xml:space="preserve">
autocare</t>
        </r>
      </text>
    </comment>
    <comment ref="AY66" authorId="1">
      <text>
        <r>
          <rPr>
            <b/>
            <sz val="8"/>
            <color indexed="81"/>
            <rFont val="Tahoma"/>
            <family val="2"/>
          </rPr>
          <t>mukeruma:</t>
        </r>
        <r>
          <rPr>
            <sz val="8"/>
            <color indexed="81"/>
            <rFont val="Tahoma"/>
            <family val="2"/>
          </rPr>
          <t xml:space="preserve">
autocare</t>
        </r>
      </text>
    </comment>
    <comment ref="AZ66" authorId="1">
      <text>
        <r>
          <rPr>
            <b/>
            <sz val="8"/>
            <color indexed="81"/>
            <rFont val="Tahoma"/>
            <family val="2"/>
          </rPr>
          <t>mukeruma:</t>
        </r>
        <r>
          <rPr>
            <sz val="8"/>
            <color indexed="81"/>
            <rFont val="Tahoma"/>
            <family val="2"/>
          </rPr>
          <t xml:space="preserve">
autocare</t>
        </r>
      </text>
    </comment>
    <comment ref="AL75" authorId="0">
      <text>
        <r>
          <rPr>
            <b/>
            <sz val="8"/>
            <color indexed="81"/>
            <rFont val="Tahoma"/>
            <family val="2"/>
          </rPr>
          <t>grunke:</t>
        </r>
        <r>
          <rPr>
            <sz val="8"/>
            <color indexed="81"/>
            <rFont val="Tahoma"/>
            <family val="2"/>
          </rPr>
          <t xml:space="preserve">
assumes all acq/divest impact due to volume</t>
        </r>
      </text>
    </comment>
    <comment ref="AM75" authorId="0">
      <text>
        <r>
          <rPr>
            <b/>
            <sz val="8"/>
            <color indexed="81"/>
            <rFont val="Tahoma"/>
            <family val="2"/>
          </rPr>
          <t>grunke:</t>
        </r>
        <r>
          <rPr>
            <sz val="8"/>
            <color indexed="81"/>
            <rFont val="Tahoma"/>
            <family val="2"/>
          </rPr>
          <t xml:space="preserve">
assumes all acq/divest impact due to volume</t>
        </r>
      </text>
    </comment>
    <comment ref="AN75" authorId="0">
      <text>
        <r>
          <rPr>
            <b/>
            <sz val="8"/>
            <color indexed="81"/>
            <rFont val="Tahoma"/>
            <family val="2"/>
          </rPr>
          <t>grunke:</t>
        </r>
        <r>
          <rPr>
            <sz val="8"/>
            <color indexed="81"/>
            <rFont val="Tahoma"/>
            <family val="2"/>
          </rPr>
          <t xml:space="preserve">
assumes 1/2 acq/divest impact due to volume</t>
        </r>
      </text>
    </comment>
    <comment ref="AO75" authorId="0">
      <text>
        <r>
          <rPr>
            <b/>
            <sz val="8"/>
            <color indexed="81"/>
            <rFont val="Tahoma"/>
            <family val="2"/>
          </rPr>
          <t>grunke:</t>
        </r>
        <r>
          <rPr>
            <sz val="8"/>
            <color indexed="81"/>
            <rFont val="Tahoma"/>
            <family val="2"/>
          </rPr>
          <t xml:space="preserve">
assumes all acq/divest impact due to volume</t>
        </r>
      </text>
    </comment>
    <comment ref="AQ75" authorId="0">
      <text>
        <r>
          <rPr>
            <b/>
            <sz val="8"/>
            <color indexed="81"/>
            <rFont val="Tahoma"/>
            <family val="2"/>
          </rPr>
          <t>grunke:</t>
        </r>
        <r>
          <rPr>
            <sz val="8"/>
            <color indexed="81"/>
            <rFont val="Tahoma"/>
            <family val="2"/>
          </rPr>
          <t xml:space="preserve">
assumes all acq/divest impact due to volume</t>
        </r>
      </text>
    </comment>
    <comment ref="AR75" authorId="0">
      <text>
        <r>
          <rPr>
            <b/>
            <sz val="8"/>
            <color indexed="81"/>
            <rFont val="Tahoma"/>
            <family val="2"/>
          </rPr>
          <t>grunke:</t>
        </r>
        <r>
          <rPr>
            <sz val="8"/>
            <color indexed="81"/>
            <rFont val="Tahoma"/>
            <family val="2"/>
          </rPr>
          <t xml:space="preserve">
assumes all acq/divest impact due to volume</t>
        </r>
      </text>
    </comment>
    <comment ref="AS75" authorId="0">
      <text>
        <r>
          <rPr>
            <b/>
            <sz val="8"/>
            <color indexed="81"/>
            <rFont val="Tahoma"/>
            <family val="2"/>
          </rPr>
          <t>grunke:</t>
        </r>
        <r>
          <rPr>
            <sz val="8"/>
            <color indexed="81"/>
            <rFont val="Tahoma"/>
            <family val="2"/>
          </rPr>
          <t xml:space="preserve">
assumes all acq/divest impact due to volume</t>
        </r>
      </text>
    </comment>
    <comment ref="AT75" authorId="0">
      <text>
        <r>
          <rPr>
            <b/>
            <sz val="8"/>
            <color indexed="81"/>
            <rFont val="Tahoma"/>
            <family val="2"/>
          </rPr>
          <t>grunke:</t>
        </r>
        <r>
          <rPr>
            <sz val="8"/>
            <color indexed="81"/>
            <rFont val="Tahoma"/>
            <family val="2"/>
          </rPr>
          <t xml:space="preserve">
assumes all acq/divest impact due to volume</t>
        </r>
      </text>
    </comment>
    <comment ref="AU75" authorId="0">
      <text>
        <r>
          <rPr>
            <b/>
            <sz val="8"/>
            <color indexed="81"/>
            <rFont val="Tahoma"/>
            <family val="2"/>
          </rPr>
          <t>grunke:</t>
        </r>
        <r>
          <rPr>
            <sz val="8"/>
            <color indexed="81"/>
            <rFont val="Tahoma"/>
            <family val="2"/>
          </rPr>
          <t xml:space="preserve">
assumes all acq/divest impact due to volume</t>
        </r>
      </text>
    </comment>
    <comment ref="AL78" authorId="0">
      <text>
        <r>
          <rPr>
            <b/>
            <sz val="8"/>
            <color indexed="81"/>
            <rFont val="Tahoma"/>
            <family val="2"/>
          </rPr>
          <t>grunke:</t>
        </r>
        <r>
          <rPr>
            <sz val="8"/>
            <color indexed="81"/>
            <rFont val="Tahoma"/>
            <family val="2"/>
          </rPr>
          <t xml:space="preserve">
CLX provided 8% impact on Intl segment from Bleach acq</t>
        </r>
      </text>
    </comment>
    <comment ref="R79" authorId="0">
      <text>
        <r>
          <rPr>
            <b/>
            <sz val="8"/>
            <color indexed="81"/>
            <rFont val="Tahoma"/>
            <family val="2"/>
          </rPr>
          <t>grunke:</t>
        </r>
        <r>
          <rPr>
            <sz val="8"/>
            <color indexed="81"/>
            <rFont val="Tahoma"/>
            <family val="2"/>
          </rPr>
          <t xml:space="preserve">
pro-forma </t>
        </r>
      </text>
    </comment>
    <comment ref="S79" authorId="0">
      <text>
        <r>
          <rPr>
            <b/>
            <sz val="8"/>
            <color indexed="81"/>
            <rFont val="Tahoma"/>
            <family val="2"/>
          </rPr>
          <t>grunke:</t>
        </r>
        <r>
          <rPr>
            <sz val="8"/>
            <color indexed="81"/>
            <rFont val="Tahoma"/>
            <family val="2"/>
          </rPr>
          <t xml:space="preserve">
pro-forma </t>
        </r>
      </text>
    </comment>
    <comment ref="T79" authorId="0">
      <text>
        <r>
          <rPr>
            <b/>
            <sz val="8"/>
            <color indexed="81"/>
            <rFont val="Tahoma"/>
            <family val="2"/>
          </rPr>
          <t>grunke:</t>
        </r>
        <r>
          <rPr>
            <sz val="8"/>
            <color indexed="81"/>
            <rFont val="Tahoma"/>
            <family val="2"/>
          </rPr>
          <t xml:space="preserve">
pro-forma </t>
        </r>
      </text>
    </comment>
    <comment ref="U79" authorId="0">
      <text>
        <r>
          <rPr>
            <b/>
            <sz val="8"/>
            <color indexed="81"/>
            <rFont val="Tahoma"/>
            <family val="2"/>
          </rPr>
          <t>grunke:</t>
        </r>
        <r>
          <rPr>
            <sz val="8"/>
            <color indexed="81"/>
            <rFont val="Tahoma"/>
            <family val="2"/>
          </rPr>
          <t xml:space="preserve">
pro-forma </t>
        </r>
      </text>
    </comment>
    <comment ref="V79" authorId="0">
      <text>
        <r>
          <rPr>
            <b/>
            <sz val="8"/>
            <color indexed="81"/>
            <rFont val="Tahoma"/>
            <family val="2"/>
          </rPr>
          <t>grunke:</t>
        </r>
        <r>
          <rPr>
            <sz val="8"/>
            <color indexed="81"/>
            <rFont val="Tahoma"/>
            <family val="2"/>
          </rPr>
          <t xml:space="preserve">
pro-forma </t>
        </r>
      </text>
    </comment>
    <comment ref="A82" authorId="0">
      <text>
        <r>
          <rPr>
            <b/>
            <sz val="8"/>
            <color indexed="81"/>
            <rFont val="Tahoma"/>
            <family val="2"/>
          </rPr>
          <t>grunke:</t>
        </r>
        <r>
          <rPr>
            <sz val="8"/>
            <color indexed="81"/>
            <rFont val="Tahoma"/>
            <family val="2"/>
          </rPr>
          <t xml:space="preserve">
Household Products, NA Segment 
2002-2003 Includes:
- Laundry Care
- Home Care
- Water Filtratiion
- Bags &amp; Wraps
2004-2007 Includes:
- Laundry/Homecare
- Water Filtration/Canada/U.S. Auto/PPD</t>
        </r>
      </text>
    </comment>
    <comment ref="H84" authorId="0">
      <text>
        <r>
          <rPr>
            <b/>
            <sz val="8"/>
            <color indexed="81"/>
            <rFont val="Tahoma"/>
            <family val="2"/>
          </rPr>
          <t>grunke:</t>
        </r>
        <r>
          <rPr>
            <sz val="8"/>
            <color indexed="81"/>
            <rFont val="Tahoma"/>
            <family val="2"/>
          </rPr>
          <t xml:space="preserve">
Higher trade promo and coupon spending</t>
        </r>
      </text>
    </comment>
    <comment ref="M87" authorId="0">
      <text>
        <r>
          <rPr>
            <b/>
            <sz val="8"/>
            <color indexed="81"/>
            <rFont val="Tahoma"/>
            <family val="2"/>
          </rPr>
          <t>grunke:</t>
        </r>
        <r>
          <rPr>
            <sz val="8"/>
            <color indexed="81"/>
            <rFont val="Tahoma"/>
            <family val="2"/>
          </rPr>
          <t xml:space="preserve">
Launch of Ready Mop, Clorox Oxygen Action, Pine-Sol Orange</t>
        </r>
      </text>
    </comment>
    <comment ref="V92" authorId="0">
      <text>
        <r>
          <rPr>
            <b/>
            <sz val="8"/>
            <color indexed="81"/>
            <rFont val="Tahoma"/>
            <family val="2"/>
          </rPr>
          <t>grunke:</t>
        </r>
        <r>
          <rPr>
            <sz val="8"/>
            <color indexed="81"/>
            <rFont val="Tahoma"/>
            <family val="2"/>
          </rPr>
          <t xml:space="preserve">
Clorox bleach pen and Clorox2 launch strength</t>
        </r>
      </text>
    </comment>
    <comment ref="W92" authorId="0">
      <text>
        <r>
          <rPr>
            <b/>
            <sz val="8"/>
            <color indexed="81"/>
            <rFont val="Tahoma"/>
            <family val="2"/>
          </rPr>
          <t>grunke:</t>
        </r>
        <r>
          <rPr>
            <sz val="8"/>
            <color indexed="81"/>
            <rFont val="Tahoma"/>
            <family val="2"/>
          </rPr>
          <t xml:space="preserve">
Increased Bleach Pen and Clorox2 shipments behind distribution gains and merch support</t>
        </r>
      </text>
    </comment>
    <comment ref="X92" authorId="0">
      <text>
        <r>
          <rPr>
            <b/>
            <sz val="8"/>
            <color indexed="81"/>
            <rFont val="Tahoma"/>
            <family val="2"/>
          </rPr>
          <t>grunke:</t>
        </r>
        <r>
          <rPr>
            <sz val="8"/>
            <color indexed="81"/>
            <rFont val="Tahoma"/>
            <family val="2"/>
          </rPr>
          <t xml:space="preserve">
Lap Bleach Pen launch</t>
        </r>
      </text>
    </comment>
    <comment ref="R94" authorId="0">
      <text>
        <r>
          <rPr>
            <b/>
            <sz val="8"/>
            <color indexed="81"/>
            <rFont val="Tahoma"/>
            <family val="2"/>
          </rPr>
          <t>grunke:</t>
        </r>
        <r>
          <rPr>
            <sz val="8"/>
            <color indexed="81"/>
            <rFont val="Tahoma"/>
            <family val="2"/>
          </rPr>
          <t xml:space="preserve">
restated for disc ops</t>
        </r>
      </text>
    </comment>
    <comment ref="S94" authorId="0">
      <text>
        <r>
          <rPr>
            <b/>
            <sz val="8"/>
            <color indexed="81"/>
            <rFont val="Tahoma"/>
            <family val="2"/>
          </rPr>
          <t>grunke:</t>
        </r>
        <r>
          <rPr>
            <sz val="8"/>
            <color indexed="81"/>
            <rFont val="Tahoma"/>
            <family val="2"/>
          </rPr>
          <t xml:space="preserve">
restated for disc ops</t>
        </r>
      </text>
    </comment>
    <comment ref="T94" authorId="0">
      <text>
        <r>
          <rPr>
            <b/>
            <sz val="8"/>
            <color indexed="81"/>
            <rFont val="Tahoma"/>
            <family val="2"/>
          </rPr>
          <t>grunke:</t>
        </r>
        <r>
          <rPr>
            <sz val="8"/>
            <color indexed="81"/>
            <rFont val="Tahoma"/>
            <family val="2"/>
          </rPr>
          <t xml:space="preserve">
restated for disc ops</t>
        </r>
      </text>
    </comment>
    <comment ref="U94" authorId="0">
      <text>
        <r>
          <rPr>
            <b/>
            <sz val="8"/>
            <color indexed="81"/>
            <rFont val="Tahoma"/>
            <family val="2"/>
          </rPr>
          <t>grunke:</t>
        </r>
        <r>
          <rPr>
            <sz val="8"/>
            <color indexed="81"/>
            <rFont val="Tahoma"/>
            <family val="2"/>
          </rPr>
          <t xml:space="preserve">
restated for disc ops</t>
        </r>
      </text>
    </comment>
    <comment ref="V94" authorId="0">
      <text>
        <r>
          <rPr>
            <b/>
            <sz val="8"/>
            <color indexed="81"/>
            <rFont val="Tahoma"/>
            <family val="2"/>
          </rPr>
          <t>grunke:</t>
        </r>
        <r>
          <rPr>
            <sz val="8"/>
            <color indexed="81"/>
            <rFont val="Tahoma"/>
            <family val="2"/>
          </rPr>
          <t xml:space="preserve">
restated for disc ops</t>
        </r>
      </text>
    </comment>
    <comment ref="W94" authorId="0">
      <text>
        <r>
          <rPr>
            <b/>
            <sz val="8"/>
            <color indexed="81"/>
            <rFont val="Tahoma"/>
            <family val="2"/>
          </rPr>
          <t>grunke:</t>
        </r>
        <r>
          <rPr>
            <sz val="8"/>
            <color indexed="81"/>
            <rFont val="Tahoma"/>
            <family val="2"/>
          </rPr>
          <t xml:space="preserve">
Toilet wand launch, shipment gains on wipes</t>
        </r>
      </text>
    </comment>
    <comment ref="X94" authorId="0">
      <text>
        <r>
          <rPr>
            <b/>
            <sz val="8"/>
            <color indexed="81"/>
            <rFont val="Tahoma"/>
            <family val="2"/>
          </rPr>
          <t>grunke:</t>
        </r>
        <r>
          <rPr>
            <sz val="8"/>
            <color indexed="81"/>
            <rFont val="Tahoma"/>
            <family val="2"/>
          </rPr>
          <t xml:space="preserve">
Wipes, Toilet Wand, Strong Marketing &amp; Promo Activities</t>
        </r>
      </text>
    </comment>
    <comment ref="Z94" authorId="0">
      <text>
        <r>
          <rPr>
            <b/>
            <sz val="8"/>
            <color indexed="81"/>
            <rFont val="Tahoma"/>
            <family val="2"/>
          </rPr>
          <t>grunke:</t>
        </r>
        <r>
          <rPr>
            <sz val="8"/>
            <color indexed="81"/>
            <rFont val="Tahoma"/>
            <family val="2"/>
          </rPr>
          <t xml:space="preserve">
BathWand launch</t>
        </r>
      </text>
    </comment>
    <comment ref="O95" authorId="0">
      <text>
        <r>
          <rPr>
            <b/>
            <sz val="8"/>
            <color indexed="81"/>
            <rFont val="Tahoma"/>
            <family val="2"/>
          </rPr>
          <t>grunke:</t>
        </r>
        <r>
          <rPr>
            <sz val="8"/>
            <color indexed="81"/>
            <rFont val="Tahoma"/>
            <family val="2"/>
          </rPr>
          <t xml:space="preserve">
Lapping Clorox ready mop launch</t>
        </r>
      </text>
    </comment>
    <comment ref="AB95" authorId="0">
      <text>
        <r>
          <rPr>
            <b/>
            <sz val="8"/>
            <color indexed="81"/>
            <rFont val="Tahoma"/>
            <family val="2"/>
          </rPr>
          <t>grunke:</t>
        </r>
        <r>
          <rPr>
            <sz val="8"/>
            <color indexed="81"/>
            <rFont val="Tahoma"/>
            <family val="2"/>
          </rPr>
          <t xml:space="preserve">
consumers defer purchases</t>
        </r>
      </text>
    </comment>
    <comment ref="AD95" authorId="0">
      <text>
        <r>
          <rPr>
            <b/>
            <sz val="8"/>
            <color indexed="81"/>
            <rFont val="Tahoma"/>
            <family val="2"/>
          </rPr>
          <t>grunke:</t>
        </r>
        <r>
          <rPr>
            <sz val="8"/>
            <color indexed="81"/>
            <rFont val="Tahoma"/>
            <family val="2"/>
          </rPr>
          <t xml:space="preserve">
run-rate decelerates on January increases</t>
        </r>
      </text>
    </comment>
    <comment ref="AE95" authorId="0">
      <text>
        <r>
          <rPr>
            <b/>
            <sz val="8"/>
            <color indexed="81"/>
            <rFont val="Tahoma"/>
            <family val="2"/>
          </rPr>
          <t>grunke:</t>
        </r>
        <r>
          <rPr>
            <sz val="8"/>
            <color indexed="81"/>
            <rFont val="Tahoma"/>
            <family val="2"/>
          </rPr>
          <t xml:space="preserve">
Launch of Clorox Ultra Care Bleach</t>
        </r>
      </text>
    </comment>
    <comment ref="AG95" authorId="0">
      <text>
        <r>
          <rPr>
            <b/>
            <sz val="8"/>
            <color indexed="81"/>
            <rFont val="Tahoma"/>
            <family val="2"/>
          </rPr>
          <t>grunke:</t>
        </r>
        <r>
          <rPr>
            <sz val="8"/>
            <color indexed="81"/>
            <rFont val="Tahoma"/>
            <family val="2"/>
          </rPr>
          <t xml:space="preserve">
easy YoY comparison</t>
        </r>
      </text>
    </comment>
    <comment ref="AI95" authorId="0">
      <text>
        <r>
          <rPr>
            <b/>
            <sz val="8"/>
            <color indexed="81"/>
            <rFont val="Tahoma"/>
            <family val="2"/>
          </rPr>
          <t>grunke:</t>
        </r>
        <r>
          <rPr>
            <sz val="8"/>
            <color indexed="81"/>
            <rFont val="Tahoma"/>
            <family val="2"/>
          </rPr>
          <t xml:space="preserve">
Exceptionally strong performance for wipes</t>
        </r>
      </text>
    </comment>
    <comment ref="AC96" authorId="0">
      <text>
        <r>
          <rPr>
            <b/>
            <sz val="8"/>
            <color indexed="81"/>
            <rFont val="Tahoma"/>
            <family val="2"/>
          </rPr>
          <t>grunke:</t>
        </r>
        <r>
          <rPr>
            <sz val="8"/>
            <color indexed="81"/>
            <rFont val="Tahoma"/>
            <family val="2"/>
          </rPr>
          <t xml:space="preserve">
Full quarter of July Clorox price increases</t>
        </r>
      </text>
    </comment>
    <comment ref="AD96" authorId="0">
      <text>
        <r>
          <rPr>
            <b/>
            <sz val="8"/>
            <color indexed="81"/>
            <rFont val="Tahoma"/>
            <family val="2"/>
          </rPr>
          <t>grunke:</t>
        </r>
        <r>
          <rPr>
            <sz val="8"/>
            <color indexed="81"/>
            <rFont val="Tahoma"/>
            <family val="2"/>
          </rPr>
          <t xml:space="preserve">
Additional increases on basic bleach and some cleaners</t>
        </r>
      </text>
    </comment>
    <comment ref="AE96" authorId="0">
      <text>
        <r>
          <rPr>
            <b/>
            <sz val="8"/>
            <color indexed="81"/>
            <rFont val="Tahoma"/>
            <family val="2"/>
          </rPr>
          <t>grunke:</t>
        </r>
        <r>
          <rPr>
            <sz val="8"/>
            <color indexed="81"/>
            <rFont val="Tahoma"/>
            <family val="2"/>
          </rPr>
          <t xml:space="preserve">
Additional increases on basic bleach and some cleaners</t>
        </r>
      </text>
    </comment>
    <comment ref="AG96" authorId="0">
      <text>
        <r>
          <rPr>
            <b/>
            <sz val="8"/>
            <color indexed="81"/>
            <rFont val="Tahoma"/>
            <family val="2"/>
          </rPr>
          <t>grunke:</t>
        </r>
        <r>
          <rPr>
            <sz val="8"/>
            <color indexed="81"/>
            <rFont val="Tahoma"/>
            <family val="2"/>
          </rPr>
          <t xml:space="preserve">
Lap Jul'05 bleach/ HH cleaning increases, all that is left is Jan'06 bleach increases</t>
        </r>
      </text>
    </comment>
    <comment ref="AH96" authorId="0">
      <text>
        <r>
          <rPr>
            <b/>
            <sz val="8"/>
            <color indexed="81"/>
            <rFont val="Tahoma"/>
            <family val="2"/>
          </rPr>
          <t>grunke:</t>
        </r>
        <r>
          <rPr>
            <sz val="8"/>
            <color indexed="81"/>
            <rFont val="Tahoma"/>
            <family val="2"/>
          </rPr>
          <t xml:space="preserve">
Lap Jul'05 bleach/ HH cleaning increases, all that is left is Jan'06 bleach increases</t>
        </r>
      </text>
    </comment>
    <comment ref="AI96" authorId="0">
      <text>
        <r>
          <rPr>
            <b/>
            <sz val="8"/>
            <color indexed="81"/>
            <rFont val="Tahoma"/>
            <family val="2"/>
          </rPr>
          <t>grunke:</t>
        </r>
        <r>
          <rPr>
            <sz val="8"/>
            <color indexed="81"/>
            <rFont val="Tahoma"/>
            <family val="2"/>
          </rPr>
          <t xml:space="preserve">
fight competitive discounting in bleach, wipes</t>
        </r>
      </text>
    </comment>
    <comment ref="AJ96" authorId="0">
      <text>
        <r>
          <rPr>
            <b/>
            <sz val="8"/>
            <color indexed="81"/>
            <rFont val="Tahoma"/>
            <family val="2"/>
          </rPr>
          <t>grunke:</t>
        </r>
        <r>
          <rPr>
            <sz val="8"/>
            <color indexed="81"/>
            <rFont val="Tahoma"/>
            <family val="2"/>
          </rPr>
          <t xml:space="preserve">
fight competitive discounting in bleach, wipes
Impact of competition 40bps less pricing; -3.6%</t>
        </r>
      </text>
    </comment>
    <comment ref="T101" authorId="0">
      <text>
        <r>
          <rPr>
            <b/>
            <sz val="8"/>
            <color indexed="81"/>
            <rFont val="Tahoma"/>
            <family val="2"/>
          </rPr>
          <t>grunke:</t>
        </r>
        <r>
          <rPr>
            <sz val="8"/>
            <color indexed="81"/>
            <rFont val="Tahoma"/>
            <family val="2"/>
          </rPr>
          <t xml:space="preserve">
Merchandising support on pour-through, faucet-mount share gains</t>
        </r>
      </text>
    </comment>
    <comment ref="W101" authorId="0">
      <text>
        <r>
          <rPr>
            <b/>
            <sz val="8"/>
            <color indexed="81"/>
            <rFont val="Tahoma"/>
            <family val="2"/>
          </rPr>
          <t>grunke:</t>
        </r>
        <r>
          <rPr>
            <sz val="8"/>
            <color indexed="81"/>
            <rFont val="Tahoma"/>
            <family val="2"/>
          </rPr>
          <t xml:space="preserve">
Category softness offset by share gains</t>
        </r>
      </text>
    </comment>
    <comment ref="X101" authorId="0">
      <text>
        <r>
          <rPr>
            <b/>
            <sz val="8"/>
            <color indexed="81"/>
            <rFont val="Tahoma"/>
            <family val="2"/>
          </rPr>
          <t>grunke:</t>
        </r>
        <r>
          <rPr>
            <sz val="8"/>
            <color indexed="81"/>
            <rFont val="Tahoma"/>
            <family val="2"/>
          </rPr>
          <t xml:space="preserve">
Share gains</t>
        </r>
      </text>
    </comment>
    <comment ref="P103" authorId="0">
      <text>
        <r>
          <rPr>
            <b/>
            <sz val="8"/>
            <color indexed="81"/>
            <rFont val="Tahoma"/>
            <family val="2"/>
          </rPr>
          <t>grunke:</t>
        </r>
        <r>
          <rPr>
            <sz val="8"/>
            <color indexed="81"/>
            <rFont val="Tahoma"/>
            <family val="2"/>
          </rPr>
          <t xml:space="preserve">
Weather, performance category softness</t>
        </r>
      </text>
    </comment>
    <comment ref="Q103" authorId="0">
      <text>
        <r>
          <rPr>
            <b/>
            <sz val="8"/>
            <color indexed="81"/>
            <rFont val="Tahoma"/>
            <family val="2"/>
          </rPr>
          <t>grunke:</t>
        </r>
        <r>
          <rPr>
            <sz val="8"/>
            <color indexed="81"/>
            <rFont val="Tahoma"/>
            <family val="2"/>
          </rPr>
          <t xml:space="preserve">
Armor All wipes and Armor All car wash wipes drive improvement </t>
        </r>
      </text>
    </comment>
    <comment ref="V103" authorId="0">
      <text>
        <r>
          <rPr>
            <b/>
            <sz val="8"/>
            <color indexed="81"/>
            <rFont val="Tahoma"/>
            <family val="2"/>
          </rPr>
          <t>grunke:</t>
        </r>
        <r>
          <rPr>
            <sz val="8"/>
            <color indexed="81"/>
            <rFont val="Tahoma"/>
            <family val="2"/>
          </rPr>
          <t xml:space="preserve">
Weakness in appearance, performance businesses, PL exit</t>
        </r>
      </text>
    </comment>
    <comment ref="W103" authorId="0">
      <text>
        <r>
          <rPr>
            <b/>
            <sz val="8"/>
            <color indexed="81"/>
            <rFont val="Tahoma"/>
            <family val="2"/>
          </rPr>
          <t>grunke:</t>
        </r>
        <r>
          <rPr>
            <sz val="8"/>
            <color indexed="81"/>
            <rFont val="Tahoma"/>
            <family val="2"/>
          </rPr>
          <t xml:space="preserve">
Reduced merchandising in appearance, competition in performance</t>
        </r>
      </text>
    </comment>
    <comment ref="X103" authorId="0">
      <text>
        <r>
          <rPr>
            <b/>
            <sz val="8"/>
            <color indexed="81"/>
            <rFont val="Tahoma"/>
            <family val="2"/>
          </rPr>
          <t>grunke:</t>
        </r>
        <r>
          <rPr>
            <sz val="8"/>
            <color indexed="81"/>
            <rFont val="Tahoma"/>
            <family val="2"/>
          </rPr>
          <t xml:space="preserve">
Reduced merchandising, competition</t>
        </r>
      </text>
    </comment>
    <comment ref="AD105" authorId="0">
      <text>
        <r>
          <rPr>
            <b/>
            <sz val="8"/>
            <color indexed="81"/>
            <rFont val="Tahoma"/>
            <family val="2"/>
          </rPr>
          <t>grunke:</t>
        </r>
        <r>
          <rPr>
            <sz val="8"/>
            <color indexed="81"/>
            <rFont val="Tahoma"/>
            <family val="2"/>
          </rPr>
          <t xml:space="preserve">
9% increases on auto, 6% increases on Brita</t>
        </r>
      </text>
    </comment>
    <comment ref="AE105" authorId="0">
      <text>
        <r>
          <rPr>
            <b/>
            <sz val="8"/>
            <color indexed="81"/>
            <rFont val="Tahoma"/>
            <family val="2"/>
          </rPr>
          <t>grunke:</t>
        </r>
        <r>
          <rPr>
            <sz val="8"/>
            <color indexed="81"/>
            <rFont val="Tahoma"/>
            <family val="2"/>
          </rPr>
          <t xml:space="preserve">
9% increases on auto, 6% increases on Brita</t>
        </r>
      </text>
    </comment>
    <comment ref="AH105" authorId="0">
      <text>
        <r>
          <rPr>
            <b/>
            <sz val="8"/>
            <color indexed="81"/>
            <rFont val="Tahoma"/>
            <family val="2"/>
          </rPr>
          <t>grunke:</t>
        </r>
        <r>
          <rPr>
            <sz val="8"/>
            <color indexed="81"/>
            <rFont val="Tahoma"/>
            <family val="2"/>
          </rPr>
          <t xml:space="preserve">
includes some FX but unquantified (est. ~1-2 pts)
17% increase on STP, assumed to be 50% of Auto</t>
        </r>
      </text>
    </comment>
    <comment ref="AI105" authorId="0">
      <text>
        <r>
          <rPr>
            <b/>
            <sz val="8"/>
            <color indexed="81"/>
            <rFont val="Tahoma"/>
            <family val="2"/>
          </rPr>
          <t>grunke:</t>
        </r>
        <r>
          <rPr>
            <sz val="8"/>
            <color indexed="81"/>
            <rFont val="Tahoma"/>
            <family val="2"/>
          </rPr>
          <t xml:space="preserve">
Lap Jan'06 Armor All, STP, Brita increases
17% increase on STP, assumed to be 25% of Auto</t>
        </r>
      </text>
    </comment>
    <comment ref="A109" authorId="0">
      <text>
        <r>
          <rPr>
            <b/>
            <sz val="8"/>
            <color indexed="81"/>
            <rFont val="Tahoma"/>
            <family val="2"/>
          </rPr>
          <t>grunke:</t>
        </r>
        <r>
          <rPr>
            <sz val="8"/>
            <color indexed="81"/>
            <rFont val="Tahoma"/>
            <family val="2"/>
          </rPr>
          <t xml:space="preserve">
Specialty Products Segment
2002-2004 Includes:
- Household
- Seasonal 
- Cat Litter
- Auto Care
- Dressing &amp; Sauces
2005-2007 Includes:
- Bags &amp; Wraps
- Litter/Food/Charcoal</t>
        </r>
      </text>
    </comment>
    <comment ref="I119" authorId="0">
      <text>
        <r>
          <rPr>
            <b/>
            <sz val="8"/>
            <color indexed="81"/>
            <rFont val="Tahoma"/>
            <family val="2"/>
          </rPr>
          <t>grunke:</t>
        </r>
        <r>
          <rPr>
            <sz val="8"/>
            <color indexed="81"/>
            <rFont val="Tahoma"/>
            <family val="2"/>
          </rPr>
          <t xml:space="preserve">
GladWare product intros</t>
        </r>
      </text>
    </comment>
    <comment ref="V119" authorId="0">
      <text>
        <r>
          <rPr>
            <b/>
            <sz val="8"/>
            <color indexed="81"/>
            <rFont val="Tahoma"/>
            <family val="2"/>
          </rPr>
          <t>grunke:</t>
        </r>
        <r>
          <rPr>
            <sz val="8"/>
            <color indexed="81"/>
            <rFont val="Tahoma"/>
            <family val="2"/>
          </rPr>
          <t xml:space="preserve">
Glad Press 'n Seal</t>
        </r>
      </text>
    </comment>
    <comment ref="W119" authorId="0">
      <text>
        <r>
          <rPr>
            <b/>
            <sz val="8"/>
            <color indexed="81"/>
            <rFont val="Tahoma"/>
            <family val="2"/>
          </rPr>
          <t>grunke:</t>
        </r>
        <r>
          <rPr>
            <sz val="8"/>
            <color indexed="81"/>
            <rFont val="Tahoma"/>
            <family val="2"/>
          </rPr>
          <t xml:space="preserve">
ForceFlex launch, GladWare containers merchandising support</t>
        </r>
      </text>
    </comment>
    <comment ref="X119" authorId="0">
      <text>
        <r>
          <rPr>
            <b/>
            <sz val="8"/>
            <color indexed="81"/>
            <rFont val="Tahoma"/>
            <family val="2"/>
          </rPr>
          <t>grunke:</t>
        </r>
        <r>
          <rPr>
            <sz val="8"/>
            <color indexed="81"/>
            <rFont val="Tahoma"/>
            <family val="2"/>
          </rPr>
          <t xml:space="preserve">
ForceFlex launch, merch support for GladWare containers</t>
        </r>
      </text>
    </comment>
    <comment ref="Y120" authorId="0">
      <text>
        <r>
          <rPr>
            <b/>
            <sz val="8"/>
            <color indexed="81"/>
            <rFont val="Tahoma"/>
            <family val="2"/>
          </rPr>
          <t>grunke:</t>
        </r>
        <r>
          <rPr>
            <sz val="8"/>
            <color indexed="81"/>
            <rFont val="Tahoma"/>
            <family val="2"/>
          </rPr>
          <t xml:space="preserve">
13% increase in trash bags in Feb 2005, 12% increase in containers</t>
        </r>
      </text>
    </comment>
    <comment ref="Z120" authorId="0">
      <text>
        <r>
          <rPr>
            <b/>
            <sz val="8"/>
            <color indexed="81"/>
            <rFont val="Tahoma"/>
            <family val="2"/>
          </rPr>
          <t>grunke:</t>
        </r>
        <r>
          <rPr>
            <sz val="8"/>
            <color indexed="81"/>
            <rFont val="Tahoma"/>
            <family val="2"/>
          </rPr>
          <t xml:space="preserve">
13% increase in trash bags in Feb 2005, 12% increase in containers</t>
        </r>
      </text>
    </comment>
    <comment ref="I128" authorId="0">
      <text>
        <r>
          <rPr>
            <b/>
            <sz val="8"/>
            <color indexed="81"/>
            <rFont val="Tahoma"/>
            <family val="2"/>
          </rPr>
          <t>grunke:</t>
        </r>
        <r>
          <rPr>
            <sz val="8"/>
            <color indexed="81"/>
            <rFont val="Tahoma"/>
            <family val="2"/>
          </rPr>
          <t xml:space="preserve">
Kingsford share gains</t>
        </r>
      </text>
    </comment>
    <comment ref="J128" authorId="0">
      <text>
        <r>
          <rPr>
            <b/>
            <sz val="8"/>
            <color indexed="81"/>
            <rFont val="Tahoma"/>
            <family val="2"/>
          </rPr>
          <t>grunke:</t>
        </r>
        <r>
          <rPr>
            <sz val="8"/>
            <color indexed="81"/>
            <rFont val="Tahoma"/>
            <family val="2"/>
          </rPr>
          <t xml:space="preserve">
Maxforce business sold in 3Q02</t>
        </r>
      </text>
    </comment>
    <comment ref="M128" authorId="0">
      <text>
        <r>
          <rPr>
            <b/>
            <sz val="8"/>
            <color indexed="81"/>
            <rFont val="Tahoma"/>
            <family val="2"/>
          </rPr>
          <t>grunke:</t>
        </r>
        <r>
          <rPr>
            <sz val="8"/>
            <color indexed="81"/>
            <rFont val="Tahoma"/>
            <family val="2"/>
          </rPr>
          <t xml:space="preserve">
Kingsford strength</t>
        </r>
      </text>
    </comment>
    <comment ref="P128" authorId="0">
      <text>
        <r>
          <rPr>
            <b/>
            <sz val="8"/>
            <color indexed="81"/>
            <rFont val="Tahoma"/>
            <family val="2"/>
          </rPr>
          <t>grunke:</t>
        </r>
        <r>
          <rPr>
            <sz val="8"/>
            <color indexed="81"/>
            <rFont val="Tahoma"/>
            <family val="2"/>
          </rPr>
          <t xml:space="preserve">
Black Flag sold in 4Q03</t>
        </r>
      </text>
    </comment>
    <comment ref="W128" authorId="0">
      <text>
        <r>
          <rPr>
            <b/>
            <sz val="8"/>
            <color indexed="81"/>
            <rFont val="Tahoma"/>
            <family val="2"/>
          </rPr>
          <t>grunke:</t>
        </r>
        <r>
          <rPr>
            <sz val="8"/>
            <color indexed="81"/>
            <rFont val="Tahoma"/>
            <family val="2"/>
          </rPr>
          <t xml:space="preserve">
Category softness early in quarter</t>
        </r>
      </text>
    </comment>
    <comment ref="X128" authorId="0">
      <text>
        <r>
          <rPr>
            <b/>
            <sz val="8"/>
            <color indexed="81"/>
            <rFont val="Tahoma"/>
            <family val="2"/>
          </rPr>
          <t>grunke:</t>
        </r>
        <r>
          <rPr>
            <sz val="8"/>
            <color indexed="81"/>
            <rFont val="Tahoma"/>
            <family val="2"/>
          </rPr>
          <t xml:space="preserve">
Merchandising, distribution gains </t>
        </r>
      </text>
    </comment>
    <comment ref="N130" authorId="0">
      <text>
        <r>
          <rPr>
            <b/>
            <sz val="8"/>
            <color indexed="81"/>
            <rFont val="Tahoma"/>
            <family val="2"/>
          </rPr>
          <t>grunke:</t>
        </r>
        <r>
          <rPr>
            <sz val="8"/>
            <color indexed="81"/>
            <rFont val="Tahoma"/>
            <family val="2"/>
          </rPr>
          <t xml:space="preserve">
Jonny Cat litter business sold in 2Q03</t>
        </r>
      </text>
    </comment>
    <comment ref="W130" authorId="0">
      <text>
        <r>
          <rPr>
            <b/>
            <sz val="8"/>
            <color indexed="81"/>
            <rFont val="Tahoma"/>
            <family val="2"/>
          </rPr>
          <t>grunke:</t>
        </r>
        <r>
          <rPr>
            <sz val="8"/>
            <color indexed="81"/>
            <rFont val="Tahoma"/>
            <family val="2"/>
          </rPr>
          <t xml:space="preserve">
Distribution Gains </t>
        </r>
      </text>
    </comment>
    <comment ref="X130" authorId="0">
      <text>
        <r>
          <rPr>
            <b/>
            <sz val="8"/>
            <color indexed="81"/>
            <rFont val="Tahoma"/>
            <family val="2"/>
          </rPr>
          <t>grunke:</t>
        </r>
        <r>
          <rPr>
            <sz val="8"/>
            <color indexed="81"/>
            <rFont val="Tahoma"/>
            <family val="2"/>
          </rPr>
          <t xml:space="preserve">
Distribution gains, strong promo events</t>
        </r>
      </text>
    </comment>
    <comment ref="W132" authorId="0">
      <text>
        <r>
          <rPr>
            <b/>
            <sz val="8"/>
            <color indexed="81"/>
            <rFont val="Tahoma"/>
            <family val="2"/>
          </rPr>
          <t>grunke:</t>
        </r>
        <r>
          <rPr>
            <sz val="8"/>
            <color indexed="81"/>
            <rFont val="Tahoma"/>
            <family val="2"/>
          </rPr>
          <t xml:space="preserve">
Early Q category softness in dressings, competition in marinades</t>
        </r>
      </text>
    </comment>
    <comment ref="X132" authorId="0">
      <text>
        <r>
          <rPr>
            <b/>
            <sz val="8"/>
            <color indexed="81"/>
            <rFont val="Tahoma"/>
            <family val="2"/>
          </rPr>
          <t>grunke:</t>
        </r>
        <r>
          <rPr>
            <sz val="8"/>
            <color indexed="81"/>
            <rFont val="Tahoma"/>
            <family val="2"/>
          </rPr>
          <t xml:space="preserve">
Distribution, increased advertising and merchandising</t>
        </r>
      </text>
    </comment>
    <comment ref="AC133" authorId="0">
      <text>
        <r>
          <rPr>
            <b/>
            <sz val="8"/>
            <color indexed="81"/>
            <rFont val="Tahoma"/>
            <family val="2"/>
          </rPr>
          <t>grunke:</t>
        </r>
        <r>
          <rPr>
            <sz val="8"/>
            <color indexed="81"/>
            <rFont val="Tahoma"/>
            <family val="2"/>
          </rPr>
          <t xml:space="preserve">
volume run rate similar to 1Q in advance of 3Q charcoal launch</t>
        </r>
      </text>
    </comment>
    <comment ref="AD133" authorId="0">
      <text>
        <r>
          <rPr>
            <b/>
            <sz val="8"/>
            <color indexed="81"/>
            <rFont val="Tahoma"/>
            <family val="2"/>
          </rPr>
          <t>grunke:</t>
        </r>
        <r>
          <rPr>
            <sz val="8"/>
            <color indexed="81"/>
            <rFont val="Tahoma"/>
            <family val="2"/>
          </rPr>
          <t xml:space="preserve">
Impact of charcoal new product launch</t>
        </r>
      </text>
    </comment>
    <comment ref="AE133" authorId="0">
      <text>
        <r>
          <rPr>
            <b/>
            <sz val="8"/>
            <color indexed="81"/>
            <rFont val="Tahoma"/>
            <family val="2"/>
          </rPr>
          <t>grunke:</t>
        </r>
        <r>
          <rPr>
            <sz val="8"/>
            <color indexed="81"/>
            <rFont val="Tahoma"/>
            <family val="2"/>
          </rPr>
          <t xml:space="preserve">
Impact of charcoal new product launch</t>
        </r>
      </text>
    </comment>
    <comment ref="AF133" authorId="0">
      <text>
        <r>
          <rPr>
            <b/>
            <sz val="8"/>
            <color indexed="81"/>
            <rFont val="Tahoma"/>
            <family val="2"/>
          </rPr>
          <t>grunke:</t>
        </r>
        <r>
          <rPr>
            <sz val="8"/>
            <color indexed="81"/>
            <rFont val="Tahoma"/>
            <family val="2"/>
          </rPr>
          <t xml:space="preserve">
Food (1): lower bbq sauce on competitive activity, salad dressing increases partially offset
cat litter +5
charcoal +1</t>
        </r>
      </text>
    </comment>
    <comment ref="AG134" authorId="0">
      <text>
        <r>
          <rPr>
            <b/>
            <sz val="8"/>
            <color indexed="81"/>
            <rFont val="Tahoma"/>
            <family val="2"/>
          </rPr>
          <t>grunke:</t>
        </r>
        <r>
          <rPr>
            <sz val="8"/>
            <color indexed="81"/>
            <rFont val="Tahoma"/>
            <family val="2"/>
          </rPr>
          <t xml:space="preserve">
Benefitting from 2 cat litter price increases:  
Oct '05 -- 5%
June '06 -- 6%</t>
        </r>
      </text>
    </comment>
    <comment ref="AH134" authorId="0">
      <text>
        <r>
          <rPr>
            <b/>
            <sz val="8"/>
            <color indexed="81"/>
            <rFont val="Tahoma"/>
            <family val="2"/>
          </rPr>
          <t>grunke:</t>
        </r>
        <r>
          <rPr>
            <sz val="8"/>
            <color indexed="81"/>
            <rFont val="Tahoma"/>
            <family val="2"/>
          </rPr>
          <t xml:space="preserve">
lap litter price increase (6% of sales, 5% increase)</t>
        </r>
      </text>
    </comment>
    <comment ref="AI134" authorId="0">
      <text>
        <r>
          <rPr>
            <b/>
            <sz val="8"/>
            <color indexed="81"/>
            <rFont val="Tahoma"/>
            <family val="2"/>
          </rPr>
          <t>grunke:</t>
        </r>
        <r>
          <rPr>
            <sz val="8"/>
            <color indexed="81"/>
            <rFont val="Tahoma"/>
            <family val="2"/>
          </rPr>
          <t xml:space="preserve">
charcoal &amp; lighter fluid increase of 4-8% (assume avg 6%)</t>
        </r>
      </text>
    </comment>
    <comment ref="AJ134" authorId="0">
      <text>
        <r>
          <rPr>
            <b/>
            <sz val="8"/>
            <color indexed="81"/>
            <rFont val="Tahoma"/>
            <family val="2"/>
          </rPr>
          <t>grunke:</t>
        </r>
        <r>
          <rPr>
            <sz val="8"/>
            <color indexed="81"/>
            <rFont val="Tahoma"/>
            <family val="2"/>
          </rPr>
          <t xml:space="preserve">
charcoal &amp; lighter fluid increase of 4-8% (assume avg 6%)</t>
        </r>
      </text>
    </comment>
    <comment ref="M143" authorId="0">
      <text>
        <r>
          <rPr>
            <b/>
            <sz val="8"/>
            <color indexed="81"/>
            <rFont val="Tahoma"/>
            <family val="2"/>
          </rPr>
          <t>grunke:</t>
        </r>
        <r>
          <rPr>
            <sz val="8"/>
            <color indexed="81"/>
            <rFont val="Tahoma"/>
            <family val="2"/>
          </rPr>
          <t xml:space="preserve">
Deteriorating South America macros</t>
        </r>
      </text>
    </comment>
    <comment ref="Q143" authorId="0">
      <text>
        <r>
          <rPr>
            <b/>
            <sz val="8"/>
            <color indexed="81"/>
            <rFont val="Tahoma"/>
            <family val="2"/>
          </rPr>
          <t>grunke:</t>
        </r>
        <r>
          <rPr>
            <sz val="8"/>
            <color indexed="81"/>
            <rFont val="Tahoma"/>
            <family val="2"/>
          </rPr>
          <t xml:space="preserve">
Macro softness/portfolio rationalization in Latam</t>
        </r>
      </text>
    </comment>
    <comment ref="AL143" authorId="0">
      <text>
        <r>
          <rPr>
            <b/>
            <sz val="8"/>
            <color indexed="81"/>
            <rFont val="Tahoma"/>
            <family val="2"/>
          </rPr>
          <t>grunke:</t>
        </r>
        <r>
          <rPr>
            <sz val="8"/>
            <color indexed="81"/>
            <rFont val="Tahoma"/>
            <family val="2"/>
          </rPr>
          <t xml:space="preserve">
assumes bleach acq impact entirely volume</t>
        </r>
      </text>
    </comment>
    <comment ref="AM143" authorId="0">
      <text>
        <r>
          <rPr>
            <b/>
            <sz val="8"/>
            <color indexed="81"/>
            <rFont val="Tahoma"/>
            <family val="2"/>
          </rPr>
          <t>grunke:</t>
        </r>
        <r>
          <rPr>
            <sz val="8"/>
            <color indexed="81"/>
            <rFont val="Tahoma"/>
            <family val="2"/>
          </rPr>
          <t xml:space="preserve">
assumes bleach acq impact entirely volume</t>
        </r>
      </text>
    </comment>
    <comment ref="AN143" authorId="0">
      <text>
        <r>
          <rPr>
            <b/>
            <sz val="8"/>
            <color indexed="81"/>
            <rFont val="Tahoma"/>
            <family val="2"/>
          </rPr>
          <t>grunke:</t>
        </r>
        <r>
          <rPr>
            <sz val="8"/>
            <color indexed="81"/>
            <rFont val="Tahoma"/>
            <family val="2"/>
          </rPr>
          <t xml:space="preserve">
assumes 1/2 acq/divest impact due to volume</t>
        </r>
      </text>
    </comment>
    <comment ref="H145" authorId="0">
      <text>
        <r>
          <rPr>
            <b/>
            <sz val="8"/>
            <color indexed="81"/>
            <rFont val="Tahoma"/>
            <family val="2"/>
          </rPr>
          <t>grunke:</t>
        </r>
        <r>
          <rPr>
            <sz val="8"/>
            <color indexed="81"/>
            <rFont val="Tahoma"/>
            <family val="2"/>
          </rPr>
          <t xml:space="preserve">
legacy MS</t>
        </r>
      </text>
    </comment>
    <comment ref="I145" authorId="0">
      <text>
        <r>
          <rPr>
            <b/>
            <sz val="8"/>
            <color indexed="81"/>
            <rFont val="Tahoma"/>
            <family val="2"/>
          </rPr>
          <t>grunke:</t>
        </r>
        <r>
          <rPr>
            <sz val="8"/>
            <color indexed="81"/>
            <rFont val="Tahoma"/>
            <family val="2"/>
          </rPr>
          <t xml:space="preserve">
legacy MS</t>
        </r>
      </text>
    </comment>
    <comment ref="J145" authorId="0">
      <text>
        <r>
          <rPr>
            <b/>
            <sz val="8"/>
            <color indexed="81"/>
            <rFont val="Tahoma"/>
            <family val="2"/>
          </rPr>
          <t>grunke:</t>
        </r>
        <r>
          <rPr>
            <sz val="8"/>
            <color indexed="81"/>
            <rFont val="Tahoma"/>
            <family val="2"/>
          </rPr>
          <t xml:space="preserve">
legacy MS</t>
        </r>
      </text>
    </comment>
    <comment ref="K145" authorId="0">
      <text>
        <r>
          <rPr>
            <b/>
            <sz val="8"/>
            <color indexed="81"/>
            <rFont val="Tahoma"/>
            <family val="2"/>
          </rPr>
          <t>grunke:</t>
        </r>
        <r>
          <rPr>
            <sz val="8"/>
            <color indexed="81"/>
            <rFont val="Tahoma"/>
            <family val="2"/>
          </rPr>
          <t xml:space="preserve">
MS est.</t>
        </r>
      </text>
    </comment>
    <comment ref="M145" authorId="0">
      <text>
        <r>
          <rPr>
            <b/>
            <sz val="8"/>
            <color indexed="81"/>
            <rFont val="Tahoma"/>
            <family val="2"/>
          </rPr>
          <t>grunke:</t>
        </r>
        <r>
          <rPr>
            <sz val="8"/>
            <color indexed="81"/>
            <rFont val="Tahoma"/>
            <family val="2"/>
          </rPr>
          <t xml:space="preserve">
MS est. - assumes intl drives 65% of FX impact</t>
        </r>
      </text>
    </comment>
    <comment ref="N145" authorId="0">
      <text>
        <r>
          <rPr>
            <b/>
            <sz val="8"/>
            <color indexed="81"/>
            <rFont val="Tahoma"/>
            <family val="2"/>
          </rPr>
          <t>grunke:</t>
        </r>
        <r>
          <rPr>
            <sz val="8"/>
            <color indexed="81"/>
            <rFont val="Tahoma"/>
            <family val="2"/>
          </rPr>
          <t xml:space="preserve">
MS est. - assumes intl drives 65% of FX impact</t>
        </r>
      </text>
    </comment>
    <comment ref="O145" authorId="0">
      <text>
        <r>
          <rPr>
            <b/>
            <sz val="8"/>
            <color indexed="81"/>
            <rFont val="Tahoma"/>
            <family val="2"/>
          </rPr>
          <t>grunke:</t>
        </r>
        <r>
          <rPr>
            <sz val="8"/>
            <color indexed="81"/>
            <rFont val="Tahoma"/>
            <family val="2"/>
          </rPr>
          <t xml:space="preserve">
MS est. - assumes intl drives 65% of FX impact</t>
        </r>
      </text>
    </comment>
    <comment ref="P145" authorId="0">
      <text>
        <r>
          <rPr>
            <b/>
            <sz val="8"/>
            <color indexed="81"/>
            <rFont val="Tahoma"/>
            <family val="2"/>
          </rPr>
          <t>grunke:</t>
        </r>
        <r>
          <rPr>
            <sz val="8"/>
            <color indexed="81"/>
            <rFont val="Tahoma"/>
            <family val="2"/>
          </rPr>
          <t xml:space="preserve">
MS est. - assumes intl drives 65% of FX impact</t>
        </r>
      </text>
    </comment>
    <comment ref="Q145" authorId="0">
      <text>
        <r>
          <rPr>
            <b/>
            <sz val="8"/>
            <color indexed="81"/>
            <rFont val="Tahoma"/>
            <family val="2"/>
          </rPr>
          <t>grunke:</t>
        </r>
        <r>
          <rPr>
            <sz val="8"/>
            <color indexed="81"/>
            <rFont val="Tahoma"/>
            <family val="2"/>
          </rPr>
          <t xml:space="preserve">
MS est. - assumes intl drives 65% of FX impact</t>
        </r>
      </text>
    </comment>
    <comment ref="W145" authorId="0">
      <text>
        <r>
          <rPr>
            <b/>
            <sz val="8"/>
            <color indexed="81"/>
            <rFont val="Tahoma"/>
            <family val="2"/>
          </rPr>
          <t>grunke:</t>
        </r>
        <r>
          <rPr>
            <sz val="8"/>
            <color indexed="81"/>
            <rFont val="Tahoma"/>
            <family val="2"/>
          </rPr>
          <t xml:space="preserve">
legacy MS</t>
        </r>
      </text>
    </comment>
    <comment ref="X145" authorId="0">
      <text>
        <r>
          <rPr>
            <b/>
            <sz val="8"/>
            <color indexed="81"/>
            <rFont val="Tahoma"/>
            <family val="2"/>
          </rPr>
          <t>grunke:</t>
        </r>
        <r>
          <rPr>
            <sz val="8"/>
            <color indexed="81"/>
            <rFont val="Tahoma"/>
            <family val="2"/>
          </rPr>
          <t xml:space="preserve">
legacy MS</t>
        </r>
      </text>
    </comment>
    <comment ref="Y145" authorId="0">
      <text>
        <r>
          <rPr>
            <b/>
            <sz val="8"/>
            <color indexed="81"/>
            <rFont val="Tahoma"/>
            <family val="2"/>
          </rPr>
          <t>grunke:</t>
        </r>
        <r>
          <rPr>
            <sz val="8"/>
            <color indexed="81"/>
            <rFont val="Tahoma"/>
            <family val="2"/>
          </rPr>
          <t xml:space="preserve">
legacy MS</t>
        </r>
      </text>
    </comment>
    <comment ref="Z145" authorId="0">
      <text>
        <r>
          <rPr>
            <b/>
            <sz val="8"/>
            <color indexed="81"/>
            <rFont val="Tahoma"/>
            <family val="2"/>
          </rPr>
          <t>grunke:</t>
        </r>
        <r>
          <rPr>
            <sz val="8"/>
            <color indexed="81"/>
            <rFont val="Tahoma"/>
            <family val="2"/>
          </rPr>
          <t xml:space="preserve">
legacy MS</t>
        </r>
      </text>
    </comment>
    <comment ref="AA145" authorId="0">
      <text>
        <r>
          <rPr>
            <b/>
            <sz val="8"/>
            <color indexed="81"/>
            <rFont val="Tahoma"/>
            <family val="2"/>
          </rPr>
          <t>grunke:</t>
        </r>
        <r>
          <rPr>
            <sz val="8"/>
            <color indexed="81"/>
            <rFont val="Tahoma"/>
            <family val="2"/>
          </rPr>
          <t xml:space="preserve">
legacy MS</t>
        </r>
      </text>
    </comment>
    <comment ref="AB145" authorId="0">
      <text>
        <r>
          <rPr>
            <b/>
            <sz val="8"/>
            <color indexed="81"/>
            <rFont val="Tahoma"/>
            <family val="2"/>
          </rPr>
          <t>grunke:</t>
        </r>
        <r>
          <rPr>
            <sz val="8"/>
            <color indexed="81"/>
            <rFont val="Tahoma"/>
            <family val="2"/>
          </rPr>
          <t xml:space="preserve">
legacy MS</t>
        </r>
      </text>
    </comment>
    <comment ref="AC145" authorId="0">
      <text>
        <r>
          <rPr>
            <b/>
            <sz val="8"/>
            <color indexed="81"/>
            <rFont val="Tahoma"/>
            <family val="2"/>
          </rPr>
          <t>grunke:</t>
        </r>
        <r>
          <rPr>
            <sz val="8"/>
            <color indexed="81"/>
            <rFont val="Tahoma"/>
            <family val="2"/>
          </rPr>
          <t xml:space="preserve">
legacy MS</t>
        </r>
      </text>
    </comment>
    <comment ref="AD145" authorId="0">
      <text>
        <r>
          <rPr>
            <b/>
            <sz val="8"/>
            <color indexed="81"/>
            <rFont val="Tahoma"/>
            <family val="2"/>
          </rPr>
          <t>grunke:</t>
        </r>
        <r>
          <rPr>
            <sz val="8"/>
            <color indexed="81"/>
            <rFont val="Tahoma"/>
            <family val="2"/>
          </rPr>
          <t xml:space="preserve">
legacy MS</t>
        </r>
      </text>
    </comment>
    <comment ref="AE145" authorId="0">
      <text>
        <r>
          <rPr>
            <b/>
            <sz val="8"/>
            <color indexed="81"/>
            <rFont val="Tahoma"/>
            <family val="2"/>
          </rPr>
          <t>grunke:</t>
        </r>
        <r>
          <rPr>
            <sz val="8"/>
            <color indexed="81"/>
            <rFont val="Tahoma"/>
            <family val="2"/>
          </rPr>
          <t xml:space="preserve">
legacy MS</t>
        </r>
      </text>
    </comment>
    <comment ref="AF145" authorId="0">
      <text>
        <r>
          <rPr>
            <b/>
            <sz val="8"/>
            <color indexed="81"/>
            <rFont val="Tahoma"/>
            <family val="2"/>
          </rPr>
          <t>grunke:</t>
        </r>
        <r>
          <rPr>
            <sz val="8"/>
            <color indexed="81"/>
            <rFont val="Tahoma"/>
            <family val="2"/>
          </rPr>
          <t xml:space="preserve">
legacy MS</t>
        </r>
      </text>
    </comment>
    <comment ref="AG145" authorId="0">
      <text>
        <r>
          <rPr>
            <b/>
            <sz val="8"/>
            <color indexed="81"/>
            <rFont val="Tahoma"/>
            <family val="2"/>
          </rPr>
          <t>grunke:</t>
        </r>
        <r>
          <rPr>
            <sz val="8"/>
            <color indexed="81"/>
            <rFont val="Tahoma"/>
            <family val="2"/>
          </rPr>
          <t xml:space="preserve">
legacy MS</t>
        </r>
      </text>
    </comment>
    <comment ref="AH145" authorId="0">
      <text>
        <r>
          <rPr>
            <b/>
            <sz val="8"/>
            <color indexed="81"/>
            <rFont val="Tahoma"/>
            <family val="2"/>
          </rPr>
          <t>grunke:</t>
        </r>
        <r>
          <rPr>
            <sz val="8"/>
            <color indexed="81"/>
            <rFont val="Tahoma"/>
            <family val="2"/>
          </rPr>
          <t xml:space="preserve">
legacy MS</t>
        </r>
      </text>
    </comment>
    <comment ref="AI145" authorId="0">
      <text>
        <r>
          <rPr>
            <b/>
            <sz val="8"/>
            <color indexed="81"/>
            <rFont val="Tahoma"/>
            <family val="2"/>
          </rPr>
          <t>grunke:</t>
        </r>
        <r>
          <rPr>
            <sz val="8"/>
            <color indexed="81"/>
            <rFont val="Tahoma"/>
            <family val="2"/>
          </rPr>
          <t xml:space="preserve">
legacy MS</t>
        </r>
      </text>
    </comment>
    <comment ref="AK145" authorId="0">
      <text>
        <r>
          <rPr>
            <b/>
            <sz val="8"/>
            <color indexed="81"/>
            <rFont val="Tahoma"/>
            <family val="2"/>
          </rPr>
          <t>grunke:</t>
        </r>
        <r>
          <rPr>
            <sz val="8"/>
            <color indexed="81"/>
            <rFont val="Tahoma"/>
            <family val="2"/>
          </rPr>
          <t xml:space="preserve">
legacy MS</t>
        </r>
      </text>
    </comment>
    <comment ref="H146" authorId="0">
      <text>
        <r>
          <rPr>
            <b/>
            <sz val="8"/>
            <color indexed="81"/>
            <rFont val="Tahoma"/>
            <family val="2"/>
          </rPr>
          <t>grunke:</t>
        </r>
        <r>
          <rPr>
            <sz val="8"/>
            <color indexed="81"/>
            <rFont val="Tahoma"/>
            <family val="2"/>
          </rPr>
          <t xml:space="preserve">
legacy MS</t>
        </r>
      </text>
    </comment>
    <comment ref="I146" authorId="0">
      <text>
        <r>
          <rPr>
            <b/>
            <sz val="8"/>
            <color indexed="81"/>
            <rFont val="Tahoma"/>
            <family val="2"/>
          </rPr>
          <t>grunke:</t>
        </r>
        <r>
          <rPr>
            <sz val="8"/>
            <color indexed="81"/>
            <rFont val="Tahoma"/>
            <family val="2"/>
          </rPr>
          <t xml:space="preserve">
legacy MS</t>
        </r>
      </text>
    </comment>
    <comment ref="J146" authorId="0">
      <text>
        <r>
          <rPr>
            <b/>
            <sz val="8"/>
            <color indexed="81"/>
            <rFont val="Tahoma"/>
            <family val="2"/>
          </rPr>
          <t>grunke:</t>
        </r>
        <r>
          <rPr>
            <sz val="8"/>
            <color indexed="81"/>
            <rFont val="Tahoma"/>
            <family val="2"/>
          </rPr>
          <t xml:space="preserve">
legacy MS</t>
        </r>
      </text>
    </comment>
    <comment ref="K146" authorId="0">
      <text>
        <r>
          <rPr>
            <b/>
            <sz val="8"/>
            <color indexed="81"/>
            <rFont val="Tahoma"/>
            <family val="2"/>
          </rPr>
          <t>grunke:</t>
        </r>
        <r>
          <rPr>
            <sz val="8"/>
            <color indexed="81"/>
            <rFont val="Tahoma"/>
            <family val="2"/>
          </rPr>
          <t xml:space="preserve">
legacy MS</t>
        </r>
      </text>
    </comment>
    <comment ref="L146" authorId="0">
      <text>
        <r>
          <rPr>
            <b/>
            <sz val="8"/>
            <color indexed="81"/>
            <rFont val="Tahoma"/>
            <family val="2"/>
          </rPr>
          <t>grunke:</t>
        </r>
        <r>
          <rPr>
            <sz val="8"/>
            <color indexed="81"/>
            <rFont val="Tahoma"/>
            <family val="2"/>
          </rPr>
          <t xml:space="preserve">
legacy MS</t>
        </r>
      </text>
    </comment>
    <comment ref="AJ146" authorId="0">
      <text>
        <r>
          <rPr>
            <b/>
            <sz val="8"/>
            <color indexed="81"/>
            <rFont val="Tahoma"/>
            <family val="2"/>
          </rPr>
          <t>grunke:</t>
        </r>
        <r>
          <rPr>
            <sz val="8"/>
            <color indexed="81"/>
            <rFont val="Tahoma"/>
            <family val="2"/>
          </rPr>
          <t xml:space="preserve">
acquistion impact
4.5% volume
3.5% mix</t>
        </r>
      </text>
    </comment>
    <comment ref="H147" authorId="0">
      <text>
        <r>
          <rPr>
            <b/>
            <sz val="8"/>
            <color indexed="81"/>
            <rFont val="Tahoma"/>
            <family val="2"/>
          </rPr>
          <t>grunke:</t>
        </r>
        <r>
          <rPr>
            <sz val="8"/>
            <color indexed="81"/>
            <rFont val="Tahoma"/>
            <family val="2"/>
          </rPr>
          <t xml:space="preserve">
10-Q to adjust for disc ops (Brazil), which is excluded from our segment sales $ above </t>
        </r>
      </text>
    </comment>
    <comment ref="W147" authorId="0">
      <text>
        <r>
          <rPr>
            <b/>
            <sz val="8"/>
            <color indexed="81"/>
            <rFont val="Tahoma"/>
            <family val="2"/>
          </rPr>
          <t>grunke:</t>
        </r>
        <r>
          <rPr>
            <sz val="8"/>
            <color indexed="81"/>
            <rFont val="Tahoma"/>
            <family val="2"/>
          </rPr>
          <t xml:space="preserve">
- provided by CLX 
- will not recalc YoY due to restatements made in fiscal 2006</t>
        </r>
      </text>
    </comment>
    <comment ref="X147" authorId="0">
      <text>
        <r>
          <rPr>
            <b/>
            <sz val="8"/>
            <color indexed="81"/>
            <rFont val="Tahoma"/>
            <family val="2"/>
          </rPr>
          <t>grunke:</t>
        </r>
        <r>
          <rPr>
            <sz val="8"/>
            <color indexed="81"/>
            <rFont val="Tahoma"/>
            <family val="2"/>
          </rPr>
          <t xml:space="preserve">
- provided by CLX 
- will not recalc YoY due to restatements made in fiscal 2006</t>
        </r>
      </text>
    </comment>
    <comment ref="Y147" authorId="0">
      <text>
        <r>
          <rPr>
            <b/>
            <sz val="8"/>
            <color indexed="81"/>
            <rFont val="Tahoma"/>
            <family val="2"/>
          </rPr>
          <t>grunke:</t>
        </r>
        <r>
          <rPr>
            <sz val="8"/>
            <color indexed="81"/>
            <rFont val="Tahoma"/>
            <family val="2"/>
          </rPr>
          <t xml:space="preserve">
- provided by CLX 
- will not recalc YoY due to restatements made in fiscal 2006</t>
        </r>
      </text>
    </comment>
    <comment ref="Z147" authorId="0">
      <text>
        <r>
          <rPr>
            <b/>
            <sz val="8"/>
            <color indexed="81"/>
            <rFont val="Tahoma"/>
            <family val="2"/>
          </rPr>
          <t>grunke:</t>
        </r>
        <r>
          <rPr>
            <sz val="8"/>
            <color indexed="81"/>
            <rFont val="Tahoma"/>
            <family val="2"/>
          </rPr>
          <t xml:space="preserve">
- provided by CLX 
- will not recalc YoY due to restatements made in fiscal 2006</t>
        </r>
      </text>
    </comment>
    <comment ref="AA147" authorId="0">
      <text>
        <r>
          <rPr>
            <b/>
            <sz val="8"/>
            <color indexed="81"/>
            <rFont val="Tahoma"/>
            <family val="2"/>
          </rPr>
          <t>grunke:</t>
        </r>
        <r>
          <rPr>
            <sz val="8"/>
            <color indexed="81"/>
            <rFont val="Tahoma"/>
            <family val="2"/>
          </rPr>
          <t xml:space="preserve">
- provided by CLX 
- will not recalc YoY due to restatements made in fiscal 2006</t>
        </r>
      </text>
    </comment>
    <comment ref="AK147" authorId="8">
      <text>
        <r>
          <rPr>
            <sz val="8"/>
            <color indexed="81"/>
            <rFont val="Tahoma"/>
            <family val="2"/>
          </rPr>
          <t>includes less than 1% from CL's bleach business</t>
        </r>
      </text>
    </comment>
    <comment ref="A153" authorId="0">
      <text>
        <r>
          <rPr>
            <b/>
            <sz val="8"/>
            <color indexed="81"/>
            <rFont val="Tahoma"/>
            <family val="2"/>
          </rPr>
          <t>grunke:</t>
        </r>
        <r>
          <rPr>
            <sz val="8"/>
            <color indexed="81"/>
            <rFont val="Tahoma"/>
            <family val="2"/>
          </rPr>
          <t xml:space="preserve">
includes one-time items</t>
        </r>
      </text>
    </comment>
    <comment ref="BP157" authorId="2">
      <text>
        <r>
          <rPr>
            <b/>
            <sz val="9"/>
            <color indexed="81"/>
            <rFont val="Tahoma"/>
            <family val="2"/>
          </rPr>
          <t>McHugh, Tom (Research):</t>
        </r>
        <r>
          <rPr>
            <sz val="9"/>
            <color indexed="81"/>
            <rFont val="Tahoma"/>
            <family val="2"/>
          </rPr>
          <t xml:space="preserve">
Restated due to VZ exit, was 28</t>
        </r>
      </text>
    </comment>
    <comment ref="BQ157" authorId="2">
      <text>
        <r>
          <rPr>
            <b/>
            <sz val="9"/>
            <color indexed="81"/>
            <rFont val="Tahoma"/>
            <family val="2"/>
          </rPr>
          <t>McHugh, Tom (Research):</t>
        </r>
        <r>
          <rPr>
            <sz val="9"/>
            <color indexed="81"/>
            <rFont val="Tahoma"/>
            <family val="2"/>
          </rPr>
          <t xml:space="preserve">
Restated due to VZ exit, was 30</t>
        </r>
      </text>
    </comment>
    <comment ref="BR157" authorId="2">
      <text>
        <r>
          <rPr>
            <b/>
            <sz val="9"/>
            <color indexed="81"/>
            <rFont val="Tahoma"/>
            <family val="2"/>
          </rPr>
          <t>McHugh, Tom (Research):</t>
        </r>
        <r>
          <rPr>
            <sz val="9"/>
            <color indexed="81"/>
            <rFont val="Tahoma"/>
            <family val="2"/>
          </rPr>
          <t xml:space="preserve">
Restated due to VZ exit, was 11</t>
        </r>
      </text>
    </comment>
    <comment ref="BS157" authorId="2">
      <text>
        <r>
          <rPr>
            <b/>
            <sz val="9"/>
            <color indexed="81"/>
            <rFont val="Tahoma"/>
            <family val="2"/>
          </rPr>
          <t>McHugh, Tom (Research):</t>
        </r>
        <r>
          <rPr>
            <sz val="9"/>
            <color indexed="81"/>
            <rFont val="Tahoma"/>
            <family val="2"/>
          </rPr>
          <t xml:space="preserve">
Restated due to VZ exit, was 7</t>
        </r>
      </text>
    </comment>
    <comment ref="A159" authorId="0">
      <text>
        <r>
          <rPr>
            <b/>
            <sz val="8"/>
            <color indexed="81"/>
            <rFont val="Tahoma"/>
            <family val="2"/>
          </rPr>
          <t>grunke:</t>
        </r>
        <r>
          <rPr>
            <sz val="8"/>
            <color indexed="81"/>
            <rFont val="Tahoma"/>
            <family val="2"/>
          </rPr>
          <t xml:space="preserve">
Primarily Corporte operating expenses, but also relatively immaterial non-operating income items (see rows 68-72 on Financials tab), which generally net out to close to zero</t>
        </r>
      </text>
    </comment>
    <comment ref="BE159" authorId="0">
      <text>
        <r>
          <rPr>
            <b/>
            <sz val="8"/>
            <color indexed="81"/>
            <rFont val="Tahoma"/>
            <family val="2"/>
          </rPr>
          <t xml:space="preserve">grunke:
</t>
        </r>
        <r>
          <rPr>
            <sz val="8"/>
            <color indexed="81"/>
            <rFont val="Tahoma"/>
            <family val="2"/>
          </rPr>
          <t xml:space="preserve">forecast based on F2010 corp exp ex auto care </t>
        </r>
      </text>
    </comment>
    <comment ref="A160" authorId="0">
      <text>
        <r>
          <rPr>
            <b/>
            <sz val="8"/>
            <color indexed="81"/>
            <rFont val="Tahoma"/>
            <family val="2"/>
          </rPr>
          <t>grunke:</t>
        </r>
        <r>
          <rPr>
            <sz val="8"/>
            <color indexed="81"/>
            <rFont val="Tahoma"/>
            <family val="2"/>
          </rPr>
          <t xml:space="preserve">
will not reconcile to Operating Profit given it includes non-operating items (ex interest expense)</t>
        </r>
      </text>
    </comment>
    <comment ref="A166" authorId="0">
      <text>
        <r>
          <rPr>
            <b/>
            <sz val="8"/>
            <color indexed="81"/>
            <rFont val="Tahoma"/>
            <family val="2"/>
          </rPr>
          <t>grunke:</t>
        </r>
        <r>
          <rPr>
            <sz val="8"/>
            <color indexed="81"/>
            <rFont val="Tahoma"/>
            <family val="2"/>
          </rPr>
          <t xml:space="preserve">
includes other non op income/expense from financials tab for forecasted periods (ex-FX) which is pushed down to segments </t>
        </r>
      </text>
    </comment>
    <comment ref="A169" authorId="0">
      <text>
        <r>
          <rPr>
            <b/>
            <sz val="8"/>
            <color indexed="81"/>
            <rFont val="Tahoma"/>
            <family val="2"/>
          </rPr>
          <t>grunke:</t>
        </r>
        <r>
          <rPr>
            <sz val="8"/>
            <color indexed="81"/>
            <rFont val="Tahoma"/>
            <family val="2"/>
          </rPr>
          <t xml:space="preserve">
includes one-time items</t>
        </r>
      </text>
    </comment>
    <comment ref="AH171" authorId="0">
      <text>
        <r>
          <rPr>
            <b/>
            <sz val="8"/>
            <color indexed="81"/>
            <rFont val="Tahoma"/>
            <family val="2"/>
          </rPr>
          <t>grunke:</t>
        </r>
        <r>
          <rPr>
            <sz val="8"/>
            <color indexed="81"/>
            <rFont val="Tahoma"/>
            <family val="2"/>
          </rPr>
          <t xml:space="preserve">
Acquired CL's bleach brands in Canada - 12/29/2006 </t>
        </r>
      </text>
    </comment>
    <comment ref="AL171" authorId="0">
      <text>
        <r>
          <rPr>
            <b/>
            <sz val="8"/>
            <color indexed="81"/>
            <rFont val="Tahoma"/>
            <family val="2"/>
          </rPr>
          <t>grunke:</t>
        </r>
        <r>
          <rPr>
            <sz val="8"/>
            <color indexed="81"/>
            <rFont val="Tahoma"/>
            <family val="2"/>
          </rPr>
          <t xml:space="preserve">
Includes $25M of one-time charges</t>
        </r>
      </text>
    </comment>
    <comment ref="AM171" authorId="0">
      <text>
        <r>
          <rPr>
            <b/>
            <sz val="8"/>
            <color indexed="81"/>
            <rFont val="Tahoma"/>
            <family val="2"/>
          </rPr>
          <t>grunke:</t>
        </r>
        <r>
          <rPr>
            <sz val="8"/>
            <color indexed="81"/>
            <rFont val="Tahoma"/>
            <family val="2"/>
          </rPr>
          <t xml:space="preserve">
Includes:
$2M of restructuring charges; and 
$5M of charges related to step up in inventory for Burt's</t>
        </r>
      </text>
    </comment>
    <comment ref="AN171" authorId="0">
      <text>
        <r>
          <rPr>
            <b/>
            <sz val="8"/>
            <color indexed="81"/>
            <rFont val="Tahoma"/>
            <family val="2"/>
          </rPr>
          <t>grunke:</t>
        </r>
        <r>
          <rPr>
            <sz val="8"/>
            <color indexed="81"/>
            <rFont val="Tahoma"/>
            <family val="2"/>
          </rPr>
          <t xml:space="preserve">
Includes $13M of restructuring/asset impairment charges </t>
        </r>
      </text>
    </comment>
    <comment ref="AQ171" authorId="0">
      <text>
        <r>
          <rPr>
            <b/>
            <sz val="8"/>
            <color indexed="81"/>
            <rFont val="Tahoma"/>
            <family val="2"/>
          </rPr>
          <t>grunke:</t>
        </r>
        <r>
          <rPr>
            <sz val="8"/>
            <color indexed="81"/>
            <rFont val="Tahoma"/>
            <family val="2"/>
          </rPr>
          <t xml:space="preserve">
Includes $5M of restructuring/asset impairment charges </t>
        </r>
      </text>
    </comment>
    <comment ref="AR171" authorId="0">
      <text>
        <r>
          <rPr>
            <b/>
            <sz val="8"/>
            <color indexed="81"/>
            <rFont val="Tahoma"/>
            <family val="2"/>
          </rPr>
          <t>grunke:</t>
        </r>
        <r>
          <rPr>
            <sz val="8"/>
            <color indexed="81"/>
            <rFont val="Tahoma"/>
            <family val="2"/>
          </rPr>
          <t xml:space="preserve">
Includes $3M of restructuring/asset impairment charges </t>
        </r>
      </text>
    </comment>
    <comment ref="AI174" authorId="0">
      <text>
        <r>
          <rPr>
            <b/>
            <sz val="8"/>
            <color indexed="81"/>
            <rFont val="Tahoma"/>
            <family val="2"/>
          </rPr>
          <t>grunke:</t>
        </r>
        <r>
          <rPr>
            <sz val="8"/>
            <color indexed="81"/>
            <rFont val="Tahoma"/>
            <family val="2"/>
          </rPr>
          <t xml:space="preserve">
Acquired CL's bleach brands in Lat Am - 2/28/2007 </t>
        </r>
      </text>
    </comment>
    <comment ref="AL174" authorId="0">
      <text>
        <r>
          <rPr>
            <b/>
            <sz val="8"/>
            <color indexed="81"/>
            <rFont val="Tahoma"/>
            <family val="2"/>
          </rPr>
          <t>grunke:</t>
        </r>
        <r>
          <rPr>
            <sz val="8"/>
            <color indexed="81"/>
            <rFont val="Tahoma"/>
            <family val="2"/>
          </rPr>
          <t xml:space="preserve">
Includes $2M of one-time charges</t>
        </r>
      </text>
    </comment>
    <comment ref="AM174" authorId="0">
      <text>
        <r>
          <rPr>
            <b/>
            <sz val="8"/>
            <color indexed="81"/>
            <rFont val="Tahoma"/>
            <family val="2"/>
          </rPr>
          <t>grunke:</t>
        </r>
        <r>
          <rPr>
            <sz val="8"/>
            <color indexed="81"/>
            <rFont val="Tahoma"/>
            <family val="2"/>
          </rPr>
          <t xml:space="preserve">
Includes $3M of one-time charges</t>
        </r>
      </text>
    </comment>
    <comment ref="AN174" authorId="0">
      <text>
        <r>
          <rPr>
            <b/>
            <sz val="8"/>
            <color indexed="81"/>
            <rFont val="Tahoma"/>
            <family val="2"/>
          </rPr>
          <t>grunke:</t>
        </r>
        <r>
          <rPr>
            <sz val="8"/>
            <color indexed="81"/>
            <rFont val="Tahoma"/>
            <family val="2"/>
          </rPr>
          <t xml:space="preserve">
Includes $4M of restructuring/asset impairment charges </t>
        </r>
      </text>
    </comment>
    <comment ref="BI214" authorId="1">
      <text>
        <r>
          <rPr>
            <b/>
            <sz val="8"/>
            <color indexed="81"/>
            <rFont val="Tahoma"/>
            <family val="2"/>
          </rPr>
          <t>mukeruma:</t>
        </r>
        <r>
          <rPr>
            <sz val="8"/>
            <color indexed="81"/>
            <rFont val="Tahoma"/>
            <family val="2"/>
          </rPr>
          <t xml:space="preserve">
lower margin from acquisitions</t>
        </r>
      </text>
    </comment>
    <comment ref="A253" authorId="0">
      <text>
        <r>
          <rPr>
            <b/>
            <sz val="8"/>
            <color indexed="81"/>
            <rFont val="Tahoma"/>
            <family val="2"/>
          </rPr>
          <t>grunke:</t>
        </r>
        <r>
          <rPr>
            <sz val="8"/>
            <color indexed="81"/>
            <rFont val="Tahoma"/>
            <family val="2"/>
          </rPr>
          <t xml:space="preserve">
includes one-time items</t>
        </r>
      </text>
    </comment>
    <comment ref="A284" authorId="0">
      <text>
        <r>
          <rPr>
            <b/>
            <sz val="8"/>
            <color indexed="81"/>
            <rFont val="Tahoma"/>
            <family val="2"/>
          </rPr>
          <t>grunke:</t>
        </r>
        <r>
          <rPr>
            <sz val="8"/>
            <color indexed="81"/>
            <rFont val="Tahoma"/>
            <family val="2"/>
          </rPr>
          <t xml:space="preserve">
Backed into based on new/old - segment reporting </t>
        </r>
      </text>
    </comment>
    <comment ref="CK301" authorId="4">
      <text>
        <r>
          <rPr>
            <b/>
            <sz val="9"/>
            <color indexed="81"/>
            <rFont val="Tahoma"/>
            <family val="2"/>
          </rPr>
          <t>Falorni, Filippo (Research):</t>
        </r>
        <r>
          <rPr>
            <sz val="9"/>
            <color indexed="81"/>
            <rFont val="Tahoma"/>
            <family val="2"/>
          </rPr>
          <t xml:space="preserve">
Nutranext $200M in calendar 2017</t>
        </r>
      </text>
    </comment>
    <comment ref="CL302" authorId="4">
      <text>
        <r>
          <rPr>
            <b/>
            <sz val="9"/>
            <color indexed="81"/>
            <rFont val="Tahoma"/>
            <family val="2"/>
          </rPr>
          <t>Falorni, Filippo (Research):</t>
        </r>
        <r>
          <rPr>
            <sz val="9"/>
            <color indexed="81"/>
            <rFont val="Tahoma"/>
            <family val="2"/>
          </rPr>
          <t xml:space="preserve">
HSD-LDD% growth per IR</t>
        </r>
      </text>
    </comment>
    <comment ref="CM302" authorId="4">
      <text>
        <r>
          <rPr>
            <b/>
            <sz val="9"/>
            <color indexed="81"/>
            <rFont val="Tahoma"/>
            <family val="2"/>
          </rPr>
          <t>Falorni, Filippo (Research):</t>
        </r>
        <r>
          <rPr>
            <sz val="9"/>
            <color indexed="81"/>
            <rFont val="Tahoma"/>
            <family val="2"/>
          </rPr>
          <t xml:space="preserve">
HSD-LDD% growth per IR (3/12/18)</t>
        </r>
      </text>
    </comment>
    <comment ref="CO302" authorId="4">
      <text>
        <r>
          <rPr>
            <b/>
            <sz val="9"/>
            <color indexed="81"/>
            <rFont val="Tahoma"/>
            <family val="2"/>
          </rPr>
          <t>Falorni, Filippo (Research):</t>
        </r>
        <r>
          <rPr>
            <sz val="9"/>
            <color indexed="81"/>
            <rFont val="Tahoma"/>
            <family val="2"/>
          </rPr>
          <t xml:space="preserve">
HSD-LDD% growth per IR</t>
        </r>
      </text>
    </comment>
    <comment ref="CP302" authorId="4">
      <text>
        <r>
          <rPr>
            <b/>
            <sz val="9"/>
            <color indexed="81"/>
            <rFont val="Tahoma"/>
            <family val="2"/>
          </rPr>
          <t>Falorni, Filippo (Research):</t>
        </r>
        <r>
          <rPr>
            <sz val="9"/>
            <color indexed="81"/>
            <rFont val="Tahoma"/>
            <family val="2"/>
          </rPr>
          <t xml:space="preserve">
HSD-LDD% growth per IR</t>
        </r>
      </text>
    </comment>
    <comment ref="CQ302" authorId="4">
      <text>
        <r>
          <rPr>
            <b/>
            <sz val="9"/>
            <color indexed="81"/>
            <rFont val="Tahoma"/>
            <family val="2"/>
          </rPr>
          <t>Falorni, Filippo (Research):</t>
        </r>
        <r>
          <rPr>
            <sz val="9"/>
            <color indexed="81"/>
            <rFont val="Tahoma"/>
            <family val="2"/>
          </rPr>
          <t xml:space="preserve">
HSD-LDD% growth per IR</t>
        </r>
      </text>
    </comment>
    <comment ref="CR302" authorId="4">
      <text>
        <r>
          <rPr>
            <b/>
            <sz val="9"/>
            <color indexed="81"/>
            <rFont val="Tahoma"/>
            <family val="2"/>
          </rPr>
          <t>Falorni, Filippo (Research):</t>
        </r>
        <r>
          <rPr>
            <sz val="9"/>
            <color indexed="81"/>
            <rFont val="Tahoma"/>
            <family val="2"/>
          </rPr>
          <t xml:space="preserve">
HSD-LDD% growth per IR</t>
        </r>
      </text>
    </comment>
    <comment ref="CM303" authorId="4">
      <text>
        <r>
          <rPr>
            <b/>
            <sz val="9"/>
            <color indexed="81"/>
            <rFont val="Tahoma"/>
            <family val="2"/>
          </rPr>
          <t>Falorni, Filippo (Research):</t>
        </r>
        <r>
          <rPr>
            <sz val="9"/>
            <color indexed="81"/>
            <rFont val="Tahoma"/>
            <family val="2"/>
          </rPr>
          <t xml:space="preserve">
Assuming close on April 30th</t>
        </r>
      </text>
    </comment>
    <comment ref="CM304" authorId="4">
      <text>
        <r>
          <rPr>
            <b/>
            <sz val="9"/>
            <color indexed="81"/>
            <rFont val="Tahoma"/>
            <family val="2"/>
          </rPr>
          <t>Falorni, Filippo (Research):</t>
        </r>
        <r>
          <rPr>
            <sz val="9"/>
            <color indexed="81"/>
            <rFont val="Tahoma"/>
            <family val="2"/>
          </rPr>
          <t xml:space="preserve">
90% US per IR (3/12/18)</t>
        </r>
      </text>
    </comment>
  </commentList>
</comments>
</file>

<file path=xl/comments3.xml><?xml version="1.0" encoding="utf-8"?>
<comments xmlns="http://schemas.openxmlformats.org/spreadsheetml/2006/main">
  <authors>
    <author>mukeruma</author>
  </authors>
  <commentList>
    <comment ref="A1" authorId="0">
      <text>
        <r>
          <rPr>
            <b/>
            <sz val="8"/>
            <color indexed="81"/>
            <rFont val="Tahoma"/>
            <family val="2"/>
          </rPr>
          <t>卟䙄_x0001_＀＀镪䷧_x0010_䱃幘䝆䵟呋噟䱁䕕_x0018_＀＀_x0018_＀＀_x0008_＀＀_x0001_＀＀_x0001_＀＀ﷴ磔ҹ䃂㍊䷮_x0010_䱃幘彐剐䍉⡅低⥗_x0018_＀＀_x0018_＀＀_x0008_＀＀_x0001_＀＀_x0001_＀＀ሆ㼔_xD8C6_䁐</t>
        </r>
      </text>
    </comment>
    <comment ref="B1" authorId="0">
      <text>
        <r>
          <rPr>
            <b/>
            <sz val="8"/>
            <color indexed="81"/>
            <rFont val="Tahoma"/>
            <family val="2"/>
          </rPr>
          <t>65</t>
        </r>
      </text>
    </comment>
  </commentList>
</comments>
</file>

<file path=xl/sharedStrings.xml><?xml version="1.0" encoding="utf-8"?>
<sst xmlns="http://schemas.openxmlformats.org/spreadsheetml/2006/main" count="6817" uniqueCount="797">
  <si>
    <t>Free Cash Flow as % of Sales</t>
  </si>
  <si>
    <t>Sep-04</t>
  </si>
  <si>
    <t>Dec-04</t>
  </si>
  <si>
    <t>Mar-05</t>
  </si>
  <si>
    <t>Jun-05</t>
  </si>
  <si>
    <t>2005</t>
  </si>
  <si>
    <t>Sep-05</t>
  </si>
  <si>
    <t>Dec-05</t>
  </si>
  <si>
    <t>Mar-06</t>
  </si>
  <si>
    <t>Jun-06</t>
  </si>
  <si>
    <t>Sep-06</t>
  </si>
  <si>
    <t>Dec-06</t>
  </si>
  <si>
    <t>Mar-07</t>
  </si>
  <si>
    <t>Jun-07</t>
  </si>
  <si>
    <t>Sep-07</t>
  </si>
  <si>
    <t>Dec-07</t>
  </si>
  <si>
    <t>Mar-08</t>
  </si>
  <si>
    <t>Jun-08</t>
  </si>
  <si>
    <t>Sep-08</t>
  </si>
  <si>
    <t>Dec-08</t>
  </si>
  <si>
    <t>Net Sales</t>
  </si>
  <si>
    <t xml:space="preserve">  % change</t>
  </si>
  <si>
    <t>Cost of products sold</t>
  </si>
  <si>
    <t xml:space="preserve">    as a % of net sales</t>
  </si>
  <si>
    <t xml:space="preserve">    % change</t>
  </si>
  <si>
    <t>Gross profit</t>
  </si>
  <si>
    <t>Gross profit, adjusted</t>
  </si>
  <si>
    <t xml:space="preserve">Selling and Administrative </t>
  </si>
  <si>
    <t>Advertising Costs</t>
  </si>
  <si>
    <t xml:space="preserve">    as a % of total sales</t>
  </si>
  <si>
    <t>Research &amp; Development</t>
  </si>
  <si>
    <t>Interest expense</t>
  </si>
  <si>
    <t>Taxes</t>
  </si>
  <si>
    <t xml:space="preserve">  tax rate</t>
  </si>
  <si>
    <t>Net income</t>
  </si>
  <si>
    <t>Assets</t>
  </si>
  <si>
    <t>Excess Cash</t>
  </si>
  <si>
    <t>Cash &amp; Surplus funds</t>
  </si>
  <si>
    <t>Accounts receivable (net)</t>
  </si>
  <si>
    <t>Inventories</t>
  </si>
  <si>
    <t xml:space="preserve">Other current assets </t>
  </si>
  <si>
    <t>Assets held for sale</t>
  </si>
  <si>
    <t>Total current assets</t>
  </si>
  <si>
    <t>Net property, plant and equipment</t>
  </si>
  <si>
    <t>Other</t>
  </si>
  <si>
    <t>Other assets</t>
  </si>
  <si>
    <t>Total assets</t>
  </si>
  <si>
    <t>Liabilities</t>
  </si>
  <si>
    <t>Accounts payable</t>
  </si>
  <si>
    <t>Accrued and other liabilities</t>
  </si>
  <si>
    <t>Income taxes payable</t>
  </si>
  <si>
    <t>Total current liabilities</t>
  </si>
  <si>
    <t>Long term debt</t>
  </si>
  <si>
    <t>Other long-term liabilities</t>
  </si>
  <si>
    <t>Deferred taxes</t>
  </si>
  <si>
    <t>Total liabilities</t>
  </si>
  <si>
    <t>Equity</t>
  </si>
  <si>
    <t>Common stock and APIC</t>
  </si>
  <si>
    <t>Retained earnings</t>
  </si>
  <si>
    <t>Treasury shares</t>
  </si>
  <si>
    <t>Accumulated other comprehensive losses</t>
  </si>
  <si>
    <t>Unearned compensation</t>
  </si>
  <si>
    <t>Total Equity</t>
  </si>
  <si>
    <t>Inventory Days</t>
  </si>
  <si>
    <t>Interest Expense</t>
  </si>
  <si>
    <t>Total Debt</t>
  </si>
  <si>
    <t>Total Net Debt</t>
  </si>
  <si>
    <t>NOPAT</t>
  </si>
  <si>
    <t xml:space="preserve">Cash Flow </t>
  </si>
  <si>
    <t>Net cash from discontinued operations</t>
  </si>
  <si>
    <t>Net cash from operations</t>
  </si>
  <si>
    <t>Capital expenditures</t>
  </si>
  <si>
    <t>Net cash from investments</t>
  </si>
  <si>
    <t>Dividends paid</t>
  </si>
  <si>
    <t>Increase / (decrease) debt</t>
  </si>
  <si>
    <t>Purchase of treasury stock</t>
  </si>
  <si>
    <t>Net cash from financing</t>
  </si>
  <si>
    <t>Effect of FX change on cash</t>
  </si>
  <si>
    <t>Net change in cash</t>
  </si>
  <si>
    <t>Beginning cash and equivalents</t>
  </si>
  <si>
    <t>Ending cash and equivalents</t>
  </si>
  <si>
    <t>CHECK</t>
  </si>
  <si>
    <t>Business Segments:</t>
  </si>
  <si>
    <t>($ in millions)</t>
  </si>
  <si>
    <t>Sales</t>
  </si>
  <si>
    <t>North America</t>
  </si>
  <si>
    <t>Household Group - North America</t>
  </si>
  <si>
    <t>Specialty Group</t>
  </si>
  <si>
    <t>International</t>
  </si>
  <si>
    <t>% change</t>
  </si>
  <si>
    <t>Volume</t>
  </si>
  <si>
    <t>Price / Other</t>
  </si>
  <si>
    <t>Household Group - N.A.</t>
  </si>
  <si>
    <t>Total Specialty Group</t>
  </si>
  <si>
    <t>Bags &amp; Wraps</t>
  </si>
  <si>
    <t>Litter / Food / Charcoal</t>
  </si>
  <si>
    <t>Currency</t>
  </si>
  <si>
    <t>Household Group</t>
  </si>
  <si>
    <t>Check</t>
  </si>
  <si>
    <t>Sales Breakdown</t>
  </si>
  <si>
    <t>United States</t>
  </si>
  <si>
    <t>Foreign</t>
  </si>
  <si>
    <t>Sales Mix</t>
  </si>
  <si>
    <t>EBT Breakdown</t>
  </si>
  <si>
    <t>EBT Mix</t>
  </si>
  <si>
    <t xml:space="preserve">US Household Products and Beverages </t>
  </si>
  <si>
    <t>Dara Mohsenian, CFA</t>
  </si>
  <si>
    <t>(212) 761 - 6575</t>
  </si>
  <si>
    <t>dara.mohsenian@morganstanley.com</t>
  </si>
  <si>
    <t>Clorox (CLX)</t>
  </si>
  <si>
    <t>Income Statement</t>
  </si>
  <si>
    <t>Balance Sheet</t>
  </si>
  <si>
    <t xml:space="preserve">     Change in bps</t>
  </si>
  <si>
    <t>Restructuring (after-tax)</t>
  </si>
  <si>
    <t>Acquisitions/Divestitures</t>
  </si>
  <si>
    <t>Sharecount Rollforward</t>
  </si>
  <si>
    <t>Beginning basic</t>
  </si>
  <si>
    <t>Shares Issued/Other</t>
  </si>
  <si>
    <t>Shares Repurchased</t>
  </si>
  <si>
    <t>Ending basic shares</t>
  </si>
  <si>
    <t>Average basic shares</t>
  </si>
  <si>
    <t>Dilutive Effect of Stock Options</t>
  </si>
  <si>
    <t>Average diluted shares</t>
  </si>
  <si>
    <t>Wtd Avg. Basic Shares</t>
  </si>
  <si>
    <t>Wtd Avg. Diluted Shares</t>
  </si>
  <si>
    <t>Dec-09</t>
  </si>
  <si>
    <t xml:space="preserve">Other income/(expense) </t>
  </si>
  <si>
    <t>Earnings Allocated to Participating Securities</t>
  </si>
  <si>
    <t>Total One-Time Items (after-tax)</t>
  </si>
  <si>
    <t>Sep-09</t>
  </si>
  <si>
    <t xml:space="preserve">Selling and Administrative, adjusted </t>
  </si>
  <si>
    <t>Restructuring</t>
  </si>
  <si>
    <t>GAAP Operating Income</t>
  </si>
  <si>
    <t>Pre-Tax GAAP Earnings</t>
  </si>
  <si>
    <t>GAAP Net Earnings</t>
  </si>
  <si>
    <t xml:space="preserve">Net Earnings from Continuing Ops </t>
  </si>
  <si>
    <t xml:space="preserve">Reconciliation from GAAP to Recurring EPS </t>
  </si>
  <si>
    <t>TOTAL Restructuring (pre-tax)</t>
  </si>
  <si>
    <t>Mar-09</t>
  </si>
  <si>
    <t>Jun-09</t>
  </si>
  <si>
    <t xml:space="preserve">Operating income, adjusted </t>
  </si>
  <si>
    <t>GAAP EPS (including Disc. Ops)</t>
  </si>
  <si>
    <t>GAAP Earnings (Loss) from Disc.Ops</t>
  </si>
  <si>
    <t>Cash Flow Statistics</t>
  </si>
  <si>
    <t>Cash Flow From Operations</t>
  </si>
  <si>
    <t>Capex/Sales</t>
  </si>
  <si>
    <t>Free Cash Flow (Cash Flow Oper. Less Capex)</t>
  </si>
  <si>
    <t>Free Cash Flow Per Share</t>
  </si>
  <si>
    <t>Cash Returned to Shareholders</t>
  </si>
  <si>
    <t>Cash Returned to Shareholders as % Available</t>
  </si>
  <si>
    <t>Ratios</t>
  </si>
  <si>
    <t>AR Days</t>
  </si>
  <si>
    <t>AR % of Sales</t>
  </si>
  <si>
    <t>Inventories % COGS</t>
  </si>
  <si>
    <t>Capex % of Sales</t>
  </si>
  <si>
    <t>Depreciation% Opening PPE</t>
  </si>
  <si>
    <t>Other Assets % Sales</t>
  </si>
  <si>
    <t>AP Days</t>
  </si>
  <si>
    <t>AP % COGS</t>
  </si>
  <si>
    <t>Accrued Expenses Days</t>
  </si>
  <si>
    <t>Accrued Expenses % COGS</t>
  </si>
  <si>
    <t>Income Taxes % Sales</t>
  </si>
  <si>
    <t>Other Liabilities % Sales</t>
  </si>
  <si>
    <t>Dividends Paid</t>
  </si>
  <si>
    <t>Working Capital</t>
  </si>
  <si>
    <t>Opening Net Debt</t>
  </si>
  <si>
    <t>Changes in Net Debt from Cashflow</t>
  </si>
  <si>
    <t>Closing Net Debt</t>
  </si>
  <si>
    <t xml:space="preserve">Cash, ST Inv. and LT Inv. </t>
  </si>
  <si>
    <t>Current Portion LTD</t>
  </si>
  <si>
    <t>Shareholders Equity</t>
  </si>
  <si>
    <t>Debt/Capital</t>
  </si>
  <si>
    <t>ROIC</t>
  </si>
  <si>
    <t>Tax rate</t>
  </si>
  <si>
    <t>NOPAT (LTM)</t>
  </si>
  <si>
    <t>Total Invested Capital</t>
  </si>
  <si>
    <t>ROIC (Avg)</t>
  </si>
  <si>
    <t>Days Inventory</t>
  </si>
  <si>
    <t>Days Receivable</t>
  </si>
  <si>
    <t>Days Payable</t>
  </si>
  <si>
    <t>Cash Conversion Cycle</t>
  </si>
  <si>
    <t>Price</t>
  </si>
  <si>
    <t>Debt interest rate</t>
  </si>
  <si>
    <t>Cash interest rate</t>
  </si>
  <si>
    <t>Notes and loans payable</t>
  </si>
  <si>
    <t>Current maturities of LT debt</t>
  </si>
  <si>
    <t>Total liabilities and stockholders' equity</t>
  </si>
  <si>
    <t>Adjustments</t>
  </si>
  <si>
    <t xml:space="preserve">  Depreciation and amortization</t>
  </si>
  <si>
    <t xml:space="preserve">  Other</t>
  </si>
  <si>
    <t>Changes in A/L</t>
  </si>
  <si>
    <t xml:space="preserve">  YoY Growth</t>
  </si>
  <si>
    <t>Other Current Assets as % Sales</t>
  </si>
  <si>
    <t>Depreciation% PP&amp;E</t>
  </si>
  <si>
    <t>Deferred Taxes % Sales</t>
  </si>
  <si>
    <t xml:space="preserve">Short term debt </t>
  </si>
  <si>
    <t>Long-Term Debt</t>
  </si>
  <si>
    <t>Operating Profit, adjusted</t>
  </si>
  <si>
    <t>-</t>
  </si>
  <si>
    <t xml:space="preserve">Interest Rate </t>
  </si>
  <si>
    <t>Shares repurchased (MM)</t>
  </si>
  <si>
    <t>Share Repurchases</t>
  </si>
  <si>
    <t>Cash outflow (MM)</t>
  </si>
  <si>
    <t>Dividend Payout Ratio</t>
  </si>
  <si>
    <t>Laundry Care</t>
  </si>
  <si>
    <t>Home Care</t>
  </si>
  <si>
    <t>Auto Care</t>
  </si>
  <si>
    <t>Charcoal</t>
  </si>
  <si>
    <t>Cat Litter</t>
  </si>
  <si>
    <t>NA</t>
  </si>
  <si>
    <t>Corporate</t>
  </si>
  <si>
    <t xml:space="preserve">Acquisitions/Divestitures </t>
  </si>
  <si>
    <t xml:space="preserve">Reported </t>
  </si>
  <si>
    <t>Organic Growth</t>
  </si>
  <si>
    <t xml:space="preserve">Operating Profit </t>
  </si>
  <si>
    <t>Operating Profit Margin</t>
  </si>
  <si>
    <t>Total Clorox</t>
  </si>
  <si>
    <t>Cleaning</t>
  </si>
  <si>
    <t>Household</t>
  </si>
  <si>
    <t>Lifestyle</t>
  </si>
  <si>
    <t xml:space="preserve">International </t>
  </si>
  <si>
    <t>na</t>
  </si>
  <si>
    <t>Sales Growth %</t>
  </si>
  <si>
    <t>Total Reported</t>
  </si>
  <si>
    <t xml:space="preserve">  Organic Growth</t>
  </si>
  <si>
    <t>Lifestyle (Burt's, Sauces/Dressings, Brita)</t>
  </si>
  <si>
    <t>International (All countries outside US, ex-natural personal care)</t>
  </si>
  <si>
    <t xml:space="preserve">  Two-Year Avg. Organic Growth</t>
  </si>
  <si>
    <t>Not comparable to FY03 Due to Henkel Transaction</t>
  </si>
  <si>
    <t>OLD SEGMENTS</t>
  </si>
  <si>
    <t xml:space="preserve">    Volume</t>
  </si>
  <si>
    <t>Dressings/Sauces</t>
  </si>
  <si>
    <t>Water Filtration</t>
  </si>
  <si>
    <t>Total Corporate</t>
  </si>
  <si>
    <t>Total Before Corporate</t>
  </si>
  <si>
    <t>Other Income/Expense</t>
  </si>
  <si>
    <t>Total Clorox Pre-Tax Earnings</t>
  </si>
  <si>
    <t>Total Clorox Operating Profit</t>
  </si>
  <si>
    <r>
      <t xml:space="preserve">Corporate Expense </t>
    </r>
    <r>
      <rPr>
        <sz val="7"/>
        <rFont val="Arial"/>
        <family val="2"/>
      </rPr>
      <t>(ex Interest Exp and Other)</t>
    </r>
  </si>
  <si>
    <t>YoY Growth</t>
  </si>
  <si>
    <t>YoY ∆ in Operating Margin (Bps)</t>
  </si>
  <si>
    <t>Total Clorox (including Corporate)</t>
  </si>
  <si>
    <t>Total Clorox Sales</t>
  </si>
  <si>
    <t>Segment Reporting</t>
  </si>
  <si>
    <t>Laundry/Home Care</t>
  </si>
  <si>
    <t>Total Laundry / Home Care Volume</t>
  </si>
  <si>
    <t>Water Filtration / Canada/ Auto / PPD</t>
  </si>
  <si>
    <t>Total Water Filtration / Canada/ Auto / PPD Volume</t>
  </si>
  <si>
    <t>Reported Sales</t>
  </si>
  <si>
    <t>Total Litter / Food / Charcoal Volume</t>
  </si>
  <si>
    <t>MEMO:</t>
  </si>
  <si>
    <t>EBITDA</t>
  </si>
  <si>
    <t>EBITDA margin %</t>
  </si>
  <si>
    <t>EBITDA, adj.</t>
  </si>
  <si>
    <t>EBITDA, adj. margin %</t>
  </si>
  <si>
    <t>Total Assets</t>
  </si>
  <si>
    <t xml:space="preserve">Less: </t>
  </si>
  <si>
    <t>Accounts Payable</t>
  </si>
  <si>
    <t>Accrued Liabilities</t>
  </si>
  <si>
    <t>Income Taxes Payable</t>
  </si>
  <si>
    <t>Other Liabilities</t>
  </si>
  <si>
    <t>Deferred IncomeTaxes</t>
  </si>
  <si>
    <t xml:space="preserve">  Non-Interest Bearing Liabilities</t>
  </si>
  <si>
    <t>Total Capital Employed</t>
  </si>
  <si>
    <t>Average Capital Employed</t>
  </si>
  <si>
    <t>Total</t>
  </si>
  <si>
    <t>Intl Segment FX (from FX file)</t>
  </si>
  <si>
    <t>Operating Profit Mix</t>
  </si>
  <si>
    <t>Total CLX (ex-Corporate)</t>
  </si>
  <si>
    <t>Mar-18e</t>
  </si>
  <si>
    <t>Jun-18e</t>
  </si>
  <si>
    <t>2018e</t>
  </si>
  <si>
    <t>Sep-19e</t>
  </si>
  <si>
    <t>Dec-19e</t>
  </si>
  <si>
    <t>Sep-18e</t>
  </si>
  <si>
    <t>Dec-18e</t>
  </si>
  <si>
    <t>Mar-19e</t>
  </si>
  <si>
    <t>Jun-19e</t>
  </si>
  <si>
    <t>2019e</t>
  </si>
  <si>
    <t>Mar-20e</t>
  </si>
  <si>
    <t>Jun-20e</t>
  </si>
  <si>
    <t>2020e</t>
  </si>
  <si>
    <t>Canada as % of CLX Revenues</t>
  </si>
  <si>
    <t>Canada Revenue</t>
  </si>
  <si>
    <t xml:space="preserve">  Organic Growth % change</t>
  </si>
  <si>
    <t>Net Debt/LTM EBITDA, adj.</t>
  </si>
  <si>
    <t>Net Debt/NTM EBITDA</t>
  </si>
  <si>
    <t>$ in millions, except EPS</t>
  </si>
  <si>
    <t>Net Debt</t>
  </si>
  <si>
    <t xml:space="preserve"> </t>
  </si>
  <si>
    <t>Economic Profit Calculation</t>
  </si>
  <si>
    <t xml:space="preserve">Clorox Company  </t>
  </si>
  <si>
    <t>USD</t>
  </si>
  <si>
    <t>CLX.N</t>
  </si>
  <si>
    <t>Clorox Co</t>
  </si>
  <si>
    <t>Organic Sales Growth</t>
  </si>
  <si>
    <t>Currency Impact on Revenue</t>
  </si>
  <si>
    <t xml:space="preserve">Unrecored Goodwill from poolings, write-offs, etc. </t>
  </si>
  <si>
    <t>North America Revenue</t>
  </si>
  <si>
    <t>Revenue Europe</t>
  </si>
  <si>
    <t>Acquistions and Disposals</t>
  </si>
  <si>
    <t>ND</t>
  </si>
  <si>
    <t>Reported Sales Growth</t>
  </si>
  <si>
    <t>Current Stock Price</t>
  </si>
  <si>
    <t>Count</t>
  </si>
  <si>
    <t>CLX.N,mscalc:sedolCodeCalc</t>
  </si>
  <si>
    <t>CLX.N,mscalc:targetPrice,,,,USD</t>
  </si>
  <si>
    <t>CLX.N,mscalc:closePriceCurrencyCalc</t>
  </si>
  <si>
    <t>FX Transaction Impact on EPS</t>
  </si>
  <si>
    <t>FX Translation Impact</t>
  </si>
  <si>
    <t>n.m.f.</t>
  </si>
  <si>
    <t>Operating Profit</t>
  </si>
  <si>
    <t>Capex</t>
  </si>
  <si>
    <t>Non-Cash Restructuring and Asset Impairment Costs</t>
  </si>
  <si>
    <t>Adjusted Capital Employed</t>
  </si>
  <si>
    <t>Pre-Tax Earnings from Cont. Ops</t>
  </si>
  <si>
    <t>Non-Cash Restructuring Charges</t>
  </si>
  <si>
    <t>Adjusted Pre-Tax Earnings from Cont. Ops</t>
  </si>
  <si>
    <t>Adj. After Tax Profit</t>
  </si>
  <si>
    <t>Avg. Capital Employed (below)</t>
  </si>
  <si>
    <t>Capital Charge</t>
  </si>
  <si>
    <t xml:space="preserve">  WACC</t>
  </si>
  <si>
    <t xml:space="preserve">  </t>
  </si>
  <si>
    <t>Economic Profit</t>
  </si>
  <si>
    <t xml:space="preserve">  as % of Net Sales</t>
  </si>
  <si>
    <t>Op Margin (adj for restructuring)</t>
  </si>
  <si>
    <t xml:space="preserve">    FX</t>
  </si>
  <si>
    <t xml:space="preserve">    Low-Income Housing Partnership</t>
  </si>
  <si>
    <t xml:space="preserve">    Amortization</t>
  </si>
  <si>
    <t xml:space="preserve">    Equity Earnings from Affiliates</t>
  </si>
  <si>
    <t xml:space="preserve">    Other</t>
  </si>
  <si>
    <t>SOS</t>
  </si>
  <si>
    <t>Invested Capital</t>
  </si>
  <si>
    <t>Mar-10</t>
  </si>
  <si>
    <t xml:space="preserve">  Two-Year Avg. Growth</t>
  </si>
  <si>
    <t>OP FX</t>
  </si>
  <si>
    <t>Topline Fx</t>
  </si>
  <si>
    <t>Recurring EPS (provided by CLX)</t>
  </si>
  <si>
    <t>Recurring EPS (including FX)</t>
  </si>
  <si>
    <t>Pre-Tax Earnings</t>
  </si>
  <si>
    <r>
      <t xml:space="preserve">Pre-Tax Earnings </t>
    </r>
    <r>
      <rPr>
        <b/>
        <sz val="8"/>
        <rFont val="Arial"/>
        <family val="2"/>
      </rPr>
      <t>(ex Interest Expense)</t>
    </r>
  </si>
  <si>
    <t xml:space="preserve">  Check</t>
  </si>
  <si>
    <t xml:space="preserve">     Interest Income</t>
  </si>
  <si>
    <t>Pre-Tax Margin</t>
  </si>
  <si>
    <t>YoY ∆ in Pre-Tax Margin (Bps)</t>
  </si>
  <si>
    <t xml:space="preserve">   Memo Item: Non-Recurring Items </t>
  </si>
  <si>
    <t>Alternative ROIC</t>
  </si>
  <si>
    <t>Cleaning (Laundry, Home Care, Auto, Away From Home)</t>
  </si>
  <si>
    <t xml:space="preserve">Goodwill &amp; Intangibles </t>
  </si>
  <si>
    <t>Jun-10</t>
  </si>
  <si>
    <t>2204026</t>
  </si>
  <si>
    <t>Sep-10</t>
  </si>
  <si>
    <t>Dec-10</t>
  </si>
  <si>
    <t>EPS from Continuing Ops</t>
  </si>
  <si>
    <t>Net Earnings from Cont. Ops</t>
  </si>
  <si>
    <t>Operating Income</t>
  </si>
  <si>
    <t xml:space="preserve">EBITDA </t>
  </si>
  <si>
    <t>Other Adjustments</t>
  </si>
  <si>
    <t>Cash - Beginning Balance</t>
  </si>
  <si>
    <t>This sheet contains Factset binary data for use with this workbook's =FDS codes.  Modifying the worksheet's contents may damage the workbook's =FDS functionality.</t>
  </si>
  <si>
    <t>Restated for Auto Divestiture</t>
  </si>
  <si>
    <t>Jun-11</t>
  </si>
  <si>
    <t>Sep-11</t>
  </si>
  <si>
    <t>Dec-11</t>
  </si>
  <si>
    <t>Mar-12</t>
  </si>
  <si>
    <t>Jun-12</t>
  </si>
  <si>
    <t>Sep-12</t>
  </si>
  <si>
    <t>Dec-12</t>
  </si>
  <si>
    <t>Sep-20e</t>
  </si>
  <si>
    <t>Dec-20e</t>
  </si>
  <si>
    <t>Mar-21e</t>
  </si>
  <si>
    <t>Jun-21e</t>
  </si>
  <si>
    <t>Sep-21e</t>
  </si>
  <si>
    <t>Dec-21e</t>
  </si>
  <si>
    <t>Mar-22e</t>
  </si>
  <si>
    <t>Jun-22e</t>
  </si>
  <si>
    <t>2022e</t>
  </si>
  <si>
    <t>2021e</t>
  </si>
  <si>
    <t>Mar-13</t>
  </si>
  <si>
    <t>Jun-13</t>
  </si>
  <si>
    <t>(212) 761 - 7250</t>
  </si>
  <si>
    <t>bob.doctor@morganstanley.com</t>
  </si>
  <si>
    <t>Sep-13</t>
  </si>
  <si>
    <t>Dec-13</t>
  </si>
  <si>
    <t>Mar-14</t>
  </si>
  <si>
    <t>LBO Model Items</t>
  </si>
  <si>
    <t>Other Non-Op Income</t>
  </si>
  <si>
    <t>Changes in Working Capital</t>
  </si>
  <si>
    <t>Jun-14</t>
  </si>
  <si>
    <t>Sep-14</t>
  </si>
  <si>
    <t>Bob Doctor, CFA</t>
  </si>
  <si>
    <t>Dec-14</t>
  </si>
  <si>
    <t>Mar-15</t>
  </si>
  <si>
    <t>Jun-15</t>
  </si>
  <si>
    <t>Sep-15</t>
  </si>
  <si>
    <t>Dec-15</t>
  </si>
  <si>
    <t>Mar-16</t>
  </si>
  <si>
    <t>Jun-16</t>
  </si>
  <si>
    <t>growth</t>
  </si>
  <si>
    <t>M&amp;A</t>
  </si>
  <si>
    <t>Sep-16</t>
  </si>
  <si>
    <t>Dec-16</t>
  </si>
  <si>
    <t>Filippo Falorni, CFA</t>
  </si>
  <si>
    <t>(212) 296 - 4965</t>
  </si>
  <si>
    <t>filippo.falorni@morganstanley.com</t>
  </si>
  <si>
    <t>Mar-17</t>
  </si>
  <si>
    <t>$N$2</t>
  </si>
  <si>
    <t>Jun-17</t>
  </si>
  <si>
    <t>Scott Rotondi</t>
  </si>
  <si>
    <t>(212) 761 - 9196</t>
  </si>
  <si>
    <t>scott.rotondi@morganstanley.com</t>
  </si>
  <si>
    <t>Sep-17</t>
  </si>
  <si>
    <t>Dec-17</t>
  </si>
  <si>
    <t>Statutory tax rate</t>
  </si>
  <si>
    <t>RenewLife</t>
  </si>
  <si>
    <t>Nutranext</t>
  </si>
  <si>
    <t>Household impact</t>
  </si>
  <si>
    <t>International impact</t>
  </si>
  <si>
    <t>Household (Bags and Wraps, Charcoal, Cat Litter, RenewLife)</t>
  </si>
  <si>
    <t>128</t>
  </si>
  <si>
    <t>FCF as % of sales</t>
  </si>
  <si>
    <t>Research</t>
  </si>
  <si>
    <t>MSA12783</t>
  </si>
  <si>
    <t>e = Morgan Stanley Research estimates unless otherwise noted</t>
  </si>
  <si>
    <t>Source: Morgan Stanley Research unless otherwise noted</t>
  </si>
  <si>
    <t>Stocks ratings are relative to the analyst's industry coverage universe.</t>
  </si>
  <si>
    <t>1585 Broadway</t>
  </si>
  <si>
    <t>New York, NY  10036-8293</t>
  </si>
  <si>
    <t>Tel: +1 (1)212 761 4000</t>
  </si>
  <si>
    <t>Authors: Dara Mohsenian</t>
  </si>
  <si>
    <t>Date: 19 Apr 2018</t>
  </si>
  <si>
    <t>Ticker: CLX.N</t>
  </si>
  <si>
    <t>Stock Rating: Underweight</t>
  </si>
  <si>
    <t>Industry: Household &amp; Personal Care</t>
  </si>
  <si>
    <t>Industry View: In-Line</t>
  </si>
  <si>
    <t>Price as of 19 Apr 2018: 119.82</t>
  </si>
  <si>
    <t>Target Price: 116</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</si>
  <si>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</si>
  <si>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</si>
  <si>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</si>
  <si>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</si>
  <si>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Clorox Co.</t>
  </si>
  <si>
    <t>STOCK RATINGS</t>
  </si>
  <si>
    <t>Global Stock Ratings Distribution</t>
  </si>
  <si>
    <t>(as of March 31,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</si>
  <si>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</si>
  <si>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</si>
  <si>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</si>
  <si>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</si>
  <si>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</si>
  <si>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</si>
  <si>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</si>
  <si>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</si>
  <si>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</si>
  <si>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</si>
  <si>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</si>
  <si>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</si>
  <si>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</si>
  <si>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</si>
  <si>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</si>
  <si>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</si>
  <si>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</si>
  <si>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</si>
  <si>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</si>
  <si>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</si>
  <si>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</si>
  <si>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</si>
  <si>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</si>
  <si>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</si>
  <si>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</si>
  <si>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</si>
  <si>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</si>
  <si>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</si>
  <si>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</si>
  <si>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</si>
  <si>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</si>
  <si>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</si>
  <si>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</si>
  <si>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</si>
  <si>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</si>
  <si>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</si>
  <si>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</si>
  <si>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</si>
  <si>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</si>
  <si>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</si>
  <si>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</si>
  <si>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</si>
  <si>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</si>
  <si>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</si>
  <si>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</si>
  <si>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</si>
  <si>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</si>
  <si>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</si>
  <si>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</si>
  <si>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</si>
  <si>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</si>
  <si>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</si>
  <si>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</si>
  <si>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</si>
  <si>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</si>
  <si>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</si>
  <si>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</si>
  <si>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</si>
  <si>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</si>
  <si>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</si>
  <si>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</si>
  <si>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</si>
  <si>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</si>
  <si>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</si>
  <si>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</si>
  <si>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</si>
  <si>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</si>
  <si>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</si>
  <si>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</si>
  <si>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</si>
  <si>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</si>
  <si>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</si>
  <si>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</si>
  <si>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</si>
  <si>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</si>
  <si>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</si>
  <si>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</si>
  <si>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</si>
  <si>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</si>
  <si>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</si>
  <si>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</si>
  <si>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</si>
  <si>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</si>
  <si>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</si>
  <si>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</si>
  <si>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</si>
  <si>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</si>
  <si>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</si>
  <si>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</si>
  <si>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</si>
  <si>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</si>
  <si>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</si>
  <si>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</si>
  <si>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</si>
  <si>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</si>
  <si>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</si>
  <si>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</si>
  <si>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</si>
  <si>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</si>
  <si>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</si>
  <si>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</si>
  <si>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</si>
  <si>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</si>
  <si>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</si>
  <si>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</si>
  <si>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</si>
  <si>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</si>
  <si>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</si>
  <si>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</si>
  <si>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</si>
  <si>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</si>
  <si>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</si>
  <si>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</si>
  <si>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</si>
  <si>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</si>
  <si>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</si>
  <si>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</si>
  <si>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</si>
  <si>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</si>
  <si>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</si>
  <si>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</si>
  <si>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</si>
  <si>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</si>
  <si>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</si>
  <si>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</si>
  <si>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</si>
  <si>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</si>
  <si>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</si>
  <si>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</si>
  <si>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</si>
  <si>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</si>
  <si>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</si>
  <si>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</si>
  <si>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</si>
  <si>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</si>
  <si>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</si>
  <si>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</si>
  <si>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</si>
  <si>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</si>
  <si>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</si>
  <si>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</si>
  <si>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</si>
  <si>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</si>
  <si>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</si>
  <si>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</si>
  <si>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</si>
  <si>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</si>
  <si>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</si>
  <si>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</si>
  <si>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</si>
  <si>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</si>
  <si>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</si>
  <si>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</si>
  <si>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</si>
  <si>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</si>
  <si>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</si>
  <si>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</si>
  <si>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</si>
  <si>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</si>
  <si>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</si>
  <si>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</si>
  <si>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</si>
  <si>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</si>
  <si>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</si>
  <si>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</si>
  <si>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</si>
  <si>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</si>
  <si>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</si>
  <si>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</si>
  <si>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</si>
  <si>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</si>
  <si>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</si>
  <si>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</si>
  <si>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Clorox Co.</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</si>
  <si>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</si>
  <si>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</si>
  <si>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</si>
  <si>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</si>
  <si>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</si>
  <si>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</si>
  <si>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</si>
  <si>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</si>
  <si>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</si>
  <si>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</si>
  <si>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</si>
  <si>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</si>
  <si>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</si>
  <si>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</si>
  <si>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</si>
  <si>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</si>
  <si>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</si>
  <si>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</si>
  <si>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</si>
  <si>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</si>
  <si>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</si>
  <si>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</si>
  <si>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</si>
  <si>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</si>
  <si>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</si>
  <si>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</si>
  <si>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</si>
  <si>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</si>
  <si>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</si>
  <si>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</si>
  <si>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</si>
  <si>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</si>
  <si>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</si>
  <si>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</si>
  <si>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</si>
  <si>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</si>
  <si>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</si>
  <si>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</si>
  <si>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</si>
  <si>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</si>
  <si>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</si>
  <si>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</si>
  <si>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</si>
  <si>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</si>
  <si>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</si>
  <si>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</si>
  <si>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</si>
  <si>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</si>
  <si>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</si>
  <si>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</si>
  <si>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</si>
  <si>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</si>
  <si>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</si>
  <si>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</si>
  <si>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</si>
  <si>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</si>
  <si>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</si>
  <si>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</si>
  <si>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</si>
  <si>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</si>
  <si>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</si>
  <si>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</si>
  <si>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</si>
  <si>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</si>
  <si>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</si>
  <si>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</si>
  <si>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</si>
  <si>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</si>
  <si>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Clorox Co.</t>
  </si>
  <si>
    <t>Within the last 12 months, Morgan Stanley has provided or is providing investment banking services to,</t>
  </si>
  <si>
    <t>or has an investment banking client relationship with, the following company: Clorox Co.</t>
  </si>
  <si>
    <t>Within the last 12 months, Morgan Stanley has received compensation for products and services other than</t>
  </si>
  <si>
    <t>investment banking services from Clorox Co.</t>
  </si>
  <si>
    <t>In the next 3 months, Morgan Stanley expects to receive or intends to seek compensation for investment</t>
  </si>
  <si>
    <t>banking services from Clorox Co.</t>
  </si>
  <si>
    <t>Within the last 12 months, Morgan Stanley has received compensation for investment banking services from</t>
  </si>
  <si>
    <t>Clorox Co.</t>
  </si>
  <si>
    <t>Within the last 12 months, Morgan Stanley managed or co-managed a public offering (or 144A offering) of</t>
  </si>
  <si>
    <t>securities of Clorox Co.</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</si>
  <si>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</si>
  <si>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</si>
  <si>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</si>
  <si>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</si>
  <si>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</si>
  <si>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Dara Mohsenian, CFA.</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</si>
  <si>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</si>
  <si>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</si>
  <si>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</si>
  <si>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</si>
  <si>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</si>
  <si>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</si>
  <si>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</si>
  <si>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</si>
  <si>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</si>
  <si>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</si>
  <si>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</si>
  <si>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</si>
  <si>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</si>
  <si>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</si>
  <si>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</si>
  <si>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</si>
  <si>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</si>
  <si>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</si>
  <si>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</si>
  <si>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</si>
  <si>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</si>
  <si>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</si>
  <si>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</si>
  <si>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</si>
  <si>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</si>
  <si>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</si>
  <si>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Model</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</si>
  <si>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</si>
  <si>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</si>
  <si>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</si>
  <si>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</si>
  <si>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</si>
  <si>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</si>
  <si>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</si>
  <si>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</si>
  <si>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</si>
  <si>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</si>
  <si>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</si>
  <si>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</si>
  <si>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</si>
  <si>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</si>
  <si>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</si>
  <si>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</si>
  <si>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</si>
  <si>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</si>
  <si>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</si>
  <si>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</si>
  <si>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</si>
  <si>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</si>
  <si>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</si>
  <si>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</si>
  <si>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</si>
  <si>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</si>
  <si>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</si>
  <si>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</si>
  <si>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</si>
  <si>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</si>
  <si>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</si>
  <si>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</si>
  <si>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</si>
  <si>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</si>
  <si>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</si>
  <si>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</si>
  <si>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</si>
  <si>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</si>
  <si>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</si>
  <si>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</si>
  <si>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</si>
  <si>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Underweight / In-Line</t>
  </si>
  <si>
    <t>Regular Update</t>
  </si>
  <si>
    <t>NorthAmerica</t>
  </si>
  <si>
    <t>filipf</t>
  </si>
  <si>
    <t>L:\CONSUMER\STAPLES\CLX\Model\Published\Historical Published Models\CLX_Model_Post Insight.xlsm</t>
  </si>
  <si>
    <t>[BRO MSA]</t>
  </si>
  <si>
    <t>[PRODUCT MODEL]</t>
  </si>
  <si>
    <t>[EMAIL_ALERT YES]</t>
  </si>
  <si>
    <t>[DISCIPLINE Company]</t>
  </si>
  <si>
    <t>[SUPPRESSED NO]</t>
  </si>
  <si>
    <t>[DOCDAT 2018-04-19]</t>
  </si>
  <si>
    <t>[DOCTIME 13:01]</t>
  </si>
  <si>
    <t>[PSYM CLX.N(S&amp;P) (None)]</t>
  </si>
  <si>
    <t>[COU 1]</t>
  </si>
  <si>
    <t>[ANA ]</t>
  </si>
  <si>
    <t>[HL CLX.N Model]</t>
  </si>
  <si>
    <t>[IND HSENON]</t>
  </si>
  <si>
    <t>[PANA MSA12783]</t>
  </si>
  <si>
    <r>
      <t xml:space="preserve">This workbook contains formulas which </t>
    </r>
    <r>
      <rPr>
        <u/>
        <sz val="14"/>
        <rFont val="Arial"/>
        <family val="2"/>
      </rPr>
      <t>intentionally</t>
    </r>
    <r>
      <rPr>
        <sz val="14"/>
        <rFont val="Arial"/>
        <family val="2"/>
      </rPr>
      <t xml:space="preserve"> use circular reference calculation. These calculations can be resolved as intended by the originating analyst by selecting the Apply Circular Settings button below.</t>
    </r>
  </si>
  <si>
    <r>
      <t xml:space="preserve">This workbook contains formulas which </t>
    </r>
    <r>
      <rPr>
        <u/>
        <sz val="14"/>
        <rFont val="Arial"/>
        <family val="2"/>
      </rPr>
      <t>intentionally</t>
    </r>
    <r>
      <rPr>
        <sz val="14"/>
        <rFont val="Arial"/>
        <family val="2"/>
      </rPr>
      <t xml:space="preserve"> use circular reference calculation. These calculations can be resolved as intended by the originating analyst by applying the following settings in the Tools &gt;&gt; Options &gt;&gt; Calculation dialog box:</t>
    </r>
  </si>
  <si>
    <t>Clicking the Apply Circular Settings button will display the model worksheets and make the following settings changes in the Tools &gt;&gt; Options &gt;&gt; Calculation dialog box:</t>
  </si>
  <si>
    <t>1) Select the Iteration check box</t>
  </si>
  <si>
    <t>Failure to apply these settings can result in incorrect calculation or unexpected termination of your Microsoft Excel session.</t>
  </si>
  <si>
    <t>2) Set Maximum Iterations = 100</t>
  </si>
  <si>
    <t>3) Set Maximum Change = 0.001</t>
  </si>
</sst>
</file>

<file path=xl/styles.xml><?xml version="1.0" encoding="utf-8"?>
<styleSheet xmlns="http://schemas.openxmlformats.org/spreadsheetml/2006/main" xmlns:mc="http://schemas.openxmlformats.org/markup-compatibility/2006" xmlns:x14ac="http://schemas.microsoft.com/office/spreadsheetml/2009/9/ac" mc:Ignorable="x14ac">
  <numFmts count="33">
    <numFmt numFmtId="7" formatCode="&quot;$&quot;#,##0.00_);\(&quot;$&quot;#,##0.00\)"/>
    <numFmt numFmtId="8" formatCode="&quot;$&quot;#,##0.00_);[Red]\(&quot;$&quot;#,##0.00\)"/>
    <numFmt numFmtId="44" formatCode="_(&quot;$&quot;* #,##0.00_);_(&quot;$&quot;* \(#,##0.00\);_(&quot;$&quot;* &quot;-&quot;??_);_(@_)"/>
    <numFmt numFmtId="43" formatCode="_(* #,##0.00_);_(* \(#,##0.00\);_(* &quot;-&quot;??_);_(@_)"/>
    <numFmt numFmtId="164" formatCode="#,##0.0_);[Red]\(#,##0.0\)"/>
    <numFmt numFmtId="165" formatCode="_(* #,##0.0_);_(* \(#,##0.0\);_(* &quot;-&quot;??_);_(@_)"/>
    <numFmt numFmtId="166" formatCode="0.0%"/>
    <numFmt numFmtId="167" formatCode="0.0"/>
    <numFmt numFmtId="168" formatCode="_(* #,##0_);_(* \(#,##0\);_(* &quot;-&quot;??_);_(@_)"/>
    <numFmt numFmtId="169" formatCode="&quot;$&quot;#,##0.0"/>
    <numFmt numFmtId="170" formatCode="#,##0.0_);\(#,##0.0\)"/>
    <numFmt numFmtId="171" formatCode="0.0%;\(0.0%\)"/>
    <numFmt numFmtId="172" formatCode="0.0_);\(0.0\)"/>
    <numFmt numFmtId="173" formatCode="0.0%;[Red]\(0.0%\)"/>
    <numFmt numFmtId="174" formatCode="&quot;$&quot;#,##0.0_);[Red]\(&quot;$&quot;#,##0.0\)"/>
    <numFmt numFmtId="175" formatCode="_(* #,##0.0_);_(* \(#,##0.0\);_(* &quot;-&quot;?_);_(@_)"/>
    <numFmt numFmtId="176" formatCode="0.0\ \x_);\(0.0\ \x\);@_ _x_)"/>
    <numFmt numFmtId="177" formatCode="_(* #,##0.0%_);_(* \(#,##0.0%\);_(* &quot;- %&quot;_);_(* @_%_)"/>
    <numFmt numFmtId="178" formatCode="0.0000"/>
    <numFmt numFmtId="179" formatCode="&quot;$&quot;#,##0.0000_);[Red]\(&quot;$&quot;#,##0.0000\)"/>
    <numFmt numFmtId="180" formatCode="_(* #,##0.000000000_);_(* \(#,##0.000000000\);_(* &quot;-&quot;??_);_(@_)"/>
    <numFmt numFmtId="181" formatCode="&quot;$&quot;#,##0.00"/>
    <numFmt numFmtId="182" formatCode="&quot;$&quot;#,##0.0_);\(&quot;$&quot;#,##0.0\)"/>
    <numFmt numFmtId="183" formatCode="0.0\x"/>
    <numFmt numFmtId="184" formatCode="_(* #,##0.000_);_(* \(#,##0.000\);_(* &quot;-&quot;??_);_(@_)"/>
    <numFmt numFmtId="185" formatCode="#,##0.0"/>
    <numFmt numFmtId="186" formatCode="&quot;$&quot;#,##0.000_);\(&quot;$&quot;#,##0.000\)"/>
    <numFmt numFmtId="187" formatCode="&quot;$&quot;#,##0"/>
    <numFmt numFmtId="188" formatCode="_(&quot;$&quot;* #,##0.0_);_(&quot;$&quot;* \(#,##0.0\);_(&quot;$&quot;* &quot;-&quot;??_);_(@_)"/>
    <numFmt numFmtId="189" formatCode="_(&quot;$&quot;* #,##0.000_);_(&quot;$&quot;* \(#,##0.000\);_(&quot;$&quot;* &quot;-&quot;??_);_(@_)"/>
    <numFmt numFmtId="190" formatCode="#,##0.000"/>
    <numFmt numFmtId="191" formatCode="0.000_);\(0.000\)"/>
    <numFmt numFmtId="192" formatCode="mm/dd/yy\ hh:mm"/>
  </numFmts>
  <fonts count="110" x14ac:knownFonts="1">
    <font>
      <sz val="10"/>
      <name val="Times New Roman"/>
    </font>
    <font>
      <sz val="10"/>
      <color indexed="8"/>
      <name val="MS Sans Serif"/>
      <family val="2"/>
    </font>
    <font>
      <sz val="8"/>
      <name val="Times New Roman"/>
      <family val="1"/>
    </font>
    <font>
      <sz val="10"/>
      <name val="Times New Roman"/>
      <family val="1"/>
    </font>
    <font>
      <sz val="8"/>
      <name val="Arial"/>
      <family val="2"/>
    </font>
    <font>
      <sz val="10"/>
      <name val="Arial"/>
      <family val="2"/>
    </font>
    <font>
      <b/>
      <sz val="8"/>
      <name val="Arial"/>
      <family val="2"/>
    </font>
    <font>
      <u/>
      <sz val="10"/>
      <color indexed="12"/>
      <name val="Times New Roman"/>
      <family val="1"/>
    </font>
    <font>
      <sz val="9"/>
      <name val="Times New Roman"/>
      <family val="1"/>
    </font>
    <font>
      <sz val="10"/>
      <name val="MS Sans Serif"/>
      <family val="2"/>
    </font>
    <font>
      <sz val="7"/>
      <name val="Arial"/>
      <family val="2"/>
    </font>
    <font>
      <sz val="10"/>
      <color indexed="12"/>
      <name val="Times New Roman"/>
      <family val="1"/>
    </font>
    <font>
      <b/>
      <sz val="8"/>
      <color indexed="81"/>
      <name val="Tahoma"/>
      <family val="2"/>
    </font>
    <font>
      <sz val="8"/>
      <color indexed="81"/>
      <name val="Tahoma"/>
      <family val="2"/>
    </font>
    <font>
      <sz val="10"/>
      <color indexed="12"/>
      <name val="Arial"/>
      <family val="2"/>
    </font>
    <font>
      <sz val="10"/>
      <color indexed="9"/>
      <name val="Arial"/>
      <family val="2"/>
    </font>
    <font>
      <b/>
      <sz val="12"/>
      <color indexed="9"/>
      <name val="Arial"/>
      <family val="2"/>
    </font>
    <font>
      <sz val="12"/>
      <color indexed="9"/>
      <name val="Arial"/>
      <family val="2"/>
    </font>
    <font>
      <sz val="12"/>
      <color indexed="9"/>
      <name val="Arial"/>
      <family val="2"/>
    </font>
    <font>
      <b/>
      <sz val="14"/>
      <color indexed="9"/>
      <name val="Arial"/>
      <family val="2"/>
    </font>
    <font>
      <i/>
      <sz val="10"/>
      <color indexed="9"/>
      <name val="Arial"/>
      <family val="2"/>
    </font>
    <font>
      <sz val="10"/>
      <color indexed="9"/>
      <name val="Arial"/>
      <family val="2"/>
    </font>
    <font>
      <u/>
      <sz val="10"/>
      <color indexed="9"/>
      <name val="Arial"/>
      <family val="2"/>
    </font>
    <font>
      <b/>
      <sz val="10"/>
      <color indexed="9"/>
      <name val="Arial"/>
      <family val="2"/>
    </font>
    <font>
      <b/>
      <sz val="10"/>
      <name val="Arial"/>
      <family val="2"/>
    </font>
    <font>
      <b/>
      <i/>
      <sz val="11"/>
      <color indexed="9"/>
      <name val="Arial"/>
      <family val="2"/>
    </font>
    <font>
      <b/>
      <i/>
      <sz val="10"/>
      <color indexed="9"/>
      <name val="Arial"/>
      <family val="2"/>
    </font>
    <font>
      <b/>
      <sz val="10"/>
      <color indexed="9"/>
      <name val="Arial"/>
      <family val="2"/>
    </font>
    <font>
      <b/>
      <u/>
      <sz val="10"/>
      <color indexed="9"/>
      <name val="Arial"/>
      <family val="2"/>
    </font>
    <font>
      <i/>
      <sz val="11"/>
      <color indexed="9"/>
      <name val="Arial"/>
      <family val="2"/>
    </font>
    <font>
      <b/>
      <sz val="10"/>
      <color indexed="12"/>
      <name val="Arial"/>
      <family val="2"/>
    </font>
    <font>
      <b/>
      <i/>
      <sz val="10"/>
      <name val="Arial"/>
      <family val="2"/>
    </font>
    <font>
      <sz val="10"/>
      <name val="Arial"/>
      <family val="2"/>
    </font>
    <font>
      <sz val="10"/>
      <color indexed="8"/>
      <name val="Arial"/>
      <family val="2"/>
    </font>
    <font>
      <b/>
      <sz val="10"/>
      <color indexed="8"/>
      <name val="Arial"/>
      <family val="2"/>
    </font>
    <font>
      <sz val="10"/>
      <color indexed="10"/>
      <name val="Arial"/>
      <family val="2"/>
    </font>
    <font>
      <sz val="10"/>
      <color indexed="12"/>
      <name val="Arial"/>
      <family val="2"/>
    </font>
    <font>
      <sz val="10"/>
      <color indexed="22"/>
      <name val="Arial"/>
      <family val="2"/>
    </font>
    <font>
      <b/>
      <sz val="10"/>
      <color indexed="22"/>
      <name val="Arial"/>
      <family val="2"/>
    </font>
    <font>
      <b/>
      <sz val="10"/>
      <color indexed="18"/>
      <name val="Arial"/>
      <family val="2"/>
    </font>
    <font>
      <b/>
      <sz val="10"/>
      <color indexed="10"/>
      <name val="Arial"/>
      <family val="2"/>
    </font>
    <font>
      <sz val="10"/>
      <color indexed="20"/>
      <name val="Arial"/>
      <family val="2"/>
    </font>
    <font>
      <b/>
      <u/>
      <sz val="10"/>
      <color indexed="8"/>
      <name val="Arial"/>
      <family val="2"/>
    </font>
    <font>
      <b/>
      <u/>
      <sz val="10"/>
      <name val="Arial"/>
      <family val="2"/>
    </font>
    <font>
      <b/>
      <u/>
      <sz val="10"/>
      <color indexed="12"/>
      <name val="Arial"/>
      <family val="2"/>
    </font>
    <font>
      <i/>
      <sz val="10"/>
      <name val="Arial"/>
      <family val="2"/>
    </font>
    <font>
      <sz val="10"/>
      <color indexed="18"/>
      <name val="Arial"/>
      <family val="2"/>
    </font>
    <font>
      <i/>
      <sz val="10"/>
      <color indexed="8"/>
      <name val="Arial"/>
      <family val="2"/>
    </font>
    <font>
      <b/>
      <sz val="10"/>
      <color indexed="8"/>
      <name val="Times New Roman"/>
      <family val="1"/>
    </font>
    <font>
      <sz val="10"/>
      <color indexed="8"/>
      <name val="Times New Roman"/>
      <family val="1"/>
    </font>
    <font>
      <i/>
      <sz val="8"/>
      <name val="Times New Roman"/>
      <family val="1"/>
    </font>
    <font>
      <b/>
      <sz val="9"/>
      <color indexed="81"/>
      <name val="Tahoma"/>
      <family val="2"/>
    </font>
    <font>
      <sz val="9"/>
      <color indexed="81"/>
      <name val="Tahoma"/>
      <family val="2"/>
    </font>
    <font>
      <u/>
      <sz val="10"/>
      <name val="Arial"/>
      <family val="2"/>
    </font>
    <font>
      <b/>
      <sz val="10"/>
      <color indexed="20"/>
      <name val="Arial"/>
      <family val="2"/>
    </font>
    <font>
      <sz val="11"/>
      <name val="Arial"/>
      <family val="2"/>
    </font>
    <font>
      <sz val="10"/>
      <color indexed="16"/>
      <name val="Arial"/>
      <family val="2"/>
    </font>
    <font>
      <i/>
      <sz val="10"/>
      <color indexed="12"/>
      <name val="Arial"/>
      <family val="2"/>
    </font>
    <font>
      <b/>
      <i/>
      <sz val="10"/>
      <color indexed="10"/>
      <name val="Arial"/>
      <family val="2"/>
    </font>
    <font>
      <b/>
      <sz val="10"/>
      <color indexed="16"/>
      <name val="Arial"/>
      <family val="2"/>
    </font>
    <font>
      <b/>
      <sz val="7"/>
      <name val="Arial"/>
      <family val="2"/>
    </font>
    <font>
      <i/>
      <sz val="7"/>
      <name val="Arial"/>
      <family val="2"/>
    </font>
    <font>
      <b/>
      <sz val="10"/>
      <color indexed="58"/>
      <name val="Arial"/>
      <family val="2"/>
    </font>
    <font>
      <sz val="9"/>
      <name val="Times New Roman"/>
      <family val="1"/>
    </font>
    <font>
      <sz val="10"/>
      <color indexed="55"/>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sz val="10"/>
      <name val="Arial"/>
      <family val="2"/>
    </font>
    <font>
      <sz val="10"/>
      <name val="MS Sans Serif"/>
      <family val="2"/>
    </font>
    <font>
      <b/>
      <sz val="10"/>
      <color indexed="8"/>
      <name val="Times New Roman"/>
      <family val="1"/>
    </font>
    <font>
      <sz val="10"/>
      <color indexed="8"/>
      <name val="Times New Roman"/>
      <family val="1"/>
    </font>
    <font>
      <sz val="10"/>
      <name val="Arial"/>
      <family val="2"/>
    </font>
    <font>
      <i/>
      <sz val="10"/>
      <color indexed="20"/>
      <name val="Arial"/>
      <family val="2"/>
    </font>
    <font>
      <b/>
      <sz val="10"/>
      <color indexed="57"/>
      <name val="Arial"/>
      <family val="2"/>
    </font>
    <font>
      <sz val="10"/>
      <name val="Arial"/>
      <family val="2"/>
    </font>
    <font>
      <u/>
      <sz val="9"/>
      <color indexed="81"/>
      <name val="Tahoma"/>
      <family val="2"/>
    </font>
    <font>
      <sz val="10"/>
      <color theme="1"/>
      <name val="Arial"/>
      <family val="2"/>
    </font>
    <font>
      <b/>
      <sz val="10"/>
      <color rgb="FFFF0000"/>
      <name val="Arial"/>
      <family val="2"/>
    </font>
    <font>
      <sz val="10"/>
      <color rgb="FFFF0000"/>
      <name val="Arial"/>
      <family val="2"/>
    </font>
    <font>
      <sz val="10"/>
      <color rgb="FFFF0000"/>
      <name val="Times New Roman"/>
      <family val="1"/>
    </font>
    <font>
      <u/>
      <sz val="10"/>
      <color theme="0"/>
      <name val="Arial"/>
      <family val="2"/>
    </font>
    <font>
      <b/>
      <sz val="10"/>
      <color rgb="FF00B050"/>
      <name val="Arial"/>
      <family val="2"/>
    </font>
    <font>
      <sz val="10"/>
      <color rgb="FF00B050"/>
      <name val="Arial"/>
      <family val="2"/>
    </font>
    <font>
      <i/>
      <sz val="10"/>
      <color theme="0"/>
      <name val="Arial"/>
      <family val="2"/>
    </font>
    <font>
      <b/>
      <sz val="10"/>
      <color theme="0"/>
      <name val="Arial"/>
      <family val="2"/>
    </font>
    <font>
      <b/>
      <i/>
      <sz val="10"/>
      <color theme="0"/>
      <name val="Arial"/>
      <family val="2"/>
    </font>
    <font>
      <sz val="10"/>
      <color theme="0"/>
      <name val="Times New Roman"/>
      <family val="1"/>
    </font>
    <font>
      <b/>
      <i/>
      <sz val="10"/>
      <color theme="0" tint="-0.249977111117893"/>
      <name val="Arial"/>
      <family val="2"/>
    </font>
    <font>
      <b/>
      <u/>
      <sz val="10"/>
      <name val="Times New Roman"/>
      <family val="1"/>
    </font>
    <font>
      <sz val="10"/>
      <name val="Courier"/>
      <family val="3"/>
    </font>
    <font>
      <sz val="10"/>
      <color rgb="FF000000"/>
      <name val="Arial"/>
      <family val="2"/>
    </font>
    <font>
      <b/>
      <sz val="12"/>
      <color rgb="FF000080"/>
      <name val="Arial"/>
      <family val="2"/>
    </font>
    <font>
      <sz val="14"/>
      <name val="Arial"/>
      <family val="2"/>
    </font>
    <font>
      <u/>
      <sz val="14"/>
      <name val="Arial"/>
      <family val="2"/>
    </font>
    <font>
      <b/>
      <u/>
      <sz val="14"/>
      <color indexed="10"/>
      <name val="Arial"/>
      <family val="2"/>
    </font>
  </fonts>
  <fills count="23">
    <fill>
      <patternFill patternType="none"/>
    </fill>
    <fill>
      <patternFill patternType="gray125"/>
    </fill>
    <fill>
      <patternFill patternType="solid">
        <fgColor indexed="47"/>
      </patternFill>
    </fill>
    <fill>
      <patternFill patternType="solid">
        <fgColor indexed="29"/>
      </patternFill>
    </fill>
    <fill>
      <patternFill patternType="solid">
        <fgColor indexed="43"/>
      </patternFill>
    </fill>
    <fill>
      <patternFill patternType="solid">
        <fgColor indexed="27"/>
      </patternFill>
    </fill>
    <fill>
      <patternFill patternType="solid">
        <fgColor indexed="22"/>
      </patternFill>
    </fill>
    <fill>
      <patternFill patternType="solid">
        <fgColor indexed="44"/>
      </patternFill>
    </fill>
    <fill>
      <patternFill patternType="solid">
        <fgColor indexed="49"/>
      </patternFill>
    </fill>
    <fill>
      <patternFill patternType="solid">
        <fgColor indexed="26"/>
      </patternFill>
    </fill>
    <fill>
      <patternFill patternType="solid">
        <fgColor indexed="54"/>
      </patternFill>
    </fill>
    <fill>
      <patternFill patternType="solid">
        <fgColor indexed="45"/>
      </patternFill>
    </fill>
    <fill>
      <patternFill patternType="solid">
        <fgColor indexed="9"/>
      </patternFill>
    </fill>
    <fill>
      <patternFill patternType="solid">
        <fgColor indexed="55"/>
      </patternFill>
    </fill>
    <fill>
      <patternFill patternType="solid">
        <fgColor indexed="42"/>
      </patternFill>
    </fill>
    <fill>
      <patternFill patternType="solid">
        <fgColor indexed="43"/>
        <bgColor indexed="64"/>
      </patternFill>
    </fill>
    <fill>
      <patternFill patternType="solid">
        <fgColor indexed="22"/>
        <bgColor indexed="64"/>
      </patternFill>
    </fill>
    <fill>
      <patternFill patternType="solid">
        <fgColor indexed="9"/>
        <bgColor indexed="64"/>
      </patternFill>
    </fill>
    <fill>
      <patternFill patternType="solid">
        <fgColor indexed="8"/>
        <bgColor indexed="64"/>
      </patternFill>
    </fill>
    <fill>
      <patternFill patternType="solid">
        <fgColor indexed="42"/>
        <bgColor indexed="64"/>
      </patternFill>
    </fill>
    <fill>
      <patternFill patternType="solid">
        <fgColor theme="0" tint="-0.249977111117893"/>
        <bgColor indexed="64"/>
      </patternFill>
    </fill>
    <fill>
      <patternFill patternType="solid">
        <fgColor theme="0"/>
        <bgColor indexed="64"/>
      </patternFill>
    </fill>
    <fill>
      <patternFill patternType="solid">
        <fgColor indexed="65"/>
        <bgColor indexed="64"/>
      </patternFill>
    </fill>
  </fills>
  <borders count="2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n">
        <color indexed="8"/>
      </bottom>
      <diagonal/>
    </border>
    <border>
      <left/>
      <right/>
      <top style="thin">
        <color indexed="49"/>
      </top>
      <bottom style="double">
        <color indexed="49"/>
      </bottom>
      <diagonal/>
    </border>
    <border>
      <left/>
      <right/>
      <top style="thin">
        <color indexed="64"/>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87">
    <xf numFmtId="0" fontId="0" fillId="0" borderId="0" applyNumberFormat="0" applyFont="0" applyFill="0" applyBorder="0" applyAlignment="0" applyProtection="0"/>
    <xf numFmtId="0" fontId="5" fillId="0" borderId="0"/>
    <xf numFmtId="0" fontId="5" fillId="0" borderId="0"/>
    <xf numFmtId="0" fontId="5" fillId="0" borderId="0"/>
    <xf numFmtId="0" fontId="82" fillId="0" borderId="0"/>
    <xf numFmtId="0" fontId="5" fillId="0" borderId="0"/>
    <xf numFmtId="0" fontId="9" fillId="0" borderId="0"/>
    <xf numFmtId="0" fontId="83" fillId="0" borderId="0"/>
    <xf numFmtId="0" fontId="9" fillId="0" borderId="0"/>
    <xf numFmtId="0" fontId="83" fillId="0" borderId="0"/>
    <xf numFmtId="0" fontId="65" fillId="2" borderId="0" applyNumberFormat="0" applyBorder="0" applyAlignment="0" applyProtection="0"/>
    <xf numFmtId="0" fontId="65" fillId="3" borderId="0" applyNumberFormat="0" applyBorder="0" applyAlignment="0" applyProtection="0"/>
    <xf numFmtId="0" fontId="65" fillId="4" borderId="0" applyNumberFormat="0" applyBorder="0" applyAlignment="0" applyProtection="0"/>
    <xf numFmtId="0" fontId="65" fillId="2" borderId="0" applyNumberFormat="0" applyBorder="0" applyAlignment="0" applyProtection="0"/>
    <xf numFmtId="0" fontId="65" fillId="5" borderId="0" applyNumberFormat="0" applyBorder="0" applyAlignment="0" applyProtection="0"/>
    <xf numFmtId="0" fontId="65" fillId="4" borderId="0" applyNumberFormat="0" applyBorder="0" applyAlignment="0" applyProtection="0"/>
    <xf numFmtId="0" fontId="65" fillId="6" borderId="0" applyNumberFormat="0" applyBorder="0" applyAlignment="0" applyProtection="0"/>
    <xf numFmtId="0" fontId="65" fillId="3" borderId="0" applyNumberFormat="0" applyBorder="0" applyAlignment="0" applyProtection="0"/>
    <xf numFmtId="0" fontId="65" fillId="4" borderId="0" applyNumberFormat="0" applyBorder="0" applyAlignment="0" applyProtection="0"/>
    <xf numFmtId="0" fontId="65" fillId="6" borderId="0" applyNumberFormat="0" applyBorder="0" applyAlignment="0" applyProtection="0"/>
    <xf numFmtId="0" fontId="65" fillId="7" borderId="0" applyNumberFormat="0" applyBorder="0" applyAlignment="0" applyProtection="0"/>
    <xf numFmtId="0" fontId="65" fillId="4" borderId="0" applyNumberFormat="0" applyBorder="0" applyAlignment="0" applyProtection="0"/>
    <xf numFmtId="0" fontId="66" fillId="8" borderId="0" applyNumberFormat="0" applyBorder="0" applyAlignment="0" applyProtection="0"/>
    <xf numFmtId="0" fontId="66" fillId="3" borderId="0" applyNumberFormat="0" applyBorder="0" applyAlignment="0" applyProtection="0"/>
    <xf numFmtId="0" fontId="66" fillId="9" borderId="0" applyNumberFormat="0" applyBorder="0" applyAlignment="0" applyProtection="0"/>
    <xf numFmtId="0" fontId="66" fillId="6" borderId="0" applyNumberFormat="0" applyBorder="0" applyAlignment="0" applyProtection="0"/>
    <xf numFmtId="0" fontId="66" fillId="8" borderId="0" applyNumberFormat="0" applyBorder="0" applyAlignment="0" applyProtection="0"/>
    <xf numFmtId="0" fontId="66" fillId="4" borderId="0" applyNumberFormat="0" applyBorder="0" applyAlignment="0" applyProtection="0"/>
    <xf numFmtId="0" fontId="66" fillId="8" borderId="0" applyNumberFormat="0" applyBorder="0" applyAlignment="0" applyProtection="0"/>
    <xf numFmtId="0" fontId="66" fillId="3" borderId="0" applyNumberFormat="0" applyBorder="0" applyAlignment="0" applyProtection="0"/>
    <xf numFmtId="0" fontId="66" fillId="9" borderId="0" applyNumberFormat="0" applyBorder="0" applyAlignment="0" applyProtection="0"/>
    <xf numFmtId="0" fontId="66" fillId="10" borderId="0" applyNumberFormat="0" applyBorder="0" applyAlignment="0" applyProtection="0"/>
    <xf numFmtId="0" fontId="66" fillId="8" borderId="0" applyNumberFormat="0" applyBorder="0" applyAlignment="0" applyProtection="0"/>
    <xf numFmtId="0" fontId="66" fillId="3" borderId="0" applyNumberFormat="0" applyBorder="0" applyAlignment="0" applyProtection="0"/>
    <xf numFmtId="0" fontId="67" fillId="11" borderId="0" applyNumberFormat="0" applyBorder="0" applyAlignment="0" applyProtection="0"/>
    <xf numFmtId="0" fontId="48" fillId="0" borderId="0"/>
    <xf numFmtId="0" fontId="84" fillId="0" borderId="0"/>
    <xf numFmtId="0" fontId="68" fillId="12" borderId="1" applyNumberFormat="0" applyAlignment="0" applyProtection="0"/>
    <xf numFmtId="0" fontId="69" fillId="13" borderId="2" applyNumberFormat="0" applyAlignment="0" applyProtection="0"/>
    <xf numFmtId="43" fontId="3" fillId="0" borderId="0" applyFont="0" applyFill="0" applyBorder="0" applyAlignment="0" applyProtection="0"/>
    <xf numFmtId="44" fontId="3" fillId="0" borderId="0" applyFont="0" applyFill="0" applyBorder="0" applyAlignment="0" applyProtection="0"/>
    <xf numFmtId="44" fontId="86" fillId="0" borderId="0" applyFont="0" applyFill="0" applyBorder="0" applyAlignment="0" applyProtection="0"/>
    <xf numFmtId="44" fontId="5" fillId="0" borderId="0" applyFont="0" applyFill="0" applyBorder="0" applyAlignment="0" applyProtection="0"/>
    <xf numFmtId="44" fontId="89" fillId="0" borderId="0" applyFont="0" applyFill="0" applyBorder="0" applyAlignment="0" applyProtection="0"/>
    <xf numFmtId="0" fontId="70" fillId="0" borderId="0" applyNumberFormat="0" applyFill="0" applyBorder="0" applyAlignment="0" applyProtection="0"/>
    <xf numFmtId="0" fontId="71" fillId="14" borderId="0" applyNumberFormat="0" applyBorder="0" applyAlignment="0" applyProtection="0"/>
    <xf numFmtId="0" fontId="72" fillId="0" borderId="3" applyNumberFormat="0" applyFill="0" applyAlignment="0" applyProtection="0"/>
    <xf numFmtId="0" fontId="73" fillId="0" borderId="4" applyNumberFormat="0" applyFill="0" applyAlignment="0" applyProtection="0"/>
    <xf numFmtId="0" fontId="74" fillId="0" borderId="5" applyNumberFormat="0" applyFill="0" applyAlignment="0" applyProtection="0"/>
    <xf numFmtId="0" fontId="74" fillId="0" borderId="0" applyNumberFormat="0" applyFill="0" applyBorder="0" applyAlignment="0" applyProtection="0"/>
    <xf numFmtId="0" fontId="7" fillId="0" borderId="0" applyNumberFormat="0" applyFill="0" applyBorder="0" applyAlignment="0" applyProtection="0">
      <alignment vertical="top"/>
      <protection locked="0"/>
    </xf>
    <xf numFmtId="0" fontId="75" fillId="4" borderId="1" applyNumberFormat="0" applyAlignment="0" applyProtection="0"/>
    <xf numFmtId="0" fontId="76" fillId="0" borderId="6" applyNumberFormat="0" applyFill="0" applyAlignment="0" applyProtection="0"/>
    <xf numFmtId="0" fontId="77" fillId="4" borderId="0" applyNumberFormat="0" applyBorder="0" applyAlignment="0" applyProtection="0"/>
    <xf numFmtId="0" fontId="86" fillId="0" borderId="0"/>
    <xf numFmtId="0" fontId="5" fillId="0" borderId="0"/>
    <xf numFmtId="0" fontId="89" fillId="0" borderId="0"/>
    <xf numFmtId="164" fontId="6" fillId="0" borderId="0" applyNumberFormat="0" applyFill="0" applyBorder="0" applyAlignment="0" applyProtection="0"/>
    <xf numFmtId="0" fontId="1" fillId="0" borderId="0" applyNumberFormat="0" applyFont="0" applyFill="0" applyBorder="0" applyAlignment="0" applyProtection="0"/>
    <xf numFmtId="164" fontId="4" fillId="0" borderId="0"/>
    <xf numFmtId="0" fontId="5" fillId="0" borderId="0">
      <alignment horizontal="left" vertical="top" wrapText="1"/>
    </xf>
    <xf numFmtId="164" fontId="4" fillId="0" borderId="0"/>
    <xf numFmtId="0" fontId="63" fillId="0" borderId="0"/>
    <xf numFmtId="0" fontId="5" fillId="0" borderId="0"/>
    <xf numFmtId="0" fontId="3" fillId="0" borderId="0"/>
    <xf numFmtId="0" fontId="1" fillId="0" borderId="0" applyNumberFormat="0" applyFont="0" applyFill="0" applyBorder="0" applyAlignment="0" applyProtection="0"/>
    <xf numFmtId="0" fontId="5" fillId="4" borderId="7" applyNumberFormat="0" applyFont="0" applyAlignment="0" applyProtection="0"/>
    <xf numFmtId="0" fontId="78" fillId="12" borderId="8" applyNumberFormat="0" applyAlignment="0" applyProtection="0"/>
    <xf numFmtId="0" fontId="8" fillId="0" borderId="0">
      <alignment vertical="center"/>
    </xf>
    <xf numFmtId="177" fontId="8" fillId="0" borderId="0" applyFont="0" applyFill="0" applyBorder="0" applyAlignment="0" applyProtection="0">
      <alignment horizontal="right"/>
    </xf>
    <xf numFmtId="9" fontId="3" fillId="0" borderId="0" applyFont="0" applyFill="0" applyBorder="0" applyAlignment="0" applyProtection="0"/>
    <xf numFmtId="173" fontId="9" fillId="0" borderId="0" applyFont="0" applyFill="0" applyBorder="0" applyAlignment="0" applyProtection="0"/>
    <xf numFmtId="173" fontId="9" fillId="0" borderId="0" applyFont="0" applyFill="0" applyBorder="0" applyAlignment="0"/>
    <xf numFmtId="0" fontId="32" fillId="15" borderId="0" applyNumberFormat="0" applyFont="0" applyBorder="0" applyAlignment="0" applyProtection="0"/>
    <xf numFmtId="0" fontId="5" fillId="15" borderId="0" applyNumberFormat="0" applyFont="0" applyBorder="0" applyAlignment="0" applyProtection="0"/>
    <xf numFmtId="0" fontId="49" fillId="0" borderId="0"/>
    <xf numFmtId="0" fontId="85" fillId="0" borderId="0"/>
    <xf numFmtId="0" fontId="49" fillId="0" borderId="9">
      <alignment horizontal="centerContinuous"/>
    </xf>
    <xf numFmtId="0" fontId="85" fillId="0" borderId="9">
      <alignment horizontal="centerContinuous"/>
    </xf>
    <xf numFmtId="0" fontId="50" fillId="0" borderId="9"/>
    <xf numFmtId="0" fontId="5" fillId="0" borderId="0">
      <alignment vertical="top"/>
    </xf>
    <xf numFmtId="0" fontId="5" fillId="0" borderId="0">
      <alignment vertical="top"/>
    </xf>
    <xf numFmtId="0" fontId="79" fillId="0" borderId="0" applyNumberFormat="0" applyFill="0" applyBorder="0" applyAlignment="0" applyProtection="0"/>
    <xf numFmtId="0" fontId="80" fillId="0" borderId="10" applyNumberFormat="0" applyFill="0" applyAlignment="0" applyProtection="0"/>
    <xf numFmtId="0" fontId="81" fillId="0" borderId="0" applyNumberFormat="0" applyFill="0" applyBorder="0" applyAlignment="0" applyProtection="0"/>
    <xf numFmtId="176" fontId="11" fillId="0" borderId="0" applyFont="0" applyFill="0" applyBorder="0" applyAlignment="0" applyProtection="0"/>
    <xf numFmtId="0" fontId="104" fillId="0" borderId="0"/>
  </cellStyleXfs>
  <cellXfs count="888">
    <xf numFmtId="0" fontId="0" fillId="0" borderId="0" xfId="0"/>
    <xf numFmtId="0" fontId="14" fillId="18" borderId="0" xfId="63" applyFont="1" applyFill="1"/>
    <xf numFmtId="0" fontId="5" fillId="18" borderId="0" xfId="80" applyFont="1" applyFill="1" applyAlignment="1"/>
    <xf numFmtId="0" fontId="15" fillId="18" borderId="0" xfId="63" applyFont="1" applyFill="1"/>
    <xf numFmtId="0" fontId="16" fillId="18" borderId="0" xfId="63" applyFont="1" applyFill="1" applyBorder="1"/>
    <xf numFmtId="0" fontId="17" fillId="18" borderId="0" xfId="63" applyFont="1" applyFill="1" applyBorder="1"/>
    <xf numFmtId="0" fontId="18" fillId="18" borderId="0" xfId="63" applyFont="1" applyFill="1" applyBorder="1"/>
    <xf numFmtId="0" fontId="19" fillId="18" borderId="0" xfId="63" applyFont="1" applyFill="1" applyBorder="1"/>
    <xf numFmtId="0" fontId="20" fillId="18" borderId="0" xfId="63" applyFont="1" applyFill="1" applyBorder="1"/>
    <xf numFmtId="0" fontId="21" fillId="18" borderId="0" xfId="63" applyFont="1" applyFill="1" applyBorder="1"/>
    <xf numFmtId="0" fontId="22" fillId="18" borderId="0" xfId="50" applyFont="1" applyFill="1" applyAlignment="1" applyProtection="1"/>
    <xf numFmtId="0" fontId="23" fillId="18" borderId="0" xfId="63" applyFont="1" applyFill="1" applyBorder="1"/>
    <xf numFmtId="0" fontId="24" fillId="18" borderId="0" xfId="80" applyFont="1" applyFill="1" applyAlignment="1"/>
    <xf numFmtId="0" fontId="25" fillId="18" borderId="0" xfId="63" applyFont="1" applyFill="1" applyBorder="1"/>
    <xf numFmtId="0" fontId="26" fillId="18" borderId="0" xfId="63" applyFont="1" applyFill="1" applyBorder="1"/>
    <xf numFmtId="0" fontId="27" fillId="18" borderId="0" xfId="63" applyFont="1" applyFill="1" applyBorder="1"/>
    <xf numFmtId="0" fontId="28" fillId="18" borderId="0" xfId="50" applyFont="1" applyFill="1" applyAlignment="1" applyProtection="1"/>
    <xf numFmtId="0" fontId="29" fillId="18" borderId="0" xfId="63" applyFont="1" applyFill="1" applyBorder="1"/>
    <xf numFmtId="0" fontId="32" fillId="17" borderId="0" xfId="0" applyFont="1" applyFill="1" applyBorder="1"/>
    <xf numFmtId="0" fontId="33" fillId="17" borderId="0" xfId="0" applyFont="1" applyFill="1" applyBorder="1"/>
    <xf numFmtId="0" fontId="32" fillId="17" borderId="0" xfId="0" applyFont="1" applyFill="1"/>
    <xf numFmtId="165" fontId="33" fillId="17" borderId="0" xfId="0" applyNumberFormat="1" applyFont="1" applyFill="1" applyBorder="1"/>
    <xf numFmtId="165" fontId="33" fillId="17" borderId="0" xfId="70" applyNumberFormat="1" applyFont="1" applyFill="1" applyBorder="1"/>
    <xf numFmtId="10" fontId="32" fillId="17" borderId="0" xfId="70" applyNumberFormat="1" applyFont="1" applyFill="1"/>
    <xf numFmtId="9" fontId="33" fillId="17" borderId="0" xfId="70" applyNumberFormat="1" applyFont="1" applyFill="1" applyBorder="1"/>
    <xf numFmtId="165" fontId="32" fillId="17" borderId="0" xfId="70" applyNumberFormat="1" applyFont="1" applyFill="1" applyBorder="1"/>
    <xf numFmtId="8" fontId="32" fillId="17" borderId="0" xfId="70" applyNumberFormat="1" applyFont="1" applyFill="1" applyBorder="1"/>
    <xf numFmtId="168" fontId="32" fillId="17" borderId="0" xfId="39" applyNumberFormat="1" applyFont="1" applyFill="1" applyBorder="1"/>
    <xf numFmtId="44" fontId="32" fillId="17" borderId="0" xfId="40" applyFont="1" applyFill="1"/>
    <xf numFmtId="8" fontId="33" fillId="17" borderId="0" xfId="0" applyNumberFormat="1" applyFont="1" applyFill="1" applyBorder="1" applyAlignment="1">
      <alignment horizontal="right"/>
    </xf>
    <xf numFmtId="0" fontId="33" fillId="17" borderId="0" xfId="0" applyFont="1" applyFill="1" applyBorder="1" applyAlignment="1">
      <alignment horizontal="center"/>
    </xf>
    <xf numFmtId="168" fontId="33" fillId="17" borderId="0" xfId="0" applyNumberFormat="1" applyFont="1" applyFill="1" applyBorder="1"/>
    <xf numFmtId="166" fontId="33" fillId="17" borderId="0" xfId="0" applyNumberFormat="1" applyFont="1" applyFill="1" applyBorder="1"/>
    <xf numFmtId="0" fontId="33" fillId="17" borderId="11" xfId="0" applyFont="1" applyFill="1" applyBorder="1" applyAlignment="1">
      <alignment horizontal="center"/>
    </xf>
    <xf numFmtId="169" fontId="34" fillId="17" borderId="0" xfId="39" applyNumberFormat="1" applyFont="1" applyFill="1" applyBorder="1"/>
    <xf numFmtId="165" fontId="34" fillId="17" borderId="0" xfId="39" applyNumberFormat="1" applyFont="1" applyFill="1" applyBorder="1"/>
    <xf numFmtId="165" fontId="33" fillId="17" borderId="0" xfId="39" applyNumberFormat="1" applyFont="1" applyFill="1" applyBorder="1"/>
    <xf numFmtId="165" fontId="32" fillId="17" borderId="0" xfId="39" applyNumberFormat="1" applyFont="1" applyFill="1" applyBorder="1"/>
    <xf numFmtId="166" fontId="33" fillId="17" borderId="0" xfId="70" applyNumberFormat="1" applyFont="1" applyFill="1" applyBorder="1" applyAlignment="1">
      <alignment horizontal="center"/>
    </xf>
    <xf numFmtId="165" fontId="33" fillId="17" borderId="0" xfId="39" applyNumberFormat="1" applyFont="1" applyFill="1" applyBorder="1" applyAlignment="1">
      <alignment horizontal="center"/>
    </xf>
    <xf numFmtId="165" fontId="32" fillId="17" borderId="12" xfId="39" applyNumberFormat="1" applyFont="1" applyFill="1" applyBorder="1"/>
    <xf numFmtId="165" fontId="34" fillId="17" borderId="0" xfId="39" applyNumberFormat="1" applyFont="1" applyFill="1" applyBorder="1" applyAlignment="1">
      <alignment horizontal="center"/>
    </xf>
    <xf numFmtId="165" fontId="36" fillId="17" borderId="0" xfId="39" applyNumberFormat="1" applyFont="1" applyFill="1" applyBorder="1"/>
    <xf numFmtId="166" fontId="33" fillId="17" borderId="0" xfId="70" applyNumberFormat="1" applyFont="1" applyFill="1" applyBorder="1"/>
    <xf numFmtId="165" fontId="24" fillId="17" borderId="0" xfId="39" applyNumberFormat="1" applyFont="1" applyFill="1" applyBorder="1"/>
    <xf numFmtId="0" fontId="34" fillId="17" borderId="0" xfId="0" applyFont="1" applyFill="1" applyBorder="1"/>
    <xf numFmtId="165" fontId="32" fillId="17" borderId="0" xfId="39" applyNumberFormat="1" applyFont="1" applyFill="1" applyBorder="1" applyAlignment="1">
      <alignment horizontal="right"/>
    </xf>
    <xf numFmtId="166" fontId="32" fillId="17" borderId="0" xfId="70" applyNumberFormat="1" applyFont="1" applyFill="1" applyBorder="1"/>
    <xf numFmtId="166" fontId="24" fillId="17" borderId="0" xfId="70" applyNumberFormat="1" applyFont="1" applyFill="1" applyBorder="1"/>
    <xf numFmtId="171" fontId="33" fillId="17" borderId="0" xfId="70" applyNumberFormat="1" applyFont="1" applyFill="1" applyBorder="1"/>
    <xf numFmtId="166" fontId="33" fillId="16" borderId="0" xfId="70" applyNumberFormat="1" applyFont="1" applyFill="1" applyBorder="1"/>
    <xf numFmtId="168" fontId="33" fillId="17" borderId="0" xfId="39" applyNumberFormat="1" applyFont="1" applyFill="1" applyBorder="1"/>
    <xf numFmtId="164" fontId="32" fillId="17" borderId="0" xfId="65" applyNumberFormat="1" applyFont="1" applyFill="1" applyBorder="1"/>
    <xf numFmtId="164" fontId="32" fillId="17" borderId="0" xfId="65" applyNumberFormat="1" applyFont="1" applyFill="1"/>
    <xf numFmtId="9" fontId="32" fillId="17" borderId="0" xfId="70" applyFont="1" applyFill="1" applyBorder="1"/>
    <xf numFmtId="17" fontId="27" fillId="17" borderId="11" xfId="0" quotePrefix="1" applyNumberFormat="1" applyFont="1" applyFill="1" applyBorder="1" applyAlignment="1">
      <alignment horizontal="center"/>
    </xf>
    <xf numFmtId="17" fontId="27" fillId="17" borderId="0" xfId="0" quotePrefix="1" applyNumberFormat="1" applyFont="1" applyFill="1" applyBorder="1" applyAlignment="1">
      <alignment horizontal="center"/>
    </xf>
    <xf numFmtId="43" fontId="33" fillId="17" borderId="0" xfId="0" applyNumberFormat="1" applyFont="1" applyFill="1" applyBorder="1"/>
    <xf numFmtId="170" fontId="32" fillId="17" borderId="0" xfId="0" applyNumberFormat="1" applyFont="1" applyFill="1" applyBorder="1"/>
    <xf numFmtId="170" fontId="32" fillId="17" borderId="0" xfId="39" applyNumberFormat="1" applyFont="1" applyFill="1" applyBorder="1"/>
    <xf numFmtId="166" fontId="32" fillId="17" borderId="0" xfId="70" applyNumberFormat="1" applyFont="1" applyFill="1" applyBorder="1" applyAlignment="1">
      <alignment horizontal="right"/>
    </xf>
    <xf numFmtId="165" fontId="35" fillId="17" borderId="0" xfId="39" applyNumberFormat="1" applyFont="1" applyFill="1" applyBorder="1"/>
    <xf numFmtId="167" fontId="32" fillId="17" borderId="0" xfId="39" applyNumberFormat="1" applyFont="1" applyFill="1" applyBorder="1"/>
    <xf numFmtId="165" fontId="32" fillId="17" borderId="0" xfId="39" applyNumberFormat="1" applyFont="1" applyFill="1" applyBorder="1" applyAlignment="1">
      <alignment horizontal="center"/>
    </xf>
    <xf numFmtId="165" fontId="38" fillId="17" borderId="0" xfId="39" applyNumberFormat="1" applyFont="1" applyFill="1" applyBorder="1"/>
    <xf numFmtId="0" fontId="37" fillId="17" borderId="0" xfId="0" applyFont="1" applyFill="1" applyBorder="1"/>
    <xf numFmtId="166" fontId="24" fillId="17" borderId="0" xfId="70" applyNumberFormat="1" applyFont="1" applyFill="1" applyBorder="1" applyAlignment="1">
      <alignment horizontal="right"/>
    </xf>
    <xf numFmtId="165" fontId="32" fillId="17" borderId="12" xfId="39" applyNumberFormat="1" applyFont="1" applyFill="1" applyBorder="1" applyAlignment="1">
      <alignment horizontal="center"/>
    </xf>
    <xf numFmtId="165" fontId="24" fillId="17" borderId="0" xfId="39" applyNumberFormat="1" applyFont="1" applyFill="1" applyBorder="1" applyAlignment="1">
      <alignment horizontal="center"/>
    </xf>
    <xf numFmtId="165" fontId="35" fillId="17" borderId="0" xfId="39" applyNumberFormat="1" applyFont="1" applyFill="1" applyBorder="1" applyAlignment="1">
      <alignment horizontal="center"/>
    </xf>
    <xf numFmtId="172" fontId="32" fillId="17" borderId="0" xfId="39" applyNumberFormat="1" applyFont="1" applyFill="1" applyBorder="1" applyAlignment="1">
      <alignment horizontal="right"/>
    </xf>
    <xf numFmtId="172" fontId="24" fillId="17" borderId="0" xfId="39" applyNumberFormat="1" applyFont="1" applyFill="1" applyBorder="1" applyAlignment="1">
      <alignment horizontal="right"/>
    </xf>
    <xf numFmtId="180" fontId="35" fillId="17" borderId="0" xfId="39" applyNumberFormat="1" applyFont="1" applyFill="1" applyBorder="1" applyAlignment="1">
      <alignment horizontal="center"/>
    </xf>
    <xf numFmtId="175" fontId="33" fillId="17" borderId="0" xfId="0" applyNumberFormat="1" applyFont="1" applyFill="1" applyBorder="1"/>
    <xf numFmtId="1" fontId="33" fillId="17" borderId="0" xfId="0" applyNumberFormat="1" applyFont="1" applyFill="1" applyBorder="1"/>
    <xf numFmtId="172" fontId="30" fillId="17" borderId="0" xfId="58" applyNumberFormat="1" applyFont="1" applyFill="1"/>
    <xf numFmtId="0" fontId="39" fillId="17" borderId="0" xfId="0" applyFont="1" applyFill="1"/>
    <xf numFmtId="166" fontId="35" fillId="17" borderId="0" xfId="70" applyNumberFormat="1" applyFont="1" applyFill="1" applyBorder="1"/>
    <xf numFmtId="165" fontId="40" fillId="17" borderId="0" xfId="39" applyNumberFormat="1" applyFont="1" applyFill="1" applyBorder="1"/>
    <xf numFmtId="172" fontId="34" fillId="17" borderId="0" xfId="58" applyNumberFormat="1" applyFont="1" applyFill="1"/>
    <xf numFmtId="172" fontId="33" fillId="17" borderId="0" xfId="58" applyNumberFormat="1" applyFont="1" applyFill="1"/>
    <xf numFmtId="43" fontId="32" fillId="17" borderId="0" xfId="39" applyFont="1" applyFill="1" applyBorder="1"/>
    <xf numFmtId="164" fontId="24" fillId="17" borderId="0" xfId="65" applyNumberFormat="1" applyFont="1" applyFill="1" applyBorder="1"/>
    <xf numFmtId="164" fontId="24" fillId="17" borderId="0" xfId="65" applyNumberFormat="1" applyFont="1" applyFill="1"/>
    <xf numFmtId="172" fontId="36" fillId="17" borderId="0" xfId="58" applyNumberFormat="1" applyFont="1" applyFill="1"/>
    <xf numFmtId="7" fontId="24" fillId="17" borderId="0" xfId="64" applyNumberFormat="1" applyFont="1" applyFill="1" applyBorder="1" applyAlignment="1" applyProtection="1">
      <alignment horizontal="right"/>
    </xf>
    <xf numFmtId="168" fontId="32" fillId="17" borderId="0" xfId="39" applyNumberFormat="1" applyFont="1" applyFill="1"/>
    <xf numFmtId="168" fontId="32" fillId="19" borderId="0" xfId="39" applyNumberFormat="1" applyFont="1" applyFill="1" applyBorder="1"/>
    <xf numFmtId="166" fontId="32" fillId="19" borderId="0" xfId="70" applyNumberFormat="1" applyFont="1" applyFill="1" applyBorder="1"/>
    <xf numFmtId="43" fontId="34" fillId="17" borderId="0" xfId="39" applyFont="1" applyFill="1" applyBorder="1"/>
    <xf numFmtId="172" fontId="33" fillId="17" borderId="12" xfId="58" applyNumberFormat="1" applyFont="1" applyFill="1" applyBorder="1"/>
    <xf numFmtId="9" fontId="32" fillId="17" borderId="12" xfId="70" applyFont="1" applyFill="1" applyBorder="1"/>
    <xf numFmtId="165" fontId="40" fillId="17" borderId="0" xfId="70" applyNumberFormat="1" applyFont="1" applyFill="1" applyBorder="1"/>
    <xf numFmtId="167" fontId="24" fillId="17" borderId="0" xfId="39" applyNumberFormat="1" applyFont="1" applyFill="1" applyBorder="1"/>
    <xf numFmtId="165" fontId="39" fillId="17" borderId="11" xfId="0" applyNumberFormat="1" applyFont="1" applyFill="1" applyBorder="1" applyAlignment="1">
      <alignment horizontal="center"/>
    </xf>
    <xf numFmtId="165" fontId="39" fillId="17" borderId="0" xfId="0" applyNumberFormat="1" applyFont="1" applyFill="1" applyBorder="1" applyAlignment="1">
      <alignment horizontal="center"/>
    </xf>
    <xf numFmtId="169" fontId="33" fillId="17" borderId="0" xfId="0" applyNumberFormat="1" applyFont="1" applyFill="1" applyBorder="1"/>
    <xf numFmtId="178" fontId="33" fillId="17" borderId="0" xfId="0" applyNumberFormat="1" applyFont="1" applyFill="1" applyBorder="1" applyAlignment="1">
      <alignment horizontal="center"/>
    </xf>
    <xf numFmtId="164" fontId="32" fillId="0" borderId="0" xfId="59" applyFont="1" applyBorder="1"/>
    <xf numFmtId="0" fontId="24" fillId="0" borderId="0" xfId="64" applyFont="1" applyBorder="1" applyAlignment="1" applyProtection="1">
      <alignment horizontal="center"/>
    </xf>
    <xf numFmtId="164" fontId="32" fillId="17" borderId="0" xfId="59" applyFont="1" applyFill="1" applyBorder="1"/>
    <xf numFmtId="164" fontId="32" fillId="0" borderId="0" xfId="59" applyFont="1"/>
    <xf numFmtId="164" fontId="24" fillId="0" borderId="0" xfId="59" applyFont="1"/>
    <xf numFmtId="164" fontId="24" fillId="0" borderId="0" xfId="59" applyFont="1" applyBorder="1"/>
    <xf numFmtId="164" fontId="24" fillId="17" borderId="0" xfId="59" applyFont="1" applyFill="1" applyBorder="1"/>
    <xf numFmtId="164" fontId="32" fillId="0" borderId="0" xfId="59" applyFont="1" applyBorder="1" applyAlignment="1">
      <alignment horizontal="left" indent="1"/>
    </xf>
    <xf numFmtId="164" fontId="24" fillId="0" borderId="12" xfId="59" applyFont="1" applyBorder="1"/>
    <xf numFmtId="164" fontId="30" fillId="0" borderId="0" xfId="59" applyFont="1"/>
    <xf numFmtId="171" fontId="24" fillId="0" borderId="0" xfId="71" applyNumberFormat="1" applyFont="1" applyFill="1" applyBorder="1"/>
    <xf numFmtId="164" fontId="32" fillId="0" borderId="0" xfId="59" applyFont="1" applyAlignment="1">
      <alignment horizontal="left" indent="1"/>
    </xf>
    <xf numFmtId="171" fontId="32" fillId="17" borderId="0" xfId="71" applyNumberFormat="1" applyFont="1" applyFill="1" applyBorder="1"/>
    <xf numFmtId="171" fontId="35" fillId="17" borderId="0" xfId="71" applyNumberFormat="1" applyFont="1" applyFill="1" applyBorder="1"/>
    <xf numFmtId="171" fontId="35" fillId="17" borderId="12" xfId="71" applyNumberFormat="1" applyFont="1" applyFill="1" applyBorder="1"/>
    <xf numFmtId="171" fontId="32" fillId="17" borderId="12" xfId="71" applyNumberFormat="1" applyFont="1" applyFill="1" applyBorder="1"/>
    <xf numFmtId="164" fontId="45" fillId="0" borderId="0" xfId="59" applyFont="1" applyAlignment="1">
      <alignment horizontal="left" indent="2"/>
    </xf>
    <xf numFmtId="171" fontId="45" fillId="0" borderId="0" xfId="71" applyNumberFormat="1" applyFont="1" applyFill="1" applyBorder="1"/>
    <xf numFmtId="164" fontId="24" fillId="0" borderId="0" xfId="59" applyFont="1" applyAlignment="1">
      <alignment horizontal="left" indent="1"/>
    </xf>
    <xf numFmtId="164" fontId="32" fillId="0" borderId="12" xfId="59" applyFont="1" applyBorder="1"/>
    <xf numFmtId="170" fontId="45" fillId="0" borderId="0" xfId="0" applyNumberFormat="1" applyFont="1" applyBorder="1"/>
    <xf numFmtId="170" fontId="45" fillId="16" borderId="12" xfId="0" applyNumberFormat="1" applyFont="1" applyFill="1" applyBorder="1"/>
    <xf numFmtId="166" fontId="32" fillId="0" borderId="0" xfId="70" applyNumberFormat="1" applyFont="1" applyBorder="1"/>
    <xf numFmtId="0" fontId="32" fillId="0" borderId="0" xfId="0" applyFont="1" applyBorder="1"/>
    <xf numFmtId="171" fontId="32" fillId="0" borderId="0" xfId="72" applyNumberFormat="1" applyFont="1" applyFill="1"/>
    <xf numFmtId="171" fontId="32" fillId="0" borderId="0" xfId="71" applyNumberFormat="1" applyFont="1" applyFill="1"/>
    <xf numFmtId="164" fontId="32" fillId="0" borderId="0" xfId="59" applyFont="1" applyFill="1"/>
    <xf numFmtId="164" fontId="24" fillId="0" borderId="0" xfId="59" applyFont="1" applyAlignment="1">
      <alignment horizontal="right"/>
    </xf>
    <xf numFmtId="172" fontId="42" fillId="17" borderId="0" xfId="58" applyNumberFormat="1" applyFont="1" applyFill="1"/>
    <xf numFmtId="172" fontId="33" fillId="17" borderId="0" xfId="39" applyNumberFormat="1" applyFont="1" applyFill="1"/>
    <xf numFmtId="0" fontId="43" fillId="17" borderId="0" xfId="58" applyFont="1" applyFill="1"/>
    <xf numFmtId="181" fontId="33" fillId="17" borderId="0" xfId="0" applyNumberFormat="1" applyFont="1" applyFill="1" applyBorder="1"/>
    <xf numFmtId="167" fontId="33" fillId="17" borderId="0" xfId="0" applyNumberFormat="1" applyFont="1" applyFill="1" applyBorder="1"/>
    <xf numFmtId="165" fontId="45" fillId="17" borderId="0" xfId="39" applyNumberFormat="1" applyFont="1" applyFill="1" applyBorder="1" applyAlignment="1">
      <alignment horizontal="center"/>
    </xf>
    <xf numFmtId="43" fontId="33" fillId="17" borderId="0" xfId="39" applyFont="1" applyFill="1" applyBorder="1"/>
    <xf numFmtId="0" fontId="45" fillId="17" borderId="12" xfId="0" applyFont="1" applyFill="1" applyBorder="1" applyAlignment="1">
      <alignment horizontal="right"/>
    </xf>
    <xf numFmtId="166" fontId="36" fillId="17" borderId="0" xfId="0" applyNumberFormat="1" applyFont="1" applyFill="1" applyBorder="1"/>
    <xf numFmtId="181" fontId="36" fillId="17" borderId="0" xfId="0" applyNumberFormat="1" applyFont="1" applyFill="1" applyBorder="1"/>
    <xf numFmtId="181" fontId="33" fillId="17" borderId="0" xfId="0" applyNumberFormat="1" applyFont="1" applyFill="1" applyBorder="1" applyAlignment="1">
      <alignment horizontal="right"/>
    </xf>
    <xf numFmtId="170" fontId="36" fillId="17" borderId="0" xfId="0" applyNumberFormat="1" applyFont="1" applyFill="1" applyBorder="1"/>
    <xf numFmtId="182" fontId="33" fillId="17" borderId="0" xfId="0" applyNumberFormat="1" applyFont="1" applyFill="1" applyBorder="1"/>
    <xf numFmtId="170" fontId="41" fillId="17" borderId="0" xfId="65" applyNumberFormat="1" applyFont="1" applyFill="1" applyBorder="1"/>
    <xf numFmtId="170" fontId="36" fillId="17" borderId="0" xfId="65" applyNumberFormat="1" applyFont="1" applyFill="1" applyBorder="1"/>
    <xf numFmtId="170" fontId="32" fillId="17" borderId="12" xfId="65" applyNumberFormat="1" applyFont="1" applyFill="1" applyBorder="1"/>
    <xf numFmtId="170" fontId="41" fillId="17" borderId="12" xfId="65" applyNumberFormat="1" applyFont="1" applyFill="1" applyBorder="1"/>
    <xf numFmtId="167" fontId="36" fillId="17" borderId="0" xfId="0" applyNumberFormat="1" applyFont="1" applyFill="1" applyBorder="1"/>
    <xf numFmtId="165" fontId="36" fillId="17" borderId="0" xfId="70" applyNumberFormat="1" applyFont="1" applyFill="1" applyBorder="1"/>
    <xf numFmtId="166" fontId="36" fillId="17" borderId="0" xfId="70" applyNumberFormat="1" applyFont="1" applyFill="1" applyBorder="1"/>
    <xf numFmtId="171" fontId="32" fillId="17" borderId="0" xfId="70" applyNumberFormat="1" applyFont="1" applyFill="1" applyBorder="1"/>
    <xf numFmtId="168" fontId="36" fillId="17" borderId="0" xfId="39" applyNumberFormat="1" applyFont="1" applyFill="1" applyBorder="1"/>
    <xf numFmtId="168" fontId="32" fillId="19" borderId="12" xfId="39" applyNumberFormat="1" applyFont="1" applyFill="1" applyBorder="1"/>
    <xf numFmtId="168" fontId="24" fillId="19" borderId="12" xfId="39" applyNumberFormat="1" applyFont="1" applyFill="1" applyBorder="1"/>
    <xf numFmtId="166" fontId="32" fillId="19" borderId="12" xfId="70" applyNumberFormat="1" applyFont="1" applyFill="1" applyBorder="1"/>
    <xf numFmtId="170" fontId="45" fillId="19" borderId="0" xfId="0" applyNumberFormat="1" applyFont="1" applyFill="1" applyBorder="1"/>
    <xf numFmtId="166" fontId="24" fillId="19" borderId="12" xfId="70" applyNumberFormat="1" applyFont="1" applyFill="1" applyBorder="1"/>
    <xf numFmtId="166" fontId="24" fillId="19" borderId="0" xfId="70" applyNumberFormat="1" applyFont="1" applyFill="1" applyBorder="1"/>
    <xf numFmtId="171" fontId="36" fillId="17" borderId="0" xfId="71" applyNumberFormat="1" applyFont="1" applyFill="1" applyBorder="1"/>
    <xf numFmtId="0" fontId="24" fillId="16" borderId="11" xfId="0" applyFont="1" applyFill="1" applyBorder="1"/>
    <xf numFmtId="0" fontId="24" fillId="16" borderId="11" xfId="0" applyFont="1" applyFill="1" applyBorder="1" applyAlignment="1">
      <alignment horizontal="centerContinuous"/>
    </xf>
    <xf numFmtId="0" fontId="24" fillId="17" borderId="0" xfId="64" quotePrefix="1" applyFont="1" applyFill="1" applyBorder="1" applyAlignment="1">
      <alignment horizontal="center"/>
    </xf>
    <xf numFmtId="0" fontId="24" fillId="17" borderId="0" xfId="64" applyFont="1" applyFill="1" applyBorder="1" applyAlignment="1" applyProtection="1">
      <alignment horizontal="center"/>
    </xf>
    <xf numFmtId="0" fontId="43" fillId="17" borderId="0" xfId="64" applyFont="1" applyFill="1" applyBorder="1" applyAlignment="1" applyProtection="1">
      <alignment horizontal="center"/>
    </xf>
    <xf numFmtId="164" fontId="53" fillId="0" borderId="12" xfId="59" applyFont="1" applyBorder="1"/>
    <xf numFmtId="164" fontId="24" fillId="17" borderId="0" xfId="59" applyFont="1" applyFill="1"/>
    <xf numFmtId="164" fontId="32" fillId="17" borderId="0" xfId="59" applyFont="1" applyFill="1" applyAlignment="1">
      <alignment horizontal="left" indent="1"/>
    </xf>
    <xf numFmtId="164" fontId="24" fillId="17" borderId="0" xfId="59" applyFont="1" applyFill="1" applyAlignment="1">
      <alignment horizontal="left" indent="1"/>
    </xf>
    <xf numFmtId="9" fontId="24" fillId="17" borderId="0" xfId="70" applyFont="1" applyFill="1" applyBorder="1"/>
    <xf numFmtId="171" fontId="24" fillId="17" borderId="0" xfId="71" applyNumberFormat="1" applyFont="1" applyFill="1" applyBorder="1"/>
    <xf numFmtId="164" fontId="32" fillId="17" borderId="0" xfId="59" applyFont="1" applyFill="1"/>
    <xf numFmtId="164" fontId="24" fillId="17" borderId="12" xfId="59" applyFont="1" applyFill="1" applyBorder="1"/>
    <xf numFmtId="164" fontId="53" fillId="17" borderId="0" xfId="59" applyFont="1" applyFill="1" applyBorder="1"/>
    <xf numFmtId="164" fontId="32" fillId="17" borderId="12" xfId="59" applyFont="1" applyFill="1" applyBorder="1" applyAlignment="1">
      <alignment horizontal="left" indent="1"/>
    </xf>
    <xf numFmtId="166" fontId="24" fillId="17" borderId="12" xfId="70" applyNumberFormat="1" applyFont="1" applyFill="1" applyBorder="1"/>
    <xf numFmtId="164" fontId="32" fillId="17" borderId="12" xfId="59" applyFont="1" applyFill="1" applyBorder="1"/>
    <xf numFmtId="171" fontId="40" fillId="17" borderId="0" xfId="71" applyNumberFormat="1" applyFont="1" applyFill="1" applyBorder="1"/>
    <xf numFmtId="166" fontId="40" fillId="17" borderId="0" xfId="70" applyNumberFormat="1" applyFont="1" applyFill="1" applyBorder="1"/>
    <xf numFmtId="166" fontId="34" fillId="17" borderId="0" xfId="70" applyNumberFormat="1" applyFont="1" applyFill="1" applyBorder="1"/>
    <xf numFmtId="166" fontId="32" fillId="17" borderId="0" xfId="70" applyNumberFormat="1" applyFont="1" applyFill="1"/>
    <xf numFmtId="164" fontId="45" fillId="17" borderId="0" xfId="59" applyFont="1" applyFill="1" applyAlignment="1">
      <alignment horizontal="left" indent="1"/>
    </xf>
    <xf numFmtId="164" fontId="45" fillId="17" borderId="0" xfId="59" applyFont="1" applyFill="1"/>
    <xf numFmtId="171" fontId="45" fillId="17" borderId="0" xfId="71" applyNumberFormat="1" applyFont="1" applyFill="1" applyBorder="1"/>
    <xf numFmtId="164" fontId="40" fillId="0" borderId="0" xfId="59" applyFont="1"/>
    <xf numFmtId="165" fontId="24" fillId="16" borderId="12" xfId="39" applyNumberFormat="1" applyFont="1" applyFill="1" applyBorder="1"/>
    <xf numFmtId="17" fontId="24" fillId="16" borderId="12" xfId="0" quotePrefix="1" applyNumberFormat="1" applyFont="1" applyFill="1" applyBorder="1" applyAlignment="1">
      <alignment horizontal="center"/>
    </xf>
    <xf numFmtId="164" fontId="24" fillId="0" borderId="12" xfId="59" applyFont="1" applyBorder="1" applyAlignment="1">
      <alignment horizontal="left" indent="1"/>
    </xf>
    <xf numFmtId="164" fontId="32" fillId="16" borderId="15" xfId="59" applyFont="1" applyFill="1" applyBorder="1"/>
    <xf numFmtId="164" fontId="24" fillId="16" borderId="15" xfId="59" applyFont="1" applyFill="1" applyBorder="1"/>
    <xf numFmtId="166" fontId="32" fillId="16" borderId="15" xfId="70" applyNumberFormat="1" applyFont="1" applyFill="1" applyBorder="1"/>
    <xf numFmtId="0" fontId="24" fillId="16" borderId="15" xfId="64" quotePrefix="1" applyFont="1" applyFill="1" applyBorder="1" applyAlignment="1">
      <alignment horizontal="center"/>
    </xf>
    <xf numFmtId="164" fontId="24" fillId="16" borderId="14" xfId="59" applyFont="1" applyFill="1" applyBorder="1"/>
    <xf numFmtId="166" fontId="24" fillId="16" borderId="15" xfId="70" applyNumberFormat="1" applyFont="1" applyFill="1" applyBorder="1"/>
    <xf numFmtId="171" fontId="24" fillId="16" borderId="15" xfId="71" applyNumberFormat="1" applyFont="1" applyFill="1" applyBorder="1"/>
    <xf numFmtId="171" fontId="24" fillId="16" borderId="14" xfId="71" applyNumberFormat="1" applyFont="1" applyFill="1" applyBorder="1"/>
    <xf numFmtId="171" fontId="31" fillId="16" borderId="15" xfId="71" applyNumberFormat="1" applyFont="1" applyFill="1" applyBorder="1"/>
    <xf numFmtId="0" fontId="43" fillId="16" borderId="15" xfId="64" quotePrefix="1" applyFont="1" applyFill="1" applyBorder="1" applyAlignment="1">
      <alignment horizontal="center"/>
    </xf>
    <xf numFmtId="171" fontId="32" fillId="16" borderId="15" xfId="72" applyNumberFormat="1" applyFont="1" applyFill="1" applyBorder="1"/>
    <xf numFmtId="171" fontId="24" fillId="16" borderId="15" xfId="72" applyNumberFormat="1" applyFont="1" applyFill="1" applyBorder="1"/>
    <xf numFmtId="166" fontId="30" fillId="16" borderId="15" xfId="70" applyNumberFormat="1" applyFont="1" applyFill="1" applyBorder="1"/>
    <xf numFmtId="166" fontId="24" fillId="16" borderId="14" xfId="70" applyNumberFormat="1" applyFont="1" applyFill="1" applyBorder="1"/>
    <xf numFmtId="166" fontId="24" fillId="17" borderId="0" xfId="70" applyNumberFormat="1" applyFont="1" applyFill="1"/>
    <xf numFmtId="166" fontId="32" fillId="16" borderId="0" xfId="70" applyNumberFormat="1" applyFont="1" applyFill="1" applyBorder="1" applyAlignment="1">
      <alignment horizontal="right"/>
    </xf>
    <xf numFmtId="166" fontId="32" fillId="17" borderId="12" xfId="70" applyNumberFormat="1" applyFont="1" applyFill="1" applyBorder="1"/>
    <xf numFmtId="166" fontId="45" fillId="17" borderId="0" xfId="70" applyNumberFormat="1" applyFont="1" applyFill="1" applyBorder="1"/>
    <xf numFmtId="171" fontId="45" fillId="16" borderId="15" xfId="71" applyNumberFormat="1" applyFont="1" applyFill="1" applyBorder="1"/>
    <xf numFmtId="0" fontId="24" fillId="17" borderId="12" xfId="64" applyFont="1" applyFill="1" applyBorder="1" applyAlignment="1" applyProtection="1">
      <alignment horizontal="center"/>
    </xf>
    <xf numFmtId="170" fontId="45" fillId="17" borderId="0" xfId="0" applyNumberFormat="1" applyFont="1" applyFill="1" applyBorder="1"/>
    <xf numFmtId="166" fontId="32" fillId="0" borderId="12" xfId="70" applyNumberFormat="1" applyFont="1" applyBorder="1" applyAlignment="1">
      <alignment horizontal="right"/>
    </xf>
    <xf numFmtId="43" fontId="24" fillId="17" borderId="0" xfId="39" applyFont="1" applyFill="1" applyBorder="1"/>
    <xf numFmtId="164" fontId="45" fillId="0" borderId="0" xfId="65" applyNumberFormat="1" applyFont="1" applyBorder="1"/>
    <xf numFmtId="164" fontId="45" fillId="17" borderId="0" xfId="65" applyNumberFormat="1" applyFont="1" applyFill="1" applyBorder="1"/>
    <xf numFmtId="171" fontId="32" fillId="17" borderId="0" xfId="72" applyNumberFormat="1" applyFont="1" applyFill="1" applyBorder="1"/>
    <xf numFmtId="164" fontId="24" fillId="0" borderId="13" xfId="59" applyFont="1" applyBorder="1"/>
    <xf numFmtId="0" fontId="32" fillId="16" borderId="0" xfId="64" applyFont="1" applyFill="1" applyBorder="1" applyAlignment="1">
      <alignment horizontal="right"/>
    </xf>
    <xf numFmtId="0" fontId="32" fillId="16" borderId="12" xfId="64" applyFont="1" applyFill="1" applyBorder="1" applyAlignment="1">
      <alignment horizontal="right"/>
    </xf>
    <xf numFmtId="0" fontId="32" fillId="19" borderId="0" xfId="64" applyFont="1" applyFill="1" applyBorder="1" applyAlignment="1">
      <alignment horizontal="right"/>
    </xf>
    <xf numFmtId="0" fontId="32" fillId="17" borderId="0" xfId="64" applyFont="1" applyFill="1" applyBorder="1" applyAlignment="1">
      <alignment horizontal="right"/>
    </xf>
    <xf numFmtId="166" fontId="32" fillId="0" borderId="0" xfId="70" applyNumberFormat="1" applyFont="1" applyBorder="1" applyAlignment="1">
      <alignment horizontal="right"/>
    </xf>
    <xf numFmtId="166" fontId="32" fillId="17" borderId="12" xfId="70" applyNumberFormat="1" applyFont="1" applyFill="1" applyBorder="1" applyAlignment="1">
      <alignment horizontal="right"/>
    </xf>
    <xf numFmtId="170" fontId="45" fillId="0" borderId="0" xfId="0" applyNumberFormat="1" applyFont="1" applyBorder="1" applyAlignment="1">
      <alignment horizontal="right"/>
    </xf>
    <xf numFmtId="170" fontId="45" fillId="17" borderId="0" xfId="0" applyNumberFormat="1" applyFont="1" applyFill="1" applyBorder="1" applyAlignment="1">
      <alignment horizontal="right"/>
    </xf>
    <xf numFmtId="164" fontId="24" fillId="17" borderId="13" xfId="59" applyFont="1" applyFill="1" applyBorder="1"/>
    <xf numFmtId="166" fontId="32" fillId="16" borderId="11" xfId="70" applyNumberFormat="1" applyFont="1" applyFill="1" applyBorder="1"/>
    <xf numFmtId="166" fontId="32" fillId="16" borderId="12" xfId="70" applyNumberFormat="1" applyFont="1" applyFill="1" applyBorder="1" applyAlignment="1">
      <alignment horizontal="right"/>
    </xf>
    <xf numFmtId="166" fontId="24" fillId="16" borderId="0" xfId="70" applyNumberFormat="1" applyFont="1" applyFill="1" applyBorder="1" applyAlignment="1">
      <alignment horizontal="right"/>
    </xf>
    <xf numFmtId="170" fontId="45" fillId="16" borderId="0" xfId="0" applyNumberFormat="1" applyFont="1" applyFill="1" applyBorder="1" applyAlignment="1">
      <alignment horizontal="right"/>
    </xf>
    <xf numFmtId="0" fontId="24" fillId="19" borderId="13" xfId="64" applyFont="1" applyFill="1" applyBorder="1" applyAlignment="1">
      <alignment horizontal="right"/>
    </xf>
    <xf numFmtId="0" fontId="24" fillId="16" borderId="13" xfId="64" applyFont="1" applyFill="1" applyBorder="1" applyAlignment="1">
      <alignment horizontal="right"/>
    </xf>
    <xf numFmtId="166" fontId="24" fillId="0" borderId="12" xfId="70" applyNumberFormat="1" applyFont="1" applyBorder="1" applyAlignment="1">
      <alignment horizontal="right"/>
    </xf>
    <xf numFmtId="166" fontId="24" fillId="17" borderId="12" xfId="70" applyNumberFormat="1" applyFont="1" applyFill="1" applyBorder="1" applyAlignment="1">
      <alignment horizontal="right"/>
    </xf>
    <xf numFmtId="166" fontId="24" fillId="16" borderId="12" xfId="70" applyNumberFormat="1" applyFont="1" applyFill="1" applyBorder="1" applyAlignment="1">
      <alignment horizontal="right"/>
    </xf>
    <xf numFmtId="166" fontId="24" fillId="16" borderId="13" xfId="70" applyNumberFormat="1" applyFont="1" applyFill="1" applyBorder="1" applyAlignment="1">
      <alignment horizontal="right"/>
    </xf>
    <xf numFmtId="166" fontId="24" fillId="0" borderId="0" xfId="70" applyNumberFormat="1" applyFont="1" applyBorder="1" applyAlignment="1">
      <alignment horizontal="right"/>
    </xf>
    <xf numFmtId="164" fontId="32" fillId="16" borderId="0" xfId="59" applyFont="1" applyFill="1" applyBorder="1" applyAlignment="1">
      <alignment horizontal="right"/>
    </xf>
    <xf numFmtId="37" fontId="32" fillId="16" borderId="0" xfId="0" applyNumberFormat="1" applyFont="1" applyFill="1" applyBorder="1" applyAlignment="1">
      <alignment horizontal="right"/>
    </xf>
    <xf numFmtId="37" fontId="32" fillId="16" borderId="12" xfId="0" applyNumberFormat="1" applyFont="1" applyFill="1" applyBorder="1" applyAlignment="1">
      <alignment horizontal="right"/>
    </xf>
    <xf numFmtId="37" fontId="24" fillId="16" borderId="0" xfId="0" applyNumberFormat="1" applyFont="1" applyFill="1" applyBorder="1" applyAlignment="1">
      <alignment horizontal="right"/>
    </xf>
    <xf numFmtId="164" fontId="32" fillId="17" borderId="11" xfId="59" applyFont="1" applyFill="1" applyBorder="1"/>
    <xf numFmtId="166" fontId="32" fillId="16" borderId="14" xfId="70" applyNumberFormat="1" applyFont="1" applyFill="1" applyBorder="1"/>
    <xf numFmtId="164" fontId="32" fillId="17" borderId="0" xfId="59" applyFont="1" applyFill="1" applyBorder="1" applyAlignment="1">
      <alignment horizontal="right"/>
    </xf>
    <xf numFmtId="164" fontId="32" fillId="17" borderId="12" xfId="59" applyFont="1" applyFill="1" applyBorder="1" applyAlignment="1">
      <alignment horizontal="right"/>
    </xf>
    <xf numFmtId="9" fontId="30" fillId="17" borderId="0" xfId="70" applyFont="1" applyFill="1" applyBorder="1"/>
    <xf numFmtId="9" fontId="40" fillId="17" borderId="0" xfId="70" applyFont="1" applyFill="1" applyBorder="1"/>
    <xf numFmtId="9" fontId="24" fillId="17" borderId="0" xfId="70" applyNumberFormat="1" applyFont="1" applyFill="1" applyAlignment="1">
      <alignment horizontal="right"/>
    </xf>
    <xf numFmtId="164" fontId="53" fillId="17" borderId="12" xfId="59" applyFont="1" applyFill="1" applyBorder="1"/>
    <xf numFmtId="164" fontId="43" fillId="17" borderId="0" xfId="59" applyFont="1" applyFill="1" applyBorder="1"/>
    <xf numFmtId="170" fontId="32" fillId="17" borderId="12" xfId="0" applyNumberFormat="1" applyFont="1" applyFill="1" applyBorder="1"/>
    <xf numFmtId="170" fontId="24" fillId="17" borderId="0" xfId="0" applyNumberFormat="1" applyFont="1" applyFill="1" applyBorder="1"/>
    <xf numFmtId="170" fontId="45" fillId="17" borderId="12" xfId="0" applyNumberFormat="1" applyFont="1" applyFill="1" applyBorder="1"/>
    <xf numFmtId="0" fontId="32" fillId="17" borderId="12" xfId="0" applyFont="1" applyFill="1" applyBorder="1"/>
    <xf numFmtId="166" fontId="24" fillId="17" borderId="13" xfId="70" applyNumberFormat="1" applyFont="1" applyFill="1" applyBorder="1"/>
    <xf numFmtId="164" fontId="32" fillId="0" borderId="12" xfId="59" applyFont="1" applyBorder="1" applyAlignment="1">
      <alignment horizontal="left" indent="1"/>
    </xf>
    <xf numFmtId="40" fontId="24" fillId="17" borderId="12" xfId="59" applyNumberFormat="1" applyFont="1" applyFill="1" applyBorder="1"/>
    <xf numFmtId="171" fontId="33" fillId="17" borderId="0" xfId="71" applyNumberFormat="1" applyFont="1" applyFill="1" applyBorder="1"/>
    <xf numFmtId="166" fontId="24" fillId="17" borderId="0" xfId="70" applyNumberFormat="1" applyFont="1" applyFill="1" applyBorder="1" applyAlignment="1" applyProtection="1">
      <alignment horizontal="center"/>
    </xf>
    <xf numFmtId="166" fontId="40" fillId="17" borderId="0" xfId="70" applyNumberFormat="1" applyFont="1" applyFill="1"/>
    <xf numFmtId="164" fontId="24" fillId="0" borderId="0" xfId="59" applyFont="1" applyBorder="1" applyAlignment="1">
      <alignment horizontal="left" indent="1"/>
    </xf>
    <xf numFmtId="9" fontId="30" fillId="17" borderId="12" xfId="70" applyFont="1" applyFill="1" applyBorder="1"/>
    <xf numFmtId="9" fontId="40" fillId="17" borderId="12" xfId="70" applyFont="1" applyFill="1" applyBorder="1"/>
    <xf numFmtId="164" fontId="24" fillId="17" borderId="0" xfId="59" applyFont="1" applyFill="1" applyBorder="1" applyAlignment="1">
      <alignment horizontal="left" indent="1"/>
    </xf>
    <xf numFmtId="169" fontId="24" fillId="17" borderId="0" xfId="39" applyNumberFormat="1" applyFont="1" applyFill="1" applyBorder="1"/>
    <xf numFmtId="165" fontId="41" fillId="17" borderId="0" xfId="39" applyNumberFormat="1" applyFont="1" applyFill="1" applyBorder="1"/>
    <xf numFmtId="165" fontId="30" fillId="17" borderId="12" xfId="39" applyNumberFormat="1" applyFont="1" applyFill="1" applyBorder="1"/>
    <xf numFmtId="165" fontId="24" fillId="17" borderId="0" xfId="70" applyNumberFormat="1" applyFont="1" applyFill="1" applyBorder="1"/>
    <xf numFmtId="167" fontId="36" fillId="17" borderId="12" xfId="39" applyNumberFormat="1" applyFont="1" applyFill="1" applyBorder="1" applyAlignment="1">
      <alignment horizontal="right"/>
    </xf>
    <xf numFmtId="0" fontId="24" fillId="17" borderId="0" xfId="0" applyFont="1" applyFill="1" applyBorder="1"/>
    <xf numFmtId="171" fontId="54" fillId="17" borderId="0" xfId="71" applyNumberFormat="1" applyFont="1" applyFill="1" applyBorder="1"/>
    <xf numFmtId="0" fontId="24" fillId="17" borderId="0" xfId="64" applyFont="1" applyFill="1" applyBorder="1" applyAlignment="1">
      <alignment horizontal="right"/>
    </xf>
    <xf numFmtId="168" fontId="24" fillId="17" borderId="0" xfId="39" applyNumberFormat="1" applyFont="1" applyFill="1" applyBorder="1"/>
    <xf numFmtId="0" fontId="24" fillId="17" borderId="12" xfId="64" applyFont="1" applyFill="1" applyBorder="1" applyAlignment="1">
      <alignment horizontal="right"/>
    </xf>
    <xf numFmtId="166" fontId="32" fillId="16" borderId="15" xfId="70" applyNumberFormat="1" applyFont="1" applyFill="1" applyBorder="1" applyAlignment="1">
      <alignment horizontal="right"/>
    </xf>
    <xf numFmtId="166" fontId="32" fillId="16" borderId="14" xfId="70" applyNumberFormat="1" applyFont="1" applyFill="1" applyBorder="1" applyAlignment="1">
      <alignment horizontal="right"/>
    </xf>
    <xf numFmtId="0" fontId="24" fillId="16" borderId="15" xfId="64" applyFont="1" applyFill="1" applyBorder="1" applyAlignment="1" applyProtection="1">
      <alignment horizontal="center"/>
    </xf>
    <xf numFmtId="0" fontId="43" fillId="16" borderId="15" xfId="64" applyFont="1" applyFill="1" applyBorder="1" applyAlignment="1" applyProtection="1">
      <alignment horizontal="center"/>
    </xf>
    <xf numFmtId="0" fontId="32" fillId="16" borderId="15" xfId="64" applyFont="1" applyFill="1" applyBorder="1" applyAlignment="1" applyProtection="1">
      <alignment horizontal="right"/>
    </xf>
    <xf numFmtId="0" fontId="32" fillId="16" borderId="14" xfId="64" applyFont="1" applyFill="1" applyBorder="1" applyAlignment="1" applyProtection="1">
      <alignment horizontal="right"/>
    </xf>
    <xf numFmtId="0" fontId="24" fillId="16" borderId="15" xfId="64" applyFont="1" applyFill="1" applyBorder="1" applyAlignment="1" applyProtection="1">
      <alignment horizontal="right"/>
    </xf>
    <xf numFmtId="0" fontId="24" fillId="16" borderId="17" xfId="0" applyFont="1" applyFill="1" applyBorder="1" applyAlignment="1">
      <alignment horizontal="center"/>
    </xf>
    <xf numFmtId="0" fontId="24" fillId="16" borderId="14" xfId="0" applyFont="1" applyFill="1" applyBorder="1" applyAlignment="1">
      <alignment horizontal="center"/>
    </xf>
    <xf numFmtId="171" fontId="32" fillId="16" borderId="15" xfId="71" applyNumberFormat="1" applyFont="1" applyFill="1" applyBorder="1"/>
    <xf numFmtId="171" fontId="32" fillId="16" borderId="14" xfId="72" applyNumberFormat="1" applyFont="1" applyFill="1" applyBorder="1"/>
    <xf numFmtId="171" fontId="24" fillId="16" borderId="14" xfId="72" applyNumberFormat="1" applyFont="1" applyFill="1" applyBorder="1"/>
    <xf numFmtId="171" fontId="32" fillId="16" borderId="14" xfId="71" applyNumberFormat="1" applyFont="1" applyFill="1" applyBorder="1"/>
    <xf numFmtId="0" fontId="24" fillId="16" borderId="17" xfId="64" quotePrefix="1" applyFont="1" applyFill="1" applyBorder="1" applyAlignment="1">
      <alignment horizontal="center"/>
    </xf>
    <xf numFmtId="164" fontId="32" fillId="16" borderId="15" xfId="59" applyFont="1" applyFill="1" applyBorder="1" applyAlignment="1">
      <alignment horizontal="right"/>
    </xf>
    <xf numFmtId="164" fontId="32" fillId="16" borderId="14" xfId="59" applyFont="1" applyFill="1" applyBorder="1" applyAlignment="1">
      <alignment horizontal="right"/>
    </xf>
    <xf numFmtId="0" fontId="24" fillId="16" borderId="14" xfId="64" applyFont="1" applyFill="1" applyBorder="1" applyAlignment="1" applyProtection="1">
      <alignment horizontal="right"/>
    </xf>
    <xf numFmtId="0" fontId="32" fillId="16" borderId="15" xfId="64" applyFont="1" applyFill="1" applyBorder="1" applyAlignment="1">
      <alignment horizontal="right"/>
    </xf>
    <xf numFmtId="0" fontId="32" fillId="16" borderId="14" xfId="64" applyFont="1" applyFill="1" applyBorder="1" applyAlignment="1">
      <alignment horizontal="right"/>
    </xf>
    <xf numFmtId="0" fontId="24" fillId="16" borderId="16" xfId="64" applyFont="1" applyFill="1" applyBorder="1" applyAlignment="1">
      <alignment horizontal="right"/>
    </xf>
    <xf numFmtId="0" fontId="24" fillId="16" borderId="14" xfId="64" applyFont="1" applyFill="1" applyBorder="1" applyAlignment="1" applyProtection="1">
      <alignment horizontal="center"/>
    </xf>
    <xf numFmtId="37" fontId="32" fillId="16" borderId="15" xfId="0" applyNumberFormat="1" applyFont="1" applyFill="1" applyBorder="1" applyAlignment="1">
      <alignment horizontal="right"/>
    </xf>
    <xf numFmtId="37" fontId="32" fillId="16" borderId="14" xfId="0" applyNumberFormat="1" applyFont="1" applyFill="1" applyBorder="1" applyAlignment="1">
      <alignment horizontal="right"/>
    </xf>
    <xf numFmtId="37" fontId="24" fillId="16" borderId="15" xfId="0" applyNumberFormat="1" applyFont="1" applyFill="1" applyBorder="1" applyAlignment="1">
      <alignment horizontal="right"/>
    </xf>
    <xf numFmtId="170" fontId="45" fillId="16" borderId="14" xfId="0" applyNumberFormat="1" applyFont="1" applyFill="1" applyBorder="1"/>
    <xf numFmtId="166" fontId="24" fillId="16" borderId="15" xfId="70" applyNumberFormat="1" applyFont="1" applyFill="1" applyBorder="1" applyAlignment="1">
      <alignment horizontal="right"/>
    </xf>
    <xf numFmtId="170" fontId="45" fillId="16" borderId="15" xfId="0" applyNumberFormat="1" applyFont="1" applyFill="1" applyBorder="1" applyAlignment="1">
      <alignment horizontal="right"/>
    </xf>
    <xf numFmtId="166" fontId="24" fillId="16" borderId="16" xfId="70" applyNumberFormat="1" applyFont="1" applyFill="1" applyBorder="1" applyAlignment="1">
      <alignment horizontal="right"/>
    </xf>
    <xf numFmtId="166" fontId="24" fillId="16" borderId="14" xfId="70" applyNumberFormat="1" applyFont="1" applyFill="1" applyBorder="1" applyAlignment="1">
      <alignment horizontal="right"/>
    </xf>
    <xf numFmtId="166" fontId="32" fillId="16" borderId="17" xfId="70" applyNumberFormat="1" applyFont="1" applyFill="1" applyBorder="1"/>
    <xf numFmtId="0" fontId="24" fillId="16" borderId="14" xfId="64" quotePrefix="1" applyFont="1" applyFill="1" applyBorder="1" applyAlignment="1">
      <alignment horizontal="center"/>
    </xf>
    <xf numFmtId="170" fontId="45" fillId="16" borderId="15" xfId="0" applyNumberFormat="1" applyFont="1" applyFill="1" applyBorder="1"/>
    <xf numFmtId="168" fontId="35" fillId="17" borderId="0" xfId="39" applyNumberFormat="1" applyFont="1" applyFill="1" applyBorder="1"/>
    <xf numFmtId="171" fontId="32" fillId="17" borderId="0" xfId="71" applyNumberFormat="1" applyFont="1" applyFill="1" applyBorder="1" applyAlignment="1">
      <alignment horizontal="right"/>
    </xf>
    <xf numFmtId="166" fontId="30" fillId="17" borderId="0" xfId="70" applyNumberFormat="1" applyFont="1" applyFill="1" applyBorder="1"/>
    <xf numFmtId="171" fontId="24" fillId="17" borderId="0" xfId="72" applyNumberFormat="1" applyFont="1" applyFill="1" applyBorder="1"/>
    <xf numFmtId="37" fontId="32" fillId="17" borderId="0" xfId="0" applyNumberFormat="1" applyFont="1" applyFill="1" applyBorder="1" applyAlignment="1">
      <alignment horizontal="right"/>
    </xf>
    <xf numFmtId="37" fontId="32" fillId="17" borderId="12" xfId="0" applyNumberFormat="1" applyFont="1" applyFill="1" applyBorder="1" applyAlignment="1">
      <alignment horizontal="right"/>
    </xf>
    <xf numFmtId="37" fontId="24" fillId="17" borderId="0" xfId="0" applyNumberFormat="1" applyFont="1" applyFill="1" applyBorder="1" applyAlignment="1">
      <alignment horizontal="right"/>
    </xf>
    <xf numFmtId="164" fontId="45" fillId="0" borderId="0" xfId="59" applyFont="1" applyBorder="1"/>
    <xf numFmtId="171" fontId="32" fillId="17" borderId="12" xfId="71" applyNumberFormat="1" applyFont="1" applyFill="1" applyBorder="1" applyAlignment="1">
      <alignment horizontal="right"/>
    </xf>
    <xf numFmtId="166" fontId="35" fillId="17" borderId="0" xfId="70" applyNumberFormat="1" applyFont="1" applyFill="1"/>
    <xf numFmtId="0" fontId="32" fillId="17" borderId="0" xfId="64" applyFont="1" applyFill="1" applyBorder="1" applyAlignment="1" applyProtection="1">
      <alignment horizontal="center"/>
    </xf>
    <xf numFmtId="165" fontId="32" fillId="17" borderId="0" xfId="64" applyNumberFormat="1" applyFont="1" applyFill="1" applyBorder="1" applyAlignment="1" applyProtection="1">
      <alignment horizontal="center"/>
    </xf>
    <xf numFmtId="164" fontId="30" fillId="17" borderId="0" xfId="59" applyFont="1" applyFill="1"/>
    <xf numFmtId="171" fontId="24" fillId="17" borderId="12" xfId="71" applyNumberFormat="1" applyFont="1" applyFill="1" applyBorder="1"/>
    <xf numFmtId="166" fontId="40" fillId="17" borderId="12" xfId="70" applyNumberFormat="1" applyFont="1" applyFill="1" applyBorder="1"/>
    <xf numFmtId="171" fontId="40" fillId="17" borderId="12" xfId="71" applyNumberFormat="1" applyFont="1" applyFill="1" applyBorder="1"/>
    <xf numFmtId="166" fontId="40" fillId="16" borderId="15" xfId="70" applyNumberFormat="1" applyFont="1" applyFill="1" applyBorder="1"/>
    <xf numFmtId="166" fontId="32" fillId="17" borderId="0" xfId="70" applyNumberFormat="1" applyFont="1" applyFill="1" applyBorder="1" applyAlignment="1" applyProtection="1">
      <alignment horizontal="right"/>
    </xf>
    <xf numFmtId="166" fontId="24" fillId="17" borderId="13" xfId="70" applyNumberFormat="1" applyFont="1" applyFill="1" applyBorder="1" applyAlignment="1">
      <alignment horizontal="right"/>
    </xf>
    <xf numFmtId="168" fontId="32" fillId="17" borderId="12" xfId="39" applyNumberFormat="1" applyFont="1" applyFill="1" applyBorder="1" applyAlignment="1">
      <alignment horizontal="right"/>
    </xf>
    <xf numFmtId="168" fontId="24" fillId="17" borderId="13" xfId="39" applyNumberFormat="1" applyFont="1" applyFill="1" applyBorder="1"/>
    <xf numFmtId="183" fontId="32" fillId="17" borderId="0" xfId="0" applyNumberFormat="1" applyFont="1" applyFill="1" applyAlignment="1">
      <alignment horizontal="right"/>
    </xf>
    <xf numFmtId="43" fontId="32" fillId="17" borderId="0" xfId="39" applyNumberFormat="1" applyFont="1" applyFill="1" applyBorder="1"/>
    <xf numFmtId="0" fontId="40" fillId="17" borderId="0" xfId="0" applyFont="1" applyFill="1" applyBorder="1" applyAlignment="1">
      <alignment horizontal="left"/>
    </xf>
    <xf numFmtId="0" fontId="40" fillId="17" borderId="0" xfId="0" applyFont="1" applyFill="1" applyBorder="1"/>
    <xf numFmtId="184" fontId="24" fillId="17" borderId="0" xfId="39" applyNumberFormat="1" applyFont="1" applyFill="1" applyBorder="1" applyAlignment="1" applyProtection="1">
      <alignment horizontal="center"/>
    </xf>
    <xf numFmtId="10" fontId="24" fillId="17" borderId="0" xfId="70" applyNumberFormat="1" applyFont="1" applyFill="1" applyBorder="1" applyAlignment="1" applyProtection="1">
      <alignment horizontal="center"/>
    </xf>
    <xf numFmtId="10" fontId="24" fillId="16" borderId="15" xfId="70" applyNumberFormat="1" applyFont="1" applyFill="1" applyBorder="1" applyAlignment="1" applyProtection="1">
      <alignment horizontal="center"/>
    </xf>
    <xf numFmtId="0" fontId="32" fillId="16" borderId="16" xfId="64" applyFont="1" applyFill="1" applyBorder="1" applyAlignment="1">
      <alignment horizontal="right"/>
    </xf>
    <xf numFmtId="172" fontId="32" fillId="0" borderId="0" xfId="58" applyNumberFormat="1" applyFont="1" applyFill="1"/>
    <xf numFmtId="172" fontId="32" fillId="17" borderId="0" xfId="58" applyNumberFormat="1" applyFont="1" applyFill="1"/>
    <xf numFmtId="171" fontId="33" fillId="17" borderId="0" xfId="0" applyNumberFormat="1" applyFont="1" applyFill="1" applyBorder="1"/>
    <xf numFmtId="171" fontId="33" fillId="17" borderId="0" xfId="0" applyNumberFormat="1" applyFont="1" applyFill="1" applyBorder="1" applyAlignment="1">
      <alignment horizontal="center"/>
    </xf>
    <xf numFmtId="168" fontId="33" fillId="17" borderId="0" xfId="39" applyNumberFormat="1" applyFont="1" applyFill="1" applyBorder="1" applyAlignment="1">
      <alignment horizontal="center"/>
    </xf>
    <xf numFmtId="49" fontId="0" fillId="0" borderId="0" xfId="0" applyNumberFormat="1"/>
    <xf numFmtId="168" fontId="32" fillId="16" borderId="15" xfId="39" applyNumberFormat="1" applyFont="1" applyFill="1" applyBorder="1"/>
    <xf numFmtId="168" fontId="24" fillId="16" borderId="15" xfId="39" applyNumberFormat="1" applyFont="1" applyFill="1" applyBorder="1"/>
    <xf numFmtId="165" fontId="40" fillId="17" borderId="0" xfId="39" applyNumberFormat="1" applyFont="1" applyFill="1"/>
    <xf numFmtId="9" fontId="24" fillId="17" borderId="0" xfId="70" applyFont="1" applyFill="1" applyBorder="1" applyAlignment="1" applyProtection="1">
      <alignment horizontal="center"/>
    </xf>
    <xf numFmtId="168" fontId="32" fillId="17" borderId="12" xfId="39" applyNumberFormat="1" applyFont="1" applyFill="1" applyBorder="1"/>
    <xf numFmtId="168" fontId="30" fillId="16" borderId="15" xfId="39" applyNumberFormat="1" applyFont="1" applyFill="1" applyBorder="1"/>
    <xf numFmtId="168" fontId="24" fillId="16" borderId="14" xfId="39" applyNumberFormat="1" applyFont="1" applyFill="1" applyBorder="1" applyAlignment="1">
      <alignment horizontal="right"/>
    </xf>
    <xf numFmtId="170" fontId="36" fillId="17" borderId="12" xfId="0" applyNumberFormat="1" applyFont="1" applyFill="1" applyBorder="1"/>
    <xf numFmtId="0" fontId="32" fillId="17" borderId="12" xfId="64" applyFont="1" applyFill="1" applyBorder="1" applyAlignment="1" applyProtection="1">
      <alignment horizontal="right"/>
    </xf>
    <xf numFmtId="164" fontId="32" fillId="16" borderId="14" xfId="59" applyFont="1" applyFill="1" applyBorder="1"/>
    <xf numFmtId="170" fontId="36" fillId="16" borderId="14" xfId="0" applyNumberFormat="1" applyFont="1" applyFill="1" applyBorder="1"/>
    <xf numFmtId="170" fontId="24" fillId="16" borderId="15" xfId="0" applyNumberFormat="1" applyFont="1" applyFill="1" applyBorder="1"/>
    <xf numFmtId="170" fontId="24" fillId="16" borderId="14" xfId="0" applyNumberFormat="1" applyFont="1" applyFill="1" applyBorder="1"/>
    <xf numFmtId="166" fontId="24" fillId="16" borderId="16" xfId="70" applyNumberFormat="1" applyFont="1" applyFill="1" applyBorder="1"/>
    <xf numFmtId="168" fontId="24" fillId="16" borderId="16" xfId="39" applyNumberFormat="1" applyFont="1" applyFill="1" applyBorder="1"/>
    <xf numFmtId="7" fontId="33" fillId="17" borderId="0" xfId="0" applyNumberFormat="1" applyFont="1" applyFill="1" applyBorder="1"/>
    <xf numFmtId="43" fontId="40" fillId="17" borderId="0" xfId="39" applyFont="1" applyFill="1" applyBorder="1"/>
    <xf numFmtId="0" fontId="24" fillId="17" borderId="11" xfId="0" applyFont="1" applyFill="1" applyBorder="1"/>
    <xf numFmtId="168" fontId="24" fillId="17" borderId="12" xfId="39" applyNumberFormat="1" applyFont="1" applyFill="1" applyBorder="1"/>
    <xf numFmtId="165" fontId="37" fillId="17" borderId="0" xfId="39" applyNumberFormat="1" applyFont="1" applyFill="1" applyBorder="1"/>
    <xf numFmtId="3" fontId="24" fillId="17" borderId="0" xfId="0" applyNumberFormat="1" applyFont="1" applyFill="1" applyBorder="1"/>
    <xf numFmtId="165" fontId="34" fillId="17" borderId="0" xfId="39" applyNumberFormat="1" applyFont="1" applyFill="1" applyBorder="1" applyAlignment="1">
      <alignment horizontal="left"/>
    </xf>
    <xf numFmtId="164" fontId="24" fillId="17" borderId="0" xfId="57" applyFont="1" applyFill="1" applyBorder="1"/>
    <xf numFmtId="164" fontId="32" fillId="17" borderId="0" xfId="57" applyFont="1" applyFill="1" applyBorder="1"/>
    <xf numFmtId="0" fontId="24" fillId="17" borderId="0" xfId="0" applyFont="1" applyFill="1" applyBorder="1" applyAlignment="1">
      <alignment horizontal="left"/>
    </xf>
    <xf numFmtId="164" fontId="24" fillId="17" borderId="0" xfId="57" applyFont="1" applyFill="1" applyBorder="1" applyAlignment="1">
      <alignment horizontal="left"/>
    </xf>
    <xf numFmtId="0" fontId="32" fillId="17" borderId="0" xfId="0" applyFont="1" applyFill="1" applyBorder="1" applyAlignment="1">
      <alignment horizontal="left"/>
    </xf>
    <xf numFmtId="0" fontId="32" fillId="17" borderId="0" xfId="0" quotePrefix="1" applyFont="1" applyFill="1" applyBorder="1" applyAlignment="1">
      <alignment horizontal="left"/>
    </xf>
    <xf numFmtId="164" fontId="24" fillId="16" borderId="11" xfId="61" applyFont="1" applyFill="1" applyBorder="1"/>
    <xf numFmtId="164" fontId="24" fillId="16" borderId="12" xfId="61" applyFont="1" applyFill="1" applyBorder="1"/>
    <xf numFmtId="0" fontId="44" fillId="17" borderId="0" xfId="0" applyFont="1" applyFill="1" applyBorder="1"/>
    <xf numFmtId="164" fontId="45" fillId="0" borderId="12" xfId="65" applyNumberFormat="1" applyFont="1" applyBorder="1"/>
    <xf numFmtId="164" fontId="40" fillId="17" borderId="0" xfId="65" applyNumberFormat="1" applyFont="1" applyFill="1" applyBorder="1"/>
    <xf numFmtId="0" fontId="32" fillId="0" borderId="12" xfId="0" applyFont="1" applyBorder="1"/>
    <xf numFmtId="0" fontId="30" fillId="17" borderId="0" xfId="0" applyFont="1" applyFill="1" applyBorder="1"/>
    <xf numFmtId="0" fontId="24" fillId="0" borderId="12" xfId="0" applyFont="1" applyBorder="1"/>
    <xf numFmtId="175" fontId="34" fillId="17" borderId="0" xfId="0" applyNumberFormat="1" applyFont="1" applyFill="1" applyBorder="1"/>
    <xf numFmtId="166" fontId="24" fillId="0" borderId="13" xfId="70" applyNumberFormat="1" applyFont="1" applyBorder="1"/>
    <xf numFmtId="166" fontId="24" fillId="17" borderId="13" xfId="70" applyNumberFormat="1" applyFont="1" applyFill="1" applyBorder="1" applyAlignment="1" applyProtection="1">
      <alignment horizontal="center"/>
    </xf>
    <xf numFmtId="166" fontId="24" fillId="16" borderId="16" xfId="70" quotePrefix="1" applyNumberFormat="1" applyFont="1" applyFill="1" applyBorder="1" applyAlignment="1">
      <alignment horizontal="center"/>
    </xf>
    <xf numFmtId="166" fontId="24" fillId="0" borderId="13" xfId="70" applyNumberFormat="1" applyFont="1" applyBorder="1" applyAlignment="1" applyProtection="1">
      <alignment horizontal="center"/>
    </xf>
    <xf numFmtId="166" fontId="45" fillId="17" borderId="0" xfId="70" applyNumberFormat="1" applyFont="1" applyFill="1" applyBorder="1" applyAlignment="1">
      <alignment horizontal="right"/>
    </xf>
    <xf numFmtId="165" fontId="56" fillId="17" borderId="0" xfId="39" applyNumberFormat="1" applyFont="1" applyFill="1" applyBorder="1"/>
    <xf numFmtId="43" fontId="40" fillId="17" borderId="0" xfId="39" applyFont="1" applyFill="1"/>
    <xf numFmtId="166" fontId="32" fillId="0" borderId="0" xfId="70" applyNumberFormat="1" applyFont="1"/>
    <xf numFmtId="166" fontId="33" fillId="17" borderId="0" xfId="70" applyNumberFormat="1" applyFont="1" applyFill="1" applyBorder="1" applyAlignment="1">
      <alignment horizontal="right"/>
    </xf>
    <xf numFmtId="165" fontId="36" fillId="17" borderId="0" xfId="39" applyNumberFormat="1" applyFont="1" applyFill="1" applyBorder="1" applyAlignment="1">
      <alignment horizontal="center"/>
    </xf>
    <xf numFmtId="167" fontId="33" fillId="17" borderId="0" xfId="0" applyNumberFormat="1" applyFont="1" applyFill="1" applyBorder="1" applyAlignment="1">
      <alignment horizontal="center"/>
    </xf>
    <xf numFmtId="165" fontId="30" fillId="17" borderId="0" xfId="39" applyNumberFormat="1" applyFont="1" applyFill="1" applyBorder="1"/>
    <xf numFmtId="175" fontId="32" fillId="17" borderId="0" xfId="39" applyNumberFormat="1" applyFont="1" applyFill="1" applyBorder="1" applyAlignment="1">
      <alignment horizontal="center"/>
    </xf>
    <xf numFmtId="184" fontId="35" fillId="17" borderId="0" xfId="39" applyNumberFormat="1" applyFont="1" applyFill="1" applyBorder="1" applyAlignment="1">
      <alignment horizontal="center"/>
    </xf>
    <xf numFmtId="17" fontId="24" fillId="16" borderId="13" xfId="0" quotePrefix="1" applyNumberFormat="1" applyFont="1" applyFill="1" applyBorder="1" applyAlignment="1">
      <alignment horizontal="center"/>
    </xf>
    <xf numFmtId="7" fontId="40" fillId="17" borderId="0" xfId="64" applyNumberFormat="1" applyFont="1" applyFill="1" applyBorder="1" applyAlignment="1" applyProtection="1">
      <alignment horizontal="right"/>
    </xf>
    <xf numFmtId="170" fontId="32" fillId="17" borderId="0" xfId="0" applyNumberFormat="1" applyFont="1" applyFill="1" applyBorder="1" applyAlignment="1">
      <alignment horizontal="right"/>
    </xf>
    <xf numFmtId="37" fontId="45" fillId="17" borderId="12" xfId="0" applyNumberFormat="1" applyFont="1" applyFill="1" applyBorder="1" applyAlignment="1">
      <alignment horizontal="right"/>
    </xf>
    <xf numFmtId="166" fontId="45" fillId="17" borderId="11" xfId="70" applyNumberFormat="1" applyFont="1" applyFill="1" applyBorder="1"/>
    <xf numFmtId="166" fontId="32" fillId="17" borderId="11" xfId="70" applyNumberFormat="1" applyFont="1" applyFill="1" applyBorder="1"/>
    <xf numFmtId="0" fontId="32" fillId="17" borderId="12" xfId="64" applyFont="1" applyFill="1" applyBorder="1" applyAlignment="1">
      <alignment horizontal="right"/>
    </xf>
    <xf numFmtId="0" fontId="24" fillId="17" borderId="13" xfId="64" applyFont="1" applyFill="1" applyBorder="1" applyAlignment="1">
      <alignment horizontal="right"/>
    </xf>
    <xf numFmtId="0" fontId="32" fillId="17" borderId="0" xfId="64" applyFont="1" applyFill="1" applyBorder="1" applyAlignment="1" applyProtection="1">
      <alignment horizontal="right"/>
    </xf>
    <xf numFmtId="9" fontId="32" fillId="17" borderId="0" xfId="70" applyFont="1" applyFill="1" applyBorder="1" applyAlignment="1" applyProtection="1">
      <alignment horizontal="right"/>
    </xf>
    <xf numFmtId="9" fontId="32" fillId="17" borderId="12" xfId="70" applyFont="1" applyFill="1" applyBorder="1" applyAlignment="1" applyProtection="1">
      <alignment horizontal="right"/>
    </xf>
    <xf numFmtId="0" fontId="24" fillId="17" borderId="0" xfId="64" applyFont="1" applyFill="1" applyBorder="1" applyAlignment="1" applyProtection="1">
      <alignment horizontal="right"/>
    </xf>
    <xf numFmtId="9" fontId="24" fillId="17" borderId="0" xfId="70" applyFont="1" applyFill="1" applyBorder="1" applyAlignment="1" applyProtection="1">
      <alignment horizontal="right"/>
    </xf>
    <xf numFmtId="0" fontId="24" fillId="17" borderId="12" xfId="64" applyFont="1" applyFill="1" applyBorder="1" applyAlignment="1" applyProtection="1">
      <alignment horizontal="right"/>
    </xf>
    <xf numFmtId="9" fontId="24" fillId="17" borderId="12" xfId="70" applyFont="1" applyFill="1" applyBorder="1" applyAlignment="1" applyProtection="1">
      <alignment horizontal="right"/>
    </xf>
    <xf numFmtId="168" fontId="32" fillId="17" borderId="0" xfId="39" applyNumberFormat="1" applyFont="1" applyFill="1" applyBorder="1" applyAlignment="1">
      <alignment horizontal="right"/>
    </xf>
    <xf numFmtId="171" fontId="32" fillId="17" borderId="0" xfId="71" applyNumberFormat="1" applyFont="1" applyFill="1"/>
    <xf numFmtId="171" fontId="32" fillId="17" borderId="0" xfId="72" applyNumberFormat="1" applyFont="1" applyFill="1"/>
    <xf numFmtId="168" fontId="24" fillId="16" borderId="15" xfId="39" applyNumberFormat="1" applyFont="1" applyFill="1" applyBorder="1" applyAlignment="1" applyProtection="1">
      <alignment horizontal="center"/>
    </xf>
    <xf numFmtId="166" fontId="32" fillId="16" borderId="15" xfId="71" applyNumberFormat="1" applyFont="1" applyFill="1" applyBorder="1"/>
    <xf numFmtId="171" fontId="32" fillId="16" borderId="15" xfId="71" applyNumberFormat="1" applyFont="1" applyFill="1" applyBorder="1" applyAlignment="1">
      <alignment horizontal="right"/>
    </xf>
    <xf numFmtId="171" fontId="32" fillId="16" borderId="14" xfId="71" applyNumberFormat="1" applyFont="1" applyFill="1" applyBorder="1" applyAlignment="1">
      <alignment horizontal="right"/>
    </xf>
    <xf numFmtId="166" fontId="33" fillId="16" borderId="15" xfId="70" applyNumberFormat="1" applyFont="1" applyFill="1" applyBorder="1"/>
    <xf numFmtId="166" fontId="34" fillId="16" borderId="15" xfId="70" applyNumberFormat="1" applyFont="1" applyFill="1" applyBorder="1"/>
    <xf numFmtId="171" fontId="34" fillId="16" borderId="14" xfId="71" applyNumberFormat="1" applyFont="1" applyFill="1" applyBorder="1"/>
    <xf numFmtId="171" fontId="33" fillId="16" borderId="14" xfId="71" applyNumberFormat="1" applyFont="1" applyFill="1" applyBorder="1"/>
    <xf numFmtId="171" fontId="33" fillId="16" borderId="15" xfId="71" applyNumberFormat="1" applyFont="1" applyFill="1" applyBorder="1"/>
    <xf numFmtId="171" fontId="40" fillId="16" borderId="14" xfId="71" applyNumberFormat="1" applyFont="1" applyFill="1" applyBorder="1"/>
    <xf numFmtId="166" fontId="24" fillId="16" borderId="17" xfId="70" applyNumberFormat="1" applyFont="1" applyFill="1" applyBorder="1" applyAlignment="1">
      <alignment horizontal="right"/>
    </xf>
    <xf numFmtId="171" fontId="36" fillId="16" borderId="15" xfId="71" applyNumberFormat="1" applyFont="1" applyFill="1" applyBorder="1"/>
    <xf numFmtId="170" fontId="32" fillId="16" borderId="15" xfId="0" applyNumberFormat="1" applyFont="1" applyFill="1" applyBorder="1"/>
    <xf numFmtId="170" fontId="32" fillId="16" borderId="14" xfId="0" applyNumberFormat="1" applyFont="1" applyFill="1" applyBorder="1"/>
    <xf numFmtId="166" fontId="45" fillId="16" borderId="15" xfId="70" applyNumberFormat="1" applyFont="1" applyFill="1" applyBorder="1"/>
    <xf numFmtId="166" fontId="45" fillId="16" borderId="15" xfId="70" applyNumberFormat="1" applyFont="1" applyFill="1" applyBorder="1" applyAlignment="1">
      <alignment horizontal="right"/>
    </xf>
    <xf numFmtId="166" fontId="45" fillId="16" borderId="17" xfId="70" applyNumberFormat="1" applyFont="1" applyFill="1" applyBorder="1"/>
    <xf numFmtId="0" fontId="24" fillId="16" borderId="15" xfId="64" applyFont="1" applyFill="1" applyBorder="1" applyAlignment="1">
      <alignment horizontal="right"/>
    </xf>
    <xf numFmtId="0" fontId="24" fillId="16" borderId="14" xfId="64" applyFont="1" applyFill="1" applyBorder="1" applyAlignment="1">
      <alignment horizontal="right"/>
    </xf>
    <xf numFmtId="174" fontId="24" fillId="16" borderId="17" xfId="59" applyNumberFormat="1" applyFont="1" applyFill="1" applyBorder="1"/>
    <xf numFmtId="174" fontId="24" fillId="16" borderId="15" xfId="59" applyNumberFormat="1" applyFont="1" applyFill="1" applyBorder="1"/>
    <xf numFmtId="9" fontId="24" fillId="16" borderId="15" xfId="59" applyNumberFormat="1" applyFont="1" applyFill="1" applyBorder="1"/>
    <xf numFmtId="165" fontId="24" fillId="16" borderId="14" xfId="39" applyNumberFormat="1" applyFont="1" applyFill="1" applyBorder="1"/>
    <xf numFmtId="170" fontId="32" fillId="16" borderId="15" xfId="0" applyNumberFormat="1" applyFont="1" applyFill="1" applyBorder="1" applyAlignment="1">
      <alignment horizontal="right"/>
    </xf>
    <xf numFmtId="9" fontId="32" fillId="16" borderId="15" xfId="70" applyFont="1" applyFill="1" applyBorder="1" applyAlignment="1" applyProtection="1">
      <alignment horizontal="right"/>
    </xf>
    <xf numFmtId="9" fontId="32" fillId="16" borderId="14" xfId="70" applyFont="1" applyFill="1" applyBorder="1" applyAlignment="1" applyProtection="1">
      <alignment horizontal="right"/>
    </xf>
    <xf numFmtId="9" fontId="24" fillId="16" borderId="15" xfId="70" applyFont="1" applyFill="1" applyBorder="1" applyAlignment="1" applyProtection="1">
      <alignment horizontal="right"/>
    </xf>
    <xf numFmtId="9" fontId="24" fillId="16" borderId="14" xfId="70" applyFont="1" applyFill="1" applyBorder="1" applyAlignment="1" applyProtection="1">
      <alignment horizontal="right"/>
    </xf>
    <xf numFmtId="168" fontId="24" fillId="16" borderId="14" xfId="39" applyNumberFormat="1" applyFont="1" applyFill="1" applyBorder="1"/>
    <xf numFmtId="169" fontId="34" fillId="16" borderId="15" xfId="39" applyNumberFormat="1" applyFont="1" applyFill="1" applyBorder="1"/>
    <xf numFmtId="171" fontId="33" fillId="16" borderId="15" xfId="70" applyNumberFormat="1" applyFont="1" applyFill="1" applyBorder="1"/>
    <xf numFmtId="165" fontId="39" fillId="16" borderId="15" xfId="39" applyNumberFormat="1" applyFont="1" applyFill="1" applyBorder="1"/>
    <xf numFmtId="165" fontId="34" fillId="16" borderId="15" xfId="39" applyNumberFormat="1" applyFont="1" applyFill="1" applyBorder="1"/>
    <xf numFmtId="168" fontId="36" fillId="16" borderId="15" xfId="39" applyNumberFormat="1" applyFont="1" applyFill="1" applyBorder="1"/>
    <xf numFmtId="165" fontId="36" fillId="16" borderId="15" xfId="39" applyNumberFormat="1" applyFont="1" applyFill="1" applyBorder="1"/>
    <xf numFmtId="165" fontId="35" fillId="16" borderId="15" xfId="39" applyNumberFormat="1" applyFont="1" applyFill="1" applyBorder="1"/>
    <xf numFmtId="165" fontId="32" fillId="16" borderId="15" xfId="39" applyNumberFormat="1" applyFont="1" applyFill="1" applyBorder="1"/>
    <xf numFmtId="171" fontId="32" fillId="16" borderId="15" xfId="70" applyNumberFormat="1" applyFont="1" applyFill="1" applyBorder="1"/>
    <xf numFmtId="165" fontId="33" fillId="16" borderId="15" xfId="39" applyNumberFormat="1" applyFont="1" applyFill="1" applyBorder="1"/>
    <xf numFmtId="166" fontId="36" fillId="16" borderId="15" xfId="70" applyNumberFormat="1" applyFont="1" applyFill="1" applyBorder="1"/>
    <xf numFmtId="165" fontId="40" fillId="16" borderId="15" xfId="39" applyNumberFormat="1" applyFont="1" applyFill="1" applyBorder="1"/>
    <xf numFmtId="170" fontId="36" fillId="16" borderId="15" xfId="0" applyNumberFormat="1" applyFont="1" applyFill="1" applyBorder="1"/>
    <xf numFmtId="7" fontId="24" fillId="16" borderId="15" xfId="64" applyNumberFormat="1" applyFont="1" applyFill="1" applyBorder="1" applyAlignment="1" applyProtection="1">
      <alignment horizontal="right"/>
    </xf>
    <xf numFmtId="166" fontId="32" fillId="16" borderId="15" xfId="70" applyNumberFormat="1" applyFont="1" applyFill="1" applyBorder="1" applyAlignment="1" applyProtection="1">
      <alignment horizontal="right"/>
    </xf>
    <xf numFmtId="9" fontId="32" fillId="16" borderId="15" xfId="70" applyFont="1" applyFill="1" applyBorder="1"/>
    <xf numFmtId="165" fontId="32" fillId="16" borderId="14" xfId="39" applyNumberFormat="1" applyFont="1" applyFill="1" applyBorder="1"/>
    <xf numFmtId="165" fontId="24" fillId="16" borderId="15" xfId="39" applyNumberFormat="1" applyFont="1" applyFill="1" applyBorder="1"/>
    <xf numFmtId="170" fontId="32" fillId="16" borderId="15" xfId="65" applyNumberFormat="1" applyFont="1" applyFill="1" applyBorder="1"/>
    <xf numFmtId="170" fontId="32" fillId="16" borderId="14" xfId="65" applyNumberFormat="1" applyFont="1" applyFill="1" applyBorder="1"/>
    <xf numFmtId="172" fontId="33" fillId="16" borderId="15" xfId="58" applyNumberFormat="1" applyFont="1" applyFill="1" applyBorder="1"/>
    <xf numFmtId="164" fontId="24" fillId="16" borderId="15" xfId="65" applyNumberFormat="1" applyFont="1" applyFill="1" applyBorder="1"/>
    <xf numFmtId="43" fontId="32" fillId="16" borderId="15" xfId="39" applyFont="1" applyFill="1" applyBorder="1"/>
    <xf numFmtId="0" fontId="33" fillId="16" borderId="15" xfId="0" applyFont="1" applyFill="1" applyBorder="1"/>
    <xf numFmtId="167" fontId="36" fillId="16" borderId="15" xfId="0" applyNumberFormat="1" applyFont="1" applyFill="1" applyBorder="1"/>
    <xf numFmtId="181" fontId="33" fillId="16" borderId="15" xfId="0" applyNumberFormat="1" applyFont="1" applyFill="1" applyBorder="1" applyAlignment="1">
      <alignment horizontal="right"/>
    </xf>
    <xf numFmtId="182" fontId="33" fillId="16" borderId="14" xfId="0" applyNumberFormat="1" applyFont="1" applyFill="1" applyBorder="1"/>
    <xf numFmtId="0" fontId="24" fillId="16" borderId="16" xfId="0" applyFont="1" applyFill="1" applyBorder="1" applyAlignment="1">
      <alignment horizontal="center"/>
    </xf>
    <xf numFmtId="165" fontId="33" fillId="16" borderId="14" xfId="39" applyNumberFormat="1" applyFont="1" applyFill="1" applyBorder="1"/>
    <xf numFmtId="165" fontId="32" fillId="16" borderId="17" xfId="39" applyNumberFormat="1" applyFont="1" applyFill="1" applyBorder="1"/>
    <xf numFmtId="167" fontId="33" fillId="16" borderId="15" xfId="0" applyNumberFormat="1" applyFont="1" applyFill="1" applyBorder="1"/>
    <xf numFmtId="170" fontId="24" fillId="16" borderId="15" xfId="65" applyNumberFormat="1" applyFont="1" applyFill="1" applyBorder="1"/>
    <xf numFmtId="181" fontId="33" fillId="16" borderId="15" xfId="0" applyNumberFormat="1" applyFont="1" applyFill="1" applyBorder="1"/>
    <xf numFmtId="0" fontId="27" fillId="16" borderId="17" xfId="0" applyFont="1" applyFill="1" applyBorder="1" applyAlignment="1">
      <alignment horizontal="center"/>
    </xf>
    <xf numFmtId="165" fontId="32" fillId="16" borderId="15" xfId="39" applyNumberFormat="1" applyFont="1" applyFill="1" applyBorder="1" applyAlignment="1">
      <alignment horizontal="right"/>
    </xf>
    <xf numFmtId="0" fontId="27" fillId="16" borderId="15" xfId="0" applyFont="1" applyFill="1" applyBorder="1" applyAlignment="1">
      <alignment horizontal="center"/>
    </xf>
    <xf numFmtId="170" fontId="32" fillId="16" borderId="15" xfId="39" applyNumberFormat="1" applyFont="1" applyFill="1" applyBorder="1"/>
    <xf numFmtId="0" fontId="32" fillId="16" borderId="17" xfId="0" applyFont="1" applyFill="1" applyBorder="1" applyAlignment="1">
      <alignment horizontal="center"/>
    </xf>
    <xf numFmtId="165" fontId="32" fillId="16" borderId="15" xfId="39" applyNumberFormat="1" applyFont="1" applyFill="1" applyBorder="1" applyAlignment="1">
      <alignment horizontal="center"/>
    </xf>
    <xf numFmtId="165" fontId="24" fillId="16" borderId="15" xfId="39" applyNumberFormat="1" applyFont="1" applyFill="1" applyBorder="1" applyAlignment="1">
      <alignment horizontal="center"/>
    </xf>
    <xf numFmtId="165" fontId="32" fillId="16" borderId="14" xfId="39" applyNumberFormat="1" applyFont="1" applyFill="1" applyBorder="1" applyAlignment="1">
      <alignment horizontal="center"/>
    </xf>
    <xf numFmtId="165" fontId="35" fillId="16" borderId="15" xfId="39" applyNumberFormat="1" applyFont="1" applyFill="1" applyBorder="1" applyAlignment="1">
      <alignment horizontal="center"/>
    </xf>
    <xf numFmtId="172" fontId="36" fillId="16" borderId="15" xfId="39" applyNumberFormat="1" applyFont="1" applyFill="1" applyBorder="1" applyAlignment="1">
      <alignment horizontal="right"/>
    </xf>
    <xf numFmtId="172" fontId="24" fillId="16" borderId="15" xfId="39" applyNumberFormat="1" applyFont="1" applyFill="1" applyBorder="1" applyAlignment="1">
      <alignment horizontal="right"/>
    </xf>
    <xf numFmtId="165" fontId="32" fillId="16" borderId="14" xfId="39" applyNumberFormat="1" applyFont="1" applyFill="1" applyBorder="1" applyAlignment="1">
      <alignment horizontal="right"/>
    </xf>
    <xf numFmtId="172" fontId="32" fillId="16" borderId="15" xfId="39" applyNumberFormat="1" applyFont="1" applyFill="1" applyBorder="1" applyAlignment="1">
      <alignment horizontal="right"/>
    </xf>
    <xf numFmtId="165" fontId="39" fillId="16" borderId="17" xfId="0" applyNumberFormat="1" applyFont="1" applyFill="1" applyBorder="1"/>
    <xf numFmtId="164" fontId="24" fillId="16" borderId="13" xfId="57" applyFont="1" applyFill="1" applyBorder="1"/>
    <xf numFmtId="165" fontId="33" fillId="16" borderId="17" xfId="0" applyNumberFormat="1" applyFont="1" applyFill="1" applyBorder="1"/>
    <xf numFmtId="175" fontId="33" fillId="16" borderId="15" xfId="0" applyNumberFormat="1" applyFont="1" applyFill="1" applyBorder="1"/>
    <xf numFmtId="165" fontId="33" fillId="16" borderId="15" xfId="0" applyNumberFormat="1" applyFont="1" applyFill="1" applyBorder="1"/>
    <xf numFmtId="0" fontId="32" fillId="16" borderId="15" xfId="0" applyFont="1" applyFill="1" applyBorder="1"/>
    <xf numFmtId="175" fontId="34" fillId="16" borderId="15" xfId="0" applyNumberFormat="1" applyFont="1" applyFill="1" applyBorder="1"/>
    <xf numFmtId="183" fontId="32" fillId="16" borderId="15" xfId="0" applyNumberFormat="1" applyFont="1" applyFill="1" applyBorder="1" applyAlignment="1">
      <alignment horizontal="right"/>
    </xf>
    <xf numFmtId="166" fontId="33" fillId="16" borderId="15" xfId="0" applyNumberFormat="1" applyFont="1" applyFill="1" applyBorder="1"/>
    <xf numFmtId="166" fontId="33" fillId="16" borderId="15" xfId="70" applyNumberFormat="1" applyFont="1" applyFill="1" applyBorder="1" applyAlignment="1">
      <alignment horizontal="right"/>
    </xf>
    <xf numFmtId="167" fontId="41" fillId="16" borderId="15" xfId="0" applyNumberFormat="1" applyFont="1" applyFill="1" applyBorder="1"/>
    <xf numFmtId="9" fontId="36" fillId="16" borderId="15" xfId="0" applyNumberFormat="1" applyFont="1" applyFill="1" applyBorder="1"/>
    <xf numFmtId="175" fontId="33" fillId="16" borderId="14" xfId="0" applyNumberFormat="1" applyFont="1" applyFill="1" applyBorder="1"/>
    <xf numFmtId="175" fontId="36" fillId="16" borderId="15" xfId="0" applyNumberFormat="1" applyFont="1" applyFill="1" applyBorder="1"/>
    <xf numFmtId="172" fontId="24" fillId="17" borderId="0" xfId="58" applyNumberFormat="1" applyFont="1" applyFill="1"/>
    <xf numFmtId="168" fontId="5" fillId="17" borderId="0" xfId="39" applyNumberFormat="1" applyFont="1" applyFill="1" applyBorder="1"/>
    <xf numFmtId="43" fontId="33" fillId="16" borderId="15" xfId="0" applyNumberFormat="1" applyFont="1" applyFill="1" applyBorder="1"/>
    <xf numFmtId="167" fontId="33" fillId="16" borderId="0" xfId="0" applyNumberFormat="1" applyFont="1" applyFill="1" applyBorder="1" applyAlignment="1">
      <alignment horizontal="center"/>
    </xf>
    <xf numFmtId="165" fontId="32" fillId="0" borderId="0" xfId="70" applyNumberFormat="1" applyFont="1" applyFill="1" applyBorder="1"/>
    <xf numFmtId="43" fontId="33" fillId="17" borderId="0" xfId="39" applyNumberFormat="1" applyFont="1" applyFill="1" applyBorder="1"/>
    <xf numFmtId="43" fontId="33" fillId="16" borderId="15" xfId="39" applyNumberFormat="1" applyFont="1" applyFill="1" applyBorder="1"/>
    <xf numFmtId="8" fontId="33" fillId="17" borderId="0" xfId="0" applyNumberFormat="1" applyFont="1" applyFill="1" applyBorder="1" applyAlignment="1">
      <alignment horizontal="center"/>
    </xf>
    <xf numFmtId="7" fontId="33" fillId="17" borderId="0" xfId="0" applyNumberFormat="1" applyFont="1" applyFill="1" applyBorder="1" applyAlignment="1">
      <alignment horizontal="center"/>
    </xf>
    <xf numFmtId="43" fontId="32" fillId="17" borderId="0" xfId="70" applyNumberFormat="1" applyFont="1" applyFill="1" applyBorder="1"/>
    <xf numFmtId="171" fontId="58" fillId="17" borderId="0" xfId="71" applyNumberFormat="1" applyFont="1" applyFill="1" applyBorder="1"/>
    <xf numFmtId="166" fontId="58" fillId="17" borderId="0" xfId="70" applyNumberFormat="1" applyFont="1" applyFill="1" applyBorder="1"/>
    <xf numFmtId="166" fontId="58" fillId="16" borderId="15" xfId="70" applyNumberFormat="1" applyFont="1" applyFill="1" applyBorder="1"/>
    <xf numFmtId="165" fontId="59" fillId="17" borderId="0" xfId="39" applyNumberFormat="1" applyFont="1" applyFill="1" applyBorder="1"/>
    <xf numFmtId="164" fontId="59" fillId="17" borderId="0" xfId="65" applyNumberFormat="1" applyFont="1" applyFill="1" applyBorder="1"/>
    <xf numFmtId="164" fontId="60" fillId="17" borderId="0" xfId="59" applyFont="1" applyFill="1" applyBorder="1"/>
    <xf numFmtId="170" fontId="61" fillId="16" borderId="15" xfId="0" applyNumberFormat="1" applyFont="1" applyFill="1" applyBorder="1"/>
    <xf numFmtId="170" fontId="36" fillId="16" borderId="15" xfId="39" applyNumberFormat="1" applyFont="1" applyFill="1" applyBorder="1"/>
    <xf numFmtId="7" fontId="40" fillId="16" borderId="15" xfId="64" applyNumberFormat="1" applyFont="1" applyFill="1" applyBorder="1" applyAlignment="1" applyProtection="1">
      <alignment horizontal="right"/>
    </xf>
    <xf numFmtId="37" fontId="36" fillId="17" borderId="0" xfId="0" applyNumberFormat="1" applyFont="1" applyFill="1" applyBorder="1"/>
    <xf numFmtId="37" fontId="36" fillId="16" borderId="15" xfId="39" applyNumberFormat="1" applyFont="1" applyFill="1" applyBorder="1"/>
    <xf numFmtId="37" fontId="32" fillId="17" borderId="0" xfId="0" applyNumberFormat="1" applyFont="1" applyFill="1" applyBorder="1"/>
    <xf numFmtId="164" fontId="45" fillId="17" borderId="0" xfId="59" applyFont="1" applyFill="1" applyBorder="1"/>
    <xf numFmtId="164" fontId="45" fillId="16" borderId="15" xfId="59" applyFont="1" applyFill="1" applyBorder="1"/>
    <xf numFmtId="166" fontId="24" fillId="16" borderId="16" xfId="70" applyNumberFormat="1" applyFont="1" applyFill="1" applyBorder="1" applyAlignment="1" applyProtection="1">
      <alignment horizontal="center"/>
    </xf>
    <xf numFmtId="0" fontId="32" fillId="16" borderId="14" xfId="0" applyFont="1" applyFill="1" applyBorder="1"/>
    <xf numFmtId="164" fontId="24" fillId="16" borderId="17" xfId="59" applyFont="1" applyFill="1" applyBorder="1"/>
    <xf numFmtId="168" fontId="24" fillId="16" borderId="15" xfId="72" applyNumberFormat="1" applyFont="1" applyFill="1" applyBorder="1"/>
    <xf numFmtId="168" fontId="45" fillId="16" borderId="15" xfId="39" applyNumberFormat="1" applyFont="1" applyFill="1" applyBorder="1" applyAlignment="1"/>
    <xf numFmtId="1" fontId="45" fillId="17" borderId="0" xfId="64" applyNumberFormat="1" applyFont="1" applyFill="1" applyBorder="1" applyAlignment="1"/>
    <xf numFmtId="1" fontId="45" fillId="16" borderId="15" xfId="39" applyNumberFormat="1" applyFont="1" applyFill="1" applyBorder="1" applyAlignment="1"/>
    <xf numFmtId="1" fontId="45" fillId="16" borderId="15" xfId="64" quotePrefix="1" applyNumberFormat="1" applyFont="1" applyFill="1" applyBorder="1" applyAlignment="1">
      <alignment horizontal="center"/>
    </xf>
    <xf numFmtId="1" fontId="45" fillId="17" borderId="0" xfId="59" applyNumberFormat="1" applyFont="1" applyFill="1" applyBorder="1"/>
    <xf numFmtId="166" fontId="45" fillId="16" borderId="15" xfId="70" quotePrefix="1" applyNumberFormat="1" applyFont="1" applyFill="1" applyBorder="1" applyAlignment="1">
      <alignment horizontal="center"/>
    </xf>
    <xf numFmtId="166" fontId="45" fillId="0" borderId="0" xfId="70" applyNumberFormat="1" applyFont="1" applyBorder="1" applyAlignment="1" applyProtection="1">
      <alignment horizontal="center"/>
    </xf>
    <xf numFmtId="165" fontId="45" fillId="17" borderId="0" xfId="39" applyNumberFormat="1" applyFont="1" applyFill="1" applyBorder="1"/>
    <xf numFmtId="165" fontId="47" fillId="17" borderId="0" xfId="39" applyNumberFormat="1" applyFont="1" applyFill="1" applyBorder="1"/>
    <xf numFmtId="37" fontId="57" fillId="17" borderId="0" xfId="0" applyNumberFormat="1" applyFont="1" applyFill="1" applyBorder="1"/>
    <xf numFmtId="37" fontId="57" fillId="16" borderId="15" xfId="39" applyNumberFormat="1" applyFont="1" applyFill="1" applyBorder="1"/>
    <xf numFmtId="37" fontId="45" fillId="17" borderId="0" xfId="0" applyNumberFormat="1" applyFont="1" applyFill="1" applyBorder="1"/>
    <xf numFmtId="10" fontId="24" fillId="16" borderId="15" xfId="70" quotePrefix="1" applyNumberFormat="1" applyFont="1" applyFill="1" applyBorder="1" applyAlignment="1">
      <alignment horizontal="center"/>
    </xf>
    <xf numFmtId="165" fontId="38" fillId="17" borderId="12" xfId="39" applyNumberFormat="1" applyFont="1" applyFill="1" applyBorder="1"/>
    <xf numFmtId="164" fontId="37" fillId="17" borderId="0" xfId="57" applyFont="1" applyFill="1" applyBorder="1" applyAlignment="1">
      <alignment horizontal="left"/>
    </xf>
    <xf numFmtId="167" fontId="33" fillId="17" borderId="0" xfId="0" applyNumberFormat="1" applyFont="1" applyFill="1" applyBorder="1" applyAlignment="1">
      <alignment horizontal="right"/>
    </xf>
    <xf numFmtId="166" fontId="24" fillId="17" borderId="0" xfId="64" applyNumberFormat="1" applyFont="1" applyFill="1" applyBorder="1" applyAlignment="1" applyProtection="1">
      <alignment horizontal="center"/>
    </xf>
    <xf numFmtId="171" fontId="32" fillId="17" borderId="0" xfId="39" applyNumberFormat="1" applyFont="1" applyFill="1" applyBorder="1"/>
    <xf numFmtId="166" fontId="24" fillId="16" borderId="15" xfId="70" applyNumberFormat="1" applyFont="1" applyFill="1" applyBorder="1" applyAlignment="1" applyProtection="1">
      <alignment horizontal="center"/>
    </xf>
    <xf numFmtId="9" fontId="32" fillId="16" borderId="15" xfId="70" applyNumberFormat="1" applyFont="1" applyFill="1" applyBorder="1"/>
    <xf numFmtId="43" fontId="24" fillId="16" borderId="15" xfId="39" applyFont="1" applyFill="1" applyBorder="1" applyAlignment="1" applyProtection="1">
      <alignment horizontal="center"/>
    </xf>
    <xf numFmtId="9" fontId="24" fillId="17" borderId="12" xfId="70" applyFont="1" applyFill="1" applyBorder="1"/>
    <xf numFmtId="164" fontId="24" fillId="17" borderId="0" xfId="64" applyNumberFormat="1" applyFont="1" applyFill="1" applyBorder="1" applyAlignment="1" applyProtection="1">
      <alignment horizontal="right"/>
    </xf>
    <xf numFmtId="171" fontId="24" fillId="17" borderId="12" xfId="72" applyNumberFormat="1" applyFont="1" applyFill="1" applyBorder="1"/>
    <xf numFmtId="171" fontId="32" fillId="17" borderId="12" xfId="72" applyNumberFormat="1" applyFont="1" applyFill="1" applyBorder="1"/>
    <xf numFmtId="164" fontId="32" fillId="16" borderId="17" xfId="59" applyFont="1" applyFill="1" applyBorder="1"/>
    <xf numFmtId="171" fontId="34" fillId="17" borderId="0" xfId="71" applyNumberFormat="1" applyFont="1" applyFill="1" applyBorder="1"/>
    <xf numFmtId="171" fontId="33" fillId="17" borderId="12" xfId="71" applyNumberFormat="1" applyFont="1" applyFill="1" applyBorder="1"/>
    <xf numFmtId="166" fontId="33" fillId="17" borderId="12" xfId="70" applyNumberFormat="1" applyFont="1" applyFill="1" applyBorder="1" applyAlignment="1">
      <alignment horizontal="right"/>
    </xf>
    <xf numFmtId="166" fontId="34" fillId="17" borderId="12" xfId="70" applyNumberFormat="1" applyFont="1" applyFill="1" applyBorder="1"/>
    <xf numFmtId="171" fontId="33" fillId="17" borderId="0" xfId="72" applyNumberFormat="1" applyFont="1" applyFill="1" applyBorder="1" applyAlignment="1">
      <alignment horizontal="right"/>
    </xf>
    <xf numFmtId="171" fontId="33" fillId="17" borderId="12" xfId="72" applyNumberFormat="1" applyFont="1" applyFill="1" applyBorder="1" applyAlignment="1">
      <alignment horizontal="right"/>
    </xf>
    <xf numFmtId="164" fontId="24" fillId="17" borderId="12" xfId="59" applyFont="1" applyFill="1" applyBorder="1" applyAlignment="1">
      <alignment horizontal="right"/>
    </xf>
    <xf numFmtId="164" fontId="24" fillId="17" borderId="0" xfId="59" applyFont="1" applyFill="1" applyAlignment="1">
      <alignment horizontal="right"/>
    </xf>
    <xf numFmtId="166" fontId="33" fillId="16" borderId="14" xfId="70" applyNumberFormat="1" applyFont="1" applyFill="1" applyBorder="1" applyAlignment="1">
      <alignment horizontal="right"/>
    </xf>
    <xf numFmtId="171" fontId="33" fillId="16" borderId="15" xfId="72" applyNumberFormat="1" applyFont="1" applyFill="1" applyBorder="1" applyAlignment="1">
      <alignment horizontal="right"/>
    </xf>
    <xf numFmtId="171" fontId="33" fillId="16" borderId="14" xfId="72" applyNumberFormat="1" applyFont="1" applyFill="1" applyBorder="1" applyAlignment="1">
      <alignment horizontal="right"/>
    </xf>
    <xf numFmtId="171" fontId="33" fillId="16" borderId="15" xfId="72" applyNumberFormat="1" applyFont="1" applyFill="1" applyBorder="1"/>
    <xf numFmtId="171" fontId="33" fillId="16" borderId="14" xfId="72" applyNumberFormat="1" applyFont="1" applyFill="1" applyBorder="1"/>
    <xf numFmtId="164" fontId="24" fillId="16" borderId="14" xfId="59" applyFont="1" applyFill="1" applyBorder="1" applyAlignment="1">
      <alignment horizontal="right"/>
    </xf>
    <xf numFmtId="164" fontId="24" fillId="16" borderId="15" xfId="59" applyFont="1" applyFill="1" applyBorder="1" applyAlignment="1">
      <alignment horizontal="right"/>
    </xf>
    <xf numFmtId="43" fontId="24" fillId="16" borderId="15" xfId="39" applyFont="1" applyFill="1" applyBorder="1"/>
    <xf numFmtId="171" fontId="34" fillId="16" borderId="15" xfId="71" applyNumberFormat="1" applyFont="1" applyFill="1" applyBorder="1"/>
    <xf numFmtId="171" fontId="34" fillId="16" borderId="15" xfId="72" applyNumberFormat="1" applyFont="1" applyFill="1" applyBorder="1"/>
    <xf numFmtId="166" fontId="34" fillId="16" borderId="14" xfId="70" applyNumberFormat="1" applyFont="1" applyFill="1" applyBorder="1"/>
    <xf numFmtId="0" fontId="32" fillId="17" borderId="13" xfId="64" applyFont="1" applyFill="1" applyBorder="1" applyAlignment="1">
      <alignment horizontal="right"/>
    </xf>
    <xf numFmtId="171" fontId="62" fillId="16" borderId="15" xfId="71" applyNumberFormat="1" applyFont="1" applyFill="1" applyBorder="1"/>
    <xf numFmtId="166" fontId="62" fillId="17" borderId="0" xfId="70" applyNumberFormat="1" applyFont="1" applyFill="1" applyBorder="1"/>
    <xf numFmtId="166" fontId="5" fillId="16" borderId="15" xfId="70" applyNumberFormat="1" applyFont="1" applyFill="1" applyBorder="1"/>
    <xf numFmtId="43" fontId="5" fillId="17" borderId="0" xfId="39" applyFont="1" applyFill="1" applyBorder="1"/>
    <xf numFmtId="166" fontId="5" fillId="17" borderId="0" xfId="70" applyNumberFormat="1" applyFont="1" applyFill="1" applyBorder="1"/>
    <xf numFmtId="10" fontId="5" fillId="17" borderId="0" xfId="70" applyNumberFormat="1" applyFont="1" applyFill="1"/>
    <xf numFmtId="168" fontId="62" fillId="17" borderId="0" xfId="39" applyNumberFormat="1" applyFont="1" applyFill="1" applyBorder="1"/>
    <xf numFmtId="7" fontId="56" fillId="17" borderId="0" xfId="0" applyNumberFormat="1" applyFont="1" applyFill="1" applyBorder="1" applyAlignment="1">
      <alignment horizontal="center"/>
    </xf>
    <xf numFmtId="7" fontId="30" fillId="17" borderId="0" xfId="64" applyNumberFormat="1" applyFont="1" applyFill="1" applyBorder="1" applyAlignment="1" applyProtection="1">
      <alignment horizontal="right"/>
    </xf>
    <xf numFmtId="7" fontId="30" fillId="16" borderId="15" xfId="64" applyNumberFormat="1" applyFont="1" applyFill="1" applyBorder="1" applyAlignment="1" applyProtection="1">
      <alignment horizontal="right"/>
    </xf>
    <xf numFmtId="166" fontId="24" fillId="17" borderId="0" xfId="70" quotePrefix="1" applyNumberFormat="1" applyFont="1" applyFill="1" applyBorder="1" applyAlignment="1">
      <alignment horizontal="center"/>
    </xf>
    <xf numFmtId="167" fontId="32" fillId="17" borderId="0" xfId="0" applyNumberFormat="1" applyFont="1" applyFill="1" applyBorder="1"/>
    <xf numFmtId="181" fontId="32" fillId="17" borderId="0" xfId="0" applyNumberFormat="1" applyFont="1" applyFill="1" applyBorder="1"/>
    <xf numFmtId="182" fontId="32" fillId="17" borderId="0" xfId="0" applyNumberFormat="1" applyFont="1" applyFill="1" applyBorder="1"/>
    <xf numFmtId="165" fontId="34" fillId="16" borderId="15" xfId="0" applyNumberFormat="1" applyFont="1" applyFill="1" applyBorder="1"/>
    <xf numFmtId="166" fontId="40" fillId="17" borderId="0" xfId="70" applyNumberFormat="1" applyFont="1" applyFill="1" applyBorder="1" applyAlignment="1">
      <alignment horizontal="right"/>
    </xf>
    <xf numFmtId="166" fontId="40" fillId="16" borderId="15" xfId="70" applyNumberFormat="1" applyFont="1" applyFill="1" applyBorder="1" applyAlignment="1">
      <alignment horizontal="right"/>
    </xf>
    <xf numFmtId="166" fontId="40" fillId="16" borderId="15" xfId="70" quotePrefix="1" applyNumberFormat="1" applyFont="1" applyFill="1" applyBorder="1" applyAlignment="1">
      <alignment horizontal="right"/>
    </xf>
    <xf numFmtId="170" fontId="57" fillId="17" borderId="0" xfId="0" applyNumberFormat="1" applyFont="1" applyFill="1" applyBorder="1"/>
    <xf numFmtId="44" fontId="32" fillId="17" borderId="0" xfId="40" applyFont="1" applyFill="1" applyBorder="1"/>
    <xf numFmtId="43" fontId="56" fillId="17" borderId="0" xfId="39" applyFont="1" applyFill="1" applyBorder="1"/>
    <xf numFmtId="43" fontId="32" fillId="17" borderId="0" xfId="0" applyNumberFormat="1" applyFont="1" applyFill="1"/>
    <xf numFmtId="166" fontId="24" fillId="16" borderId="15" xfId="70" quotePrefix="1" applyNumberFormat="1" applyFont="1" applyFill="1" applyBorder="1" applyAlignment="1">
      <alignment horizontal="center"/>
    </xf>
    <xf numFmtId="43" fontId="39" fillId="17" borderId="0" xfId="39" applyFont="1" applyFill="1" applyAlignment="1">
      <alignment horizontal="center"/>
    </xf>
    <xf numFmtId="188" fontId="39" fillId="17" borderId="0" xfId="40" applyNumberFormat="1" applyFont="1" applyFill="1" applyBorder="1" applyAlignment="1">
      <alignment horizontal="center"/>
    </xf>
    <xf numFmtId="44" fontId="24" fillId="16" borderId="15" xfId="40" applyFont="1" applyFill="1" applyBorder="1"/>
    <xf numFmtId="171" fontId="24" fillId="16" borderId="15" xfId="64" quotePrefix="1" applyNumberFormat="1" applyFont="1" applyFill="1" applyBorder="1" applyAlignment="1">
      <alignment horizontal="center"/>
    </xf>
    <xf numFmtId="9" fontId="32" fillId="17" borderId="0" xfId="70" applyNumberFormat="1" applyFont="1" applyFill="1" applyBorder="1"/>
    <xf numFmtId="167" fontId="32" fillId="16" borderId="15" xfId="0" applyNumberFormat="1" applyFont="1" applyFill="1" applyBorder="1"/>
    <xf numFmtId="165" fontId="30" fillId="17" borderId="0" xfId="70" applyNumberFormat="1" applyFont="1" applyFill="1" applyBorder="1"/>
    <xf numFmtId="166" fontId="36" fillId="17" borderId="0" xfId="70" applyNumberFormat="1" applyFont="1" applyFill="1" applyBorder="1" applyAlignment="1" applyProtection="1">
      <alignment horizontal="right"/>
    </xf>
    <xf numFmtId="166" fontId="24" fillId="0" borderId="0" xfId="70" applyNumberFormat="1" applyFont="1" applyBorder="1" applyAlignment="1" applyProtection="1">
      <alignment horizontal="center"/>
    </xf>
    <xf numFmtId="166" fontId="56" fillId="17" borderId="0" xfId="70" applyNumberFormat="1" applyFont="1" applyFill="1" applyBorder="1"/>
    <xf numFmtId="164" fontId="24" fillId="17" borderId="0" xfId="64" applyNumberFormat="1" applyFont="1" applyFill="1" applyBorder="1" applyAlignment="1" applyProtection="1">
      <alignment horizontal="center"/>
    </xf>
    <xf numFmtId="168" fontId="24" fillId="0" borderId="0" xfId="39" applyNumberFormat="1" applyFont="1" applyBorder="1" applyAlignment="1" applyProtection="1">
      <alignment horizontal="center"/>
    </xf>
    <xf numFmtId="43" fontId="24" fillId="0" borderId="0" xfId="64" applyNumberFormat="1" applyFont="1" applyBorder="1" applyAlignment="1" applyProtection="1">
      <alignment horizontal="center"/>
    </xf>
    <xf numFmtId="168" fontId="45" fillId="17" borderId="0" xfId="39" applyNumberFormat="1" applyFont="1" applyFill="1" applyBorder="1"/>
    <xf numFmtId="168" fontId="64" fillId="17" borderId="0" xfId="39" applyNumberFormat="1" applyFont="1" applyFill="1" applyBorder="1"/>
    <xf numFmtId="43" fontId="30" fillId="17" borderId="0" xfId="39" applyFont="1" applyFill="1" applyBorder="1" applyAlignment="1">
      <alignment horizontal="center"/>
    </xf>
    <xf numFmtId="9" fontId="32" fillId="17" borderId="0" xfId="70" applyNumberFormat="1" applyFont="1" applyFill="1"/>
    <xf numFmtId="10" fontId="56" fillId="17" borderId="0" xfId="70" applyNumberFormat="1" applyFont="1" applyFill="1" applyBorder="1"/>
    <xf numFmtId="167" fontId="33" fillId="17" borderId="12" xfId="39" applyNumberFormat="1" applyFont="1" applyFill="1" applyBorder="1" applyAlignment="1">
      <alignment horizontal="right"/>
    </xf>
    <xf numFmtId="172" fontId="33" fillId="17" borderId="0" xfId="39" applyNumberFormat="1" applyFont="1" applyFill="1" applyBorder="1" applyAlignment="1">
      <alignment horizontal="right"/>
    </xf>
    <xf numFmtId="170" fontId="33" fillId="17" borderId="0" xfId="65" applyNumberFormat="1" applyFont="1" applyFill="1" applyBorder="1"/>
    <xf numFmtId="166" fontId="32" fillId="0" borderId="0" xfId="70" applyNumberFormat="1" applyFont="1" applyFill="1" applyBorder="1"/>
    <xf numFmtId="0" fontId="0" fillId="18" borderId="0" xfId="0" applyFill="1"/>
    <xf numFmtId="7" fontId="56" fillId="17" borderId="0" xfId="39" applyNumberFormat="1" applyFont="1" applyFill="1" applyBorder="1"/>
    <xf numFmtId="186" fontId="32" fillId="17" borderId="0" xfId="39" applyNumberFormat="1" applyFont="1" applyFill="1" applyBorder="1"/>
    <xf numFmtId="168" fontId="5" fillId="0" borderId="0" xfId="39" applyNumberFormat="1" applyFont="1" applyFill="1" applyBorder="1"/>
    <xf numFmtId="17" fontId="24" fillId="17" borderId="11" xfId="0" quotePrefix="1" applyNumberFormat="1" applyFont="1" applyFill="1" applyBorder="1" applyAlignment="1">
      <alignment horizontal="center"/>
    </xf>
    <xf numFmtId="171" fontId="24" fillId="16" borderId="15" xfId="70" applyNumberFormat="1" applyFont="1" applyFill="1" applyBorder="1"/>
    <xf numFmtId="7" fontId="36" fillId="17" borderId="0" xfId="39" applyNumberFormat="1" applyFont="1" applyFill="1" applyBorder="1"/>
    <xf numFmtId="7" fontId="30" fillId="17" borderId="0" xfId="39" applyNumberFormat="1" applyFont="1" applyFill="1" applyBorder="1"/>
    <xf numFmtId="7" fontId="30" fillId="17" borderId="0" xfId="70" applyNumberFormat="1" applyFont="1" applyFill="1" applyBorder="1"/>
    <xf numFmtId="7" fontId="24" fillId="17" borderId="0" xfId="39" applyNumberFormat="1" applyFont="1" applyFill="1" applyBorder="1"/>
    <xf numFmtId="167" fontId="32" fillId="17" borderId="12" xfId="39" applyNumberFormat="1" applyFont="1" applyFill="1" applyBorder="1" applyAlignment="1">
      <alignment horizontal="right"/>
    </xf>
    <xf numFmtId="166" fontId="32" fillId="17" borderId="0" xfId="0" applyNumberFormat="1" applyFont="1" applyFill="1" applyBorder="1"/>
    <xf numFmtId="43" fontId="24" fillId="17" borderId="0" xfId="64" applyNumberFormat="1" applyFont="1" applyFill="1" applyBorder="1" applyAlignment="1" applyProtection="1">
      <alignment horizontal="center"/>
    </xf>
    <xf numFmtId="165" fontId="34" fillId="0" borderId="0" xfId="39" applyNumberFormat="1" applyFont="1" applyFill="1" applyBorder="1"/>
    <xf numFmtId="165" fontId="32" fillId="0" borderId="0" xfId="39" applyNumberFormat="1" applyFont="1" applyFill="1" applyBorder="1" applyAlignment="1">
      <alignment horizontal="center"/>
    </xf>
    <xf numFmtId="175" fontId="32" fillId="17" borderId="0" xfId="0" applyNumberFormat="1" applyFont="1" applyFill="1" applyBorder="1"/>
    <xf numFmtId="166" fontId="24" fillId="0" borderId="0" xfId="64" applyNumberFormat="1" applyFont="1" applyBorder="1" applyAlignment="1" applyProtection="1">
      <alignment horizontal="center"/>
    </xf>
    <xf numFmtId="181" fontId="32" fillId="16" borderId="15" xfId="0" applyNumberFormat="1" applyFont="1" applyFill="1" applyBorder="1" applyAlignment="1">
      <alignment horizontal="right"/>
    </xf>
    <xf numFmtId="182" fontId="32" fillId="16" borderId="14" xfId="0" applyNumberFormat="1" applyFont="1" applyFill="1" applyBorder="1"/>
    <xf numFmtId="43" fontId="30" fillId="17" borderId="0" xfId="39" applyNumberFormat="1" applyFont="1" applyFill="1" applyBorder="1"/>
    <xf numFmtId="186" fontId="30" fillId="17" borderId="0" xfId="70" applyNumberFormat="1" applyFont="1" applyFill="1" applyBorder="1"/>
    <xf numFmtId="171" fontId="40" fillId="16" borderId="15" xfId="71" applyNumberFormat="1" applyFont="1" applyFill="1" applyBorder="1"/>
    <xf numFmtId="44" fontId="35" fillId="17" borderId="12" xfId="40" applyFont="1" applyFill="1" applyBorder="1"/>
    <xf numFmtId="165" fontId="32" fillId="0" borderId="0" xfId="39" applyNumberFormat="1" applyFont="1" applyFill="1" applyBorder="1"/>
    <xf numFmtId="166" fontId="0" fillId="0" borderId="0" xfId="70" applyNumberFormat="1" applyFont="1"/>
    <xf numFmtId="7" fontId="40" fillId="16" borderId="14" xfId="40" applyNumberFormat="1" applyFont="1" applyFill="1" applyBorder="1"/>
    <xf numFmtId="165" fontId="32" fillId="17" borderId="18" xfId="39" applyNumberFormat="1" applyFont="1" applyFill="1" applyBorder="1" applyAlignment="1">
      <alignment horizontal="center"/>
    </xf>
    <xf numFmtId="184" fontId="45" fillId="17" borderId="0" xfId="39" applyNumberFormat="1" applyFont="1" applyFill="1" applyBorder="1" applyAlignment="1">
      <alignment horizontal="left"/>
    </xf>
    <xf numFmtId="43" fontId="24" fillId="16" borderId="14" xfId="39" applyNumberFormat="1" applyFont="1" applyFill="1" applyBorder="1" applyAlignment="1">
      <alignment horizontal="left"/>
    </xf>
    <xf numFmtId="43" fontId="24" fillId="17" borderId="0" xfId="39" applyNumberFormat="1" applyFont="1" applyFill="1" applyBorder="1" applyAlignment="1">
      <alignment horizontal="left"/>
    </xf>
    <xf numFmtId="43" fontId="45" fillId="17" borderId="0" xfId="39" applyNumberFormat="1" applyFont="1" applyFill="1" applyBorder="1" applyAlignment="1">
      <alignment horizontal="left"/>
    </xf>
    <xf numFmtId="166" fontId="32" fillId="16" borderId="15" xfId="70" applyNumberFormat="1" applyFont="1" applyFill="1" applyBorder="1" applyAlignment="1">
      <alignment horizontal="center"/>
    </xf>
    <xf numFmtId="7" fontId="24" fillId="17" borderId="0" xfId="64" applyNumberFormat="1" applyFont="1" applyFill="1" applyBorder="1" applyAlignment="1" applyProtection="1">
      <alignment horizontal="center"/>
    </xf>
    <xf numFmtId="182" fontId="33" fillId="16" borderId="15" xfId="0" applyNumberFormat="1" applyFont="1" applyFill="1" applyBorder="1"/>
    <xf numFmtId="164" fontId="32" fillId="0" borderId="0" xfId="59" applyFont="1" applyFill="1" applyBorder="1"/>
    <xf numFmtId="164" fontId="32" fillId="0" borderId="12" xfId="59" applyFont="1" applyFill="1" applyBorder="1"/>
    <xf numFmtId="164" fontId="24" fillId="0" borderId="0" xfId="59" applyFont="1" applyFill="1" applyBorder="1"/>
    <xf numFmtId="170" fontId="32" fillId="0" borderId="12" xfId="0" applyNumberFormat="1" applyFont="1" applyFill="1" applyBorder="1"/>
    <xf numFmtId="164" fontId="45" fillId="0" borderId="0" xfId="59" applyFont="1" applyFill="1" applyBorder="1"/>
    <xf numFmtId="170" fontId="24" fillId="0" borderId="0" xfId="0" applyNumberFormat="1" applyFont="1" applyFill="1" applyBorder="1"/>
    <xf numFmtId="43" fontId="24" fillId="17" borderId="0" xfId="39" applyNumberFormat="1" applyFont="1" applyFill="1" applyBorder="1"/>
    <xf numFmtId="0" fontId="43" fillId="17" borderId="0" xfId="60" applyFont="1" applyFill="1" applyBorder="1" applyAlignment="1">
      <alignment horizontal="left" vertical="center"/>
    </xf>
    <xf numFmtId="0" fontId="32" fillId="17" borderId="0" xfId="60" applyFont="1" applyFill="1" applyBorder="1" applyAlignment="1">
      <alignment horizontal="left" vertical="center"/>
    </xf>
    <xf numFmtId="0" fontId="32" fillId="0" borderId="0" xfId="62" applyFont="1" applyBorder="1"/>
    <xf numFmtId="165" fontId="5" fillId="17" borderId="0" xfId="39" applyNumberFormat="1" applyFont="1" applyFill="1" applyBorder="1"/>
    <xf numFmtId="167" fontId="5" fillId="17" borderId="0" xfId="0" applyNumberFormat="1" applyFont="1" applyFill="1" applyBorder="1"/>
    <xf numFmtId="167" fontId="5" fillId="16" borderId="15" xfId="0" applyNumberFormat="1" applyFont="1" applyFill="1" applyBorder="1"/>
    <xf numFmtId="170" fontId="5" fillId="17" borderId="12" xfId="0" applyNumberFormat="1" applyFont="1" applyFill="1" applyBorder="1"/>
    <xf numFmtId="181" fontId="5" fillId="17" borderId="0" xfId="0" applyNumberFormat="1" applyFont="1" applyFill="1" applyBorder="1"/>
    <xf numFmtId="181" fontId="5" fillId="16" borderId="15" xfId="0" applyNumberFormat="1" applyFont="1" applyFill="1" applyBorder="1" applyAlignment="1">
      <alignment horizontal="right"/>
    </xf>
    <xf numFmtId="182" fontId="5" fillId="16" borderId="15" xfId="0" applyNumberFormat="1" applyFont="1" applyFill="1" applyBorder="1"/>
    <xf numFmtId="164" fontId="5" fillId="17" borderId="0" xfId="65" applyNumberFormat="1" applyFont="1" applyFill="1" applyBorder="1"/>
    <xf numFmtId="170" fontId="5" fillId="17" borderId="0" xfId="65" applyNumberFormat="1" applyFont="1" applyFill="1" applyBorder="1"/>
    <xf numFmtId="170" fontId="5" fillId="17" borderId="12" xfId="65" applyNumberFormat="1" applyFont="1" applyFill="1" applyBorder="1"/>
    <xf numFmtId="167" fontId="5" fillId="17" borderId="12" xfId="39" applyNumberFormat="1" applyFont="1" applyFill="1" applyBorder="1" applyAlignment="1">
      <alignment horizontal="right"/>
    </xf>
    <xf numFmtId="44" fontId="30" fillId="17" borderId="0" xfId="40" applyFont="1" applyFill="1" applyBorder="1" applyAlignment="1" applyProtection="1">
      <alignment horizontal="right"/>
    </xf>
    <xf numFmtId="44" fontId="30" fillId="16" borderId="15" xfId="40" applyFont="1" applyFill="1" applyBorder="1" applyAlignment="1" applyProtection="1">
      <alignment horizontal="right"/>
    </xf>
    <xf numFmtId="44" fontId="32" fillId="17" borderId="12" xfId="40" applyFont="1" applyFill="1" applyBorder="1"/>
    <xf numFmtId="171" fontId="32" fillId="0" borderId="0" xfId="71" applyNumberFormat="1" applyFont="1" applyFill="1" applyBorder="1"/>
    <xf numFmtId="171" fontId="5" fillId="0" borderId="0" xfId="71" applyNumberFormat="1" applyFont="1" applyFill="1" applyBorder="1"/>
    <xf numFmtId="166" fontId="5" fillId="0" borderId="0" xfId="70" applyNumberFormat="1" applyFont="1" applyFill="1" applyBorder="1"/>
    <xf numFmtId="171" fontId="5" fillId="0" borderId="12" xfId="71" applyNumberFormat="1" applyFont="1" applyFill="1" applyBorder="1"/>
    <xf numFmtId="166" fontId="5" fillId="0" borderId="12" xfId="70" applyNumberFormat="1" applyFont="1" applyFill="1" applyBorder="1"/>
    <xf numFmtId="164" fontId="5" fillId="17" borderId="12" xfId="59" applyFont="1" applyFill="1" applyBorder="1"/>
    <xf numFmtId="164" fontId="5" fillId="0" borderId="12" xfId="59" applyFont="1" applyFill="1" applyBorder="1"/>
    <xf numFmtId="168" fontId="5" fillId="17" borderId="12" xfId="39" applyNumberFormat="1" applyFont="1" applyFill="1" applyBorder="1" applyAlignment="1">
      <alignment horizontal="right"/>
    </xf>
    <xf numFmtId="170" fontId="5" fillId="17" borderId="0" xfId="0" applyNumberFormat="1" applyFont="1" applyFill="1" applyBorder="1"/>
    <xf numFmtId="165" fontId="5" fillId="17" borderId="12" xfId="39" applyNumberFormat="1" applyFont="1" applyFill="1" applyBorder="1"/>
    <xf numFmtId="165" fontId="5" fillId="17" borderId="0" xfId="39" applyNumberFormat="1" applyFont="1" applyFill="1" applyBorder="1" applyAlignment="1">
      <alignment horizontal="right"/>
    </xf>
    <xf numFmtId="171" fontId="24" fillId="17" borderId="0" xfId="64" applyNumberFormat="1" applyFont="1" applyFill="1" applyBorder="1" applyAlignment="1" applyProtection="1">
      <alignment horizontal="center"/>
    </xf>
    <xf numFmtId="164" fontId="0" fillId="0" borderId="0" xfId="0" applyNumberFormat="1"/>
    <xf numFmtId="168" fontId="0" fillId="0" borderId="0" xfId="0" applyNumberFormat="1"/>
    <xf numFmtId="172" fontId="5" fillId="17" borderId="0" xfId="58" applyNumberFormat="1" applyFont="1" applyFill="1"/>
    <xf numFmtId="9" fontId="5" fillId="17" borderId="0" xfId="70" applyFont="1" applyFill="1" applyBorder="1"/>
    <xf numFmtId="0" fontId="5" fillId="17" borderId="0" xfId="0" applyFont="1" applyFill="1" applyBorder="1"/>
    <xf numFmtId="165" fontId="5" fillId="17" borderId="0" xfId="70" applyNumberFormat="1" applyFont="1" applyFill="1" applyBorder="1"/>
    <xf numFmtId="179" fontId="5" fillId="17" borderId="0" xfId="70" applyNumberFormat="1" applyFont="1" applyFill="1" applyBorder="1"/>
    <xf numFmtId="8" fontId="5" fillId="17" borderId="0" xfId="70" applyNumberFormat="1" applyFont="1" applyFill="1" applyBorder="1"/>
    <xf numFmtId="0" fontId="5" fillId="17" borderId="0" xfId="0" applyFont="1" applyFill="1"/>
    <xf numFmtId="44" fontId="5" fillId="17" borderId="0" xfId="40" applyFont="1" applyFill="1" applyBorder="1"/>
    <xf numFmtId="3" fontId="24" fillId="16" borderId="13" xfId="0" applyNumberFormat="1" applyFont="1" applyFill="1" applyBorder="1"/>
    <xf numFmtId="0" fontId="31" fillId="17" borderId="0" xfId="0" applyFont="1" applyFill="1" applyBorder="1"/>
    <xf numFmtId="9" fontId="33" fillId="17" borderId="0" xfId="0" applyNumberFormat="1" applyFont="1" applyFill="1" applyBorder="1"/>
    <xf numFmtId="165" fontId="40" fillId="17" borderId="0" xfId="0" applyNumberFormat="1" applyFont="1" applyFill="1" applyBorder="1"/>
    <xf numFmtId="168" fontId="40" fillId="16" borderId="15" xfId="39" applyNumberFormat="1" applyFont="1" applyFill="1" applyBorder="1"/>
    <xf numFmtId="169" fontId="24" fillId="0" borderId="0" xfId="39" applyNumberFormat="1" applyFont="1" applyFill="1" applyBorder="1"/>
    <xf numFmtId="171" fontId="33" fillId="17" borderId="0" xfId="70" applyNumberFormat="1" applyFont="1" applyFill="1" applyBorder="1" applyAlignment="1">
      <alignment horizontal="right"/>
    </xf>
    <xf numFmtId="171" fontId="33" fillId="16" borderId="15" xfId="70" applyNumberFormat="1" applyFont="1" applyFill="1" applyBorder="1" applyAlignment="1">
      <alignment horizontal="right"/>
    </xf>
    <xf numFmtId="10" fontId="35" fillId="17" borderId="0" xfId="70" applyNumberFormat="1" applyFont="1" applyFill="1" applyBorder="1"/>
    <xf numFmtId="171" fontId="5" fillId="17" borderId="0" xfId="70" applyNumberFormat="1" applyFont="1" applyFill="1" applyBorder="1"/>
    <xf numFmtId="171" fontId="33" fillId="0" borderId="0" xfId="70" applyNumberFormat="1" applyFont="1" applyFill="1" applyBorder="1"/>
    <xf numFmtId="168" fontId="5" fillId="16" borderId="15" xfId="39" applyNumberFormat="1" applyFont="1" applyFill="1" applyBorder="1"/>
    <xf numFmtId="165" fontId="47" fillId="16" borderId="15" xfId="39" applyNumberFormat="1" applyFont="1" applyFill="1" applyBorder="1"/>
    <xf numFmtId="165" fontId="87" fillId="17" borderId="0" xfId="39" applyNumberFormat="1" applyFont="1" applyFill="1" applyBorder="1"/>
    <xf numFmtId="37" fontId="45" fillId="16" borderId="15" xfId="39" applyNumberFormat="1" applyFont="1" applyFill="1" applyBorder="1"/>
    <xf numFmtId="165" fontId="35" fillId="0" borderId="0" xfId="39" applyNumberFormat="1" applyFont="1" applyFill="1" applyBorder="1"/>
    <xf numFmtId="166" fontId="33" fillId="0" borderId="0" xfId="70" applyNumberFormat="1" applyFont="1" applyFill="1" applyBorder="1"/>
    <xf numFmtId="165" fontId="34" fillId="15" borderId="0" xfId="39" applyNumberFormat="1" applyFont="1" applyFill="1" applyBorder="1"/>
    <xf numFmtId="166" fontId="33" fillId="15" borderId="0" xfId="70" applyNumberFormat="1" applyFont="1" applyFill="1" applyBorder="1"/>
    <xf numFmtId="168" fontId="5" fillId="15" borderId="0" xfId="39" applyNumberFormat="1" applyFont="1" applyFill="1" applyBorder="1"/>
    <xf numFmtId="171" fontId="33" fillId="15" borderId="0" xfId="70" applyNumberFormat="1" applyFont="1" applyFill="1" applyBorder="1"/>
    <xf numFmtId="165" fontId="5" fillId="16" borderId="15" xfId="39" applyNumberFormat="1" applyFont="1" applyFill="1" applyBorder="1"/>
    <xf numFmtId="171" fontId="5" fillId="16" borderId="15" xfId="70" applyNumberFormat="1" applyFont="1" applyFill="1" applyBorder="1"/>
    <xf numFmtId="170" fontId="57" fillId="16" borderId="15" xfId="39" applyNumberFormat="1" applyFont="1" applyFill="1" applyBorder="1"/>
    <xf numFmtId="170" fontId="57" fillId="0" borderId="0" xfId="0" applyNumberFormat="1" applyFont="1" applyFill="1" applyBorder="1"/>
    <xf numFmtId="37" fontId="57" fillId="0" borderId="0" xfId="0" applyNumberFormat="1" applyFont="1" applyFill="1" applyBorder="1"/>
    <xf numFmtId="43" fontId="33" fillId="16" borderId="15" xfId="39" applyFont="1" applyFill="1" applyBorder="1"/>
    <xf numFmtId="171" fontId="5" fillId="0" borderId="0" xfId="70" applyNumberFormat="1" applyFont="1" applyFill="1" applyBorder="1"/>
    <xf numFmtId="165" fontId="14" fillId="17" borderId="0" xfId="39" applyNumberFormat="1" applyFont="1" applyFill="1" applyBorder="1"/>
    <xf numFmtId="165" fontId="14" fillId="0" borderId="0" xfId="39" applyNumberFormat="1" applyFont="1" applyFill="1" applyBorder="1"/>
    <xf numFmtId="165" fontId="5" fillId="0" borderId="0" xfId="39" applyNumberFormat="1" applyFont="1" applyFill="1" applyBorder="1"/>
    <xf numFmtId="37" fontId="5" fillId="17" borderId="0" xfId="0" applyNumberFormat="1" applyFont="1" applyFill="1" applyBorder="1"/>
    <xf numFmtId="37" fontId="14" fillId="16" borderId="15" xfId="39" applyNumberFormat="1" applyFont="1" applyFill="1" applyBorder="1"/>
    <xf numFmtId="37" fontId="5" fillId="16" borderId="15" xfId="39" applyNumberFormat="1" applyFont="1" applyFill="1" applyBorder="1"/>
    <xf numFmtId="170" fontId="14" fillId="16" borderId="15" xfId="39" applyNumberFormat="1" applyFont="1" applyFill="1" applyBorder="1"/>
    <xf numFmtId="165" fontId="14" fillId="16" borderId="15" xfId="39" applyNumberFormat="1" applyFont="1" applyFill="1" applyBorder="1"/>
    <xf numFmtId="165" fontId="30" fillId="16" borderId="15" xfId="39" applyNumberFormat="1" applyFont="1" applyFill="1" applyBorder="1"/>
    <xf numFmtId="165" fontId="33" fillId="0" borderId="0" xfId="39" applyNumberFormat="1" applyFont="1" applyFill="1" applyBorder="1"/>
    <xf numFmtId="43" fontId="58" fillId="17" borderId="0" xfId="39" applyFont="1" applyFill="1" applyBorder="1"/>
    <xf numFmtId="43" fontId="39" fillId="16" borderId="15" xfId="39" applyNumberFormat="1" applyFont="1" applyFill="1" applyBorder="1"/>
    <xf numFmtId="165" fontId="56" fillId="16" borderId="15" xfId="39" applyNumberFormat="1" applyFont="1" applyFill="1" applyBorder="1"/>
    <xf numFmtId="165" fontId="56" fillId="0" borderId="0" xfId="39" applyNumberFormat="1" applyFont="1" applyFill="1" applyBorder="1"/>
    <xf numFmtId="3" fontId="14" fillId="17" borderId="0" xfId="39" applyNumberFormat="1" applyFont="1" applyFill="1" applyBorder="1"/>
    <xf numFmtId="170" fontId="14" fillId="17" borderId="0" xfId="0" applyNumberFormat="1" applyFont="1" applyFill="1" applyBorder="1"/>
    <xf numFmtId="170" fontId="5" fillId="16" borderId="15" xfId="39" applyNumberFormat="1" applyFont="1" applyFill="1" applyBorder="1"/>
    <xf numFmtId="170" fontId="14" fillId="0" borderId="0" xfId="0" applyNumberFormat="1" applyFont="1" applyFill="1" applyBorder="1"/>
    <xf numFmtId="166" fontId="39" fillId="16" borderId="15" xfId="70" applyNumberFormat="1" applyFont="1" applyFill="1" applyBorder="1"/>
    <xf numFmtId="165" fontId="40" fillId="0" borderId="0" xfId="39" applyNumberFormat="1" applyFont="1" applyFill="1" applyBorder="1"/>
    <xf numFmtId="165" fontId="24" fillId="0" borderId="0" xfId="39" applyNumberFormat="1" applyFont="1" applyFill="1" applyBorder="1"/>
    <xf numFmtId="165" fontId="34" fillId="17" borderId="0" xfId="39" applyNumberFormat="1" applyFont="1" applyFill="1" applyBorder="1" applyAlignment="1">
      <alignment wrapText="1"/>
    </xf>
    <xf numFmtId="44" fontId="35" fillId="17" borderId="0" xfId="40" applyFont="1" applyFill="1" applyBorder="1"/>
    <xf numFmtId="170" fontId="5" fillId="16" borderId="15" xfId="0" applyNumberFormat="1" applyFont="1" applyFill="1" applyBorder="1"/>
    <xf numFmtId="166" fontId="5" fillId="17" borderId="0" xfId="70" applyNumberFormat="1" applyFont="1" applyFill="1" applyBorder="1" applyAlignment="1" applyProtection="1">
      <alignment horizontal="right"/>
    </xf>
    <xf numFmtId="166" fontId="5" fillId="16" borderId="15" xfId="70" applyNumberFormat="1" applyFont="1" applyFill="1" applyBorder="1" applyAlignment="1" applyProtection="1">
      <alignment horizontal="right"/>
    </xf>
    <xf numFmtId="7" fontId="88" fillId="17" borderId="0" xfId="64" applyNumberFormat="1" applyFont="1" applyFill="1" applyBorder="1" applyAlignment="1" applyProtection="1">
      <alignment horizontal="right"/>
    </xf>
    <xf numFmtId="7" fontId="88" fillId="16" borderId="15" xfId="64" applyNumberFormat="1" applyFont="1" applyFill="1" applyBorder="1" applyAlignment="1" applyProtection="1">
      <alignment horizontal="right"/>
    </xf>
    <xf numFmtId="166" fontId="88" fillId="17" borderId="0" xfId="64" applyNumberFormat="1" applyFont="1" applyFill="1" applyBorder="1" applyAlignment="1" applyProtection="1">
      <alignment horizontal="right"/>
    </xf>
    <xf numFmtId="166" fontId="30" fillId="17" borderId="0" xfId="64" applyNumberFormat="1" applyFont="1" applyFill="1" applyBorder="1" applyAlignment="1" applyProtection="1">
      <alignment horizontal="right"/>
    </xf>
    <xf numFmtId="43" fontId="30" fillId="17" borderId="0" xfId="39" applyFont="1" applyFill="1" applyBorder="1" applyAlignment="1" applyProtection="1">
      <alignment horizontal="right"/>
    </xf>
    <xf numFmtId="186" fontId="88" fillId="16" borderId="15" xfId="64" applyNumberFormat="1" applyFont="1" applyFill="1" applyBorder="1" applyAlignment="1" applyProtection="1">
      <alignment horizontal="right"/>
    </xf>
    <xf numFmtId="166" fontId="30" fillId="16" borderId="15" xfId="70" applyNumberFormat="1" applyFont="1" applyFill="1" applyBorder="1" applyAlignment="1" applyProtection="1">
      <alignment horizontal="right"/>
    </xf>
    <xf numFmtId="166" fontId="30" fillId="17" borderId="0" xfId="40" applyNumberFormat="1" applyFont="1" applyFill="1" applyBorder="1" applyAlignment="1" applyProtection="1">
      <alignment horizontal="right"/>
    </xf>
    <xf numFmtId="189" fontId="33" fillId="16" borderId="15" xfId="40" applyNumberFormat="1" applyFont="1" applyFill="1" applyBorder="1"/>
    <xf numFmtId="0" fontId="3" fillId="0" borderId="0" xfId="0" applyFont="1"/>
    <xf numFmtId="9" fontId="46" fillId="16" borderId="15" xfId="70" applyFont="1" applyFill="1" applyBorder="1" applyAlignment="1">
      <alignment horizontal="right"/>
    </xf>
    <xf numFmtId="9" fontId="5" fillId="16" borderId="15" xfId="70" applyFont="1" applyFill="1" applyBorder="1"/>
    <xf numFmtId="9" fontId="5" fillId="0" borderId="0" xfId="70" applyFont="1" applyFill="1" applyBorder="1"/>
    <xf numFmtId="9" fontId="35" fillId="16" borderId="15" xfId="39" applyNumberFormat="1" applyFont="1" applyFill="1" applyBorder="1"/>
    <xf numFmtId="43" fontId="35" fillId="17" borderId="0" xfId="39" applyNumberFormat="1" applyFont="1" applyFill="1" applyBorder="1" applyAlignment="1">
      <alignment horizontal="center"/>
    </xf>
    <xf numFmtId="8" fontId="40" fillId="17" borderId="0" xfId="39" applyNumberFormat="1" applyFont="1" applyFill="1" applyBorder="1"/>
    <xf numFmtId="166" fontId="91" fillId="16" borderId="15" xfId="70" applyNumberFormat="1" applyFont="1" applyFill="1" applyBorder="1"/>
    <xf numFmtId="8" fontId="33" fillId="17" borderId="0" xfId="70" applyNumberFormat="1" applyFont="1" applyFill="1" applyBorder="1"/>
    <xf numFmtId="166" fontId="30" fillId="16" borderId="15" xfId="40" applyNumberFormat="1" applyFont="1" applyFill="1" applyBorder="1" applyAlignment="1" applyProtection="1">
      <alignment horizontal="right"/>
    </xf>
    <xf numFmtId="166" fontId="33" fillId="17" borderId="0" xfId="39" applyNumberFormat="1" applyFont="1" applyFill="1" applyBorder="1"/>
    <xf numFmtId="166" fontId="33" fillId="16" borderId="15" xfId="39" applyNumberFormat="1" applyFont="1" applyFill="1" applyBorder="1"/>
    <xf numFmtId="165" fontId="93" fillId="17" borderId="0" xfId="39" applyNumberFormat="1" applyFont="1" applyFill="1" applyBorder="1" applyAlignment="1">
      <alignment horizontal="right"/>
    </xf>
    <xf numFmtId="165" fontId="92" fillId="17" borderId="0" xfId="39" applyNumberFormat="1" applyFont="1" applyFill="1" applyBorder="1" applyAlignment="1">
      <alignment horizontal="center"/>
    </xf>
    <xf numFmtId="166" fontId="92" fillId="17" borderId="0" xfId="70" applyNumberFormat="1" applyFont="1" applyFill="1" applyBorder="1" applyAlignment="1">
      <alignment horizontal="center"/>
    </xf>
    <xf numFmtId="3" fontId="32" fillId="17" borderId="0" xfId="70" applyNumberFormat="1" applyFont="1" applyFill="1" applyBorder="1"/>
    <xf numFmtId="185" fontId="33" fillId="17" borderId="0" xfId="70" applyNumberFormat="1" applyFont="1" applyFill="1" applyBorder="1"/>
    <xf numFmtId="185" fontId="32" fillId="17" borderId="0" xfId="39" applyNumberFormat="1" applyFont="1" applyFill="1" applyBorder="1"/>
    <xf numFmtId="7" fontId="32" fillId="17" borderId="12" xfId="40" applyNumberFormat="1" applyFont="1" applyFill="1" applyBorder="1"/>
    <xf numFmtId="8" fontId="32" fillId="17" borderId="12" xfId="70" applyNumberFormat="1" applyFont="1" applyFill="1" applyBorder="1"/>
    <xf numFmtId="0" fontId="5" fillId="16" borderId="14" xfId="64" applyFont="1" applyFill="1" applyBorder="1" applyAlignment="1">
      <alignment horizontal="right"/>
    </xf>
    <xf numFmtId="190" fontId="33" fillId="17" borderId="0" xfId="70" applyNumberFormat="1" applyFont="1" applyFill="1" applyBorder="1"/>
    <xf numFmtId="190" fontId="32" fillId="17" borderId="0" xfId="39" applyNumberFormat="1" applyFont="1" applyFill="1" applyBorder="1"/>
    <xf numFmtId="167" fontId="0" fillId="0" borderId="0" xfId="0" applyNumberFormat="1"/>
    <xf numFmtId="166" fontId="94" fillId="0" borderId="0" xfId="70" applyNumberFormat="1" applyFont="1"/>
    <xf numFmtId="166" fontId="94" fillId="0" borderId="0" xfId="0" applyNumberFormat="1" applyFont="1"/>
    <xf numFmtId="171" fontId="32" fillId="20" borderId="15" xfId="71" applyNumberFormat="1" applyFont="1" applyFill="1" applyBorder="1"/>
    <xf numFmtId="7" fontId="30" fillId="17" borderId="0" xfId="40" applyNumberFormat="1" applyFont="1" applyFill="1" applyBorder="1" applyAlignment="1" applyProtection="1">
      <alignment horizontal="right"/>
    </xf>
    <xf numFmtId="184" fontId="32" fillId="17" borderId="0" xfId="39" applyNumberFormat="1" applyFont="1" applyFill="1" applyBorder="1"/>
    <xf numFmtId="0" fontId="95" fillId="18" borderId="0" xfId="50" applyFont="1" applyFill="1" applyAlignment="1" applyProtection="1"/>
    <xf numFmtId="166" fontId="30" fillId="0" borderId="0" xfId="40" applyNumberFormat="1" applyFont="1" applyFill="1" applyBorder="1" applyAlignment="1" applyProtection="1">
      <alignment horizontal="right"/>
    </xf>
    <xf numFmtId="37" fontId="45" fillId="0" borderId="0" xfId="0" applyNumberFormat="1" applyFont="1" applyFill="1" applyBorder="1"/>
    <xf numFmtId="168" fontId="32" fillId="0" borderId="0" xfId="39" applyNumberFormat="1" applyFont="1" applyFill="1" applyBorder="1"/>
    <xf numFmtId="171" fontId="32" fillId="0" borderId="0" xfId="70" applyNumberFormat="1" applyFont="1" applyFill="1" applyBorder="1"/>
    <xf numFmtId="165" fontId="36" fillId="0" borderId="0" xfId="39" applyNumberFormat="1" applyFont="1" applyFill="1" applyBorder="1"/>
    <xf numFmtId="37" fontId="5" fillId="0" borderId="0" xfId="0" applyNumberFormat="1" applyFont="1" applyFill="1" applyBorder="1"/>
    <xf numFmtId="166" fontId="33" fillId="0" borderId="0" xfId="39" applyNumberFormat="1" applyFont="1" applyFill="1" applyBorder="1"/>
    <xf numFmtId="9" fontId="32" fillId="0" borderId="0" xfId="70" applyFont="1" applyFill="1" applyBorder="1"/>
    <xf numFmtId="170" fontId="36" fillId="0" borderId="0" xfId="0" applyNumberFormat="1" applyFont="1" applyFill="1" applyBorder="1"/>
    <xf numFmtId="166" fontId="35" fillId="0" borderId="0" xfId="70" applyNumberFormat="1" applyFont="1" applyFill="1" applyBorder="1"/>
    <xf numFmtId="43" fontId="34" fillId="0" borderId="0" xfId="39" applyFont="1" applyFill="1" applyBorder="1"/>
    <xf numFmtId="7" fontId="40" fillId="0" borderId="0" xfId="64" applyNumberFormat="1" applyFont="1" applyFill="1" applyBorder="1" applyAlignment="1" applyProtection="1">
      <alignment horizontal="right"/>
    </xf>
    <xf numFmtId="7" fontId="24" fillId="0" borderId="0" xfId="64" applyNumberFormat="1" applyFont="1" applyFill="1" applyBorder="1" applyAlignment="1" applyProtection="1">
      <alignment horizontal="right"/>
    </xf>
    <xf numFmtId="166" fontId="32" fillId="0" borderId="0" xfId="70" applyNumberFormat="1" applyFont="1" applyFill="1" applyBorder="1" applyAlignment="1" applyProtection="1">
      <alignment horizontal="right"/>
    </xf>
    <xf numFmtId="0" fontId="24" fillId="0" borderId="0" xfId="64" applyFont="1" applyFill="1" applyBorder="1" applyAlignment="1" applyProtection="1">
      <alignment horizontal="center"/>
    </xf>
    <xf numFmtId="166" fontId="32" fillId="0" borderId="12" xfId="70" applyNumberFormat="1" applyFont="1" applyFill="1" applyBorder="1"/>
    <xf numFmtId="166" fontId="24" fillId="0" borderId="0" xfId="70" applyNumberFormat="1" applyFont="1" applyFill="1" applyBorder="1"/>
    <xf numFmtId="164" fontId="32" fillId="0" borderId="0" xfId="59" applyFont="1" applyFill="1" applyBorder="1" applyAlignment="1">
      <alignment horizontal="right"/>
    </xf>
    <xf numFmtId="164" fontId="32" fillId="0" borderId="12" xfId="59" applyFont="1" applyFill="1" applyBorder="1" applyAlignment="1">
      <alignment horizontal="right"/>
    </xf>
    <xf numFmtId="9" fontId="32" fillId="0" borderId="0" xfId="70" applyNumberFormat="1" applyFont="1" applyFill="1" applyBorder="1"/>
    <xf numFmtId="171" fontId="32" fillId="0" borderId="12" xfId="71" applyNumberFormat="1" applyFont="1" applyFill="1" applyBorder="1"/>
    <xf numFmtId="171" fontId="54" fillId="0" borderId="0" xfId="71" applyNumberFormat="1" applyFont="1" applyFill="1" applyBorder="1"/>
    <xf numFmtId="171" fontId="5" fillId="17" borderId="0" xfId="71" applyNumberFormat="1" applyFont="1" applyFill="1" applyBorder="1"/>
    <xf numFmtId="166" fontId="96" fillId="16" borderId="15" xfId="64" quotePrefix="1" applyNumberFormat="1" applyFont="1" applyFill="1" applyBorder="1" applyAlignment="1">
      <alignment horizontal="center"/>
    </xf>
    <xf numFmtId="166" fontId="96" fillId="17" borderId="0" xfId="70" applyNumberFormat="1" applyFont="1" applyFill="1" applyBorder="1"/>
    <xf numFmtId="171" fontId="97" fillId="17" borderId="0" xfId="71" applyNumberFormat="1" applyFont="1" applyFill="1" applyBorder="1"/>
    <xf numFmtId="171" fontId="97" fillId="0" borderId="0" xfId="71" applyNumberFormat="1" applyFont="1" applyFill="1" applyBorder="1"/>
    <xf numFmtId="3" fontId="92" fillId="16" borderId="15" xfId="64" quotePrefix="1" applyNumberFormat="1" applyFont="1" applyFill="1" applyBorder="1" applyAlignment="1">
      <alignment horizontal="center"/>
    </xf>
    <xf numFmtId="9" fontId="32" fillId="17" borderId="0" xfId="39" applyNumberFormat="1" applyFont="1" applyFill="1" applyBorder="1"/>
    <xf numFmtId="171" fontId="24" fillId="20" borderId="14" xfId="71" applyNumberFormat="1" applyFont="1" applyFill="1" applyBorder="1"/>
    <xf numFmtId="0" fontId="15" fillId="18" borderId="0" xfId="63" applyFont="1" applyFill="1" applyBorder="1"/>
    <xf numFmtId="164" fontId="98" fillId="0" borderId="12" xfId="65" applyNumberFormat="1" applyFont="1" applyBorder="1"/>
    <xf numFmtId="164" fontId="99" fillId="17" borderId="12" xfId="59" applyFont="1" applyFill="1" applyBorder="1"/>
    <xf numFmtId="0" fontId="99" fillId="17" borderId="12" xfId="64" applyFont="1" applyFill="1" applyBorder="1" applyAlignment="1" applyProtection="1">
      <alignment horizontal="center"/>
    </xf>
    <xf numFmtId="0" fontId="99" fillId="16" borderId="14" xfId="64" applyFont="1" applyFill="1" applyBorder="1" applyAlignment="1" applyProtection="1">
      <alignment horizontal="center"/>
    </xf>
    <xf numFmtId="170" fontId="98" fillId="17" borderId="12" xfId="0" applyNumberFormat="1" applyFont="1" applyFill="1" applyBorder="1"/>
    <xf numFmtId="170" fontId="100" fillId="16" borderId="14" xfId="0" applyNumberFormat="1" applyFont="1" applyFill="1" applyBorder="1"/>
    <xf numFmtId="0" fontId="101" fillId="0" borderId="0" xfId="0" applyFont="1"/>
    <xf numFmtId="170" fontId="102" fillId="16" borderId="14" xfId="0" applyNumberFormat="1" applyFont="1" applyFill="1" applyBorder="1"/>
    <xf numFmtId="164" fontId="98" fillId="0" borderId="0" xfId="59" applyFont="1" applyFill="1" applyBorder="1"/>
    <xf numFmtId="170" fontId="98" fillId="0" borderId="12" xfId="0" applyNumberFormat="1" applyFont="1" applyFill="1" applyBorder="1"/>
    <xf numFmtId="172" fontId="5" fillId="16" borderId="15" xfId="39" applyNumberFormat="1" applyFont="1" applyFill="1" applyBorder="1" applyAlignment="1">
      <alignment horizontal="right"/>
    </xf>
    <xf numFmtId="166" fontId="30" fillId="17" borderId="0" xfId="70" applyNumberFormat="1" applyFont="1" applyFill="1" applyBorder="1" applyAlignment="1" applyProtection="1">
      <alignment horizontal="right"/>
    </xf>
    <xf numFmtId="166" fontId="5" fillId="17" borderId="0" xfId="0" applyNumberFormat="1" applyFont="1" applyFill="1" applyBorder="1"/>
    <xf numFmtId="170" fontId="5" fillId="0" borderId="0" xfId="0" applyNumberFormat="1" applyFont="1" applyFill="1" applyBorder="1"/>
    <xf numFmtId="181" fontId="5" fillId="17" borderId="0" xfId="0" applyNumberFormat="1" applyFont="1" applyFill="1" applyBorder="1" applyAlignment="1">
      <alignment horizontal="right"/>
    </xf>
    <xf numFmtId="0" fontId="5" fillId="0" borderId="0" xfId="55"/>
    <xf numFmtId="44" fontId="33" fillId="17" borderId="0" xfId="40" applyFont="1" applyFill="1" applyBorder="1"/>
    <xf numFmtId="169" fontId="24" fillId="21" borderId="0" xfId="39" applyNumberFormat="1" applyFont="1" applyFill="1" applyBorder="1"/>
    <xf numFmtId="164" fontId="32" fillId="21" borderId="0" xfId="59" applyFont="1" applyFill="1" applyBorder="1"/>
    <xf numFmtId="164" fontId="32" fillId="21" borderId="12" xfId="59" applyFont="1" applyFill="1" applyBorder="1"/>
    <xf numFmtId="171" fontId="32" fillId="21" borderId="0" xfId="71" applyNumberFormat="1" applyFont="1" applyFill="1" applyBorder="1"/>
    <xf numFmtId="0" fontId="93" fillId="17" borderId="0" xfId="0" applyFont="1" applyFill="1" applyBorder="1" applyAlignment="1">
      <alignment horizontal="left" indent="1"/>
    </xf>
    <xf numFmtId="165" fontId="92" fillId="16" borderId="15" xfId="39" applyNumberFormat="1" applyFont="1" applyFill="1" applyBorder="1"/>
    <xf numFmtId="165" fontId="93" fillId="16" borderId="15" xfId="39" applyNumberFormat="1" applyFont="1" applyFill="1" applyBorder="1" applyAlignment="1">
      <alignment horizontal="right"/>
    </xf>
    <xf numFmtId="9" fontId="92" fillId="17" borderId="0" xfId="70" applyFont="1" applyFill="1" applyBorder="1" applyAlignment="1">
      <alignment horizontal="center"/>
    </xf>
    <xf numFmtId="9" fontId="93" fillId="16" borderId="15" xfId="70" applyFont="1" applyFill="1" applyBorder="1" applyAlignment="1">
      <alignment horizontal="right"/>
    </xf>
    <xf numFmtId="166" fontId="93" fillId="16" borderId="15" xfId="70" applyNumberFormat="1" applyFont="1" applyFill="1" applyBorder="1" applyAlignment="1">
      <alignment horizontal="right"/>
    </xf>
    <xf numFmtId="0" fontId="93" fillId="17" borderId="0" xfId="0" applyFont="1" applyFill="1" applyBorder="1"/>
    <xf numFmtId="0" fontId="94" fillId="0" borderId="0" xfId="0" applyFont="1"/>
    <xf numFmtId="10" fontId="5" fillId="17" borderId="0" xfId="70" applyNumberFormat="1" applyFont="1" applyFill="1" applyBorder="1"/>
    <xf numFmtId="171" fontId="5" fillId="17" borderId="0" xfId="0" applyNumberFormat="1" applyFont="1" applyFill="1" applyBorder="1"/>
    <xf numFmtId="0" fontId="103" fillId="0" borderId="0" xfId="0" applyFont="1"/>
    <xf numFmtId="1" fontId="0" fillId="0" borderId="0" xfId="0" applyNumberFormat="1"/>
    <xf numFmtId="187" fontId="0" fillId="0" borderId="0" xfId="0" applyNumberFormat="1"/>
    <xf numFmtId="40" fontId="32" fillId="17" borderId="0" xfId="65" applyNumberFormat="1" applyFont="1" applyFill="1"/>
    <xf numFmtId="191" fontId="33" fillId="17" borderId="0" xfId="58" applyNumberFormat="1" applyFont="1" applyFill="1"/>
    <xf numFmtId="191" fontId="33" fillId="17" borderId="0" xfId="0" applyNumberFormat="1" applyFont="1" applyFill="1" applyBorder="1"/>
    <xf numFmtId="191" fontId="33" fillId="16" borderId="15" xfId="0" applyNumberFormat="1" applyFont="1" applyFill="1" applyBorder="1"/>
    <xf numFmtId="191" fontId="32" fillId="16" borderId="15" xfId="0" applyNumberFormat="1" applyFont="1" applyFill="1" applyBorder="1"/>
    <xf numFmtId="191" fontId="0" fillId="0" borderId="0" xfId="0" applyNumberFormat="1"/>
    <xf numFmtId="0" fontId="5" fillId="22" borderId="0" xfId="86" applyFont="1" applyFill="1" applyAlignment="1">
      <alignment vertical="top"/>
    </xf>
    <xf numFmtId="0" fontId="5" fillId="22" borderId="0" xfId="55" applyFill="1" applyAlignment="1">
      <alignment vertical="top"/>
    </xf>
    <xf numFmtId="0" fontId="5" fillId="22" borderId="0" xfId="55" applyFill="1"/>
    <xf numFmtId="0" fontId="55" fillId="22" borderId="0" xfId="86" applyFont="1" applyFill="1" applyAlignment="1">
      <alignment horizontal="left" vertical="top"/>
    </xf>
    <xf numFmtId="0" fontId="5" fillId="22" borderId="0" xfId="55" applyFont="1" applyFill="1" applyAlignment="1">
      <alignment vertical="top"/>
    </xf>
    <xf numFmtId="0" fontId="45" fillId="22" borderId="0" xfId="86" applyFont="1" applyFill="1" applyAlignment="1">
      <alignment vertical="top"/>
    </xf>
    <xf numFmtId="0" fontId="0" fillId="22" borderId="0" xfId="0" applyFill="1" applyAlignment="1">
      <alignment vertical="top"/>
    </xf>
    <xf numFmtId="0" fontId="105" fillId="22" borderId="0" xfId="0" applyFont="1" applyFill="1" applyAlignment="1">
      <alignment vertical="top"/>
    </xf>
    <xf numFmtId="0" fontId="106" fillId="22" borderId="0" xfId="0" applyFont="1" applyFill="1" applyAlignment="1">
      <alignment vertical="top"/>
    </xf>
    <xf numFmtId="0" fontId="105" fillId="22" borderId="19" xfId="0" applyFont="1" applyFill="1" applyBorder="1" applyAlignment="1">
      <alignment vertical="top"/>
    </xf>
    <xf numFmtId="9" fontId="105" fillId="22" borderId="19" xfId="0" applyNumberFormat="1" applyFont="1" applyFill="1" applyBorder="1" applyAlignment="1">
      <alignment vertical="top"/>
    </xf>
    <xf numFmtId="3" fontId="105" fillId="22" borderId="19" xfId="0" applyNumberFormat="1" applyFont="1" applyFill="1" applyBorder="1" applyAlignment="1">
      <alignment vertical="top"/>
    </xf>
    <xf numFmtId="2" fontId="5" fillId="0" borderId="0" xfId="55" applyNumberFormat="1" applyAlignment="1">
      <alignment horizontal="left"/>
    </xf>
    <xf numFmtId="0" fontId="5" fillId="0" borderId="0" xfId="55" applyNumberFormat="1" applyAlignment="1">
      <alignment horizontal="left"/>
    </xf>
    <xf numFmtId="1" fontId="5" fillId="0" borderId="0" xfId="55" applyNumberFormat="1" applyAlignment="1">
      <alignment horizontal="left"/>
    </xf>
    <xf numFmtId="0" fontId="5" fillId="0" borderId="0" xfId="55" applyFont="1"/>
    <xf numFmtId="192" fontId="5" fillId="0" borderId="0" xfId="55" applyNumberFormat="1" applyAlignment="1">
      <alignment horizontal="left"/>
    </xf>
    <xf numFmtId="49" fontId="5" fillId="0" borderId="0" xfId="55" applyNumberFormat="1"/>
    <xf numFmtId="0" fontId="107" fillId="0" borderId="0" xfId="55" applyFont="1" applyAlignment="1">
      <alignment wrapText="1"/>
    </xf>
    <xf numFmtId="0" fontId="107" fillId="0" borderId="0" xfId="55" applyFont="1" applyAlignment="1">
      <alignment horizontal="left" wrapText="1" indent="3"/>
    </xf>
    <xf numFmtId="0" fontId="107" fillId="0" borderId="0" xfId="55" applyFont="1" applyAlignment="1">
      <alignment horizontal="left" wrapText="1" indent="1"/>
    </xf>
    <xf numFmtId="0" fontId="109" fillId="0" borderId="0" xfId="55" applyFont="1" applyAlignment="1">
      <alignment wrapText="1"/>
    </xf>
    <xf numFmtId="0" fontId="0" fillId="22" borderId="24" xfId="0" applyFill="1" applyBorder="1" applyAlignment="1">
      <alignment vertical="top"/>
    </xf>
    <xf numFmtId="0" fontId="105" fillId="22" borderId="0" xfId="0" applyFont="1" applyFill="1" applyAlignment="1">
      <alignment vertical="top"/>
    </xf>
    <xf numFmtId="0" fontId="105" fillId="22" borderId="20" xfId="0" applyFont="1" applyFill="1" applyBorder="1" applyAlignment="1">
      <alignment vertical="top"/>
    </xf>
    <xf numFmtId="0" fontId="105" fillId="22" borderId="21" xfId="0" applyFont="1" applyFill="1" applyBorder="1" applyAlignment="1">
      <alignment vertical="top"/>
    </xf>
    <xf numFmtId="0" fontId="105" fillId="22" borderId="22" xfId="0" applyFont="1" applyFill="1" applyBorder="1" applyAlignment="1">
      <alignment vertical="top"/>
    </xf>
    <xf numFmtId="0" fontId="106" fillId="22" borderId="0" xfId="0" applyFont="1" applyFill="1" applyAlignment="1">
      <alignment vertical="top"/>
    </xf>
    <xf numFmtId="0" fontId="0" fillId="22" borderId="0" xfId="0" applyFill="1" applyAlignment="1">
      <alignment vertical="top"/>
    </xf>
    <xf numFmtId="0" fontId="0" fillId="22" borderId="23" xfId="0" applyFill="1" applyBorder="1" applyAlignment="1">
      <alignment vertical="top"/>
    </xf>
    <xf numFmtId="164" fontId="32" fillId="17" borderId="0" xfId="59" quotePrefix="1" applyFont="1" applyFill="1" applyAlignment="1">
      <alignment horizontal="center"/>
    </xf>
    <xf numFmtId="164" fontId="32" fillId="17" borderId="0" xfId="59" applyFont="1" applyFill="1" applyAlignment="1">
      <alignment horizontal="center"/>
    </xf>
    <xf numFmtId="0" fontId="40" fillId="17" borderId="0" xfId="0" applyFont="1" applyFill="1" applyBorder="1" applyAlignment="1">
      <alignment horizontal="center"/>
    </xf>
  </cellXfs>
  <cellStyles count="87">
    <cellStyle name="%" xfId="1"/>
    <cellStyle name="_RRS1" xfId="2"/>
    <cellStyle name="_SUMMARY " xfId="3"/>
    <cellStyle name="_SUMMARY _RRST1" xfId="4"/>
    <cellStyle name="=C:\WINNT35\SYSTEM32\COMMAND.COM" xfId="5"/>
    <cellStyle name="0_Capex &amp; Depreciation " xfId="6"/>
    <cellStyle name="0_Capex &amp; Depreciation _RRST1" xfId="7"/>
    <cellStyle name="0_Valuing BP " xfId="8"/>
    <cellStyle name="0_Valuing BP _RRST1" xfId="9"/>
    <cellStyle name="20% - Accent1" xfId="10" builtinId="30" customBuiltin="1"/>
    <cellStyle name="20% - Accent2" xfId="11" builtinId="34" customBuiltin="1"/>
    <cellStyle name="20% - Accent3" xfId="12" builtinId="38" customBuiltin="1"/>
    <cellStyle name="20% - Accent4" xfId="13" builtinId="42" customBuiltin="1"/>
    <cellStyle name="20% - Accent5" xfId="14" builtinId="46" customBuiltin="1"/>
    <cellStyle name="20% - Accent6" xfId="15" builtinId="50" customBuiltin="1"/>
    <cellStyle name="40% - Accent1" xfId="16" builtinId="31" customBuiltin="1"/>
    <cellStyle name="40% - Accent2" xfId="17" builtinId="35" customBuiltin="1"/>
    <cellStyle name="40% - Accent3" xfId="18" builtinId="39" customBuiltin="1"/>
    <cellStyle name="40% - Accent4" xfId="19" builtinId="43" customBuiltin="1"/>
    <cellStyle name="40% - Accent5" xfId="20" builtinId="47" customBuiltin="1"/>
    <cellStyle name="40% - Accent6" xfId="21" builtinId="51" customBuiltin="1"/>
    <cellStyle name="60% - Accent1" xfId="22" builtinId="32" customBuiltin="1"/>
    <cellStyle name="60% - Accent2" xfId="23" builtinId="36" customBuiltin="1"/>
    <cellStyle name="60% - Accent3" xfId="24" builtinId="40" customBuiltin="1"/>
    <cellStyle name="60% - Accent4" xfId="25" builtinId="44" customBuiltin="1"/>
    <cellStyle name="60% - Accent5" xfId="26" builtinId="48" customBuiltin="1"/>
    <cellStyle name="60% - Accent6" xfId="27" builtinId="52" customBuiltin="1"/>
    <cellStyle name="Accent1" xfId="28" builtinId="29" customBuiltin="1"/>
    <cellStyle name="Accent2" xfId="29" builtinId="33" customBuiltin="1"/>
    <cellStyle name="Accent3" xfId="30" builtinId="37" customBuiltin="1"/>
    <cellStyle name="Accent4" xfId="31" builtinId="41" customBuiltin="1"/>
    <cellStyle name="Accent5" xfId="32" builtinId="45" customBuiltin="1"/>
    <cellStyle name="Accent6" xfId="33" builtinId="49" customBuiltin="1"/>
    <cellStyle name="Bad" xfId="34" builtinId="27" customBuiltin="1"/>
    <cellStyle name="c_HardInc " xfId="35"/>
    <cellStyle name="c_HardInc _RRST1" xfId="36"/>
    <cellStyle name="Calculation" xfId="37" builtinId="22" customBuiltin="1"/>
    <cellStyle name="Check Cell" xfId="38" builtinId="23" customBuiltin="1"/>
    <cellStyle name="Comma" xfId="39" builtinId="3"/>
    <cellStyle name="Currency" xfId="40" builtinId="4"/>
    <cellStyle name="Currency 2" xfId="41"/>
    <cellStyle name="Currency 3" xfId="42"/>
    <cellStyle name="Currency 4" xfId="43"/>
    <cellStyle name="Explanatory Text" xfId="44" builtinId="53" customBuiltin="1"/>
    <cellStyle name="Good" xfId="45" builtinId="26" customBuiltin="1"/>
    <cellStyle name="Heading 1" xfId="46" builtinId="16" customBuiltin="1"/>
    <cellStyle name="Heading 2" xfId="47" builtinId="17" customBuiltin="1"/>
    <cellStyle name="Heading 3" xfId="48" builtinId="18" customBuiltin="1"/>
    <cellStyle name="Heading 4" xfId="49" builtinId="19" customBuiltin="1"/>
    <cellStyle name="Hyperlink" xfId="50" builtinId="8"/>
    <cellStyle name="Input" xfId="51" builtinId="20" customBuiltin="1"/>
    <cellStyle name="Linked Cell" xfId="52" builtinId="24" customBuiltin="1"/>
    <cellStyle name="Neutral" xfId="53" builtinId="28" customBuiltin="1"/>
    <cellStyle name="Normal" xfId="0" builtinId="0"/>
    <cellStyle name="Normal 2" xfId="54"/>
    <cellStyle name="Normal 3" xfId="55"/>
    <cellStyle name="Normal 4" xfId="56"/>
    <cellStyle name="Normal Bold" xfId="57"/>
    <cellStyle name="Normal_AlbertoCulver_Model_BASE" xfId="58"/>
    <cellStyle name="Normal_clx0513" xfId="59"/>
    <cellStyle name="Normal_DisclaimerSheet Samples" xfId="86"/>
    <cellStyle name="Normal_DPS" xfId="60"/>
    <cellStyle name="Normal_el0428" xfId="61"/>
    <cellStyle name="Normal_ETM LBO Model" xfId="62"/>
    <cellStyle name="Normal_Morgan Stanley_Global Wireless Comps" xfId="63"/>
    <cellStyle name="Normal_PG Q IS" xfId="64"/>
    <cellStyle name="Normal_pg0317" xfId="65"/>
    <cellStyle name="Note" xfId="66" builtinId="10" customBuiltin="1"/>
    <cellStyle name="Output" xfId="67" builtinId="21" customBuiltin="1"/>
    <cellStyle name="p " xfId="68"/>
    <cellStyle name="Pctg" xfId="69"/>
    <cellStyle name="Percent" xfId="70" builtinId="5"/>
    <cellStyle name="Percent_clx0513" xfId="71"/>
    <cellStyle name="Percent_clx0701" xfId="72"/>
    <cellStyle name="RRSInstruction" xfId="73"/>
    <cellStyle name="RRSInstruction 2" xfId="74"/>
    <cellStyle name="s_HardInc " xfId="75"/>
    <cellStyle name="s_HardInc _RRST1" xfId="76"/>
    <cellStyle name="s_Valuation " xfId="77"/>
    <cellStyle name="s_Valuation _RRST1" xfId="78"/>
    <cellStyle name="ssp " xfId="79"/>
    <cellStyle name="Style 1" xfId="80"/>
    <cellStyle name="Style 2" xfId="81"/>
    <cellStyle name="Title" xfId="82" builtinId="15" customBuiltin="1"/>
    <cellStyle name="Total" xfId="83" builtinId="25" customBuiltin="1"/>
    <cellStyle name="Warning Text" xfId="84" builtinId="11" customBuiltin="1"/>
    <cellStyle name="X" xfId="85"/>
  </cellStyles>
  <dxfs count="4">
    <dxf>
      <font>
        <condense val="0"/>
        <extend val="0"/>
        <color indexed="9"/>
      </font>
    </dxf>
    <dxf>
      <font>
        <condense val="0"/>
        <extend val="0"/>
        <color indexed="9"/>
      </font>
    </dxf>
    <dxf>
      <font>
        <condense val="0"/>
        <extend val="0"/>
        <color indexed="9"/>
      </font>
    </dxf>
    <dxf>
      <fill>
        <patternFill>
          <bgColor indexed="26"/>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externalLinks/externalLink1.xml" Type="http://schemas.openxmlformats.org/officeDocument/2006/relationships/externalLink"/>
<Relationship Id="rId11" Target="externalLinks/externalLink2.xml" Type="http://schemas.openxmlformats.org/officeDocument/2006/relationships/externalLink"/>
<Relationship Id="rId12" Target="externalLinks/externalLink3.xml" Type="http://schemas.openxmlformats.org/officeDocument/2006/relationships/externalLink"/>
<Relationship Id="rId13" Target="externalLinks/externalLink4.xml" Type="http://schemas.openxmlformats.org/officeDocument/2006/relationships/externalLink"/>
<Relationship Id="rId14" Target="theme/theme1.xml" Type="http://schemas.openxmlformats.org/officeDocument/2006/relationships/theme"/>
<Relationship Id="rId15" Target="styles.xml" Type="http://schemas.openxmlformats.org/officeDocument/2006/relationships/styles"/>
<Relationship Id="rId16" Target="sharedStrings.xml" Type="http://schemas.openxmlformats.org/officeDocument/2006/relationships/sharedStrings"/>
<Relationship Id="rId17" Target="calcChain.xml" Type="http://schemas.openxmlformats.org/officeDocument/2006/relationships/calcChain"/>
<Relationship Id="rId18" Target="../customXml/item1.xml" Type="http://schemas.openxmlformats.org/officeDocument/2006/relationships/customXml"/>
<Relationship Id="rId19" Target="../customXml/item2.xml" Type="http://schemas.openxmlformats.org/officeDocument/2006/relationships/customXml"/>
<Relationship Id="rId2" Target="worksheets/sheet2.xml" Type="http://schemas.openxmlformats.org/officeDocument/2006/relationships/worksheet"/>
<Relationship Id="rId20" Target="vbaProject.bin" Type="http://schemas.microsoft.com/office/2006/relationships/vbaProjec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drawing2.xml.rels><?xml version="1.0" encoding="UTF-8" standalone="yes"?>
<Relationships xmlns="http://schemas.openxmlformats.org/package/2006/relationships">
<Relationship Id="rId1" Target="../media/image4.png"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1</xdr:col>
      <xdr:colOff>104775</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2</xdr:col>
      <xdr:colOff>228600</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180</xdr:row>
      <xdr:rowOff>0</xdr:rowOff>
    </xdr:from>
    <xdr:to>
      <xdr:col>9</xdr:col>
      <xdr:colOff>114300</xdr:colOff>
      <xdr:row>203</xdr:row>
      <xdr:rowOff>104775</xdr:rowOff>
    </xdr:to>
    <xdr:pic>
      <xdr:nvPicPr>
        <xdr:cNvPr id="2567169" name="Picture 1" descr="C:\Users\filipf\AppData\Local\Temp\MercuryPriceRatingHistoryChart\CLX.N_2018_04_19_06_31_23.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8098750"/>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381000</xdr:colOff>
      <xdr:row>1</xdr:row>
      <xdr:rowOff>66675</xdr:rowOff>
    </xdr:from>
    <xdr:to>
      <xdr:col>4</xdr:col>
      <xdr:colOff>333375</xdr:colOff>
      <xdr:row>10</xdr:row>
      <xdr:rowOff>66675</xdr:rowOff>
    </xdr:to>
    <xdr:pic>
      <xdr:nvPicPr>
        <xdr:cNvPr id="2520105" name="Picture 1" descr="banner0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000" y="209550"/>
          <a:ext cx="2152650" cy="1285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8</xdr:col>
      <xdr:colOff>466725</xdr:colOff>
      <xdr:row>82</xdr:row>
      <xdr:rowOff>123825</xdr:rowOff>
    </xdr:from>
    <xdr:to>
      <xdr:col>14</xdr:col>
      <xdr:colOff>0</xdr:colOff>
      <xdr:row>86</xdr:row>
      <xdr:rowOff>85725</xdr:rowOff>
    </xdr:to>
    <xdr:sp macro="" textlink="">
      <xdr:nvSpPr>
        <xdr:cNvPr id="4441" name="Text Box 1369"/>
        <xdr:cNvSpPr txBox="1">
          <a:spLocks noChangeArrowheads="1"/>
        </xdr:cNvSpPr>
      </xdr:nvSpPr>
      <xdr:spPr bwMode="auto">
        <a:xfrm>
          <a:off x="2238375" y="9334500"/>
          <a:ext cx="0" cy="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FF0000"/>
              </a:solidFill>
              <a:latin typeface="Arial"/>
              <a:cs typeface="Arial"/>
            </a:rPr>
            <a:t>2002-2003 Household Group NA is NOT comparable to 2004-2008 due to Resegmentation - see comment in cell A82</a:t>
          </a:r>
        </a:p>
      </xdr:txBody>
    </xdr:sp>
    <xdr:clientData/>
  </xdr:twoCellAnchor>
  <xdr:twoCellAnchor>
    <xdr:from>
      <xdr:col>9</xdr:col>
      <xdr:colOff>419100</xdr:colOff>
      <xdr:row>109</xdr:row>
      <xdr:rowOff>123825</xdr:rowOff>
    </xdr:from>
    <xdr:to>
      <xdr:col>14</xdr:col>
      <xdr:colOff>485775</xdr:colOff>
      <xdr:row>113</xdr:row>
      <xdr:rowOff>85725</xdr:rowOff>
    </xdr:to>
    <xdr:sp macro="" textlink="">
      <xdr:nvSpPr>
        <xdr:cNvPr id="4442" name="Text Box 1370"/>
        <xdr:cNvSpPr txBox="1">
          <a:spLocks noChangeArrowheads="1"/>
        </xdr:cNvSpPr>
      </xdr:nvSpPr>
      <xdr:spPr bwMode="auto">
        <a:xfrm>
          <a:off x="2238375" y="9334500"/>
          <a:ext cx="0" cy="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1" i="0" u="none" strike="noStrike" baseline="0">
              <a:solidFill>
                <a:srgbClr val="FF0000"/>
              </a:solidFill>
              <a:latin typeface="Arial"/>
              <a:cs typeface="Arial"/>
            </a:rPr>
            <a:t>2002-2003 Specialty is NOT comparable to 2004-2008 due to Resegmentation - see comment in cell A109</a:t>
          </a:r>
        </a:p>
      </xdr:txBody>
    </xdr:sp>
    <xdr:clientData/>
  </xdr:twoCellAnchor>
</xdr:wsDr>
</file>

<file path=xl/externalLinks/_rels/externalLink1.xml.rels><?xml version="1.0" encoding="UTF-8" standalone="yes"?>
<Relationships xmlns="http://schemas.openxmlformats.org/package/2006/relationships">
<Relationship Id="rId1" Target="c1" TargetMode="External" Type="http://schemas.microsoft.com/office/2006/relationships/xlExternalLinkPath/xlPathMissing"/>
</Relationships>

</file>

<file path=xl/externalLinks/_rels/externalLink2.xml.rels><?xml version="1.0" encoding="UTF-8" standalone="yes"?>
<Relationships xmlns="http://schemas.openxmlformats.org/package/2006/relationships">
<Relationship Id="rId1" Target="L" TargetMode="External" Type="http://schemas.microsoft.com/office/2006/relationships/xlExternalLinkPath/xlPathMissing"/>
</Relationships>

</file>

<file path=xl/externalLinks/_rels/externalLink3.xml.rels><?xml version="1.0" encoding="UTF-8" standalone="yes"?>
<Relationships xmlns="http://schemas.openxmlformats.org/package/2006/relationships">
<Relationship Id="rId1" Target="I" TargetMode="External" Type="http://schemas.microsoft.com/office/2006/relationships/xlExternalLinkPath/xlPathMissing"/>
</Relationships>

</file>

<file path=xl/externalLinks/_rels/externalLink4.xml.rels><?xml version="1.0" encoding="UTF-8" standalone="yes"?>
<Relationships xmlns="http://schemas.openxmlformats.org/package/2006/relationships">
<Relationship Id="rId1" Target="CENmodel091205b.xls" TargetMode="External" Type="http://schemas.microsoft.com/office/2006/relationships/xlExternalLinkPath/xlStartup"/>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1"/>
      <sheetName val="Sheet1"/>
      <sheetName val="Scenario"/>
      <sheetName val="ImportantDisclosures"/>
      <sheetName val="IndexInformation"/>
      <sheetName val="Income"/>
      <sheetName val="GWP"/>
      <sheetName val="Euro vs. PM"/>
      <sheetName val="Ruble"/>
      <sheetName val="Income Statement"/>
      <sheetName val="Margins"/>
      <sheetName val="MS_IRI_Methodology"/>
      <sheetName val="MARKET_SHARE ($)_RAW_DATA"/>
      <sheetName val="NEXXUS_RAW_DATA"/>
      <sheetName val="HAIR_CARE_MARKET SHARE ROLL-UP"/>
      <sheetName val="TOTAL_ACV_DOLLAR_SALES"/>
      <sheetName val="Comps"/>
      <sheetName val="Switches"/>
      <sheetName val="SSB Nielsen Sales"/>
      <sheetName val="TimeSeries"/>
      <sheetName val="Valuation Analyzer"/>
      <sheetName val="EBITDA"/>
      <sheetName val="GWP-WLine"/>
      <sheetName val="TS_Stnd_Dev_Band"/>
      <sheetName val="Print "/>
      <sheetName val="Lookup"/>
      <sheetName val="Input"/>
      <sheetName val="99 cons YTD"/>
      <sheetName val="KPN"/>
      <sheetName val="B"/>
      <sheetName val="Ratios"/>
      <sheetName val="C"/>
      <sheetName val="summary"/>
      <sheetName val="rev change analysis"/>
      <sheetName val="Realizations vs Average"/>
      <sheetName val="O1000"/>
      <sheetName val="Oil Consumption – barrel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
      <sheetName val="TOC"/>
      <sheetName val="__FDSCACHE__"/>
      <sheetName val="P&amp;L"/>
      <sheetName val="Bal Sheet"/>
      <sheetName val="Cash Flow"/>
      <sheetName val="Industry Model"/>
      <sheetName val="Revenue per Procedure"/>
      <sheetName val="P&amp;L Variance"/>
      <sheetName val="Model Changes Chart"/>
      <sheetName val="Operations Charts"/>
      <sheetName val="Guidance Chart"/>
      <sheetName val="Desk Preview"/>
      <sheetName val="Procedure Penetration"/>
      <sheetName val="DCF Summary"/>
      <sheetName val="Sum of Parts &amp; DCF"/>
      <sheetName val="Buyback Analysis"/>
      <sheetName val="Da Vinci Profitability"/>
      <sheetName val="Guidance"/>
      <sheetName val="MW Valuation"/>
      <sheetName val="MW-Cache"/>
      <sheetName val="mwareValPrintout"/>
      <sheetName val="mwareTaxoPres"/>
      <sheetName val="MWA RR"/>
      <sheetName val="mwareDates"/>
      <sheetName val="mwareSettings"/>
      <sheetName val="NY UPLOAD shadow"/>
      <sheetName val="__APW_ACTIVE_FIELD_RESTORE__"/>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
      <sheetName val="Ratios, Margins &amp; Multiples"/>
    </sheetNames>
    <sheetDataSet>
      <sheetData sheetId="0" refreshError="1"/>
      <sheetData sheetId="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PEB_Blank"/>
      <sheetName val="mwareTaxoPres"/>
      <sheetName val="Model_Template"/>
      <sheetName val="mwareValPrintout"/>
      <sheetName val="mwarePreview"/>
      <sheetName val="CENMODEL"/>
      <sheetName val="Metrics"/>
      <sheetName val="Valuation"/>
      <sheetName val="Assumptions"/>
      <sheetName val="Variance"/>
      <sheetName val="New Pension Sheet"/>
      <sheetName val="Acqs"/>
      <sheetName val="HRS"/>
      <sheetName val="Options"/>
      <sheetName val="OPEBs"/>
      <sheetName val="mwareDates"/>
      <sheetName val="mwareSettings"/>
      <sheetName val="NY UPLOAD shadow"/>
      <sheetName val="IS Quarterly"/>
      <sheetName val="Scenario"/>
      <sheetName val="Bakery"/>
      <sheetName val="Input-CB Revenues"/>
      <sheetName val="P&amp;L"/>
      <sheetName val="P"/>
      <sheetName val="NKEBALST"/>
      <sheetName val="Analysis"/>
      <sheetName val="MACRS"/>
      <sheetName val="NKEQTRIN"/>
      <sheetName val="Sheet1"/>
      <sheetName val="Quarterly Projection"/>
      <sheetName val="MultipleSecuriti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theme/theme1.xml><?xml version="1.0" encoding="utf-8"?>
<a:theme xmlns:a="http://schemas.openxmlformats.org/drawingml/2006/main" name="Office Theme">
  <a:themeElements>
    <a:clrScheme name="Research">
      <a:dk1>
        <a:sysClr val="windowText" lastClr="000000"/>
      </a:dk1>
      <a:lt1>
        <a:sysClr val="window" lastClr="FFFFFF"/>
      </a:lt1>
      <a:dk2>
        <a:srgbClr val="003366"/>
      </a:dk2>
      <a:lt2>
        <a:srgbClr val="C6D9E2"/>
      </a:lt2>
      <a:accent1>
        <a:srgbClr val="137CB1"/>
      </a:accent1>
      <a:accent2>
        <a:srgbClr val="EACC80"/>
      </a:accent2>
      <a:accent3>
        <a:srgbClr val="4AAC6B"/>
      </a:accent3>
      <a:accent4>
        <a:srgbClr val="A8D7E2"/>
      </a:accent4>
      <a:accent5>
        <a:srgbClr val="E58061"/>
      </a:accent5>
      <a:accent6>
        <a:srgbClr val="BCE3A1"/>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s>

</file>

<file path=xl/worksheets/_rels/sheet3.xml.rels><?xml version="1.0" encoding="UTF-8" standalone="yes"?>
<Relationships xmlns="http://schemas.openxmlformats.org/package/2006/relationships">
<Relationship Id="rId1" Target="mailto:bob.doctor@morganstanley.com" TargetMode="External" Type="http://schemas.openxmlformats.org/officeDocument/2006/relationships/hyperlink"/>
<Relationship Id="rId2" Target="mailto:brandon.hoffman@morganstanley.com" TargetMode="External" Type="http://schemas.openxmlformats.org/officeDocument/2006/relationships/hyperlink"/>
<Relationship Id="rId3" Target="mailto:scott.rotondi@morganstanley.com" TargetMode="External" Type="http://schemas.openxmlformats.org/officeDocument/2006/relationships/hyperlink"/>
<Relationship Id="rId4" Target="../printerSettings/printerSettings3.bin" Type="http://schemas.openxmlformats.org/officeDocument/2006/relationships/printerSettings"/>
<Relationship Id="rId5" Target="../drawings/drawing2.xml" Type="http://schemas.openxmlformats.org/officeDocument/2006/relationships/drawing"/>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 Id="rId2" Target="../drawings/drawing3.xml" Type="http://schemas.openxmlformats.org/officeDocument/2006/relationships/drawing"/>
<Relationship Id="rId3" Target="../drawings/vmlDrawing2.vml" Type="http://schemas.openxmlformats.org/officeDocument/2006/relationships/vmlDrawing"/>
<Relationship Id="rId4" Target="../comments2.xml" Type="http://schemas.openxmlformats.org/officeDocument/2006/relationships/comment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s>

</file>

<file path=xl/worksheets/_rels/sheet8.xml.rels><?xml version="1.0" encoding="UTF-8" standalone="yes"?>
<Relationships xmlns="http://schemas.openxmlformats.org/package/2006/relationships">
<Relationship Id="rId1" Target="../printerSettings/printerSettings7.bin" Type="http://schemas.openxmlformats.org/officeDocument/2006/relationships/printerSettings"/>
<Relationship Id="rId2" Target="../drawings/vmlDrawing3.vml" Type="http://schemas.openxmlformats.org/officeDocument/2006/relationships/vmlDrawing"/>
<Relationship Id="rId3" Target="../comments3.xml" Type="http://schemas.openxmlformats.org/officeDocument/2006/relationships/comments"/>
</Relationships>

</file>

<file path=xl/worksheets/_rels/sheet9.xml.rels><?xml version="1.0" encoding="UTF-8" standalone="yes"?>
<Relationships xmlns="http://schemas.openxmlformats.org/package/2006/relationships">
<Relationship Id="rId1" Target="../printerSettings/printerSettings8.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397"/>
  <sheetViews>
    <sheetView showGridLines="0" tabSelected="1" workbookViewId="0">
      <selection activeCell="Z1" sqref="Z1"/>
    </sheetView>
  </sheetViews>
  <sheetFormatPr defaultRowHeight="12.75" x14ac:dyDescent="0.2"/>
  <cols>
    <col min="1" max="1" width="25.83203125" style="857" customWidth="1"/>
    <col min="2" max="5" width="9.33203125" style="857"/>
    <col min="6" max="6" width="18.83203125" style="857" customWidth="1"/>
    <col min="7" max="256" width="9.33203125" style="857"/>
    <col min="257" max="257" width="117.5" style="857" customWidth="1"/>
    <col min="258" max="512" width="9.33203125" style="857"/>
    <col min="513" max="513" width="117.5" style="857" customWidth="1"/>
    <col min="514" max="768" width="9.33203125" style="857"/>
    <col min="769" max="769" width="117.5" style="857" customWidth="1"/>
    <col min="770" max="1024" width="9.33203125" style="857"/>
    <col min="1025" max="1025" width="117.5" style="857" customWidth="1"/>
    <col min="1026" max="1280" width="9.33203125" style="857"/>
    <col min="1281" max="1281" width="117.5" style="857" customWidth="1"/>
    <col min="1282" max="1536" width="9.33203125" style="857"/>
    <col min="1537" max="1537" width="117.5" style="857" customWidth="1"/>
    <col min="1538" max="1792" width="9.33203125" style="857"/>
    <col min="1793" max="1793" width="117.5" style="857" customWidth="1"/>
    <col min="1794" max="2048" width="9.33203125" style="857"/>
    <col min="2049" max="2049" width="117.5" style="857" customWidth="1"/>
    <col min="2050" max="2304" width="9.33203125" style="857"/>
    <col min="2305" max="2305" width="117.5" style="857" customWidth="1"/>
    <col min="2306" max="2560" width="9.33203125" style="857"/>
    <col min="2561" max="2561" width="117.5" style="857" customWidth="1"/>
    <col min="2562" max="2816" width="9.33203125" style="857"/>
    <col min="2817" max="2817" width="117.5" style="857" customWidth="1"/>
    <col min="2818" max="3072" width="9.33203125" style="857"/>
    <col min="3073" max="3073" width="117.5" style="857" customWidth="1"/>
    <col min="3074" max="3328" width="9.33203125" style="857"/>
    <col min="3329" max="3329" width="117.5" style="857" customWidth="1"/>
    <col min="3330" max="3584" width="9.33203125" style="857"/>
    <col min="3585" max="3585" width="117.5" style="857" customWidth="1"/>
    <col min="3586" max="3840" width="9.33203125" style="857"/>
    <col min="3841" max="3841" width="117.5" style="857" customWidth="1"/>
    <col min="3842" max="4096" width="9.33203125" style="857"/>
    <col min="4097" max="4097" width="117.5" style="857" customWidth="1"/>
    <col min="4098" max="4352" width="9.33203125" style="857"/>
    <col min="4353" max="4353" width="117.5" style="857" customWidth="1"/>
    <col min="4354" max="4608" width="9.33203125" style="857"/>
    <col min="4609" max="4609" width="117.5" style="857" customWidth="1"/>
    <col min="4610" max="4864" width="9.33203125" style="857"/>
    <col min="4865" max="4865" width="117.5" style="857" customWidth="1"/>
    <col min="4866" max="5120" width="9.33203125" style="857"/>
    <col min="5121" max="5121" width="117.5" style="857" customWidth="1"/>
    <col min="5122" max="5376" width="9.33203125" style="857"/>
    <col min="5377" max="5377" width="117.5" style="857" customWidth="1"/>
    <col min="5378" max="5632" width="9.33203125" style="857"/>
    <col min="5633" max="5633" width="117.5" style="857" customWidth="1"/>
    <col min="5634" max="5888" width="9.33203125" style="857"/>
    <col min="5889" max="5889" width="117.5" style="857" customWidth="1"/>
    <col min="5890" max="6144" width="9.33203125" style="857"/>
    <col min="6145" max="6145" width="117.5" style="857" customWidth="1"/>
    <col min="6146" max="6400" width="9.33203125" style="857"/>
    <col min="6401" max="6401" width="117.5" style="857" customWidth="1"/>
    <col min="6402" max="6656" width="9.33203125" style="857"/>
    <col min="6657" max="6657" width="117.5" style="857" customWidth="1"/>
    <col min="6658" max="6912" width="9.33203125" style="857"/>
    <col min="6913" max="6913" width="117.5" style="857" customWidth="1"/>
    <col min="6914" max="7168" width="9.33203125" style="857"/>
    <col min="7169" max="7169" width="117.5" style="857" customWidth="1"/>
    <col min="7170" max="7424" width="9.33203125" style="857"/>
    <col min="7425" max="7425" width="117.5" style="857" customWidth="1"/>
    <col min="7426" max="7680" width="9.33203125" style="857"/>
    <col min="7681" max="7681" width="117.5" style="857" customWidth="1"/>
    <col min="7682" max="7936" width="9.33203125" style="857"/>
    <col min="7937" max="7937" width="117.5" style="857" customWidth="1"/>
    <col min="7938" max="8192" width="9.33203125" style="857"/>
    <col min="8193" max="8193" width="117.5" style="857" customWidth="1"/>
    <col min="8194" max="8448" width="9.33203125" style="857"/>
    <col min="8449" max="8449" width="117.5" style="857" customWidth="1"/>
    <col min="8450" max="8704" width="9.33203125" style="857"/>
    <col min="8705" max="8705" width="117.5" style="857" customWidth="1"/>
    <col min="8706" max="8960" width="9.33203125" style="857"/>
    <col min="8961" max="8961" width="117.5" style="857" customWidth="1"/>
    <col min="8962" max="9216" width="9.33203125" style="857"/>
    <col min="9217" max="9217" width="117.5" style="857" customWidth="1"/>
    <col min="9218" max="9472" width="9.33203125" style="857"/>
    <col min="9473" max="9473" width="117.5" style="857" customWidth="1"/>
    <col min="9474" max="9728" width="9.33203125" style="857"/>
    <col min="9729" max="9729" width="117.5" style="857" customWidth="1"/>
    <col min="9730" max="9984" width="9.33203125" style="857"/>
    <col min="9985" max="9985" width="117.5" style="857" customWidth="1"/>
    <col min="9986" max="10240" width="9.33203125" style="857"/>
    <col min="10241" max="10241" width="117.5" style="857" customWidth="1"/>
    <col min="10242" max="10496" width="9.33203125" style="857"/>
    <col min="10497" max="10497" width="117.5" style="857" customWidth="1"/>
    <col min="10498" max="10752" width="9.33203125" style="857"/>
    <col min="10753" max="10753" width="117.5" style="857" customWidth="1"/>
    <col min="10754" max="11008" width="9.33203125" style="857"/>
    <col min="11009" max="11009" width="117.5" style="857" customWidth="1"/>
    <col min="11010" max="11264" width="9.33203125" style="857"/>
    <col min="11265" max="11265" width="117.5" style="857" customWidth="1"/>
    <col min="11266" max="11520" width="9.33203125" style="857"/>
    <col min="11521" max="11521" width="117.5" style="857" customWidth="1"/>
    <col min="11522" max="11776" width="9.33203125" style="857"/>
    <col min="11777" max="11777" width="117.5" style="857" customWidth="1"/>
    <col min="11778" max="12032" width="9.33203125" style="857"/>
    <col min="12033" max="12033" width="117.5" style="857" customWidth="1"/>
    <col min="12034" max="12288" width="9.33203125" style="857"/>
    <col min="12289" max="12289" width="117.5" style="857" customWidth="1"/>
    <col min="12290" max="12544" width="9.33203125" style="857"/>
    <col min="12545" max="12545" width="117.5" style="857" customWidth="1"/>
    <col min="12546" max="12800" width="9.33203125" style="857"/>
    <col min="12801" max="12801" width="117.5" style="857" customWidth="1"/>
    <col min="12802" max="13056" width="9.33203125" style="857"/>
    <col min="13057" max="13057" width="117.5" style="857" customWidth="1"/>
    <col min="13058" max="13312" width="9.33203125" style="857"/>
    <col min="13313" max="13313" width="117.5" style="857" customWidth="1"/>
    <col min="13314" max="13568" width="9.33203125" style="857"/>
    <col min="13569" max="13569" width="117.5" style="857" customWidth="1"/>
    <col min="13570" max="13824" width="9.33203125" style="857"/>
    <col min="13825" max="13825" width="117.5" style="857" customWidth="1"/>
    <col min="13826" max="14080" width="9.33203125" style="857"/>
    <col min="14081" max="14081" width="117.5" style="857" customWidth="1"/>
    <col min="14082" max="14336" width="9.33203125" style="857"/>
    <col min="14337" max="14337" width="117.5" style="857" customWidth="1"/>
    <col min="14338" max="14592" width="9.33203125" style="857"/>
    <col min="14593" max="14593" width="117.5" style="857" customWidth="1"/>
    <col min="14594" max="14848" width="9.33203125" style="857"/>
    <col min="14849" max="14849" width="117.5" style="857" customWidth="1"/>
    <col min="14850" max="15104" width="9.33203125" style="857"/>
    <col min="15105" max="15105" width="117.5" style="857" customWidth="1"/>
    <col min="15106" max="15360" width="9.33203125" style="857"/>
    <col min="15361" max="15361" width="117.5" style="857" customWidth="1"/>
    <col min="15362" max="15616" width="9.33203125" style="857"/>
    <col min="15617" max="15617" width="117.5" style="857" customWidth="1"/>
    <col min="15618" max="15872" width="9.33203125" style="857"/>
    <col min="15873" max="15873" width="117.5" style="857" customWidth="1"/>
    <col min="15874" max="16128" width="9.33203125" style="857"/>
    <col min="16129" max="16129" width="117.5" style="857" customWidth="1"/>
    <col min="16130" max="16384" width="9.33203125" style="857"/>
  </cols>
  <sheetData>
    <row r="1" spans="1:8" ht="30" customHeight="1" x14ac:dyDescent="0.2">
      <c r="A1" s="855"/>
      <c r="B1" s="856"/>
      <c r="C1" s="856"/>
      <c r="D1" s="856"/>
      <c r="E1" s="856"/>
      <c r="F1" s="856"/>
      <c r="G1" s="856"/>
      <c r="H1" s="856"/>
    </row>
    <row r="2" spans="1:8" ht="14.25" x14ac:dyDescent="0.2">
      <c r="A2" s="858" t="s">
        <v>426</v>
      </c>
      <c r="B2" s="856"/>
      <c r="C2" s="856"/>
      <c r="D2" s="856"/>
      <c r="E2" s="856"/>
      <c r="F2" s="856"/>
      <c r="G2" s="856"/>
      <c r="H2" s="856"/>
    </row>
    <row r="3" spans="1:8" ht="14.25" x14ac:dyDescent="0.2">
      <c r="A3" s="858" t="s">
        <v>427</v>
      </c>
      <c r="B3" s="856"/>
      <c r="C3" s="856"/>
      <c r="D3" s="856"/>
      <c r="E3" s="856"/>
      <c r="F3" s="856"/>
      <c r="G3" s="856"/>
      <c r="H3" s="856"/>
    </row>
    <row r="4" spans="1:8" ht="14.25" x14ac:dyDescent="0.2">
      <c r="A4" s="858" t="s">
        <v>100</v>
      </c>
      <c r="B4" s="856"/>
      <c r="C4" s="856"/>
      <c r="D4" s="856"/>
      <c r="E4" s="856"/>
      <c r="F4" s="856"/>
      <c r="G4" s="856"/>
      <c r="H4" s="856"/>
    </row>
    <row r="5" spans="1:8" ht="14.25" x14ac:dyDescent="0.2">
      <c r="A5" s="858" t="s">
        <v>428</v>
      </c>
      <c r="B5" s="856"/>
      <c r="C5" s="856"/>
      <c r="D5" s="856"/>
      <c r="E5" s="856"/>
      <c r="F5" s="856"/>
      <c r="G5" s="856"/>
      <c r="H5" s="856"/>
    </row>
    <row r="6" spans="1:8" ht="14.25" x14ac:dyDescent="0.2">
      <c r="A6" s="858"/>
      <c r="B6" s="856"/>
      <c r="C6" s="856"/>
      <c r="D6" s="856"/>
      <c r="E6" s="856"/>
      <c r="F6" s="856"/>
      <c r="G6" s="856"/>
      <c r="H6" s="856"/>
    </row>
    <row r="7" spans="1:8" x14ac:dyDescent="0.2">
      <c r="A7" s="855" t="s">
        <v>429</v>
      </c>
      <c r="B7" s="856"/>
      <c r="C7" s="856"/>
      <c r="D7" s="856"/>
      <c r="E7" s="856"/>
      <c r="F7" s="856"/>
      <c r="G7" s="856"/>
      <c r="H7" s="856"/>
    </row>
    <row r="8" spans="1:8" x14ac:dyDescent="0.2">
      <c r="A8" s="855" t="s">
        <v>430</v>
      </c>
      <c r="B8" s="856"/>
      <c r="C8" s="856"/>
      <c r="D8" s="856"/>
      <c r="E8" s="856"/>
      <c r="F8" s="856"/>
      <c r="G8" s="856"/>
      <c r="H8" s="856"/>
    </row>
    <row r="9" spans="1:8" x14ac:dyDescent="0.2">
      <c r="A9" s="855"/>
      <c r="B9" s="856"/>
      <c r="C9" s="856"/>
      <c r="D9" s="856"/>
      <c r="E9" s="856"/>
      <c r="F9" s="856"/>
      <c r="G9" s="856"/>
      <c r="H9" s="856"/>
    </row>
    <row r="10" spans="1:8" x14ac:dyDescent="0.2">
      <c r="A10" s="859" t="s">
        <v>431</v>
      </c>
      <c r="B10" s="856"/>
      <c r="C10" s="856"/>
      <c r="D10" s="856"/>
      <c r="E10" s="856"/>
      <c r="F10" s="856"/>
      <c r="G10" s="856"/>
      <c r="H10" s="856"/>
    </row>
    <row r="11" spans="1:8" x14ac:dyDescent="0.2">
      <c r="A11" s="859" t="s">
        <v>432</v>
      </c>
      <c r="B11" s="856"/>
      <c r="C11" s="856"/>
      <c r="D11" s="856"/>
      <c r="E11" s="856"/>
      <c r="F11" s="856"/>
      <c r="G11" s="856"/>
      <c r="H11" s="856"/>
    </row>
    <row r="12" spans="1:8" x14ac:dyDescent="0.2">
      <c r="A12" s="859" t="s">
        <v>433</v>
      </c>
      <c r="B12" s="856"/>
      <c r="C12" s="856"/>
      <c r="D12" s="856"/>
      <c r="E12" s="856"/>
      <c r="F12" s="856"/>
      <c r="G12" s="856"/>
      <c r="H12" s="856"/>
    </row>
    <row r="13" spans="1:8" x14ac:dyDescent="0.2">
      <c r="A13" s="859" t="s">
        <v>434</v>
      </c>
      <c r="B13" s="856"/>
      <c r="C13" s="856"/>
      <c r="D13" s="856"/>
      <c r="E13" s="856"/>
      <c r="F13" s="856"/>
      <c r="G13" s="856"/>
      <c r="H13" s="856"/>
    </row>
    <row r="14" spans="1:8" x14ac:dyDescent="0.2">
      <c r="A14" s="859" t="s">
        <v>435</v>
      </c>
      <c r="B14" s="856"/>
      <c r="C14" s="856"/>
      <c r="D14" s="856"/>
      <c r="E14" s="856"/>
      <c r="F14" s="856"/>
      <c r="G14" s="856"/>
      <c r="H14" s="856"/>
    </row>
    <row r="15" spans="1:8" x14ac:dyDescent="0.2">
      <c r="A15" s="859" t="s">
        <v>436</v>
      </c>
      <c r="B15" s="856"/>
      <c r="C15" s="856"/>
      <c r="D15" s="856"/>
      <c r="E15" s="856"/>
      <c r="F15" s="856"/>
      <c r="G15" s="856"/>
      <c r="H15" s="856"/>
    </row>
    <row r="16" spans="1:8" x14ac:dyDescent="0.2">
      <c r="A16" s="859"/>
      <c r="B16" s="856"/>
      <c r="C16" s="856"/>
      <c r="D16" s="856"/>
      <c r="E16" s="856"/>
      <c r="F16" s="856"/>
      <c r="G16" s="856"/>
      <c r="H16" s="856"/>
    </row>
    <row r="17" spans="1:8" x14ac:dyDescent="0.2">
      <c r="A17" s="859" t="s">
        <v>423</v>
      </c>
      <c r="B17" s="856"/>
      <c r="C17" s="856"/>
      <c r="D17" s="856"/>
      <c r="E17" s="856"/>
      <c r="F17" s="856"/>
      <c r="G17" s="856"/>
      <c r="H17" s="856"/>
    </row>
    <row r="18" spans="1:8" x14ac:dyDescent="0.2">
      <c r="A18" s="859"/>
      <c r="B18" s="856"/>
      <c r="C18" s="856"/>
      <c r="D18" s="856"/>
      <c r="E18" s="856"/>
      <c r="F18" s="856"/>
      <c r="G18" s="856"/>
      <c r="H18" s="856"/>
    </row>
    <row r="19" spans="1:8" x14ac:dyDescent="0.2">
      <c r="A19" s="859" t="s">
        <v>424</v>
      </c>
      <c r="B19" s="856"/>
      <c r="C19" s="856"/>
      <c r="D19" s="856"/>
      <c r="E19" s="856"/>
      <c r="F19" s="856"/>
      <c r="G19" s="856"/>
      <c r="H19" s="856"/>
    </row>
    <row r="20" spans="1:8" x14ac:dyDescent="0.2">
      <c r="A20" s="855"/>
      <c r="B20" s="856"/>
      <c r="C20" s="856"/>
      <c r="D20" s="856"/>
      <c r="E20" s="856"/>
      <c r="F20" s="856"/>
      <c r="G20" s="856"/>
      <c r="H20" s="856"/>
    </row>
    <row r="21" spans="1:8" x14ac:dyDescent="0.2">
      <c r="A21" s="860" t="s">
        <v>425</v>
      </c>
      <c r="B21" s="856"/>
      <c r="C21" s="856"/>
      <c r="D21" s="856"/>
      <c r="E21" s="856"/>
      <c r="F21" s="856"/>
      <c r="G21" s="856"/>
      <c r="H21" s="856"/>
    </row>
    <row r="22" spans="1:8" x14ac:dyDescent="0.2">
      <c r="A22" s="861"/>
      <c r="B22" s="861"/>
      <c r="C22" s="861"/>
      <c r="D22" s="861"/>
      <c r="E22" s="861"/>
      <c r="F22" s="861"/>
      <c r="G22" s="861"/>
      <c r="H22" s="861"/>
    </row>
    <row r="23" spans="1:8" x14ac:dyDescent="0.2">
      <c r="A23" s="862" t="s">
        <v>719</v>
      </c>
      <c r="B23" s="861"/>
      <c r="C23" s="861"/>
      <c r="D23" s="861"/>
      <c r="E23" s="861"/>
      <c r="F23" s="861"/>
      <c r="G23" s="861"/>
      <c r="H23" s="861"/>
    </row>
    <row r="24" spans="1:8" x14ac:dyDescent="0.2">
      <c r="A24" s="862" t="s">
        <v>720</v>
      </c>
      <c r="B24" s="861"/>
      <c r="C24" s="861"/>
      <c r="D24" s="861"/>
      <c r="E24" s="861"/>
      <c r="F24" s="861"/>
      <c r="G24" s="861"/>
      <c r="H24" s="861"/>
    </row>
    <row r="25" spans="1:8" x14ac:dyDescent="0.2">
      <c r="A25" s="862" t="s">
        <v>721</v>
      </c>
      <c r="B25" s="861"/>
      <c r="C25" s="861"/>
      <c r="D25" s="861"/>
      <c r="E25" s="861"/>
      <c r="F25" s="861"/>
      <c r="G25" s="861"/>
      <c r="H25" s="861"/>
    </row>
    <row r="26" spans="1:8" x14ac:dyDescent="0.2">
      <c r="A26" s="862" t="s">
        <v>722</v>
      </c>
      <c r="B26" s="861"/>
      <c r="C26" s="861"/>
      <c r="D26" s="861"/>
      <c r="E26" s="861"/>
      <c r="F26" s="861"/>
      <c r="G26" s="861"/>
      <c r="H26" s="861"/>
    </row>
    <row r="27" spans="1:8" x14ac:dyDescent="0.2">
      <c r="A27" s="861"/>
      <c r="B27" s="861"/>
      <c r="C27" s="861"/>
      <c r="D27" s="861"/>
      <c r="E27" s="861"/>
      <c r="F27" s="861"/>
      <c r="G27" s="861"/>
      <c r="H27" s="861"/>
    </row>
    <row r="28" spans="1:8" x14ac:dyDescent="0.2">
      <c r="A28" s="861"/>
      <c r="B28" s="861"/>
      <c r="C28" s="861"/>
      <c r="D28" s="861"/>
      <c r="E28" s="861"/>
      <c r="F28" s="861"/>
      <c r="G28" s="861"/>
      <c r="H28" s="861"/>
    </row>
    <row r="29" spans="1:8" x14ac:dyDescent="0.2">
      <c r="A29" s="862" t="s">
        <v>714</v>
      </c>
      <c r="B29" s="861"/>
      <c r="C29" s="861"/>
      <c r="D29" s="861"/>
      <c r="E29" s="861"/>
      <c r="F29" s="861"/>
      <c r="G29" s="861"/>
      <c r="H29" s="861"/>
    </row>
    <row r="30" spans="1:8" x14ac:dyDescent="0.2">
      <c r="A30" s="862" t="s">
        <v>715</v>
      </c>
      <c r="B30" s="861"/>
      <c r="C30" s="861"/>
      <c r="D30" s="861"/>
      <c r="E30" s="861"/>
      <c r="F30" s="861"/>
      <c r="G30" s="861"/>
      <c r="H30" s="861"/>
    </row>
    <row r="31" spans="1:8" x14ac:dyDescent="0.2">
      <c r="A31" s="862" t="s">
        <v>716</v>
      </c>
      <c r="B31" s="861"/>
      <c r="C31" s="861"/>
      <c r="D31" s="861"/>
      <c r="E31" s="861"/>
      <c r="F31" s="861"/>
      <c r="G31" s="861"/>
      <c r="H31" s="861"/>
    </row>
    <row r="32" spans="1:8" x14ac:dyDescent="0.2">
      <c r="A32" s="862" t="s">
        <v>717</v>
      </c>
      <c r="B32" s="861"/>
      <c r="C32" s="861"/>
      <c r="D32" s="861"/>
      <c r="E32" s="861"/>
      <c r="F32" s="861"/>
      <c r="G32" s="861"/>
      <c r="H32" s="861"/>
    </row>
    <row r="33" spans="1:8" x14ac:dyDescent="0.2">
      <c r="A33" s="862" t="s">
        <v>718</v>
      </c>
      <c r="B33" s="861"/>
      <c r="C33" s="861"/>
      <c r="D33" s="861"/>
      <c r="E33" s="861"/>
      <c r="F33" s="861"/>
      <c r="G33" s="861"/>
      <c r="H33" s="861"/>
    </row>
    <row r="34" spans="1:8" x14ac:dyDescent="0.2">
      <c r="A34" s="861"/>
      <c r="B34" s="861"/>
      <c r="C34" s="861"/>
      <c r="D34" s="861"/>
      <c r="E34" s="861"/>
      <c r="F34" s="861"/>
      <c r="G34" s="861"/>
      <c r="H34" s="861"/>
    </row>
    <row r="35" spans="1:8" x14ac:dyDescent="0.2">
      <c r="A35" s="862" t="s">
        <v>710</v>
      </c>
      <c r="B35" s="861"/>
      <c r="C35" s="861"/>
      <c r="D35" s="861"/>
      <c r="E35" s="861"/>
      <c r="F35" s="861"/>
      <c r="G35" s="861"/>
      <c r="H35" s="861"/>
    </row>
    <row r="36" spans="1:8" x14ac:dyDescent="0.2">
      <c r="A36" s="862" t="s">
        <v>711</v>
      </c>
      <c r="B36" s="861"/>
      <c r="C36" s="861"/>
      <c r="D36" s="861"/>
      <c r="E36" s="861"/>
      <c r="F36" s="861"/>
      <c r="G36" s="861"/>
      <c r="H36" s="861"/>
    </row>
    <row r="37" spans="1:8" x14ac:dyDescent="0.2">
      <c r="A37" s="862" t="s">
        <v>712</v>
      </c>
      <c r="B37" s="861"/>
      <c r="C37" s="861"/>
      <c r="D37" s="861"/>
      <c r="E37" s="861"/>
      <c r="F37" s="861"/>
      <c r="G37" s="861"/>
      <c r="H37" s="861"/>
    </row>
    <row r="38" spans="1:8" x14ac:dyDescent="0.2">
      <c r="A38" s="862" t="s">
        <v>713</v>
      </c>
      <c r="B38" s="861"/>
      <c r="C38" s="861"/>
      <c r="D38" s="861"/>
      <c r="E38" s="861"/>
      <c r="F38" s="861"/>
      <c r="G38" s="861"/>
      <c r="H38" s="861"/>
    </row>
    <row r="39" spans="1:8" x14ac:dyDescent="0.2">
      <c r="A39" s="861"/>
      <c r="B39" s="861"/>
      <c r="C39" s="861"/>
      <c r="D39" s="861"/>
      <c r="E39" s="861"/>
      <c r="F39" s="861"/>
      <c r="G39" s="861"/>
      <c r="H39" s="861"/>
    </row>
    <row r="40" spans="1:8" x14ac:dyDescent="0.2">
      <c r="A40" s="862" t="s">
        <v>704</v>
      </c>
      <c r="B40" s="861"/>
      <c r="C40" s="861"/>
      <c r="D40" s="861"/>
      <c r="E40" s="861"/>
      <c r="F40" s="861"/>
      <c r="G40" s="861"/>
      <c r="H40" s="861"/>
    </row>
    <row r="41" spans="1:8" x14ac:dyDescent="0.2">
      <c r="A41" s="862" t="s">
        <v>705</v>
      </c>
      <c r="B41" s="861"/>
      <c r="C41" s="861"/>
      <c r="D41" s="861"/>
      <c r="E41" s="861"/>
      <c r="F41" s="861"/>
      <c r="G41" s="861"/>
      <c r="H41" s="861"/>
    </row>
    <row r="42" spans="1:8" x14ac:dyDescent="0.2">
      <c r="A42" s="862" t="s">
        <v>706</v>
      </c>
      <c r="B42" s="861"/>
      <c r="C42" s="861"/>
      <c r="D42" s="861"/>
      <c r="E42" s="861"/>
      <c r="F42" s="861"/>
      <c r="G42" s="861"/>
      <c r="H42" s="861"/>
    </row>
    <row r="43" spans="1:8" x14ac:dyDescent="0.2">
      <c r="A43" s="862" t="s">
        <v>707</v>
      </c>
      <c r="B43" s="861"/>
      <c r="C43" s="861"/>
      <c r="D43" s="861"/>
      <c r="E43" s="861"/>
      <c r="F43" s="861"/>
      <c r="G43" s="861"/>
      <c r="H43" s="861"/>
    </row>
    <row r="44" spans="1:8" x14ac:dyDescent="0.2">
      <c r="A44" s="862" t="s">
        <v>708</v>
      </c>
      <c r="B44" s="861"/>
      <c r="C44" s="861"/>
      <c r="D44" s="861"/>
      <c r="E44" s="861"/>
      <c r="F44" s="861"/>
      <c r="G44" s="861"/>
      <c r="H44" s="861"/>
    </row>
    <row r="45" spans="1:8" x14ac:dyDescent="0.2">
      <c r="A45" s="862" t="s">
        <v>709</v>
      </c>
      <c r="B45" s="861"/>
      <c r="C45" s="861"/>
      <c r="D45" s="861"/>
      <c r="E45" s="861"/>
      <c r="F45" s="861"/>
      <c r="G45" s="861"/>
      <c r="H45" s="861"/>
    </row>
    <row r="46" spans="1:8" x14ac:dyDescent="0.2">
      <c r="A46" s="861"/>
      <c r="B46" s="861"/>
      <c r="C46" s="861"/>
      <c r="D46" s="861"/>
      <c r="E46" s="861"/>
      <c r="F46" s="861"/>
      <c r="G46" s="861"/>
      <c r="H46" s="861"/>
    </row>
    <row r="47" spans="1:8" ht="15.75" x14ac:dyDescent="0.2">
      <c r="A47" s="863" t="s">
        <v>437</v>
      </c>
      <c r="B47" s="861"/>
      <c r="C47" s="861"/>
      <c r="D47" s="861"/>
      <c r="E47" s="861"/>
      <c r="F47" s="861"/>
      <c r="G47" s="861"/>
      <c r="H47" s="861"/>
    </row>
    <row r="48" spans="1:8" x14ac:dyDescent="0.2">
      <c r="A48" s="861"/>
      <c r="B48" s="861"/>
      <c r="C48" s="861"/>
      <c r="D48" s="861"/>
      <c r="E48" s="861"/>
      <c r="F48" s="861"/>
      <c r="G48" s="861"/>
      <c r="H48" s="861"/>
    </row>
    <row r="49" spans="1:8" x14ac:dyDescent="0.2">
      <c r="A49" s="862" t="s">
        <v>700</v>
      </c>
      <c r="B49" s="861"/>
      <c r="C49" s="861"/>
      <c r="D49" s="861"/>
      <c r="E49" s="861"/>
      <c r="F49" s="861"/>
      <c r="G49" s="861"/>
      <c r="H49" s="861"/>
    </row>
    <row r="50" spans="1:8" x14ac:dyDescent="0.2">
      <c r="A50" s="862" t="s">
        <v>701</v>
      </c>
      <c r="B50" s="861"/>
      <c r="C50" s="861"/>
      <c r="D50" s="861"/>
      <c r="E50" s="861"/>
      <c r="F50" s="861"/>
      <c r="G50" s="861"/>
      <c r="H50" s="861"/>
    </row>
    <row r="51" spans="1:8" x14ac:dyDescent="0.2">
      <c r="A51" s="862" t="s">
        <v>702</v>
      </c>
      <c r="B51" s="861"/>
      <c r="C51" s="861"/>
      <c r="D51" s="861"/>
      <c r="E51" s="861"/>
      <c r="F51" s="861"/>
      <c r="G51" s="861"/>
      <c r="H51" s="861"/>
    </row>
    <row r="52" spans="1:8" x14ac:dyDescent="0.2">
      <c r="A52" s="862" t="s">
        <v>703</v>
      </c>
      <c r="B52" s="861"/>
      <c r="C52" s="861"/>
      <c r="D52" s="861"/>
      <c r="E52" s="861"/>
      <c r="F52" s="861"/>
      <c r="G52" s="861"/>
      <c r="H52" s="861"/>
    </row>
    <row r="53" spans="1:8" x14ac:dyDescent="0.2">
      <c r="A53" s="861"/>
      <c r="B53" s="861"/>
      <c r="C53" s="861"/>
      <c r="D53" s="861"/>
      <c r="E53" s="861"/>
      <c r="F53" s="861"/>
      <c r="G53" s="861"/>
      <c r="H53" s="861"/>
    </row>
    <row r="54" spans="1:8" x14ac:dyDescent="0.2">
      <c r="A54" s="862" t="s">
        <v>438</v>
      </c>
      <c r="B54" s="861"/>
      <c r="C54" s="861"/>
      <c r="D54" s="861"/>
      <c r="E54" s="861"/>
      <c r="F54" s="861"/>
      <c r="G54" s="861"/>
      <c r="H54" s="861"/>
    </row>
    <row r="55" spans="1:8" x14ac:dyDescent="0.2">
      <c r="A55" s="861"/>
      <c r="B55" s="861"/>
      <c r="C55" s="861"/>
      <c r="D55" s="861"/>
      <c r="E55" s="861"/>
      <c r="F55" s="861"/>
      <c r="G55" s="861"/>
      <c r="H55" s="861"/>
    </row>
    <row r="56" spans="1:8" ht="15.75" x14ac:dyDescent="0.2">
      <c r="A56" s="863" t="s">
        <v>439</v>
      </c>
      <c r="B56" s="861"/>
      <c r="C56" s="861"/>
      <c r="D56" s="861"/>
      <c r="E56" s="861"/>
      <c r="F56" s="861"/>
      <c r="G56" s="861"/>
      <c r="H56" s="861"/>
    </row>
    <row r="57" spans="1:8" x14ac:dyDescent="0.2">
      <c r="A57" s="861"/>
      <c r="B57" s="861"/>
      <c r="C57" s="861"/>
      <c r="D57" s="861"/>
      <c r="E57" s="861"/>
      <c r="F57" s="861"/>
      <c r="G57" s="861"/>
      <c r="H57" s="861"/>
    </row>
    <row r="58" spans="1:8" x14ac:dyDescent="0.2">
      <c r="A58" s="862" t="s">
        <v>698</v>
      </c>
      <c r="B58" s="861"/>
      <c r="C58" s="861"/>
      <c r="D58" s="861"/>
      <c r="E58" s="861"/>
      <c r="F58" s="861"/>
      <c r="G58" s="861"/>
      <c r="H58" s="861"/>
    </row>
    <row r="59" spans="1:8" x14ac:dyDescent="0.2">
      <c r="A59" s="862" t="s">
        <v>699</v>
      </c>
      <c r="B59" s="861"/>
      <c r="C59" s="861"/>
      <c r="D59" s="861"/>
      <c r="E59" s="861"/>
      <c r="F59" s="861"/>
      <c r="G59" s="861"/>
      <c r="H59" s="861"/>
    </row>
    <row r="60" spans="1:8" x14ac:dyDescent="0.2">
      <c r="A60" s="861"/>
      <c r="B60" s="861"/>
      <c r="C60" s="861"/>
      <c r="D60" s="861"/>
      <c r="E60" s="861"/>
      <c r="F60" s="861"/>
      <c r="G60" s="861"/>
      <c r="H60" s="861"/>
    </row>
    <row r="61" spans="1:8" ht="15.75" x14ac:dyDescent="0.2">
      <c r="A61" s="863" t="s">
        <v>440</v>
      </c>
      <c r="B61" s="861"/>
      <c r="C61" s="861"/>
      <c r="D61" s="861"/>
      <c r="E61" s="861"/>
      <c r="F61" s="861"/>
      <c r="G61" s="861"/>
      <c r="H61" s="861"/>
    </row>
    <row r="62" spans="1:8" x14ac:dyDescent="0.2">
      <c r="A62" s="861"/>
      <c r="B62" s="861"/>
      <c r="C62" s="861"/>
      <c r="D62" s="861"/>
      <c r="E62" s="861"/>
      <c r="F62" s="861"/>
      <c r="G62" s="861"/>
      <c r="H62" s="861"/>
    </row>
    <row r="63" spans="1:8" x14ac:dyDescent="0.2">
      <c r="A63" s="862" t="s">
        <v>696</v>
      </c>
      <c r="B63" s="861"/>
      <c r="C63" s="861"/>
      <c r="D63" s="861"/>
      <c r="E63" s="861"/>
      <c r="F63" s="861"/>
      <c r="G63" s="861"/>
      <c r="H63" s="861"/>
    </row>
    <row r="64" spans="1:8" x14ac:dyDescent="0.2">
      <c r="A64" s="862" t="s">
        <v>697</v>
      </c>
      <c r="B64" s="861"/>
      <c r="C64" s="861"/>
      <c r="D64" s="861"/>
      <c r="E64" s="861"/>
      <c r="F64" s="861"/>
      <c r="G64" s="861"/>
      <c r="H64" s="861"/>
    </row>
    <row r="65" spans="1:8" x14ac:dyDescent="0.2">
      <c r="A65" s="861"/>
      <c r="B65" s="861"/>
      <c r="C65" s="861"/>
      <c r="D65" s="861"/>
      <c r="E65" s="861"/>
      <c r="F65" s="861"/>
      <c r="G65" s="861"/>
      <c r="H65" s="861"/>
    </row>
    <row r="66" spans="1:8" x14ac:dyDescent="0.2">
      <c r="A66" s="862" t="s">
        <v>694</v>
      </c>
      <c r="B66" s="861"/>
      <c r="C66" s="861"/>
      <c r="D66" s="861"/>
      <c r="E66" s="861"/>
      <c r="F66" s="861"/>
      <c r="G66" s="861"/>
      <c r="H66" s="861"/>
    </row>
    <row r="67" spans="1:8" x14ac:dyDescent="0.2">
      <c r="A67" s="862" t="s">
        <v>695</v>
      </c>
      <c r="B67" s="861"/>
      <c r="C67" s="861"/>
      <c r="D67" s="861"/>
      <c r="E67" s="861"/>
      <c r="F67" s="861"/>
      <c r="G67" s="861"/>
      <c r="H67" s="861"/>
    </row>
    <row r="68" spans="1:8" x14ac:dyDescent="0.2">
      <c r="A68" s="861"/>
      <c r="B68" s="861"/>
      <c r="C68" s="861"/>
      <c r="D68" s="861"/>
      <c r="E68" s="861"/>
      <c r="F68" s="861"/>
      <c r="G68" s="861"/>
      <c r="H68" s="861"/>
    </row>
    <row r="69" spans="1:8" x14ac:dyDescent="0.2">
      <c r="A69" s="862" t="s">
        <v>692</v>
      </c>
      <c r="B69" s="861"/>
      <c r="C69" s="861"/>
      <c r="D69" s="861"/>
      <c r="E69" s="861"/>
      <c r="F69" s="861"/>
      <c r="G69" s="861"/>
      <c r="H69" s="861"/>
    </row>
    <row r="70" spans="1:8" x14ac:dyDescent="0.2">
      <c r="A70" s="862" t="s">
        <v>693</v>
      </c>
      <c r="B70" s="861"/>
      <c r="C70" s="861"/>
      <c r="D70" s="861"/>
      <c r="E70" s="861"/>
      <c r="F70" s="861"/>
      <c r="G70" s="861"/>
      <c r="H70" s="861"/>
    </row>
    <row r="71" spans="1:8" x14ac:dyDescent="0.2">
      <c r="A71" s="861"/>
      <c r="B71" s="861"/>
      <c r="C71" s="861"/>
      <c r="D71" s="861"/>
      <c r="E71" s="861"/>
      <c r="F71" s="861"/>
      <c r="G71" s="861"/>
      <c r="H71" s="861"/>
    </row>
    <row r="72" spans="1:8" x14ac:dyDescent="0.2">
      <c r="A72" s="862" t="s">
        <v>690</v>
      </c>
      <c r="B72" s="861"/>
      <c r="C72" s="861"/>
      <c r="D72" s="861"/>
      <c r="E72" s="861"/>
      <c r="F72" s="861"/>
      <c r="G72" s="861"/>
      <c r="H72" s="861"/>
    </row>
    <row r="73" spans="1:8" x14ac:dyDescent="0.2">
      <c r="A73" s="862" t="s">
        <v>691</v>
      </c>
      <c r="B73" s="861"/>
      <c r="C73" s="861"/>
      <c r="D73" s="861"/>
      <c r="E73" s="861"/>
      <c r="F73" s="861"/>
      <c r="G73" s="861"/>
      <c r="H73" s="861"/>
    </row>
    <row r="74" spans="1:8" x14ac:dyDescent="0.2">
      <c r="A74" s="861"/>
      <c r="B74" s="861"/>
      <c r="C74" s="861"/>
      <c r="D74" s="861"/>
      <c r="E74" s="861"/>
      <c r="F74" s="861"/>
      <c r="G74" s="861"/>
      <c r="H74" s="861"/>
    </row>
    <row r="75" spans="1:8" x14ac:dyDescent="0.2">
      <c r="A75" s="862" t="s">
        <v>688</v>
      </c>
      <c r="B75" s="861"/>
      <c r="C75" s="861"/>
      <c r="D75" s="861"/>
      <c r="E75" s="861"/>
      <c r="F75" s="861"/>
      <c r="G75" s="861"/>
      <c r="H75" s="861"/>
    </row>
    <row r="76" spans="1:8" x14ac:dyDescent="0.2">
      <c r="A76" s="862" t="s">
        <v>689</v>
      </c>
      <c r="B76" s="861"/>
      <c r="C76" s="861"/>
      <c r="D76" s="861"/>
      <c r="E76" s="861"/>
      <c r="F76" s="861"/>
      <c r="G76" s="861"/>
      <c r="H76" s="861"/>
    </row>
    <row r="77" spans="1:8" x14ac:dyDescent="0.2">
      <c r="A77" s="861"/>
      <c r="B77" s="861"/>
      <c r="C77" s="861"/>
      <c r="D77" s="861"/>
      <c r="E77" s="861"/>
      <c r="F77" s="861"/>
      <c r="G77" s="861"/>
      <c r="H77" s="861"/>
    </row>
    <row r="78" spans="1:8" x14ac:dyDescent="0.2">
      <c r="A78" s="862" t="s">
        <v>685</v>
      </c>
      <c r="B78" s="861"/>
      <c r="C78" s="861"/>
      <c r="D78" s="861"/>
      <c r="E78" s="861"/>
      <c r="F78" s="861"/>
      <c r="G78" s="861"/>
      <c r="H78" s="861"/>
    </row>
    <row r="79" spans="1:8" x14ac:dyDescent="0.2">
      <c r="A79" s="862" t="s">
        <v>686</v>
      </c>
      <c r="B79" s="861"/>
      <c r="C79" s="861"/>
      <c r="D79" s="861"/>
      <c r="E79" s="861"/>
      <c r="F79" s="861"/>
      <c r="G79" s="861"/>
      <c r="H79" s="861"/>
    </row>
    <row r="80" spans="1:8" x14ac:dyDescent="0.2">
      <c r="A80" s="862" t="s">
        <v>687</v>
      </c>
      <c r="B80" s="861"/>
      <c r="C80" s="861"/>
      <c r="D80" s="861"/>
      <c r="E80" s="861"/>
      <c r="F80" s="861"/>
      <c r="G80" s="861"/>
      <c r="H80" s="861"/>
    </row>
    <row r="81" spans="1:8" x14ac:dyDescent="0.2">
      <c r="A81" s="861"/>
      <c r="B81" s="861"/>
      <c r="C81" s="861"/>
      <c r="D81" s="861"/>
      <c r="E81" s="861"/>
      <c r="F81" s="861"/>
      <c r="G81" s="861"/>
      <c r="H81" s="861"/>
    </row>
    <row r="82" spans="1:8" x14ac:dyDescent="0.2">
      <c r="A82" s="862" t="s">
        <v>441</v>
      </c>
      <c r="B82" s="861"/>
      <c r="C82" s="861"/>
      <c r="D82" s="861"/>
      <c r="E82" s="861"/>
      <c r="F82" s="861"/>
      <c r="G82" s="861"/>
      <c r="H82" s="861"/>
    </row>
    <row r="83" spans="1:8" x14ac:dyDescent="0.2">
      <c r="A83" s="861"/>
      <c r="B83" s="861"/>
      <c r="C83" s="861"/>
      <c r="D83" s="861"/>
      <c r="E83" s="861"/>
      <c r="F83" s="861"/>
      <c r="G83" s="861"/>
      <c r="H83" s="861"/>
    </row>
    <row r="84" spans="1:8" x14ac:dyDescent="0.2">
      <c r="A84" s="862" t="s">
        <v>680</v>
      </c>
      <c r="B84" s="861"/>
      <c r="C84" s="861"/>
      <c r="D84" s="861"/>
      <c r="E84" s="861"/>
      <c r="F84" s="861"/>
      <c r="G84" s="861"/>
      <c r="H84" s="861"/>
    </row>
    <row r="85" spans="1:8" x14ac:dyDescent="0.2">
      <c r="A85" s="862" t="s">
        <v>681</v>
      </c>
      <c r="B85" s="861"/>
      <c r="C85" s="861"/>
      <c r="D85" s="861"/>
      <c r="E85" s="861"/>
      <c r="F85" s="861"/>
      <c r="G85" s="861"/>
      <c r="H85" s="861"/>
    </row>
    <row r="86" spans="1:8" x14ac:dyDescent="0.2">
      <c r="A86" s="862" t="s">
        <v>682</v>
      </c>
      <c r="B86" s="861"/>
      <c r="C86" s="861"/>
      <c r="D86" s="861"/>
      <c r="E86" s="861"/>
      <c r="F86" s="861"/>
      <c r="G86" s="861"/>
      <c r="H86" s="861"/>
    </row>
    <row r="87" spans="1:8" x14ac:dyDescent="0.2">
      <c r="A87" s="862" t="s">
        <v>683</v>
      </c>
      <c r="B87" s="861"/>
      <c r="C87" s="861"/>
      <c r="D87" s="861"/>
      <c r="E87" s="861"/>
      <c r="F87" s="861"/>
      <c r="G87" s="861"/>
      <c r="H87" s="861"/>
    </row>
    <row r="88" spans="1:8" x14ac:dyDescent="0.2">
      <c r="A88" s="862" t="s">
        <v>684</v>
      </c>
      <c r="B88" s="861"/>
      <c r="C88" s="861"/>
      <c r="D88" s="861"/>
      <c r="E88" s="861"/>
      <c r="F88" s="861"/>
      <c r="G88" s="861"/>
      <c r="H88" s="861"/>
    </row>
    <row r="89" spans="1:8" x14ac:dyDescent="0.2">
      <c r="A89" s="862" t="s">
        <v>567</v>
      </c>
      <c r="B89" s="861"/>
      <c r="C89" s="861"/>
      <c r="D89" s="861"/>
      <c r="E89" s="861"/>
      <c r="F89" s="861"/>
      <c r="G89" s="861"/>
      <c r="H89" s="861"/>
    </row>
    <row r="90" spans="1:8" x14ac:dyDescent="0.2">
      <c r="A90" s="861"/>
      <c r="B90" s="861"/>
      <c r="C90" s="861"/>
      <c r="D90" s="861"/>
      <c r="E90" s="861"/>
      <c r="F90" s="861"/>
      <c r="G90" s="861"/>
      <c r="H90" s="861"/>
    </row>
    <row r="91" spans="1:8" x14ac:dyDescent="0.2">
      <c r="A91" s="862" t="s">
        <v>673</v>
      </c>
      <c r="B91" s="861"/>
      <c r="C91" s="861"/>
      <c r="D91" s="861"/>
      <c r="E91" s="861"/>
      <c r="F91" s="861"/>
      <c r="G91" s="861"/>
      <c r="H91" s="861"/>
    </row>
    <row r="92" spans="1:8" x14ac:dyDescent="0.2">
      <c r="A92" s="862" t="s">
        <v>674</v>
      </c>
      <c r="B92" s="861"/>
      <c r="C92" s="861"/>
      <c r="D92" s="861"/>
      <c r="E92" s="861"/>
      <c r="F92" s="861"/>
      <c r="G92" s="861"/>
      <c r="H92" s="861"/>
    </row>
    <row r="93" spans="1:8" x14ac:dyDescent="0.2">
      <c r="A93" s="862" t="s">
        <v>675</v>
      </c>
      <c r="B93" s="861"/>
      <c r="C93" s="861"/>
      <c r="D93" s="861"/>
      <c r="E93" s="861"/>
      <c r="F93" s="861"/>
      <c r="G93" s="861"/>
      <c r="H93" s="861"/>
    </row>
    <row r="94" spans="1:8" x14ac:dyDescent="0.2">
      <c r="A94" s="862" t="s">
        <v>676</v>
      </c>
      <c r="B94" s="861"/>
      <c r="C94" s="861"/>
      <c r="D94" s="861"/>
      <c r="E94" s="861"/>
      <c r="F94" s="861"/>
      <c r="G94" s="861"/>
      <c r="H94" s="861"/>
    </row>
    <row r="95" spans="1:8" x14ac:dyDescent="0.2">
      <c r="A95" s="862" t="s">
        <v>677</v>
      </c>
      <c r="B95" s="861"/>
      <c r="C95" s="861"/>
      <c r="D95" s="861"/>
      <c r="E95" s="861"/>
      <c r="F95" s="861"/>
      <c r="G95" s="861"/>
      <c r="H95" s="861"/>
    </row>
    <row r="96" spans="1:8" x14ac:dyDescent="0.2">
      <c r="A96" s="862" t="s">
        <v>678</v>
      </c>
      <c r="B96" s="861"/>
      <c r="C96" s="861"/>
      <c r="D96" s="861"/>
      <c r="E96" s="861"/>
      <c r="F96" s="861"/>
      <c r="G96" s="861"/>
      <c r="H96" s="861"/>
    </row>
    <row r="97" spans="1:8" x14ac:dyDescent="0.2">
      <c r="A97" s="862" t="s">
        <v>679</v>
      </c>
      <c r="B97" s="861"/>
      <c r="C97" s="861"/>
      <c r="D97" s="861"/>
      <c r="E97" s="861"/>
      <c r="F97" s="861"/>
      <c r="G97" s="861"/>
      <c r="H97" s="861"/>
    </row>
    <row r="98" spans="1:8" x14ac:dyDescent="0.2">
      <c r="A98" s="861"/>
      <c r="B98" s="861"/>
      <c r="C98" s="861"/>
      <c r="D98" s="861"/>
      <c r="E98" s="861"/>
      <c r="F98" s="861"/>
      <c r="G98" s="861"/>
      <c r="H98" s="861"/>
    </row>
    <row r="99" spans="1:8" x14ac:dyDescent="0.2">
      <c r="A99" s="862" t="s">
        <v>671</v>
      </c>
      <c r="B99" s="861"/>
      <c r="C99" s="861"/>
      <c r="D99" s="861"/>
      <c r="E99" s="861"/>
      <c r="F99" s="861"/>
      <c r="G99" s="861"/>
      <c r="H99" s="861"/>
    </row>
    <row r="100" spans="1:8" x14ac:dyDescent="0.2">
      <c r="A100" s="862" t="s">
        <v>672</v>
      </c>
      <c r="B100" s="861"/>
      <c r="C100" s="861"/>
      <c r="D100" s="861"/>
      <c r="E100" s="861"/>
      <c r="F100" s="861"/>
      <c r="G100" s="861"/>
      <c r="H100" s="861"/>
    </row>
    <row r="101" spans="1:8" x14ac:dyDescent="0.2">
      <c r="A101" s="861"/>
      <c r="B101" s="861"/>
      <c r="C101" s="861"/>
      <c r="D101" s="861"/>
      <c r="E101" s="861"/>
      <c r="F101" s="861"/>
      <c r="G101" s="861"/>
      <c r="H101" s="861"/>
    </row>
    <row r="102" spans="1:8" ht="15.75" x14ac:dyDescent="0.2">
      <c r="A102" s="863" t="s">
        <v>442</v>
      </c>
      <c r="B102" s="861"/>
      <c r="C102" s="861"/>
      <c r="D102" s="861"/>
      <c r="E102" s="861"/>
      <c r="F102" s="861"/>
      <c r="G102" s="861"/>
      <c r="H102" s="861"/>
    </row>
    <row r="103" spans="1:8" x14ac:dyDescent="0.2">
      <c r="A103" s="861"/>
      <c r="B103" s="861"/>
      <c r="C103" s="861"/>
      <c r="D103" s="861"/>
      <c r="E103" s="861"/>
      <c r="F103" s="861"/>
      <c r="G103" s="861"/>
      <c r="H103" s="861"/>
    </row>
    <row r="104" spans="1:8" x14ac:dyDescent="0.2">
      <c r="A104" s="862" t="s">
        <v>662</v>
      </c>
      <c r="B104" s="861"/>
      <c r="C104" s="861"/>
      <c r="D104" s="861"/>
      <c r="E104" s="861"/>
      <c r="F104" s="861"/>
      <c r="G104" s="861"/>
      <c r="H104" s="861"/>
    </row>
    <row r="105" spans="1:8" x14ac:dyDescent="0.2">
      <c r="A105" s="862" t="s">
        <v>663</v>
      </c>
      <c r="B105" s="861"/>
      <c r="C105" s="861"/>
      <c r="D105" s="861"/>
      <c r="E105" s="861"/>
      <c r="F105" s="861"/>
      <c r="G105" s="861"/>
      <c r="H105" s="861"/>
    </row>
    <row r="106" spans="1:8" x14ac:dyDescent="0.2">
      <c r="A106" s="862" t="s">
        <v>664</v>
      </c>
      <c r="B106" s="861"/>
      <c r="C106" s="861"/>
      <c r="D106" s="861"/>
      <c r="E106" s="861"/>
      <c r="F106" s="861"/>
      <c r="G106" s="861"/>
      <c r="H106" s="861"/>
    </row>
    <row r="107" spans="1:8" x14ac:dyDescent="0.2">
      <c r="A107" s="862" t="s">
        <v>665</v>
      </c>
      <c r="B107" s="861"/>
      <c r="C107" s="861"/>
      <c r="D107" s="861"/>
      <c r="E107" s="861"/>
      <c r="F107" s="861"/>
      <c r="G107" s="861"/>
      <c r="H107" s="861"/>
    </row>
    <row r="108" spans="1:8" x14ac:dyDescent="0.2">
      <c r="A108" s="862" t="s">
        <v>666</v>
      </c>
      <c r="B108" s="861"/>
      <c r="C108" s="861"/>
      <c r="D108" s="861"/>
      <c r="E108" s="861"/>
      <c r="F108" s="861"/>
      <c r="G108" s="861"/>
      <c r="H108" s="861"/>
    </row>
    <row r="109" spans="1:8" x14ac:dyDescent="0.2">
      <c r="A109" s="862" t="s">
        <v>667</v>
      </c>
      <c r="B109" s="861"/>
      <c r="C109" s="861"/>
      <c r="D109" s="861"/>
      <c r="E109" s="861"/>
      <c r="F109" s="861"/>
      <c r="G109" s="861"/>
      <c r="H109" s="861"/>
    </row>
    <row r="110" spans="1:8" x14ac:dyDescent="0.2">
      <c r="A110" s="862" t="s">
        <v>668</v>
      </c>
      <c r="B110" s="861"/>
      <c r="C110" s="861"/>
      <c r="D110" s="861"/>
      <c r="E110" s="861"/>
      <c r="F110" s="861"/>
      <c r="G110" s="861"/>
      <c r="H110" s="861"/>
    </row>
    <row r="111" spans="1:8" x14ac:dyDescent="0.2">
      <c r="A111" s="862" t="s">
        <v>669</v>
      </c>
      <c r="B111" s="861"/>
      <c r="C111" s="861"/>
      <c r="D111" s="861"/>
      <c r="E111" s="861"/>
      <c r="F111" s="861"/>
      <c r="G111" s="861"/>
      <c r="H111" s="861"/>
    </row>
    <row r="112" spans="1:8" x14ac:dyDescent="0.2">
      <c r="A112" s="862" t="s">
        <v>670</v>
      </c>
      <c r="B112" s="861"/>
      <c r="C112" s="861"/>
      <c r="D112" s="861"/>
      <c r="E112" s="861"/>
      <c r="F112" s="861"/>
      <c r="G112" s="861"/>
      <c r="H112" s="861"/>
    </row>
    <row r="113" spans="1:8" x14ac:dyDescent="0.2">
      <c r="A113" s="861"/>
      <c r="B113" s="861"/>
      <c r="C113" s="861"/>
      <c r="D113" s="861"/>
      <c r="E113" s="861"/>
      <c r="F113" s="861"/>
      <c r="G113" s="861"/>
      <c r="H113" s="861"/>
    </row>
    <row r="114" spans="1:8" ht="15.75" x14ac:dyDescent="0.2">
      <c r="A114" s="882" t="s">
        <v>443</v>
      </c>
      <c r="B114" s="882"/>
      <c r="C114" s="882"/>
      <c r="D114" s="882"/>
      <c r="E114" s="882"/>
      <c r="F114" s="882"/>
      <c r="G114" s="882"/>
      <c r="H114" s="882"/>
    </row>
    <row r="115" spans="1:8" x14ac:dyDescent="0.2">
      <c r="A115" s="878" t="s">
        <v>444</v>
      </c>
      <c r="B115" s="878"/>
      <c r="C115" s="878"/>
      <c r="D115" s="878"/>
      <c r="E115" s="878"/>
      <c r="F115" s="878"/>
      <c r="G115" s="878"/>
      <c r="H115" s="878"/>
    </row>
    <row r="116" spans="1:8" x14ac:dyDescent="0.2">
      <c r="A116" s="883"/>
      <c r="B116" s="883"/>
      <c r="C116" s="883"/>
      <c r="D116" s="883"/>
      <c r="E116" s="883"/>
      <c r="F116" s="883"/>
      <c r="G116" s="883"/>
      <c r="H116" s="883"/>
    </row>
    <row r="117" spans="1:8" x14ac:dyDescent="0.2">
      <c r="A117" s="878" t="s">
        <v>660</v>
      </c>
      <c r="B117" s="878"/>
      <c r="C117" s="878"/>
      <c r="D117" s="878"/>
      <c r="E117" s="878"/>
      <c r="F117" s="878"/>
      <c r="G117" s="878"/>
      <c r="H117" s="878"/>
    </row>
    <row r="118" spans="1:8" x14ac:dyDescent="0.2">
      <c r="A118" s="862" t="s">
        <v>661</v>
      </c>
      <c r="B118" s="862"/>
      <c r="C118" s="862"/>
      <c r="D118" s="862"/>
      <c r="E118" s="862"/>
      <c r="F118" s="862"/>
      <c r="G118" s="862"/>
      <c r="H118" s="862"/>
    </row>
    <row r="119" spans="1:8" x14ac:dyDescent="0.2">
      <c r="A119" s="883"/>
      <c r="B119" s="883"/>
      <c r="C119" s="883"/>
      <c r="D119" s="883"/>
      <c r="E119" s="883"/>
      <c r="F119" s="883"/>
      <c r="G119" s="883"/>
      <c r="H119" s="883"/>
    </row>
    <row r="120" spans="1:8" x14ac:dyDescent="0.2">
      <c r="A120" s="878" t="s">
        <v>653</v>
      </c>
      <c r="B120" s="878"/>
      <c r="C120" s="878"/>
      <c r="D120" s="878"/>
      <c r="E120" s="878"/>
      <c r="F120" s="878"/>
      <c r="G120" s="878"/>
      <c r="H120" s="878"/>
    </row>
    <row r="121" spans="1:8" x14ac:dyDescent="0.2">
      <c r="A121" s="862" t="s">
        <v>654</v>
      </c>
      <c r="B121" s="862"/>
      <c r="C121" s="862"/>
      <c r="D121" s="862"/>
      <c r="E121" s="862"/>
      <c r="F121" s="862"/>
      <c r="G121" s="862"/>
      <c r="H121" s="862"/>
    </row>
    <row r="122" spans="1:8" x14ac:dyDescent="0.2">
      <c r="A122" s="862" t="s">
        <v>655</v>
      </c>
      <c r="B122" s="862"/>
      <c r="C122" s="862"/>
      <c r="D122" s="862"/>
      <c r="E122" s="862"/>
      <c r="F122" s="862"/>
      <c r="G122" s="862"/>
      <c r="H122" s="862"/>
    </row>
    <row r="123" spans="1:8" x14ac:dyDescent="0.2">
      <c r="A123" s="862" t="s">
        <v>656</v>
      </c>
      <c r="B123" s="862"/>
      <c r="C123" s="862"/>
      <c r="D123" s="862"/>
      <c r="E123" s="862"/>
      <c r="F123" s="862"/>
      <c r="G123" s="862"/>
      <c r="H123" s="862"/>
    </row>
    <row r="124" spans="1:8" x14ac:dyDescent="0.2">
      <c r="A124" s="862" t="s">
        <v>657</v>
      </c>
      <c r="B124" s="862"/>
      <c r="C124" s="862"/>
      <c r="D124" s="862"/>
      <c r="E124" s="862"/>
      <c r="F124" s="862"/>
      <c r="G124" s="862"/>
      <c r="H124" s="862"/>
    </row>
    <row r="125" spans="1:8" x14ac:dyDescent="0.2">
      <c r="A125" s="862" t="s">
        <v>658</v>
      </c>
      <c r="B125" s="862"/>
      <c r="C125" s="862"/>
      <c r="D125" s="862"/>
      <c r="E125" s="862"/>
      <c r="F125" s="862"/>
      <c r="G125" s="862"/>
      <c r="H125" s="862"/>
    </row>
    <row r="126" spans="1:8" x14ac:dyDescent="0.2">
      <c r="A126" s="862" t="s">
        <v>659</v>
      </c>
      <c r="B126" s="862"/>
      <c r="C126" s="862"/>
      <c r="D126" s="862"/>
      <c r="E126" s="862"/>
      <c r="F126" s="862"/>
      <c r="G126" s="862"/>
      <c r="H126" s="862"/>
    </row>
    <row r="127" spans="1:8" x14ac:dyDescent="0.2">
      <c r="A127" s="884"/>
      <c r="B127" s="884"/>
      <c r="C127" s="884"/>
      <c r="D127" s="884"/>
      <c r="E127" s="884"/>
      <c r="F127" s="884"/>
      <c r="G127" s="884"/>
      <c r="H127" s="884"/>
    </row>
    <row r="128" spans="1:8" x14ac:dyDescent="0.2">
      <c r="A128" s="864"/>
      <c r="B128" s="879" t="s">
        <v>445</v>
      </c>
      <c r="C128" s="880"/>
      <c r="D128" s="879" t="s">
        <v>446</v>
      </c>
      <c r="E128" s="881"/>
      <c r="F128" s="880"/>
      <c r="G128" s="879" t="s">
        <v>447</v>
      </c>
      <c r="H128" s="880"/>
    </row>
    <row r="129" spans="1:8" x14ac:dyDescent="0.2">
      <c r="A129" s="864" t="s">
        <v>448</v>
      </c>
      <c r="B129" s="864" t="s">
        <v>304</v>
      </c>
      <c r="C129" s="864" t="s">
        <v>449</v>
      </c>
      <c r="D129" s="864" t="s">
        <v>304</v>
      </c>
      <c r="E129" s="864" t="s">
        <v>450</v>
      </c>
      <c r="F129" s="864" t="s">
        <v>451</v>
      </c>
      <c r="G129" s="864" t="s">
        <v>304</v>
      </c>
      <c r="H129" s="864" t="s">
        <v>452</v>
      </c>
    </row>
    <row r="130" spans="1:8" x14ac:dyDescent="0.2">
      <c r="A130" s="864" t="s">
        <v>453</v>
      </c>
      <c r="B130" s="864">
        <v>1189</v>
      </c>
      <c r="C130" s="865">
        <v>0.38</v>
      </c>
      <c r="D130" s="864">
        <v>315</v>
      </c>
      <c r="E130" s="865">
        <v>0.41</v>
      </c>
      <c r="F130" s="865">
        <v>0.26</v>
      </c>
      <c r="G130" s="864">
        <v>555</v>
      </c>
      <c r="H130" s="865">
        <v>0.39</v>
      </c>
    </row>
    <row r="131" spans="1:8" x14ac:dyDescent="0.2">
      <c r="A131" s="864" t="s">
        <v>454</v>
      </c>
      <c r="B131" s="864">
        <v>1355</v>
      </c>
      <c r="C131" s="865">
        <v>0.43</v>
      </c>
      <c r="D131" s="864">
        <v>364</v>
      </c>
      <c r="E131" s="865">
        <v>0.47</v>
      </c>
      <c r="F131" s="865">
        <v>0.27</v>
      </c>
      <c r="G131" s="864">
        <v>644</v>
      </c>
      <c r="H131" s="865">
        <v>0.45</v>
      </c>
    </row>
    <row r="132" spans="1:8" x14ac:dyDescent="0.2">
      <c r="A132" s="864" t="s">
        <v>455</v>
      </c>
      <c r="B132" s="864">
        <v>53</v>
      </c>
      <c r="C132" s="865">
        <v>0.02</v>
      </c>
      <c r="D132" s="864">
        <v>4</v>
      </c>
      <c r="E132" s="865">
        <v>0.01</v>
      </c>
      <c r="F132" s="865">
        <v>0.08</v>
      </c>
      <c r="G132" s="864">
        <v>7</v>
      </c>
      <c r="H132" s="865">
        <v>0</v>
      </c>
    </row>
    <row r="133" spans="1:8" x14ac:dyDescent="0.2">
      <c r="A133" s="864" t="s">
        <v>456</v>
      </c>
      <c r="B133" s="864">
        <v>545</v>
      </c>
      <c r="C133" s="865">
        <v>0.17</v>
      </c>
      <c r="D133" s="864">
        <v>84</v>
      </c>
      <c r="E133" s="865">
        <v>0.11</v>
      </c>
      <c r="F133" s="865">
        <v>0.15</v>
      </c>
      <c r="G133" s="864">
        <v>214</v>
      </c>
      <c r="H133" s="865">
        <v>0.15</v>
      </c>
    </row>
    <row r="134" spans="1:8" x14ac:dyDescent="0.2">
      <c r="A134" s="864" t="s">
        <v>265</v>
      </c>
      <c r="B134" s="866">
        <v>3142</v>
      </c>
      <c r="C134" s="864"/>
      <c r="D134" s="864">
        <v>767</v>
      </c>
      <c r="E134" s="864"/>
      <c r="F134" s="864"/>
      <c r="G134" s="864">
        <v>1420</v>
      </c>
      <c r="H134" s="864"/>
    </row>
    <row r="135" spans="1:8" x14ac:dyDescent="0.2">
      <c r="A135" s="877"/>
      <c r="B135" s="877"/>
      <c r="C135" s="877"/>
      <c r="D135" s="877"/>
      <c r="E135" s="877"/>
      <c r="F135" s="877"/>
      <c r="G135" s="877"/>
      <c r="H135" s="877"/>
    </row>
    <row r="136" spans="1:8" x14ac:dyDescent="0.2">
      <c r="A136" s="878" t="s">
        <v>649</v>
      </c>
      <c r="B136" s="878"/>
      <c r="C136" s="878"/>
      <c r="D136" s="878"/>
      <c r="E136" s="878"/>
      <c r="F136" s="878"/>
      <c r="G136" s="878"/>
      <c r="H136" s="878"/>
    </row>
    <row r="137" spans="1:8" x14ac:dyDescent="0.2">
      <c r="A137" s="862" t="s">
        <v>650</v>
      </c>
      <c r="B137" s="862"/>
      <c r="C137" s="862"/>
      <c r="D137" s="862"/>
      <c r="E137" s="862"/>
      <c r="F137" s="862"/>
      <c r="G137" s="862"/>
      <c r="H137" s="862"/>
    </row>
    <row r="138" spans="1:8" x14ac:dyDescent="0.2">
      <c r="A138" s="862" t="s">
        <v>651</v>
      </c>
      <c r="B138" s="862"/>
      <c r="C138" s="862"/>
      <c r="D138" s="862"/>
      <c r="E138" s="862"/>
      <c r="F138" s="862"/>
      <c r="G138" s="862"/>
      <c r="H138" s="862"/>
    </row>
    <row r="139" spans="1:8" x14ac:dyDescent="0.2">
      <c r="A139" s="862" t="s">
        <v>652</v>
      </c>
      <c r="B139" s="862"/>
      <c r="C139" s="862"/>
      <c r="D139" s="862"/>
      <c r="E139" s="862"/>
      <c r="F139" s="862"/>
      <c r="G139" s="862"/>
      <c r="H139" s="862"/>
    </row>
    <row r="140" spans="1:8" x14ac:dyDescent="0.2">
      <c r="A140" s="861"/>
      <c r="B140" s="861"/>
      <c r="C140" s="861"/>
      <c r="D140" s="861"/>
      <c r="E140" s="861"/>
      <c r="F140" s="861"/>
      <c r="G140" s="861"/>
      <c r="H140" s="861"/>
    </row>
    <row r="141" spans="1:8" ht="15.75" x14ac:dyDescent="0.2">
      <c r="A141" s="863" t="s">
        <v>457</v>
      </c>
      <c r="B141" s="861"/>
      <c r="C141" s="861"/>
      <c r="D141" s="861"/>
      <c r="E141" s="861"/>
      <c r="F141" s="861"/>
      <c r="G141" s="861"/>
      <c r="H141" s="861"/>
    </row>
    <row r="142" spans="1:8" x14ac:dyDescent="0.2">
      <c r="A142" s="861"/>
      <c r="B142" s="861"/>
      <c r="C142" s="861"/>
      <c r="D142" s="861"/>
      <c r="E142" s="861"/>
      <c r="F142" s="861"/>
      <c r="G142" s="861"/>
      <c r="H142" s="861"/>
    </row>
    <row r="143" spans="1:8" x14ac:dyDescent="0.2">
      <c r="A143" s="862" t="s">
        <v>647</v>
      </c>
      <c r="B143" s="861"/>
      <c r="C143" s="861"/>
      <c r="D143" s="861"/>
      <c r="E143" s="861"/>
      <c r="F143" s="861"/>
      <c r="G143" s="861"/>
      <c r="H143" s="861"/>
    </row>
    <row r="144" spans="1:8" x14ac:dyDescent="0.2">
      <c r="A144" s="862" t="s">
        <v>648</v>
      </c>
      <c r="B144" s="861"/>
      <c r="C144" s="861"/>
      <c r="D144" s="861"/>
      <c r="E144" s="861"/>
      <c r="F144" s="861"/>
      <c r="G144" s="861"/>
      <c r="H144" s="861"/>
    </row>
    <row r="145" spans="1:8" x14ac:dyDescent="0.2">
      <c r="A145" s="861"/>
      <c r="B145" s="861"/>
      <c r="C145" s="861"/>
      <c r="D145" s="861"/>
      <c r="E145" s="861"/>
      <c r="F145" s="861"/>
      <c r="G145" s="861"/>
      <c r="H145" s="861"/>
    </row>
    <row r="146" spans="1:8" x14ac:dyDescent="0.2">
      <c r="A146" s="862" t="s">
        <v>644</v>
      </c>
      <c r="B146" s="861"/>
      <c r="C146" s="861"/>
      <c r="D146" s="861"/>
      <c r="E146" s="861"/>
      <c r="F146" s="861"/>
      <c r="G146" s="861"/>
      <c r="H146" s="861"/>
    </row>
    <row r="147" spans="1:8" x14ac:dyDescent="0.2">
      <c r="A147" s="862" t="s">
        <v>645</v>
      </c>
      <c r="B147" s="861"/>
      <c r="C147" s="861"/>
      <c r="D147" s="861"/>
      <c r="E147" s="861"/>
      <c r="F147" s="861"/>
      <c r="G147" s="861"/>
      <c r="H147" s="861"/>
    </row>
    <row r="148" spans="1:8" x14ac:dyDescent="0.2">
      <c r="A148" s="862" t="s">
        <v>646</v>
      </c>
      <c r="B148" s="861"/>
      <c r="C148" s="861"/>
      <c r="D148" s="861"/>
      <c r="E148" s="861"/>
      <c r="F148" s="861"/>
      <c r="G148" s="861"/>
      <c r="H148" s="861"/>
    </row>
    <row r="149" spans="1:8" x14ac:dyDescent="0.2">
      <c r="A149" s="861"/>
      <c r="B149" s="861"/>
      <c r="C149" s="861"/>
      <c r="D149" s="861"/>
      <c r="E149" s="861"/>
      <c r="F149" s="861"/>
      <c r="G149" s="861"/>
      <c r="H149" s="861"/>
    </row>
    <row r="150" spans="1:8" x14ac:dyDescent="0.2">
      <c r="A150" s="862" t="s">
        <v>641</v>
      </c>
      <c r="B150" s="861"/>
      <c r="C150" s="861"/>
      <c r="D150" s="861"/>
      <c r="E150" s="861"/>
      <c r="F150" s="861"/>
      <c r="G150" s="861"/>
      <c r="H150" s="861"/>
    </row>
    <row r="151" spans="1:8" x14ac:dyDescent="0.2">
      <c r="A151" s="862" t="s">
        <v>642</v>
      </c>
      <c r="B151" s="861"/>
      <c r="C151" s="861"/>
      <c r="D151" s="861"/>
      <c r="E151" s="861"/>
      <c r="F151" s="861"/>
      <c r="G151" s="861"/>
      <c r="H151" s="861"/>
    </row>
    <row r="152" spans="1:8" x14ac:dyDescent="0.2">
      <c r="A152" s="862" t="s">
        <v>643</v>
      </c>
      <c r="B152" s="861"/>
      <c r="C152" s="861"/>
      <c r="D152" s="861"/>
      <c r="E152" s="861"/>
      <c r="F152" s="861"/>
      <c r="G152" s="861"/>
      <c r="H152" s="861"/>
    </row>
    <row r="153" spans="1:8" x14ac:dyDescent="0.2">
      <c r="A153" s="861"/>
      <c r="B153" s="861"/>
      <c r="C153" s="861"/>
      <c r="D153" s="861"/>
      <c r="E153" s="861"/>
      <c r="F153" s="861"/>
      <c r="G153" s="861"/>
      <c r="H153" s="861"/>
    </row>
    <row r="154" spans="1:8" x14ac:dyDescent="0.2">
      <c r="A154" s="862" t="s">
        <v>638</v>
      </c>
      <c r="B154" s="861"/>
      <c r="C154" s="861"/>
      <c r="D154" s="861"/>
      <c r="E154" s="861"/>
      <c r="F154" s="861"/>
      <c r="G154" s="861"/>
      <c r="H154" s="861"/>
    </row>
    <row r="155" spans="1:8" x14ac:dyDescent="0.2">
      <c r="A155" s="862" t="s">
        <v>639</v>
      </c>
      <c r="B155" s="861"/>
      <c r="C155" s="861"/>
      <c r="D155" s="861"/>
      <c r="E155" s="861"/>
      <c r="F155" s="861"/>
      <c r="G155" s="861"/>
      <c r="H155" s="861"/>
    </row>
    <row r="156" spans="1:8" x14ac:dyDescent="0.2">
      <c r="A156" s="862" t="s">
        <v>640</v>
      </c>
      <c r="B156" s="861"/>
      <c r="C156" s="861"/>
      <c r="D156" s="861"/>
      <c r="E156" s="861"/>
      <c r="F156" s="861"/>
      <c r="G156" s="861"/>
      <c r="H156" s="861"/>
    </row>
    <row r="157" spans="1:8" x14ac:dyDescent="0.2">
      <c r="A157" s="861"/>
      <c r="B157" s="861"/>
      <c r="C157" s="861"/>
      <c r="D157" s="861"/>
      <c r="E157" s="861"/>
      <c r="F157" s="861"/>
      <c r="G157" s="861"/>
      <c r="H157" s="861"/>
    </row>
    <row r="158" spans="1:8" x14ac:dyDescent="0.2">
      <c r="A158" s="862" t="s">
        <v>636</v>
      </c>
      <c r="B158" s="861"/>
      <c r="C158" s="861"/>
      <c r="D158" s="861"/>
      <c r="E158" s="861"/>
      <c r="F158" s="861"/>
      <c r="G158" s="861"/>
      <c r="H158" s="861"/>
    </row>
    <row r="159" spans="1:8" x14ac:dyDescent="0.2">
      <c r="A159" s="862" t="s">
        <v>637</v>
      </c>
      <c r="B159" s="861"/>
      <c r="C159" s="861"/>
      <c r="D159" s="861"/>
      <c r="E159" s="861"/>
      <c r="F159" s="861"/>
      <c r="G159" s="861"/>
      <c r="H159" s="861"/>
    </row>
    <row r="160" spans="1:8" x14ac:dyDescent="0.2">
      <c r="A160" s="861"/>
      <c r="B160" s="861"/>
      <c r="C160" s="861"/>
      <c r="D160" s="861"/>
      <c r="E160" s="861"/>
      <c r="F160" s="861"/>
      <c r="G160" s="861"/>
      <c r="H160" s="861"/>
    </row>
    <row r="161" spans="1:8" ht="15.75" x14ac:dyDescent="0.2">
      <c r="A161" s="863" t="s">
        <v>458</v>
      </c>
      <c r="B161" s="861"/>
      <c r="C161" s="861"/>
      <c r="D161" s="861"/>
      <c r="E161" s="861"/>
      <c r="F161" s="861"/>
      <c r="G161" s="861"/>
      <c r="H161" s="861"/>
    </row>
    <row r="162" spans="1:8" x14ac:dyDescent="0.2">
      <c r="A162" s="861"/>
      <c r="B162" s="861"/>
      <c r="C162" s="861"/>
      <c r="D162" s="861"/>
      <c r="E162" s="861"/>
      <c r="F162" s="861"/>
      <c r="G162" s="861"/>
      <c r="H162" s="861"/>
    </row>
    <row r="163" spans="1:8" x14ac:dyDescent="0.2">
      <c r="A163" s="862" t="s">
        <v>634</v>
      </c>
      <c r="B163" s="861"/>
      <c r="C163" s="861"/>
      <c r="D163" s="861"/>
      <c r="E163" s="861"/>
      <c r="F163" s="861"/>
      <c r="G163" s="861"/>
      <c r="H163" s="861"/>
    </row>
    <row r="164" spans="1:8" x14ac:dyDescent="0.2">
      <c r="A164" s="862" t="s">
        <v>635</v>
      </c>
      <c r="B164" s="861"/>
      <c r="C164" s="861"/>
      <c r="D164" s="861"/>
      <c r="E164" s="861"/>
      <c r="F164" s="861"/>
      <c r="G164" s="861"/>
      <c r="H164" s="861"/>
    </row>
    <row r="165" spans="1:8" x14ac:dyDescent="0.2">
      <c r="A165" s="861"/>
      <c r="B165" s="861"/>
      <c r="C165" s="861"/>
      <c r="D165" s="861"/>
      <c r="E165" s="861"/>
      <c r="F165" s="861"/>
      <c r="G165" s="861"/>
      <c r="H165" s="861"/>
    </row>
    <row r="166" spans="1:8" x14ac:dyDescent="0.2">
      <c r="A166" s="862" t="s">
        <v>632</v>
      </c>
      <c r="B166" s="861"/>
      <c r="C166" s="861"/>
      <c r="D166" s="861"/>
      <c r="E166" s="861"/>
      <c r="F166" s="861"/>
      <c r="G166" s="861"/>
      <c r="H166" s="861"/>
    </row>
    <row r="167" spans="1:8" x14ac:dyDescent="0.2">
      <c r="A167" s="862" t="s">
        <v>633</v>
      </c>
      <c r="B167" s="861"/>
      <c r="C167" s="861"/>
      <c r="D167" s="861"/>
      <c r="E167" s="861"/>
      <c r="F167" s="861"/>
      <c r="G167" s="861"/>
      <c r="H167" s="861"/>
    </row>
    <row r="168" spans="1:8" x14ac:dyDescent="0.2">
      <c r="A168" s="861"/>
      <c r="B168" s="861"/>
      <c r="C168" s="861"/>
      <c r="D168" s="861"/>
      <c r="E168" s="861"/>
      <c r="F168" s="861"/>
      <c r="G168" s="861"/>
      <c r="H168" s="861"/>
    </row>
    <row r="169" spans="1:8" x14ac:dyDescent="0.2">
      <c r="A169" s="862" t="s">
        <v>630</v>
      </c>
      <c r="B169" s="861"/>
      <c r="C169" s="861"/>
      <c r="D169" s="861"/>
      <c r="E169" s="861"/>
      <c r="F169" s="861"/>
      <c r="G169" s="861"/>
      <c r="H169" s="861"/>
    </row>
    <row r="170" spans="1:8" x14ac:dyDescent="0.2">
      <c r="A170" s="862" t="s">
        <v>631</v>
      </c>
      <c r="B170" s="861"/>
      <c r="C170" s="861"/>
      <c r="D170" s="861"/>
      <c r="E170" s="861"/>
      <c r="F170" s="861"/>
      <c r="G170" s="861"/>
      <c r="H170" s="861"/>
    </row>
    <row r="171" spans="1:8" x14ac:dyDescent="0.2">
      <c r="A171" s="861"/>
      <c r="B171" s="861"/>
      <c r="C171" s="861"/>
      <c r="D171" s="861"/>
      <c r="E171" s="861"/>
      <c r="F171" s="861"/>
      <c r="G171" s="861"/>
      <c r="H171" s="861"/>
    </row>
    <row r="172" spans="1:8" x14ac:dyDescent="0.2">
      <c r="A172" s="862" t="s">
        <v>627</v>
      </c>
      <c r="B172" s="861"/>
      <c r="C172" s="861"/>
      <c r="D172" s="861"/>
      <c r="E172" s="861"/>
      <c r="F172" s="861"/>
      <c r="G172" s="861"/>
      <c r="H172" s="861"/>
    </row>
    <row r="173" spans="1:8" x14ac:dyDescent="0.2">
      <c r="A173" s="862" t="s">
        <v>628</v>
      </c>
      <c r="B173" s="861"/>
      <c r="C173" s="861"/>
      <c r="D173" s="861"/>
      <c r="E173" s="861"/>
      <c r="F173" s="861"/>
      <c r="G173" s="861"/>
      <c r="H173" s="861"/>
    </row>
    <row r="174" spans="1:8" x14ac:dyDescent="0.2">
      <c r="A174" s="862" t="s">
        <v>629</v>
      </c>
      <c r="B174" s="861"/>
      <c r="C174" s="861"/>
      <c r="D174" s="861"/>
      <c r="E174" s="861"/>
      <c r="F174" s="861"/>
      <c r="G174" s="861"/>
      <c r="H174" s="861"/>
    </row>
    <row r="175" spans="1:8" x14ac:dyDescent="0.2">
      <c r="A175" s="861"/>
      <c r="B175" s="861"/>
      <c r="C175" s="861"/>
      <c r="D175" s="861"/>
      <c r="E175" s="861"/>
      <c r="F175" s="861"/>
      <c r="G175" s="861"/>
      <c r="H175" s="861"/>
    </row>
    <row r="176" spans="1:8" x14ac:dyDescent="0.2">
      <c r="A176" s="861"/>
      <c r="B176" s="861"/>
      <c r="C176" s="861"/>
      <c r="D176" s="861"/>
      <c r="E176" s="861"/>
      <c r="F176" s="861"/>
      <c r="G176" s="861"/>
      <c r="H176" s="861"/>
    </row>
    <row r="177" spans="1:8" x14ac:dyDescent="0.2">
      <c r="A177" s="862" t="s">
        <v>459</v>
      </c>
      <c r="B177" s="861"/>
      <c r="C177" s="861"/>
      <c r="D177" s="861"/>
      <c r="E177" s="861"/>
      <c r="F177" s="861"/>
      <c r="G177" s="861"/>
      <c r="H177" s="861"/>
    </row>
    <row r="178" spans="1:8" x14ac:dyDescent="0.2">
      <c r="A178" s="861"/>
      <c r="B178" s="861"/>
      <c r="C178" s="861"/>
      <c r="D178" s="861"/>
      <c r="E178" s="861"/>
      <c r="F178" s="861"/>
      <c r="G178" s="861"/>
      <c r="H178" s="861"/>
    </row>
    <row r="179" spans="1:8" ht="15.75" x14ac:dyDescent="0.2">
      <c r="A179" s="863" t="s">
        <v>460</v>
      </c>
      <c r="B179" s="861"/>
      <c r="C179" s="861"/>
      <c r="D179" s="861"/>
      <c r="E179" s="861"/>
      <c r="F179" s="861"/>
      <c r="G179" s="861"/>
      <c r="H179" s="861"/>
    </row>
    <row r="180" spans="1:8" x14ac:dyDescent="0.2">
      <c r="A180" s="861"/>
      <c r="B180" s="861"/>
      <c r="C180" s="861"/>
      <c r="D180" s="861"/>
      <c r="E180" s="861"/>
      <c r="F180" s="861"/>
      <c r="G180" s="861"/>
      <c r="H180" s="861"/>
    </row>
    <row r="181" spans="1:8" x14ac:dyDescent="0.2">
      <c r="A181" s="861"/>
      <c r="B181" s="861"/>
      <c r="C181" s="861"/>
      <c r="D181" s="861"/>
      <c r="E181" s="861"/>
      <c r="F181" s="861"/>
      <c r="G181" s="861"/>
      <c r="H181" s="861"/>
    </row>
    <row r="182" spans="1:8" x14ac:dyDescent="0.2">
      <c r="A182" s="861"/>
      <c r="B182" s="861"/>
      <c r="C182" s="861"/>
      <c r="D182" s="861"/>
      <c r="E182" s="861"/>
      <c r="F182" s="861"/>
      <c r="G182" s="861"/>
      <c r="H182" s="861"/>
    </row>
    <row r="183" spans="1:8" x14ac:dyDescent="0.2">
      <c r="A183" s="861"/>
      <c r="B183" s="861"/>
      <c r="C183" s="861"/>
      <c r="D183" s="861"/>
      <c r="E183" s="861"/>
      <c r="F183" s="861"/>
      <c r="G183" s="861"/>
      <c r="H183" s="861"/>
    </row>
    <row r="184" spans="1:8" x14ac:dyDescent="0.2">
      <c r="A184" s="861"/>
      <c r="B184" s="861"/>
      <c r="C184" s="861"/>
      <c r="D184" s="861"/>
      <c r="E184" s="861"/>
      <c r="F184" s="861"/>
      <c r="G184" s="861"/>
      <c r="H184" s="861"/>
    </row>
    <row r="185" spans="1:8" x14ac:dyDescent="0.2">
      <c r="A185" s="861"/>
      <c r="B185" s="861"/>
      <c r="C185" s="861"/>
      <c r="D185" s="861"/>
      <c r="E185" s="861"/>
      <c r="F185" s="861"/>
      <c r="G185" s="861"/>
      <c r="H185" s="861"/>
    </row>
    <row r="186" spans="1:8" x14ac:dyDescent="0.2">
      <c r="A186" s="861"/>
      <c r="B186" s="861"/>
      <c r="C186" s="861"/>
      <c r="D186" s="861"/>
      <c r="E186" s="861"/>
      <c r="F186" s="861"/>
      <c r="G186" s="861"/>
      <c r="H186" s="861"/>
    </row>
    <row r="187" spans="1:8" x14ac:dyDescent="0.2">
      <c r="A187" s="861"/>
      <c r="B187" s="861"/>
      <c r="C187" s="861"/>
      <c r="D187" s="861"/>
      <c r="E187" s="861"/>
      <c r="F187" s="861"/>
      <c r="G187" s="861"/>
      <c r="H187" s="861"/>
    </row>
    <row r="188" spans="1:8" x14ac:dyDescent="0.2">
      <c r="A188" s="861"/>
      <c r="B188" s="861"/>
      <c r="C188" s="861"/>
      <c r="D188" s="861"/>
      <c r="E188" s="861"/>
      <c r="F188" s="861"/>
      <c r="G188" s="861"/>
      <c r="H188" s="861"/>
    </row>
    <row r="189" spans="1:8" x14ac:dyDescent="0.2">
      <c r="A189" s="861"/>
      <c r="B189" s="861"/>
      <c r="C189" s="861"/>
      <c r="D189" s="861"/>
      <c r="E189" s="861"/>
      <c r="F189" s="861"/>
      <c r="G189" s="861"/>
      <c r="H189" s="861"/>
    </row>
    <row r="190" spans="1:8" x14ac:dyDescent="0.2">
      <c r="A190" s="861"/>
      <c r="B190" s="861"/>
      <c r="C190" s="861"/>
      <c r="D190" s="861"/>
      <c r="E190" s="861"/>
      <c r="F190" s="861"/>
      <c r="G190" s="861"/>
      <c r="H190" s="861"/>
    </row>
    <row r="191" spans="1:8" x14ac:dyDescent="0.2">
      <c r="A191" s="861"/>
      <c r="B191" s="861"/>
      <c r="C191" s="861"/>
      <c r="D191" s="861"/>
      <c r="E191" s="861"/>
      <c r="F191" s="861"/>
      <c r="G191" s="861"/>
      <c r="H191" s="861"/>
    </row>
    <row r="192" spans="1:8" x14ac:dyDescent="0.2">
      <c r="A192" s="861"/>
      <c r="B192" s="861"/>
      <c r="C192" s="861"/>
      <c r="D192" s="861"/>
      <c r="E192" s="861"/>
      <c r="F192" s="861"/>
      <c r="G192" s="861"/>
      <c r="H192" s="861"/>
    </row>
    <row r="193" spans="1:8" x14ac:dyDescent="0.2">
      <c r="A193" s="861"/>
      <c r="B193" s="861"/>
      <c r="C193" s="861"/>
      <c r="D193" s="861"/>
      <c r="E193" s="861"/>
      <c r="F193" s="861"/>
      <c r="G193" s="861"/>
      <c r="H193" s="861"/>
    </row>
    <row r="194" spans="1:8" x14ac:dyDescent="0.2">
      <c r="A194" s="861"/>
      <c r="B194" s="861"/>
      <c r="C194" s="861"/>
      <c r="D194" s="861"/>
      <c r="E194" s="861"/>
      <c r="F194" s="861"/>
      <c r="G194" s="861"/>
      <c r="H194" s="861"/>
    </row>
    <row r="195" spans="1:8" x14ac:dyDescent="0.2">
      <c r="A195" s="861"/>
      <c r="B195" s="861"/>
      <c r="C195" s="861"/>
      <c r="D195" s="861"/>
      <c r="E195" s="861"/>
      <c r="F195" s="861"/>
      <c r="G195" s="861"/>
      <c r="H195" s="861"/>
    </row>
    <row r="196" spans="1:8" x14ac:dyDescent="0.2">
      <c r="A196" s="861"/>
      <c r="B196" s="861"/>
      <c r="C196" s="861"/>
      <c r="D196" s="861"/>
      <c r="E196" s="861"/>
      <c r="F196" s="861"/>
      <c r="G196" s="861"/>
      <c r="H196" s="861"/>
    </row>
    <row r="197" spans="1:8" x14ac:dyDescent="0.2">
      <c r="A197" s="861"/>
      <c r="B197" s="861"/>
      <c r="C197" s="861"/>
      <c r="D197" s="861"/>
      <c r="E197" s="861"/>
      <c r="F197" s="861"/>
      <c r="G197" s="861"/>
      <c r="H197" s="861"/>
    </row>
    <row r="198" spans="1:8" x14ac:dyDescent="0.2">
      <c r="A198" s="861"/>
      <c r="B198" s="861"/>
      <c r="C198" s="861"/>
      <c r="D198" s="861"/>
      <c r="E198" s="861"/>
      <c r="F198" s="861"/>
      <c r="G198" s="861"/>
      <c r="H198" s="861"/>
    </row>
    <row r="199" spans="1:8" x14ac:dyDescent="0.2">
      <c r="A199" s="861"/>
      <c r="B199" s="861"/>
      <c r="C199" s="861"/>
      <c r="D199" s="861"/>
      <c r="E199" s="861"/>
      <c r="F199" s="861"/>
      <c r="G199" s="861"/>
      <c r="H199" s="861"/>
    </row>
    <row r="200" spans="1:8" x14ac:dyDescent="0.2">
      <c r="A200" s="861"/>
      <c r="B200" s="861"/>
      <c r="C200" s="861"/>
      <c r="D200" s="861"/>
      <c r="E200" s="861"/>
      <c r="F200" s="861"/>
      <c r="G200" s="861"/>
      <c r="H200" s="861"/>
    </row>
    <row r="201" spans="1:8" x14ac:dyDescent="0.2">
      <c r="A201" s="861"/>
      <c r="B201" s="861"/>
      <c r="C201" s="861"/>
      <c r="D201" s="861"/>
      <c r="E201" s="861"/>
      <c r="F201" s="861"/>
      <c r="G201" s="861"/>
      <c r="H201" s="861"/>
    </row>
    <row r="202" spans="1:8" x14ac:dyDescent="0.2">
      <c r="A202" s="861"/>
      <c r="B202" s="861"/>
      <c r="C202" s="861"/>
      <c r="D202" s="861"/>
      <c r="E202" s="861"/>
      <c r="F202" s="861"/>
      <c r="G202" s="861"/>
      <c r="H202" s="861"/>
    </row>
    <row r="203" spans="1:8" x14ac:dyDescent="0.2">
      <c r="A203" s="861"/>
      <c r="B203" s="861"/>
      <c r="C203" s="861"/>
      <c r="D203" s="861"/>
      <c r="E203" s="861"/>
      <c r="F203" s="861"/>
      <c r="G203" s="861"/>
      <c r="H203" s="861"/>
    </row>
    <row r="204" spans="1:8" x14ac:dyDescent="0.2">
      <c r="A204" s="861"/>
      <c r="B204" s="861"/>
      <c r="C204" s="861"/>
      <c r="D204" s="861"/>
      <c r="E204" s="861"/>
      <c r="F204" s="861"/>
      <c r="G204" s="861"/>
      <c r="H204" s="861"/>
    </row>
    <row r="205" spans="1:8" x14ac:dyDescent="0.2">
      <c r="A205" s="861"/>
      <c r="B205" s="861"/>
      <c r="C205" s="861"/>
      <c r="D205" s="861"/>
      <c r="E205" s="861"/>
      <c r="F205" s="861"/>
      <c r="G205" s="861"/>
      <c r="H205" s="861"/>
    </row>
    <row r="206" spans="1:8" ht="15.75" x14ac:dyDescent="0.2">
      <c r="A206" s="863" t="s">
        <v>461</v>
      </c>
      <c r="B206" s="861"/>
      <c r="C206" s="861"/>
      <c r="D206" s="861"/>
      <c r="E206" s="861"/>
      <c r="F206" s="861"/>
      <c r="G206" s="861"/>
      <c r="H206" s="861"/>
    </row>
    <row r="207" spans="1:8" x14ac:dyDescent="0.2">
      <c r="A207" s="861"/>
      <c r="B207" s="861"/>
      <c r="C207" s="861"/>
      <c r="D207" s="861"/>
      <c r="E207" s="861"/>
      <c r="F207" s="861"/>
      <c r="G207" s="861"/>
      <c r="H207" s="861"/>
    </row>
    <row r="208" spans="1:8" x14ac:dyDescent="0.2">
      <c r="A208" s="862" t="s">
        <v>622</v>
      </c>
      <c r="B208" s="861"/>
      <c r="C208" s="861"/>
      <c r="D208" s="861"/>
      <c r="E208" s="861"/>
      <c r="F208" s="861"/>
      <c r="G208" s="861"/>
      <c r="H208" s="861"/>
    </row>
    <row r="209" spans="1:8" x14ac:dyDescent="0.2">
      <c r="A209" s="862" t="s">
        <v>623</v>
      </c>
      <c r="B209" s="861"/>
      <c r="C209" s="861"/>
      <c r="D209" s="861"/>
      <c r="E209" s="861"/>
      <c r="F209" s="861"/>
      <c r="G209" s="861"/>
      <c r="H209" s="861"/>
    </row>
    <row r="210" spans="1:8" x14ac:dyDescent="0.2">
      <c r="A210" s="862" t="s">
        <v>624</v>
      </c>
      <c r="B210" s="861"/>
      <c r="C210" s="861"/>
      <c r="D210" s="861"/>
      <c r="E210" s="861"/>
      <c r="F210" s="861"/>
      <c r="G210" s="861"/>
      <c r="H210" s="861"/>
    </row>
    <row r="211" spans="1:8" x14ac:dyDescent="0.2">
      <c r="A211" s="862" t="s">
        <v>625</v>
      </c>
      <c r="B211" s="861"/>
      <c r="C211" s="861"/>
      <c r="D211" s="861"/>
      <c r="E211" s="861"/>
      <c r="F211" s="861"/>
      <c r="G211" s="861"/>
      <c r="H211" s="861"/>
    </row>
    <row r="212" spans="1:8" x14ac:dyDescent="0.2">
      <c r="A212" s="862" t="s">
        <v>626</v>
      </c>
      <c r="B212" s="861"/>
      <c r="C212" s="861"/>
      <c r="D212" s="861"/>
      <c r="E212" s="861"/>
      <c r="F212" s="861"/>
      <c r="G212" s="861"/>
      <c r="H212" s="861"/>
    </row>
    <row r="213" spans="1:8" x14ac:dyDescent="0.2">
      <c r="A213" s="861"/>
      <c r="B213" s="861"/>
      <c r="C213" s="861"/>
      <c r="D213" s="861"/>
      <c r="E213" s="861"/>
      <c r="F213" s="861"/>
      <c r="G213" s="861"/>
      <c r="H213" s="861"/>
    </row>
    <row r="214" spans="1:8" x14ac:dyDescent="0.2">
      <c r="A214" s="862" t="s">
        <v>619</v>
      </c>
      <c r="B214" s="861"/>
      <c r="C214" s="861"/>
      <c r="D214" s="861"/>
      <c r="E214" s="861"/>
      <c r="F214" s="861"/>
      <c r="G214" s="861"/>
      <c r="H214" s="861"/>
    </row>
    <row r="215" spans="1:8" x14ac:dyDescent="0.2">
      <c r="A215" s="862" t="s">
        <v>620</v>
      </c>
      <c r="B215" s="861"/>
      <c r="C215" s="861"/>
      <c r="D215" s="861"/>
      <c r="E215" s="861"/>
      <c r="F215" s="861"/>
      <c r="G215" s="861"/>
      <c r="H215" s="861"/>
    </row>
    <row r="216" spans="1:8" x14ac:dyDescent="0.2">
      <c r="A216" s="862" t="s">
        <v>621</v>
      </c>
      <c r="B216" s="861"/>
      <c r="C216" s="861"/>
      <c r="D216" s="861"/>
      <c r="E216" s="861"/>
      <c r="F216" s="861"/>
      <c r="G216" s="861"/>
      <c r="H216" s="861"/>
    </row>
    <row r="217" spans="1:8" ht="15.75" x14ac:dyDescent="0.2">
      <c r="A217" s="863" t="s">
        <v>462</v>
      </c>
      <c r="B217" s="861"/>
      <c r="C217" s="861"/>
      <c r="D217" s="861"/>
      <c r="E217" s="861"/>
      <c r="F217" s="861"/>
      <c r="G217" s="861"/>
      <c r="H217" s="861"/>
    </row>
    <row r="218" spans="1:8" x14ac:dyDescent="0.2">
      <c r="A218" s="861"/>
      <c r="B218" s="861"/>
      <c r="C218" s="861"/>
      <c r="D218" s="861"/>
      <c r="E218" s="861"/>
      <c r="F218" s="861"/>
      <c r="G218" s="861"/>
      <c r="H218" s="861"/>
    </row>
    <row r="219" spans="1:8" x14ac:dyDescent="0.2">
      <c r="A219" s="862" t="s">
        <v>617</v>
      </c>
      <c r="B219" s="861"/>
      <c r="C219" s="861"/>
      <c r="D219" s="861"/>
      <c r="E219" s="861"/>
      <c r="F219" s="861"/>
      <c r="G219" s="861"/>
      <c r="H219" s="861"/>
    </row>
    <row r="220" spans="1:8" x14ac:dyDescent="0.2">
      <c r="A220" s="862" t="s">
        <v>618</v>
      </c>
      <c r="B220" s="861"/>
      <c r="C220" s="861"/>
      <c r="D220" s="861"/>
      <c r="E220" s="861"/>
      <c r="F220" s="861"/>
      <c r="G220" s="861"/>
      <c r="H220" s="861"/>
    </row>
    <row r="221" spans="1:8" x14ac:dyDescent="0.2">
      <c r="A221" s="861"/>
      <c r="B221" s="861"/>
      <c r="C221" s="861"/>
      <c r="D221" s="861"/>
      <c r="E221" s="861"/>
      <c r="F221" s="861"/>
      <c r="G221" s="861"/>
      <c r="H221" s="861"/>
    </row>
    <row r="222" spans="1:8" x14ac:dyDescent="0.2">
      <c r="A222" s="862" t="s">
        <v>610</v>
      </c>
      <c r="B222" s="861"/>
      <c r="C222" s="861"/>
      <c r="D222" s="861"/>
      <c r="E222" s="861"/>
      <c r="F222" s="861"/>
      <c r="G222" s="861"/>
      <c r="H222" s="861"/>
    </row>
    <row r="223" spans="1:8" x14ac:dyDescent="0.2">
      <c r="A223" s="862" t="s">
        <v>611</v>
      </c>
      <c r="B223" s="861"/>
      <c r="C223" s="861"/>
      <c r="D223" s="861"/>
      <c r="E223" s="861"/>
      <c r="F223" s="861"/>
      <c r="G223" s="861"/>
      <c r="H223" s="861"/>
    </row>
    <row r="224" spans="1:8" x14ac:dyDescent="0.2">
      <c r="A224" s="862" t="s">
        <v>612</v>
      </c>
      <c r="B224" s="861"/>
      <c r="C224" s="861"/>
      <c r="D224" s="861"/>
      <c r="E224" s="861"/>
      <c r="F224" s="861"/>
      <c r="G224" s="861"/>
      <c r="H224" s="861"/>
    </row>
    <row r="225" spans="1:8" x14ac:dyDescent="0.2">
      <c r="A225" s="862" t="s">
        <v>613</v>
      </c>
      <c r="B225" s="861"/>
      <c r="C225" s="861"/>
      <c r="D225" s="861"/>
      <c r="E225" s="861"/>
      <c r="F225" s="861"/>
      <c r="G225" s="861"/>
      <c r="H225" s="861"/>
    </row>
    <row r="226" spans="1:8" x14ac:dyDescent="0.2">
      <c r="A226" s="862" t="s">
        <v>614</v>
      </c>
      <c r="B226" s="861"/>
      <c r="C226" s="861"/>
      <c r="D226" s="861"/>
      <c r="E226" s="861"/>
      <c r="F226" s="861"/>
      <c r="G226" s="861"/>
      <c r="H226" s="861"/>
    </row>
    <row r="227" spans="1:8" x14ac:dyDescent="0.2">
      <c r="A227" s="862" t="s">
        <v>615</v>
      </c>
      <c r="B227" s="861"/>
      <c r="C227" s="861"/>
      <c r="D227" s="861"/>
      <c r="E227" s="861"/>
      <c r="F227" s="861"/>
      <c r="G227" s="861"/>
      <c r="H227" s="861"/>
    </row>
    <row r="228" spans="1:8" x14ac:dyDescent="0.2">
      <c r="A228" s="862" t="s">
        <v>616</v>
      </c>
      <c r="B228" s="861"/>
      <c r="C228" s="861"/>
      <c r="D228" s="861"/>
      <c r="E228" s="861"/>
      <c r="F228" s="861"/>
      <c r="G228" s="861"/>
      <c r="H228" s="861"/>
    </row>
    <row r="229" spans="1:8" x14ac:dyDescent="0.2">
      <c r="A229" s="861"/>
      <c r="B229" s="861"/>
      <c r="C229" s="861"/>
      <c r="D229" s="861"/>
      <c r="E229" s="861"/>
      <c r="F229" s="861"/>
      <c r="G229" s="861"/>
      <c r="H229" s="861"/>
    </row>
    <row r="230" spans="1:8" x14ac:dyDescent="0.2">
      <c r="A230" s="862" t="s">
        <v>607</v>
      </c>
      <c r="B230" s="861"/>
      <c r="C230" s="861"/>
      <c r="D230" s="861"/>
      <c r="E230" s="861"/>
      <c r="F230" s="861"/>
      <c r="G230" s="861"/>
      <c r="H230" s="861"/>
    </row>
    <row r="231" spans="1:8" x14ac:dyDescent="0.2">
      <c r="A231" s="862" t="s">
        <v>608</v>
      </c>
      <c r="B231" s="861"/>
      <c r="C231" s="861"/>
      <c r="D231" s="861"/>
      <c r="E231" s="861"/>
      <c r="F231" s="861"/>
      <c r="G231" s="861"/>
      <c r="H231" s="861"/>
    </row>
    <row r="232" spans="1:8" x14ac:dyDescent="0.2">
      <c r="A232" s="862" t="s">
        <v>609</v>
      </c>
      <c r="B232" s="861"/>
      <c r="C232" s="861"/>
      <c r="D232" s="861"/>
      <c r="E232" s="861"/>
      <c r="F232" s="861"/>
      <c r="G232" s="861"/>
      <c r="H232" s="861"/>
    </row>
    <row r="233" spans="1:8" x14ac:dyDescent="0.2">
      <c r="A233" s="861"/>
      <c r="B233" s="861"/>
      <c r="C233" s="861"/>
      <c r="D233" s="861"/>
      <c r="E233" s="861"/>
      <c r="F233" s="861"/>
      <c r="G233" s="861"/>
      <c r="H233" s="861"/>
    </row>
    <row r="234" spans="1:8" x14ac:dyDescent="0.2">
      <c r="A234" s="862" t="s">
        <v>602</v>
      </c>
      <c r="B234" s="861"/>
      <c r="C234" s="861"/>
      <c r="D234" s="861"/>
      <c r="E234" s="861"/>
      <c r="F234" s="861"/>
      <c r="G234" s="861"/>
      <c r="H234" s="861"/>
    </row>
    <row r="235" spans="1:8" x14ac:dyDescent="0.2">
      <c r="A235" s="862" t="s">
        <v>603</v>
      </c>
      <c r="B235" s="861"/>
      <c r="C235" s="861"/>
      <c r="D235" s="861"/>
      <c r="E235" s="861"/>
      <c r="F235" s="861"/>
      <c r="G235" s="861"/>
      <c r="H235" s="861"/>
    </row>
    <row r="236" spans="1:8" x14ac:dyDescent="0.2">
      <c r="A236" s="862" t="s">
        <v>604</v>
      </c>
      <c r="B236" s="861"/>
      <c r="C236" s="861"/>
      <c r="D236" s="861"/>
      <c r="E236" s="861"/>
      <c r="F236" s="861"/>
      <c r="G236" s="861"/>
      <c r="H236" s="861"/>
    </row>
    <row r="237" spans="1:8" x14ac:dyDescent="0.2">
      <c r="A237" s="862" t="s">
        <v>605</v>
      </c>
      <c r="B237" s="861"/>
      <c r="C237" s="861"/>
      <c r="D237" s="861"/>
      <c r="E237" s="861"/>
      <c r="F237" s="861"/>
      <c r="G237" s="861"/>
      <c r="H237" s="861"/>
    </row>
    <row r="238" spans="1:8" x14ac:dyDescent="0.2">
      <c r="A238" s="862" t="s">
        <v>606</v>
      </c>
      <c r="B238" s="861"/>
      <c r="C238" s="861"/>
      <c r="D238" s="861"/>
      <c r="E238" s="861"/>
      <c r="F238" s="861"/>
      <c r="G238" s="861"/>
      <c r="H238" s="861"/>
    </row>
    <row r="239" spans="1:8" x14ac:dyDescent="0.2">
      <c r="A239" s="861"/>
      <c r="B239" s="861"/>
      <c r="C239" s="861"/>
      <c r="D239" s="861"/>
      <c r="E239" s="861"/>
      <c r="F239" s="861"/>
      <c r="G239" s="861"/>
      <c r="H239" s="861"/>
    </row>
    <row r="240" spans="1:8" x14ac:dyDescent="0.2">
      <c r="A240" s="862" t="s">
        <v>596</v>
      </c>
      <c r="B240" s="861"/>
      <c r="C240" s="861"/>
      <c r="D240" s="861"/>
      <c r="E240" s="861"/>
      <c r="F240" s="861"/>
      <c r="G240" s="861"/>
      <c r="H240" s="861"/>
    </row>
    <row r="241" spans="1:8" x14ac:dyDescent="0.2">
      <c r="A241" s="862" t="s">
        <v>597</v>
      </c>
      <c r="B241" s="861"/>
      <c r="C241" s="861"/>
      <c r="D241" s="861"/>
      <c r="E241" s="861"/>
      <c r="F241" s="861"/>
      <c r="G241" s="861"/>
      <c r="H241" s="861"/>
    </row>
    <row r="242" spans="1:8" x14ac:dyDescent="0.2">
      <c r="A242" s="862" t="s">
        <v>598</v>
      </c>
      <c r="B242" s="861"/>
      <c r="C242" s="861"/>
      <c r="D242" s="861"/>
      <c r="E242" s="861"/>
      <c r="F242" s="861"/>
      <c r="G242" s="861"/>
      <c r="H242" s="861"/>
    </row>
    <row r="243" spans="1:8" x14ac:dyDescent="0.2">
      <c r="A243" s="862" t="s">
        <v>599</v>
      </c>
      <c r="B243" s="861"/>
      <c r="C243" s="861"/>
      <c r="D243" s="861"/>
      <c r="E243" s="861"/>
      <c r="F243" s="861"/>
      <c r="G243" s="861"/>
      <c r="H243" s="861"/>
    </row>
    <row r="244" spans="1:8" x14ac:dyDescent="0.2">
      <c r="A244" s="862" t="s">
        <v>600</v>
      </c>
      <c r="B244" s="861"/>
      <c r="C244" s="861"/>
      <c r="D244" s="861"/>
      <c r="E244" s="861"/>
      <c r="F244" s="861"/>
      <c r="G244" s="861"/>
      <c r="H244" s="861"/>
    </row>
    <row r="245" spans="1:8" x14ac:dyDescent="0.2">
      <c r="A245" s="862" t="s">
        <v>601</v>
      </c>
      <c r="B245" s="861"/>
      <c r="C245" s="861"/>
      <c r="D245" s="861"/>
      <c r="E245" s="861"/>
      <c r="F245" s="861"/>
      <c r="G245" s="861"/>
      <c r="H245" s="861"/>
    </row>
    <row r="246" spans="1:8" x14ac:dyDescent="0.2">
      <c r="A246" s="861"/>
      <c r="B246" s="861"/>
      <c r="C246" s="861"/>
      <c r="D246" s="861"/>
      <c r="E246" s="861"/>
      <c r="F246" s="861"/>
      <c r="G246" s="861"/>
      <c r="H246" s="861"/>
    </row>
    <row r="247" spans="1:8" x14ac:dyDescent="0.2">
      <c r="A247" s="862" t="s">
        <v>586</v>
      </c>
      <c r="B247" s="861"/>
      <c r="C247" s="861"/>
      <c r="D247" s="861"/>
      <c r="E247" s="861"/>
      <c r="F247" s="861"/>
      <c r="G247" s="861"/>
      <c r="H247" s="861"/>
    </row>
    <row r="248" spans="1:8" x14ac:dyDescent="0.2">
      <c r="A248" s="862" t="s">
        <v>587</v>
      </c>
      <c r="B248" s="861"/>
      <c r="C248" s="861"/>
      <c r="D248" s="861"/>
      <c r="E248" s="861"/>
      <c r="F248" s="861"/>
      <c r="G248" s="861"/>
      <c r="H248" s="861"/>
    </row>
    <row r="249" spans="1:8" x14ac:dyDescent="0.2">
      <c r="A249" s="862" t="s">
        <v>588</v>
      </c>
      <c r="B249" s="861"/>
      <c r="C249" s="861"/>
      <c r="D249" s="861"/>
      <c r="E249" s="861"/>
      <c r="F249" s="861"/>
      <c r="G249" s="861"/>
      <c r="H249" s="861"/>
    </row>
    <row r="250" spans="1:8" x14ac:dyDescent="0.2">
      <c r="A250" s="862" t="s">
        <v>589</v>
      </c>
      <c r="B250" s="861"/>
      <c r="C250" s="861"/>
      <c r="D250" s="861"/>
      <c r="E250" s="861"/>
      <c r="F250" s="861"/>
      <c r="G250" s="861"/>
      <c r="H250" s="861"/>
    </row>
    <row r="251" spans="1:8" x14ac:dyDescent="0.2">
      <c r="A251" s="862" t="s">
        <v>590</v>
      </c>
      <c r="B251" s="861"/>
      <c r="C251" s="861"/>
      <c r="D251" s="861"/>
      <c r="E251" s="861"/>
      <c r="F251" s="861"/>
      <c r="G251" s="861"/>
      <c r="H251" s="861"/>
    </row>
    <row r="252" spans="1:8" x14ac:dyDescent="0.2">
      <c r="A252" s="862" t="s">
        <v>591</v>
      </c>
      <c r="B252" s="861"/>
      <c r="C252" s="861"/>
      <c r="D252" s="861"/>
      <c r="E252" s="861"/>
      <c r="F252" s="861"/>
      <c r="G252" s="861"/>
      <c r="H252" s="861"/>
    </row>
    <row r="253" spans="1:8" x14ac:dyDescent="0.2">
      <c r="A253" s="862" t="s">
        <v>592</v>
      </c>
      <c r="B253" s="861"/>
      <c r="C253" s="861"/>
      <c r="D253" s="861"/>
      <c r="E253" s="861"/>
      <c r="F253" s="861"/>
      <c r="G253" s="861"/>
      <c r="H253" s="861"/>
    </row>
    <row r="254" spans="1:8" x14ac:dyDescent="0.2">
      <c r="A254" s="862" t="s">
        <v>593</v>
      </c>
      <c r="B254" s="861"/>
      <c r="C254" s="861"/>
      <c r="D254" s="861"/>
      <c r="E254" s="861"/>
      <c r="F254" s="861"/>
      <c r="G254" s="861"/>
      <c r="H254" s="861"/>
    </row>
    <row r="255" spans="1:8" x14ac:dyDescent="0.2">
      <c r="A255" s="862" t="s">
        <v>594</v>
      </c>
      <c r="B255" s="861"/>
      <c r="C255" s="861"/>
      <c r="D255" s="861"/>
      <c r="E255" s="861"/>
      <c r="F255" s="861"/>
      <c r="G255" s="861"/>
      <c r="H255" s="861"/>
    </row>
    <row r="256" spans="1:8" x14ac:dyDescent="0.2">
      <c r="A256" s="862" t="s">
        <v>595</v>
      </c>
      <c r="B256" s="861"/>
      <c r="C256" s="861"/>
      <c r="D256" s="861"/>
      <c r="E256" s="861"/>
      <c r="F256" s="861"/>
      <c r="G256" s="861"/>
      <c r="H256" s="861"/>
    </row>
    <row r="257" spans="1:8" x14ac:dyDescent="0.2">
      <c r="A257" s="861"/>
      <c r="B257" s="861"/>
      <c r="C257" s="861"/>
      <c r="D257" s="861"/>
      <c r="E257" s="861"/>
      <c r="F257" s="861"/>
      <c r="G257" s="861"/>
      <c r="H257" s="861"/>
    </row>
    <row r="258" spans="1:8" x14ac:dyDescent="0.2">
      <c r="A258" s="862" t="s">
        <v>584</v>
      </c>
      <c r="B258" s="861"/>
      <c r="C258" s="861"/>
      <c r="D258" s="861"/>
      <c r="E258" s="861"/>
      <c r="F258" s="861"/>
      <c r="G258" s="861"/>
      <c r="H258" s="861"/>
    </row>
    <row r="259" spans="1:8" x14ac:dyDescent="0.2">
      <c r="A259" s="862" t="s">
        <v>585</v>
      </c>
      <c r="B259" s="861"/>
      <c r="C259" s="861"/>
      <c r="D259" s="861"/>
      <c r="E259" s="861"/>
      <c r="F259" s="861"/>
      <c r="G259" s="861"/>
      <c r="H259" s="861"/>
    </row>
    <row r="260" spans="1:8" x14ac:dyDescent="0.2">
      <c r="A260" s="861"/>
      <c r="B260" s="861"/>
      <c r="C260" s="861"/>
      <c r="D260" s="861"/>
      <c r="E260" s="861"/>
      <c r="F260" s="861"/>
      <c r="G260" s="861"/>
      <c r="H260" s="861"/>
    </row>
    <row r="261" spans="1:8" x14ac:dyDescent="0.2">
      <c r="A261" s="862" t="s">
        <v>568</v>
      </c>
      <c r="B261" s="861"/>
      <c r="C261" s="861"/>
      <c r="D261" s="861"/>
      <c r="E261" s="861"/>
      <c r="F261" s="861"/>
      <c r="G261" s="861"/>
      <c r="H261" s="861"/>
    </row>
    <row r="262" spans="1:8" x14ac:dyDescent="0.2">
      <c r="A262" s="862" t="s">
        <v>569</v>
      </c>
      <c r="B262" s="861"/>
      <c r="C262" s="861"/>
      <c r="D262" s="861"/>
      <c r="E262" s="861"/>
      <c r="F262" s="861"/>
      <c r="G262" s="861"/>
      <c r="H262" s="861"/>
    </row>
    <row r="263" spans="1:8" x14ac:dyDescent="0.2">
      <c r="A263" s="862" t="s">
        <v>570</v>
      </c>
      <c r="B263" s="861"/>
      <c r="C263" s="861"/>
      <c r="D263" s="861"/>
      <c r="E263" s="861"/>
      <c r="F263" s="861"/>
      <c r="G263" s="861"/>
      <c r="H263" s="861"/>
    </row>
    <row r="264" spans="1:8" x14ac:dyDescent="0.2">
      <c r="A264" s="862" t="s">
        <v>571</v>
      </c>
      <c r="B264" s="861"/>
      <c r="C264" s="861"/>
      <c r="D264" s="861"/>
      <c r="E264" s="861"/>
      <c r="F264" s="861"/>
      <c r="G264" s="861"/>
      <c r="H264" s="861"/>
    </row>
    <row r="265" spans="1:8" x14ac:dyDescent="0.2">
      <c r="A265" s="862" t="s">
        <v>572</v>
      </c>
      <c r="B265" s="861"/>
      <c r="C265" s="861"/>
      <c r="D265" s="861"/>
      <c r="E265" s="861"/>
      <c r="F265" s="861"/>
      <c r="G265" s="861"/>
      <c r="H265" s="861"/>
    </row>
    <row r="266" spans="1:8" x14ac:dyDescent="0.2">
      <c r="A266" s="862" t="s">
        <v>573</v>
      </c>
      <c r="B266" s="861"/>
      <c r="C266" s="861"/>
      <c r="D266" s="861"/>
      <c r="E266" s="861"/>
      <c r="F266" s="861"/>
      <c r="G266" s="861"/>
      <c r="H266" s="861"/>
    </row>
    <row r="267" spans="1:8" x14ac:dyDescent="0.2">
      <c r="A267" s="862" t="s">
        <v>574</v>
      </c>
      <c r="B267" s="861"/>
      <c r="C267" s="861"/>
      <c r="D267" s="861"/>
      <c r="E267" s="861"/>
      <c r="F267" s="861"/>
      <c r="G267" s="861"/>
      <c r="H267" s="861"/>
    </row>
    <row r="268" spans="1:8" x14ac:dyDescent="0.2">
      <c r="A268" s="862" t="s">
        <v>575</v>
      </c>
      <c r="B268" s="861"/>
      <c r="C268" s="861"/>
      <c r="D268" s="861"/>
      <c r="E268" s="861"/>
      <c r="F268" s="861"/>
      <c r="G268" s="861"/>
      <c r="H268" s="861"/>
    </row>
    <row r="269" spans="1:8" x14ac:dyDescent="0.2">
      <c r="A269" s="862" t="s">
        <v>576</v>
      </c>
      <c r="B269" s="861"/>
      <c r="C269" s="861"/>
      <c r="D269" s="861"/>
      <c r="E269" s="861"/>
      <c r="F269" s="861"/>
      <c r="G269" s="861"/>
      <c r="H269" s="861"/>
    </row>
    <row r="270" spans="1:8" x14ac:dyDescent="0.2">
      <c r="A270" s="862" t="s">
        <v>577</v>
      </c>
      <c r="B270" s="861"/>
      <c r="C270" s="861"/>
      <c r="D270" s="861"/>
      <c r="E270" s="861"/>
      <c r="F270" s="861"/>
      <c r="G270" s="861"/>
      <c r="H270" s="861"/>
    </row>
    <row r="271" spans="1:8" x14ac:dyDescent="0.2">
      <c r="A271" s="862" t="s">
        <v>578</v>
      </c>
      <c r="B271" s="861"/>
      <c r="C271" s="861"/>
      <c r="D271" s="861"/>
      <c r="E271" s="861"/>
      <c r="F271" s="861"/>
      <c r="G271" s="861"/>
      <c r="H271" s="861"/>
    </row>
    <row r="272" spans="1:8" x14ac:dyDescent="0.2">
      <c r="A272" s="862" t="s">
        <v>579</v>
      </c>
      <c r="B272" s="861"/>
      <c r="C272" s="861"/>
      <c r="D272" s="861"/>
      <c r="E272" s="861"/>
      <c r="F272" s="861"/>
      <c r="G272" s="861"/>
      <c r="H272" s="861"/>
    </row>
    <row r="273" spans="1:8" x14ac:dyDescent="0.2">
      <c r="A273" s="862" t="s">
        <v>580</v>
      </c>
      <c r="B273" s="861"/>
      <c r="C273" s="861"/>
      <c r="D273" s="861"/>
      <c r="E273" s="861"/>
      <c r="F273" s="861"/>
      <c r="G273" s="861"/>
      <c r="H273" s="861"/>
    </row>
    <row r="274" spans="1:8" x14ac:dyDescent="0.2">
      <c r="A274" s="862" t="s">
        <v>581</v>
      </c>
      <c r="B274" s="861"/>
      <c r="C274" s="861"/>
      <c r="D274" s="861"/>
      <c r="E274" s="861"/>
      <c r="F274" s="861"/>
      <c r="G274" s="861"/>
      <c r="H274" s="861"/>
    </row>
    <row r="275" spans="1:8" x14ac:dyDescent="0.2">
      <c r="A275" s="862" t="s">
        <v>582</v>
      </c>
      <c r="B275" s="861"/>
      <c r="C275" s="861"/>
      <c r="D275" s="861"/>
      <c r="E275" s="861"/>
      <c r="F275" s="861"/>
      <c r="G275" s="861"/>
      <c r="H275" s="861"/>
    </row>
    <row r="276" spans="1:8" x14ac:dyDescent="0.2">
      <c r="A276" s="862" t="s">
        <v>583</v>
      </c>
      <c r="B276" s="861"/>
      <c r="C276" s="861"/>
      <c r="D276" s="861"/>
      <c r="E276" s="861"/>
      <c r="F276" s="861"/>
      <c r="G276" s="861"/>
      <c r="H276" s="861"/>
    </row>
    <row r="277" spans="1:8" x14ac:dyDescent="0.2">
      <c r="A277" s="861"/>
      <c r="B277" s="861"/>
      <c r="C277" s="861"/>
      <c r="D277" s="861"/>
      <c r="E277" s="861"/>
      <c r="F277" s="861"/>
      <c r="G277" s="861"/>
      <c r="H277" s="861"/>
    </row>
    <row r="278" spans="1:8" x14ac:dyDescent="0.2">
      <c r="A278" s="862" t="s">
        <v>561</v>
      </c>
      <c r="B278" s="861"/>
      <c r="C278" s="861"/>
      <c r="D278" s="861"/>
      <c r="E278" s="861"/>
      <c r="F278" s="861"/>
      <c r="G278" s="861"/>
      <c r="H278" s="861"/>
    </row>
    <row r="279" spans="1:8" x14ac:dyDescent="0.2">
      <c r="A279" s="862" t="s">
        <v>562</v>
      </c>
      <c r="B279" s="861"/>
      <c r="C279" s="861"/>
      <c r="D279" s="861"/>
      <c r="E279" s="861"/>
      <c r="F279" s="861"/>
      <c r="G279" s="861"/>
      <c r="H279" s="861"/>
    </row>
    <row r="280" spans="1:8" x14ac:dyDescent="0.2">
      <c r="A280" s="862" t="s">
        <v>563</v>
      </c>
      <c r="B280" s="861"/>
      <c r="C280" s="861"/>
      <c r="D280" s="861"/>
      <c r="E280" s="861"/>
      <c r="F280" s="861"/>
      <c r="G280" s="861"/>
      <c r="H280" s="861"/>
    </row>
    <row r="281" spans="1:8" x14ac:dyDescent="0.2">
      <c r="A281" s="862" t="s">
        <v>564</v>
      </c>
      <c r="B281" s="861"/>
      <c r="C281" s="861"/>
      <c r="D281" s="861"/>
      <c r="E281" s="861"/>
      <c r="F281" s="861"/>
      <c r="G281" s="861"/>
      <c r="H281" s="861"/>
    </row>
    <row r="282" spans="1:8" x14ac:dyDescent="0.2">
      <c r="A282" s="862" t="s">
        <v>565</v>
      </c>
      <c r="B282" s="861"/>
      <c r="C282" s="861"/>
      <c r="D282" s="861"/>
      <c r="E282" s="861"/>
      <c r="F282" s="861"/>
      <c r="G282" s="861"/>
      <c r="H282" s="861"/>
    </row>
    <row r="283" spans="1:8" x14ac:dyDescent="0.2">
      <c r="A283" s="862" t="s">
        <v>566</v>
      </c>
      <c r="B283" s="861"/>
      <c r="C283" s="861"/>
      <c r="D283" s="861"/>
      <c r="E283" s="861"/>
      <c r="F283" s="861"/>
      <c r="G283" s="861"/>
      <c r="H283" s="861"/>
    </row>
    <row r="284" spans="1:8" x14ac:dyDescent="0.2">
      <c r="A284" s="862" t="s">
        <v>567</v>
      </c>
      <c r="B284" s="861"/>
      <c r="C284" s="861"/>
      <c r="D284" s="861"/>
      <c r="E284" s="861"/>
      <c r="F284" s="861"/>
      <c r="G284" s="861"/>
      <c r="H284" s="861"/>
    </row>
    <row r="285" spans="1:8" x14ac:dyDescent="0.2">
      <c r="A285" s="861"/>
      <c r="B285" s="861"/>
      <c r="C285" s="861"/>
      <c r="D285" s="861"/>
      <c r="E285" s="861"/>
      <c r="F285" s="861"/>
      <c r="G285" s="861"/>
      <c r="H285" s="861"/>
    </row>
    <row r="286" spans="1:8" x14ac:dyDescent="0.2">
      <c r="A286" s="862" t="s">
        <v>552</v>
      </c>
      <c r="B286" s="861"/>
      <c r="C286" s="861"/>
      <c r="D286" s="861"/>
      <c r="E286" s="861"/>
      <c r="F286" s="861"/>
      <c r="G286" s="861"/>
      <c r="H286" s="861"/>
    </row>
    <row r="287" spans="1:8" x14ac:dyDescent="0.2">
      <c r="A287" s="862" t="s">
        <v>553</v>
      </c>
      <c r="B287" s="861"/>
      <c r="C287" s="861"/>
      <c r="D287" s="861"/>
      <c r="E287" s="861"/>
      <c r="F287" s="861"/>
      <c r="G287" s="861"/>
      <c r="H287" s="861"/>
    </row>
    <row r="288" spans="1:8" x14ac:dyDescent="0.2">
      <c r="A288" s="862" t="s">
        <v>554</v>
      </c>
      <c r="B288" s="861"/>
      <c r="C288" s="861"/>
      <c r="D288" s="861"/>
      <c r="E288" s="861"/>
      <c r="F288" s="861"/>
      <c r="G288" s="861"/>
      <c r="H288" s="861"/>
    </row>
    <row r="289" spans="1:8" x14ac:dyDescent="0.2">
      <c r="A289" s="862" t="s">
        <v>555</v>
      </c>
      <c r="B289" s="861"/>
      <c r="C289" s="861"/>
      <c r="D289" s="861"/>
      <c r="E289" s="861"/>
      <c r="F289" s="861"/>
      <c r="G289" s="861"/>
      <c r="H289" s="861"/>
    </row>
    <row r="290" spans="1:8" x14ac:dyDescent="0.2">
      <c r="A290" s="862" t="s">
        <v>556</v>
      </c>
      <c r="B290" s="861"/>
      <c r="C290" s="861"/>
      <c r="D290" s="861"/>
      <c r="E290" s="861"/>
      <c r="F290" s="861"/>
      <c r="G290" s="861"/>
      <c r="H290" s="861"/>
    </row>
    <row r="291" spans="1:8" x14ac:dyDescent="0.2">
      <c r="A291" s="862" t="s">
        <v>557</v>
      </c>
      <c r="B291" s="861"/>
      <c r="C291" s="861"/>
      <c r="D291" s="861"/>
      <c r="E291" s="861"/>
      <c r="F291" s="861"/>
      <c r="G291" s="861"/>
      <c r="H291" s="861"/>
    </row>
    <row r="292" spans="1:8" x14ac:dyDescent="0.2">
      <c r="A292" s="862" t="s">
        <v>558</v>
      </c>
      <c r="B292" s="861"/>
      <c r="C292" s="861"/>
      <c r="D292" s="861"/>
      <c r="E292" s="861"/>
      <c r="F292" s="861"/>
      <c r="G292" s="861"/>
      <c r="H292" s="861"/>
    </row>
    <row r="293" spans="1:8" x14ac:dyDescent="0.2">
      <c r="A293" s="862" t="s">
        <v>559</v>
      </c>
      <c r="B293" s="861"/>
      <c r="C293" s="861"/>
      <c r="D293" s="861"/>
      <c r="E293" s="861"/>
      <c r="F293" s="861"/>
      <c r="G293" s="861"/>
      <c r="H293" s="861"/>
    </row>
    <row r="294" spans="1:8" x14ac:dyDescent="0.2">
      <c r="A294" s="862" t="s">
        <v>560</v>
      </c>
      <c r="B294" s="861"/>
      <c r="C294" s="861"/>
      <c r="D294" s="861"/>
      <c r="E294" s="861"/>
      <c r="F294" s="861"/>
      <c r="G294" s="861"/>
      <c r="H294" s="861"/>
    </row>
    <row r="295" spans="1:8" x14ac:dyDescent="0.2">
      <c r="A295" s="861"/>
      <c r="B295" s="861"/>
      <c r="C295" s="861"/>
      <c r="D295" s="861"/>
      <c r="E295" s="861"/>
      <c r="F295" s="861"/>
      <c r="G295" s="861"/>
      <c r="H295" s="861"/>
    </row>
    <row r="296" spans="1:8" x14ac:dyDescent="0.2">
      <c r="A296" s="862" t="s">
        <v>545</v>
      </c>
      <c r="B296" s="861"/>
      <c r="C296" s="861"/>
      <c r="D296" s="861"/>
      <c r="E296" s="861"/>
      <c r="F296" s="861"/>
      <c r="G296" s="861"/>
      <c r="H296" s="861"/>
    </row>
    <row r="297" spans="1:8" x14ac:dyDescent="0.2">
      <c r="A297" s="862" t="s">
        <v>546</v>
      </c>
      <c r="B297" s="861"/>
      <c r="C297" s="861"/>
      <c r="D297" s="861"/>
      <c r="E297" s="861"/>
      <c r="F297" s="861"/>
      <c r="G297" s="861"/>
      <c r="H297" s="861"/>
    </row>
    <row r="298" spans="1:8" x14ac:dyDescent="0.2">
      <c r="A298" s="862" t="s">
        <v>547</v>
      </c>
      <c r="B298" s="861"/>
      <c r="C298" s="861"/>
      <c r="D298" s="861"/>
      <c r="E298" s="861"/>
      <c r="F298" s="861"/>
      <c r="G298" s="861"/>
      <c r="H298" s="861"/>
    </row>
    <row r="299" spans="1:8" x14ac:dyDescent="0.2">
      <c r="A299" s="862" t="s">
        <v>548</v>
      </c>
      <c r="B299" s="861"/>
      <c r="C299" s="861"/>
      <c r="D299" s="861"/>
      <c r="E299" s="861"/>
      <c r="F299" s="861"/>
      <c r="G299" s="861"/>
      <c r="H299" s="861"/>
    </row>
    <row r="300" spans="1:8" x14ac:dyDescent="0.2">
      <c r="A300" s="862" t="s">
        <v>549</v>
      </c>
      <c r="B300" s="861"/>
      <c r="C300" s="861"/>
      <c r="D300" s="861"/>
      <c r="E300" s="861"/>
      <c r="F300" s="861"/>
      <c r="G300" s="861"/>
      <c r="H300" s="861"/>
    </row>
    <row r="301" spans="1:8" x14ac:dyDescent="0.2">
      <c r="A301" s="862" t="s">
        <v>550</v>
      </c>
      <c r="B301" s="861"/>
      <c r="C301" s="861"/>
      <c r="D301" s="861"/>
      <c r="E301" s="861"/>
      <c r="F301" s="861"/>
      <c r="G301" s="861"/>
      <c r="H301" s="861"/>
    </row>
    <row r="302" spans="1:8" x14ac:dyDescent="0.2">
      <c r="A302" s="862" t="s">
        <v>551</v>
      </c>
      <c r="B302" s="861"/>
      <c r="C302" s="861"/>
      <c r="D302" s="861"/>
      <c r="E302" s="861"/>
      <c r="F302" s="861"/>
      <c r="G302" s="861"/>
      <c r="H302" s="861"/>
    </row>
    <row r="303" spans="1:8" x14ac:dyDescent="0.2">
      <c r="A303" s="861"/>
      <c r="B303" s="861"/>
      <c r="C303" s="861"/>
      <c r="D303" s="861"/>
      <c r="E303" s="861"/>
      <c r="F303" s="861"/>
      <c r="G303" s="861"/>
      <c r="H303" s="861"/>
    </row>
    <row r="304" spans="1:8" x14ac:dyDescent="0.2">
      <c r="A304" s="862" t="s">
        <v>542</v>
      </c>
      <c r="B304" s="861"/>
      <c r="C304" s="861"/>
      <c r="D304" s="861"/>
      <c r="E304" s="861"/>
      <c r="F304" s="861"/>
      <c r="G304" s="861"/>
      <c r="H304" s="861"/>
    </row>
    <row r="305" spans="1:8" x14ac:dyDescent="0.2">
      <c r="A305" s="862" t="s">
        <v>543</v>
      </c>
      <c r="B305" s="861"/>
      <c r="C305" s="861"/>
      <c r="D305" s="861"/>
      <c r="E305" s="861"/>
      <c r="F305" s="861"/>
      <c r="G305" s="861"/>
      <c r="H305" s="861"/>
    </row>
    <row r="306" spans="1:8" x14ac:dyDescent="0.2">
      <c r="A306" s="862" t="s">
        <v>544</v>
      </c>
      <c r="B306" s="861"/>
      <c r="C306" s="861"/>
      <c r="D306" s="861"/>
      <c r="E306" s="861"/>
      <c r="F306" s="861"/>
      <c r="G306" s="861"/>
      <c r="H306" s="861"/>
    </row>
    <row r="307" spans="1:8" x14ac:dyDescent="0.2">
      <c r="A307" s="861"/>
      <c r="B307" s="861"/>
      <c r="C307" s="861"/>
      <c r="D307" s="861"/>
      <c r="E307" s="861"/>
      <c r="F307" s="861"/>
      <c r="G307" s="861"/>
      <c r="H307" s="861"/>
    </row>
    <row r="308" spans="1:8" x14ac:dyDescent="0.2">
      <c r="A308" s="862" t="s">
        <v>540</v>
      </c>
      <c r="B308" s="861"/>
      <c r="C308" s="861"/>
      <c r="D308" s="861"/>
      <c r="E308" s="861"/>
      <c r="F308" s="861"/>
      <c r="G308" s="861"/>
      <c r="H308" s="861"/>
    </row>
    <row r="309" spans="1:8" x14ac:dyDescent="0.2">
      <c r="A309" s="862" t="s">
        <v>541</v>
      </c>
      <c r="B309" s="861"/>
      <c r="C309" s="861"/>
      <c r="D309" s="861"/>
      <c r="E309" s="861"/>
      <c r="F309" s="861"/>
      <c r="G309" s="861"/>
      <c r="H309" s="861"/>
    </row>
    <row r="310" spans="1:8" x14ac:dyDescent="0.2">
      <c r="A310" s="861"/>
      <c r="B310" s="861"/>
      <c r="C310" s="861"/>
      <c r="D310" s="861"/>
      <c r="E310" s="861"/>
      <c r="F310" s="861"/>
      <c r="G310" s="861"/>
      <c r="H310" s="861"/>
    </row>
    <row r="311" spans="1:8" x14ac:dyDescent="0.2">
      <c r="A311" s="862" t="s">
        <v>527</v>
      </c>
      <c r="B311" s="861"/>
      <c r="C311" s="861"/>
      <c r="D311" s="861"/>
      <c r="E311" s="861"/>
      <c r="F311" s="861"/>
      <c r="G311" s="861"/>
      <c r="H311" s="861"/>
    </row>
    <row r="312" spans="1:8" x14ac:dyDescent="0.2">
      <c r="A312" s="862" t="s">
        <v>528</v>
      </c>
      <c r="B312" s="861"/>
      <c r="C312" s="861"/>
      <c r="D312" s="861"/>
      <c r="E312" s="861"/>
      <c r="F312" s="861"/>
      <c r="G312" s="861"/>
      <c r="H312" s="861"/>
    </row>
    <row r="313" spans="1:8" x14ac:dyDescent="0.2">
      <c r="A313" s="862" t="s">
        <v>529</v>
      </c>
      <c r="B313" s="861"/>
      <c r="C313" s="861"/>
      <c r="D313" s="861"/>
      <c r="E313" s="861"/>
      <c r="F313" s="861"/>
      <c r="G313" s="861"/>
      <c r="H313" s="861"/>
    </row>
    <row r="314" spans="1:8" x14ac:dyDescent="0.2">
      <c r="A314" s="862" t="s">
        <v>530</v>
      </c>
      <c r="B314" s="861"/>
      <c r="C314" s="861"/>
      <c r="D314" s="861"/>
      <c r="E314" s="861"/>
      <c r="F314" s="861"/>
      <c r="G314" s="861"/>
      <c r="H314" s="861"/>
    </row>
    <row r="315" spans="1:8" x14ac:dyDescent="0.2">
      <c r="A315" s="862" t="s">
        <v>531</v>
      </c>
      <c r="B315" s="861"/>
      <c r="C315" s="861"/>
      <c r="D315" s="861"/>
      <c r="E315" s="861"/>
      <c r="F315" s="861"/>
      <c r="G315" s="861"/>
      <c r="H315" s="861"/>
    </row>
    <row r="316" spans="1:8" x14ac:dyDescent="0.2">
      <c r="A316" s="862" t="s">
        <v>532</v>
      </c>
      <c r="B316" s="861"/>
      <c r="C316" s="861"/>
      <c r="D316" s="861"/>
      <c r="E316" s="861"/>
      <c r="F316" s="861"/>
      <c r="G316" s="861"/>
      <c r="H316" s="861"/>
    </row>
    <row r="317" spans="1:8" x14ac:dyDescent="0.2">
      <c r="A317" s="862" t="s">
        <v>533</v>
      </c>
      <c r="B317" s="861"/>
      <c r="C317" s="861"/>
      <c r="D317" s="861"/>
      <c r="E317" s="861"/>
      <c r="F317" s="861"/>
      <c r="G317" s="861"/>
      <c r="H317" s="861"/>
    </row>
    <row r="318" spans="1:8" x14ac:dyDescent="0.2">
      <c r="A318" s="862" t="s">
        <v>534</v>
      </c>
      <c r="B318" s="861"/>
      <c r="C318" s="861"/>
      <c r="D318" s="861"/>
      <c r="E318" s="861"/>
      <c r="F318" s="861"/>
      <c r="G318" s="861"/>
      <c r="H318" s="861"/>
    </row>
    <row r="319" spans="1:8" x14ac:dyDescent="0.2">
      <c r="A319" s="862" t="s">
        <v>535</v>
      </c>
      <c r="B319" s="861"/>
      <c r="C319" s="861"/>
      <c r="D319" s="861"/>
      <c r="E319" s="861"/>
      <c r="F319" s="861"/>
      <c r="G319" s="861"/>
      <c r="H319" s="861"/>
    </row>
    <row r="320" spans="1:8" x14ac:dyDescent="0.2">
      <c r="A320" s="862" t="s">
        <v>536</v>
      </c>
      <c r="B320" s="861"/>
      <c r="C320" s="861"/>
      <c r="D320" s="861"/>
      <c r="E320" s="861"/>
      <c r="F320" s="861"/>
      <c r="G320" s="861"/>
      <c r="H320" s="861"/>
    </row>
    <row r="321" spans="1:8" x14ac:dyDescent="0.2">
      <c r="A321" s="862" t="s">
        <v>537</v>
      </c>
      <c r="B321" s="861"/>
      <c r="C321" s="861"/>
      <c r="D321" s="861"/>
      <c r="E321" s="861"/>
      <c r="F321" s="861"/>
      <c r="G321" s="861"/>
      <c r="H321" s="861"/>
    </row>
    <row r="322" spans="1:8" x14ac:dyDescent="0.2">
      <c r="A322" s="862" t="s">
        <v>538</v>
      </c>
      <c r="B322" s="861"/>
      <c r="C322" s="861"/>
      <c r="D322" s="861"/>
      <c r="E322" s="861"/>
      <c r="F322" s="861"/>
      <c r="G322" s="861"/>
      <c r="H322" s="861"/>
    </row>
    <row r="323" spans="1:8" x14ac:dyDescent="0.2">
      <c r="A323" s="862" t="s">
        <v>539</v>
      </c>
      <c r="B323" s="861"/>
      <c r="C323" s="861"/>
      <c r="D323" s="861"/>
      <c r="E323" s="861"/>
      <c r="F323" s="861"/>
      <c r="G323" s="861"/>
      <c r="H323" s="861"/>
    </row>
    <row r="324" spans="1:8" x14ac:dyDescent="0.2">
      <c r="A324" s="861"/>
      <c r="B324" s="861"/>
      <c r="C324" s="861"/>
      <c r="D324" s="861"/>
      <c r="E324" s="861"/>
      <c r="F324" s="861"/>
      <c r="G324" s="861"/>
      <c r="H324" s="861"/>
    </row>
    <row r="325" spans="1:8" x14ac:dyDescent="0.2">
      <c r="A325" s="862" t="s">
        <v>519</v>
      </c>
      <c r="B325" s="861"/>
      <c r="C325" s="861"/>
      <c r="D325" s="861"/>
      <c r="E325" s="861"/>
      <c r="F325" s="861"/>
      <c r="G325" s="861"/>
      <c r="H325" s="861"/>
    </row>
    <row r="326" spans="1:8" x14ac:dyDescent="0.2">
      <c r="A326" s="862" t="s">
        <v>520</v>
      </c>
      <c r="B326" s="861"/>
      <c r="C326" s="861"/>
      <c r="D326" s="861"/>
      <c r="E326" s="861"/>
      <c r="F326" s="861"/>
      <c r="G326" s="861"/>
      <c r="H326" s="861"/>
    </row>
    <row r="327" spans="1:8" x14ac:dyDescent="0.2">
      <c r="A327" s="862" t="s">
        <v>521</v>
      </c>
      <c r="B327" s="861"/>
      <c r="C327" s="861"/>
      <c r="D327" s="861"/>
      <c r="E327" s="861"/>
      <c r="F327" s="861"/>
      <c r="G327" s="861"/>
      <c r="H327" s="861"/>
    </row>
    <row r="328" spans="1:8" x14ac:dyDescent="0.2">
      <c r="A328" s="862" t="s">
        <v>522</v>
      </c>
      <c r="B328" s="861"/>
      <c r="C328" s="861"/>
      <c r="D328" s="861"/>
      <c r="E328" s="861"/>
      <c r="F328" s="861"/>
      <c r="G328" s="861"/>
      <c r="H328" s="861"/>
    </row>
    <row r="329" spans="1:8" x14ac:dyDescent="0.2">
      <c r="A329" s="862" t="s">
        <v>523</v>
      </c>
      <c r="B329" s="861"/>
      <c r="C329" s="861"/>
      <c r="D329" s="861"/>
      <c r="E329" s="861"/>
      <c r="F329" s="861"/>
      <c r="G329" s="861"/>
      <c r="H329" s="861"/>
    </row>
    <row r="330" spans="1:8" x14ac:dyDescent="0.2">
      <c r="A330" s="862" t="s">
        <v>524</v>
      </c>
      <c r="B330" s="861"/>
      <c r="C330" s="861"/>
      <c r="D330" s="861"/>
      <c r="E330" s="861"/>
      <c r="F330" s="861"/>
      <c r="G330" s="861"/>
      <c r="H330" s="861"/>
    </row>
    <row r="331" spans="1:8" x14ac:dyDescent="0.2">
      <c r="A331" s="862" t="s">
        <v>525</v>
      </c>
      <c r="B331" s="861"/>
      <c r="C331" s="861"/>
      <c r="D331" s="861"/>
      <c r="E331" s="861"/>
      <c r="F331" s="861"/>
      <c r="G331" s="861"/>
      <c r="H331" s="861"/>
    </row>
    <row r="332" spans="1:8" x14ac:dyDescent="0.2">
      <c r="A332" s="862" t="s">
        <v>526</v>
      </c>
      <c r="B332" s="861"/>
      <c r="C332" s="861"/>
      <c r="D332" s="861"/>
      <c r="E332" s="861"/>
      <c r="F332" s="861"/>
      <c r="G332" s="861"/>
      <c r="H332" s="861"/>
    </row>
    <row r="333" spans="1:8" x14ac:dyDescent="0.2">
      <c r="A333" s="861"/>
      <c r="B333" s="861"/>
      <c r="C333" s="861"/>
      <c r="D333" s="861"/>
      <c r="E333" s="861"/>
      <c r="F333" s="861"/>
      <c r="G333" s="861"/>
      <c r="H333" s="861"/>
    </row>
    <row r="334" spans="1:8" x14ac:dyDescent="0.2">
      <c r="A334" s="862" t="s">
        <v>484</v>
      </c>
      <c r="B334" s="861"/>
      <c r="C334" s="861"/>
      <c r="D334" s="861"/>
      <c r="E334" s="861"/>
      <c r="F334" s="861"/>
      <c r="G334" s="861"/>
      <c r="H334" s="861"/>
    </row>
    <row r="335" spans="1:8" x14ac:dyDescent="0.2">
      <c r="A335" s="862" t="s">
        <v>485</v>
      </c>
      <c r="B335" s="861"/>
      <c r="C335" s="861"/>
      <c r="D335" s="861"/>
      <c r="E335" s="861"/>
      <c r="F335" s="861"/>
      <c r="G335" s="861"/>
      <c r="H335" s="861"/>
    </row>
    <row r="336" spans="1:8" x14ac:dyDescent="0.2">
      <c r="A336" s="862" t="s">
        <v>486</v>
      </c>
      <c r="B336" s="861"/>
      <c r="C336" s="861"/>
      <c r="D336" s="861"/>
      <c r="E336" s="861"/>
      <c r="F336" s="861"/>
      <c r="G336" s="861"/>
      <c r="H336" s="861"/>
    </row>
    <row r="337" spans="1:8" x14ac:dyDescent="0.2">
      <c r="A337" s="862" t="s">
        <v>487</v>
      </c>
      <c r="B337" s="861"/>
      <c r="C337" s="861"/>
      <c r="D337" s="861"/>
      <c r="E337" s="861"/>
      <c r="F337" s="861"/>
      <c r="G337" s="861"/>
      <c r="H337" s="861"/>
    </row>
    <row r="338" spans="1:8" x14ac:dyDescent="0.2">
      <c r="A338" s="862" t="s">
        <v>488</v>
      </c>
      <c r="B338" s="861"/>
      <c r="C338" s="861"/>
      <c r="D338" s="861"/>
      <c r="E338" s="861"/>
      <c r="F338" s="861"/>
      <c r="G338" s="861"/>
      <c r="H338" s="861"/>
    </row>
    <row r="339" spans="1:8" x14ac:dyDescent="0.2">
      <c r="A339" s="862" t="s">
        <v>489</v>
      </c>
      <c r="B339" s="861"/>
      <c r="C339" s="861"/>
      <c r="D339" s="861"/>
      <c r="E339" s="861"/>
      <c r="F339" s="861"/>
      <c r="G339" s="861"/>
      <c r="H339" s="861"/>
    </row>
    <row r="340" spans="1:8" x14ac:dyDescent="0.2">
      <c r="A340" s="862" t="s">
        <v>490</v>
      </c>
      <c r="B340" s="861"/>
      <c r="C340" s="861"/>
      <c r="D340" s="861"/>
      <c r="E340" s="861"/>
      <c r="F340" s="861"/>
      <c r="G340" s="861"/>
      <c r="H340" s="861"/>
    </row>
    <row r="341" spans="1:8" x14ac:dyDescent="0.2">
      <c r="A341" s="862" t="s">
        <v>491</v>
      </c>
      <c r="B341" s="861"/>
      <c r="C341" s="861"/>
      <c r="D341" s="861"/>
      <c r="E341" s="861"/>
      <c r="F341" s="861"/>
      <c r="G341" s="861"/>
      <c r="H341" s="861"/>
    </row>
    <row r="342" spans="1:8" x14ac:dyDescent="0.2">
      <c r="A342" s="862" t="s">
        <v>492</v>
      </c>
      <c r="B342" s="861"/>
      <c r="C342" s="861"/>
      <c r="D342" s="861"/>
      <c r="E342" s="861"/>
      <c r="F342" s="861"/>
      <c r="G342" s="861"/>
      <c r="H342" s="861"/>
    </row>
    <row r="343" spans="1:8" x14ac:dyDescent="0.2">
      <c r="A343" s="862" t="s">
        <v>493</v>
      </c>
      <c r="B343" s="861"/>
      <c r="C343" s="861"/>
      <c r="D343" s="861"/>
      <c r="E343" s="861"/>
      <c r="F343" s="861"/>
      <c r="G343" s="861"/>
      <c r="H343" s="861"/>
    </row>
    <row r="344" spans="1:8" x14ac:dyDescent="0.2">
      <c r="A344" s="862" t="s">
        <v>494</v>
      </c>
      <c r="B344" s="861"/>
      <c r="C344" s="861"/>
      <c r="D344" s="861"/>
      <c r="E344" s="861"/>
      <c r="F344" s="861"/>
      <c r="G344" s="861"/>
      <c r="H344" s="861"/>
    </row>
    <row r="345" spans="1:8" x14ac:dyDescent="0.2">
      <c r="A345" s="862" t="s">
        <v>495</v>
      </c>
      <c r="B345" s="861"/>
      <c r="C345" s="861"/>
      <c r="D345" s="861"/>
      <c r="E345" s="861"/>
      <c r="F345" s="861"/>
      <c r="G345" s="861"/>
      <c r="H345" s="861"/>
    </row>
    <row r="346" spans="1:8" x14ac:dyDescent="0.2">
      <c r="A346" s="862" t="s">
        <v>496</v>
      </c>
      <c r="B346" s="861"/>
      <c r="C346" s="861"/>
      <c r="D346" s="861"/>
      <c r="E346" s="861"/>
      <c r="F346" s="861"/>
      <c r="G346" s="861"/>
      <c r="H346" s="861"/>
    </row>
    <row r="347" spans="1:8" x14ac:dyDescent="0.2">
      <c r="A347" s="862" t="s">
        <v>497</v>
      </c>
      <c r="B347" s="861"/>
      <c r="C347" s="861"/>
      <c r="D347" s="861"/>
      <c r="E347" s="861"/>
      <c r="F347" s="861"/>
      <c r="G347" s="861"/>
      <c r="H347" s="861"/>
    </row>
    <row r="348" spans="1:8" x14ac:dyDescent="0.2">
      <c r="A348" s="862" t="s">
        <v>498</v>
      </c>
      <c r="B348" s="861"/>
      <c r="C348" s="861"/>
      <c r="D348" s="861"/>
      <c r="E348" s="861"/>
      <c r="F348" s="861"/>
      <c r="G348" s="861"/>
      <c r="H348" s="861"/>
    </row>
    <row r="349" spans="1:8" x14ac:dyDescent="0.2">
      <c r="A349" s="862" t="s">
        <v>499</v>
      </c>
      <c r="B349" s="861"/>
      <c r="C349" s="861"/>
      <c r="D349" s="861"/>
      <c r="E349" s="861"/>
      <c r="F349" s="861"/>
      <c r="G349" s="861"/>
      <c r="H349" s="861"/>
    </row>
    <row r="350" spans="1:8" x14ac:dyDescent="0.2">
      <c r="A350" s="862" t="s">
        <v>500</v>
      </c>
      <c r="B350" s="861"/>
      <c r="C350" s="861"/>
      <c r="D350" s="861"/>
      <c r="E350" s="861"/>
      <c r="F350" s="861"/>
      <c r="G350" s="861"/>
      <c r="H350" s="861"/>
    </row>
    <row r="351" spans="1:8" x14ac:dyDescent="0.2">
      <c r="A351" s="862" t="s">
        <v>501</v>
      </c>
      <c r="B351" s="861"/>
      <c r="C351" s="861"/>
      <c r="D351" s="861"/>
      <c r="E351" s="861"/>
      <c r="F351" s="861"/>
      <c r="G351" s="861"/>
      <c r="H351" s="861"/>
    </row>
    <row r="352" spans="1:8" x14ac:dyDescent="0.2">
      <c r="A352" s="862" t="s">
        <v>502</v>
      </c>
      <c r="B352" s="861"/>
      <c r="C352" s="861"/>
      <c r="D352" s="861"/>
      <c r="E352" s="861"/>
      <c r="F352" s="861"/>
      <c r="G352" s="861"/>
      <c r="H352" s="861"/>
    </row>
    <row r="353" spans="1:8" x14ac:dyDescent="0.2">
      <c r="A353" s="862" t="s">
        <v>503</v>
      </c>
      <c r="B353" s="861"/>
      <c r="C353" s="861"/>
      <c r="D353" s="861"/>
      <c r="E353" s="861"/>
      <c r="F353" s="861"/>
      <c r="G353" s="861"/>
      <c r="H353" s="861"/>
    </row>
    <row r="354" spans="1:8" x14ac:dyDescent="0.2">
      <c r="A354" s="862" t="s">
        <v>504</v>
      </c>
      <c r="B354" s="861"/>
      <c r="C354" s="861"/>
      <c r="D354" s="861"/>
      <c r="E354" s="861"/>
      <c r="F354" s="861"/>
      <c r="G354" s="861"/>
      <c r="H354" s="861"/>
    </row>
    <row r="355" spans="1:8" x14ac:dyDescent="0.2">
      <c r="A355" s="862" t="s">
        <v>505</v>
      </c>
      <c r="B355" s="861"/>
      <c r="C355" s="861"/>
      <c r="D355" s="861"/>
      <c r="E355" s="861"/>
      <c r="F355" s="861"/>
      <c r="G355" s="861"/>
      <c r="H355" s="861"/>
    </row>
    <row r="356" spans="1:8" x14ac:dyDescent="0.2">
      <c r="A356" s="862" t="s">
        <v>506</v>
      </c>
      <c r="B356" s="861"/>
      <c r="C356" s="861"/>
      <c r="D356" s="861"/>
      <c r="E356" s="861"/>
      <c r="F356" s="861"/>
      <c r="G356" s="861"/>
      <c r="H356" s="861"/>
    </row>
    <row r="357" spans="1:8" x14ac:dyDescent="0.2">
      <c r="A357" s="862" t="s">
        <v>507</v>
      </c>
      <c r="B357" s="861"/>
      <c r="C357" s="861"/>
      <c r="D357" s="861"/>
      <c r="E357" s="861"/>
      <c r="F357" s="861"/>
      <c r="G357" s="861"/>
      <c r="H357" s="861"/>
    </row>
    <row r="358" spans="1:8" x14ac:dyDescent="0.2">
      <c r="A358" s="862" t="s">
        <v>508</v>
      </c>
      <c r="B358" s="861"/>
      <c r="C358" s="861"/>
      <c r="D358" s="861"/>
      <c r="E358" s="861"/>
      <c r="F358" s="861"/>
      <c r="G358" s="861"/>
      <c r="H358" s="861"/>
    </row>
    <row r="359" spans="1:8" x14ac:dyDescent="0.2">
      <c r="A359" s="862" t="s">
        <v>509</v>
      </c>
      <c r="B359" s="861"/>
      <c r="C359" s="861"/>
      <c r="D359" s="861"/>
      <c r="E359" s="861"/>
      <c r="F359" s="861"/>
      <c r="G359" s="861"/>
      <c r="H359" s="861"/>
    </row>
    <row r="360" spans="1:8" x14ac:dyDescent="0.2">
      <c r="A360" s="862" t="s">
        <v>510</v>
      </c>
      <c r="B360" s="861"/>
      <c r="C360" s="861"/>
      <c r="D360" s="861"/>
      <c r="E360" s="861"/>
      <c r="F360" s="861"/>
      <c r="G360" s="861"/>
      <c r="H360" s="861"/>
    </row>
    <row r="361" spans="1:8" x14ac:dyDescent="0.2">
      <c r="A361" s="862" t="s">
        <v>511</v>
      </c>
      <c r="B361" s="861"/>
      <c r="C361" s="861"/>
      <c r="D361" s="861"/>
      <c r="E361" s="861"/>
      <c r="F361" s="861"/>
      <c r="G361" s="861"/>
      <c r="H361" s="861"/>
    </row>
    <row r="362" spans="1:8" x14ac:dyDescent="0.2">
      <c r="A362" s="862" t="s">
        <v>512</v>
      </c>
      <c r="B362" s="861"/>
      <c r="C362" s="861"/>
      <c r="D362" s="861"/>
      <c r="E362" s="861"/>
      <c r="F362" s="861"/>
      <c r="G362" s="861"/>
      <c r="H362" s="861"/>
    </row>
    <row r="363" spans="1:8" x14ac:dyDescent="0.2">
      <c r="A363" s="862" t="s">
        <v>513</v>
      </c>
      <c r="B363" s="861"/>
      <c r="C363" s="861"/>
      <c r="D363" s="861"/>
      <c r="E363" s="861"/>
      <c r="F363" s="861"/>
      <c r="G363" s="861"/>
      <c r="H363" s="861"/>
    </row>
    <row r="364" spans="1:8" x14ac:dyDescent="0.2">
      <c r="A364" s="862" t="s">
        <v>514</v>
      </c>
      <c r="B364" s="861"/>
      <c r="C364" s="861"/>
      <c r="D364" s="861"/>
      <c r="E364" s="861"/>
      <c r="F364" s="861"/>
      <c r="G364" s="861"/>
      <c r="H364" s="861"/>
    </row>
    <row r="365" spans="1:8" x14ac:dyDescent="0.2">
      <c r="A365" s="862" t="s">
        <v>515</v>
      </c>
      <c r="B365" s="861"/>
      <c r="C365" s="861"/>
      <c r="D365" s="861"/>
      <c r="E365" s="861"/>
      <c r="F365" s="861"/>
      <c r="G365" s="861"/>
      <c r="H365" s="861"/>
    </row>
    <row r="366" spans="1:8" x14ac:dyDescent="0.2">
      <c r="A366" s="862" t="s">
        <v>516</v>
      </c>
      <c r="B366" s="861"/>
      <c r="C366" s="861"/>
      <c r="D366" s="861"/>
      <c r="E366" s="861"/>
      <c r="F366" s="861"/>
      <c r="G366" s="861"/>
      <c r="H366" s="861"/>
    </row>
    <row r="367" spans="1:8" x14ac:dyDescent="0.2">
      <c r="A367" s="862" t="s">
        <v>517</v>
      </c>
      <c r="B367" s="861"/>
      <c r="C367" s="861"/>
      <c r="D367" s="861"/>
      <c r="E367" s="861"/>
      <c r="F367" s="861"/>
      <c r="G367" s="861"/>
      <c r="H367" s="861"/>
    </row>
    <row r="368" spans="1:8" x14ac:dyDescent="0.2">
      <c r="A368" s="862" t="s">
        <v>518</v>
      </c>
      <c r="B368" s="861"/>
      <c r="C368" s="861"/>
      <c r="D368" s="861"/>
      <c r="E368" s="861"/>
      <c r="F368" s="861"/>
      <c r="G368" s="861"/>
      <c r="H368" s="861"/>
    </row>
    <row r="369" spans="1:8" x14ac:dyDescent="0.2">
      <c r="A369" s="861"/>
      <c r="B369" s="861"/>
      <c r="C369" s="861"/>
      <c r="D369" s="861"/>
      <c r="E369" s="861"/>
      <c r="F369" s="861"/>
      <c r="G369" s="861"/>
      <c r="H369" s="861"/>
    </row>
    <row r="370" spans="1:8" x14ac:dyDescent="0.2">
      <c r="A370" s="862" t="s">
        <v>476</v>
      </c>
      <c r="B370" s="861"/>
      <c r="C370" s="861"/>
      <c r="D370" s="861"/>
      <c r="E370" s="861"/>
      <c r="F370" s="861"/>
      <c r="G370" s="861"/>
      <c r="H370" s="861"/>
    </row>
    <row r="371" spans="1:8" x14ac:dyDescent="0.2">
      <c r="A371" s="862" t="s">
        <v>480</v>
      </c>
      <c r="B371" s="861"/>
      <c r="C371" s="861"/>
      <c r="D371" s="861"/>
      <c r="E371" s="861"/>
      <c r="F371" s="861"/>
      <c r="G371" s="861"/>
      <c r="H371" s="861"/>
    </row>
    <row r="372" spans="1:8" x14ac:dyDescent="0.2">
      <c r="A372" s="862" t="s">
        <v>481</v>
      </c>
      <c r="B372" s="861"/>
      <c r="C372" s="861"/>
      <c r="D372" s="861"/>
      <c r="E372" s="861"/>
      <c r="F372" s="861"/>
      <c r="G372" s="861"/>
      <c r="H372" s="861"/>
    </row>
    <row r="373" spans="1:8" x14ac:dyDescent="0.2">
      <c r="A373" s="862" t="s">
        <v>482</v>
      </c>
      <c r="B373" s="861"/>
      <c r="C373" s="861"/>
      <c r="D373" s="861"/>
      <c r="E373" s="861"/>
      <c r="F373" s="861"/>
      <c r="G373" s="861"/>
      <c r="H373" s="861"/>
    </row>
    <row r="374" spans="1:8" x14ac:dyDescent="0.2">
      <c r="A374" s="862" t="s">
        <v>483</v>
      </c>
      <c r="B374" s="861"/>
      <c r="C374" s="861"/>
      <c r="D374" s="861"/>
      <c r="E374" s="861"/>
      <c r="F374" s="861"/>
      <c r="G374" s="861"/>
      <c r="H374" s="861"/>
    </row>
    <row r="375" spans="1:8" x14ac:dyDescent="0.2">
      <c r="A375" s="861"/>
      <c r="B375" s="861"/>
      <c r="C375" s="861"/>
      <c r="D375" s="861"/>
      <c r="E375" s="861"/>
      <c r="F375" s="861"/>
      <c r="G375" s="861"/>
      <c r="H375" s="861"/>
    </row>
    <row r="376" spans="1:8" x14ac:dyDescent="0.2">
      <c r="A376" s="862" t="s">
        <v>476</v>
      </c>
      <c r="B376" s="861"/>
      <c r="C376" s="861"/>
      <c r="D376" s="861"/>
      <c r="E376" s="861"/>
      <c r="F376" s="861"/>
      <c r="G376" s="861"/>
      <c r="H376" s="861"/>
    </row>
    <row r="377" spans="1:8" x14ac:dyDescent="0.2">
      <c r="A377" s="862" t="s">
        <v>477</v>
      </c>
      <c r="B377" s="861"/>
      <c r="C377" s="861"/>
      <c r="D377" s="861"/>
      <c r="E377" s="861"/>
      <c r="F377" s="861"/>
      <c r="G377" s="861"/>
      <c r="H377" s="861"/>
    </row>
    <row r="378" spans="1:8" x14ac:dyDescent="0.2">
      <c r="A378" s="862" t="s">
        <v>478</v>
      </c>
      <c r="B378" s="861"/>
      <c r="C378" s="861"/>
      <c r="D378" s="861"/>
      <c r="E378" s="861"/>
      <c r="F378" s="861"/>
      <c r="G378" s="861"/>
      <c r="H378" s="861"/>
    </row>
    <row r="379" spans="1:8" x14ac:dyDescent="0.2">
      <c r="A379" s="862" t="s">
        <v>479</v>
      </c>
      <c r="B379" s="861"/>
      <c r="C379" s="861"/>
      <c r="D379" s="861"/>
      <c r="E379" s="861"/>
      <c r="F379" s="861"/>
      <c r="G379" s="861"/>
      <c r="H379" s="861"/>
    </row>
    <row r="380" spans="1:8" x14ac:dyDescent="0.2">
      <c r="A380" s="861"/>
      <c r="B380" s="861"/>
      <c r="C380" s="861"/>
      <c r="D380" s="861"/>
      <c r="E380" s="861"/>
      <c r="F380" s="861"/>
      <c r="G380" s="861"/>
      <c r="H380" s="861"/>
    </row>
    <row r="381" spans="1:8" x14ac:dyDescent="0.2">
      <c r="A381" s="862" t="s">
        <v>470</v>
      </c>
      <c r="B381" s="861"/>
      <c r="C381" s="861"/>
      <c r="D381" s="861"/>
      <c r="E381" s="861"/>
      <c r="F381" s="861"/>
      <c r="G381" s="861"/>
      <c r="H381" s="861"/>
    </row>
    <row r="382" spans="1:8" x14ac:dyDescent="0.2">
      <c r="A382" s="862" t="s">
        <v>471</v>
      </c>
      <c r="B382" s="861"/>
      <c r="C382" s="861"/>
      <c r="D382" s="861"/>
      <c r="E382" s="861"/>
      <c r="F382" s="861"/>
      <c r="G382" s="861"/>
      <c r="H382" s="861"/>
    </row>
    <row r="383" spans="1:8" x14ac:dyDescent="0.2">
      <c r="A383" s="862" t="s">
        <v>472</v>
      </c>
      <c r="B383" s="861"/>
      <c r="C383" s="861"/>
      <c r="D383" s="861"/>
      <c r="E383" s="861"/>
      <c r="F383" s="861"/>
      <c r="G383" s="861"/>
      <c r="H383" s="861"/>
    </row>
    <row r="384" spans="1:8" x14ac:dyDescent="0.2">
      <c r="A384" s="862" t="s">
        <v>473</v>
      </c>
      <c r="B384" s="861"/>
      <c r="C384" s="861"/>
      <c r="D384" s="861"/>
      <c r="E384" s="861"/>
      <c r="F384" s="861"/>
      <c r="G384" s="861"/>
      <c r="H384" s="861"/>
    </row>
    <row r="385" spans="1:8" x14ac:dyDescent="0.2">
      <c r="A385" s="862" t="s">
        <v>474</v>
      </c>
      <c r="B385" s="861"/>
      <c r="C385" s="861"/>
      <c r="D385" s="861"/>
      <c r="E385" s="861"/>
      <c r="F385" s="861"/>
      <c r="G385" s="861"/>
      <c r="H385" s="861"/>
    </row>
    <row r="386" spans="1:8" x14ac:dyDescent="0.2">
      <c r="A386" s="862" t="s">
        <v>475</v>
      </c>
      <c r="B386" s="861"/>
      <c r="C386" s="861"/>
      <c r="D386" s="861"/>
      <c r="E386" s="861"/>
      <c r="F386" s="861"/>
      <c r="G386" s="861"/>
      <c r="H386" s="861"/>
    </row>
    <row r="387" spans="1:8" x14ac:dyDescent="0.2">
      <c r="A387" s="861"/>
      <c r="B387" s="861"/>
      <c r="C387" s="861"/>
      <c r="D387" s="861"/>
      <c r="E387" s="861"/>
      <c r="F387" s="861"/>
      <c r="G387" s="861"/>
      <c r="H387" s="861"/>
    </row>
    <row r="388" spans="1:8" x14ac:dyDescent="0.2">
      <c r="A388" s="862" t="s">
        <v>465</v>
      </c>
      <c r="B388" s="861"/>
      <c r="C388" s="861"/>
      <c r="D388" s="861"/>
      <c r="E388" s="861"/>
      <c r="F388" s="861"/>
      <c r="G388" s="861"/>
      <c r="H388" s="861"/>
    </row>
    <row r="389" spans="1:8" x14ac:dyDescent="0.2">
      <c r="A389" s="862" t="s">
        <v>466</v>
      </c>
      <c r="B389" s="861"/>
      <c r="C389" s="861"/>
      <c r="D389" s="861"/>
      <c r="E389" s="861"/>
      <c r="F389" s="861"/>
      <c r="G389" s="861"/>
      <c r="H389" s="861"/>
    </row>
    <row r="390" spans="1:8" x14ac:dyDescent="0.2">
      <c r="A390" s="862" t="s">
        <v>467</v>
      </c>
      <c r="B390" s="861"/>
      <c r="C390" s="861"/>
      <c r="D390" s="861"/>
      <c r="E390" s="861"/>
      <c r="F390" s="861"/>
      <c r="G390" s="861"/>
      <c r="H390" s="861"/>
    </row>
    <row r="391" spans="1:8" x14ac:dyDescent="0.2">
      <c r="A391" s="862" t="s">
        <v>468</v>
      </c>
      <c r="B391" s="861"/>
      <c r="C391" s="861"/>
      <c r="D391" s="861"/>
      <c r="E391" s="861"/>
      <c r="F391" s="861"/>
      <c r="G391" s="861"/>
      <c r="H391" s="861"/>
    </row>
    <row r="392" spans="1:8" x14ac:dyDescent="0.2">
      <c r="A392" s="862" t="s">
        <v>469</v>
      </c>
      <c r="B392" s="861"/>
      <c r="C392" s="861"/>
      <c r="D392" s="861"/>
      <c r="E392" s="861"/>
      <c r="F392" s="861"/>
      <c r="G392" s="861"/>
      <c r="H392" s="861"/>
    </row>
    <row r="393" spans="1:8" x14ac:dyDescent="0.2">
      <c r="A393" s="861"/>
      <c r="B393" s="861"/>
      <c r="C393" s="861"/>
      <c r="D393" s="861"/>
      <c r="E393" s="861"/>
      <c r="F393" s="861"/>
      <c r="G393" s="861"/>
      <c r="H393" s="861"/>
    </row>
    <row r="394" spans="1:8" x14ac:dyDescent="0.2">
      <c r="A394" s="862" t="s">
        <v>463</v>
      </c>
      <c r="B394" s="861"/>
      <c r="C394" s="861"/>
      <c r="D394" s="861"/>
      <c r="E394" s="861"/>
      <c r="F394" s="861"/>
      <c r="G394" s="861"/>
      <c r="H394" s="861"/>
    </row>
    <row r="395" spans="1:8" x14ac:dyDescent="0.2">
      <c r="A395" s="862" t="s">
        <v>464</v>
      </c>
      <c r="B395" s="861"/>
      <c r="C395" s="861"/>
      <c r="D395" s="861"/>
      <c r="E395" s="861"/>
      <c r="F395" s="861"/>
      <c r="G395" s="861"/>
      <c r="H395" s="861"/>
    </row>
    <row r="397" spans="1:8" x14ac:dyDescent="0.2">
      <c r="A397" s="857" t="s">
        <v>723</v>
      </c>
    </row>
  </sheetData>
  <mergeCells count="12">
    <mergeCell ref="A120:H120"/>
    <mergeCell ref="A127:H127"/>
    <mergeCell ref="A114:H114"/>
    <mergeCell ref="A115:H115"/>
    <mergeCell ref="A116:H116"/>
    <mergeCell ref="A117:H117"/>
    <mergeCell ref="A119:H119"/>
    <mergeCell ref="A135:H135"/>
    <mergeCell ref="A136:H136"/>
    <mergeCell ref="B128:C128"/>
    <mergeCell ref="D128:F128"/>
    <mergeCell ref="G128:H128"/>
  </mergeCells>
  <pageMargins left="0.5" right="0.5" top="0.5" bottom="0.5" header="0.5" footer="0.5"/>
  <pageSetup orientation="portrait" horizontalDpi="300" verticalDpi="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B11"/>
  <sheetViews>
    <sheetView showGridLines="0" showRowColHeaders="0" workbookViewId="0">
      <selection activeCell="N1" sqref="N1"/>
    </sheetView>
  </sheetViews>
  <sheetFormatPr defaultRowHeight="12.75" x14ac:dyDescent="0.2"/>
  <cols>
    <col min="1" max="1" width="9.33203125" style="830"/>
    <col min="2" max="2" width="103" style="830" customWidth="1"/>
    <col min="3" max="257" width="9.33203125" style="830"/>
    <col min="258" max="258" width="103" style="830" customWidth="1"/>
    <col min="259" max="513" width="9.33203125" style="830"/>
    <col min="514" max="514" width="103" style="830" customWidth="1"/>
    <col min="515" max="769" width="9.33203125" style="830"/>
    <col min="770" max="770" width="103" style="830" customWidth="1"/>
    <col min="771" max="1025" width="9.33203125" style="830"/>
    <col min="1026" max="1026" width="103" style="830" customWidth="1"/>
    <col min="1027" max="1281" width="9.33203125" style="830"/>
    <col min="1282" max="1282" width="103" style="830" customWidth="1"/>
    <col min="1283" max="1537" width="9.33203125" style="830"/>
    <col min="1538" max="1538" width="103" style="830" customWidth="1"/>
    <col min="1539" max="1793" width="9.33203125" style="830"/>
    <col min="1794" max="1794" width="103" style="830" customWidth="1"/>
    <col min="1795" max="2049" width="9.33203125" style="830"/>
    <col min="2050" max="2050" width="103" style="830" customWidth="1"/>
    <col min="2051" max="2305" width="9.33203125" style="830"/>
    <col min="2306" max="2306" width="103" style="830" customWidth="1"/>
    <col min="2307" max="2561" width="9.33203125" style="830"/>
    <col min="2562" max="2562" width="103" style="830" customWidth="1"/>
    <col min="2563" max="2817" width="9.33203125" style="830"/>
    <col min="2818" max="2818" width="103" style="830" customWidth="1"/>
    <col min="2819" max="3073" width="9.33203125" style="830"/>
    <col min="3074" max="3074" width="103" style="830" customWidth="1"/>
    <col min="3075" max="3329" width="9.33203125" style="830"/>
    <col min="3330" max="3330" width="103" style="830" customWidth="1"/>
    <col min="3331" max="3585" width="9.33203125" style="830"/>
    <col min="3586" max="3586" width="103" style="830" customWidth="1"/>
    <col min="3587" max="3841" width="9.33203125" style="830"/>
    <col min="3842" max="3842" width="103" style="830" customWidth="1"/>
    <col min="3843" max="4097" width="9.33203125" style="830"/>
    <col min="4098" max="4098" width="103" style="830" customWidth="1"/>
    <col min="4099" max="4353" width="9.33203125" style="830"/>
    <col min="4354" max="4354" width="103" style="830" customWidth="1"/>
    <col min="4355" max="4609" width="9.33203125" style="830"/>
    <col min="4610" max="4610" width="103" style="830" customWidth="1"/>
    <col min="4611" max="4865" width="9.33203125" style="830"/>
    <col min="4866" max="4866" width="103" style="830" customWidth="1"/>
    <col min="4867" max="5121" width="9.33203125" style="830"/>
    <col min="5122" max="5122" width="103" style="830" customWidth="1"/>
    <col min="5123" max="5377" width="9.33203125" style="830"/>
    <col min="5378" max="5378" width="103" style="830" customWidth="1"/>
    <col min="5379" max="5633" width="9.33203125" style="830"/>
    <col min="5634" max="5634" width="103" style="830" customWidth="1"/>
    <col min="5635" max="5889" width="9.33203125" style="830"/>
    <col min="5890" max="5890" width="103" style="830" customWidth="1"/>
    <col min="5891" max="6145" width="9.33203125" style="830"/>
    <col min="6146" max="6146" width="103" style="830" customWidth="1"/>
    <col min="6147" max="6401" width="9.33203125" style="830"/>
    <col min="6402" max="6402" width="103" style="830" customWidth="1"/>
    <col min="6403" max="6657" width="9.33203125" style="830"/>
    <col min="6658" max="6658" width="103" style="830" customWidth="1"/>
    <col min="6659" max="6913" width="9.33203125" style="830"/>
    <col min="6914" max="6914" width="103" style="830" customWidth="1"/>
    <col min="6915" max="7169" width="9.33203125" style="830"/>
    <col min="7170" max="7170" width="103" style="830" customWidth="1"/>
    <col min="7171" max="7425" width="9.33203125" style="830"/>
    <col min="7426" max="7426" width="103" style="830" customWidth="1"/>
    <col min="7427" max="7681" width="9.33203125" style="830"/>
    <col min="7682" max="7682" width="103" style="830" customWidth="1"/>
    <col min="7683" max="7937" width="9.33203125" style="830"/>
    <col min="7938" max="7938" width="103" style="830" customWidth="1"/>
    <col min="7939" max="8193" width="9.33203125" style="830"/>
    <col min="8194" max="8194" width="103" style="830" customWidth="1"/>
    <col min="8195" max="8449" width="9.33203125" style="830"/>
    <col min="8450" max="8450" width="103" style="830" customWidth="1"/>
    <col min="8451" max="8705" width="9.33203125" style="830"/>
    <col min="8706" max="8706" width="103" style="830" customWidth="1"/>
    <col min="8707" max="8961" width="9.33203125" style="830"/>
    <col min="8962" max="8962" width="103" style="830" customWidth="1"/>
    <col min="8963" max="9217" width="9.33203125" style="830"/>
    <col min="9218" max="9218" width="103" style="830" customWidth="1"/>
    <col min="9219" max="9473" width="9.33203125" style="830"/>
    <col min="9474" max="9474" width="103" style="830" customWidth="1"/>
    <col min="9475" max="9729" width="9.33203125" style="830"/>
    <col min="9730" max="9730" width="103" style="830" customWidth="1"/>
    <col min="9731" max="9985" width="9.33203125" style="830"/>
    <col min="9986" max="9986" width="103" style="830" customWidth="1"/>
    <col min="9987" max="10241" width="9.33203125" style="830"/>
    <col min="10242" max="10242" width="103" style="830" customWidth="1"/>
    <col min="10243" max="10497" width="9.33203125" style="830"/>
    <col min="10498" max="10498" width="103" style="830" customWidth="1"/>
    <col min="10499" max="10753" width="9.33203125" style="830"/>
    <col min="10754" max="10754" width="103" style="830" customWidth="1"/>
    <col min="10755" max="11009" width="9.33203125" style="830"/>
    <col min="11010" max="11010" width="103" style="830" customWidth="1"/>
    <col min="11011" max="11265" width="9.33203125" style="830"/>
    <col min="11266" max="11266" width="103" style="830" customWidth="1"/>
    <col min="11267" max="11521" width="9.33203125" style="830"/>
    <col min="11522" max="11522" width="103" style="830" customWidth="1"/>
    <col min="11523" max="11777" width="9.33203125" style="830"/>
    <col min="11778" max="11778" width="103" style="830" customWidth="1"/>
    <col min="11779" max="12033" width="9.33203125" style="830"/>
    <col min="12034" max="12034" width="103" style="830" customWidth="1"/>
    <col min="12035" max="12289" width="9.33203125" style="830"/>
    <col min="12290" max="12290" width="103" style="830" customWidth="1"/>
    <col min="12291" max="12545" width="9.33203125" style="830"/>
    <col min="12546" max="12546" width="103" style="830" customWidth="1"/>
    <col min="12547" max="12801" width="9.33203125" style="830"/>
    <col min="12802" max="12802" width="103" style="830" customWidth="1"/>
    <col min="12803" max="13057" width="9.33203125" style="830"/>
    <col min="13058" max="13058" width="103" style="830" customWidth="1"/>
    <col min="13059" max="13313" width="9.33203125" style="830"/>
    <col min="13314" max="13314" width="103" style="830" customWidth="1"/>
    <col min="13315" max="13569" width="9.33203125" style="830"/>
    <col min="13570" max="13570" width="103" style="830" customWidth="1"/>
    <col min="13571" max="13825" width="9.33203125" style="830"/>
    <col min="13826" max="13826" width="103" style="830" customWidth="1"/>
    <col min="13827" max="14081" width="9.33203125" style="830"/>
    <col min="14082" max="14082" width="103" style="830" customWidth="1"/>
    <col min="14083" max="14337" width="9.33203125" style="830"/>
    <col min="14338" max="14338" width="103" style="830" customWidth="1"/>
    <col min="14339" max="14593" width="9.33203125" style="830"/>
    <col min="14594" max="14594" width="103" style="830" customWidth="1"/>
    <col min="14595" max="14849" width="9.33203125" style="830"/>
    <col min="14850" max="14850" width="103" style="830" customWidth="1"/>
    <col min="14851" max="15105" width="9.33203125" style="830"/>
    <col min="15106" max="15106" width="103" style="830" customWidth="1"/>
    <col min="15107" max="15361" width="9.33203125" style="830"/>
    <col min="15362" max="15362" width="103" style="830" customWidth="1"/>
    <col min="15363" max="15617" width="9.33203125" style="830"/>
    <col min="15618" max="15618" width="103" style="830" customWidth="1"/>
    <col min="15619" max="15873" width="9.33203125" style="830"/>
    <col min="15874" max="15874" width="103" style="830" customWidth="1"/>
    <col min="15875" max="16129" width="9.33203125" style="830"/>
    <col min="16130" max="16130" width="103" style="830" customWidth="1"/>
    <col min="16131" max="16384" width="9.33203125" style="830"/>
  </cols>
  <sheetData>
    <row r="1" spans="2:2" ht="32.25" customHeight="1" x14ac:dyDescent="0.2"/>
    <row r="2" spans="2:2" ht="72" hidden="1" x14ac:dyDescent="0.25">
      <c r="B2" s="873" t="s">
        <v>790</v>
      </c>
    </row>
    <row r="3" spans="2:2" ht="72" x14ac:dyDescent="0.25">
      <c r="B3" s="873" t="s">
        <v>791</v>
      </c>
    </row>
    <row r="4" spans="2:2" ht="18" hidden="1" x14ac:dyDescent="0.25">
      <c r="B4" s="873"/>
    </row>
    <row r="5" spans="2:2" ht="54" hidden="1" x14ac:dyDescent="0.25">
      <c r="B5" s="873" t="s">
        <v>792</v>
      </c>
    </row>
    <row r="6" spans="2:2" ht="7.5" customHeight="1" x14ac:dyDescent="0.25">
      <c r="B6" s="873"/>
    </row>
    <row r="7" spans="2:2" ht="18" x14ac:dyDescent="0.25">
      <c r="B7" s="874" t="s">
        <v>793</v>
      </c>
    </row>
    <row r="8" spans="2:2" ht="18" x14ac:dyDescent="0.25">
      <c r="B8" s="874" t="s">
        <v>795</v>
      </c>
    </row>
    <row r="9" spans="2:2" ht="18" x14ac:dyDescent="0.25">
      <c r="B9" s="874" t="s">
        <v>796</v>
      </c>
    </row>
    <row r="10" spans="2:2" ht="18" x14ac:dyDescent="0.25">
      <c r="B10" s="875"/>
    </row>
    <row r="11" spans="2:2" ht="54" x14ac:dyDescent="0.25">
      <c r="B11" s="876" t="s">
        <v>794</v>
      </c>
    </row>
  </sheetData>
  <dataConsolidate/>
  <pageMargins left="0.75" right="0.75" top="1" bottom="1" header="0.5" footer="0.5"/>
  <pageSetup orientation="portrait" horizontalDpi="3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23"/>
  <sheetViews>
    <sheetView zoomScaleNormal="100" workbookViewId="0"/>
  </sheetViews>
  <sheetFormatPr defaultColWidth="9.33203125" defaultRowHeight="11.25" customHeight="1" x14ac:dyDescent="0.2"/>
  <cols>
    <col min="1" max="1" width="7.6640625" style="611" customWidth="1"/>
    <col min="2" max="2" width="3.6640625" style="611" customWidth="1"/>
    <col min="3" max="3" width="17.83203125" style="611" customWidth="1"/>
    <col min="4" max="7" width="9.33203125" style="611"/>
    <col min="8" max="8" width="9.6640625" style="611" customWidth="1"/>
    <col min="9" max="10" width="9.33203125" style="611"/>
    <col min="11" max="11" width="29.1640625" style="611" customWidth="1"/>
    <col min="12" max="16384" width="9.33203125" style="611"/>
  </cols>
  <sheetData>
    <row r="1" spans="1:7" ht="11.25" customHeight="1" x14ac:dyDescent="0.2">
      <c r="A1" s="1"/>
      <c r="B1" s="1"/>
      <c r="C1" s="1"/>
      <c r="D1" s="1"/>
      <c r="E1" s="1"/>
      <c r="F1" s="1"/>
      <c r="G1" s="2"/>
    </row>
    <row r="2" spans="1:7" ht="11.25" customHeight="1" x14ac:dyDescent="0.2">
      <c r="A2" s="1"/>
      <c r="B2" s="1"/>
      <c r="C2" s="1"/>
      <c r="D2" s="1"/>
      <c r="E2" s="1"/>
      <c r="F2" s="1"/>
      <c r="G2" s="2"/>
    </row>
    <row r="3" spans="1:7" ht="11.25" customHeight="1" x14ac:dyDescent="0.2">
      <c r="A3" s="1"/>
      <c r="B3" s="1"/>
      <c r="C3" s="1"/>
      <c r="D3" s="1"/>
      <c r="E3" s="1"/>
      <c r="F3" s="1"/>
      <c r="G3" s="2"/>
    </row>
    <row r="4" spans="1:7" ht="11.25" customHeight="1" x14ac:dyDescent="0.2">
      <c r="A4" s="1"/>
      <c r="B4" s="1"/>
      <c r="C4" s="1"/>
      <c r="D4" s="1"/>
      <c r="E4" s="1"/>
      <c r="F4" s="1"/>
      <c r="G4" s="2"/>
    </row>
    <row r="5" spans="1:7" ht="11.25" customHeight="1" x14ac:dyDescent="0.2">
      <c r="A5" s="1"/>
      <c r="B5" s="1"/>
      <c r="C5" s="1"/>
      <c r="D5" s="1"/>
      <c r="E5" s="1"/>
      <c r="F5" s="1"/>
      <c r="G5" s="2"/>
    </row>
    <row r="6" spans="1:7" ht="11.25" customHeight="1" x14ac:dyDescent="0.2">
      <c r="A6" s="1"/>
      <c r="B6" s="1"/>
      <c r="C6" s="1"/>
      <c r="D6" s="1"/>
      <c r="E6" s="1"/>
      <c r="F6" s="1"/>
      <c r="G6" s="2"/>
    </row>
    <row r="7" spans="1:7" ht="11.25" customHeight="1" x14ac:dyDescent="0.2">
      <c r="A7" s="1"/>
      <c r="B7" s="1"/>
      <c r="C7" s="1"/>
      <c r="D7" s="1"/>
      <c r="E7" s="1"/>
      <c r="F7" s="1"/>
      <c r="G7" s="2"/>
    </row>
    <row r="8" spans="1:7" ht="11.25" customHeight="1" x14ac:dyDescent="0.2">
      <c r="A8" s="1"/>
      <c r="B8" s="1"/>
      <c r="C8" s="1"/>
      <c r="D8" s="1"/>
      <c r="E8" s="1"/>
      <c r="F8" s="1"/>
      <c r="G8" s="2"/>
    </row>
    <row r="9" spans="1:7" ht="11.25" customHeight="1" x14ac:dyDescent="0.2">
      <c r="A9" s="1"/>
      <c r="B9" s="1"/>
      <c r="C9" s="1"/>
      <c r="D9" s="1"/>
      <c r="E9" s="1"/>
      <c r="F9" s="3"/>
      <c r="G9" s="2"/>
    </row>
    <row r="10" spans="1:7" ht="11.25" customHeight="1" x14ac:dyDescent="0.25">
      <c r="A10" s="1"/>
      <c r="B10" s="4"/>
      <c r="C10" s="4"/>
      <c r="D10" s="4"/>
      <c r="E10" s="4"/>
      <c r="F10" s="4"/>
      <c r="G10" s="2"/>
    </row>
    <row r="11" spans="1:7" ht="11.25" customHeight="1" x14ac:dyDescent="0.2">
      <c r="A11" s="1"/>
      <c r="B11" s="3"/>
      <c r="C11" s="5"/>
      <c r="D11" s="5"/>
      <c r="E11" s="5"/>
      <c r="F11" s="6"/>
      <c r="G11" s="2"/>
    </row>
    <row r="12" spans="1:7" ht="21" customHeight="1" x14ac:dyDescent="0.25">
      <c r="A12" s="1"/>
      <c r="B12" s="7" t="s">
        <v>291</v>
      </c>
      <c r="C12" s="8"/>
      <c r="D12" s="9"/>
      <c r="E12" s="9"/>
      <c r="F12" s="10"/>
      <c r="G12" s="2"/>
    </row>
    <row r="13" spans="1:7" ht="11.25" customHeight="1" x14ac:dyDescent="0.2">
      <c r="A13" s="1"/>
      <c r="B13" s="8"/>
      <c r="C13" s="8"/>
      <c r="D13" s="9"/>
      <c r="E13" s="9"/>
      <c r="F13" s="10"/>
      <c r="G13" s="2"/>
    </row>
    <row r="14" spans="1:7" ht="11.25" customHeight="1" x14ac:dyDescent="0.2">
      <c r="A14" s="2"/>
      <c r="B14" s="2"/>
      <c r="C14" s="2"/>
      <c r="D14" s="2"/>
      <c r="E14" s="2"/>
      <c r="F14" s="2"/>
      <c r="G14" s="2"/>
    </row>
    <row r="15" spans="1:7" ht="11.25" customHeight="1" x14ac:dyDescent="0.2">
      <c r="A15" s="2"/>
      <c r="B15" s="2"/>
      <c r="C15" s="2"/>
      <c r="D15" s="2"/>
      <c r="E15" s="2"/>
      <c r="F15" s="2"/>
      <c r="G15" s="2"/>
    </row>
    <row r="16" spans="1:7" ht="5.25" customHeight="1" x14ac:dyDescent="0.2">
      <c r="A16" s="2"/>
      <c r="B16" s="2"/>
      <c r="C16" s="2"/>
      <c r="D16" s="2"/>
      <c r="E16" s="2"/>
      <c r="F16" s="2"/>
      <c r="G16" s="2"/>
    </row>
    <row r="17" spans="1:7" ht="12.75" x14ac:dyDescent="0.2">
      <c r="A17" s="2"/>
      <c r="B17" s="11" t="s">
        <v>105</v>
      </c>
      <c r="C17" s="2"/>
      <c r="D17" s="2"/>
      <c r="E17" s="2"/>
      <c r="F17" s="2"/>
      <c r="G17" s="2"/>
    </row>
    <row r="18" spans="1:7" ht="5.25" customHeight="1" x14ac:dyDescent="0.25">
      <c r="A18" s="2"/>
      <c r="B18" s="4"/>
      <c r="C18" s="2"/>
      <c r="D18" s="2"/>
      <c r="E18" s="2"/>
      <c r="F18" s="2"/>
      <c r="G18" s="2"/>
    </row>
    <row r="19" spans="1:7" ht="11.25" customHeight="1" x14ac:dyDescent="0.2">
      <c r="A19" s="12"/>
      <c r="B19" s="13" t="s">
        <v>106</v>
      </c>
      <c r="C19" s="14"/>
      <c r="D19" s="15"/>
      <c r="E19" s="15" t="s">
        <v>107</v>
      </c>
      <c r="F19" s="15"/>
      <c r="G19" s="16" t="s">
        <v>108</v>
      </c>
    </row>
    <row r="20" spans="1:7" ht="3.75" customHeight="1" x14ac:dyDescent="0.2">
      <c r="A20" s="2"/>
      <c r="B20" s="17"/>
      <c r="C20" s="8"/>
      <c r="D20" s="9"/>
      <c r="E20" s="9"/>
      <c r="F20" s="9"/>
      <c r="G20" s="10"/>
    </row>
    <row r="21" spans="1:7" ht="11.25" customHeight="1" x14ac:dyDescent="0.2">
      <c r="A21" s="2"/>
      <c r="B21" s="8" t="s">
        <v>390</v>
      </c>
      <c r="C21" s="8"/>
      <c r="D21" s="9"/>
      <c r="E21" s="9" t="s">
        <v>380</v>
      </c>
      <c r="F21" s="9"/>
      <c r="G21" s="10" t="s">
        <v>381</v>
      </c>
    </row>
    <row r="22" spans="1:7" ht="11.25" customHeight="1" x14ac:dyDescent="0.2">
      <c r="B22" s="8" t="s">
        <v>402</v>
      </c>
      <c r="C22" s="8"/>
      <c r="D22" s="9"/>
      <c r="E22" s="814" t="s">
        <v>403</v>
      </c>
      <c r="F22" s="9"/>
      <c r="G22" s="783" t="s">
        <v>404</v>
      </c>
    </row>
    <row r="23" spans="1:7" ht="11.25" customHeight="1" x14ac:dyDescent="0.2">
      <c r="B23" s="8" t="s">
        <v>408</v>
      </c>
      <c r="C23" s="8"/>
      <c r="D23" s="814"/>
      <c r="E23" s="814" t="s">
        <v>409</v>
      </c>
      <c r="F23" s="814"/>
      <c r="G23" s="783" t="s">
        <v>410</v>
      </c>
    </row>
  </sheetData>
  <phoneticPr fontId="2" type="noConversion"/>
  <hyperlinks>
    <hyperlink ref="G21" r:id="rId1"/>
    <hyperlink ref="G22" r:id="rId2" display="brandon.hoffman@morganstanley.com"/>
    <hyperlink ref="G23" r:id="rId3"/>
  </hyperlinks>
  <pageMargins left="0.75" right="0.75" top="1" bottom="1" header="0.5" footer="0.5"/>
  <pageSetup orientation="landscape" r:id="rId4"/>
  <headerFooter alignWithMargins="0"/>
  <drawing r:id="rId5"/>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HR361"/>
  <sheetViews>
    <sheetView showGridLines="0" zoomScale="80" zoomScaleNormal="80" workbookViewId="0">
      <pane xSplit="1" ySplit="6" topLeftCell="BI7" activePane="bottomRight" state="frozen"/>
      <selection activeCell="BM212" sqref="BM212"/>
      <selection pane="topRight" activeCell="BM212" sqref="BM212"/>
      <selection pane="bottomLeft" activeCell="BM212" sqref="BM212"/>
      <selection pane="bottomRight" activeCell="A53" sqref="A53:XFD53"/>
    </sheetView>
  </sheetViews>
  <sheetFormatPr defaultRowHeight="12.75" outlineLevelRow="2" outlineLevelCol="2" x14ac:dyDescent="0.2"/>
  <cols>
    <col min="1" max="1" width="55.6640625" customWidth="1"/>
    <col min="2" max="2" width="11.83203125" hidden="1" customWidth="1" outlineLevel="1"/>
    <col min="3" max="5" width="11.5" hidden="1" customWidth="1" outlineLevel="1"/>
    <col min="6" max="6" width="12" hidden="1" customWidth="1" collapsed="1"/>
    <col min="7" max="7" width="11.83203125" hidden="1" customWidth="1" outlineLevel="1"/>
    <col min="8" max="10" width="11.5" hidden="1" customWidth="1" outlineLevel="1"/>
    <col min="11" max="11" width="12" hidden="1" customWidth="1" collapsed="1"/>
    <col min="12" max="12" width="11.83203125" hidden="1" customWidth="1" outlineLevel="1"/>
    <col min="13" max="15" width="11.5" hidden="1" customWidth="1" outlineLevel="1"/>
    <col min="16" max="16" width="12" hidden="1" customWidth="1" collapsed="1"/>
    <col min="17" max="17" width="11.83203125" hidden="1" customWidth="1" outlineLevel="1"/>
    <col min="18" max="20" width="11.5" hidden="1" customWidth="1" outlineLevel="1"/>
    <col min="21" max="21" width="12" hidden="1" customWidth="1" collapsed="1"/>
    <col min="22" max="22" width="11.83203125" hidden="1" customWidth="1" outlineLevel="1"/>
    <col min="23" max="25" width="11.5" hidden="1" customWidth="1" outlineLevel="1"/>
    <col min="26" max="26" width="12" hidden="1" customWidth="1" collapsed="1"/>
    <col min="27" max="27" width="11.83203125" hidden="1" customWidth="1" outlineLevel="1"/>
    <col min="28" max="30" width="11.5" hidden="1" customWidth="1" outlineLevel="1"/>
    <col min="31" max="31" width="12" hidden="1" customWidth="1" collapsed="1"/>
    <col min="32" max="32" width="11.83203125" hidden="1" customWidth="1" outlineLevel="1"/>
    <col min="33" max="35" width="11.5" hidden="1" customWidth="1" outlineLevel="1"/>
    <col min="36" max="36" width="12" hidden="1" customWidth="1" collapsed="1"/>
    <col min="37" max="40" width="11.5" hidden="1" customWidth="1" outlineLevel="1"/>
    <col min="41" max="41" width="12" hidden="1" customWidth="1" collapsed="1"/>
    <col min="42" max="42" width="11.5" hidden="1" customWidth="1" outlineLevel="1"/>
    <col min="43" max="43" width="11" hidden="1" customWidth="1" outlineLevel="1"/>
    <col min="44" max="45" width="11.5" hidden="1" customWidth="1" outlineLevel="1"/>
    <col min="46" max="46" width="12" hidden="1" customWidth="1" collapsed="1"/>
    <col min="47" max="50" width="10.6640625" hidden="1" customWidth="1" outlineLevel="1"/>
    <col min="51" max="51" width="10.83203125" hidden="1" customWidth="1" collapsed="1"/>
    <col min="52" max="55" width="10.83203125" hidden="1" customWidth="1" outlineLevel="1"/>
    <col min="56" max="56" width="10.83203125" hidden="1" customWidth="1" collapsed="1"/>
    <col min="57" max="60" width="10.83203125" hidden="1" customWidth="1" outlineLevel="1"/>
    <col min="61" max="61" width="11.83203125" customWidth="1" collapsed="1"/>
    <col min="62" max="65" width="10.83203125" hidden="1" customWidth="1" outlineLevel="1"/>
    <col min="66" max="66" width="11.83203125" customWidth="1" collapsed="1"/>
    <col min="67" max="70" width="10.83203125" hidden="1" customWidth="1" outlineLevel="1"/>
    <col min="71" max="71" width="11.83203125" customWidth="1" collapsed="1"/>
    <col min="72" max="75" width="11.5" hidden="1" customWidth="1" outlineLevel="1"/>
    <col min="76" max="76" width="11.83203125" customWidth="1" collapsed="1"/>
    <col min="77" max="80" width="11.5" hidden="1" customWidth="1" outlineLevel="1"/>
    <col min="81" max="81" width="11.83203125" customWidth="1" collapsed="1"/>
    <col min="82" max="85" width="11.5" customWidth="1" outlineLevel="1"/>
    <col min="86" max="86" width="11.83203125" customWidth="1"/>
    <col min="87" max="90" width="11.5" customWidth="1" outlineLevel="1"/>
    <col min="91" max="91" width="11.83203125" customWidth="1"/>
    <col min="92" max="95" width="11.5" hidden="1" customWidth="1" outlineLevel="1"/>
    <col min="96" max="96" width="11.83203125" customWidth="1" collapsed="1"/>
    <col min="97" max="100" width="11.5" hidden="1" customWidth="1" outlineLevel="2"/>
    <col min="101" max="101" width="11.83203125" hidden="1" customWidth="1" outlineLevel="1" collapsed="1"/>
    <col min="102" max="105" width="11.5" hidden="1" customWidth="1" outlineLevel="2"/>
    <col min="106" max="106" width="11.83203125" hidden="1" customWidth="1" outlineLevel="1" collapsed="1"/>
    <col min="107" max="110" width="11.5" hidden="1" customWidth="1" outlineLevel="2"/>
    <col min="111" max="111" width="11.83203125" hidden="1" customWidth="1" outlineLevel="1" collapsed="1"/>
    <col min="112" max="112" width="9.33203125" collapsed="1"/>
    <col min="114" max="120" width="0" hidden="1" customWidth="1" outlineLevel="1"/>
    <col min="121" max="121" width="9.33203125" collapsed="1"/>
  </cols>
  <sheetData>
    <row r="1" spans="1:226" s="19" customFormat="1" x14ac:dyDescent="0.2">
      <c r="A1" s="492" t="s">
        <v>109</v>
      </c>
      <c r="B1" s="22"/>
      <c r="C1" s="571"/>
      <c r="D1" s="21"/>
      <c r="E1" s="24"/>
      <c r="G1" s="22"/>
      <c r="H1" s="571"/>
      <c r="I1" s="21"/>
      <c r="J1" s="24"/>
      <c r="L1" s="22"/>
      <c r="M1" s="571"/>
      <c r="N1" s="21"/>
      <c r="O1" s="24"/>
      <c r="Q1" s="22"/>
      <c r="R1" s="571"/>
      <c r="S1" s="21"/>
      <c r="T1" s="24"/>
      <c r="V1" s="22"/>
      <c r="W1" s="571"/>
      <c r="X1" s="21"/>
      <c r="Y1" s="24"/>
      <c r="AA1" s="22"/>
      <c r="AB1" s="571"/>
      <c r="AC1" s="21"/>
      <c r="AD1" s="24"/>
      <c r="AF1" s="22"/>
      <c r="AG1" s="571"/>
      <c r="AH1" s="21"/>
      <c r="AI1" s="24"/>
      <c r="AK1" s="686"/>
      <c r="AL1" s="686"/>
      <c r="AM1" s="686"/>
      <c r="AN1" s="686"/>
      <c r="AP1" s="686"/>
      <c r="AQ1" s="687"/>
      <c r="AR1" s="686"/>
      <c r="AS1" s="688"/>
      <c r="AU1" s="570"/>
      <c r="AV1" s="570"/>
      <c r="AW1" s="570"/>
      <c r="AY1" s="569"/>
      <c r="AZ1" s="570"/>
      <c r="BA1" s="655"/>
      <c r="BB1" s="569"/>
      <c r="BC1" s="570"/>
      <c r="BD1" s="570"/>
      <c r="BE1" s="570"/>
      <c r="BF1" s="570"/>
      <c r="BG1" s="570"/>
      <c r="BH1" s="570"/>
      <c r="BI1" s="569"/>
      <c r="BJ1" s="569"/>
      <c r="BK1" s="569"/>
      <c r="BL1" s="569"/>
      <c r="BM1" s="569"/>
      <c r="BN1" s="569"/>
      <c r="BO1" s="569"/>
      <c r="BP1" s="569"/>
      <c r="BQ1" s="569"/>
      <c r="BR1" s="569"/>
      <c r="BS1" s="569"/>
      <c r="BT1" s="569"/>
      <c r="BU1" s="569"/>
      <c r="BV1" s="569"/>
      <c r="BW1" s="569"/>
      <c r="BX1" s="569"/>
      <c r="BY1" s="569"/>
      <c r="BZ1" s="569"/>
      <c r="CA1" s="569"/>
      <c r="CB1" s="569"/>
      <c r="CC1" s="569"/>
      <c r="CD1" s="569"/>
      <c r="CE1" s="569"/>
      <c r="CF1" s="569"/>
      <c r="CG1" s="569"/>
      <c r="CH1" s="569"/>
      <c r="CI1" s="569"/>
      <c r="CJ1" s="569"/>
      <c r="CK1" s="569"/>
      <c r="CL1" s="569"/>
      <c r="CM1" s="569"/>
      <c r="CN1" s="569"/>
      <c r="CO1" s="569"/>
      <c r="CP1" s="569"/>
      <c r="CQ1" s="569"/>
      <c r="CR1" s="569"/>
      <c r="CS1" s="27"/>
      <c r="CT1" s="27"/>
      <c r="CU1" s="27"/>
      <c r="CV1" s="27"/>
      <c r="CW1" s="28"/>
      <c r="CX1" s="27"/>
      <c r="CY1" s="27"/>
      <c r="CZ1" s="27"/>
      <c r="DA1" s="27"/>
      <c r="DB1" s="28"/>
      <c r="DC1" s="27"/>
      <c r="DD1" s="27"/>
      <c r="DE1" s="27"/>
      <c r="DF1" s="27"/>
      <c r="DG1" s="28"/>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row>
    <row r="2" spans="1:226" s="19" customFormat="1" x14ac:dyDescent="0.2">
      <c r="A2" s="75"/>
      <c r="B2" s="686"/>
      <c r="C2" s="686"/>
      <c r="D2" s="686"/>
      <c r="E2" s="686"/>
      <c r="F2" s="689"/>
      <c r="G2" s="686"/>
      <c r="H2" s="686"/>
      <c r="I2" s="686"/>
      <c r="J2" s="686"/>
      <c r="K2" s="689"/>
      <c r="L2" s="686"/>
      <c r="M2" s="686"/>
      <c r="N2" s="686"/>
      <c r="O2" s="686"/>
      <c r="P2" s="689"/>
      <c r="Q2" s="686"/>
      <c r="R2" s="686"/>
      <c r="S2" s="686"/>
      <c r="T2" s="686"/>
      <c r="U2" s="689"/>
      <c r="V2" s="686"/>
      <c r="W2" s="686"/>
      <c r="X2" s="686"/>
      <c r="Y2" s="686"/>
      <c r="Z2" s="689"/>
      <c r="AA2" s="686"/>
      <c r="AB2" s="686"/>
      <c r="AC2" s="686"/>
      <c r="AD2" s="686"/>
      <c r="AE2" s="689"/>
      <c r="AF2" s="686"/>
      <c r="AG2" s="686"/>
      <c r="AH2" s="686"/>
      <c r="AI2" s="686"/>
      <c r="AJ2" s="689"/>
      <c r="AK2" s="686"/>
      <c r="AL2" s="687"/>
      <c r="AM2" s="686"/>
      <c r="AN2" s="688"/>
      <c r="AO2" s="689"/>
      <c r="AP2" s="686"/>
      <c r="AQ2" s="686"/>
      <c r="AR2" s="686"/>
      <c r="AS2" s="686"/>
      <c r="AT2" s="689"/>
      <c r="AU2" s="493"/>
      <c r="AV2" s="493"/>
      <c r="AW2" s="655"/>
      <c r="AX2" s="655"/>
      <c r="AY2" s="570"/>
      <c r="AZ2" s="570"/>
      <c r="BA2" s="570"/>
      <c r="BB2" s="690"/>
      <c r="BC2" s="655"/>
      <c r="BD2" s="493"/>
      <c r="BE2" s="493"/>
      <c r="BF2" s="570"/>
      <c r="BG2" s="493"/>
      <c r="BH2" s="493"/>
      <c r="BI2" s="569"/>
      <c r="BJ2" s="569"/>
      <c r="BK2" s="569"/>
      <c r="BL2" s="569"/>
      <c r="BM2" s="569"/>
      <c r="BN2" s="569"/>
      <c r="BO2" s="569"/>
      <c r="BP2" s="569"/>
      <c r="BQ2" s="569"/>
      <c r="BR2" s="569"/>
      <c r="BS2" s="569"/>
      <c r="BT2" s="569"/>
      <c r="BU2" s="569"/>
      <c r="BV2" s="569"/>
      <c r="BW2" s="569"/>
      <c r="BX2" s="569"/>
      <c r="BY2" s="569"/>
      <c r="BZ2" s="569"/>
      <c r="CA2" s="569"/>
      <c r="CB2" s="569"/>
      <c r="CC2" s="569"/>
      <c r="CD2" s="569"/>
      <c r="CE2" s="569"/>
      <c r="CF2" s="569"/>
      <c r="CG2" s="569"/>
      <c r="CH2" s="569"/>
      <c r="CI2" s="569"/>
      <c r="CJ2" s="569"/>
      <c r="CK2" s="569"/>
      <c r="CL2" s="569"/>
      <c r="CM2" s="569"/>
      <c r="CN2" s="569"/>
      <c r="CO2" s="569"/>
      <c r="CP2" s="569"/>
      <c r="CQ2" s="569"/>
      <c r="CR2" s="569"/>
      <c r="CS2" s="29"/>
      <c r="CT2" s="29"/>
      <c r="CU2" s="29"/>
      <c r="CV2" s="76"/>
      <c r="CW2" s="32"/>
      <c r="CX2" s="29"/>
      <c r="CY2" s="29"/>
      <c r="CZ2" s="29"/>
      <c r="DA2" s="76"/>
      <c r="DB2" s="32"/>
      <c r="DC2" s="29"/>
      <c r="DD2" s="29"/>
      <c r="DE2" s="29"/>
      <c r="DF2" s="76"/>
      <c r="DG2" s="3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row>
    <row r="3" spans="1:226" s="19" customFormat="1" x14ac:dyDescent="0.2">
      <c r="A3" s="75"/>
      <c r="B3" s="686"/>
      <c r="C3" s="686"/>
      <c r="D3" s="686"/>
      <c r="E3" s="686"/>
      <c r="F3" s="689"/>
      <c r="G3" s="686"/>
      <c r="H3" s="686"/>
      <c r="I3" s="686"/>
      <c r="J3" s="686"/>
      <c r="K3" s="689"/>
      <c r="L3" s="686"/>
      <c r="M3" s="686"/>
      <c r="N3" s="686"/>
      <c r="O3" s="686"/>
      <c r="P3" s="689"/>
      <c r="Q3" s="686"/>
      <c r="R3" s="686"/>
      <c r="S3" s="686"/>
      <c r="T3" s="686"/>
      <c r="U3" s="689"/>
      <c r="V3" s="686"/>
      <c r="W3" s="686"/>
      <c r="X3" s="686"/>
      <c r="Y3" s="686"/>
      <c r="Z3" s="689"/>
      <c r="AA3" s="686"/>
      <c r="AB3" s="686"/>
      <c r="AC3" s="686"/>
      <c r="AD3" s="686"/>
      <c r="AE3" s="689"/>
      <c r="AF3" s="686"/>
      <c r="AG3" s="686"/>
      <c r="AH3" s="686"/>
      <c r="AI3" s="686"/>
      <c r="AJ3" s="689"/>
      <c r="AK3" s="686"/>
      <c r="AL3" s="687"/>
      <c r="AM3" s="686"/>
      <c r="AN3" s="688"/>
      <c r="AO3" s="689"/>
      <c r="AP3" s="686"/>
      <c r="AQ3" s="686"/>
      <c r="AR3" s="686"/>
      <c r="AS3" s="686"/>
      <c r="AT3" s="689"/>
      <c r="AU3" s="493"/>
      <c r="AV3" s="655"/>
      <c r="AW3" s="350"/>
      <c r="AX3" s="350"/>
      <c r="AY3" s="589"/>
      <c r="AZ3" s="350"/>
      <c r="BA3" s="655"/>
      <c r="BB3" s="655"/>
      <c r="BC3" s="493"/>
      <c r="BD3" s="350"/>
      <c r="BE3" s="350"/>
      <c r="BF3" s="350"/>
      <c r="BH3" s="173"/>
      <c r="BI3" s="570"/>
      <c r="BJ3" s="570"/>
      <c r="BK3" s="570"/>
      <c r="BL3" s="570"/>
      <c r="BM3" s="570"/>
      <c r="BN3" s="570"/>
      <c r="BO3" s="570"/>
      <c r="BP3" s="570"/>
      <c r="BQ3" s="570"/>
      <c r="BR3" s="570"/>
      <c r="BS3" s="570"/>
      <c r="BT3" s="570"/>
      <c r="BU3" s="570"/>
      <c r="BV3" s="570"/>
      <c r="BW3" s="570"/>
      <c r="BX3" s="570"/>
      <c r="BY3" s="570"/>
      <c r="BZ3" s="570"/>
      <c r="CA3" s="570"/>
      <c r="CB3" s="570"/>
      <c r="CC3" s="570"/>
      <c r="CD3" s="570"/>
      <c r="CE3" s="570"/>
      <c r="CF3" s="570"/>
      <c r="CG3" s="570"/>
      <c r="CH3" s="569"/>
      <c r="CI3" s="570"/>
      <c r="CJ3" s="570"/>
      <c r="CK3" s="570"/>
      <c r="CL3" s="570"/>
      <c r="CM3" s="570"/>
      <c r="CN3" s="570"/>
      <c r="CO3" s="844"/>
      <c r="CP3" s="570"/>
      <c r="CQ3" s="570"/>
      <c r="CR3" s="570"/>
      <c r="CS3" s="29"/>
      <c r="CT3" s="29"/>
      <c r="CU3" s="29"/>
      <c r="CV3" s="76"/>
      <c r="CW3" s="86"/>
      <c r="CX3" s="29"/>
      <c r="CY3" s="29"/>
      <c r="CZ3" s="29"/>
      <c r="DA3" s="76"/>
      <c r="DB3" s="86"/>
      <c r="DC3" s="29"/>
      <c r="DD3" s="29"/>
      <c r="DE3" s="29"/>
      <c r="DF3" s="76"/>
      <c r="DG3" s="86"/>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row>
    <row r="4" spans="1:226" s="19" customFormat="1" x14ac:dyDescent="0.2">
      <c r="A4" s="75"/>
      <c r="B4" s="686"/>
      <c r="C4" s="686"/>
      <c r="D4" s="686"/>
      <c r="E4" s="686"/>
      <c r="F4" s="43"/>
      <c r="G4" s="686"/>
      <c r="H4" s="686"/>
      <c r="I4" s="686"/>
      <c r="J4" s="686"/>
      <c r="K4" s="43"/>
      <c r="L4" s="686"/>
      <c r="M4" s="686"/>
      <c r="N4" s="686"/>
      <c r="O4" s="686"/>
      <c r="P4" s="43"/>
      <c r="Q4" s="92" t="s">
        <v>228</v>
      </c>
      <c r="R4" s="686"/>
      <c r="S4" s="686"/>
      <c r="T4" s="686"/>
      <c r="U4" s="43"/>
      <c r="V4" s="686"/>
      <c r="W4" s="686"/>
      <c r="X4" s="686"/>
      <c r="Y4" s="686"/>
      <c r="Z4" s="43"/>
      <c r="AA4" s="686"/>
      <c r="AB4" s="686"/>
      <c r="AC4" s="686"/>
      <c r="AD4" s="686"/>
      <c r="AE4" s="43"/>
      <c r="AF4" s="686"/>
      <c r="AG4" s="686"/>
      <c r="AH4" s="686"/>
      <c r="AI4" s="686"/>
      <c r="AJ4" s="43"/>
      <c r="AK4" s="686"/>
      <c r="AL4" s="687"/>
      <c r="AM4" s="92"/>
      <c r="AN4" s="688"/>
      <c r="AO4" s="43"/>
      <c r="AP4" s="686"/>
      <c r="AQ4" s="686"/>
      <c r="AR4" s="686"/>
      <c r="AS4" s="686"/>
      <c r="AT4" s="132"/>
      <c r="AU4" s="603" t="s">
        <v>360</v>
      </c>
      <c r="AV4" s="493"/>
      <c r="AW4" s="586"/>
      <c r="AX4" s="586"/>
      <c r="AY4" s="590"/>
      <c r="AZ4" s="586"/>
      <c r="BA4" s="598"/>
      <c r="BB4" s="586"/>
      <c r="BC4" s="586"/>
      <c r="BD4" s="612"/>
      <c r="BE4" s="612"/>
      <c r="BF4" s="586"/>
      <c r="BG4" s="606"/>
      <c r="BH4" s="586"/>
      <c r="BI4" s="598"/>
      <c r="BJ4" s="598"/>
      <c r="BK4" s="598"/>
      <c r="BL4" s="598"/>
      <c r="BM4" s="598"/>
      <c r="BN4" s="598"/>
      <c r="BO4" s="598"/>
      <c r="BP4" s="598"/>
      <c r="BQ4" s="598"/>
      <c r="BR4" s="598"/>
      <c r="BS4" s="598"/>
      <c r="BT4" s="598"/>
      <c r="BU4" s="598"/>
      <c r="BV4" s="598"/>
      <c r="BW4" s="598"/>
      <c r="BX4" s="598"/>
      <c r="BY4" s="598"/>
      <c r="BZ4" s="598"/>
      <c r="CA4" s="598"/>
      <c r="CB4" s="598"/>
      <c r="CC4" s="598"/>
      <c r="CD4" s="598"/>
      <c r="CE4" s="598"/>
      <c r="CF4" s="598"/>
      <c r="CG4" s="598"/>
      <c r="CH4" s="569"/>
      <c r="CI4" s="598"/>
      <c r="CJ4" s="598"/>
      <c r="CK4" s="598"/>
      <c r="CL4" s="598"/>
      <c r="CM4" s="598"/>
      <c r="CN4" s="598"/>
      <c r="CO4" s="598"/>
      <c r="CP4" s="598"/>
      <c r="CQ4" s="598"/>
      <c r="CR4" s="598"/>
      <c r="CS4" s="29"/>
      <c r="CT4" s="29"/>
      <c r="CU4" s="29"/>
      <c r="CV4" s="76"/>
      <c r="CW4" s="350"/>
      <c r="CX4" s="29"/>
      <c r="CY4" s="29"/>
      <c r="CZ4" s="29"/>
      <c r="DA4" s="76"/>
      <c r="DB4" s="350"/>
      <c r="DC4" s="29"/>
      <c r="DD4" s="29"/>
      <c r="DE4" s="29"/>
      <c r="DF4" s="76"/>
      <c r="DG4" s="350"/>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row>
    <row r="5" spans="1:226" s="19" customFormat="1" x14ac:dyDescent="0.2">
      <c r="A5" s="691" t="s">
        <v>110</v>
      </c>
      <c r="B5" s="385">
        <v>36799</v>
      </c>
      <c r="C5" s="385">
        <v>36891</v>
      </c>
      <c r="D5" s="385">
        <v>36981</v>
      </c>
      <c r="E5" s="385">
        <v>37072</v>
      </c>
      <c r="F5" s="459">
        <v>2001</v>
      </c>
      <c r="G5" s="385">
        <v>37164</v>
      </c>
      <c r="H5" s="385">
        <v>37256</v>
      </c>
      <c r="I5" s="385">
        <v>37346</v>
      </c>
      <c r="J5" s="385">
        <v>37437</v>
      </c>
      <c r="K5" s="459">
        <v>2002</v>
      </c>
      <c r="L5" s="385">
        <v>37529</v>
      </c>
      <c r="M5" s="385">
        <v>37621</v>
      </c>
      <c r="N5" s="385">
        <v>37711</v>
      </c>
      <c r="O5" s="385">
        <v>37802</v>
      </c>
      <c r="P5" s="459">
        <v>2003</v>
      </c>
      <c r="Q5" s="385">
        <v>37894</v>
      </c>
      <c r="R5" s="385">
        <v>37986</v>
      </c>
      <c r="S5" s="385">
        <v>38077</v>
      </c>
      <c r="T5" s="385">
        <v>38168</v>
      </c>
      <c r="U5" s="459">
        <v>2004</v>
      </c>
      <c r="V5" s="385" t="s">
        <v>1</v>
      </c>
      <c r="W5" s="385" t="s">
        <v>2</v>
      </c>
      <c r="X5" s="385" t="s">
        <v>3</v>
      </c>
      <c r="Y5" s="385" t="s">
        <v>4</v>
      </c>
      <c r="Z5" s="459" t="s">
        <v>5</v>
      </c>
      <c r="AA5" s="385" t="s">
        <v>6</v>
      </c>
      <c r="AB5" s="385" t="s">
        <v>7</v>
      </c>
      <c r="AC5" s="385" t="s">
        <v>8</v>
      </c>
      <c r="AD5" s="385" t="s">
        <v>9</v>
      </c>
      <c r="AE5" s="459">
        <v>2006</v>
      </c>
      <c r="AF5" s="385" t="s">
        <v>10</v>
      </c>
      <c r="AG5" s="385" t="s">
        <v>11</v>
      </c>
      <c r="AH5" s="385" t="s">
        <v>12</v>
      </c>
      <c r="AI5" s="385" t="s">
        <v>13</v>
      </c>
      <c r="AJ5" s="459">
        <v>2007</v>
      </c>
      <c r="AK5" s="385" t="s">
        <v>14</v>
      </c>
      <c r="AL5" s="385" t="s">
        <v>15</v>
      </c>
      <c r="AM5" s="385" t="s">
        <v>16</v>
      </c>
      <c r="AN5" s="385" t="s">
        <v>17</v>
      </c>
      <c r="AO5" s="459">
        <v>2008</v>
      </c>
      <c r="AP5" s="385" t="s">
        <v>18</v>
      </c>
      <c r="AQ5" s="385" t="s">
        <v>19</v>
      </c>
      <c r="AR5" s="385" t="s">
        <v>138</v>
      </c>
      <c r="AS5" s="385" t="s">
        <v>139</v>
      </c>
      <c r="AT5" s="459">
        <v>2009</v>
      </c>
      <c r="AU5" s="385" t="s">
        <v>129</v>
      </c>
      <c r="AV5" s="385" t="s">
        <v>125</v>
      </c>
      <c r="AW5" s="385" t="s">
        <v>333</v>
      </c>
      <c r="AX5" s="385" t="s">
        <v>349</v>
      </c>
      <c r="AY5" s="459">
        <v>2010</v>
      </c>
      <c r="AZ5" s="385" t="s">
        <v>351</v>
      </c>
      <c r="BA5" s="385" t="s">
        <v>352</v>
      </c>
      <c r="BB5" s="385">
        <v>40613</v>
      </c>
      <c r="BC5" s="385" t="s">
        <v>361</v>
      </c>
      <c r="BD5" s="459">
        <v>2011</v>
      </c>
      <c r="BE5" s="385" t="s">
        <v>362</v>
      </c>
      <c r="BF5" s="385" t="s">
        <v>363</v>
      </c>
      <c r="BG5" s="385" t="s">
        <v>364</v>
      </c>
      <c r="BH5" s="385" t="s">
        <v>365</v>
      </c>
      <c r="BI5" s="459">
        <v>2012</v>
      </c>
      <c r="BJ5" s="385" t="s">
        <v>366</v>
      </c>
      <c r="BK5" s="385" t="s">
        <v>367</v>
      </c>
      <c r="BL5" s="385" t="s">
        <v>378</v>
      </c>
      <c r="BM5" s="385" t="s">
        <v>379</v>
      </c>
      <c r="BN5" s="459">
        <v>2013</v>
      </c>
      <c r="BO5" s="385" t="s">
        <v>382</v>
      </c>
      <c r="BP5" s="385" t="s">
        <v>383</v>
      </c>
      <c r="BQ5" s="385" t="s">
        <v>384</v>
      </c>
      <c r="BR5" s="385" t="s">
        <v>388</v>
      </c>
      <c r="BS5" s="459">
        <v>2014</v>
      </c>
      <c r="BT5" s="385" t="s">
        <v>389</v>
      </c>
      <c r="BU5" s="385" t="s">
        <v>391</v>
      </c>
      <c r="BV5" s="385" t="s">
        <v>392</v>
      </c>
      <c r="BW5" s="385" t="s">
        <v>393</v>
      </c>
      <c r="BX5" s="459">
        <v>2015</v>
      </c>
      <c r="BY5" s="385" t="s">
        <v>394</v>
      </c>
      <c r="BZ5" s="385" t="s">
        <v>395</v>
      </c>
      <c r="CA5" s="385" t="s">
        <v>396</v>
      </c>
      <c r="CB5" s="385" t="s">
        <v>397</v>
      </c>
      <c r="CC5" s="459">
        <v>2016</v>
      </c>
      <c r="CD5" s="385" t="s">
        <v>400</v>
      </c>
      <c r="CE5" s="385" t="s">
        <v>401</v>
      </c>
      <c r="CF5" s="385" t="s">
        <v>405</v>
      </c>
      <c r="CG5" s="385" t="s">
        <v>407</v>
      </c>
      <c r="CH5" s="459">
        <v>2017</v>
      </c>
      <c r="CI5" s="385" t="s">
        <v>411</v>
      </c>
      <c r="CJ5" s="385" t="s">
        <v>412</v>
      </c>
      <c r="CK5" s="385" t="s">
        <v>269</v>
      </c>
      <c r="CL5" s="385" t="s">
        <v>270</v>
      </c>
      <c r="CM5" s="459" t="s">
        <v>271</v>
      </c>
      <c r="CN5" s="385" t="s">
        <v>274</v>
      </c>
      <c r="CO5" s="385" t="s">
        <v>275</v>
      </c>
      <c r="CP5" s="385" t="s">
        <v>276</v>
      </c>
      <c r="CQ5" s="385" t="s">
        <v>277</v>
      </c>
      <c r="CR5" s="459" t="s">
        <v>278</v>
      </c>
      <c r="CS5" s="385" t="s">
        <v>272</v>
      </c>
      <c r="CT5" s="385" t="s">
        <v>273</v>
      </c>
      <c r="CU5" s="385" t="s">
        <v>279</v>
      </c>
      <c r="CV5" s="385" t="s">
        <v>280</v>
      </c>
      <c r="CW5" s="459" t="s">
        <v>281</v>
      </c>
      <c r="CX5" s="385" t="s">
        <v>368</v>
      </c>
      <c r="CY5" s="385" t="s">
        <v>369</v>
      </c>
      <c r="CZ5" s="385" t="s">
        <v>370</v>
      </c>
      <c r="DA5" s="385" t="s">
        <v>371</v>
      </c>
      <c r="DB5" s="459" t="s">
        <v>377</v>
      </c>
      <c r="DC5" s="385" t="s">
        <v>372</v>
      </c>
      <c r="DD5" s="385" t="s">
        <v>373</v>
      </c>
      <c r="DE5" s="385" t="s">
        <v>374</v>
      </c>
      <c r="DF5" s="385" t="s">
        <v>375</v>
      </c>
      <c r="DG5" s="459" t="s">
        <v>376</v>
      </c>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row>
    <row r="6" spans="1:226" s="19" customFormat="1" x14ac:dyDescent="0.2">
      <c r="A6" s="692" t="s">
        <v>287</v>
      </c>
      <c r="F6" s="455"/>
      <c r="K6" s="455"/>
      <c r="P6" s="455"/>
      <c r="U6" s="455"/>
      <c r="Z6" s="455"/>
      <c r="AE6" s="455"/>
      <c r="AJ6" s="455"/>
      <c r="AK6" s="31"/>
      <c r="AL6" s="31"/>
      <c r="AM6" s="31"/>
      <c r="AN6" s="693"/>
      <c r="AO6" s="455"/>
      <c r="AP6" s="31"/>
      <c r="AQ6" s="32"/>
      <c r="AR6" s="31"/>
      <c r="AS6" s="31"/>
      <c r="AT6" s="455"/>
      <c r="AU6" s="31"/>
      <c r="AV6" s="31"/>
      <c r="AW6" s="31"/>
      <c r="AX6" s="31"/>
      <c r="AY6" s="455"/>
      <c r="AZ6" s="31"/>
      <c r="BA6" s="31"/>
      <c r="BB6" s="31"/>
      <c r="BC6" s="31"/>
      <c r="BD6" s="455"/>
      <c r="BE6" s="31"/>
      <c r="BF6" s="31"/>
      <c r="BG6" s="31"/>
      <c r="BH6" s="31"/>
      <c r="BI6" s="455"/>
      <c r="BJ6" s="31"/>
      <c r="BK6" s="31"/>
      <c r="BL6" s="694"/>
      <c r="BM6" s="694"/>
      <c r="BN6" s="695"/>
      <c r="BO6" s="31"/>
      <c r="BP6" s="31"/>
      <c r="BQ6" s="31"/>
      <c r="BR6" s="31"/>
      <c r="BS6" s="455"/>
      <c r="BT6" s="31"/>
      <c r="BU6" s="31"/>
      <c r="BV6" s="31"/>
      <c r="BW6" s="31"/>
      <c r="BX6" s="455"/>
      <c r="BY6" s="31"/>
      <c r="BZ6" s="31"/>
      <c r="CA6" s="31"/>
      <c r="CB6" s="31"/>
      <c r="CC6" s="455"/>
      <c r="CD6" s="31"/>
      <c r="CE6" s="31"/>
      <c r="CF6" s="31"/>
      <c r="CG6" s="31"/>
      <c r="CH6" s="455"/>
      <c r="CI6" s="31"/>
      <c r="CJ6" s="31"/>
      <c r="CK6" s="31"/>
      <c r="CL6" s="31"/>
      <c r="CM6" s="455"/>
      <c r="CN6" s="31"/>
      <c r="CO6" s="31"/>
      <c r="CP6" s="31"/>
      <c r="CQ6" s="31"/>
      <c r="CR6" s="455"/>
      <c r="CS6" s="31"/>
      <c r="CT6" s="31"/>
      <c r="CU6" s="31"/>
      <c r="CV6" s="31"/>
      <c r="CW6" s="455"/>
      <c r="CX6" s="31"/>
      <c r="CY6" s="31"/>
      <c r="CZ6" s="31"/>
      <c r="DA6" s="31"/>
      <c r="DB6" s="455"/>
      <c r="DC6" s="31"/>
      <c r="DD6" s="31"/>
      <c r="DE6" s="31"/>
      <c r="DF6" s="31"/>
      <c r="DG6" s="455"/>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row>
    <row r="7" spans="1:226" s="34" customFormat="1" ht="12" customHeight="1" x14ac:dyDescent="0.2">
      <c r="A7" s="354" t="s">
        <v>20</v>
      </c>
      <c r="B7" s="34">
        <f>SegmentData!C23</f>
        <v>963</v>
      </c>
      <c r="C7" s="34">
        <f>SegmentData!D23</f>
        <v>876</v>
      </c>
      <c r="D7" s="34">
        <f>SegmentData!E23</f>
        <v>962</v>
      </c>
      <c r="E7" s="34">
        <f>SegmentData!F23</f>
        <v>1102</v>
      </c>
      <c r="F7" s="432">
        <f>SUM(B7:E7)</f>
        <v>3903</v>
      </c>
      <c r="G7" s="34">
        <v>984</v>
      </c>
      <c r="H7" s="34">
        <v>887</v>
      </c>
      <c r="I7" s="34">
        <v>1023</v>
      </c>
      <c r="J7" s="34">
        <v>1128</v>
      </c>
      <c r="K7" s="432">
        <f>SUM(G7:J7)</f>
        <v>4022</v>
      </c>
      <c r="L7" s="34">
        <v>1047</v>
      </c>
      <c r="M7" s="34">
        <v>926</v>
      </c>
      <c r="N7" s="34">
        <v>1019</v>
      </c>
      <c r="O7" s="34">
        <v>1152</v>
      </c>
      <c r="P7" s="432">
        <f>SUM(L7:O7)</f>
        <v>4144</v>
      </c>
      <c r="Q7" s="34">
        <v>1006</v>
      </c>
      <c r="R7" s="34">
        <v>920</v>
      </c>
      <c r="S7" s="34">
        <v>1051</v>
      </c>
      <c r="T7" s="34">
        <v>1185</v>
      </c>
      <c r="U7" s="432">
        <f>SUM(Q7:T7)</f>
        <v>4162</v>
      </c>
      <c r="V7" s="34">
        <v>1048</v>
      </c>
      <c r="W7" s="34">
        <v>1000</v>
      </c>
      <c r="X7" s="34">
        <v>1086</v>
      </c>
      <c r="Y7" s="34">
        <v>1254</v>
      </c>
      <c r="Z7" s="432">
        <f>SUM(V7:Y7)</f>
        <v>4388</v>
      </c>
      <c r="AA7" s="34">
        <v>1104</v>
      </c>
      <c r="AB7" s="34">
        <v>1064</v>
      </c>
      <c r="AC7" s="34">
        <v>1157</v>
      </c>
      <c r="AD7" s="34">
        <v>1319</v>
      </c>
      <c r="AE7" s="432">
        <f>SUM(AA7:AD7)</f>
        <v>4644</v>
      </c>
      <c r="AF7" s="34">
        <v>1161</v>
      </c>
      <c r="AG7" s="34">
        <v>1101</v>
      </c>
      <c r="AH7" s="34">
        <v>1241</v>
      </c>
      <c r="AI7" s="34">
        <v>1344</v>
      </c>
      <c r="AJ7" s="432">
        <f>SUM(AF7:AI7)</f>
        <v>4847</v>
      </c>
      <c r="AK7" s="34">
        <v>1239</v>
      </c>
      <c r="AL7" s="34">
        <v>1186</v>
      </c>
      <c r="AM7" s="34">
        <v>1353</v>
      </c>
      <c r="AN7" s="34">
        <v>1495</v>
      </c>
      <c r="AO7" s="432">
        <f>SegmentData!AP9</f>
        <v>5273</v>
      </c>
      <c r="AP7" s="34">
        <f>SegmentData!AQ9</f>
        <v>1384</v>
      </c>
      <c r="AQ7" s="34">
        <f>SegmentData!AR9</f>
        <v>1216</v>
      </c>
      <c r="AR7" s="34">
        <f>SegmentData!AS9</f>
        <v>1350</v>
      </c>
      <c r="AS7" s="34">
        <f>SegmentData!AT9</f>
        <v>1500</v>
      </c>
      <c r="AT7" s="432">
        <f>SUM(AP7:AS7)</f>
        <v>5450</v>
      </c>
      <c r="AU7" s="34">
        <v>1303</v>
      </c>
      <c r="AV7" s="34">
        <v>1215</v>
      </c>
      <c r="AW7" s="34">
        <v>1287</v>
      </c>
      <c r="AX7" s="257">
        <v>1429</v>
      </c>
      <c r="AY7" s="432">
        <f>SUM(AU7:AX7)</f>
        <v>5234</v>
      </c>
      <c r="AZ7" s="257">
        <f>1266</f>
        <v>1266</v>
      </c>
      <c r="BA7" s="257">
        <v>1179</v>
      </c>
      <c r="BB7" s="257">
        <v>1304</v>
      </c>
      <c r="BC7" s="257">
        <v>1482</v>
      </c>
      <c r="BD7" s="432">
        <f>SUM(AZ7:BC7)</f>
        <v>5231</v>
      </c>
      <c r="BE7" s="257">
        <v>1305</v>
      </c>
      <c r="BF7" s="257">
        <v>1221</v>
      </c>
      <c r="BG7" s="257">
        <v>1401</v>
      </c>
      <c r="BH7" s="257">
        <v>1541</v>
      </c>
      <c r="BI7" s="432">
        <f>SUM(BE7:BH7)</f>
        <v>5468</v>
      </c>
      <c r="BJ7" s="257">
        <v>1338</v>
      </c>
      <c r="BK7" s="257">
        <v>1325</v>
      </c>
      <c r="BL7" s="257">
        <f>SegmentData!BM9</f>
        <v>1413</v>
      </c>
      <c r="BM7" s="257">
        <v>1547</v>
      </c>
      <c r="BN7" s="432">
        <f>SUM(BJ7:BM7)</f>
        <v>5623</v>
      </c>
      <c r="BO7" s="257">
        <f>SegmentData!BP9</f>
        <v>1343</v>
      </c>
      <c r="BP7" s="257">
        <f>SegmentData!BQ9</f>
        <v>1308</v>
      </c>
      <c r="BQ7" s="257">
        <f>SegmentData!BR9</f>
        <v>1366</v>
      </c>
      <c r="BR7" s="257">
        <f>SegmentData!BS9</f>
        <v>1497</v>
      </c>
      <c r="BS7" s="432">
        <f>SUM(BO7:BR7)</f>
        <v>5514</v>
      </c>
      <c r="BT7" s="696">
        <v>1352</v>
      </c>
      <c r="BU7" s="257">
        <f>SegmentData!BV9</f>
        <v>1345</v>
      </c>
      <c r="BV7" s="257">
        <f>SegmentData!BW9</f>
        <v>1401</v>
      </c>
      <c r="BW7" s="257">
        <f>SegmentData!BX9</f>
        <v>1557</v>
      </c>
      <c r="BX7" s="432">
        <f>SUM(BT7:BW7)</f>
        <v>5655</v>
      </c>
      <c r="BY7" s="257">
        <f>SegmentData!BZ9</f>
        <v>1390</v>
      </c>
      <c r="BZ7" s="257">
        <f>SegmentData!CA9</f>
        <v>1345</v>
      </c>
      <c r="CA7" s="257">
        <f>SegmentData!CB9</f>
        <v>1426</v>
      </c>
      <c r="CB7" s="257">
        <f>SegmentData!CC9</f>
        <v>1600</v>
      </c>
      <c r="CC7" s="432">
        <f>SUM(BY7:CB7)</f>
        <v>5761</v>
      </c>
      <c r="CD7" s="257">
        <v>1443</v>
      </c>
      <c r="CE7" s="696">
        <f>SegmentData!CF9</f>
        <v>1406</v>
      </c>
      <c r="CF7" s="257">
        <f>SegmentData!CG9</f>
        <v>1477</v>
      </c>
      <c r="CG7" s="257">
        <f>SegmentData!CH9</f>
        <v>1647</v>
      </c>
      <c r="CH7" s="432">
        <f>SUM(CD7:CG7)</f>
        <v>5973</v>
      </c>
      <c r="CI7" s="257">
        <f>SegmentData!CJ9</f>
        <v>1500</v>
      </c>
      <c r="CJ7" s="832">
        <f>SegmentData!CK9</f>
        <v>1416</v>
      </c>
      <c r="CK7" s="257">
        <f>SegmentData!CL9</f>
        <v>1513.2152044024947</v>
      </c>
      <c r="CL7" s="257">
        <f ca="1">SegmentData!CM9</f>
        <v>1729.4018065204809</v>
      </c>
      <c r="CM7" s="432">
        <f ca="1">SUM(CI7:CL7)</f>
        <v>6158.6170109229761</v>
      </c>
      <c r="CN7" s="257">
        <f>SegmentData!CO9</f>
        <v>1583.436062865175</v>
      </c>
      <c r="CO7" s="257">
        <f>SegmentData!CP9</f>
        <v>1513.4780496056783</v>
      </c>
      <c r="CP7" s="257">
        <f>SegmentData!CQ9</f>
        <v>1617.9784190646069</v>
      </c>
      <c r="CQ7" s="257">
        <f ca="1">SegmentData!CR9</f>
        <v>1779.9508405025813</v>
      </c>
      <c r="CR7" s="432">
        <f ca="1">SUM(CN7:CQ7)</f>
        <v>6494.8433720380417</v>
      </c>
      <c r="CS7" s="257">
        <f>SegmentData!CT9</f>
        <v>1620.642485694108</v>
      </c>
      <c r="CT7" s="257">
        <f>SegmentData!CU9</f>
        <v>1549.8496618379338</v>
      </c>
      <c r="CU7" s="257">
        <f>SegmentData!CV9</f>
        <v>1656.0440114225141</v>
      </c>
      <c r="CV7" s="257">
        <f ca="1">SegmentData!CW9</f>
        <v>1820.6025203251968</v>
      </c>
      <c r="CW7" s="432">
        <f ca="1">SUM(CS7:CV7)</f>
        <v>6647.1386792797521</v>
      </c>
      <c r="CX7" s="257">
        <f>SegmentData!CY9</f>
        <v>1658.8902800503429</v>
      </c>
      <c r="CY7" s="257">
        <f>SegmentData!CZ9</f>
        <v>1587.2667991206406</v>
      </c>
      <c r="CZ7" s="257">
        <f>SegmentData!DA9</f>
        <v>1695.1833575865271</v>
      </c>
      <c r="DA7" s="257">
        <f ca="1">SegmentData!DB9</f>
        <v>1862.3730275473313</v>
      </c>
      <c r="DB7" s="432">
        <f ca="1">SUM(CX7:DA7)</f>
        <v>6803.713464304843</v>
      </c>
      <c r="DC7" s="257">
        <f>SegmentData!DD9</f>
        <v>1698.214115390108</v>
      </c>
      <c r="DD7" s="257">
        <f>SegmentData!DE9</f>
        <v>1625.7650666185696</v>
      </c>
      <c r="DE7" s="257">
        <f>SegmentData!DF9</f>
        <v>1735.4325641611708</v>
      </c>
      <c r="DF7" s="257">
        <f ca="1">SegmentData!DG9</f>
        <v>1905.2994029255733</v>
      </c>
      <c r="DG7" s="432">
        <f ca="1">SUM(DC7:DF7)</f>
        <v>6964.7111490954212</v>
      </c>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row>
    <row r="8" spans="1:226" s="43" customFormat="1" ht="12" customHeight="1" x14ac:dyDescent="0.2">
      <c r="A8" s="36" t="s">
        <v>21</v>
      </c>
      <c r="B8" s="49"/>
      <c r="C8" s="49"/>
      <c r="D8" s="49"/>
      <c r="E8" s="49"/>
      <c r="F8" s="433"/>
      <c r="G8" s="49">
        <f t="shared" ref="G8:AB8" si="0">G7/B7-1</f>
        <v>2.1806853582554409E-2</v>
      </c>
      <c r="H8" s="49">
        <f t="shared" si="0"/>
        <v>1.2557077625570789E-2</v>
      </c>
      <c r="I8" s="49">
        <f t="shared" si="0"/>
        <v>6.3409563409563496E-2</v>
      </c>
      <c r="J8" s="49">
        <f t="shared" si="0"/>
        <v>2.3593466424682408E-2</v>
      </c>
      <c r="K8" s="433">
        <f t="shared" si="0"/>
        <v>3.0489367153471614E-2</v>
      </c>
      <c r="L8" s="49">
        <f t="shared" si="0"/>
        <v>6.4024390243902385E-2</v>
      </c>
      <c r="M8" s="49">
        <f t="shared" si="0"/>
        <v>4.3968432919955003E-2</v>
      </c>
      <c r="N8" s="49">
        <f t="shared" si="0"/>
        <v>-3.910068426197455E-3</v>
      </c>
      <c r="O8" s="49">
        <f t="shared" si="0"/>
        <v>2.1276595744680771E-2</v>
      </c>
      <c r="P8" s="433">
        <f t="shared" si="0"/>
        <v>3.0333167578319165E-2</v>
      </c>
      <c r="Q8" s="697" t="s">
        <v>209</v>
      </c>
      <c r="R8" s="697" t="s">
        <v>209</v>
      </c>
      <c r="S8" s="697" t="s">
        <v>209</v>
      </c>
      <c r="T8" s="697" t="s">
        <v>209</v>
      </c>
      <c r="U8" s="698" t="s">
        <v>209</v>
      </c>
      <c r="V8" s="49">
        <f t="shared" si="0"/>
        <v>4.1749502982107334E-2</v>
      </c>
      <c r="W8" s="49">
        <f t="shared" si="0"/>
        <v>8.6956521739130377E-2</v>
      </c>
      <c r="X8" s="49">
        <f t="shared" si="0"/>
        <v>3.3301617507136116E-2</v>
      </c>
      <c r="Y8" s="49">
        <f t="shared" si="0"/>
        <v>5.8227848101265911E-2</v>
      </c>
      <c r="Z8" s="433">
        <f t="shared" si="0"/>
        <v>5.4300816914944816E-2</v>
      </c>
      <c r="AA8" s="49">
        <f t="shared" si="0"/>
        <v>5.3435114503816772E-2</v>
      </c>
      <c r="AB8" s="49">
        <f t="shared" si="0"/>
        <v>6.4000000000000057E-2</v>
      </c>
      <c r="AC8" s="49">
        <f t="shared" ref="AC8:AY8" si="1">AC7/X7-1</f>
        <v>6.5377532228360957E-2</v>
      </c>
      <c r="AD8" s="49">
        <f t="shared" si="1"/>
        <v>5.1834130781499121E-2</v>
      </c>
      <c r="AE8" s="433">
        <f t="shared" si="1"/>
        <v>5.8340929808568864E-2</v>
      </c>
      <c r="AF8" s="49">
        <f t="shared" si="1"/>
        <v>5.1630434782608647E-2</v>
      </c>
      <c r="AG8" s="49">
        <f t="shared" si="1"/>
        <v>3.4774436090225569E-2</v>
      </c>
      <c r="AH8" s="49">
        <f t="shared" si="1"/>
        <v>7.260155574762317E-2</v>
      </c>
      <c r="AI8" s="49">
        <f t="shared" si="1"/>
        <v>1.8953752843062999E-2</v>
      </c>
      <c r="AJ8" s="433">
        <f t="shared" si="1"/>
        <v>4.3712316968130827E-2</v>
      </c>
      <c r="AK8" s="49">
        <f t="shared" si="1"/>
        <v>6.7183462532299787E-2</v>
      </c>
      <c r="AL8" s="49">
        <f t="shared" si="1"/>
        <v>7.7202543142597557E-2</v>
      </c>
      <c r="AM8" s="49">
        <f t="shared" si="1"/>
        <v>9.0249798549556726E-2</v>
      </c>
      <c r="AN8" s="49">
        <f t="shared" si="1"/>
        <v>0.11235119047619047</v>
      </c>
      <c r="AO8" s="433">
        <f t="shared" si="1"/>
        <v>8.7889416133690945E-2</v>
      </c>
      <c r="AP8" s="49">
        <f t="shared" si="1"/>
        <v>0.11702986279257455</v>
      </c>
      <c r="AQ8" s="49">
        <f t="shared" si="1"/>
        <v>2.5295109612141653E-2</v>
      </c>
      <c r="AR8" s="49">
        <f t="shared" si="1"/>
        <v>-2.2172949002217113E-3</v>
      </c>
      <c r="AS8" s="49">
        <f t="shared" si="1"/>
        <v>3.3444816053511683E-3</v>
      </c>
      <c r="AT8" s="433">
        <f t="shared" si="1"/>
        <v>3.3567229281244115E-2</v>
      </c>
      <c r="AU8" s="49">
        <f t="shared" si="1"/>
        <v>-5.8526011560693592E-2</v>
      </c>
      <c r="AV8" s="49">
        <f t="shared" si="1"/>
        <v>-8.2236842105265495E-4</v>
      </c>
      <c r="AW8" s="49">
        <f t="shared" si="1"/>
        <v>-4.6666666666666634E-2</v>
      </c>
      <c r="AX8" s="49">
        <f t="shared" si="1"/>
        <v>-4.7333333333333338E-2</v>
      </c>
      <c r="AY8" s="433">
        <f t="shared" si="1"/>
        <v>-3.9633027522935738E-2</v>
      </c>
      <c r="AZ8" s="49">
        <f>AZ7/AU7-1</f>
        <v>-2.839600920951646E-2</v>
      </c>
      <c r="BA8" s="49">
        <f>BA7/AV7-1</f>
        <v>-2.9629629629629672E-2</v>
      </c>
      <c r="BB8" s="49">
        <f>BB7/AW7-1</f>
        <v>1.3209013209013243E-2</v>
      </c>
      <c r="BC8" s="49">
        <f>BC7/AX7-1</f>
        <v>3.7088873337998596E-2</v>
      </c>
      <c r="BD8" s="433">
        <f>BD7/AY7-1</f>
        <v>-5.7317539166990006E-4</v>
      </c>
      <c r="BE8" s="49">
        <f t="shared" ref="BE8:CW8" si="2">BE7/AZ7-1</f>
        <v>3.0805687203791399E-2</v>
      </c>
      <c r="BF8" s="49">
        <f t="shared" si="2"/>
        <v>3.5623409669211181E-2</v>
      </c>
      <c r="BG8" s="49">
        <f t="shared" si="2"/>
        <v>7.4386503067484622E-2</v>
      </c>
      <c r="BH8" s="49">
        <f t="shared" si="2"/>
        <v>3.9811066126855588E-2</v>
      </c>
      <c r="BI8" s="433">
        <f t="shared" si="2"/>
        <v>4.5306824698910342E-2</v>
      </c>
      <c r="BJ8" s="49">
        <f t="shared" si="2"/>
        <v>2.5287356321838983E-2</v>
      </c>
      <c r="BK8" s="49">
        <f t="shared" si="2"/>
        <v>8.5176085176085214E-2</v>
      </c>
      <c r="BL8" s="49">
        <f t="shared" si="2"/>
        <v>8.565310492505418E-3</v>
      </c>
      <c r="BM8" s="49">
        <f t="shared" si="2"/>
        <v>3.8935756002596023E-3</v>
      </c>
      <c r="BN8" s="433">
        <f t="shared" si="2"/>
        <v>2.8346744696415405E-2</v>
      </c>
      <c r="BO8" s="49">
        <f>BO7/BJ7-1</f>
        <v>3.7369207772794955E-3</v>
      </c>
      <c r="BP8" s="49">
        <f t="shared" si="2"/>
        <v>-1.2830188679245236E-2</v>
      </c>
      <c r="BQ8" s="49">
        <f t="shared" si="2"/>
        <v>-3.3262561924982337E-2</v>
      </c>
      <c r="BR8" s="49">
        <f t="shared" si="2"/>
        <v>-3.232062055591467E-2</v>
      </c>
      <c r="BS8" s="433">
        <f t="shared" si="2"/>
        <v>-1.9384670104926172E-2</v>
      </c>
      <c r="BT8" s="49">
        <f>BT7/BO7-1</f>
        <v>6.7014147431123661E-3</v>
      </c>
      <c r="BU8" s="49">
        <f t="shared" si="2"/>
        <v>2.828746177370034E-2</v>
      </c>
      <c r="BV8" s="49">
        <f t="shared" si="2"/>
        <v>2.5622254758418839E-2</v>
      </c>
      <c r="BW8" s="49">
        <f t="shared" si="2"/>
        <v>4.0080160320641323E-2</v>
      </c>
      <c r="BX8" s="433">
        <f>BX7/BS7-1</f>
        <v>2.5571273122959814E-2</v>
      </c>
      <c r="BY8" s="49">
        <f t="shared" si="2"/>
        <v>2.8106508875739733E-2</v>
      </c>
      <c r="BZ8" s="49">
        <f t="shared" si="2"/>
        <v>0</v>
      </c>
      <c r="CA8" s="49">
        <f t="shared" si="2"/>
        <v>1.7844396859386213E-2</v>
      </c>
      <c r="CB8" s="49">
        <f t="shared" si="2"/>
        <v>2.7617212588310958E-2</v>
      </c>
      <c r="CC8" s="433">
        <f>CC7/BX7-1</f>
        <v>1.8744473916887605E-2</v>
      </c>
      <c r="CD8" s="49">
        <f t="shared" si="2"/>
        <v>3.8129496402877772E-2</v>
      </c>
      <c r="CE8" s="701">
        <f t="shared" si="2"/>
        <v>4.5353159851301061E-2</v>
      </c>
      <c r="CF8" s="49">
        <f t="shared" si="2"/>
        <v>3.576437587657777E-2</v>
      </c>
      <c r="CG8" s="49">
        <f t="shared" si="2"/>
        <v>2.9374999999999929E-2</v>
      </c>
      <c r="CH8" s="433">
        <f t="shared" si="2"/>
        <v>3.6799166811317452E-2</v>
      </c>
      <c r="CI8" s="49">
        <f t="shared" si="2"/>
        <v>3.9501039501039559E-2</v>
      </c>
      <c r="CJ8" s="49">
        <f t="shared" si="2"/>
        <v>7.1123755334281391E-3</v>
      </c>
      <c r="CK8" s="49">
        <f t="shared" si="2"/>
        <v>2.4519434260321438E-2</v>
      </c>
      <c r="CL8" s="49">
        <f t="shared" ca="1" si="2"/>
        <v>5.0031455082259146E-2</v>
      </c>
      <c r="CM8" s="433">
        <f t="shared" ca="1" si="2"/>
        <v>3.107601053456821E-2</v>
      </c>
      <c r="CN8" s="49">
        <f t="shared" si="2"/>
        <v>5.5624041910116606E-2</v>
      </c>
      <c r="CO8" s="49">
        <f t="shared" si="2"/>
        <v>6.8840430512484563E-2</v>
      </c>
      <c r="CP8" s="49">
        <f t="shared" si="2"/>
        <v>6.9232198009455459E-2</v>
      </c>
      <c r="CQ8" s="49">
        <f t="shared" ca="1" si="2"/>
        <v>2.9229201560627471E-2</v>
      </c>
      <c r="CR8" s="433">
        <f t="shared" ca="1" si="2"/>
        <v>5.4594458547873925E-2</v>
      </c>
      <c r="CS8" s="49">
        <f t="shared" si="2"/>
        <v>2.3497268820320549E-2</v>
      </c>
      <c r="CT8" s="49">
        <f t="shared" si="2"/>
        <v>2.4031806897848229E-2</v>
      </c>
      <c r="CU8" s="49">
        <f t="shared" si="2"/>
        <v>2.3526637876859935E-2</v>
      </c>
      <c r="CV8" s="49">
        <f t="shared" ca="1" si="2"/>
        <v>2.2838653123216091E-2</v>
      </c>
      <c r="CW8" s="433">
        <f t="shared" ca="1" si="2"/>
        <v>2.3448649723776249E-2</v>
      </c>
      <c r="CX8" s="49">
        <f t="shared" ref="CX8:DG8" si="3">CX7/CS7-1</f>
        <v>2.3600389779892428E-2</v>
      </c>
      <c r="CY8" s="49">
        <f t="shared" si="3"/>
        <v>2.4142430200832843E-2</v>
      </c>
      <c r="CZ8" s="49">
        <f t="shared" si="3"/>
        <v>2.3634242745996126E-2</v>
      </c>
      <c r="DA8" s="49">
        <f t="shared" ca="1" si="3"/>
        <v>2.2943232669299762E-2</v>
      </c>
      <c r="DB8" s="433">
        <f t="shared" ca="1" si="3"/>
        <v>2.3555215646870797E-2</v>
      </c>
      <c r="DC8" s="49">
        <f t="shared" si="3"/>
        <v>2.3704904304202579E-2</v>
      </c>
      <c r="DD8" s="49">
        <f t="shared" si="3"/>
        <v>2.4254440097441377E-2</v>
      </c>
      <c r="DE8" s="49">
        <f t="shared" si="3"/>
        <v>2.3743276144444714E-2</v>
      </c>
      <c r="DF8" s="49">
        <f t="shared" ca="1" si="3"/>
        <v>2.3049289666084993E-2</v>
      </c>
      <c r="DG8" s="433">
        <f t="shared" ca="1" si="3"/>
        <v>2.3663207693157551E-2</v>
      </c>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row>
    <row r="9" spans="1:226" s="43" customFormat="1" ht="12" customHeight="1" x14ac:dyDescent="0.2">
      <c r="A9" s="36" t="s">
        <v>284</v>
      </c>
      <c r="B9" s="49"/>
      <c r="C9" s="49"/>
      <c r="D9" s="49"/>
      <c r="E9" s="49"/>
      <c r="F9" s="433"/>
      <c r="G9" s="49">
        <f>SegmentData!H33</f>
        <v>4.1806853582554412E-2</v>
      </c>
      <c r="H9" s="49">
        <f>SegmentData!I33</f>
        <v>4.2557077625570795E-2</v>
      </c>
      <c r="I9" s="49">
        <f>SegmentData!J33</f>
        <v>9.3409563409563495E-2</v>
      </c>
      <c r="J9" s="49">
        <f>SegmentData!K33</f>
        <v>5.3593466424682414E-2</v>
      </c>
      <c r="K9" s="433">
        <f>SegmentData!L33</f>
        <v>6.048936715347162E-2</v>
      </c>
      <c r="L9" s="49">
        <f>SegmentData!M33</f>
        <v>0.10402439024390239</v>
      </c>
      <c r="M9" s="49">
        <f>SegmentData!N33</f>
        <v>9.3968432919955006E-2</v>
      </c>
      <c r="N9" s="49">
        <f>SegmentData!O33</f>
        <v>2.1089931573802546E-2</v>
      </c>
      <c r="O9" s="49">
        <f>SegmentData!P33</f>
        <v>3.6276595744680777E-2</v>
      </c>
      <c r="P9" s="433">
        <f>SegmentData!Q33</f>
        <v>6.033316757831917E-2</v>
      </c>
      <c r="Q9" s="49">
        <f ca="1">SegmentData!R33</f>
        <v>1.4999999999999999E-2</v>
      </c>
      <c r="R9" s="49">
        <f ca="1">SegmentData!S33</f>
        <v>1.4999999999999999E-2</v>
      </c>
      <c r="S9" s="49">
        <f ca="1">SegmentData!T33</f>
        <v>5.5000000000000007E-2</v>
      </c>
      <c r="T9" s="49">
        <f ca="1">SegmentData!U33</f>
        <v>7.0000000000000007E-2</v>
      </c>
      <c r="U9" s="433">
        <f ca="1">SegmentData!V33</f>
        <v>3.3000000000000002E-2</v>
      </c>
      <c r="V9" s="49">
        <f>SegmentData!W33</f>
        <v>3.8749502982107331E-2</v>
      </c>
      <c r="W9" s="49">
        <f>SegmentData!X33</f>
        <v>8.5956521739130376E-2</v>
      </c>
      <c r="X9" s="49">
        <f>SegmentData!Y33</f>
        <v>3.2301617507136116E-2</v>
      </c>
      <c r="Y9" s="49">
        <f>SegmentData!Z33</f>
        <v>5.722784810126591E-2</v>
      </c>
      <c r="Z9" s="433">
        <f>SegmentData!AA33</f>
        <v>4.9300816914944819E-2</v>
      </c>
      <c r="AA9" s="49">
        <f>SegmentData!AB33</f>
        <v>4.343511450381677E-2</v>
      </c>
      <c r="AB9" s="49">
        <f>SegmentData!AC33</f>
        <v>6.800000000000006E-2</v>
      </c>
      <c r="AC9" s="49">
        <f>SegmentData!AD33</f>
        <v>6.7377532228360959E-2</v>
      </c>
      <c r="AD9" s="49">
        <f>SegmentData!AE33</f>
        <v>5.5834130781499118E-2</v>
      </c>
      <c r="AE9" s="433">
        <f>SegmentData!AF33</f>
        <v>5.5340929808568862E-2</v>
      </c>
      <c r="AF9" s="49">
        <f>SegmentData!AG33</f>
        <v>5.1630434782608647E-2</v>
      </c>
      <c r="AG9" s="49">
        <f>SegmentData!AH33</f>
        <v>3.4774436090225569E-2</v>
      </c>
      <c r="AH9" s="49">
        <f>SegmentData!AI33</f>
        <v>6.3601555747623162E-2</v>
      </c>
      <c r="AI9" s="49">
        <f>SegmentData!AJ33</f>
        <v>-3.0462471569370018E-3</v>
      </c>
      <c r="AJ9" s="433">
        <f>SegmentData!AK33</f>
        <v>3.4712316968130826E-2</v>
      </c>
      <c r="AK9" s="49">
        <f>SegmentData!AL33</f>
        <v>4.1183462532299785E-2</v>
      </c>
      <c r="AL9" s="49">
        <f>SegmentData!AM33</f>
        <v>3.5202543142597562E-2</v>
      </c>
      <c r="AM9" s="49">
        <f>SegmentData!AN33</f>
        <v>3.3249798549556724E-2</v>
      </c>
      <c r="AN9" s="49">
        <f>SegmentData!AO33</f>
        <v>7.5351190476190474E-2</v>
      </c>
      <c r="AO9" s="433">
        <f>SegmentData!AP33</f>
        <v>4.688941613369095E-2</v>
      </c>
      <c r="AP9" s="49">
        <f>SegmentData!AQ33</f>
        <v>8.3029862792574544E-2</v>
      </c>
      <c r="AQ9" s="49">
        <f>SegmentData!AR33</f>
        <v>3.2295109612141659E-2</v>
      </c>
      <c r="AR9" s="49">
        <f>SegmentData!AS33</f>
        <v>3.5782705099778288E-2</v>
      </c>
      <c r="AS9" s="49">
        <f>SegmentData!AT33</f>
        <v>3.2344481605351166E-2</v>
      </c>
      <c r="AT9" s="433">
        <f>SegmentData!AU33</f>
        <v>4.356722928124411E-2</v>
      </c>
      <c r="AU9" s="49">
        <v>1.132947976878616E-2</v>
      </c>
      <c r="AV9" s="49">
        <f>SegmentData!AW33</f>
        <v>3.5809210526315763E-2</v>
      </c>
      <c r="AW9" s="49">
        <f>SegmentData!AX33</f>
        <v>1.4851851851851883E-2</v>
      </c>
      <c r="AX9" s="49">
        <f>SegmentData!AY33</f>
        <v>2.2333333333333327E-2</v>
      </c>
      <c r="AY9" s="433">
        <f>SegmentData!AZ33</f>
        <v>2.0412844036697294E-2</v>
      </c>
      <c r="AZ9" s="49">
        <f>SegmentData!BA33</f>
        <v>-1.2E-2</v>
      </c>
      <c r="BA9" s="49">
        <f>SegmentData!BB33</f>
        <v>-2.9999999999999992E-3</v>
      </c>
      <c r="BB9" s="49">
        <f>SegmentData!BC33</f>
        <v>9.0000000000000011E-3</v>
      </c>
      <c r="BC9" s="49">
        <f>SegmentData!BD33</f>
        <v>3.2088873337998598E-2</v>
      </c>
      <c r="BD9" s="433">
        <f>SegmentData!BE33</f>
        <v>8.426824608330101E-3</v>
      </c>
      <c r="BE9" s="49">
        <f>SegmentData!BF33</f>
        <v>2.3805687203791399E-2</v>
      </c>
      <c r="BF9" s="49">
        <f>SegmentData!BG33</f>
        <v>4.0623409669211179E-2</v>
      </c>
      <c r="BG9" s="49">
        <f>SegmentData!BH33</f>
        <v>5.9386503067484622E-2</v>
      </c>
      <c r="BH9" s="49">
        <f>SegmentData!BI33</f>
        <v>3.481106612685559E-2</v>
      </c>
      <c r="BI9" s="433">
        <f>SegmentData!BJ33</f>
        <v>3.958382718409479E-2</v>
      </c>
      <c r="BJ9" s="49">
        <f>SegmentData!BK33</f>
        <v>1.8287356321838984E-2</v>
      </c>
      <c r="BK9" s="49">
        <f>SegmentData!BL33</f>
        <v>7.1176085176085216E-2</v>
      </c>
      <c r="BL9" s="49">
        <f>SegmentData!BM33</f>
        <v>1.5565310492505417E-2</v>
      </c>
      <c r="BM9" s="49">
        <f>SegmentData!BN33</f>
        <v>1.2893575600259603E-2</v>
      </c>
      <c r="BN9" s="433">
        <f ca="1">SegmentData!BO33</f>
        <v>2.7879846378931965E-2</v>
      </c>
      <c r="BO9" s="49">
        <f>SegmentData!BP33</f>
        <v>1.8736920777279495E-2</v>
      </c>
      <c r="BP9" s="49">
        <f>SegmentData!BQ33</f>
        <v>6.1698113207547638E-3</v>
      </c>
      <c r="BQ9" s="49">
        <f>SegmentData!BR33</f>
        <v>-1.2625619249823361E-3</v>
      </c>
      <c r="BR9" s="49">
        <f>SegmentData!BS33</f>
        <v>-4.3206205559146692E-3</v>
      </c>
      <c r="BS9" s="433">
        <f>SegmentData!BT33</f>
        <v>4.4063667081628921E-3</v>
      </c>
      <c r="BT9" s="49">
        <f>SegmentData!BU33</f>
        <v>2.5701414743112369E-2</v>
      </c>
      <c r="BU9" s="49">
        <f>SegmentData!BV33</f>
        <v>5.6287461773700337E-2</v>
      </c>
      <c r="BV9" s="49">
        <f>SegmentData!BW33</f>
        <v>4.5622254758418843E-2</v>
      </c>
      <c r="BW9" s="49">
        <f>SegmentData!BX33</f>
        <v>6.0080160320641326E-2</v>
      </c>
      <c r="BX9" s="433">
        <f>SegmentData!BY33</f>
        <v>4.7225426187885416E-2</v>
      </c>
      <c r="BY9" s="49">
        <f>SegmentData!BZ33</f>
        <v>5.610650887573973E-2</v>
      </c>
      <c r="BZ9" s="49">
        <f>SegmentData!CA33</f>
        <v>2.7000000000000003E-2</v>
      </c>
      <c r="CA9" s="49">
        <f>SegmentData!CB33</f>
        <v>5.0844396859386215E-2</v>
      </c>
      <c r="CB9" s="49">
        <f ca="1">SegmentData!CC33</f>
        <v>3.7876364804110572E-2</v>
      </c>
      <c r="CC9" s="433">
        <f ca="1">SegmentData!CD33</f>
        <v>4.2860742705570297E-2</v>
      </c>
      <c r="CD9" s="49">
        <f>SegmentData!CE33</f>
        <v>3.7129496402877771E-2</v>
      </c>
      <c r="CE9" s="701">
        <f>SegmentData!CF33</f>
        <v>4.4353159851301061E-2</v>
      </c>
      <c r="CF9" s="49">
        <f>SegmentData!CG33</f>
        <v>1.6764375876577767E-2</v>
      </c>
      <c r="CG9" s="49">
        <f>SegmentData!CH33</f>
        <v>2.0374999999999928E-2</v>
      </c>
      <c r="CH9" s="433">
        <f>SegmentData!CI33</f>
        <v>2.8075225655268203E-2</v>
      </c>
      <c r="CI9" s="49">
        <f>SegmentData!CJ33</f>
        <v>4.3201663201663257E-2</v>
      </c>
      <c r="CJ9" s="49">
        <f ca="1">SegmentData!CK33</f>
        <v>1.2906402144151665E-2</v>
      </c>
      <c r="CK9" s="49">
        <f>SegmentData!CL33</f>
        <v>2.8486797562626946E-2</v>
      </c>
      <c r="CL9" s="49">
        <f ca="1">SegmentData!CM33</f>
        <v>3.6174012498678021E-2</v>
      </c>
      <c r="CM9" s="433">
        <f>SegmentData!CN33</f>
        <v>3.0493889167922318E-2</v>
      </c>
      <c r="CN9" s="49">
        <f>SegmentData!CO33</f>
        <v>2.2506666666666668E-2</v>
      </c>
      <c r="CO9" s="49">
        <f>SegmentData!CP33</f>
        <v>3.0918079096045197E-2</v>
      </c>
      <c r="CP9" s="49">
        <f>SegmentData!CQ33</f>
        <v>3.0973980462089601E-2</v>
      </c>
      <c r="CQ9" s="49">
        <f ca="1">SegmentData!CR33</f>
        <v>1.7779192319277826E-2</v>
      </c>
      <c r="CR9" s="433">
        <f ca="1">SegmentData!CS33</f>
        <v>2.5193588952900459E-2</v>
      </c>
      <c r="CS9" s="49">
        <f>SegmentData!CT33</f>
        <v>2.349726882032047E-2</v>
      </c>
      <c r="CT9" s="49">
        <f>SegmentData!CU33</f>
        <v>2.4031806897848167E-2</v>
      </c>
      <c r="CU9" s="49">
        <f>SegmentData!CV33</f>
        <v>2.3526637876859914E-2</v>
      </c>
      <c r="CV9" s="49">
        <f ca="1">SegmentData!CW33</f>
        <v>2.2838653123216535E-2</v>
      </c>
      <c r="CW9" s="433">
        <f ca="1">SegmentData!CX33</f>
        <v>2.3448649723776565E-2</v>
      </c>
      <c r="CX9" s="49">
        <f>SegmentData!CY33</f>
        <v>2.3600389779892532E-2</v>
      </c>
      <c r="CY9" s="49">
        <f>SegmentData!CZ33</f>
        <v>2.4142430200833051E-2</v>
      </c>
      <c r="CZ9" s="49">
        <f>SegmentData!DA33</f>
        <v>2.3634242745996278E-2</v>
      </c>
      <c r="DA9" s="49">
        <f ca="1">SegmentData!DB33</f>
        <v>2.2943232669299408E-2</v>
      </c>
      <c r="DB9" s="433">
        <f ca="1">SegmentData!DC33</f>
        <v>2.3555215646870555E-2</v>
      </c>
      <c r="DC9" s="49">
        <f>SegmentData!DD33</f>
        <v>2.3704904304202714E-2</v>
      </c>
      <c r="DD9" s="49">
        <f>SegmentData!DE33</f>
        <v>2.4254440097441213E-2</v>
      </c>
      <c r="DE9" s="49">
        <f>SegmentData!DF33</f>
        <v>2.3743276144444624E-2</v>
      </c>
      <c r="DF9" s="49">
        <f ca="1">SegmentData!DG33</f>
        <v>2.3049289666085149E-2</v>
      </c>
      <c r="DG9" s="433">
        <f ca="1">SegmentData!DH33</f>
        <v>2.3663207693157912E-2</v>
      </c>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row>
    <row r="10" spans="1:226" s="43" customFormat="1" ht="3.75" customHeight="1" x14ac:dyDescent="0.2">
      <c r="A10" s="36"/>
      <c r="B10" s="61"/>
      <c r="C10" s="61"/>
      <c r="D10" s="61"/>
      <c r="E10" s="61"/>
      <c r="F10" s="434"/>
      <c r="G10" s="61"/>
      <c r="H10" s="61"/>
      <c r="I10" s="61"/>
      <c r="J10" s="61"/>
      <c r="K10" s="434"/>
      <c r="L10" s="61"/>
      <c r="M10" s="61"/>
      <c r="N10" s="61"/>
      <c r="O10" s="61"/>
      <c r="P10" s="434"/>
      <c r="Q10" s="61"/>
      <c r="R10" s="61"/>
      <c r="S10" s="61"/>
      <c r="T10" s="61"/>
      <c r="U10" s="434"/>
      <c r="V10" s="61"/>
      <c r="W10" s="61"/>
      <c r="X10" s="61"/>
      <c r="Y10" s="61"/>
      <c r="Z10" s="434"/>
      <c r="AA10" s="61"/>
      <c r="AB10" s="61"/>
      <c r="AC10" s="61"/>
      <c r="AD10" s="61"/>
      <c r="AE10" s="434"/>
      <c r="AF10" s="61"/>
      <c r="AG10" s="61"/>
      <c r="AH10" s="61"/>
      <c r="AI10" s="61"/>
      <c r="AJ10" s="434"/>
      <c r="AK10" s="61"/>
      <c r="AL10" s="61"/>
      <c r="AM10" s="61"/>
      <c r="AN10" s="61"/>
      <c r="AO10" s="434"/>
      <c r="AP10" s="61"/>
      <c r="AQ10" s="61"/>
      <c r="AR10" s="61"/>
      <c r="AS10" s="61"/>
      <c r="AT10" s="434"/>
      <c r="AU10" s="61"/>
      <c r="AV10" s="699"/>
      <c r="AW10" s="699"/>
      <c r="AX10" s="61"/>
      <c r="AY10" s="434"/>
      <c r="AZ10" s="61"/>
      <c r="BA10" s="61"/>
      <c r="BB10" s="61"/>
      <c r="BC10" s="61"/>
      <c r="BD10" s="434"/>
      <c r="BE10" s="61"/>
      <c r="BF10" s="61"/>
      <c r="BG10" s="61"/>
      <c r="BH10" s="61"/>
      <c r="BI10" s="434"/>
      <c r="BJ10" s="61"/>
      <c r="BK10" s="61"/>
      <c r="BL10" s="61"/>
      <c r="BM10" s="61"/>
      <c r="BN10" s="434"/>
      <c r="BO10" s="61"/>
      <c r="BP10" s="61"/>
      <c r="BQ10" s="61"/>
      <c r="BR10" s="61"/>
      <c r="BS10" s="434"/>
      <c r="BT10" s="61"/>
      <c r="BU10" s="61"/>
      <c r="BV10" s="61"/>
      <c r="BW10" s="61"/>
      <c r="BX10" s="434"/>
      <c r="BY10" s="61"/>
      <c r="BZ10" s="61"/>
      <c r="CA10" s="61"/>
      <c r="CB10" s="61"/>
      <c r="CC10" s="434"/>
      <c r="CD10" s="61"/>
      <c r="CE10" s="706"/>
      <c r="CF10" s="61"/>
      <c r="CG10" s="61"/>
      <c r="CH10" s="434"/>
      <c r="CI10" s="61"/>
      <c r="CJ10" s="61"/>
      <c r="CK10" s="61"/>
      <c r="CL10" s="61"/>
      <c r="CM10" s="434"/>
      <c r="CN10" s="61"/>
      <c r="CO10" s="61"/>
      <c r="CP10" s="61"/>
      <c r="CQ10" s="61"/>
      <c r="CR10" s="434"/>
      <c r="CS10" s="61"/>
      <c r="CT10" s="61"/>
      <c r="CU10" s="61"/>
      <c r="CV10" s="61"/>
      <c r="CW10" s="434"/>
      <c r="CX10" s="61"/>
      <c r="CY10" s="61"/>
      <c r="CZ10" s="61"/>
      <c r="DA10" s="61"/>
      <c r="DB10" s="434"/>
      <c r="DC10" s="61"/>
      <c r="DD10" s="61"/>
      <c r="DE10" s="61"/>
      <c r="DF10" s="61"/>
      <c r="DG10" s="434"/>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row>
    <row r="11" spans="1:226" s="35" customFormat="1" ht="12" customHeight="1" x14ac:dyDescent="0.2">
      <c r="A11" s="262" t="s">
        <v>22</v>
      </c>
      <c r="B11" s="35">
        <f>-(499.8+60.7-11.5)</f>
        <v>-549</v>
      </c>
      <c r="C11" s="35">
        <f>-(473.4+52.6-12)</f>
        <v>-514</v>
      </c>
      <c r="D11" s="35">
        <f>-(513.4+60.6-13)</f>
        <v>-561</v>
      </c>
      <c r="E11" s="35">
        <f>-(599.9+71.6-13.5)</f>
        <v>-658</v>
      </c>
      <c r="F11" s="435">
        <f>SUM(B11:E11)</f>
        <v>-2282</v>
      </c>
      <c r="G11" s="35">
        <v>-560</v>
      </c>
      <c r="H11" s="35">
        <v>-505</v>
      </c>
      <c r="I11" s="35">
        <v>-589</v>
      </c>
      <c r="J11" s="35">
        <v>-625</v>
      </c>
      <c r="K11" s="435">
        <f>SUM(G11:J11)</f>
        <v>-2279</v>
      </c>
      <c r="L11" s="35">
        <f>-(444.2+111.3-11.5)</f>
        <v>-544</v>
      </c>
      <c r="M11" s="35">
        <f>-(409.4+98.6-12)</f>
        <v>-496</v>
      </c>
      <c r="N11" s="35">
        <f>-(471.2+96.8-13)</f>
        <v>-555</v>
      </c>
      <c r="O11" s="35">
        <v>-630</v>
      </c>
      <c r="P11" s="435">
        <f>SUM(L11:O11)</f>
        <v>-2225</v>
      </c>
      <c r="Q11" s="35">
        <f>-(591-14)</f>
        <v>-577</v>
      </c>
      <c r="R11" s="35">
        <f>-(535-8)</f>
        <v>-527</v>
      </c>
      <c r="S11" s="35">
        <f>-(596-12)</f>
        <v>-584</v>
      </c>
      <c r="T11" s="35">
        <f>-(665-22)</f>
        <v>-643</v>
      </c>
      <c r="U11" s="435">
        <f>SUM(Q11:T11)</f>
        <v>-2331</v>
      </c>
      <c r="V11" s="35">
        <f>-(605-14)</f>
        <v>-591</v>
      </c>
      <c r="W11" s="35">
        <v>-569</v>
      </c>
      <c r="X11" s="35">
        <v>-632</v>
      </c>
      <c r="Y11" s="35">
        <v>-701</v>
      </c>
      <c r="Z11" s="435">
        <f>SUM(V11:Y11)</f>
        <v>-2493</v>
      </c>
      <c r="AA11" s="35">
        <v>-638</v>
      </c>
      <c r="AB11" s="35">
        <v>-628</v>
      </c>
      <c r="AC11" s="35">
        <v>-677</v>
      </c>
      <c r="AD11" s="35">
        <v>-742</v>
      </c>
      <c r="AE11" s="435">
        <f>SUM(AA11:AD11)</f>
        <v>-2685</v>
      </c>
      <c r="AF11" s="35">
        <v>-663</v>
      </c>
      <c r="AG11" s="35">
        <v>-639</v>
      </c>
      <c r="AH11" s="35">
        <v>-704</v>
      </c>
      <c r="AI11" s="35">
        <v>-750</v>
      </c>
      <c r="AJ11" s="435">
        <f>SUM(AF11:AI11)</f>
        <v>-2756</v>
      </c>
      <c r="AK11" s="35">
        <v>-711</v>
      </c>
      <c r="AL11" s="35">
        <v>-707</v>
      </c>
      <c r="AM11" s="35">
        <v>-815</v>
      </c>
      <c r="AN11" s="44">
        <v>-865</v>
      </c>
      <c r="AO11" s="435">
        <f>SUM(AK11:AN11)</f>
        <v>-3098</v>
      </c>
      <c r="AP11" s="35">
        <v>-822</v>
      </c>
      <c r="AQ11" s="35">
        <v>-730</v>
      </c>
      <c r="AR11" s="35">
        <v>-739</v>
      </c>
      <c r="AS11" s="35">
        <v>-813</v>
      </c>
      <c r="AT11" s="435">
        <f>SUM(AP11:AS11)</f>
        <v>-3104</v>
      </c>
      <c r="AU11" s="35">
        <v>-720</v>
      </c>
      <c r="AV11" s="35">
        <v>-686</v>
      </c>
      <c r="AW11" s="35">
        <v>-713</v>
      </c>
      <c r="AX11" s="35">
        <v>-796</v>
      </c>
      <c r="AY11" s="435">
        <v>-2915</v>
      </c>
      <c r="AZ11" s="35">
        <v>-705</v>
      </c>
      <c r="BA11" s="35">
        <v>-687</v>
      </c>
      <c r="BB11" s="35">
        <v>-729</v>
      </c>
      <c r="BC11" s="35">
        <v>-837</v>
      </c>
      <c r="BD11" s="435">
        <f>SUM(AZ11:BC11)</f>
        <v>-2958</v>
      </c>
      <c r="BE11" s="35">
        <v>-759</v>
      </c>
      <c r="BF11" s="35">
        <v>-714</v>
      </c>
      <c r="BG11" s="35">
        <v>-808</v>
      </c>
      <c r="BH11" s="35">
        <v>-883</v>
      </c>
      <c r="BI11" s="435">
        <f>SUM(BE11:BH11)</f>
        <v>-3164</v>
      </c>
      <c r="BJ11" s="35">
        <v>-764</v>
      </c>
      <c r="BK11" s="35">
        <v>-762</v>
      </c>
      <c r="BL11" s="35">
        <v>-818</v>
      </c>
      <c r="BM11" s="35">
        <v>-867</v>
      </c>
      <c r="BN11" s="435">
        <f>SUM(BJ11:BM11)</f>
        <v>-3211</v>
      </c>
      <c r="BO11" s="35">
        <v>-759</v>
      </c>
      <c r="BP11" s="35">
        <v>-753</v>
      </c>
      <c r="BQ11" s="35">
        <v>-791</v>
      </c>
      <c r="BR11" s="35">
        <v>-855</v>
      </c>
      <c r="BS11" s="435">
        <f>SUM(BO11:BR11)</f>
        <v>-3158</v>
      </c>
      <c r="BT11" s="624">
        <v>-774</v>
      </c>
      <c r="BU11" s="624">
        <v>-773</v>
      </c>
      <c r="BV11" s="624">
        <v>-796</v>
      </c>
      <c r="BW11" s="624">
        <v>-847</v>
      </c>
      <c r="BX11" s="435">
        <f>SUM(BT11:BW11)</f>
        <v>-3190</v>
      </c>
      <c r="BY11" s="35">
        <v>-765</v>
      </c>
      <c r="BZ11" s="35">
        <v>-745</v>
      </c>
      <c r="CA11" s="35">
        <v>-780</v>
      </c>
      <c r="CB11" s="35">
        <v>-873</v>
      </c>
      <c r="CC11" s="435">
        <f>SUM(BY11:CB11)</f>
        <v>-3163</v>
      </c>
      <c r="CD11" s="35">
        <v>-803</v>
      </c>
      <c r="CE11" s="624">
        <v>-777</v>
      </c>
      <c r="CF11" s="624">
        <v>-827</v>
      </c>
      <c r="CG11" s="624">
        <v>-895</v>
      </c>
      <c r="CH11" s="435">
        <f>SUM(CD11:CG11)</f>
        <v>-3302</v>
      </c>
      <c r="CI11" s="624">
        <v>-827</v>
      </c>
      <c r="CJ11" s="624">
        <v>-807</v>
      </c>
      <c r="CK11" s="35">
        <f>-CK7*CK12</f>
        <v>-865.43615458611578</v>
      </c>
      <c r="CL11" s="35">
        <f ca="1">CM11-SUM(CI11:CK11)</f>
        <v>-948.28715127549003</v>
      </c>
      <c r="CM11" s="435">
        <f ca="1">-CM7*CM12</f>
        <v>-3447.7233058616057</v>
      </c>
      <c r="CN11" s="35">
        <f>-CN7*CN12</f>
        <v>-880.91826297399234</v>
      </c>
      <c r="CO11" s="35">
        <f>-CO7*CO12</f>
        <v>-856.50031522515246</v>
      </c>
      <c r="CP11" s="35">
        <f>-CP7*CP12</f>
        <v>-915.64433129057579</v>
      </c>
      <c r="CQ11" s="35">
        <f ca="1">CR11-SUM(CN11:CP11)</f>
        <v>-969.89729673420925</v>
      </c>
      <c r="CR11" s="435">
        <f ca="1">-CR7*CR12</f>
        <v>-3622.9602062239296</v>
      </c>
      <c r="CS11" s="35">
        <f>-CS7*CS12</f>
        <v>-899.99679372212802</v>
      </c>
      <c r="CT11" s="35">
        <f>-CT7*CT12</f>
        <v>-875.53371574675145</v>
      </c>
      <c r="CU11" s="35">
        <f>-CU7*CU12</f>
        <v>-935.53031988542625</v>
      </c>
      <c r="CV11" s="35">
        <f ca="1">CW11-SUM(CS11:CU11)</f>
        <v>-990.20576302926975</v>
      </c>
      <c r="CW11" s="435">
        <f ca="1">-CW7*CW12</f>
        <v>-3701.2665923835752</v>
      </c>
      <c r="CX11" s="35">
        <f>-CX7*CX12</f>
        <v>-919.57817857457337</v>
      </c>
      <c r="CY11" s="35">
        <f>-CY7*CY12</f>
        <v>-895.08396056852268</v>
      </c>
      <c r="CZ11" s="35">
        <f>-CZ7*CZ12</f>
        <v>-955.94568720425127</v>
      </c>
      <c r="DA11" s="35">
        <f ca="1">DB11-SUM(CX11:CZ11)</f>
        <v>-1011.0391853220772</v>
      </c>
      <c r="DB11" s="435">
        <f ca="1">-DB7*DB12</f>
        <v>-3781.6470116694245</v>
      </c>
      <c r="DC11" s="35">
        <f>-DC7*DC12</f>
        <v>-939.67847718252642</v>
      </c>
      <c r="DD11" s="35">
        <f>-DD7*DD12</f>
        <v>-915.16795580569385</v>
      </c>
      <c r="DE11" s="35">
        <f>-DE7*DE12</f>
        <v>-976.90753707047156</v>
      </c>
      <c r="DF11" s="35">
        <f ca="1">DG11-SUM(DC11:DE11)</f>
        <v>-1032.4142291209791</v>
      </c>
      <c r="DG11" s="435">
        <f ca="1">-DG7*DG12</f>
        <v>-3864.1681991796713</v>
      </c>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row>
    <row r="12" spans="1:226" s="36" customFormat="1" ht="12" customHeight="1" x14ac:dyDescent="0.2">
      <c r="A12" s="36" t="s">
        <v>23</v>
      </c>
      <c r="B12" s="49">
        <f t="shared" ref="B12:W12" si="4">-B11/B7</f>
        <v>0.57009345794392519</v>
      </c>
      <c r="C12" s="49">
        <f t="shared" si="4"/>
        <v>0.58675799086757996</v>
      </c>
      <c r="D12" s="49">
        <f t="shared" si="4"/>
        <v>0.58316008316008316</v>
      </c>
      <c r="E12" s="49">
        <f t="shared" si="4"/>
        <v>0.5970961887477314</v>
      </c>
      <c r="F12" s="433">
        <f t="shared" si="4"/>
        <v>0.58467845247245709</v>
      </c>
      <c r="G12" s="49">
        <f t="shared" si="4"/>
        <v>0.56910569105691056</v>
      </c>
      <c r="H12" s="49">
        <f t="shared" si="4"/>
        <v>0.56933483652762118</v>
      </c>
      <c r="I12" s="49">
        <f t="shared" si="4"/>
        <v>0.5757575757575758</v>
      </c>
      <c r="J12" s="49">
        <f t="shared" si="4"/>
        <v>0.55407801418439717</v>
      </c>
      <c r="K12" s="433">
        <f t="shared" si="4"/>
        <v>0.56663351566384879</v>
      </c>
      <c r="L12" s="49">
        <f t="shared" si="4"/>
        <v>0.51957975167144221</v>
      </c>
      <c r="M12" s="49">
        <f t="shared" si="4"/>
        <v>0.5356371490280778</v>
      </c>
      <c r="N12" s="49">
        <f t="shared" si="4"/>
        <v>0.54465161923454364</v>
      </c>
      <c r="O12" s="49">
        <f t="shared" si="4"/>
        <v>0.546875</v>
      </c>
      <c r="P12" s="433">
        <f t="shared" si="4"/>
        <v>0.53692084942084939</v>
      </c>
      <c r="Q12" s="49">
        <f t="shared" si="4"/>
        <v>0.57355864811133206</v>
      </c>
      <c r="R12" s="49">
        <f t="shared" si="4"/>
        <v>0.57282608695652171</v>
      </c>
      <c r="S12" s="49">
        <f t="shared" si="4"/>
        <v>0.55566127497621309</v>
      </c>
      <c r="T12" s="49">
        <f t="shared" si="4"/>
        <v>0.54261603375527423</v>
      </c>
      <c r="U12" s="433">
        <f t="shared" si="4"/>
        <v>0.56006727534839018</v>
      </c>
      <c r="V12" s="49">
        <f t="shared" si="4"/>
        <v>0.56393129770992367</v>
      </c>
      <c r="W12" s="49">
        <f t="shared" si="4"/>
        <v>0.56899999999999995</v>
      </c>
      <c r="X12" s="49">
        <f t="shared" ref="X12:BB12" si="5">-X11/X7</f>
        <v>0.58195211786372003</v>
      </c>
      <c r="Y12" s="49">
        <f t="shared" si="5"/>
        <v>0.55901116427432218</v>
      </c>
      <c r="Z12" s="433">
        <f t="shared" si="5"/>
        <v>0.56814038286235191</v>
      </c>
      <c r="AA12" s="49">
        <f t="shared" si="5"/>
        <v>0.57789855072463769</v>
      </c>
      <c r="AB12" s="49">
        <f t="shared" si="5"/>
        <v>0.59022556390977443</v>
      </c>
      <c r="AC12" s="49">
        <f t="shared" si="5"/>
        <v>0.58513396715643906</v>
      </c>
      <c r="AD12" s="49">
        <f t="shared" si="5"/>
        <v>0.56254738438210761</v>
      </c>
      <c r="AE12" s="433">
        <f t="shared" si="5"/>
        <v>0.57816537467700257</v>
      </c>
      <c r="AF12" s="49">
        <f t="shared" si="5"/>
        <v>0.57105943152454786</v>
      </c>
      <c r="AG12" s="49">
        <f t="shared" si="5"/>
        <v>0.5803814713896458</v>
      </c>
      <c r="AH12" s="49">
        <f t="shared" si="5"/>
        <v>0.5672844480257857</v>
      </c>
      <c r="AI12" s="49">
        <f t="shared" si="5"/>
        <v>0.5580357142857143</v>
      </c>
      <c r="AJ12" s="433">
        <f t="shared" si="5"/>
        <v>0.56859913348462965</v>
      </c>
      <c r="AK12" s="49">
        <f t="shared" si="5"/>
        <v>0.57384987893462469</v>
      </c>
      <c r="AL12" s="49">
        <f t="shared" si="5"/>
        <v>0.59612141652613826</v>
      </c>
      <c r="AM12" s="49">
        <f t="shared" si="5"/>
        <v>0.60236511456023656</v>
      </c>
      <c r="AN12" s="49">
        <f t="shared" si="5"/>
        <v>0.57859531772575246</v>
      </c>
      <c r="AO12" s="433">
        <f t="shared" si="5"/>
        <v>0.58752133510335669</v>
      </c>
      <c r="AP12" s="700">
        <f t="shared" si="5"/>
        <v>0.59393063583815031</v>
      </c>
      <c r="AQ12" s="49">
        <f t="shared" si="5"/>
        <v>0.60032894736842102</v>
      </c>
      <c r="AR12" s="49">
        <f t="shared" si="5"/>
        <v>0.54740740740740745</v>
      </c>
      <c r="AS12" s="49">
        <f t="shared" si="5"/>
        <v>0.54200000000000004</v>
      </c>
      <c r="AT12" s="433">
        <f>-AT11/AT7</f>
        <v>0.56954128440366969</v>
      </c>
      <c r="AU12" s="49">
        <f>-AU11/AU7</f>
        <v>0.55257099002302379</v>
      </c>
      <c r="AV12" s="49">
        <f t="shared" si="5"/>
        <v>0.56460905349794244</v>
      </c>
      <c r="AW12" s="49">
        <f t="shared" si="5"/>
        <v>0.55400155400155404</v>
      </c>
      <c r="AX12" s="49">
        <f t="shared" si="5"/>
        <v>0.55703289013296009</v>
      </c>
      <c r="AY12" s="433">
        <f>-AY11/AY7</f>
        <v>0.55693542223920522</v>
      </c>
      <c r="AZ12" s="49">
        <f t="shared" si="5"/>
        <v>0.55687203791469198</v>
      </c>
      <c r="BA12" s="49">
        <f t="shared" si="5"/>
        <v>0.58269720101781175</v>
      </c>
      <c r="BB12" s="49">
        <f t="shared" si="5"/>
        <v>0.55904907975460127</v>
      </c>
      <c r="BC12" s="49">
        <f t="shared" ref="BC12:BO12" si="6">-BC11/BC7</f>
        <v>0.56477732793522262</v>
      </c>
      <c r="BD12" s="433">
        <f t="shared" si="6"/>
        <v>0.56547505257121011</v>
      </c>
      <c r="BE12" s="49">
        <f t="shared" si="6"/>
        <v>0.58160919540229883</v>
      </c>
      <c r="BF12" s="49">
        <f t="shared" si="6"/>
        <v>0.58476658476658472</v>
      </c>
      <c r="BG12" s="49">
        <f t="shared" si="6"/>
        <v>0.57673090649536041</v>
      </c>
      <c r="BH12" s="49">
        <f t="shared" si="6"/>
        <v>0.57300454250486699</v>
      </c>
      <c r="BI12" s="433">
        <f t="shared" si="6"/>
        <v>0.57863935625457208</v>
      </c>
      <c r="BJ12" s="49">
        <f t="shared" si="6"/>
        <v>0.57100149476831086</v>
      </c>
      <c r="BK12" s="49">
        <f t="shared" si="6"/>
        <v>0.57509433962264156</v>
      </c>
      <c r="BL12" s="49">
        <f t="shared" si="6"/>
        <v>0.57891012031139422</v>
      </c>
      <c r="BM12" s="49">
        <f t="shared" si="6"/>
        <v>0.56043956043956045</v>
      </c>
      <c r="BN12" s="433">
        <f t="shared" si="6"/>
        <v>0.57104748354970658</v>
      </c>
      <c r="BO12" s="49">
        <f t="shared" si="6"/>
        <v>0.56515264333581539</v>
      </c>
      <c r="BP12" s="49">
        <f t="shared" ref="BP12:BV12" si="7">-BP11/BP7</f>
        <v>0.57568807339449546</v>
      </c>
      <c r="BQ12" s="49">
        <f t="shared" si="7"/>
        <v>0.57906295754026349</v>
      </c>
      <c r="BR12" s="49">
        <f t="shared" si="7"/>
        <v>0.57114228456913829</v>
      </c>
      <c r="BS12" s="433">
        <f t="shared" si="7"/>
        <v>0.57272397533550956</v>
      </c>
      <c r="BT12" s="701">
        <f t="shared" si="7"/>
        <v>0.5724852071005917</v>
      </c>
      <c r="BU12" s="701">
        <f t="shared" si="7"/>
        <v>0.5747211895910781</v>
      </c>
      <c r="BV12" s="49">
        <f t="shared" si="7"/>
        <v>0.5681655960028551</v>
      </c>
      <c r="BW12" s="49">
        <f t="shared" ref="BW12:CD12" si="8">-BW11/BW7</f>
        <v>0.54399486191393709</v>
      </c>
      <c r="BX12" s="433">
        <f t="shared" si="8"/>
        <v>0.5641025641025641</v>
      </c>
      <c r="BY12" s="49">
        <f t="shared" si="8"/>
        <v>0.55035971223021585</v>
      </c>
      <c r="BZ12" s="49">
        <f t="shared" si="8"/>
        <v>0.55390334572490707</v>
      </c>
      <c r="CA12" s="49">
        <f t="shared" si="8"/>
        <v>0.54698457223001407</v>
      </c>
      <c r="CB12" s="49">
        <f t="shared" si="8"/>
        <v>0.54562500000000003</v>
      </c>
      <c r="CC12" s="433">
        <f t="shared" si="8"/>
        <v>0.54903662558583577</v>
      </c>
      <c r="CD12" s="49">
        <f t="shared" si="8"/>
        <v>0.55647955647955649</v>
      </c>
      <c r="CE12" s="701">
        <f t="shared" ref="CE12:CJ12" si="9">-CE11/CE7</f>
        <v>0.55263157894736847</v>
      </c>
      <c r="CF12" s="701">
        <f t="shared" si="9"/>
        <v>0.55991875423155046</v>
      </c>
      <c r="CG12" s="49">
        <f t="shared" si="9"/>
        <v>0.54341226472374016</v>
      </c>
      <c r="CH12" s="433">
        <f t="shared" si="9"/>
        <v>0.55282102795914956</v>
      </c>
      <c r="CI12" s="49">
        <f t="shared" si="9"/>
        <v>0.55133333333333334</v>
      </c>
      <c r="CJ12" s="700">
        <f t="shared" si="9"/>
        <v>0.56991525423728817</v>
      </c>
      <c r="CK12" s="146">
        <f>CF12+(CK13*0.0001)</f>
        <v>0.57191875423155047</v>
      </c>
      <c r="CL12" s="49">
        <f ca="1">-CL11/CL7</f>
        <v>0.54833246253132073</v>
      </c>
      <c r="CM12" s="433">
        <f>CH12+(CM13*0.0001)</f>
        <v>0.55982102795914956</v>
      </c>
      <c r="CN12" s="146">
        <f>CI12+(CN13*0.0001)</f>
        <v>0.55633333333333335</v>
      </c>
      <c r="CO12" s="146">
        <f>CJ12+(CO13*0.0001)</f>
        <v>0.56591525423728817</v>
      </c>
      <c r="CP12" s="146">
        <f>CK12+(CP13*0.0001)</f>
        <v>0.56591875423155047</v>
      </c>
      <c r="CQ12" s="49">
        <f ca="1">-CQ11/CQ7</f>
        <v>0.54490117067522614</v>
      </c>
      <c r="CR12" s="433">
        <f>CM12+(CR13*0.0001)</f>
        <v>0.55782102795914956</v>
      </c>
      <c r="CS12" s="146">
        <f>CN12+(CS13*0.0001)</f>
        <v>0.55533333333333335</v>
      </c>
      <c r="CT12" s="146">
        <f>CO12+(CT13*0.0001)</f>
        <v>0.56491525423728817</v>
      </c>
      <c r="CU12" s="146">
        <f>CP12+(CU13*0.0001)</f>
        <v>0.56491875423155047</v>
      </c>
      <c r="CV12" s="49">
        <f ca="1">-CV11/CV7</f>
        <v>0.54388904331100163</v>
      </c>
      <c r="CW12" s="433">
        <f>CR12+(CW13*0.0001)</f>
        <v>0.55682102795914956</v>
      </c>
      <c r="CX12" s="146">
        <f>CS12+(CX13*0.0001)</f>
        <v>0.55433333333333334</v>
      </c>
      <c r="CY12" s="146">
        <f>CT12+(CY13*0.0001)</f>
        <v>0.56391525423728817</v>
      </c>
      <c r="CZ12" s="146">
        <f>CU12+(CZ13*0.0001)</f>
        <v>0.56391875423155047</v>
      </c>
      <c r="DA12" s="49">
        <f ca="1">-DA11/DA7</f>
        <v>0.54287684065827257</v>
      </c>
      <c r="DB12" s="433">
        <f>CW12+(DB13*0.0001)</f>
        <v>0.55582102795914956</v>
      </c>
      <c r="DC12" s="146">
        <f>CX12+(DC13*0.0001)</f>
        <v>0.55333333333333334</v>
      </c>
      <c r="DD12" s="146">
        <f>CY12+(DD13*0.0001)</f>
        <v>0.56291525423728817</v>
      </c>
      <c r="DE12" s="146">
        <f>CZ12+(DE13*0.0001)</f>
        <v>0.56291875423155047</v>
      </c>
      <c r="DF12" s="49">
        <f ca="1">-DF11/DF7</f>
        <v>0.5418645634044259</v>
      </c>
      <c r="DG12" s="433">
        <f>DB12+(DG13*0.0001)</f>
        <v>0.55482102795914956</v>
      </c>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row>
    <row r="13" spans="1:226" s="36" customFormat="1" ht="12" customHeight="1" x14ac:dyDescent="0.2">
      <c r="A13" s="80" t="s">
        <v>112</v>
      </c>
      <c r="B13" s="493"/>
      <c r="C13" s="493"/>
      <c r="D13" s="493"/>
      <c r="E13" s="493"/>
      <c r="F13" s="702"/>
      <c r="G13" s="493">
        <f t="shared" ref="G13:AS13" si="10">(G12-B12)*10000</f>
        <v>-9.8776688701462945</v>
      </c>
      <c r="H13" s="493">
        <f t="shared" si="10"/>
        <v>-174.23154339958779</v>
      </c>
      <c r="I13" s="493">
        <f t="shared" si="10"/>
        <v>-74.025074025073636</v>
      </c>
      <c r="J13" s="493">
        <f t="shared" si="10"/>
        <v>-430.1817456333423</v>
      </c>
      <c r="K13" s="702">
        <f t="shared" si="10"/>
        <v>-180.44936808608304</v>
      </c>
      <c r="L13" s="493">
        <f t="shared" si="10"/>
        <v>-495.25939385468342</v>
      </c>
      <c r="M13" s="493">
        <f t="shared" si="10"/>
        <v>-336.97687499543383</v>
      </c>
      <c r="N13" s="493">
        <f t="shared" si="10"/>
        <v>-311.05956523032165</v>
      </c>
      <c r="O13" s="493">
        <f t="shared" si="10"/>
        <v>-72.03014184397172</v>
      </c>
      <c r="P13" s="702">
        <f t="shared" si="10"/>
        <v>-297.12666242999398</v>
      </c>
      <c r="Q13" s="493">
        <f t="shared" si="10"/>
        <v>539.78896439889843</v>
      </c>
      <c r="R13" s="493">
        <f t="shared" si="10"/>
        <v>371.88937928443909</v>
      </c>
      <c r="S13" s="493">
        <f t="shared" si="10"/>
        <v>110.09655741669455</v>
      </c>
      <c r="T13" s="493">
        <f t="shared" si="10"/>
        <v>-42.589662447257702</v>
      </c>
      <c r="U13" s="702">
        <f t="shared" si="10"/>
        <v>231.46425927540793</v>
      </c>
      <c r="V13" s="493">
        <f t="shared" si="10"/>
        <v>-96.273504014083855</v>
      </c>
      <c r="W13" s="493">
        <f t="shared" si="10"/>
        <v>-38.260869565217568</v>
      </c>
      <c r="X13" s="493">
        <f t="shared" si="10"/>
        <v>262.90842887506938</v>
      </c>
      <c r="Y13" s="493">
        <f t="shared" si="10"/>
        <v>163.9513051904795</v>
      </c>
      <c r="Z13" s="702">
        <f t="shared" si="10"/>
        <v>80.731075139617303</v>
      </c>
      <c r="AA13" s="493">
        <f t="shared" si="10"/>
        <v>139.67253014714021</v>
      </c>
      <c r="AB13" s="493">
        <f t="shared" si="10"/>
        <v>212.25563909774482</v>
      </c>
      <c r="AC13" s="493">
        <f t="shared" si="10"/>
        <v>31.818492927190299</v>
      </c>
      <c r="AD13" s="493">
        <f t="shared" si="10"/>
        <v>35.362201077854259</v>
      </c>
      <c r="AE13" s="702">
        <f t="shared" si="10"/>
        <v>100.24991814650663</v>
      </c>
      <c r="AF13" s="493">
        <f t="shared" si="10"/>
        <v>-68.391192000898386</v>
      </c>
      <c r="AG13" s="493">
        <f t="shared" si="10"/>
        <v>-98.440925201286333</v>
      </c>
      <c r="AH13" s="493">
        <f t="shared" si="10"/>
        <v>-178.49519130653357</v>
      </c>
      <c r="AI13" s="493">
        <f t="shared" si="10"/>
        <v>-45.116700963933056</v>
      </c>
      <c r="AJ13" s="702">
        <f t="shared" si="10"/>
        <v>-95.662411923729266</v>
      </c>
      <c r="AK13" s="493">
        <f t="shared" si="10"/>
        <v>27.904474100768351</v>
      </c>
      <c r="AL13" s="493">
        <f t="shared" si="10"/>
        <v>157.3994513649246</v>
      </c>
      <c r="AM13" s="493">
        <f t="shared" si="10"/>
        <v>350.80666534450853</v>
      </c>
      <c r="AN13" s="493">
        <f t="shared" si="10"/>
        <v>205.59603440038154</v>
      </c>
      <c r="AO13" s="702">
        <f t="shared" si="10"/>
        <v>189.22201618727041</v>
      </c>
      <c r="AP13" s="493">
        <f t="shared" si="10"/>
        <v>200.80756903525619</v>
      </c>
      <c r="AQ13" s="493">
        <f t="shared" si="10"/>
        <v>42.075308422827582</v>
      </c>
      <c r="AR13" s="493">
        <f t="shared" si="10"/>
        <v>-549.57707152829107</v>
      </c>
      <c r="AS13" s="493">
        <f t="shared" si="10"/>
        <v>-365.9531772575242</v>
      </c>
      <c r="AT13" s="702">
        <f t="shared" ref="AT13:BN13" si="11">(AT12-AO12)*10000</f>
        <v>-179.80050699687001</v>
      </c>
      <c r="AU13" s="493">
        <f t="shared" si="11"/>
        <v>-413.59645815126521</v>
      </c>
      <c r="AV13" s="493">
        <f t="shared" si="11"/>
        <v>-357.1989387047858</v>
      </c>
      <c r="AW13" s="493">
        <f t="shared" si="11"/>
        <v>65.941465941465879</v>
      </c>
      <c r="AX13" s="493">
        <f t="shared" si="11"/>
        <v>150.32890132960054</v>
      </c>
      <c r="AY13" s="702">
        <f t="shared" si="11"/>
        <v>-126.05862164464466</v>
      </c>
      <c r="AZ13" s="493">
        <f t="shared" si="11"/>
        <v>43.010478916681862</v>
      </c>
      <c r="BA13" s="493">
        <f t="shared" si="11"/>
        <v>180.88147519869312</v>
      </c>
      <c r="BB13" s="493">
        <f t="shared" si="11"/>
        <v>50.475257530472327</v>
      </c>
      <c r="BC13" s="493">
        <f>(BC12-AX12)*10000</f>
        <v>77.444378022625273</v>
      </c>
      <c r="BD13" s="702">
        <f t="shared" si="11"/>
        <v>85.396303320048887</v>
      </c>
      <c r="BE13" s="493">
        <f t="shared" si="11"/>
        <v>247.37157487606854</v>
      </c>
      <c r="BF13" s="493">
        <f t="shared" si="11"/>
        <v>20.693837487729681</v>
      </c>
      <c r="BG13" s="493">
        <f t="shared" si="11"/>
        <v>176.81826740759132</v>
      </c>
      <c r="BH13" s="493">
        <f>(BH12-BC12)*10000</f>
        <v>82.272145696443701</v>
      </c>
      <c r="BI13" s="702">
        <f t="shared" si="11"/>
        <v>131.64303683361968</v>
      </c>
      <c r="BJ13" s="493">
        <f t="shared" si="11"/>
        <v>-106.07700633987972</v>
      </c>
      <c r="BK13" s="493">
        <f t="shared" si="11"/>
        <v>-96.722451439431595</v>
      </c>
      <c r="BL13" s="493">
        <f t="shared" si="11"/>
        <v>21.792138160338091</v>
      </c>
      <c r="BM13" s="493">
        <f>(BM12-BH12)*10000</f>
        <v>-125.6498206530654</v>
      </c>
      <c r="BN13" s="702">
        <f t="shared" si="11"/>
        <v>-75.918727048654986</v>
      </c>
      <c r="BO13" s="493">
        <f t="shared" ref="BO13:BU13" si="12">(BO12-BJ12)*10000</f>
        <v>-58.488514324954721</v>
      </c>
      <c r="BP13" s="493">
        <f t="shared" si="12"/>
        <v>5.9373377185389931</v>
      </c>
      <c r="BQ13" s="493">
        <f t="shared" si="12"/>
        <v>1.5283722886927364</v>
      </c>
      <c r="BR13" s="493">
        <f t="shared" si="12"/>
        <v>107.02724129577845</v>
      </c>
      <c r="BS13" s="702">
        <f t="shared" si="12"/>
        <v>16.764917858029804</v>
      </c>
      <c r="BT13" s="614">
        <f t="shared" si="12"/>
        <v>73.325637647763116</v>
      </c>
      <c r="BU13" s="614">
        <f t="shared" si="12"/>
        <v>-9.6688380341736213</v>
      </c>
      <c r="BV13" s="614">
        <f t="shared" ref="BV13:CC13" si="13">(BV12-BQ12)*10000</f>
        <v>-108.97361537408389</v>
      </c>
      <c r="BW13" s="493">
        <f t="shared" si="13"/>
        <v>-271.47422655201206</v>
      </c>
      <c r="BX13" s="702">
        <f t="shared" si="13"/>
        <v>-86.214112329454636</v>
      </c>
      <c r="BY13" s="493">
        <f t="shared" si="13"/>
        <v>-221.25494870375852</v>
      </c>
      <c r="BZ13" s="493">
        <f t="shared" si="13"/>
        <v>-208.17843866171026</v>
      </c>
      <c r="CA13" s="493">
        <f t="shared" si="13"/>
        <v>-211.81023772841036</v>
      </c>
      <c r="CB13" s="493">
        <f>(CB12-BW12)*10000</f>
        <v>16.301380860629379</v>
      </c>
      <c r="CC13" s="702">
        <f t="shared" si="13"/>
        <v>-150.65938516728329</v>
      </c>
      <c r="CD13" s="493">
        <f t="shared" ref="CD13:CJ13" si="14">(CD12-BY12)*10000</f>
        <v>61.198442493406446</v>
      </c>
      <c r="CE13" s="614">
        <f t="shared" si="14"/>
        <v>-12.717667775385966</v>
      </c>
      <c r="CF13" s="614">
        <f t="shared" si="14"/>
        <v>129.34182001536399</v>
      </c>
      <c r="CG13" s="27">
        <f t="shared" si="14"/>
        <v>-22.127352762598697</v>
      </c>
      <c r="CH13" s="702">
        <f t="shared" si="14"/>
        <v>37.844023733137888</v>
      </c>
      <c r="CI13" s="27">
        <f t="shared" si="14"/>
        <v>-51.4622314622315</v>
      </c>
      <c r="CJ13" s="493">
        <f t="shared" si="14"/>
        <v>172.83675289919697</v>
      </c>
      <c r="CK13" s="147">
        <v>120</v>
      </c>
      <c r="CL13" s="27">
        <f ca="1">(CL12-CG12)*10000</f>
        <v>49.201978075805727</v>
      </c>
      <c r="CM13" s="436">
        <v>70</v>
      </c>
      <c r="CN13" s="147">
        <v>50</v>
      </c>
      <c r="CO13" s="147">
        <v>-40</v>
      </c>
      <c r="CP13" s="147">
        <v>-60</v>
      </c>
      <c r="CQ13" s="27">
        <f ca="1">(CQ12-CL12)*10000</f>
        <v>-34.312918560945874</v>
      </c>
      <c r="CR13" s="436">
        <v>-20</v>
      </c>
      <c r="CS13" s="147">
        <f>CW13</f>
        <v>-10</v>
      </c>
      <c r="CT13" s="147">
        <f>CW13</f>
        <v>-10</v>
      </c>
      <c r="CU13" s="147">
        <f>CW13</f>
        <v>-10</v>
      </c>
      <c r="CV13" s="27">
        <f ca="1">(CV12-CQ12)*10000</f>
        <v>-10.121273642245132</v>
      </c>
      <c r="CW13" s="436">
        <v>-10</v>
      </c>
      <c r="CX13" s="147">
        <f>DB13</f>
        <v>-10</v>
      </c>
      <c r="CY13" s="147">
        <f>DB13</f>
        <v>-10</v>
      </c>
      <c r="CZ13" s="147">
        <f>DB13</f>
        <v>-10</v>
      </c>
      <c r="DA13" s="27">
        <f ca="1">(DA12-CV12)*10000</f>
        <v>-10.122026527290551</v>
      </c>
      <c r="DB13" s="436">
        <v>-10</v>
      </c>
      <c r="DC13" s="147">
        <f>DG13</f>
        <v>-10</v>
      </c>
      <c r="DD13" s="147">
        <f>DG13</f>
        <v>-10</v>
      </c>
      <c r="DE13" s="147">
        <f>DG13</f>
        <v>-10</v>
      </c>
      <c r="DF13" s="27">
        <f ca="1">(DF12-DA12)*10000</f>
        <v>-10.122772538466718</v>
      </c>
      <c r="DG13" s="436">
        <v>-10</v>
      </c>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row>
    <row r="14" spans="1:226" s="36" customFormat="1" ht="12" customHeight="1" x14ac:dyDescent="0.2">
      <c r="A14" s="36" t="s">
        <v>24</v>
      </c>
      <c r="B14" s="49"/>
      <c r="C14" s="49"/>
      <c r="D14" s="49"/>
      <c r="E14" s="49"/>
      <c r="F14" s="433"/>
      <c r="G14" s="49">
        <f t="shared" ref="G14:AB14" si="15">G11/B11-1</f>
        <v>2.0036429872495543E-2</v>
      </c>
      <c r="H14" s="49">
        <f t="shared" si="15"/>
        <v>-1.7509727626459193E-2</v>
      </c>
      <c r="I14" s="49">
        <f t="shared" si="15"/>
        <v>4.9910873440285108E-2</v>
      </c>
      <c r="J14" s="49">
        <f t="shared" si="15"/>
        <v>-5.0151975683890626E-2</v>
      </c>
      <c r="K14" s="433">
        <f t="shared" si="15"/>
        <v>-1.3146362839614456E-3</v>
      </c>
      <c r="L14" s="49">
        <f t="shared" si="15"/>
        <v>-2.8571428571428581E-2</v>
      </c>
      <c r="M14" s="49">
        <f t="shared" si="15"/>
        <v>-1.7821782178217838E-2</v>
      </c>
      <c r="N14" s="49">
        <f t="shared" si="15"/>
        <v>-5.7724957555178258E-2</v>
      </c>
      <c r="O14" s="49">
        <f t="shared" si="15"/>
        <v>8.0000000000000071E-3</v>
      </c>
      <c r="P14" s="433">
        <f t="shared" si="15"/>
        <v>-2.3694602896007E-2</v>
      </c>
      <c r="Q14" s="49">
        <f t="shared" si="15"/>
        <v>6.0661764705882248E-2</v>
      </c>
      <c r="R14" s="49">
        <f t="shared" si="15"/>
        <v>6.25E-2</v>
      </c>
      <c r="S14" s="49">
        <f t="shared" si="15"/>
        <v>5.2252252252252163E-2</v>
      </c>
      <c r="T14" s="49">
        <f t="shared" si="15"/>
        <v>2.0634920634920562E-2</v>
      </c>
      <c r="U14" s="433">
        <f t="shared" si="15"/>
        <v>4.7640449438202337E-2</v>
      </c>
      <c r="V14" s="49">
        <f t="shared" si="15"/>
        <v>2.4263431542461023E-2</v>
      </c>
      <c r="W14" s="49">
        <f t="shared" si="15"/>
        <v>7.9696394686906924E-2</v>
      </c>
      <c r="X14" s="49">
        <f t="shared" si="15"/>
        <v>8.2191780821917915E-2</v>
      </c>
      <c r="Y14" s="49">
        <f t="shared" si="15"/>
        <v>9.020217729393476E-2</v>
      </c>
      <c r="Z14" s="433">
        <f t="shared" si="15"/>
        <v>6.9498069498069581E-2</v>
      </c>
      <c r="AA14" s="49">
        <f t="shared" si="15"/>
        <v>7.9526226734348615E-2</v>
      </c>
      <c r="AB14" s="49">
        <f t="shared" si="15"/>
        <v>0.1036906854130053</v>
      </c>
      <c r="AC14" s="49">
        <f t="shared" ref="AC14:AY14" si="16">AC11/X11-1</f>
        <v>7.1202531645569556E-2</v>
      </c>
      <c r="AD14" s="49">
        <f t="shared" si="16"/>
        <v>5.8487874465049883E-2</v>
      </c>
      <c r="AE14" s="433">
        <f t="shared" si="16"/>
        <v>7.7015643802647471E-2</v>
      </c>
      <c r="AF14" s="49">
        <f t="shared" si="16"/>
        <v>3.9184952978056353E-2</v>
      </c>
      <c r="AG14" s="49">
        <f t="shared" si="16"/>
        <v>1.7515923566878921E-2</v>
      </c>
      <c r="AH14" s="49">
        <f t="shared" si="16"/>
        <v>3.9881831610044216E-2</v>
      </c>
      <c r="AI14" s="49">
        <f t="shared" si="16"/>
        <v>1.0781671159029615E-2</v>
      </c>
      <c r="AJ14" s="433">
        <f t="shared" si="16"/>
        <v>2.6443202979515856E-2</v>
      </c>
      <c r="AK14" s="49">
        <f t="shared" si="16"/>
        <v>7.2398190045248834E-2</v>
      </c>
      <c r="AL14" s="49">
        <f t="shared" si="16"/>
        <v>0.10641627543035992</v>
      </c>
      <c r="AM14" s="49">
        <f t="shared" si="16"/>
        <v>0.15767045454545459</v>
      </c>
      <c r="AN14" s="49">
        <f t="shared" si="16"/>
        <v>0.15333333333333332</v>
      </c>
      <c r="AO14" s="433">
        <f t="shared" si="16"/>
        <v>0.12409288824383169</v>
      </c>
      <c r="AP14" s="49">
        <f t="shared" si="16"/>
        <v>0.1561181434599157</v>
      </c>
      <c r="AQ14" s="49">
        <f t="shared" si="16"/>
        <v>3.2531824611032434E-2</v>
      </c>
      <c r="AR14" s="49">
        <f t="shared" si="16"/>
        <v>-9.3251533742331305E-2</v>
      </c>
      <c r="AS14" s="49">
        <f t="shared" si="16"/>
        <v>-6.0115606936416155E-2</v>
      </c>
      <c r="AT14" s="433">
        <f t="shared" si="16"/>
        <v>1.9367333763717909E-3</v>
      </c>
      <c r="AU14" s="49">
        <f t="shared" si="16"/>
        <v>-0.12408759124087587</v>
      </c>
      <c r="AV14" s="49">
        <f t="shared" si="16"/>
        <v>-6.02739726027397E-2</v>
      </c>
      <c r="AW14" s="49">
        <f t="shared" si="16"/>
        <v>-3.5182679296346442E-2</v>
      </c>
      <c r="AX14" s="49">
        <f t="shared" si="16"/>
        <v>-2.0910209102091071E-2</v>
      </c>
      <c r="AY14" s="433">
        <f t="shared" si="16"/>
        <v>-6.0889175257731964E-2</v>
      </c>
      <c r="AZ14" s="49">
        <f t="shared" ref="AZ14:BN14" si="17">AZ11/AU11-1</f>
        <v>-2.083333333333337E-2</v>
      </c>
      <c r="BA14" s="49">
        <f t="shared" si="17"/>
        <v>1.4577259475219151E-3</v>
      </c>
      <c r="BB14" s="49">
        <f t="shared" si="17"/>
        <v>2.244039270687237E-2</v>
      </c>
      <c r="BC14" s="49">
        <f t="shared" si="17"/>
        <v>5.1507537688442184E-2</v>
      </c>
      <c r="BD14" s="433">
        <f t="shared" si="17"/>
        <v>1.4751286449399714E-2</v>
      </c>
      <c r="BE14" s="49">
        <f t="shared" si="17"/>
        <v>7.6595744680851174E-2</v>
      </c>
      <c r="BF14" s="49">
        <f t="shared" si="17"/>
        <v>3.9301310043668103E-2</v>
      </c>
      <c r="BG14" s="49">
        <f t="shared" si="17"/>
        <v>0.10836762688614532</v>
      </c>
      <c r="BH14" s="49">
        <f t="shared" ref="BH14:CW14" si="18">BH11/BC11-1</f>
        <v>5.4958183990442055E-2</v>
      </c>
      <c r="BI14" s="433">
        <f t="shared" si="17"/>
        <v>6.964164976335363E-2</v>
      </c>
      <c r="BJ14" s="49">
        <f t="shared" si="17"/>
        <v>6.5876152832675672E-3</v>
      </c>
      <c r="BK14" s="49">
        <f t="shared" si="17"/>
        <v>6.7226890756302504E-2</v>
      </c>
      <c r="BL14" s="49">
        <f t="shared" si="17"/>
        <v>1.2376237623762387E-2</v>
      </c>
      <c r="BM14" s="49">
        <f t="shared" si="18"/>
        <v>-1.8120045300113241E-2</v>
      </c>
      <c r="BN14" s="433">
        <f t="shared" si="17"/>
        <v>1.4854614412136646E-2</v>
      </c>
      <c r="BO14" s="49">
        <f t="shared" si="18"/>
        <v>-6.5445026178010401E-3</v>
      </c>
      <c r="BP14" s="49">
        <f>BP11/BK11-1</f>
        <v>-1.1811023622047223E-2</v>
      </c>
      <c r="BQ14" s="49">
        <f>BQ11/BL11-1</f>
        <v>-3.3007334963325197E-2</v>
      </c>
      <c r="BR14" s="49">
        <f t="shared" si="18"/>
        <v>-1.384083044982698E-2</v>
      </c>
      <c r="BS14" s="433">
        <f t="shared" si="18"/>
        <v>-1.6505761445032685E-2</v>
      </c>
      <c r="BT14" s="701">
        <f>BT11/BO11-1</f>
        <v>1.9762845849802479E-2</v>
      </c>
      <c r="BU14" s="49">
        <f t="shared" si="18"/>
        <v>2.6560424966799445E-2</v>
      </c>
      <c r="BV14" s="49">
        <f t="shared" si="18"/>
        <v>6.321112515802696E-3</v>
      </c>
      <c r="BW14" s="49">
        <f t="shared" si="18"/>
        <v>-9.3567251461987855E-3</v>
      </c>
      <c r="BX14" s="433">
        <f>BX11/BS11-1</f>
        <v>1.0132995566814351E-2</v>
      </c>
      <c r="BY14" s="49">
        <f t="shared" si="18"/>
        <v>-1.1627906976744207E-2</v>
      </c>
      <c r="BZ14" s="49">
        <f t="shared" si="18"/>
        <v>-3.6222509702457995E-2</v>
      </c>
      <c r="CA14" s="49">
        <f t="shared" si="18"/>
        <v>-2.010050251256279E-2</v>
      </c>
      <c r="CB14" s="49">
        <f>CB11/BW11-1</f>
        <v>3.0696576151121535E-2</v>
      </c>
      <c r="CC14" s="433">
        <f>CC11/BX11-1</f>
        <v>-8.4639498432601545E-3</v>
      </c>
      <c r="CD14" s="49">
        <f>CD11/BY11-1</f>
        <v>4.9673202614379131E-2</v>
      </c>
      <c r="CE14" s="701">
        <f>CE11/BZ11-1</f>
        <v>4.2953020134228082E-2</v>
      </c>
      <c r="CF14" s="701">
        <f>CF11/CA11-1</f>
        <v>6.0256410256410264E-2</v>
      </c>
      <c r="CG14" s="49">
        <f t="shared" si="18"/>
        <v>2.5200458190148822E-2</v>
      </c>
      <c r="CH14" s="713">
        <f t="shared" si="18"/>
        <v>4.3945621245652822E-2</v>
      </c>
      <c r="CI14" s="49">
        <f t="shared" si="18"/>
        <v>2.98879202988791E-2</v>
      </c>
      <c r="CJ14" s="700">
        <f t="shared" si="18"/>
        <v>3.8610038610038533E-2</v>
      </c>
      <c r="CK14" s="49">
        <f t="shared" si="18"/>
        <v>4.6476607722026442E-2</v>
      </c>
      <c r="CL14" s="49">
        <f t="shared" ca="1" si="18"/>
        <v>5.9538716508927392E-2</v>
      </c>
      <c r="CM14" s="433">
        <f t="shared" ca="1" si="18"/>
        <v>4.4131830969595942E-2</v>
      </c>
      <c r="CN14" s="49">
        <f t="shared" si="18"/>
        <v>6.5197415929857838E-2</v>
      </c>
      <c r="CO14" s="49">
        <f t="shared" si="18"/>
        <v>6.1338680576397131E-2</v>
      </c>
      <c r="CP14" s="49">
        <f t="shared" si="18"/>
        <v>5.8014882366997256E-2</v>
      </c>
      <c r="CQ14" s="49">
        <f t="shared" ca="1" si="18"/>
        <v>2.2788609367587309E-2</v>
      </c>
      <c r="CR14" s="433">
        <f t="shared" ca="1" si="18"/>
        <v>5.0826845664905029E-2</v>
      </c>
      <c r="CS14" s="49">
        <f t="shared" si="18"/>
        <v>2.1657549343711224E-2</v>
      </c>
      <c r="CT14" s="49">
        <f t="shared" si="18"/>
        <v>2.2222292488702333E-2</v>
      </c>
      <c r="CU14" s="49">
        <f t="shared" si="18"/>
        <v>2.1718027311785626E-2</v>
      </c>
      <c r="CV14" s="49">
        <f t="shared" ca="1" si="18"/>
        <v>2.0938780181615213E-2</v>
      </c>
      <c r="CW14" s="433">
        <f t="shared" ca="1" si="18"/>
        <v>2.1613923891607323E-2</v>
      </c>
      <c r="CX14" s="49">
        <f t="shared" ref="CX14:DG14" si="19">CX11/CS11-1</f>
        <v>2.1757171791093155E-2</v>
      </c>
      <c r="CY14" s="49">
        <f t="shared" si="19"/>
        <v>2.2329516808038186E-2</v>
      </c>
      <c r="CZ14" s="49">
        <f t="shared" si="19"/>
        <v>2.1822240161414763E-2</v>
      </c>
      <c r="DA14" s="49">
        <f t="shared" ca="1" si="19"/>
        <v>2.1039488024259922E-2</v>
      </c>
      <c r="DB14" s="433">
        <f t="shared" ca="1" si="19"/>
        <v>2.1717003431002579E-2</v>
      </c>
      <c r="DC14" s="49">
        <f t="shared" si="19"/>
        <v>2.1858172666852749E-2</v>
      </c>
      <c r="DD14" s="49">
        <f t="shared" si="19"/>
        <v>2.2438113207184029E-2</v>
      </c>
      <c r="DE14" s="49">
        <f t="shared" si="19"/>
        <v>2.1927866976967136E-2</v>
      </c>
      <c r="DF14" s="49">
        <f t="shared" ca="1" si="19"/>
        <v>2.1141657127851765E-2</v>
      </c>
      <c r="DG14" s="433">
        <f t="shared" ca="1" si="19"/>
        <v>2.1821493982807638E-2</v>
      </c>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row>
    <row r="15" spans="1:226" s="528" customFormat="1" ht="12" customHeight="1" x14ac:dyDescent="0.2">
      <c r="A15" s="528" t="s">
        <v>345</v>
      </c>
      <c r="B15" s="527"/>
      <c r="C15" s="527"/>
      <c r="D15" s="527"/>
      <c r="E15" s="527"/>
      <c r="F15" s="703"/>
      <c r="G15" s="527">
        <v>0</v>
      </c>
      <c r="H15" s="527">
        <v>0</v>
      </c>
      <c r="I15" s="527">
        <v>0</v>
      </c>
      <c r="J15" s="527">
        <v>0</v>
      </c>
      <c r="K15" s="703">
        <f>SUM(G15:J15)</f>
        <v>0</v>
      </c>
      <c r="L15" s="527">
        <v>0</v>
      </c>
      <c r="M15" s="527">
        <v>0</v>
      </c>
      <c r="N15" s="527">
        <v>0</v>
      </c>
      <c r="O15" s="527">
        <v>0</v>
      </c>
      <c r="P15" s="703">
        <f>SUM(L15:O15)</f>
        <v>0</v>
      </c>
      <c r="Q15" s="527">
        <v>0</v>
      </c>
      <c r="R15" s="527">
        <v>0</v>
      </c>
      <c r="S15" s="527">
        <v>0</v>
      </c>
      <c r="T15" s="527">
        <v>0</v>
      </c>
      <c r="U15" s="703">
        <f>SUM(Q15:T15)</f>
        <v>0</v>
      </c>
      <c r="V15" s="527">
        <v>0</v>
      </c>
      <c r="W15" s="527">
        <v>0</v>
      </c>
      <c r="X15" s="527">
        <v>0</v>
      </c>
      <c r="Y15" s="527">
        <v>0</v>
      </c>
      <c r="Z15" s="703">
        <f>SUM(V15:Y15)</f>
        <v>0</v>
      </c>
      <c r="AA15" s="527">
        <v>0</v>
      </c>
      <c r="AB15" s="527">
        <v>0</v>
      </c>
      <c r="AC15" s="527">
        <v>0</v>
      </c>
      <c r="AD15" s="527">
        <v>0</v>
      </c>
      <c r="AE15" s="703">
        <f>SUM(AA15:AD15)</f>
        <v>0</v>
      </c>
      <c r="AF15" s="527">
        <v>0</v>
      </c>
      <c r="AG15" s="527">
        <v>0</v>
      </c>
      <c r="AH15" s="527">
        <v>0</v>
      </c>
      <c r="AI15" s="527">
        <v>0</v>
      </c>
      <c r="AJ15" s="703">
        <f>SUM(AF15:AI15)</f>
        <v>0</v>
      </c>
      <c r="AK15" s="704">
        <f>(-27-AK48)</f>
        <v>-2</v>
      </c>
      <c r="AL15" s="704">
        <f>(-5-AL48)-5</f>
        <v>-8</v>
      </c>
      <c r="AM15" s="704">
        <f>(-17-AM48)-11</f>
        <v>-21</v>
      </c>
      <c r="AN15" s="704">
        <f>(-10-AN48)-3</f>
        <v>-11</v>
      </c>
      <c r="AO15" s="703">
        <f>SUM(AK15:AN15)</f>
        <v>-42</v>
      </c>
      <c r="AP15" s="704">
        <f>-5-3</f>
        <v>-8</v>
      </c>
      <c r="AQ15" s="704">
        <v>-4</v>
      </c>
      <c r="AR15" s="704">
        <v>-4</v>
      </c>
      <c r="AS15" s="704">
        <v>-6</v>
      </c>
      <c r="AT15" s="703">
        <f>SUM(AP15:AS15)</f>
        <v>-22</v>
      </c>
      <c r="AU15" s="704">
        <v>-3</v>
      </c>
      <c r="AV15" s="704">
        <v>-4</v>
      </c>
      <c r="AW15" s="704">
        <v>-1</v>
      </c>
      <c r="AX15" s="704">
        <f>AY15-SUM(AU15:AW15)</f>
        <v>-3</v>
      </c>
      <c r="AY15" s="703">
        <v>-11</v>
      </c>
      <c r="AZ15" s="704">
        <f>BD15/4</f>
        <v>-1.25</v>
      </c>
      <c r="BA15" s="529">
        <f>BD15/4</f>
        <v>-1.25</v>
      </c>
      <c r="BB15" s="529">
        <f>BD15/4</f>
        <v>-1.25</v>
      </c>
      <c r="BC15" s="531">
        <f>BD15-SUM(AZ15:BB15)</f>
        <v>-1.25</v>
      </c>
      <c r="BD15" s="705">
        <v>-5</v>
      </c>
      <c r="BE15" s="531">
        <v>0</v>
      </c>
      <c r="BF15" s="531">
        <v>0</v>
      </c>
      <c r="BG15" s="531">
        <v>0</v>
      </c>
      <c r="BH15" s="531">
        <v>0</v>
      </c>
      <c r="BI15" s="705">
        <v>0</v>
      </c>
      <c r="BJ15" s="531">
        <v>0</v>
      </c>
      <c r="BK15" s="531">
        <v>0</v>
      </c>
      <c r="BL15" s="531">
        <v>0</v>
      </c>
      <c r="BM15" s="531">
        <v>0</v>
      </c>
      <c r="BN15" s="705">
        <v>0</v>
      </c>
      <c r="BO15" s="531">
        <v>0</v>
      </c>
      <c r="BP15" s="531">
        <v>0</v>
      </c>
      <c r="BQ15" s="531">
        <v>0</v>
      </c>
      <c r="BR15" s="531">
        <v>0</v>
      </c>
      <c r="BS15" s="705">
        <v>0</v>
      </c>
      <c r="BT15" s="531">
        <v>0</v>
      </c>
      <c r="BU15" s="531">
        <v>0</v>
      </c>
      <c r="BV15" s="531">
        <v>0</v>
      </c>
      <c r="BW15" s="531">
        <v>0</v>
      </c>
      <c r="BX15" s="705">
        <v>0</v>
      </c>
      <c r="BY15" s="531">
        <f>CC15/4</f>
        <v>0</v>
      </c>
      <c r="BZ15" s="531">
        <f>CC15/4</f>
        <v>0</v>
      </c>
      <c r="CA15" s="531">
        <f>CC15/4</f>
        <v>0</v>
      </c>
      <c r="CB15" s="531">
        <f>CC15-SUM(BY15:CA15)</f>
        <v>0</v>
      </c>
      <c r="CC15" s="705">
        <v>0</v>
      </c>
      <c r="CD15" s="531">
        <v>0</v>
      </c>
      <c r="CE15" s="785">
        <v>0</v>
      </c>
      <c r="CF15" s="785">
        <v>0</v>
      </c>
      <c r="CG15" s="531">
        <v>0</v>
      </c>
      <c r="CH15" s="705">
        <v>0</v>
      </c>
      <c r="CI15" s="531">
        <v>0</v>
      </c>
      <c r="CJ15" s="785">
        <v>0</v>
      </c>
      <c r="CK15" s="785">
        <v>0</v>
      </c>
      <c r="CL15" s="531">
        <v>0</v>
      </c>
      <c r="CM15" s="705">
        <v>0</v>
      </c>
      <c r="CN15" s="529">
        <f>CR15/4</f>
        <v>0</v>
      </c>
      <c r="CO15" s="529">
        <f>CR15/4</f>
        <v>0</v>
      </c>
      <c r="CP15" s="529">
        <f>CR15/4</f>
        <v>0</v>
      </c>
      <c r="CQ15" s="531">
        <f>CR15-SUM(CN15:CP15)</f>
        <v>0</v>
      </c>
      <c r="CR15" s="530">
        <v>0</v>
      </c>
      <c r="CS15" s="529">
        <f>CW15/4</f>
        <v>0</v>
      </c>
      <c r="CT15" s="529">
        <f>CW15/4</f>
        <v>0</v>
      </c>
      <c r="CU15" s="529">
        <f>CW15/4</f>
        <v>0</v>
      </c>
      <c r="CV15" s="531">
        <f>CW15-SUM(CS15:CU15)</f>
        <v>0</v>
      </c>
      <c r="CW15" s="530">
        <v>0</v>
      </c>
      <c r="CX15" s="529">
        <f>DB15/4</f>
        <v>0</v>
      </c>
      <c r="CY15" s="529">
        <f>DB15/4</f>
        <v>0</v>
      </c>
      <c r="CZ15" s="529">
        <f>DB15/4</f>
        <v>0</v>
      </c>
      <c r="DA15" s="531">
        <f>DB15-SUM(CX15:CZ15)</f>
        <v>0</v>
      </c>
      <c r="DB15" s="530">
        <v>0</v>
      </c>
      <c r="DC15" s="529">
        <f>DG15/4</f>
        <v>0</v>
      </c>
      <c r="DD15" s="529">
        <f>DG15/4</f>
        <v>0</v>
      </c>
      <c r="DE15" s="529">
        <f>DG15/4</f>
        <v>0</v>
      </c>
      <c r="DF15" s="531">
        <f>DG15-SUM(DC15:DE15)</f>
        <v>0</v>
      </c>
      <c r="DG15" s="530">
        <v>0</v>
      </c>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row>
    <row r="16" spans="1:226" s="36" customFormat="1" ht="3" customHeight="1" x14ac:dyDescent="0.2">
      <c r="B16" s="61"/>
      <c r="C16" s="61"/>
      <c r="D16" s="61"/>
      <c r="E16" s="61"/>
      <c r="F16" s="438"/>
      <c r="G16" s="61"/>
      <c r="H16" s="61"/>
      <c r="I16" s="61"/>
      <c r="J16" s="61"/>
      <c r="K16" s="438"/>
      <c r="L16" s="61"/>
      <c r="M16" s="61"/>
      <c r="N16" s="61"/>
      <c r="O16" s="61"/>
      <c r="P16" s="438"/>
      <c r="Q16" s="61"/>
      <c r="R16" s="61"/>
      <c r="S16" s="61"/>
      <c r="T16" s="61"/>
      <c r="U16" s="438"/>
      <c r="V16" s="61"/>
      <c r="W16" s="61"/>
      <c r="X16" s="61"/>
      <c r="Y16" s="61"/>
      <c r="Z16" s="438"/>
      <c r="AA16" s="61"/>
      <c r="AB16" s="61"/>
      <c r="AC16" s="61"/>
      <c r="AD16" s="61"/>
      <c r="AE16" s="438"/>
      <c r="AF16" s="61"/>
      <c r="AG16" s="61"/>
      <c r="AH16" s="61"/>
      <c r="AI16" s="61"/>
      <c r="AJ16" s="438"/>
      <c r="AK16" s="61"/>
      <c r="AL16" s="61"/>
      <c r="AM16" s="61"/>
      <c r="AN16" s="61"/>
      <c r="AO16" s="438"/>
      <c r="AP16" s="61"/>
      <c r="AQ16" s="61"/>
      <c r="AR16" s="61"/>
      <c r="AS16" s="61"/>
      <c r="AT16" s="438"/>
      <c r="AU16" s="61"/>
      <c r="AV16" s="699"/>
      <c r="AW16" s="61"/>
      <c r="AX16" s="61"/>
      <c r="AY16" s="438"/>
      <c r="AZ16" s="61"/>
      <c r="BA16" s="61"/>
      <c r="BB16" s="61"/>
      <c r="BC16" s="61"/>
      <c r="BD16" s="438"/>
      <c r="BE16" s="61"/>
      <c r="BF16" s="61"/>
      <c r="BG16" s="61"/>
      <c r="BH16" s="61"/>
      <c r="BI16" s="438"/>
      <c r="BJ16" s="61"/>
      <c r="BK16" s="61"/>
      <c r="BL16" s="61"/>
      <c r="BM16" s="61"/>
      <c r="BN16" s="438"/>
      <c r="BO16" s="61"/>
      <c r="BP16" s="61"/>
      <c r="BQ16" s="61"/>
      <c r="BR16" s="61"/>
      <c r="BS16" s="438"/>
      <c r="BT16" s="706"/>
      <c r="BU16" s="61"/>
      <c r="BV16" s="61"/>
      <c r="BW16" s="61"/>
      <c r="BX16" s="438"/>
      <c r="BY16" s="61"/>
      <c r="BZ16" s="61"/>
      <c r="CA16" s="61"/>
      <c r="CB16" s="61"/>
      <c r="CC16" s="438"/>
      <c r="CD16" s="61"/>
      <c r="CE16" s="706"/>
      <c r="CF16" s="61"/>
      <c r="CG16" s="61"/>
      <c r="CH16" s="438"/>
      <c r="CI16" s="61"/>
      <c r="CJ16" s="61"/>
      <c r="CK16" s="61"/>
      <c r="CL16" s="61"/>
      <c r="CM16" s="438"/>
      <c r="CN16" s="61"/>
      <c r="CO16" s="61"/>
      <c r="CP16" s="61"/>
      <c r="CQ16" s="61"/>
      <c r="CR16" s="438"/>
      <c r="CS16" s="61"/>
      <c r="CT16" s="61"/>
      <c r="CU16" s="61"/>
      <c r="CV16" s="61"/>
      <c r="CW16" s="438"/>
      <c r="CX16" s="61"/>
      <c r="CY16" s="61"/>
      <c r="CZ16" s="61"/>
      <c r="DA16" s="61"/>
      <c r="DB16" s="438"/>
      <c r="DC16" s="61"/>
      <c r="DD16" s="61"/>
      <c r="DE16" s="61"/>
      <c r="DF16" s="61"/>
      <c r="DG16" s="438"/>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row>
    <row r="17" spans="1:226" s="35" customFormat="1" ht="12" customHeight="1" x14ac:dyDescent="0.2">
      <c r="A17" s="35" t="s">
        <v>25</v>
      </c>
      <c r="B17" s="35">
        <f t="shared" ref="B17:AK17" si="20">B7+B11</f>
        <v>414</v>
      </c>
      <c r="C17" s="35">
        <f t="shared" si="20"/>
        <v>362</v>
      </c>
      <c r="D17" s="35">
        <f t="shared" si="20"/>
        <v>401</v>
      </c>
      <c r="E17" s="35">
        <f t="shared" si="20"/>
        <v>444</v>
      </c>
      <c r="F17" s="435">
        <f t="shared" si="20"/>
        <v>1621</v>
      </c>
      <c r="G17" s="35">
        <f t="shared" si="20"/>
        <v>424</v>
      </c>
      <c r="H17" s="35">
        <f t="shared" si="20"/>
        <v>382</v>
      </c>
      <c r="I17" s="35">
        <f t="shared" si="20"/>
        <v>434</v>
      </c>
      <c r="J17" s="35">
        <f t="shared" si="20"/>
        <v>503</v>
      </c>
      <c r="K17" s="435">
        <f t="shared" si="20"/>
        <v>1743</v>
      </c>
      <c r="L17" s="35">
        <f t="shared" si="20"/>
        <v>503</v>
      </c>
      <c r="M17" s="35">
        <f t="shared" si="20"/>
        <v>430</v>
      </c>
      <c r="N17" s="35">
        <f t="shared" si="20"/>
        <v>464</v>
      </c>
      <c r="O17" s="35">
        <f t="shared" si="20"/>
        <v>522</v>
      </c>
      <c r="P17" s="435">
        <f t="shared" si="20"/>
        <v>1919</v>
      </c>
      <c r="Q17" s="35">
        <f t="shared" si="20"/>
        <v>429</v>
      </c>
      <c r="R17" s="35">
        <f t="shared" si="20"/>
        <v>393</v>
      </c>
      <c r="S17" s="35">
        <f t="shared" si="20"/>
        <v>467</v>
      </c>
      <c r="T17" s="35">
        <f t="shared" si="20"/>
        <v>542</v>
      </c>
      <c r="U17" s="435">
        <f t="shared" si="20"/>
        <v>1831</v>
      </c>
      <c r="V17" s="35">
        <f t="shared" si="20"/>
        <v>457</v>
      </c>
      <c r="W17" s="35">
        <f t="shared" si="20"/>
        <v>431</v>
      </c>
      <c r="X17" s="35">
        <f t="shared" si="20"/>
        <v>454</v>
      </c>
      <c r="Y17" s="35">
        <f t="shared" si="20"/>
        <v>553</v>
      </c>
      <c r="Z17" s="435">
        <f t="shared" si="20"/>
        <v>1895</v>
      </c>
      <c r="AA17" s="35">
        <f t="shared" si="20"/>
        <v>466</v>
      </c>
      <c r="AB17" s="35">
        <f t="shared" si="20"/>
        <v>436</v>
      </c>
      <c r="AC17" s="35">
        <f t="shared" si="20"/>
        <v>480</v>
      </c>
      <c r="AD17" s="35">
        <f t="shared" si="20"/>
        <v>577</v>
      </c>
      <c r="AE17" s="435">
        <f t="shared" si="20"/>
        <v>1959</v>
      </c>
      <c r="AF17" s="35">
        <f t="shared" si="20"/>
        <v>498</v>
      </c>
      <c r="AG17" s="35">
        <f t="shared" si="20"/>
        <v>462</v>
      </c>
      <c r="AH17" s="35">
        <f t="shared" si="20"/>
        <v>537</v>
      </c>
      <c r="AI17" s="35">
        <f t="shared" si="20"/>
        <v>594</v>
      </c>
      <c r="AJ17" s="435">
        <f t="shared" si="20"/>
        <v>2091</v>
      </c>
      <c r="AK17" s="35">
        <f t="shared" si="20"/>
        <v>528</v>
      </c>
      <c r="AL17" s="35">
        <f t="shared" ref="AL17:AS17" si="21">AL7+AL11</f>
        <v>479</v>
      </c>
      <c r="AM17" s="35">
        <f t="shared" si="21"/>
        <v>538</v>
      </c>
      <c r="AN17" s="35">
        <f t="shared" si="21"/>
        <v>630</v>
      </c>
      <c r="AO17" s="435">
        <f t="shared" si="21"/>
        <v>2175</v>
      </c>
      <c r="AP17" s="35">
        <f t="shared" si="21"/>
        <v>562</v>
      </c>
      <c r="AQ17" s="35">
        <f t="shared" si="21"/>
        <v>486</v>
      </c>
      <c r="AR17" s="35">
        <f t="shared" si="21"/>
        <v>611</v>
      </c>
      <c r="AS17" s="35">
        <f t="shared" si="21"/>
        <v>687</v>
      </c>
      <c r="AT17" s="435">
        <f>SUM(AP17:AS17)</f>
        <v>2346</v>
      </c>
      <c r="AU17" s="35">
        <f t="shared" ref="AU17:BC17" si="22">AU7+AU11</f>
        <v>583</v>
      </c>
      <c r="AV17" s="35">
        <f t="shared" si="22"/>
        <v>529</v>
      </c>
      <c r="AW17" s="35">
        <f t="shared" si="22"/>
        <v>574</v>
      </c>
      <c r="AX17" s="35">
        <f t="shared" si="22"/>
        <v>633</v>
      </c>
      <c r="AY17" s="435">
        <f t="shared" si="22"/>
        <v>2319</v>
      </c>
      <c r="AZ17" s="35">
        <f t="shared" si="22"/>
        <v>561</v>
      </c>
      <c r="BA17" s="35">
        <f t="shared" si="22"/>
        <v>492</v>
      </c>
      <c r="BB17" s="35">
        <f>BB7+BB11</f>
        <v>575</v>
      </c>
      <c r="BC17" s="35">
        <f t="shared" si="22"/>
        <v>645</v>
      </c>
      <c r="BD17" s="435">
        <f>SUM(AZ17:BC17)</f>
        <v>2273</v>
      </c>
      <c r="BE17" s="35">
        <f>BE7+BE11</f>
        <v>546</v>
      </c>
      <c r="BF17" s="35">
        <f>BF7+BF11</f>
        <v>507</v>
      </c>
      <c r="BG17" s="35">
        <f>BG7+BG11</f>
        <v>593</v>
      </c>
      <c r="BH17" s="35">
        <f>BH7+BH11</f>
        <v>658</v>
      </c>
      <c r="BI17" s="435">
        <f>SUM(BE17:BH17)</f>
        <v>2304</v>
      </c>
      <c r="BJ17" s="35">
        <f>BJ7+BJ11</f>
        <v>574</v>
      </c>
      <c r="BK17" s="35">
        <f>BK7+BK11</f>
        <v>563</v>
      </c>
      <c r="BL17" s="35">
        <f>BL7+BL11</f>
        <v>595</v>
      </c>
      <c r="BM17" s="35">
        <f>BM7+BM11</f>
        <v>680</v>
      </c>
      <c r="BN17" s="435">
        <f>SUM(BJ17:BM17)</f>
        <v>2412</v>
      </c>
      <c r="BO17" s="35">
        <f>BO7+BO11</f>
        <v>584</v>
      </c>
      <c r="BP17" s="35">
        <f>BP7+BP11</f>
        <v>555</v>
      </c>
      <c r="BQ17" s="35">
        <f>BQ7+BQ11</f>
        <v>575</v>
      </c>
      <c r="BR17" s="35">
        <f>BR7+BR11</f>
        <v>642</v>
      </c>
      <c r="BS17" s="435">
        <f>SUM(BO17:BR17)</f>
        <v>2356</v>
      </c>
      <c r="BT17" s="624">
        <f>BT7+BT11</f>
        <v>578</v>
      </c>
      <c r="BU17" s="35">
        <f>BU7+BU11</f>
        <v>572</v>
      </c>
      <c r="BV17" s="35">
        <f>BV7+BV11</f>
        <v>605</v>
      </c>
      <c r="BW17" s="35">
        <f>BW7+BW11</f>
        <v>710</v>
      </c>
      <c r="BX17" s="435">
        <f>SUM(BT17:BW17)</f>
        <v>2465</v>
      </c>
      <c r="BY17" s="35">
        <f>BY7+BY11</f>
        <v>625</v>
      </c>
      <c r="BZ17" s="35">
        <f>BZ7+BZ11</f>
        <v>600</v>
      </c>
      <c r="CA17" s="35">
        <f>CA7+CA11</f>
        <v>646</v>
      </c>
      <c r="CB17" s="35">
        <f>CB7+CB11</f>
        <v>727</v>
      </c>
      <c r="CC17" s="435">
        <f>SUM(BY17:CB17)</f>
        <v>2598</v>
      </c>
      <c r="CD17" s="35">
        <f>CD7+CD11</f>
        <v>640</v>
      </c>
      <c r="CE17" s="624">
        <f>CE7+CE11</f>
        <v>629</v>
      </c>
      <c r="CF17" s="35">
        <f>CF7+CF11</f>
        <v>650</v>
      </c>
      <c r="CG17" s="35">
        <f>CG7+CG11</f>
        <v>752</v>
      </c>
      <c r="CH17" s="435">
        <f>SUM(CD17:CG17)</f>
        <v>2671</v>
      </c>
      <c r="CI17" s="35">
        <f>CI7+CI11</f>
        <v>673</v>
      </c>
      <c r="CJ17" s="35">
        <f>CJ7+CJ11</f>
        <v>609</v>
      </c>
      <c r="CK17" s="35">
        <f>CK7+CK11</f>
        <v>647.77904981637892</v>
      </c>
      <c r="CL17" s="35">
        <f ca="1">CL7+CL11</f>
        <v>781.1146552449909</v>
      </c>
      <c r="CM17" s="435">
        <f ca="1">SUM(CI17:CL17)</f>
        <v>2710.8937050613699</v>
      </c>
      <c r="CN17" s="35">
        <f>CN7+CN11</f>
        <v>702.51779989118268</v>
      </c>
      <c r="CO17" s="35">
        <f>CO7+CO11</f>
        <v>656.97773438052582</v>
      </c>
      <c r="CP17" s="35">
        <f>CP7+CP11</f>
        <v>702.3340877740311</v>
      </c>
      <c r="CQ17" s="35">
        <f ca="1">CQ7+CQ11</f>
        <v>810.05354376837204</v>
      </c>
      <c r="CR17" s="435">
        <f ca="1">SUM(CN17:CQ17)</f>
        <v>2871.8831658141116</v>
      </c>
      <c r="CS17" s="35">
        <f>CS7+CS11</f>
        <v>720.64569197198</v>
      </c>
      <c r="CT17" s="35">
        <f>CT7+CT11</f>
        <v>674.31594609118235</v>
      </c>
      <c r="CU17" s="35">
        <f>CU7+CU11</f>
        <v>720.51369153708788</v>
      </c>
      <c r="CV17" s="35">
        <f ca="1">CV7+CV11</f>
        <v>830.39675729592705</v>
      </c>
      <c r="CW17" s="435">
        <f ca="1">SUM(CS17:CV17)</f>
        <v>2945.8720868961773</v>
      </c>
      <c r="CX17" s="35">
        <f>CX7+CX11</f>
        <v>739.31210147576951</v>
      </c>
      <c r="CY17" s="35">
        <f>CY7+CY11</f>
        <v>692.18283855211791</v>
      </c>
      <c r="CZ17" s="35">
        <f>CZ7+CZ11</f>
        <v>739.23767038227584</v>
      </c>
      <c r="DA17" s="35">
        <f ca="1">DA7+DA11</f>
        <v>851.3338422252541</v>
      </c>
      <c r="DB17" s="435">
        <f ca="1">SUM(CX17:DA17)</f>
        <v>3022.0664526354171</v>
      </c>
      <c r="DC17" s="35">
        <f>DC7+DC11</f>
        <v>758.53563820758154</v>
      </c>
      <c r="DD17" s="35">
        <f>DD7+DD11</f>
        <v>710.59711081287571</v>
      </c>
      <c r="DE17" s="35">
        <f>DE7+DE11</f>
        <v>758.52502709069927</v>
      </c>
      <c r="DF17" s="35">
        <f ca="1">DF7+DF11</f>
        <v>872.88517380459416</v>
      </c>
      <c r="DG17" s="435">
        <f ca="1">SUM(DC17:DF17)</f>
        <v>3100.5429499157508</v>
      </c>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row>
    <row r="18" spans="1:226" s="36" customFormat="1" ht="12" customHeight="1" x14ac:dyDescent="0.2">
      <c r="A18" s="36" t="s">
        <v>23</v>
      </c>
      <c r="B18" s="43">
        <f t="shared" ref="B18:AM18" si="23">B17/B7</f>
        <v>0.42990654205607476</v>
      </c>
      <c r="C18" s="43">
        <f t="shared" si="23"/>
        <v>0.4132420091324201</v>
      </c>
      <c r="D18" s="43">
        <f t="shared" si="23"/>
        <v>0.41683991683991684</v>
      </c>
      <c r="E18" s="43">
        <f t="shared" si="23"/>
        <v>0.4029038112522686</v>
      </c>
      <c r="F18" s="407">
        <f t="shared" si="23"/>
        <v>0.41532154752754291</v>
      </c>
      <c r="G18" s="43">
        <f t="shared" si="23"/>
        <v>0.43089430894308944</v>
      </c>
      <c r="H18" s="43">
        <f t="shared" si="23"/>
        <v>0.43066516347237882</v>
      </c>
      <c r="I18" s="43">
        <f t="shared" si="23"/>
        <v>0.42424242424242425</v>
      </c>
      <c r="J18" s="43">
        <f t="shared" si="23"/>
        <v>0.44592198581560283</v>
      </c>
      <c r="K18" s="407">
        <f t="shared" si="23"/>
        <v>0.43336648433615116</v>
      </c>
      <c r="L18" s="43">
        <f t="shared" si="23"/>
        <v>0.48042024832855779</v>
      </c>
      <c r="M18" s="43">
        <f t="shared" si="23"/>
        <v>0.46436285097192226</v>
      </c>
      <c r="N18" s="43">
        <f t="shared" si="23"/>
        <v>0.45534838076545631</v>
      </c>
      <c r="O18" s="43">
        <f t="shared" si="23"/>
        <v>0.453125</v>
      </c>
      <c r="P18" s="407">
        <f t="shared" si="23"/>
        <v>0.46307915057915056</v>
      </c>
      <c r="Q18" s="43">
        <f t="shared" si="23"/>
        <v>0.426441351888668</v>
      </c>
      <c r="R18" s="43">
        <f t="shared" si="23"/>
        <v>0.42717391304347824</v>
      </c>
      <c r="S18" s="43">
        <f t="shared" si="23"/>
        <v>0.44433872502378685</v>
      </c>
      <c r="T18" s="43">
        <f t="shared" si="23"/>
        <v>0.45738396624472571</v>
      </c>
      <c r="U18" s="407">
        <f t="shared" si="23"/>
        <v>0.43993272465160982</v>
      </c>
      <c r="V18" s="43">
        <f t="shared" si="23"/>
        <v>0.43606870229007633</v>
      </c>
      <c r="W18" s="43">
        <f t="shared" si="23"/>
        <v>0.43099999999999999</v>
      </c>
      <c r="X18" s="43">
        <f t="shared" si="23"/>
        <v>0.41804788213627991</v>
      </c>
      <c r="Y18" s="43">
        <f t="shared" si="23"/>
        <v>0.44098883572567782</v>
      </c>
      <c r="Z18" s="407">
        <f t="shared" si="23"/>
        <v>0.43185961713764814</v>
      </c>
      <c r="AA18" s="43">
        <f t="shared" si="23"/>
        <v>0.42210144927536231</v>
      </c>
      <c r="AB18" s="43">
        <f t="shared" si="23"/>
        <v>0.40977443609022557</v>
      </c>
      <c r="AC18" s="43">
        <f t="shared" si="23"/>
        <v>0.41486603284356094</v>
      </c>
      <c r="AD18" s="43">
        <f t="shared" si="23"/>
        <v>0.43745261561789234</v>
      </c>
      <c r="AE18" s="407">
        <f t="shared" si="23"/>
        <v>0.42183462532299743</v>
      </c>
      <c r="AF18" s="43">
        <f t="shared" si="23"/>
        <v>0.4289405684754522</v>
      </c>
      <c r="AG18" s="43">
        <f t="shared" si="23"/>
        <v>0.4196185286103542</v>
      </c>
      <c r="AH18" s="43">
        <f t="shared" si="23"/>
        <v>0.43271555197421435</v>
      </c>
      <c r="AI18" s="43">
        <f t="shared" si="23"/>
        <v>0.4419642857142857</v>
      </c>
      <c r="AJ18" s="407">
        <f t="shared" si="23"/>
        <v>0.43140086651537035</v>
      </c>
      <c r="AK18" s="43">
        <f t="shared" si="23"/>
        <v>0.42615012106537531</v>
      </c>
      <c r="AL18" s="43">
        <f t="shared" si="23"/>
        <v>0.40387858347386174</v>
      </c>
      <c r="AM18" s="43">
        <f t="shared" si="23"/>
        <v>0.3976348854397635</v>
      </c>
      <c r="AN18" s="43">
        <f t="shared" ref="AN18:AY18" si="24">AN17/AN7</f>
        <v>0.42140468227424749</v>
      </c>
      <c r="AO18" s="407">
        <f t="shared" si="24"/>
        <v>0.41247866489664325</v>
      </c>
      <c r="AP18" s="43">
        <f t="shared" si="24"/>
        <v>0.40606936416184969</v>
      </c>
      <c r="AQ18" s="43">
        <f t="shared" si="24"/>
        <v>0.39967105263157893</v>
      </c>
      <c r="AR18" s="43">
        <f t="shared" si="24"/>
        <v>0.4525925925925926</v>
      </c>
      <c r="AS18" s="43">
        <f t="shared" si="24"/>
        <v>0.45800000000000002</v>
      </c>
      <c r="AT18" s="407">
        <f t="shared" si="24"/>
        <v>0.43045871559633025</v>
      </c>
      <c r="AU18" s="43">
        <f t="shared" si="24"/>
        <v>0.44742900997697621</v>
      </c>
      <c r="AV18" s="43">
        <f t="shared" si="24"/>
        <v>0.43539094650205762</v>
      </c>
      <c r="AW18" s="43">
        <f t="shared" si="24"/>
        <v>0.44599844599844601</v>
      </c>
      <c r="AX18" s="43">
        <f t="shared" si="24"/>
        <v>0.44296710986703991</v>
      </c>
      <c r="AY18" s="407">
        <f t="shared" si="24"/>
        <v>0.44306457776079478</v>
      </c>
      <c r="AZ18" s="43">
        <f t="shared" ref="AZ18:BE18" si="25">AZ17/AZ7</f>
        <v>0.44312796208530808</v>
      </c>
      <c r="BA18" s="43">
        <f t="shared" si="25"/>
        <v>0.41730279898218831</v>
      </c>
      <c r="BB18" s="43">
        <f t="shared" si="25"/>
        <v>0.44095092024539878</v>
      </c>
      <c r="BC18" s="43">
        <f t="shared" si="25"/>
        <v>0.43522267206477733</v>
      </c>
      <c r="BD18" s="407">
        <f t="shared" si="25"/>
        <v>0.43452494742878989</v>
      </c>
      <c r="BE18" s="43">
        <f t="shared" si="25"/>
        <v>0.41839080459770117</v>
      </c>
      <c r="BF18" s="43">
        <f t="shared" ref="BF18:CW18" si="26">BF17/BF7</f>
        <v>0.41523341523341523</v>
      </c>
      <c r="BG18" s="43">
        <f t="shared" si="26"/>
        <v>0.42326909350463954</v>
      </c>
      <c r="BH18" s="43">
        <f t="shared" si="26"/>
        <v>0.42699545749513301</v>
      </c>
      <c r="BI18" s="407">
        <f t="shared" si="26"/>
        <v>0.42136064374542792</v>
      </c>
      <c r="BJ18" s="43">
        <f t="shared" si="26"/>
        <v>0.42899850523168909</v>
      </c>
      <c r="BK18" s="43">
        <f t="shared" si="26"/>
        <v>0.4249056603773585</v>
      </c>
      <c r="BL18" s="43">
        <f t="shared" si="26"/>
        <v>0.42108987968860578</v>
      </c>
      <c r="BM18" s="43">
        <f t="shared" si="26"/>
        <v>0.43956043956043955</v>
      </c>
      <c r="BN18" s="407">
        <f t="shared" si="26"/>
        <v>0.42895251645029342</v>
      </c>
      <c r="BO18" s="43">
        <f t="shared" si="26"/>
        <v>0.43484735666418467</v>
      </c>
      <c r="BP18" s="43">
        <f t="shared" si="26"/>
        <v>0.4243119266055046</v>
      </c>
      <c r="BQ18" s="43">
        <f t="shared" si="26"/>
        <v>0.42093704245973645</v>
      </c>
      <c r="BR18" s="43">
        <f t="shared" si="26"/>
        <v>0.42885771543086171</v>
      </c>
      <c r="BS18" s="407">
        <f t="shared" si="26"/>
        <v>0.42727602466449038</v>
      </c>
      <c r="BT18" s="707">
        <f>BT17/BT7</f>
        <v>0.4275147928994083</v>
      </c>
      <c r="BU18" s="43">
        <f t="shared" si="26"/>
        <v>0.42527881040892196</v>
      </c>
      <c r="BV18" s="43">
        <f t="shared" si="26"/>
        <v>0.4318344039971449</v>
      </c>
      <c r="BW18" s="43">
        <f t="shared" si="26"/>
        <v>0.45600513808606297</v>
      </c>
      <c r="BX18" s="407">
        <f>BX17/BX7</f>
        <v>0.4358974358974359</v>
      </c>
      <c r="BY18" s="43">
        <f t="shared" si="26"/>
        <v>0.44964028776978415</v>
      </c>
      <c r="BZ18" s="43">
        <f t="shared" si="26"/>
        <v>0.44609665427509293</v>
      </c>
      <c r="CA18" s="43">
        <f t="shared" si="26"/>
        <v>0.45301542776998599</v>
      </c>
      <c r="CB18" s="43">
        <f>CB17/CB7</f>
        <v>0.45437499999999997</v>
      </c>
      <c r="CC18" s="407">
        <f>CC17/CC7</f>
        <v>0.45096337441416423</v>
      </c>
      <c r="CD18" s="43">
        <f>CD17/CD7</f>
        <v>0.44352044352044351</v>
      </c>
      <c r="CE18" s="707">
        <f>CE17/CE7</f>
        <v>0.44736842105263158</v>
      </c>
      <c r="CF18" s="43">
        <f t="shared" si="26"/>
        <v>0.44008124576844954</v>
      </c>
      <c r="CG18" s="43">
        <f>CG17/CG7</f>
        <v>0.45658773527625984</v>
      </c>
      <c r="CH18" s="407">
        <f t="shared" si="26"/>
        <v>0.4471789720408505</v>
      </c>
      <c r="CI18" s="43">
        <f t="shared" si="26"/>
        <v>0.44866666666666666</v>
      </c>
      <c r="CJ18" s="43">
        <f t="shared" si="26"/>
        <v>0.43008474576271188</v>
      </c>
      <c r="CK18" s="43">
        <f t="shared" si="26"/>
        <v>0.42808124576844953</v>
      </c>
      <c r="CL18" s="43">
        <f t="shared" ca="1" si="26"/>
        <v>0.45166753746867927</v>
      </c>
      <c r="CM18" s="407">
        <f t="shared" ca="1" si="26"/>
        <v>0.44017897204085032</v>
      </c>
      <c r="CN18" s="43">
        <f t="shared" si="26"/>
        <v>0.44366666666666671</v>
      </c>
      <c r="CO18" s="43">
        <f t="shared" si="26"/>
        <v>0.43408474576271183</v>
      </c>
      <c r="CP18" s="43">
        <f t="shared" si="26"/>
        <v>0.43408124576844959</v>
      </c>
      <c r="CQ18" s="43">
        <f t="shared" ca="1" si="26"/>
        <v>0.45509882932477386</v>
      </c>
      <c r="CR18" s="407">
        <f t="shared" ca="1" si="26"/>
        <v>0.44217897204085038</v>
      </c>
      <c r="CS18" s="43">
        <f t="shared" si="26"/>
        <v>0.44466666666666665</v>
      </c>
      <c r="CT18" s="43">
        <f t="shared" si="26"/>
        <v>0.43508474576271183</v>
      </c>
      <c r="CU18" s="43">
        <f t="shared" si="26"/>
        <v>0.43508124576844953</v>
      </c>
      <c r="CV18" s="43">
        <f t="shared" ca="1" si="26"/>
        <v>0.45611095668899831</v>
      </c>
      <c r="CW18" s="407">
        <f t="shared" ca="1" si="26"/>
        <v>0.44317897204085049</v>
      </c>
      <c r="CX18" s="43">
        <f t="shared" ref="CX18:DG18" si="27">CX17/CX7</f>
        <v>0.44566666666666671</v>
      </c>
      <c r="CY18" s="43">
        <f t="shared" si="27"/>
        <v>0.43608474576271183</v>
      </c>
      <c r="CZ18" s="43">
        <f t="shared" si="27"/>
        <v>0.43608124576844953</v>
      </c>
      <c r="DA18" s="43">
        <f t="shared" ca="1" si="27"/>
        <v>0.45712315934172748</v>
      </c>
      <c r="DB18" s="407">
        <f t="shared" ca="1" si="27"/>
        <v>0.44417897204085022</v>
      </c>
      <c r="DC18" s="43">
        <f t="shared" si="27"/>
        <v>0.44666666666666666</v>
      </c>
      <c r="DD18" s="43">
        <f t="shared" si="27"/>
        <v>0.43708474576271183</v>
      </c>
      <c r="DE18" s="43">
        <f t="shared" si="27"/>
        <v>0.43708124576844953</v>
      </c>
      <c r="DF18" s="43">
        <f t="shared" ca="1" si="27"/>
        <v>0.4581354365955741</v>
      </c>
      <c r="DG18" s="407">
        <f t="shared" ca="1" si="27"/>
        <v>0.44517897204085055</v>
      </c>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row>
    <row r="19" spans="1:226" s="36" customFormat="1" ht="12" customHeight="1" x14ac:dyDescent="0.2">
      <c r="A19" s="80" t="s">
        <v>112</v>
      </c>
      <c r="B19" s="493"/>
      <c r="C19" s="493"/>
      <c r="D19" s="493"/>
      <c r="E19" s="493"/>
      <c r="F19" s="702"/>
      <c r="G19" s="493">
        <f t="shared" ref="G19:AM19" si="28">(G18-B18)*10000</f>
        <v>9.8776688701468487</v>
      </c>
      <c r="H19" s="493">
        <f t="shared" si="28"/>
        <v>174.23154339958725</v>
      </c>
      <c r="I19" s="493">
        <f t="shared" si="28"/>
        <v>74.02507402507419</v>
      </c>
      <c r="J19" s="493">
        <f t="shared" si="28"/>
        <v>430.1817456333423</v>
      </c>
      <c r="K19" s="702">
        <f t="shared" si="28"/>
        <v>180.44936808608247</v>
      </c>
      <c r="L19" s="493">
        <f t="shared" si="28"/>
        <v>495.25939385468342</v>
      </c>
      <c r="M19" s="493">
        <f t="shared" si="28"/>
        <v>336.9768749954344</v>
      </c>
      <c r="N19" s="493">
        <f t="shared" si="28"/>
        <v>311.05956523032052</v>
      </c>
      <c r="O19" s="493">
        <f t="shared" si="28"/>
        <v>72.03014184397172</v>
      </c>
      <c r="P19" s="702">
        <f t="shared" si="28"/>
        <v>297.12666242999398</v>
      </c>
      <c r="Q19" s="493">
        <f t="shared" si="28"/>
        <v>-539.78896439889786</v>
      </c>
      <c r="R19" s="493">
        <f t="shared" si="28"/>
        <v>-371.88937928444022</v>
      </c>
      <c r="S19" s="493">
        <f t="shared" si="28"/>
        <v>-110.09655741669455</v>
      </c>
      <c r="T19" s="493">
        <f t="shared" si="28"/>
        <v>42.589662447257147</v>
      </c>
      <c r="U19" s="702">
        <f t="shared" si="28"/>
        <v>-231.46425927540736</v>
      </c>
      <c r="V19" s="493">
        <f t="shared" si="28"/>
        <v>96.273504014083301</v>
      </c>
      <c r="W19" s="493">
        <f t="shared" si="28"/>
        <v>38.260869565217568</v>
      </c>
      <c r="X19" s="493">
        <f t="shared" si="28"/>
        <v>-262.90842887506938</v>
      </c>
      <c r="Y19" s="493">
        <f t="shared" si="28"/>
        <v>-163.95130519047896</v>
      </c>
      <c r="Z19" s="702">
        <f t="shared" si="28"/>
        <v>-80.731075139616749</v>
      </c>
      <c r="AA19" s="493">
        <f t="shared" si="28"/>
        <v>-139.67253014714021</v>
      </c>
      <c r="AB19" s="493">
        <f t="shared" si="28"/>
        <v>-212.25563909774425</v>
      </c>
      <c r="AC19" s="493">
        <f t="shared" si="28"/>
        <v>-31.818492927189745</v>
      </c>
      <c r="AD19" s="493">
        <f t="shared" si="28"/>
        <v>-35.362201077854813</v>
      </c>
      <c r="AE19" s="702">
        <f t="shared" si="28"/>
        <v>-100.24991814650718</v>
      </c>
      <c r="AF19" s="493">
        <f t="shared" si="28"/>
        <v>68.39119200089894</v>
      </c>
      <c r="AG19" s="493">
        <f t="shared" si="28"/>
        <v>98.440925201286333</v>
      </c>
      <c r="AH19" s="493">
        <f t="shared" si="28"/>
        <v>178.49519130653414</v>
      </c>
      <c r="AI19" s="493">
        <f t="shared" si="28"/>
        <v>45.11670096393361</v>
      </c>
      <c r="AJ19" s="702">
        <f t="shared" si="28"/>
        <v>95.662411923729266</v>
      </c>
      <c r="AK19" s="493">
        <f t="shared" si="28"/>
        <v>-27.904474100768905</v>
      </c>
      <c r="AL19" s="493">
        <f t="shared" si="28"/>
        <v>-157.3994513649246</v>
      </c>
      <c r="AM19" s="493">
        <f t="shared" si="28"/>
        <v>-350.80666534450853</v>
      </c>
      <c r="AN19" s="493">
        <f t="shared" ref="AN19:AY19" si="29">(AN18-AI18)*10000</f>
        <v>-205.59603440038211</v>
      </c>
      <c r="AO19" s="702">
        <f t="shared" si="29"/>
        <v>-189.22201618727098</v>
      </c>
      <c r="AP19" s="493">
        <f t="shared" si="29"/>
        <v>-200.80756903525619</v>
      </c>
      <c r="AQ19" s="493">
        <f t="shared" si="29"/>
        <v>-42.075308422828137</v>
      </c>
      <c r="AR19" s="493">
        <f t="shared" si="29"/>
        <v>549.57707152829107</v>
      </c>
      <c r="AS19" s="493">
        <f t="shared" si="29"/>
        <v>365.95317725752528</v>
      </c>
      <c r="AT19" s="702">
        <f t="shared" si="29"/>
        <v>179.80050699687001</v>
      </c>
      <c r="AU19" s="493">
        <f t="shared" si="29"/>
        <v>413.59645815126521</v>
      </c>
      <c r="AV19" s="493">
        <f t="shared" si="29"/>
        <v>357.19893870478694</v>
      </c>
      <c r="AW19" s="493">
        <f t="shared" si="29"/>
        <v>-65.941465941465879</v>
      </c>
      <c r="AX19" s="493">
        <f t="shared" si="29"/>
        <v>-150.32890132960108</v>
      </c>
      <c r="AY19" s="702">
        <f t="shared" si="29"/>
        <v>126.05862164464521</v>
      </c>
      <c r="AZ19" s="493">
        <f t="shared" ref="AZ19:BE19" si="30">(AZ18-AU18)*10000</f>
        <v>-43.010478916681308</v>
      </c>
      <c r="BA19" s="493">
        <f t="shared" si="30"/>
        <v>-180.88147519869312</v>
      </c>
      <c r="BB19" s="493">
        <f t="shared" si="30"/>
        <v>-50.475257530472327</v>
      </c>
      <c r="BC19" s="493">
        <f t="shared" si="30"/>
        <v>-77.444378022625827</v>
      </c>
      <c r="BD19" s="702">
        <f t="shared" si="30"/>
        <v>-85.396303320048887</v>
      </c>
      <c r="BE19" s="493">
        <f t="shared" si="30"/>
        <v>-247.37157487606908</v>
      </c>
      <c r="BF19" s="493">
        <f t="shared" ref="BF19:CW19" si="31">(BF18-BA18)*10000</f>
        <v>-20.693837487730793</v>
      </c>
      <c r="BG19" s="493">
        <f t="shared" si="31"/>
        <v>-176.81826740759243</v>
      </c>
      <c r="BH19" s="493">
        <f t="shared" si="31"/>
        <v>-82.272145696443147</v>
      </c>
      <c r="BI19" s="702">
        <f t="shared" si="31"/>
        <v>-131.64303683361968</v>
      </c>
      <c r="BJ19" s="493">
        <f t="shared" si="31"/>
        <v>106.07700633987915</v>
      </c>
      <c r="BK19" s="493">
        <f t="shared" si="31"/>
        <v>96.722451439432703</v>
      </c>
      <c r="BL19" s="493">
        <f t="shared" si="31"/>
        <v>-21.792138160337537</v>
      </c>
      <c r="BM19" s="493">
        <f t="shared" si="31"/>
        <v>125.6498206530654</v>
      </c>
      <c r="BN19" s="702">
        <f t="shared" si="31"/>
        <v>75.918727048654986</v>
      </c>
      <c r="BO19" s="493">
        <f t="shared" si="31"/>
        <v>58.48851432495583</v>
      </c>
      <c r="BP19" s="493">
        <f t="shared" si="31"/>
        <v>-5.9373377185389931</v>
      </c>
      <c r="BQ19" s="493">
        <f>(BQ18-BL18)*10000</f>
        <v>-1.5283722886932916</v>
      </c>
      <c r="BR19" s="493">
        <f t="shared" si="31"/>
        <v>-107.02724129577845</v>
      </c>
      <c r="BS19" s="702">
        <f t="shared" si="31"/>
        <v>-16.764917858030358</v>
      </c>
      <c r="BT19" s="614">
        <f>(BT18-BO18)*10000</f>
        <v>-73.325637647763671</v>
      </c>
      <c r="BU19" s="493">
        <f>(BU18-BP18)*10000</f>
        <v>9.6688380341736213</v>
      </c>
      <c r="BV19" s="493">
        <f>(BV18-BQ18)*10000</f>
        <v>108.97361537408446</v>
      </c>
      <c r="BW19" s="493">
        <f t="shared" si="31"/>
        <v>271.47422655201257</v>
      </c>
      <c r="BX19" s="702">
        <f t="shared" si="31"/>
        <v>86.21411232945519</v>
      </c>
      <c r="BY19" s="493">
        <f t="shared" si="31"/>
        <v>221.25494870375852</v>
      </c>
      <c r="BZ19" s="493">
        <f t="shared" si="31"/>
        <v>208.17843866170972</v>
      </c>
      <c r="CA19" s="493">
        <f t="shared" si="31"/>
        <v>211.8102377284109</v>
      </c>
      <c r="CB19" s="493">
        <f>(CB18-BW18)*10000</f>
        <v>-16.301380860629934</v>
      </c>
      <c r="CC19" s="702">
        <f>(CC18-BX18)*10000</f>
        <v>150.65938516728329</v>
      </c>
      <c r="CD19" s="27">
        <f>(CD18-BY18)*10000</f>
        <v>-61.198442493406446</v>
      </c>
      <c r="CE19" s="786">
        <f>(CE18-BZ18)*10000</f>
        <v>12.71766777538652</v>
      </c>
      <c r="CF19" s="27">
        <f t="shared" si="31"/>
        <v>-129.34182001536453</v>
      </c>
      <c r="CG19" s="27">
        <f t="shared" si="31"/>
        <v>22.127352762598697</v>
      </c>
      <c r="CH19" s="334">
        <f t="shared" si="31"/>
        <v>-37.844023733137334</v>
      </c>
      <c r="CI19" s="27">
        <f t="shared" si="31"/>
        <v>51.4622314622315</v>
      </c>
      <c r="CJ19" s="27">
        <f t="shared" si="31"/>
        <v>-172.83675289919697</v>
      </c>
      <c r="CK19" s="27">
        <f t="shared" si="31"/>
        <v>-120.00000000000011</v>
      </c>
      <c r="CL19" s="27">
        <f t="shared" ca="1" si="31"/>
        <v>-49.201978075805727</v>
      </c>
      <c r="CM19" s="334">
        <f t="shared" ca="1" si="31"/>
        <v>-70.000000000001734</v>
      </c>
      <c r="CN19" s="27">
        <f t="shared" si="31"/>
        <v>-49.999999999999488</v>
      </c>
      <c r="CO19" s="27">
        <f t="shared" si="31"/>
        <v>39.999999999999481</v>
      </c>
      <c r="CP19" s="27">
        <f t="shared" si="31"/>
        <v>60.000000000000611</v>
      </c>
      <c r="CQ19" s="27">
        <f t="shared" ca="1" si="31"/>
        <v>34.312918560945874</v>
      </c>
      <c r="CR19" s="334">
        <f t="shared" ca="1" si="31"/>
        <v>20.000000000000572</v>
      </c>
      <c r="CS19" s="27">
        <f t="shared" si="31"/>
        <v>9.9999999999994529</v>
      </c>
      <c r="CT19" s="27">
        <f t="shared" si="31"/>
        <v>10.000000000000009</v>
      </c>
      <c r="CU19" s="27">
        <f t="shared" si="31"/>
        <v>9.9999999999994529</v>
      </c>
      <c r="CV19" s="27">
        <f t="shared" ca="1" si="31"/>
        <v>10.121273642244578</v>
      </c>
      <c r="CW19" s="334">
        <f t="shared" ca="1" si="31"/>
        <v>10.000000000001119</v>
      </c>
      <c r="CX19" s="27">
        <f t="shared" ref="CX19:DG19" si="32">(CX18-CS18)*10000</f>
        <v>10.000000000000565</v>
      </c>
      <c r="CY19" s="27">
        <f t="shared" si="32"/>
        <v>10.000000000000009</v>
      </c>
      <c r="CZ19" s="27">
        <f t="shared" si="32"/>
        <v>10.000000000000009</v>
      </c>
      <c r="DA19" s="27">
        <f t="shared" ca="1" si="32"/>
        <v>10.122026527291661</v>
      </c>
      <c r="DB19" s="334">
        <f t="shared" ca="1" si="32"/>
        <v>9.9999999999972324</v>
      </c>
      <c r="DC19" s="27">
        <f t="shared" si="32"/>
        <v>9.9999999999994529</v>
      </c>
      <c r="DD19" s="27">
        <f t="shared" si="32"/>
        <v>10.000000000000009</v>
      </c>
      <c r="DE19" s="27">
        <f t="shared" si="32"/>
        <v>10.000000000000009</v>
      </c>
      <c r="DF19" s="27">
        <f t="shared" ca="1" si="32"/>
        <v>10.122772538466162</v>
      </c>
      <c r="DG19" s="334">
        <f t="shared" ca="1" si="32"/>
        <v>10.00000000000334</v>
      </c>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row>
    <row r="20" spans="1:226" s="36" customFormat="1" ht="12" customHeight="1" x14ac:dyDescent="0.2">
      <c r="A20" s="36" t="s">
        <v>24</v>
      </c>
      <c r="B20" s="570"/>
      <c r="C20" s="570"/>
      <c r="D20" s="570"/>
      <c r="E20" s="570"/>
      <c r="F20" s="407"/>
      <c r="G20" s="570">
        <f t="shared" ref="G20:AU20" si="33">G17/B17-1</f>
        <v>2.4154589371980784E-2</v>
      </c>
      <c r="H20" s="570">
        <f t="shared" si="33"/>
        <v>5.5248618784530468E-2</v>
      </c>
      <c r="I20" s="570">
        <f t="shared" si="33"/>
        <v>8.2294264339152212E-2</v>
      </c>
      <c r="J20" s="570">
        <f t="shared" si="33"/>
        <v>0.13288288288288297</v>
      </c>
      <c r="K20" s="407">
        <f t="shared" si="33"/>
        <v>7.5262183837137675E-2</v>
      </c>
      <c r="L20" s="570">
        <f t="shared" si="33"/>
        <v>0.18632075471698117</v>
      </c>
      <c r="M20" s="570">
        <f t="shared" si="33"/>
        <v>0.12565445026178002</v>
      </c>
      <c r="N20" s="570">
        <f t="shared" si="33"/>
        <v>6.9124423963133674E-2</v>
      </c>
      <c r="O20" s="570">
        <f t="shared" si="33"/>
        <v>3.7773359840954202E-2</v>
      </c>
      <c r="P20" s="407">
        <f t="shared" si="33"/>
        <v>0.10097532989099256</v>
      </c>
      <c r="Q20" s="570">
        <f t="shared" si="33"/>
        <v>-0.14711729622266401</v>
      </c>
      <c r="R20" s="570">
        <f t="shared" si="33"/>
        <v>-8.6046511627906996E-2</v>
      </c>
      <c r="S20" s="570">
        <f t="shared" si="33"/>
        <v>6.4655172413792261E-3</v>
      </c>
      <c r="T20" s="570">
        <f t="shared" si="33"/>
        <v>3.8314176245210829E-2</v>
      </c>
      <c r="U20" s="407">
        <f t="shared" si="33"/>
        <v>-4.5857217300677489E-2</v>
      </c>
      <c r="V20" s="570">
        <f t="shared" si="33"/>
        <v>6.5268065268065278E-2</v>
      </c>
      <c r="W20" s="570">
        <f t="shared" si="33"/>
        <v>9.6692111959287619E-2</v>
      </c>
      <c r="X20" s="570">
        <f t="shared" si="33"/>
        <v>-2.7837259100642386E-2</v>
      </c>
      <c r="Y20" s="570">
        <f t="shared" si="33"/>
        <v>2.0295202952029578E-2</v>
      </c>
      <c r="Z20" s="407">
        <f t="shared" si="33"/>
        <v>3.4953577280174786E-2</v>
      </c>
      <c r="AA20" s="570">
        <f t="shared" si="33"/>
        <v>1.9693654266958349E-2</v>
      </c>
      <c r="AB20" s="570">
        <f t="shared" si="33"/>
        <v>1.1600928074245953E-2</v>
      </c>
      <c r="AC20" s="570">
        <f t="shared" si="33"/>
        <v>5.7268722466960353E-2</v>
      </c>
      <c r="AD20" s="570">
        <f t="shared" si="33"/>
        <v>4.3399638336347302E-2</v>
      </c>
      <c r="AE20" s="407">
        <f t="shared" si="33"/>
        <v>3.3773087071240049E-2</v>
      </c>
      <c r="AF20" s="570">
        <f t="shared" si="33"/>
        <v>6.8669527896995763E-2</v>
      </c>
      <c r="AG20" s="570">
        <f t="shared" si="33"/>
        <v>5.9633027522935755E-2</v>
      </c>
      <c r="AH20" s="570">
        <f t="shared" si="33"/>
        <v>0.11874999999999991</v>
      </c>
      <c r="AI20" s="570">
        <f t="shared" si="33"/>
        <v>2.9462738301559765E-2</v>
      </c>
      <c r="AJ20" s="407">
        <f t="shared" si="33"/>
        <v>6.7381316998468499E-2</v>
      </c>
      <c r="AK20" s="570">
        <f t="shared" si="33"/>
        <v>6.024096385542177E-2</v>
      </c>
      <c r="AL20" s="570">
        <f t="shared" si="33"/>
        <v>3.6796536796536827E-2</v>
      </c>
      <c r="AM20" s="570">
        <f t="shared" si="33"/>
        <v>1.8621973929235924E-3</v>
      </c>
      <c r="AN20" s="570">
        <f t="shared" si="33"/>
        <v>6.0606060606060552E-2</v>
      </c>
      <c r="AO20" s="407">
        <f t="shared" si="33"/>
        <v>4.0172166427546729E-2</v>
      </c>
      <c r="AP20" s="570">
        <f t="shared" si="33"/>
        <v>6.4393939393939448E-2</v>
      </c>
      <c r="AQ20" s="570">
        <f t="shared" si="33"/>
        <v>1.4613778705636848E-2</v>
      </c>
      <c r="AR20" s="570">
        <f t="shared" si="33"/>
        <v>0.13568773234200737</v>
      </c>
      <c r="AS20" s="570">
        <f t="shared" si="33"/>
        <v>9.0476190476190377E-2</v>
      </c>
      <c r="AT20" s="407">
        <f t="shared" si="33"/>
        <v>7.8620689655172438E-2</v>
      </c>
      <c r="AU20" s="570">
        <f t="shared" si="33"/>
        <v>3.7366548042704562E-2</v>
      </c>
      <c r="AV20" s="570">
        <f t="shared" ref="AV20:BE20" si="34">AV17/AQ17-1</f>
        <v>8.847736625514413E-2</v>
      </c>
      <c r="AW20" s="570">
        <f t="shared" si="34"/>
        <v>-6.0556464811784005E-2</v>
      </c>
      <c r="AX20" s="570">
        <f t="shared" si="34"/>
        <v>-7.8602620087336206E-2</v>
      </c>
      <c r="AY20" s="407">
        <f t="shared" si="34"/>
        <v>-1.1508951406649648E-2</v>
      </c>
      <c r="AZ20" s="570">
        <f t="shared" si="34"/>
        <v>-3.7735849056603765E-2</v>
      </c>
      <c r="BA20" s="570">
        <f t="shared" si="34"/>
        <v>-6.9943289224952743E-2</v>
      </c>
      <c r="BB20" s="570">
        <f t="shared" si="34"/>
        <v>1.7421602787457413E-3</v>
      </c>
      <c r="BC20" s="570">
        <f t="shared" si="34"/>
        <v>1.8957345971563955E-2</v>
      </c>
      <c r="BD20" s="407">
        <f t="shared" si="34"/>
        <v>-1.9836136265631743E-2</v>
      </c>
      <c r="BE20" s="570">
        <f t="shared" si="34"/>
        <v>-2.6737967914438499E-2</v>
      </c>
      <c r="BF20" s="570">
        <f t="shared" ref="BF20:CW20" si="35">BF17/BA17-1</f>
        <v>3.0487804878048808E-2</v>
      </c>
      <c r="BG20" s="570">
        <f t="shared" si="35"/>
        <v>3.1304347826087042E-2</v>
      </c>
      <c r="BH20" s="570">
        <f t="shared" si="35"/>
        <v>2.0155038759689825E-2</v>
      </c>
      <c r="BI20" s="407">
        <f t="shared" si="35"/>
        <v>1.363836339639235E-2</v>
      </c>
      <c r="BJ20" s="570">
        <f t="shared" si="35"/>
        <v>5.1282051282051322E-2</v>
      </c>
      <c r="BK20" s="570">
        <f t="shared" si="35"/>
        <v>0.11045364891518727</v>
      </c>
      <c r="BL20" s="570">
        <f t="shared" si="35"/>
        <v>3.3726812816188279E-3</v>
      </c>
      <c r="BM20" s="570">
        <f t="shared" si="35"/>
        <v>3.3434650455927084E-2</v>
      </c>
      <c r="BN20" s="407">
        <f t="shared" si="35"/>
        <v>4.6875E-2</v>
      </c>
      <c r="BO20" s="570">
        <f t="shared" si="35"/>
        <v>1.7421602787456525E-2</v>
      </c>
      <c r="BP20" s="570">
        <f t="shared" si="35"/>
        <v>-1.4209591474245165E-2</v>
      </c>
      <c r="BQ20" s="570">
        <f t="shared" si="35"/>
        <v>-3.3613445378151252E-2</v>
      </c>
      <c r="BR20" s="570">
        <f t="shared" si="35"/>
        <v>-5.5882352941176494E-2</v>
      </c>
      <c r="BS20" s="407">
        <f t="shared" si="35"/>
        <v>-2.3217247097844118E-2</v>
      </c>
      <c r="BT20" s="671">
        <f>BT17/BO17-1</f>
        <v>-1.0273972602739767E-2</v>
      </c>
      <c r="BU20" s="570">
        <f t="shared" si="35"/>
        <v>3.063063063063054E-2</v>
      </c>
      <c r="BV20" s="570">
        <f t="shared" si="35"/>
        <v>5.2173913043478182E-2</v>
      </c>
      <c r="BW20" s="570">
        <f t="shared" si="35"/>
        <v>0.10591900311526481</v>
      </c>
      <c r="BX20" s="407">
        <f t="shared" si="35"/>
        <v>4.6264855687606188E-2</v>
      </c>
      <c r="BY20" s="570">
        <f t="shared" si="35"/>
        <v>8.1314878892733589E-2</v>
      </c>
      <c r="BZ20" s="570">
        <f t="shared" si="35"/>
        <v>4.8951048951048959E-2</v>
      </c>
      <c r="CA20" s="570">
        <f t="shared" si="35"/>
        <v>6.7768595041322266E-2</v>
      </c>
      <c r="CB20" s="570">
        <f>CB17/BW17-1</f>
        <v>2.3943661971830954E-2</v>
      </c>
      <c r="CC20" s="407">
        <f>CC17/BX17-1</f>
        <v>5.3955375253549764E-2</v>
      </c>
      <c r="CD20" s="47">
        <f>CD17/BY17-1</f>
        <v>2.4000000000000021E-2</v>
      </c>
      <c r="CE20" s="610">
        <f>CE17/BZ17-1</f>
        <v>4.8333333333333339E-2</v>
      </c>
      <c r="CF20" s="47">
        <f t="shared" si="35"/>
        <v>6.1919504643963563E-3</v>
      </c>
      <c r="CG20" s="47">
        <f t="shared" si="35"/>
        <v>3.4387895460797901E-2</v>
      </c>
      <c r="CH20" s="407">
        <f t="shared" si="35"/>
        <v>2.8098537336412654E-2</v>
      </c>
      <c r="CI20" s="47">
        <f t="shared" si="35"/>
        <v>5.1562499999999956E-2</v>
      </c>
      <c r="CJ20" s="47">
        <f t="shared" si="35"/>
        <v>-3.1796502384737635E-2</v>
      </c>
      <c r="CK20" s="47">
        <f t="shared" si="35"/>
        <v>-3.4168464363401041E-3</v>
      </c>
      <c r="CL20" s="47">
        <f t="shared" ca="1" si="35"/>
        <v>3.8716296868338995E-2</v>
      </c>
      <c r="CM20" s="407">
        <f t="shared" ca="1" si="35"/>
        <v>1.4935868611519965E-2</v>
      </c>
      <c r="CN20" s="47">
        <f t="shared" si="35"/>
        <v>4.3860029555992108E-2</v>
      </c>
      <c r="CO20" s="47">
        <f t="shared" si="35"/>
        <v>7.8781173038630303E-2</v>
      </c>
      <c r="CP20" s="47">
        <f t="shared" si="35"/>
        <v>8.4218589614956763E-2</v>
      </c>
      <c r="CQ20" s="47">
        <f t="shared" ca="1" si="35"/>
        <v>3.7048195586990573E-2</v>
      </c>
      <c r="CR20" s="407">
        <f t="shared" ca="1" si="35"/>
        <v>5.9386120692289213E-2</v>
      </c>
      <c r="CS20" s="47">
        <f t="shared" si="35"/>
        <v>2.5804174760561516E-2</v>
      </c>
      <c r="CT20" s="47">
        <f t="shared" si="35"/>
        <v>2.6390866544366176E-2</v>
      </c>
      <c r="CU20" s="47">
        <f t="shared" si="35"/>
        <v>2.5884552778400627E-2</v>
      </c>
      <c r="CV20" s="47">
        <f t="shared" ca="1" si="35"/>
        <v>2.5113418346296434E-2</v>
      </c>
      <c r="CW20" s="407">
        <f t="shared" ca="1" si="35"/>
        <v>2.5763207209403172E-2</v>
      </c>
      <c r="CX20" s="47">
        <f t="shared" ref="CX20:DG20" si="36">CX17/CS17-1</f>
        <v>2.590233968194644E-2</v>
      </c>
      <c r="CY20" s="47">
        <f t="shared" si="36"/>
        <v>2.6496322034952335E-2</v>
      </c>
      <c r="CZ20" s="47">
        <f t="shared" si="36"/>
        <v>2.5986985487040037E-2</v>
      </c>
      <c r="DA20" s="47">
        <f t="shared" ca="1" si="36"/>
        <v>2.5213351022113528E-2</v>
      </c>
      <c r="DB20" s="407">
        <f t="shared" ca="1" si="36"/>
        <v>2.5864790965693052E-2</v>
      </c>
      <c r="DC20" s="47">
        <f t="shared" si="36"/>
        <v>2.6001923535999394E-2</v>
      </c>
      <c r="DD20" s="47">
        <f t="shared" si="36"/>
        <v>2.6603190999759718E-2</v>
      </c>
      <c r="DE20" s="47">
        <f t="shared" si="36"/>
        <v>2.6090873721910768E-2</v>
      </c>
      <c r="DF20" s="47">
        <f t="shared" ca="1" si="36"/>
        <v>2.5314783120812256E-2</v>
      </c>
      <c r="DG20" s="407">
        <f t="shared" ca="1" si="36"/>
        <v>2.5967826489023071E-2</v>
      </c>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row>
    <row r="21" spans="1:226" s="36" customFormat="1" x14ac:dyDescent="0.2">
      <c r="B21" s="493"/>
      <c r="C21" s="493"/>
      <c r="D21" s="493"/>
      <c r="E21" s="493"/>
      <c r="F21" s="702"/>
      <c r="G21" s="493"/>
      <c r="H21" s="493"/>
      <c r="I21" s="493"/>
      <c r="J21" s="493"/>
      <c r="K21" s="702"/>
      <c r="L21" s="493"/>
      <c r="M21" s="493"/>
      <c r="N21" s="493"/>
      <c r="O21" s="493"/>
      <c r="P21" s="702"/>
      <c r="Q21" s="493"/>
      <c r="R21" s="493"/>
      <c r="S21" s="493"/>
      <c r="T21" s="493"/>
      <c r="U21" s="702"/>
      <c r="V21" s="493"/>
      <c r="W21" s="493"/>
      <c r="X21" s="493"/>
      <c r="Y21" s="493"/>
      <c r="Z21" s="702"/>
      <c r="AA21" s="493"/>
      <c r="AB21" s="493"/>
      <c r="AC21" s="493"/>
      <c r="AD21" s="493"/>
      <c r="AE21" s="702"/>
      <c r="AF21" s="493"/>
      <c r="AG21" s="493"/>
      <c r="AH21" s="493"/>
      <c r="AI21" s="493"/>
      <c r="AJ21" s="702"/>
      <c r="AK21" s="493"/>
      <c r="AL21" s="493"/>
      <c r="AM21" s="493"/>
      <c r="AN21" s="493"/>
      <c r="AO21" s="702"/>
      <c r="AP21" s="493"/>
      <c r="AQ21" s="493"/>
      <c r="AR21" s="493"/>
      <c r="AS21" s="493"/>
      <c r="AT21" s="702"/>
      <c r="AU21" s="493"/>
      <c r="AV21" s="570"/>
      <c r="AW21" s="570"/>
      <c r="AX21" s="493"/>
      <c r="AY21" s="702"/>
      <c r="AZ21" s="493"/>
      <c r="BA21" s="493"/>
      <c r="BB21" s="493"/>
      <c r="BC21" s="493"/>
      <c r="BD21" s="702"/>
      <c r="BE21" s="493"/>
      <c r="BF21" s="493"/>
      <c r="BG21" s="493"/>
      <c r="BH21" s="493"/>
      <c r="BI21" s="702"/>
      <c r="BJ21" s="493"/>
      <c r="BK21" s="493"/>
      <c r="BL21" s="493"/>
      <c r="BM21" s="493"/>
      <c r="BN21" s="702"/>
      <c r="BO21" s="493"/>
      <c r="BP21" s="493"/>
      <c r="BQ21" s="493"/>
      <c r="BR21" s="493"/>
      <c r="BS21" s="568"/>
      <c r="BT21" s="614"/>
      <c r="BU21" s="614"/>
      <c r="BV21" s="614"/>
      <c r="BW21" s="614"/>
      <c r="BX21" s="702"/>
      <c r="BY21" s="27">
        <f>AVERAGE(BY19,BT19)</f>
        <v>73.964655527997422</v>
      </c>
      <c r="BZ21" s="27">
        <f>AVERAGE(BZ19,BU19)</f>
        <v>108.92363834794168</v>
      </c>
      <c r="CA21" s="27">
        <f>AVERAGE(CA19,BV19)</f>
        <v>160.39192655124768</v>
      </c>
      <c r="CB21" s="27">
        <f>AVERAGE(CB19,BW19)</f>
        <v>127.58642284569132</v>
      </c>
      <c r="CC21" s="702"/>
      <c r="CD21" s="27"/>
      <c r="CE21" s="786"/>
      <c r="CF21" s="27"/>
      <c r="CG21" s="27"/>
      <c r="CH21" s="334"/>
      <c r="CI21" s="27"/>
      <c r="CJ21" s="27"/>
      <c r="CK21" s="27"/>
      <c r="CL21" s="27"/>
      <c r="CM21" s="334"/>
      <c r="CN21" s="27"/>
      <c r="CO21" s="27"/>
      <c r="CP21" s="27"/>
      <c r="CQ21" s="27"/>
      <c r="CR21" s="334"/>
      <c r="CS21" s="27"/>
      <c r="CT21" s="27"/>
      <c r="CU21" s="27"/>
      <c r="CV21" s="27"/>
      <c r="CW21" s="334"/>
      <c r="CX21" s="27"/>
      <c r="CY21" s="27"/>
      <c r="CZ21" s="27"/>
      <c r="DA21" s="27"/>
      <c r="DB21" s="334"/>
      <c r="DC21" s="27"/>
      <c r="DD21" s="27"/>
      <c r="DE21" s="27"/>
      <c r="DF21" s="27"/>
      <c r="DG21" s="334"/>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row>
    <row r="22" spans="1:226" s="35" customFormat="1" ht="12" hidden="1" customHeight="1" outlineLevel="1" x14ac:dyDescent="0.2">
      <c r="A22" s="35" t="s">
        <v>26</v>
      </c>
      <c r="B22" s="35">
        <f>B17+B15</f>
        <v>414</v>
      </c>
      <c r="C22" s="35">
        <f>C17+C15</f>
        <v>362</v>
      </c>
      <c r="D22" s="35">
        <f>D17+D15</f>
        <v>401</v>
      </c>
      <c r="E22" s="35">
        <f>E17+E15</f>
        <v>444</v>
      </c>
      <c r="F22" s="435">
        <f>F17+F15</f>
        <v>1621</v>
      </c>
      <c r="G22" s="35">
        <f t="shared" ref="G22:AN22" si="37">G17-G15</f>
        <v>424</v>
      </c>
      <c r="H22" s="35">
        <f t="shared" si="37"/>
        <v>382</v>
      </c>
      <c r="I22" s="35">
        <f t="shared" si="37"/>
        <v>434</v>
      </c>
      <c r="J22" s="35">
        <f t="shared" si="37"/>
        <v>503</v>
      </c>
      <c r="K22" s="435">
        <f t="shared" si="37"/>
        <v>1743</v>
      </c>
      <c r="L22" s="35">
        <f t="shared" si="37"/>
        <v>503</v>
      </c>
      <c r="M22" s="35">
        <f t="shared" si="37"/>
        <v>430</v>
      </c>
      <c r="N22" s="35">
        <f t="shared" si="37"/>
        <v>464</v>
      </c>
      <c r="O22" s="35">
        <f t="shared" si="37"/>
        <v>522</v>
      </c>
      <c r="P22" s="435">
        <f t="shared" si="37"/>
        <v>1919</v>
      </c>
      <c r="Q22" s="35">
        <f t="shared" si="37"/>
        <v>429</v>
      </c>
      <c r="R22" s="35">
        <f t="shared" si="37"/>
        <v>393</v>
      </c>
      <c r="S22" s="35">
        <f t="shared" si="37"/>
        <v>467</v>
      </c>
      <c r="T22" s="35">
        <f t="shared" si="37"/>
        <v>542</v>
      </c>
      <c r="U22" s="435">
        <f t="shared" si="37"/>
        <v>1831</v>
      </c>
      <c r="V22" s="35">
        <f t="shared" si="37"/>
        <v>457</v>
      </c>
      <c r="W22" s="35">
        <f t="shared" si="37"/>
        <v>431</v>
      </c>
      <c r="X22" s="35">
        <f t="shared" si="37"/>
        <v>454</v>
      </c>
      <c r="Y22" s="35">
        <f t="shared" si="37"/>
        <v>553</v>
      </c>
      <c r="Z22" s="435">
        <f t="shared" si="37"/>
        <v>1895</v>
      </c>
      <c r="AA22" s="35">
        <f t="shared" si="37"/>
        <v>466</v>
      </c>
      <c r="AB22" s="35">
        <f t="shared" si="37"/>
        <v>436</v>
      </c>
      <c r="AC22" s="35">
        <f t="shared" si="37"/>
        <v>480</v>
      </c>
      <c r="AD22" s="35">
        <f t="shared" si="37"/>
        <v>577</v>
      </c>
      <c r="AE22" s="435">
        <f t="shared" si="37"/>
        <v>1959</v>
      </c>
      <c r="AF22" s="35">
        <f t="shared" si="37"/>
        <v>498</v>
      </c>
      <c r="AG22" s="35">
        <f t="shared" si="37"/>
        <v>462</v>
      </c>
      <c r="AH22" s="35">
        <f t="shared" si="37"/>
        <v>537</v>
      </c>
      <c r="AI22" s="35">
        <f t="shared" si="37"/>
        <v>594</v>
      </c>
      <c r="AJ22" s="435">
        <f t="shared" si="37"/>
        <v>2091</v>
      </c>
      <c r="AK22" s="35">
        <f t="shared" si="37"/>
        <v>530</v>
      </c>
      <c r="AL22" s="35">
        <f t="shared" si="37"/>
        <v>487</v>
      </c>
      <c r="AM22" s="35">
        <f t="shared" si="37"/>
        <v>559</v>
      </c>
      <c r="AN22" s="35">
        <f t="shared" si="37"/>
        <v>641</v>
      </c>
      <c r="AO22" s="435">
        <f>SUM(AK22:AN22)</f>
        <v>2217</v>
      </c>
      <c r="AP22" s="35">
        <f>AP17-AP15</f>
        <v>570</v>
      </c>
      <c r="AQ22" s="35">
        <f>AQ17-AQ15</f>
        <v>490</v>
      </c>
      <c r="AR22" s="35">
        <f>AR17-AR15</f>
        <v>615</v>
      </c>
      <c r="AS22" s="35">
        <f>AS17-AS15</f>
        <v>693</v>
      </c>
      <c r="AT22" s="435">
        <f>SUM(AP22:AS22)</f>
        <v>2368</v>
      </c>
      <c r="AU22" s="35">
        <f>AU17-AU15</f>
        <v>586</v>
      </c>
      <c r="AV22" s="35">
        <f>AV17-AV15</f>
        <v>533</v>
      </c>
      <c r="AW22" s="35">
        <f>AW17-AW15</f>
        <v>575</v>
      </c>
      <c r="AX22" s="35">
        <f>AX17-AX15</f>
        <v>636</v>
      </c>
      <c r="AY22" s="435">
        <f>SUM(AU22:AX22)</f>
        <v>2330</v>
      </c>
      <c r="AZ22" s="708">
        <f>AZ17-AZ15</f>
        <v>562.25</v>
      </c>
      <c r="BA22" s="35">
        <f>BA17-BA15</f>
        <v>493.25</v>
      </c>
      <c r="BB22" s="35">
        <f>BB17-BB15</f>
        <v>576.25</v>
      </c>
      <c r="BC22" s="35">
        <f>BC17-BC15</f>
        <v>646.25</v>
      </c>
      <c r="BD22" s="435">
        <f>SUM(AZ22:BC22)</f>
        <v>2278</v>
      </c>
      <c r="BE22" s="35">
        <f>BE17-BE15</f>
        <v>546</v>
      </c>
      <c r="BF22" s="35">
        <f>BF17-BF15</f>
        <v>507</v>
      </c>
      <c r="BG22" s="35">
        <f>BG17-BG15</f>
        <v>593</v>
      </c>
      <c r="BH22" s="35">
        <f>BH17-BH15</f>
        <v>658</v>
      </c>
      <c r="BI22" s="435">
        <f>SUM(BE22:BH22)</f>
        <v>2304</v>
      </c>
      <c r="BJ22" s="35">
        <f>BJ17-BJ15</f>
        <v>574</v>
      </c>
      <c r="BK22" s="35">
        <f>BK17-BK15</f>
        <v>563</v>
      </c>
      <c r="BL22" s="35">
        <f>BL17-BL15</f>
        <v>595</v>
      </c>
      <c r="BM22" s="35">
        <f>BM17-BM15</f>
        <v>680</v>
      </c>
      <c r="BN22" s="435">
        <f>SUM(BJ22:BM22)</f>
        <v>2412</v>
      </c>
      <c r="BO22" s="35">
        <f>BO17-BO15</f>
        <v>584</v>
      </c>
      <c r="BP22" s="35">
        <f>BP17-BP15</f>
        <v>555</v>
      </c>
      <c r="BQ22" s="35">
        <f>BQ17-BQ15</f>
        <v>575</v>
      </c>
      <c r="BR22" s="35">
        <f>BR17-BR15</f>
        <v>642</v>
      </c>
      <c r="BS22" s="435">
        <f>SUM(BO22:BR22)</f>
        <v>2356</v>
      </c>
      <c r="BT22" s="624">
        <f>BT17-BT15</f>
        <v>578</v>
      </c>
      <c r="BU22" s="35">
        <f>BU17-BU15</f>
        <v>572</v>
      </c>
      <c r="BV22" s="35">
        <f>BV17-BV15</f>
        <v>605</v>
      </c>
      <c r="BW22" s="35">
        <f>BW17-BW15</f>
        <v>710</v>
      </c>
      <c r="BX22" s="435">
        <f>SUM(BT22:BW22)</f>
        <v>2465</v>
      </c>
      <c r="BY22" s="35">
        <f>BY17-BY15</f>
        <v>625</v>
      </c>
      <c r="BZ22" s="35">
        <f>BZ17-BZ15</f>
        <v>600</v>
      </c>
      <c r="CA22" s="35">
        <f>CA17-CA15</f>
        <v>646</v>
      </c>
      <c r="CB22" s="35">
        <f>CB17-CB15</f>
        <v>727</v>
      </c>
      <c r="CC22" s="435">
        <f>SUM(BY22:CB22)</f>
        <v>2598</v>
      </c>
      <c r="CD22" s="35">
        <f>CD17-CD15</f>
        <v>640</v>
      </c>
      <c r="CE22" s="624">
        <f>CE17-CE15</f>
        <v>629</v>
      </c>
      <c r="CF22" s="35">
        <f>CF17-CF15</f>
        <v>650</v>
      </c>
      <c r="CG22" s="35">
        <f>CG17-CG15</f>
        <v>752</v>
      </c>
      <c r="CH22" s="435">
        <f>SUM(CD22:CG22)</f>
        <v>2671</v>
      </c>
      <c r="CI22" s="35">
        <f>CI17-CI15</f>
        <v>673</v>
      </c>
      <c r="CJ22" s="35">
        <f>CJ17-CJ15</f>
        <v>609</v>
      </c>
      <c r="CK22" s="35">
        <f>CK17-CK15</f>
        <v>647.77904981637892</v>
      </c>
      <c r="CL22" s="35">
        <f ca="1">CL17-CL15</f>
        <v>781.1146552449909</v>
      </c>
      <c r="CM22" s="435">
        <f ca="1">SUM(CI22:CL22)</f>
        <v>2710.8937050613699</v>
      </c>
      <c r="CN22" s="35">
        <f>CN17-CN15</f>
        <v>702.51779989118268</v>
      </c>
      <c r="CO22" s="35">
        <f>CO17-CO15</f>
        <v>656.97773438052582</v>
      </c>
      <c r="CP22" s="35">
        <f>CP17-CP15</f>
        <v>702.3340877740311</v>
      </c>
      <c r="CQ22" s="35">
        <f ca="1">CQ17-CQ15</f>
        <v>810.05354376837204</v>
      </c>
      <c r="CR22" s="435">
        <f ca="1">SUM(CN22:CQ22)</f>
        <v>2871.8831658141116</v>
      </c>
      <c r="CS22" s="35">
        <f>CS17-CS15</f>
        <v>720.64569197198</v>
      </c>
      <c r="CT22" s="35">
        <f>CT17-CT15</f>
        <v>674.31594609118235</v>
      </c>
      <c r="CU22" s="35">
        <f>CU17-CU15</f>
        <v>720.51369153708788</v>
      </c>
      <c r="CV22" s="35">
        <f ca="1">CV17-CV15</f>
        <v>830.39675729592705</v>
      </c>
      <c r="CW22" s="435">
        <f ca="1">SUM(CS22:CV22)</f>
        <v>2945.8720868961773</v>
      </c>
      <c r="CX22" s="35">
        <f>CX17-CX15</f>
        <v>739.31210147576951</v>
      </c>
      <c r="CY22" s="35">
        <f>CY17-CY15</f>
        <v>692.18283855211791</v>
      </c>
      <c r="CZ22" s="35">
        <f>CZ17-CZ15</f>
        <v>739.23767038227584</v>
      </c>
      <c r="DA22" s="35">
        <f ca="1">DA17-DA15</f>
        <v>851.3338422252541</v>
      </c>
      <c r="DB22" s="435">
        <f ca="1">SUM(CX22:DA22)</f>
        <v>3022.0664526354171</v>
      </c>
      <c r="DC22" s="35">
        <f>DC17-DC15</f>
        <v>758.53563820758154</v>
      </c>
      <c r="DD22" s="35">
        <f>DD17-DD15</f>
        <v>710.59711081287571</v>
      </c>
      <c r="DE22" s="35">
        <f>DE17-DE15</f>
        <v>758.52502709069927</v>
      </c>
      <c r="DF22" s="35">
        <f ca="1">DF17-DF15</f>
        <v>872.88517380459416</v>
      </c>
      <c r="DG22" s="435">
        <f ca="1">SUM(DC22:DF22)</f>
        <v>3100.5429499157508</v>
      </c>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row>
    <row r="23" spans="1:226" s="43" customFormat="1" ht="12" hidden="1" customHeight="1" outlineLevel="1" x14ac:dyDescent="0.2">
      <c r="A23" s="36" t="s">
        <v>23</v>
      </c>
      <c r="B23" s="43">
        <f t="shared" ref="B23:AK23" si="38">B22/B7</f>
        <v>0.42990654205607476</v>
      </c>
      <c r="C23" s="43">
        <f t="shared" si="38"/>
        <v>0.4132420091324201</v>
      </c>
      <c r="D23" s="43">
        <f t="shared" si="38"/>
        <v>0.41683991683991684</v>
      </c>
      <c r="E23" s="43">
        <f t="shared" si="38"/>
        <v>0.4029038112522686</v>
      </c>
      <c r="F23" s="407">
        <f t="shared" si="38"/>
        <v>0.41532154752754291</v>
      </c>
      <c r="G23" s="43">
        <f t="shared" si="38"/>
        <v>0.43089430894308944</v>
      </c>
      <c r="H23" s="43">
        <f t="shared" si="38"/>
        <v>0.43066516347237882</v>
      </c>
      <c r="I23" s="43">
        <f t="shared" si="38"/>
        <v>0.42424242424242425</v>
      </c>
      <c r="J23" s="43">
        <f t="shared" si="38"/>
        <v>0.44592198581560283</v>
      </c>
      <c r="K23" s="407">
        <f t="shared" si="38"/>
        <v>0.43336648433615116</v>
      </c>
      <c r="L23" s="43">
        <f t="shared" si="38"/>
        <v>0.48042024832855779</v>
      </c>
      <c r="M23" s="43">
        <f t="shared" si="38"/>
        <v>0.46436285097192226</v>
      </c>
      <c r="N23" s="43">
        <f t="shared" si="38"/>
        <v>0.45534838076545631</v>
      </c>
      <c r="O23" s="43">
        <f t="shared" si="38"/>
        <v>0.453125</v>
      </c>
      <c r="P23" s="407">
        <f t="shared" si="38"/>
        <v>0.46307915057915056</v>
      </c>
      <c r="Q23" s="43">
        <f t="shared" si="38"/>
        <v>0.426441351888668</v>
      </c>
      <c r="R23" s="43">
        <f t="shared" si="38"/>
        <v>0.42717391304347824</v>
      </c>
      <c r="S23" s="43">
        <f t="shared" si="38"/>
        <v>0.44433872502378685</v>
      </c>
      <c r="T23" s="43">
        <f t="shared" si="38"/>
        <v>0.45738396624472571</v>
      </c>
      <c r="U23" s="407">
        <f t="shared" si="38"/>
        <v>0.43993272465160982</v>
      </c>
      <c r="V23" s="43">
        <f t="shared" si="38"/>
        <v>0.43606870229007633</v>
      </c>
      <c r="W23" s="43">
        <f t="shared" si="38"/>
        <v>0.43099999999999999</v>
      </c>
      <c r="X23" s="43">
        <f t="shared" si="38"/>
        <v>0.41804788213627991</v>
      </c>
      <c r="Y23" s="43">
        <f t="shared" si="38"/>
        <v>0.44098883572567782</v>
      </c>
      <c r="Z23" s="407">
        <f t="shared" si="38"/>
        <v>0.43185961713764814</v>
      </c>
      <c r="AA23" s="43">
        <f t="shared" si="38"/>
        <v>0.42210144927536231</v>
      </c>
      <c r="AB23" s="43">
        <f t="shared" si="38"/>
        <v>0.40977443609022557</v>
      </c>
      <c r="AC23" s="43">
        <f t="shared" si="38"/>
        <v>0.41486603284356094</v>
      </c>
      <c r="AD23" s="43">
        <f t="shared" si="38"/>
        <v>0.43745261561789234</v>
      </c>
      <c r="AE23" s="407">
        <f t="shared" si="38"/>
        <v>0.42183462532299743</v>
      </c>
      <c r="AF23" s="43">
        <f t="shared" si="38"/>
        <v>0.4289405684754522</v>
      </c>
      <c r="AG23" s="43">
        <f t="shared" si="38"/>
        <v>0.4196185286103542</v>
      </c>
      <c r="AH23" s="43">
        <f t="shared" si="38"/>
        <v>0.43271555197421435</v>
      </c>
      <c r="AI23" s="43">
        <f t="shared" si="38"/>
        <v>0.4419642857142857</v>
      </c>
      <c r="AJ23" s="407">
        <f t="shared" si="38"/>
        <v>0.43140086651537035</v>
      </c>
      <c r="AK23" s="43">
        <f t="shared" si="38"/>
        <v>0.42776432606941084</v>
      </c>
      <c r="AL23" s="43">
        <f t="shared" ref="AL23:AY23" si="39">AL22/AL7</f>
        <v>0.41062394603709951</v>
      </c>
      <c r="AM23" s="43">
        <f t="shared" si="39"/>
        <v>0.41315594974131559</v>
      </c>
      <c r="AN23" s="43">
        <f t="shared" si="39"/>
        <v>0.42876254180602008</v>
      </c>
      <c r="AO23" s="407">
        <f t="shared" si="39"/>
        <v>0.42044377014981982</v>
      </c>
      <c r="AP23" s="43">
        <f t="shared" si="39"/>
        <v>0.41184971098265893</v>
      </c>
      <c r="AQ23" s="43">
        <f t="shared" si="39"/>
        <v>0.40296052631578949</v>
      </c>
      <c r="AR23" s="43">
        <f t="shared" si="39"/>
        <v>0.45555555555555555</v>
      </c>
      <c r="AS23" s="43">
        <f t="shared" si="39"/>
        <v>0.46200000000000002</v>
      </c>
      <c r="AT23" s="407">
        <f t="shared" si="39"/>
        <v>0.4344954128440367</v>
      </c>
      <c r="AU23" s="43">
        <f t="shared" si="39"/>
        <v>0.44973138910207217</v>
      </c>
      <c r="AV23" s="43">
        <f t="shared" si="39"/>
        <v>0.43868312757201644</v>
      </c>
      <c r="AW23" s="43">
        <f t="shared" si="39"/>
        <v>0.44677544677544678</v>
      </c>
      <c r="AX23" s="43">
        <f t="shared" si="39"/>
        <v>0.4450664800559832</v>
      </c>
      <c r="AY23" s="407">
        <f t="shared" si="39"/>
        <v>0.44516622086358426</v>
      </c>
      <c r="AZ23" s="709">
        <f>AZ22/AZ7</f>
        <v>0.44411532385466035</v>
      </c>
      <c r="BA23" s="43">
        <f>BA22/BA7</f>
        <v>0.41836301950805765</v>
      </c>
      <c r="BB23" s="43">
        <f>BB22/BB7</f>
        <v>0.44190950920245398</v>
      </c>
      <c r="BC23" s="43">
        <f>BC22/BC7</f>
        <v>0.43606612685560053</v>
      </c>
      <c r="BD23" s="407">
        <f>BD22/BD7</f>
        <v>0.43548078761231124</v>
      </c>
      <c r="BE23" s="43">
        <f t="shared" ref="BE23:CW23" si="40">BE22/BE7</f>
        <v>0.41839080459770117</v>
      </c>
      <c r="BF23" s="43">
        <f t="shared" si="40"/>
        <v>0.41523341523341523</v>
      </c>
      <c r="BG23" s="43">
        <f t="shared" si="40"/>
        <v>0.42326909350463954</v>
      </c>
      <c r="BH23" s="43">
        <f t="shared" si="40"/>
        <v>0.42699545749513301</v>
      </c>
      <c r="BI23" s="407">
        <f t="shared" si="40"/>
        <v>0.42136064374542792</v>
      </c>
      <c r="BJ23" s="43">
        <f t="shared" si="40"/>
        <v>0.42899850523168909</v>
      </c>
      <c r="BK23" s="43">
        <f t="shared" si="40"/>
        <v>0.4249056603773585</v>
      </c>
      <c r="BL23" s="43">
        <f t="shared" si="40"/>
        <v>0.42108987968860578</v>
      </c>
      <c r="BM23" s="43">
        <f t="shared" si="40"/>
        <v>0.43956043956043955</v>
      </c>
      <c r="BN23" s="407">
        <f t="shared" si="40"/>
        <v>0.42895251645029342</v>
      </c>
      <c r="BO23" s="43">
        <f t="shared" si="40"/>
        <v>0.43484735666418467</v>
      </c>
      <c r="BP23" s="43">
        <f t="shared" si="40"/>
        <v>0.4243119266055046</v>
      </c>
      <c r="BQ23" s="43">
        <f t="shared" si="40"/>
        <v>0.42093704245973645</v>
      </c>
      <c r="BR23" s="43">
        <f t="shared" si="40"/>
        <v>0.42885771543086171</v>
      </c>
      <c r="BS23" s="407">
        <f t="shared" si="40"/>
        <v>0.42727602466449038</v>
      </c>
      <c r="BT23" s="707">
        <f t="shared" si="40"/>
        <v>0.4275147928994083</v>
      </c>
      <c r="BU23" s="43">
        <f t="shared" si="40"/>
        <v>0.42527881040892196</v>
      </c>
      <c r="BV23" s="43">
        <f t="shared" si="40"/>
        <v>0.4318344039971449</v>
      </c>
      <c r="BW23" s="43">
        <f t="shared" si="40"/>
        <v>0.45600513808606297</v>
      </c>
      <c r="BX23" s="407">
        <f>BX22/BX7</f>
        <v>0.4358974358974359</v>
      </c>
      <c r="BY23" s="43">
        <f t="shared" si="40"/>
        <v>0.44964028776978415</v>
      </c>
      <c r="BZ23" s="43">
        <f t="shared" si="40"/>
        <v>0.44609665427509293</v>
      </c>
      <c r="CA23" s="43">
        <f t="shared" si="40"/>
        <v>0.45301542776998599</v>
      </c>
      <c r="CB23" s="43">
        <f t="shared" si="40"/>
        <v>0.45437499999999997</v>
      </c>
      <c r="CC23" s="407">
        <f t="shared" si="40"/>
        <v>0.45096337441416423</v>
      </c>
      <c r="CD23" s="43">
        <f t="shared" si="40"/>
        <v>0.44352044352044351</v>
      </c>
      <c r="CE23" s="707">
        <f t="shared" si="40"/>
        <v>0.44736842105263158</v>
      </c>
      <c r="CF23" s="43">
        <f t="shared" si="40"/>
        <v>0.44008124576844954</v>
      </c>
      <c r="CG23" s="43">
        <f t="shared" si="40"/>
        <v>0.45658773527625984</v>
      </c>
      <c r="CH23" s="407">
        <f t="shared" si="40"/>
        <v>0.4471789720408505</v>
      </c>
      <c r="CI23" s="43">
        <f t="shared" si="40"/>
        <v>0.44866666666666666</v>
      </c>
      <c r="CJ23" s="43">
        <f t="shared" si="40"/>
        <v>0.43008474576271188</v>
      </c>
      <c r="CK23" s="43">
        <f t="shared" si="40"/>
        <v>0.42808124576844953</v>
      </c>
      <c r="CL23" s="43">
        <f t="shared" ca="1" si="40"/>
        <v>0.45166753746867927</v>
      </c>
      <c r="CM23" s="407">
        <f t="shared" ca="1" si="40"/>
        <v>0.44017897204085032</v>
      </c>
      <c r="CN23" s="43">
        <f t="shared" si="40"/>
        <v>0.44366666666666671</v>
      </c>
      <c r="CO23" s="43">
        <f t="shared" si="40"/>
        <v>0.43408474576271183</v>
      </c>
      <c r="CP23" s="43">
        <f t="shared" si="40"/>
        <v>0.43408124576844959</v>
      </c>
      <c r="CQ23" s="43">
        <f t="shared" ca="1" si="40"/>
        <v>0.45509882932477386</v>
      </c>
      <c r="CR23" s="407">
        <f t="shared" ca="1" si="40"/>
        <v>0.44217897204085038</v>
      </c>
      <c r="CS23" s="43">
        <f t="shared" si="40"/>
        <v>0.44466666666666665</v>
      </c>
      <c r="CT23" s="43">
        <f t="shared" si="40"/>
        <v>0.43508474576271183</v>
      </c>
      <c r="CU23" s="43">
        <f t="shared" si="40"/>
        <v>0.43508124576844953</v>
      </c>
      <c r="CV23" s="43">
        <f t="shared" ca="1" si="40"/>
        <v>0.45611095668899831</v>
      </c>
      <c r="CW23" s="407">
        <f t="shared" ca="1" si="40"/>
        <v>0.44317897204085049</v>
      </c>
      <c r="CX23" s="43">
        <f t="shared" ref="CX23:DG23" si="41">CX22/CX7</f>
        <v>0.44566666666666671</v>
      </c>
      <c r="CY23" s="43">
        <f t="shared" si="41"/>
        <v>0.43608474576271183</v>
      </c>
      <c r="CZ23" s="43">
        <f t="shared" si="41"/>
        <v>0.43608124576844953</v>
      </c>
      <c r="DA23" s="43">
        <f t="shared" ca="1" si="41"/>
        <v>0.45712315934172748</v>
      </c>
      <c r="DB23" s="407">
        <f t="shared" ca="1" si="41"/>
        <v>0.44417897204085022</v>
      </c>
      <c r="DC23" s="43">
        <f t="shared" si="41"/>
        <v>0.44666666666666666</v>
      </c>
      <c r="DD23" s="43">
        <f t="shared" si="41"/>
        <v>0.43708474576271183</v>
      </c>
      <c r="DE23" s="43">
        <f t="shared" si="41"/>
        <v>0.43708124576844953</v>
      </c>
      <c r="DF23" s="43">
        <f t="shared" ca="1" si="41"/>
        <v>0.4581354365955741</v>
      </c>
      <c r="DG23" s="407">
        <f t="shared" ca="1" si="41"/>
        <v>0.44517897204085055</v>
      </c>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row>
    <row r="24" spans="1:226" s="19" customFormat="1" hidden="1" outlineLevel="1" x14ac:dyDescent="0.2">
      <c r="A24" s="80" t="s">
        <v>112</v>
      </c>
      <c r="B24" s="493" t="e">
        <f>(B23-#REF!)*10000</f>
        <v>#REF!</v>
      </c>
      <c r="C24" s="493" t="e">
        <f>(C23-#REF!)*10000</f>
        <v>#REF!</v>
      </c>
      <c r="D24" s="493" t="e">
        <f>(D23-#REF!)*10000</f>
        <v>#REF!</v>
      </c>
      <c r="E24" s="493" t="e">
        <f>(E23-#REF!)*10000</f>
        <v>#REF!</v>
      </c>
      <c r="F24" s="702" t="e">
        <f>(F23-#REF!)*10000</f>
        <v>#REF!</v>
      </c>
      <c r="G24" s="493">
        <f t="shared" ref="G24:AK24" si="42">(G23-B23)*10000</f>
        <v>9.8776688701468487</v>
      </c>
      <c r="H24" s="493">
        <f t="shared" si="42"/>
        <v>174.23154339958725</v>
      </c>
      <c r="I24" s="493">
        <f t="shared" si="42"/>
        <v>74.02507402507419</v>
      </c>
      <c r="J24" s="493">
        <f t="shared" si="42"/>
        <v>430.1817456333423</v>
      </c>
      <c r="K24" s="702">
        <f t="shared" si="42"/>
        <v>180.44936808608247</v>
      </c>
      <c r="L24" s="493">
        <f t="shared" si="42"/>
        <v>495.25939385468342</v>
      </c>
      <c r="M24" s="493">
        <f t="shared" si="42"/>
        <v>336.9768749954344</v>
      </c>
      <c r="N24" s="493">
        <f t="shared" si="42"/>
        <v>311.05956523032052</v>
      </c>
      <c r="O24" s="493">
        <f t="shared" si="42"/>
        <v>72.03014184397172</v>
      </c>
      <c r="P24" s="702">
        <f t="shared" si="42"/>
        <v>297.12666242999398</v>
      </c>
      <c r="Q24" s="493">
        <f t="shared" si="42"/>
        <v>-539.78896439889786</v>
      </c>
      <c r="R24" s="493">
        <f t="shared" si="42"/>
        <v>-371.88937928444022</v>
      </c>
      <c r="S24" s="493">
        <f t="shared" si="42"/>
        <v>-110.09655741669455</v>
      </c>
      <c r="T24" s="493">
        <f t="shared" si="42"/>
        <v>42.589662447257147</v>
      </c>
      <c r="U24" s="702">
        <f t="shared" si="42"/>
        <v>-231.46425927540736</v>
      </c>
      <c r="V24" s="493">
        <f t="shared" si="42"/>
        <v>96.273504014083301</v>
      </c>
      <c r="W24" s="493">
        <f t="shared" si="42"/>
        <v>38.260869565217568</v>
      </c>
      <c r="X24" s="493">
        <f t="shared" si="42"/>
        <v>-262.90842887506938</v>
      </c>
      <c r="Y24" s="493">
        <f t="shared" si="42"/>
        <v>-163.95130519047896</v>
      </c>
      <c r="Z24" s="702">
        <f t="shared" si="42"/>
        <v>-80.731075139616749</v>
      </c>
      <c r="AA24" s="493">
        <f t="shared" si="42"/>
        <v>-139.67253014714021</v>
      </c>
      <c r="AB24" s="493">
        <f t="shared" si="42"/>
        <v>-212.25563909774425</v>
      </c>
      <c r="AC24" s="493">
        <f t="shared" si="42"/>
        <v>-31.818492927189745</v>
      </c>
      <c r="AD24" s="493">
        <f t="shared" si="42"/>
        <v>-35.362201077854813</v>
      </c>
      <c r="AE24" s="702">
        <f t="shared" si="42"/>
        <v>-100.24991814650718</v>
      </c>
      <c r="AF24" s="493">
        <f t="shared" si="42"/>
        <v>68.39119200089894</v>
      </c>
      <c r="AG24" s="493">
        <f t="shared" si="42"/>
        <v>98.440925201286333</v>
      </c>
      <c r="AH24" s="493">
        <f t="shared" si="42"/>
        <v>178.49519130653414</v>
      </c>
      <c r="AI24" s="493">
        <f t="shared" si="42"/>
        <v>45.11670096393361</v>
      </c>
      <c r="AJ24" s="702">
        <f t="shared" si="42"/>
        <v>95.662411923729266</v>
      </c>
      <c r="AK24" s="493">
        <f t="shared" si="42"/>
        <v>-11.762424060413611</v>
      </c>
      <c r="AL24" s="493">
        <f t="shared" ref="AL24:AY24" si="43">(AL23-AG23)*10000</f>
        <v>-89.94582573254695</v>
      </c>
      <c r="AM24" s="493">
        <f t="shared" si="43"/>
        <v>-195.59602232898766</v>
      </c>
      <c r="AN24" s="493">
        <f t="shared" si="43"/>
        <v>-132.01743908265618</v>
      </c>
      <c r="AO24" s="702">
        <f t="shared" si="43"/>
        <v>-109.57096365550534</v>
      </c>
      <c r="AP24" s="493">
        <f t="shared" si="43"/>
        <v>-159.14615086751905</v>
      </c>
      <c r="AQ24" s="493">
        <f t="shared" si="43"/>
        <v>-76.634197213100165</v>
      </c>
      <c r="AR24" s="493">
        <f t="shared" si="43"/>
        <v>423.99605814239959</v>
      </c>
      <c r="AS24" s="493">
        <f t="shared" si="43"/>
        <v>332.37458193979938</v>
      </c>
      <c r="AT24" s="702">
        <f t="shared" si="43"/>
        <v>140.51642694216881</v>
      </c>
      <c r="AU24" s="493">
        <f t="shared" si="43"/>
        <v>378.81678119413232</v>
      </c>
      <c r="AV24" s="493">
        <f t="shared" si="43"/>
        <v>357.22601256226949</v>
      </c>
      <c r="AW24" s="493">
        <f t="shared" si="43"/>
        <v>-87.801087801087647</v>
      </c>
      <c r="AX24" s="493">
        <f t="shared" si="43"/>
        <v>-169.33519944016817</v>
      </c>
      <c r="AY24" s="702">
        <f t="shared" si="43"/>
        <v>106.70808019547562</v>
      </c>
      <c r="AZ24" s="710">
        <f>(AZ23-AU23)*10000</f>
        <v>-56.160652474118166</v>
      </c>
      <c r="BA24" s="493">
        <f>(BA23-AV23)*10000</f>
        <v>-203.20108063958787</v>
      </c>
      <c r="BB24" s="493">
        <f>(BB23-AW23)*10000</f>
        <v>-48.659375729928065</v>
      </c>
      <c r="BC24" s="493">
        <f>(BC23-AX23)*10000</f>
        <v>-90.00353200382672</v>
      </c>
      <c r="BD24" s="702">
        <f>(BD23-AY23)*10000</f>
        <v>-96.854332512730238</v>
      </c>
      <c r="BE24" s="493">
        <f t="shared" ref="BE24:CW24" si="44">(BE23-AZ23)*10000</f>
        <v>-257.24519256959178</v>
      </c>
      <c r="BF24" s="493">
        <f t="shared" si="44"/>
        <v>-31.296042746424281</v>
      </c>
      <c r="BG24" s="493">
        <f t="shared" si="44"/>
        <v>-186.40415697814439</v>
      </c>
      <c r="BH24" s="493">
        <f t="shared" si="44"/>
        <v>-90.706693604675209</v>
      </c>
      <c r="BI24" s="702">
        <f t="shared" si="44"/>
        <v>-141.20143866883316</v>
      </c>
      <c r="BJ24" s="493">
        <f t="shared" si="44"/>
        <v>106.07700633987915</v>
      </c>
      <c r="BK24" s="493">
        <f t="shared" si="44"/>
        <v>96.722451439432703</v>
      </c>
      <c r="BL24" s="493">
        <f t="shared" si="44"/>
        <v>-21.792138160337537</v>
      </c>
      <c r="BM24" s="493">
        <f t="shared" si="44"/>
        <v>125.6498206530654</v>
      </c>
      <c r="BN24" s="702">
        <f t="shared" si="44"/>
        <v>75.918727048654986</v>
      </c>
      <c r="BO24" s="493">
        <f t="shared" si="44"/>
        <v>58.48851432495583</v>
      </c>
      <c r="BP24" s="493">
        <f t="shared" si="44"/>
        <v>-5.9373377185389931</v>
      </c>
      <c r="BQ24" s="493">
        <f t="shared" si="44"/>
        <v>-1.5283722886932916</v>
      </c>
      <c r="BR24" s="493">
        <f t="shared" si="44"/>
        <v>-107.02724129577845</v>
      </c>
      <c r="BS24" s="702">
        <f t="shared" si="44"/>
        <v>-16.764917858030358</v>
      </c>
      <c r="BT24" s="614">
        <f t="shared" si="44"/>
        <v>-73.325637647763671</v>
      </c>
      <c r="BU24" s="493">
        <f t="shared" si="44"/>
        <v>9.6688380341736213</v>
      </c>
      <c r="BV24" s="493">
        <f t="shared" si="44"/>
        <v>108.97361537408446</v>
      </c>
      <c r="BW24" s="493">
        <f t="shared" si="44"/>
        <v>271.47422655201257</v>
      </c>
      <c r="BX24" s="702">
        <f t="shared" si="44"/>
        <v>86.21411232945519</v>
      </c>
      <c r="BY24" s="493">
        <f t="shared" si="44"/>
        <v>221.25494870375852</v>
      </c>
      <c r="BZ24" s="493">
        <f t="shared" si="44"/>
        <v>208.17843866170972</v>
      </c>
      <c r="CA24" s="493">
        <f t="shared" si="44"/>
        <v>211.8102377284109</v>
      </c>
      <c r="CB24" s="493">
        <f t="shared" si="44"/>
        <v>-16.301380860629934</v>
      </c>
      <c r="CC24" s="702">
        <f t="shared" si="44"/>
        <v>150.65938516728329</v>
      </c>
      <c r="CD24" s="27">
        <f t="shared" si="44"/>
        <v>-61.198442493406446</v>
      </c>
      <c r="CE24" s="786">
        <f t="shared" si="44"/>
        <v>12.71766777538652</v>
      </c>
      <c r="CF24" s="27">
        <f t="shared" si="44"/>
        <v>-129.34182001536453</v>
      </c>
      <c r="CG24" s="27">
        <f t="shared" si="44"/>
        <v>22.127352762598697</v>
      </c>
      <c r="CH24" s="334">
        <f t="shared" si="44"/>
        <v>-37.844023733137334</v>
      </c>
      <c r="CI24" s="27">
        <f t="shared" si="44"/>
        <v>51.4622314622315</v>
      </c>
      <c r="CJ24" s="27">
        <f t="shared" si="44"/>
        <v>-172.83675289919697</v>
      </c>
      <c r="CK24" s="27">
        <f t="shared" si="44"/>
        <v>-120.00000000000011</v>
      </c>
      <c r="CL24" s="27">
        <f t="shared" ca="1" si="44"/>
        <v>-49.201978075805727</v>
      </c>
      <c r="CM24" s="334">
        <f t="shared" ca="1" si="44"/>
        <v>-70.000000000001734</v>
      </c>
      <c r="CN24" s="27">
        <f t="shared" si="44"/>
        <v>-49.999999999999488</v>
      </c>
      <c r="CO24" s="27">
        <f t="shared" si="44"/>
        <v>39.999999999999481</v>
      </c>
      <c r="CP24" s="27">
        <f t="shared" si="44"/>
        <v>60.000000000000611</v>
      </c>
      <c r="CQ24" s="27">
        <f t="shared" ca="1" si="44"/>
        <v>34.312918560945874</v>
      </c>
      <c r="CR24" s="334">
        <f t="shared" ca="1" si="44"/>
        <v>20.000000000000572</v>
      </c>
      <c r="CS24" s="27">
        <f t="shared" si="44"/>
        <v>9.9999999999994529</v>
      </c>
      <c r="CT24" s="27">
        <f t="shared" si="44"/>
        <v>10.000000000000009</v>
      </c>
      <c r="CU24" s="27">
        <f t="shared" si="44"/>
        <v>9.9999999999994529</v>
      </c>
      <c r="CV24" s="27">
        <f t="shared" ca="1" si="44"/>
        <v>10.121273642244578</v>
      </c>
      <c r="CW24" s="334">
        <f t="shared" ca="1" si="44"/>
        <v>10.000000000001119</v>
      </c>
      <c r="CX24" s="27">
        <f t="shared" ref="CX24:DG24" si="45">(CX23-CS23)*10000</f>
        <v>10.000000000000565</v>
      </c>
      <c r="CY24" s="27">
        <f t="shared" si="45"/>
        <v>10.000000000000009</v>
      </c>
      <c r="CZ24" s="27">
        <f t="shared" si="45"/>
        <v>10.000000000000009</v>
      </c>
      <c r="DA24" s="27">
        <f t="shared" ca="1" si="45"/>
        <v>10.122026527291661</v>
      </c>
      <c r="DB24" s="334">
        <f t="shared" ca="1" si="45"/>
        <v>9.9999999999972324</v>
      </c>
      <c r="DC24" s="27">
        <f t="shared" si="45"/>
        <v>9.9999999999994529</v>
      </c>
      <c r="DD24" s="27">
        <f t="shared" si="45"/>
        <v>10.000000000000009</v>
      </c>
      <c r="DE24" s="27">
        <f t="shared" si="45"/>
        <v>10.000000000000009</v>
      </c>
      <c r="DF24" s="27">
        <f t="shared" ca="1" si="45"/>
        <v>10.122772538466162</v>
      </c>
      <c r="DG24" s="334">
        <f t="shared" ca="1" si="45"/>
        <v>10.00000000000334</v>
      </c>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row>
    <row r="25" spans="1:226" s="36" customFormat="1" ht="12" hidden="1" customHeight="1" outlineLevel="1" x14ac:dyDescent="0.2">
      <c r="A25" s="36" t="s">
        <v>24</v>
      </c>
      <c r="B25" s="49" t="e">
        <f>B22/#REF!-1</f>
        <v>#REF!</v>
      </c>
      <c r="C25" s="49" t="e">
        <f>C22/#REF!-1</f>
        <v>#REF!</v>
      </c>
      <c r="D25" s="49" t="e">
        <f>D22/#REF!-1</f>
        <v>#REF!</v>
      </c>
      <c r="E25" s="49" t="e">
        <f>E22/#REF!-1</f>
        <v>#REF!</v>
      </c>
      <c r="F25" s="433" t="e">
        <f>F22/#REF!-1</f>
        <v>#REF!</v>
      </c>
      <c r="G25" s="49">
        <f t="shared" ref="G25:AK25" si="46">G22/B22-1</f>
        <v>2.4154589371980784E-2</v>
      </c>
      <c r="H25" s="49">
        <f t="shared" si="46"/>
        <v>5.5248618784530468E-2</v>
      </c>
      <c r="I25" s="49">
        <f t="shared" si="46"/>
        <v>8.2294264339152212E-2</v>
      </c>
      <c r="J25" s="49">
        <f t="shared" si="46"/>
        <v>0.13288288288288297</v>
      </c>
      <c r="K25" s="433">
        <f t="shared" si="46"/>
        <v>7.5262183837137675E-2</v>
      </c>
      <c r="L25" s="49">
        <f t="shared" si="46"/>
        <v>0.18632075471698117</v>
      </c>
      <c r="M25" s="49">
        <f t="shared" si="46"/>
        <v>0.12565445026178002</v>
      </c>
      <c r="N25" s="49">
        <f t="shared" si="46"/>
        <v>6.9124423963133674E-2</v>
      </c>
      <c r="O25" s="49">
        <f t="shared" si="46"/>
        <v>3.7773359840954202E-2</v>
      </c>
      <c r="P25" s="433">
        <f t="shared" si="46"/>
        <v>0.10097532989099256</v>
      </c>
      <c r="Q25" s="49">
        <f t="shared" si="46"/>
        <v>-0.14711729622266401</v>
      </c>
      <c r="R25" s="49">
        <f t="shared" si="46"/>
        <v>-8.6046511627906996E-2</v>
      </c>
      <c r="S25" s="49">
        <f t="shared" si="46"/>
        <v>6.4655172413792261E-3</v>
      </c>
      <c r="T25" s="49">
        <f t="shared" si="46"/>
        <v>3.8314176245210829E-2</v>
      </c>
      <c r="U25" s="433">
        <f t="shared" si="46"/>
        <v>-4.5857217300677489E-2</v>
      </c>
      <c r="V25" s="49">
        <f t="shared" si="46"/>
        <v>6.5268065268065278E-2</v>
      </c>
      <c r="W25" s="49">
        <f t="shared" si="46"/>
        <v>9.6692111959287619E-2</v>
      </c>
      <c r="X25" s="49">
        <f t="shared" si="46"/>
        <v>-2.7837259100642386E-2</v>
      </c>
      <c r="Y25" s="49">
        <f t="shared" si="46"/>
        <v>2.0295202952029578E-2</v>
      </c>
      <c r="Z25" s="433">
        <f t="shared" si="46"/>
        <v>3.4953577280174786E-2</v>
      </c>
      <c r="AA25" s="49">
        <f t="shared" si="46"/>
        <v>1.9693654266958349E-2</v>
      </c>
      <c r="AB25" s="49">
        <f t="shared" si="46"/>
        <v>1.1600928074245953E-2</v>
      </c>
      <c r="AC25" s="49">
        <f t="shared" si="46"/>
        <v>5.7268722466960353E-2</v>
      </c>
      <c r="AD25" s="49">
        <f t="shared" si="46"/>
        <v>4.3399638336347302E-2</v>
      </c>
      <c r="AE25" s="433">
        <f t="shared" si="46"/>
        <v>3.3773087071240049E-2</v>
      </c>
      <c r="AF25" s="49">
        <f t="shared" si="46"/>
        <v>6.8669527896995763E-2</v>
      </c>
      <c r="AG25" s="49">
        <f t="shared" si="46"/>
        <v>5.9633027522935755E-2</v>
      </c>
      <c r="AH25" s="49">
        <f t="shared" si="46"/>
        <v>0.11874999999999991</v>
      </c>
      <c r="AI25" s="49">
        <f t="shared" si="46"/>
        <v>2.9462738301559765E-2</v>
      </c>
      <c r="AJ25" s="433">
        <f t="shared" si="46"/>
        <v>6.7381316998468499E-2</v>
      </c>
      <c r="AK25" s="49">
        <f t="shared" si="46"/>
        <v>6.425702811244971E-2</v>
      </c>
      <c r="AL25" s="49">
        <f t="shared" ref="AL25:AY25" si="47">AL22/AG22-1</f>
        <v>5.4112554112554223E-2</v>
      </c>
      <c r="AM25" s="49">
        <f t="shared" si="47"/>
        <v>4.0968342644320366E-2</v>
      </c>
      <c r="AN25" s="49">
        <f t="shared" si="47"/>
        <v>7.9124579124579153E-2</v>
      </c>
      <c r="AO25" s="433">
        <f t="shared" si="47"/>
        <v>6.0258249641319983E-2</v>
      </c>
      <c r="AP25" s="49">
        <f t="shared" si="47"/>
        <v>7.547169811320753E-2</v>
      </c>
      <c r="AQ25" s="49">
        <f t="shared" si="47"/>
        <v>6.1601642710471527E-3</v>
      </c>
      <c r="AR25" s="49">
        <f t="shared" si="47"/>
        <v>0.10017889087656529</v>
      </c>
      <c r="AS25" s="49">
        <f t="shared" si="47"/>
        <v>8.1123244929797167E-2</v>
      </c>
      <c r="AT25" s="433">
        <f t="shared" si="47"/>
        <v>6.8110058637798732E-2</v>
      </c>
      <c r="AU25" s="49">
        <f t="shared" si="47"/>
        <v>2.8070175438596578E-2</v>
      </c>
      <c r="AV25" s="49">
        <f t="shared" si="47"/>
        <v>8.7755102040816269E-2</v>
      </c>
      <c r="AW25" s="49">
        <f t="shared" si="47"/>
        <v>-6.5040650406504086E-2</v>
      </c>
      <c r="AX25" s="49">
        <f t="shared" si="47"/>
        <v>-8.2251082251082241E-2</v>
      </c>
      <c r="AY25" s="433">
        <f t="shared" si="47"/>
        <v>-1.6047297297297258E-2</v>
      </c>
      <c r="AZ25" s="711">
        <f>AZ22/AU22-1</f>
        <v>-4.052901023890787E-2</v>
      </c>
      <c r="BA25" s="49">
        <f>BA22/AV22-1</f>
        <v>-7.4577861163227066E-2</v>
      </c>
      <c r="BB25" s="49">
        <f>BB22/AW22-1</f>
        <v>2.1739130434783593E-3</v>
      </c>
      <c r="BC25" s="49">
        <f>BC22/AX22-1</f>
        <v>1.6116352201257955E-2</v>
      </c>
      <c r="BD25" s="433">
        <f>BD22/AY22-1</f>
        <v>-2.2317596566523656E-2</v>
      </c>
      <c r="BE25" s="49">
        <f t="shared" ref="BE25:CW25" si="48">BE22/AZ22-1</f>
        <v>-2.8901734104046284E-2</v>
      </c>
      <c r="BF25" s="49">
        <f t="shared" si="48"/>
        <v>2.7876330461226617E-2</v>
      </c>
      <c r="BG25" s="49">
        <f t="shared" si="48"/>
        <v>2.9067245119305918E-2</v>
      </c>
      <c r="BH25" s="49">
        <f t="shared" si="48"/>
        <v>1.8181818181818077E-2</v>
      </c>
      <c r="BI25" s="433">
        <f t="shared" si="48"/>
        <v>1.1413520632133523E-2</v>
      </c>
      <c r="BJ25" s="49">
        <f t="shared" si="48"/>
        <v>5.1282051282051322E-2</v>
      </c>
      <c r="BK25" s="49">
        <f t="shared" si="48"/>
        <v>0.11045364891518727</v>
      </c>
      <c r="BL25" s="49">
        <f t="shared" si="48"/>
        <v>3.3726812816188279E-3</v>
      </c>
      <c r="BM25" s="49">
        <f t="shared" si="48"/>
        <v>3.3434650455927084E-2</v>
      </c>
      <c r="BN25" s="433">
        <f t="shared" si="48"/>
        <v>4.6875E-2</v>
      </c>
      <c r="BO25" s="49">
        <f t="shared" si="48"/>
        <v>1.7421602787456525E-2</v>
      </c>
      <c r="BP25" s="49">
        <f t="shared" si="48"/>
        <v>-1.4209591474245165E-2</v>
      </c>
      <c r="BQ25" s="49">
        <f t="shared" si="48"/>
        <v>-3.3613445378151252E-2</v>
      </c>
      <c r="BR25" s="49">
        <f t="shared" si="48"/>
        <v>-5.5882352941176494E-2</v>
      </c>
      <c r="BS25" s="433">
        <f t="shared" si="48"/>
        <v>-2.3217247097844118E-2</v>
      </c>
      <c r="BT25" s="701">
        <f t="shared" si="48"/>
        <v>-1.0273972602739767E-2</v>
      </c>
      <c r="BU25" s="49">
        <f t="shared" si="48"/>
        <v>3.063063063063054E-2</v>
      </c>
      <c r="BV25" s="49">
        <f t="shared" si="48"/>
        <v>5.2173913043478182E-2</v>
      </c>
      <c r="BW25" s="49">
        <f t="shared" si="48"/>
        <v>0.10591900311526481</v>
      </c>
      <c r="BX25" s="433">
        <f t="shared" si="48"/>
        <v>4.6264855687606188E-2</v>
      </c>
      <c r="BY25" s="49">
        <f t="shared" si="48"/>
        <v>8.1314878892733589E-2</v>
      </c>
      <c r="BZ25" s="49">
        <f t="shared" si="48"/>
        <v>4.8951048951048959E-2</v>
      </c>
      <c r="CA25" s="49">
        <f t="shared" si="48"/>
        <v>6.7768595041322266E-2</v>
      </c>
      <c r="CB25" s="49">
        <f t="shared" si="48"/>
        <v>2.3943661971830954E-2</v>
      </c>
      <c r="CC25" s="433">
        <f t="shared" si="48"/>
        <v>5.3955375253549764E-2</v>
      </c>
      <c r="CD25" s="49">
        <f t="shared" si="48"/>
        <v>2.4000000000000021E-2</v>
      </c>
      <c r="CE25" s="701">
        <f t="shared" si="48"/>
        <v>4.8333333333333339E-2</v>
      </c>
      <c r="CF25" s="49">
        <f t="shared" si="48"/>
        <v>6.1919504643963563E-3</v>
      </c>
      <c r="CG25" s="49">
        <f t="shared" si="48"/>
        <v>3.4387895460797901E-2</v>
      </c>
      <c r="CH25" s="433">
        <f t="shared" si="48"/>
        <v>2.8098537336412654E-2</v>
      </c>
      <c r="CI25" s="49">
        <f t="shared" si="48"/>
        <v>5.1562499999999956E-2</v>
      </c>
      <c r="CJ25" s="49">
        <f t="shared" si="48"/>
        <v>-3.1796502384737635E-2</v>
      </c>
      <c r="CK25" s="49">
        <f t="shared" si="48"/>
        <v>-3.4168464363401041E-3</v>
      </c>
      <c r="CL25" s="49">
        <f t="shared" ca="1" si="48"/>
        <v>3.8716296868338995E-2</v>
      </c>
      <c r="CM25" s="433">
        <f t="shared" ca="1" si="48"/>
        <v>1.4935868611519965E-2</v>
      </c>
      <c r="CN25" s="49">
        <f t="shared" si="48"/>
        <v>4.3860029555992108E-2</v>
      </c>
      <c r="CO25" s="49">
        <f t="shared" si="48"/>
        <v>7.8781173038630303E-2</v>
      </c>
      <c r="CP25" s="49">
        <f t="shared" si="48"/>
        <v>8.4218589614956763E-2</v>
      </c>
      <c r="CQ25" s="49">
        <f t="shared" ca="1" si="48"/>
        <v>3.7048195586990573E-2</v>
      </c>
      <c r="CR25" s="433">
        <f t="shared" ca="1" si="48"/>
        <v>5.9386120692289213E-2</v>
      </c>
      <c r="CS25" s="49">
        <f t="shared" si="48"/>
        <v>2.5804174760561516E-2</v>
      </c>
      <c r="CT25" s="49">
        <f t="shared" si="48"/>
        <v>2.6390866544366176E-2</v>
      </c>
      <c r="CU25" s="49">
        <f t="shared" si="48"/>
        <v>2.5884552778400627E-2</v>
      </c>
      <c r="CV25" s="49">
        <f t="shared" ca="1" si="48"/>
        <v>2.5113418346296434E-2</v>
      </c>
      <c r="CW25" s="433">
        <f t="shared" ca="1" si="48"/>
        <v>2.5763207209403172E-2</v>
      </c>
      <c r="CX25" s="49">
        <f t="shared" ref="CX25:DG25" si="49">CX22/CS22-1</f>
        <v>2.590233968194644E-2</v>
      </c>
      <c r="CY25" s="49">
        <f t="shared" si="49"/>
        <v>2.6496322034952335E-2</v>
      </c>
      <c r="CZ25" s="49">
        <f t="shared" si="49"/>
        <v>2.5986985487040037E-2</v>
      </c>
      <c r="DA25" s="49">
        <f t="shared" ca="1" si="49"/>
        <v>2.5213351022113528E-2</v>
      </c>
      <c r="DB25" s="433">
        <f t="shared" ca="1" si="49"/>
        <v>2.5864790965693052E-2</v>
      </c>
      <c r="DC25" s="49">
        <f t="shared" si="49"/>
        <v>2.6001923535999394E-2</v>
      </c>
      <c r="DD25" s="49">
        <f t="shared" si="49"/>
        <v>2.6603190999759718E-2</v>
      </c>
      <c r="DE25" s="49">
        <f t="shared" si="49"/>
        <v>2.6090873721910768E-2</v>
      </c>
      <c r="DF25" s="49">
        <f t="shared" ca="1" si="49"/>
        <v>2.5314783120812256E-2</v>
      </c>
      <c r="DG25" s="433">
        <f t="shared" ca="1" si="49"/>
        <v>2.5967826489023071E-2</v>
      </c>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row>
    <row r="26" spans="1:226" s="36" customFormat="1" ht="12" hidden="1" customHeight="1" outlineLevel="1" x14ac:dyDescent="0.2">
      <c r="B26" s="49"/>
      <c r="C26" s="49"/>
      <c r="D26" s="49"/>
      <c r="E26" s="49"/>
      <c r="F26" s="433"/>
      <c r="G26" s="49"/>
      <c r="H26" s="49"/>
      <c r="I26" s="49"/>
      <c r="J26" s="49"/>
      <c r="K26" s="433"/>
      <c r="L26" s="49"/>
      <c r="M26" s="49"/>
      <c r="N26" s="49"/>
      <c r="O26" s="49"/>
      <c r="P26" s="433"/>
      <c r="Q26" s="49"/>
      <c r="R26" s="49"/>
      <c r="S26" s="49"/>
      <c r="T26" s="49"/>
      <c r="U26" s="433"/>
      <c r="V26" s="49"/>
      <c r="W26" s="49"/>
      <c r="X26" s="49"/>
      <c r="Y26" s="49"/>
      <c r="Z26" s="433"/>
      <c r="AA26" s="49"/>
      <c r="AB26" s="49"/>
      <c r="AC26" s="49"/>
      <c r="AD26" s="49"/>
      <c r="AE26" s="433"/>
      <c r="AF26" s="49"/>
      <c r="AG26" s="49"/>
      <c r="AH26" s="49"/>
      <c r="AI26" s="49"/>
      <c r="AJ26" s="433"/>
      <c r="AK26" s="49"/>
      <c r="AL26" s="49"/>
      <c r="AM26" s="49"/>
      <c r="AN26" s="49"/>
      <c r="AO26" s="433"/>
      <c r="AP26" s="49"/>
      <c r="AQ26" s="49"/>
      <c r="AR26" s="49"/>
      <c r="AS26" s="49"/>
      <c r="AT26" s="433"/>
      <c r="AU26" s="49"/>
      <c r="AV26" s="49"/>
      <c r="AW26" s="49"/>
      <c r="AX26" s="49"/>
      <c r="AY26" s="433"/>
      <c r="AZ26" s="49"/>
      <c r="BA26" s="49"/>
      <c r="BB26" s="49"/>
      <c r="BC26" s="49"/>
      <c r="BD26" s="433"/>
      <c r="BE26" s="49"/>
      <c r="BF26" s="49"/>
      <c r="BG26" s="49"/>
      <c r="BH26" s="49"/>
      <c r="BI26" s="433"/>
      <c r="BJ26" s="49"/>
      <c r="BK26" s="49"/>
      <c r="BL26" s="49"/>
      <c r="BM26" s="49"/>
      <c r="BN26" s="433"/>
      <c r="BO26" s="49"/>
      <c r="BP26" s="49"/>
      <c r="BQ26" s="49"/>
      <c r="BR26" s="49"/>
      <c r="BS26" s="433"/>
      <c r="BT26" s="701"/>
      <c r="BU26" s="49"/>
      <c r="BV26" s="49"/>
      <c r="BW26" s="49"/>
      <c r="BX26" s="433"/>
      <c r="BY26" s="49"/>
      <c r="BZ26" s="49"/>
      <c r="CA26" s="49"/>
      <c r="CB26" s="49"/>
      <c r="CC26" s="433"/>
      <c r="CD26" s="49"/>
      <c r="CE26" s="701"/>
      <c r="CF26" s="49"/>
      <c r="CG26" s="49"/>
      <c r="CH26" s="433"/>
      <c r="CI26" s="49"/>
      <c r="CJ26" s="49"/>
      <c r="CK26" s="49"/>
      <c r="CL26" s="49"/>
      <c r="CM26" s="433"/>
      <c r="CN26" s="49"/>
      <c r="CO26" s="49"/>
      <c r="CP26" s="49"/>
      <c r="CQ26" s="49"/>
      <c r="CR26" s="433"/>
      <c r="CS26" s="49"/>
      <c r="CT26" s="49"/>
      <c r="CU26" s="49"/>
      <c r="CV26" s="49"/>
      <c r="CW26" s="433"/>
      <c r="CX26" s="49"/>
      <c r="CY26" s="49"/>
      <c r="CZ26" s="49"/>
      <c r="DA26" s="49"/>
      <c r="DB26" s="433"/>
      <c r="DC26" s="49"/>
      <c r="DD26" s="49"/>
      <c r="DE26" s="49"/>
      <c r="DF26" s="49"/>
      <c r="DG26" s="433"/>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row>
    <row r="27" spans="1:226" s="36" customFormat="1" ht="12" customHeight="1" collapsed="1" x14ac:dyDescent="0.2">
      <c r="A27" s="35" t="s">
        <v>27</v>
      </c>
      <c r="B27" s="493">
        <v>-134</v>
      </c>
      <c r="C27" s="493">
        <v>-138</v>
      </c>
      <c r="D27" s="493">
        <v>-113</v>
      </c>
      <c r="E27" s="493">
        <v>-131</v>
      </c>
      <c r="F27" s="712">
        <f>SUM(B27:E27)</f>
        <v>-516</v>
      </c>
      <c r="G27" s="493">
        <v>-131</v>
      </c>
      <c r="H27" s="493">
        <v>-133</v>
      </c>
      <c r="I27" s="493">
        <v>-140</v>
      </c>
      <c r="J27" s="493">
        <v>-122</v>
      </c>
      <c r="K27" s="712">
        <f>SUM(G27:J27)</f>
        <v>-526</v>
      </c>
      <c r="L27" s="493">
        <v>-116</v>
      </c>
      <c r="M27" s="493">
        <v>-131</v>
      </c>
      <c r="N27" s="493">
        <v>-150</v>
      </c>
      <c r="O27" s="493">
        <v>-135</v>
      </c>
      <c r="P27" s="712">
        <f>SUM(L27:O27)</f>
        <v>-532</v>
      </c>
      <c r="Q27" s="493">
        <v>-119</v>
      </c>
      <c r="R27" s="493">
        <v>-127</v>
      </c>
      <c r="S27" s="493">
        <v>-162</v>
      </c>
      <c r="T27" s="493">
        <v>-135</v>
      </c>
      <c r="U27" s="712">
        <f>SUM(Q27:T27)</f>
        <v>-543</v>
      </c>
      <c r="V27" s="493">
        <v>-130</v>
      </c>
      <c r="W27" s="493">
        <v>-134</v>
      </c>
      <c r="X27" s="493">
        <v>-139</v>
      </c>
      <c r="Y27" s="493">
        <v>-148</v>
      </c>
      <c r="Z27" s="712">
        <f>SUM(V27:Y27)</f>
        <v>-551</v>
      </c>
      <c r="AA27" s="493">
        <v>-144</v>
      </c>
      <c r="AB27" s="493">
        <v>-161</v>
      </c>
      <c r="AC27" s="493">
        <v>-140</v>
      </c>
      <c r="AD27" s="493">
        <v>-186</v>
      </c>
      <c r="AE27" s="712">
        <f>SUM(AA27:AD27)</f>
        <v>-631</v>
      </c>
      <c r="AF27" s="493">
        <v>-153</v>
      </c>
      <c r="AG27" s="493">
        <v>-162</v>
      </c>
      <c r="AH27" s="493">
        <v>-162</v>
      </c>
      <c r="AI27" s="493">
        <v>-165</v>
      </c>
      <c r="AJ27" s="712">
        <f>SUM(AF27:AI27)</f>
        <v>-642</v>
      </c>
      <c r="AK27" s="493">
        <v>-155</v>
      </c>
      <c r="AL27" s="493">
        <v>-168</v>
      </c>
      <c r="AM27" s="493">
        <v>-182</v>
      </c>
      <c r="AN27" s="493">
        <v>-185</v>
      </c>
      <c r="AO27" s="712">
        <f>SUM(AK27:AN27)</f>
        <v>-690</v>
      </c>
      <c r="AP27" s="493">
        <v>-184</v>
      </c>
      <c r="AQ27" s="493">
        <v>-172</v>
      </c>
      <c r="AR27" s="493">
        <v>-174</v>
      </c>
      <c r="AS27" s="493">
        <v>-185</v>
      </c>
      <c r="AT27" s="712">
        <f>SUM(AP27:AS27)</f>
        <v>-715</v>
      </c>
      <c r="AU27" s="493">
        <v>-172</v>
      </c>
      <c r="AV27" s="493">
        <v>-185</v>
      </c>
      <c r="AW27" s="493">
        <v>-178</v>
      </c>
      <c r="AX27" s="493">
        <v>-199</v>
      </c>
      <c r="AY27" s="712">
        <v>-734</v>
      </c>
      <c r="AZ27" s="493">
        <v>-181</v>
      </c>
      <c r="BA27" s="493">
        <v>-180</v>
      </c>
      <c r="BB27" s="493">
        <v>-182</v>
      </c>
      <c r="BC27" s="493">
        <v>-192</v>
      </c>
      <c r="BD27" s="712">
        <f>SUM(AZ27:BC27)</f>
        <v>-735</v>
      </c>
      <c r="BE27" s="493">
        <v>-190</v>
      </c>
      <c r="BF27" s="493">
        <v>-184</v>
      </c>
      <c r="BG27" s="493">
        <v>-211</v>
      </c>
      <c r="BH27" s="493">
        <v>-213</v>
      </c>
      <c r="BI27" s="712">
        <f>SUM(BE27:BH27)</f>
        <v>-798</v>
      </c>
      <c r="BJ27" s="493">
        <v>-195</v>
      </c>
      <c r="BK27" s="493">
        <v>-204</v>
      </c>
      <c r="BL27" s="493">
        <v>-196</v>
      </c>
      <c r="BM27" s="493">
        <v>-212</v>
      </c>
      <c r="BN27" s="712">
        <f>SUM(BJ27:BM27)</f>
        <v>-807</v>
      </c>
      <c r="BO27" s="493">
        <v>-194</v>
      </c>
      <c r="BP27" s="493">
        <v>-196</v>
      </c>
      <c r="BQ27" s="493">
        <v>-178</v>
      </c>
      <c r="BR27" s="493">
        <v>-183</v>
      </c>
      <c r="BS27" s="712">
        <f>SUM(BO27:BR27)</f>
        <v>-751</v>
      </c>
      <c r="BT27" s="614">
        <v>-180</v>
      </c>
      <c r="BU27" s="614">
        <v>-191</v>
      </c>
      <c r="BV27" s="614">
        <v>-206</v>
      </c>
      <c r="BW27" s="614">
        <v>-221</v>
      </c>
      <c r="BX27" s="712">
        <f>SUM(BT27:BW27)</f>
        <v>-798</v>
      </c>
      <c r="BY27" s="493">
        <v>-186</v>
      </c>
      <c r="BZ27" s="493">
        <v>-191</v>
      </c>
      <c r="CA27" s="493">
        <v>-204</v>
      </c>
      <c r="CB27" s="493">
        <v>-225</v>
      </c>
      <c r="CC27" s="712">
        <f>SUM(BY27:CB27)</f>
        <v>-806</v>
      </c>
      <c r="CD27" s="493">
        <v>-200</v>
      </c>
      <c r="CE27" s="786">
        <v>-197</v>
      </c>
      <c r="CF27" s="786">
        <v>-201</v>
      </c>
      <c r="CG27" s="786">
        <v>-212</v>
      </c>
      <c r="CH27" s="439">
        <f>SUM(CD27:CG27)</f>
        <v>-810</v>
      </c>
      <c r="CI27" s="786">
        <v>-204</v>
      </c>
      <c r="CJ27" s="786">
        <v>-197</v>
      </c>
      <c r="CK27" s="27">
        <f>-(CK17-CK50+CK38+CK43+CK48)</f>
        <v>-191.44396894040153</v>
      </c>
      <c r="CL27" s="27">
        <f ca="1">-(CL17-CL50+CL38+CL43+CL48)</f>
        <v>-223.4104537491678</v>
      </c>
      <c r="CM27" s="439">
        <f ca="1">SUM(CI27:CL27)</f>
        <v>-815.85442268956933</v>
      </c>
      <c r="CN27" s="27">
        <f>-(CN17-CN50+CN38+CN43+CN48)</f>
        <v>-215.2217407614412</v>
      </c>
      <c r="CO27" s="27">
        <f>-(CO17-CO50+CO38+CO43+CO48)</f>
        <v>-224.46001808242545</v>
      </c>
      <c r="CP27" s="27">
        <f>-(CP17-CP50+CP38+CP43+CP48)</f>
        <v>-215.89139927346093</v>
      </c>
      <c r="CQ27" s="27">
        <f ca="1">-(CQ17-CQ50+CQ38+CQ43+CQ48)</f>
        <v>-241.04921056032737</v>
      </c>
      <c r="CR27" s="439">
        <f ca="1">SUM(CN27:CQ27)</f>
        <v>-896.622368677655</v>
      </c>
      <c r="CS27" s="27">
        <f>-(CS17-CS50+CS38+CS43+CS48)</f>
        <v>-212.91694489988851</v>
      </c>
      <c r="CT27" s="27">
        <f>-(CT17-CT50+CT38+CT43+CT48)</f>
        <v>-222.52660434045879</v>
      </c>
      <c r="CU27" s="27">
        <f>-(CU17-CU50+CU38+CU43+CU48)</f>
        <v>-213.40499511770241</v>
      </c>
      <c r="CV27" s="27">
        <f ca="1">-(CV17-CV50+CV38+CV43+CV48)</f>
        <v>-237.87396279043901</v>
      </c>
      <c r="CW27" s="439">
        <f ca="1">SUM(CS27:CV27)</f>
        <v>-886.72250714848872</v>
      </c>
      <c r="CX27" s="27">
        <f>-(CX17-CX50+CX38+CX43+CX48)</f>
        <v>-215.70380068343582</v>
      </c>
      <c r="CY27" s="27">
        <f>-(CY17-CY50+CY38+CY43+CY48)</f>
        <v>-225.57097450249645</v>
      </c>
      <c r="CZ27" s="27">
        <f>-(CZ17-CZ50+CZ38+CZ43+CZ48)</f>
        <v>-216.53515121856989</v>
      </c>
      <c r="DA27" s="27">
        <f ca="1">-(DA17-DA50+DA38+DA43+DA48)</f>
        <v>-241.64914803124259</v>
      </c>
      <c r="DB27" s="439">
        <f ca="1">SUM(CX27:DA27)</f>
        <v>-899.45907443574481</v>
      </c>
      <c r="DC27" s="27">
        <f>-(DC17-DC50+DC38+DC43+DC48)</f>
        <v>-219.05018992567761</v>
      </c>
      <c r="DD27" s="27">
        <f>-(DD17-DD50+DD38+DD43+DD48)</f>
        <v>-229.15673593779439</v>
      </c>
      <c r="DE27" s="27">
        <f>-(DE17-DE50+DE38+DE43+DE48)</f>
        <v>-220.2519939088711</v>
      </c>
      <c r="DF27" s="27">
        <f ca="1">-(DF17-DF50+DF38+DF43+DF48)</f>
        <v>-246.09010894708263</v>
      </c>
      <c r="DG27" s="439">
        <f ca="1">SUM(DC27:DF27)</f>
        <v>-914.54902871942568</v>
      </c>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row>
    <row r="28" spans="1:226" s="36" customFormat="1" ht="12" customHeight="1" x14ac:dyDescent="0.2">
      <c r="A28" s="36" t="s">
        <v>23</v>
      </c>
      <c r="B28" s="49">
        <f t="shared" ref="B28:W28" si="50">-B27/B$7</f>
        <v>0.1391484942886812</v>
      </c>
      <c r="C28" s="49">
        <f t="shared" si="50"/>
        <v>0.15753424657534246</v>
      </c>
      <c r="D28" s="49">
        <f t="shared" si="50"/>
        <v>0.11746361746361747</v>
      </c>
      <c r="E28" s="49">
        <f t="shared" si="50"/>
        <v>0.11887477313974591</v>
      </c>
      <c r="F28" s="713">
        <f t="shared" si="50"/>
        <v>0.13220599538816294</v>
      </c>
      <c r="G28" s="49">
        <f t="shared" si="50"/>
        <v>0.133130081300813</v>
      </c>
      <c r="H28" s="49">
        <f t="shared" si="50"/>
        <v>0.14994363021420518</v>
      </c>
      <c r="I28" s="49">
        <f t="shared" si="50"/>
        <v>0.13685239491691104</v>
      </c>
      <c r="J28" s="49">
        <f t="shared" si="50"/>
        <v>0.10815602836879433</v>
      </c>
      <c r="K28" s="713">
        <f t="shared" si="50"/>
        <v>0.13078070611636003</v>
      </c>
      <c r="L28" s="49">
        <f t="shared" si="50"/>
        <v>0.11079274116523401</v>
      </c>
      <c r="M28" s="49">
        <f t="shared" si="50"/>
        <v>0.14146868250539957</v>
      </c>
      <c r="N28" s="49">
        <f t="shared" si="50"/>
        <v>0.14720314033366044</v>
      </c>
      <c r="O28" s="49">
        <f t="shared" si="50"/>
        <v>0.1171875</v>
      </c>
      <c r="P28" s="713">
        <f t="shared" si="50"/>
        <v>0.12837837837837837</v>
      </c>
      <c r="Q28" s="49">
        <f t="shared" si="50"/>
        <v>0.11829025844930417</v>
      </c>
      <c r="R28" s="49">
        <f t="shared" si="50"/>
        <v>0.13804347826086957</v>
      </c>
      <c r="S28" s="49">
        <f t="shared" si="50"/>
        <v>0.15413891531874405</v>
      </c>
      <c r="T28" s="49">
        <f t="shared" si="50"/>
        <v>0.11392405063291139</v>
      </c>
      <c r="U28" s="713">
        <f t="shared" si="50"/>
        <v>0.13046612205670352</v>
      </c>
      <c r="V28" s="49">
        <f t="shared" si="50"/>
        <v>0.12404580152671756</v>
      </c>
      <c r="W28" s="49">
        <f t="shared" si="50"/>
        <v>0.13400000000000001</v>
      </c>
      <c r="X28" s="49">
        <f t="shared" ref="X28:AY28" si="51">-X27/X$7</f>
        <v>0.1279926335174954</v>
      </c>
      <c r="Y28" s="49">
        <f t="shared" si="51"/>
        <v>0.11802232854864433</v>
      </c>
      <c r="Z28" s="713">
        <f t="shared" si="51"/>
        <v>0.1255697356426618</v>
      </c>
      <c r="AA28" s="49">
        <f t="shared" si="51"/>
        <v>0.13043478260869565</v>
      </c>
      <c r="AB28" s="49">
        <f t="shared" si="51"/>
        <v>0.15131578947368421</v>
      </c>
      <c r="AC28" s="49">
        <f t="shared" si="51"/>
        <v>0.12100259291270528</v>
      </c>
      <c r="AD28" s="49">
        <f t="shared" si="51"/>
        <v>0.14101592115238817</v>
      </c>
      <c r="AE28" s="713">
        <f t="shared" si="51"/>
        <v>0.13587424633936263</v>
      </c>
      <c r="AF28" s="49">
        <f t="shared" si="51"/>
        <v>0.13178294573643412</v>
      </c>
      <c r="AG28" s="49">
        <f t="shared" si="51"/>
        <v>0.14713896457765668</v>
      </c>
      <c r="AH28" s="49">
        <f t="shared" si="51"/>
        <v>0.13053988718775181</v>
      </c>
      <c r="AI28" s="49">
        <f t="shared" si="51"/>
        <v>0.12276785714285714</v>
      </c>
      <c r="AJ28" s="713">
        <f t="shared" si="51"/>
        <v>0.13245306375077368</v>
      </c>
      <c r="AK28" s="49">
        <f t="shared" si="51"/>
        <v>0.12510088781275222</v>
      </c>
      <c r="AL28" s="49">
        <f t="shared" si="51"/>
        <v>0.14165261382799327</v>
      </c>
      <c r="AM28" s="49">
        <f t="shared" si="51"/>
        <v>0.13451589061345159</v>
      </c>
      <c r="AN28" s="49">
        <f t="shared" si="51"/>
        <v>0.12374581939799331</v>
      </c>
      <c r="AO28" s="713">
        <f t="shared" si="51"/>
        <v>0.13085530058790062</v>
      </c>
      <c r="AP28" s="49">
        <f t="shared" si="51"/>
        <v>0.13294797687861271</v>
      </c>
      <c r="AQ28" s="49">
        <f t="shared" si="51"/>
        <v>0.14144736842105263</v>
      </c>
      <c r="AR28" s="49">
        <f t="shared" si="51"/>
        <v>0.12888888888888889</v>
      </c>
      <c r="AS28" s="49">
        <f t="shared" si="51"/>
        <v>0.12333333333333334</v>
      </c>
      <c r="AT28" s="713">
        <f t="shared" si="51"/>
        <v>0.13119266055045872</v>
      </c>
      <c r="AU28" s="49">
        <f t="shared" si="51"/>
        <v>0.13200306983883345</v>
      </c>
      <c r="AV28" s="49">
        <f t="shared" si="51"/>
        <v>0.15226337448559671</v>
      </c>
      <c r="AW28" s="49">
        <f t="shared" si="51"/>
        <v>0.1383061383061383</v>
      </c>
      <c r="AX28" s="49">
        <f t="shared" si="51"/>
        <v>0.13925822253324002</v>
      </c>
      <c r="AY28" s="713">
        <f t="shared" si="51"/>
        <v>0.14023691249522355</v>
      </c>
      <c r="AZ28" s="49">
        <f t="shared" ref="AZ28:CD28" si="52">-AZ27/AZ$7</f>
        <v>0.14296998420221169</v>
      </c>
      <c r="BA28" s="49">
        <f t="shared" si="52"/>
        <v>0.15267175572519084</v>
      </c>
      <c r="BB28" s="49">
        <f t="shared" si="52"/>
        <v>0.13957055214723926</v>
      </c>
      <c r="BC28" s="49">
        <f t="shared" si="52"/>
        <v>0.12955465587044535</v>
      </c>
      <c r="BD28" s="713">
        <f t="shared" si="52"/>
        <v>0.14050850697763334</v>
      </c>
      <c r="BE28" s="49">
        <f t="shared" si="52"/>
        <v>0.14559386973180077</v>
      </c>
      <c r="BF28" s="49">
        <f t="shared" si="52"/>
        <v>0.15069615069615069</v>
      </c>
      <c r="BG28" s="49">
        <f t="shared" si="52"/>
        <v>0.15060670949321914</v>
      </c>
      <c r="BH28" s="49">
        <f t="shared" si="52"/>
        <v>0.1382219338092148</v>
      </c>
      <c r="BI28" s="713">
        <f t="shared" si="52"/>
        <v>0.1459400146305779</v>
      </c>
      <c r="BJ28" s="49">
        <f t="shared" si="52"/>
        <v>0.14573991031390135</v>
      </c>
      <c r="BK28" s="49">
        <f t="shared" si="52"/>
        <v>0.15396226415094338</v>
      </c>
      <c r="BL28" s="49">
        <f t="shared" si="52"/>
        <v>0.13871196036801131</v>
      </c>
      <c r="BM28" s="49">
        <f t="shared" si="52"/>
        <v>0.13703943115707823</v>
      </c>
      <c r="BN28" s="713">
        <f t="shared" si="52"/>
        <v>0.14351769518050864</v>
      </c>
      <c r="BO28" s="49">
        <f t="shared" si="52"/>
        <v>0.14445271779597915</v>
      </c>
      <c r="BP28" s="49">
        <f t="shared" si="52"/>
        <v>0.14984709480122324</v>
      </c>
      <c r="BQ28" s="49">
        <f>-BQ27/BQ$7</f>
        <v>0.13030746705710103</v>
      </c>
      <c r="BR28" s="49">
        <f t="shared" si="52"/>
        <v>0.12224448897795591</v>
      </c>
      <c r="BS28" s="713">
        <f t="shared" si="52"/>
        <v>0.1361987667754806</v>
      </c>
      <c r="BT28" s="701">
        <f>-BT27/BT$7</f>
        <v>0.13313609467455623</v>
      </c>
      <c r="BU28" s="49">
        <f t="shared" si="52"/>
        <v>0.14200743494423793</v>
      </c>
      <c r="BV28" s="49">
        <f>-BV27/BV$7</f>
        <v>0.14703783012134189</v>
      </c>
      <c r="BW28" s="49">
        <f>-BW27/BW$7</f>
        <v>0.14193962748876043</v>
      </c>
      <c r="BX28" s="713">
        <f>-BX27/BX$7</f>
        <v>0.14111405835543767</v>
      </c>
      <c r="BY28" s="49">
        <f t="shared" si="52"/>
        <v>0.13381294964028778</v>
      </c>
      <c r="BZ28" s="49">
        <f t="shared" si="52"/>
        <v>0.14200743494423793</v>
      </c>
      <c r="CA28" s="49">
        <f t="shared" si="52"/>
        <v>0.14305750350631136</v>
      </c>
      <c r="CB28" s="49">
        <f>-CB27/CB$7</f>
        <v>0.140625</v>
      </c>
      <c r="CC28" s="713">
        <f>-CC27/CC$7</f>
        <v>0.13990626627321645</v>
      </c>
      <c r="CD28" s="49">
        <f t="shared" si="52"/>
        <v>0.13860013860013859</v>
      </c>
      <c r="CE28" s="701">
        <f>-CE27/CE$7</f>
        <v>0.14011379800853485</v>
      </c>
      <c r="CF28" s="49">
        <f t="shared" ref="CF28:CW28" si="53">-CF27/CF$7</f>
        <v>0.13608666215301288</v>
      </c>
      <c r="CG28" s="49">
        <f t="shared" si="53"/>
        <v>0.12871888281724347</v>
      </c>
      <c r="CH28" s="440">
        <f t="shared" si="53"/>
        <v>0.13561024610748368</v>
      </c>
      <c r="CI28" s="49">
        <f t="shared" ref="CI28:CJ28" si="54">-CI27/CI$7</f>
        <v>0.13600000000000001</v>
      </c>
      <c r="CJ28" s="49">
        <f t="shared" si="54"/>
        <v>0.13912429378531074</v>
      </c>
      <c r="CK28" s="49">
        <f t="shared" si="53"/>
        <v>0.12651470087230238</v>
      </c>
      <c r="CL28" s="49">
        <f t="shared" ca="1" si="53"/>
        <v>0.12918365929006678</v>
      </c>
      <c r="CM28" s="440">
        <f t="shared" ca="1" si="53"/>
        <v>0.13247364160534142</v>
      </c>
      <c r="CN28" s="49">
        <f t="shared" si="53"/>
        <v>0.13592070169982398</v>
      </c>
      <c r="CO28" s="49">
        <f t="shared" si="53"/>
        <v>0.14830741558551594</v>
      </c>
      <c r="CP28" s="49">
        <f t="shared" si="53"/>
        <v>0.13343280523993209</v>
      </c>
      <c r="CQ28" s="49">
        <f t="shared" ca="1" si="53"/>
        <v>0.13542464492573597</v>
      </c>
      <c r="CR28" s="440">
        <f t="shared" ca="1" si="53"/>
        <v>0.138051422846907</v>
      </c>
      <c r="CS28" s="49">
        <f t="shared" si="53"/>
        <v>0.1313781088545867</v>
      </c>
      <c r="CT28" s="49">
        <f t="shared" si="53"/>
        <v>0.14357947730012033</v>
      </c>
      <c r="CU28" s="49">
        <f t="shared" si="53"/>
        <v>0.12886432585471633</v>
      </c>
      <c r="CV28" s="49">
        <f t="shared" ca="1" si="53"/>
        <v>0.13065672497693229</v>
      </c>
      <c r="CW28" s="440">
        <f t="shared" ca="1" si="53"/>
        <v>0.13339912854722766</v>
      </c>
      <c r="CX28" s="49">
        <f t="shared" ref="CX28:DG28" si="55">-CX27/CX$7</f>
        <v>0.13002897375279682</v>
      </c>
      <c r="CY28" s="49">
        <f t="shared" si="55"/>
        <v>0.1421128285600535</v>
      </c>
      <c r="CZ28" s="49">
        <f t="shared" si="55"/>
        <v>0.12773553388752951</v>
      </c>
      <c r="DA28" s="49">
        <f t="shared" ca="1" si="55"/>
        <v>0.12975335470224489</v>
      </c>
      <c r="DB28" s="440">
        <f t="shared" ca="1" si="55"/>
        <v>0.1322011985299921</v>
      </c>
      <c r="DC28" s="49">
        <f t="shared" si="55"/>
        <v>0.12898855800368739</v>
      </c>
      <c r="DD28" s="49">
        <f t="shared" si="55"/>
        <v>0.14095316761505874</v>
      </c>
      <c r="DE28" s="49">
        <f t="shared" si="55"/>
        <v>0.12691475223949764</v>
      </c>
      <c r="DF28" s="49">
        <f t="shared" ca="1" si="55"/>
        <v>0.12916085974163066</v>
      </c>
      <c r="DG28" s="440">
        <f t="shared" ca="1" si="55"/>
        <v>0.13131183894657392</v>
      </c>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row>
    <row r="29" spans="1:226" s="36" customFormat="1" ht="12" customHeight="1" x14ac:dyDescent="0.2">
      <c r="A29" s="80" t="s">
        <v>112</v>
      </c>
      <c r="B29" s="493"/>
      <c r="C29" s="493"/>
      <c r="D29" s="493"/>
      <c r="E29" s="493"/>
      <c r="F29" s="702"/>
      <c r="G29" s="493">
        <f t="shared" ref="G29:AB29" si="56">(G28-B28)*10000</f>
        <v>-60.184129878682043</v>
      </c>
      <c r="H29" s="493">
        <f t="shared" si="56"/>
        <v>-75.906163611372818</v>
      </c>
      <c r="I29" s="493">
        <f t="shared" si="56"/>
        <v>193.88777453293565</v>
      </c>
      <c r="J29" s="493">
        <f t="shared" si="56"/>
        <v>-107.18744770951582</v>
      </c>
      <c r="K29" s="702">
        <f t="shared" si="56"/>
        <v>-14.252892718029099</v>
      </c>
      <c r="L29" s="493">
        <f t="shared" si="56"/>
        <v>-223.37340135578989</v>
      </c>
      <c r="M29" s="493">
        <f t="shared" si="56"/>
        <v>-84.749477088056082</v>
      </c>
      <c r="N29" s="493">
        <f t="shared" si="56"/>
        <v>103.50745416749407</v>
      </c>
      <c r="O29" s="493">
        <f t="shared" si="56"/>
        <v>90.314716312056703</v>
      </c>
      <c r="P29" s="702">
        <f t="shared" si="56"/>
        <v>-24.023277379816577</v>
      </c>
      <c r="Q29" s="493">
        <f t="shared" si="56"/>
        <v>74.97517284070166</v>
      </c>
      <c r="R29" s="493">
        <f t="shared" si="56"/>
        <v>-34.252042445299949</v>
      </c>
      <c r="S29" s="493">
        <f t="shared" si="56"/>
        <v>69.357749850836043</v>
      </c>
      <c r="T29" s="493">
        <f t="shared" si="56"/>
        <v>-32.634493670886108</v>
      </c>
      <c r="U29" s="702">
        <f t="shared" si="56"/>
        <v>20.87743678325149</v>
      </c>
      <c r="V29" s="493">
        <f t="shared" si="56"/>
        <v>57.555430774133832</v>
      </c>
      <c r="W29" s="493">
        <f t="shared" si="56"/>
        <v>-40.434782608695649</v>
      </c>
      <c r="X29" s="493">
        <f t="shared" si="56"/>
        <v>-261.46281801248642</v>
      </c>
      <c r="Y29" s="493">
        <f t="shared" si="56"/>
        <v>40.982779157329453</v>
      </c>
      <c r="Z29" s="702">
        <f t="shared" si="56"/>
        <v>-48.963864140417201</v>
      </c>
      <c r="AA29" s="493">
        <f t="shared" si="56"/>
        <v>63.889810819780926</v>
      </c>
      <c r="AB29" s="493">
        <f t="shared" si="56"/>
        <v>173.15789473684202</v>
      </c>
      <c r="AC29" s="493">
        <f t="shared" ref="AC29:AY29" si="57">(AC28-X28)*10000</f>
        <v>-69.900406047901242</v>
      </c>
      <c r="AD29" s="493">
        <f t="shared" si="57"/>
        <v>229.93592603743841</v>
      </c>
      <c r="AE29" s="702">
        <f t="shared" si="57"/>
        <v>103.04510696700825</v>
      </c>
      <c r="AF29" s="493">
        <f t="shared" si="57"/>
        <v>13.48163127738472</v>
      </c>
      <c r="AG29" s="493">
        <f t="shared" si="57"/>
        <v>-41.768248960275258</v>
      </c>
      <c r="AH29" s="493">
        <f t="shared" si="57"/>
        <v>95.372942750465285</v>
      </c>
      <c r="AI29" s="493">
        <f t="shared" si="57"/>
        <v>-182.48064009531038</v>
      </c>
      <c r="AJ29" s="702">
        <f t="shared" si="57"/>
        <v>-34.211825885889503</v>
      </c>
      <c r="AK29" s="493">
        <f t="shared" si="57"/>
        <v>-66.820579236819</v>
      </c>
      <c r="AL29" s="493">
        <f t="shared" si="57"/>
        <v>-54.863507496634156</v>
      </c>
      <c r="AM29" s="493">
        <f t="shared" si="57"/>
        <v>39.760034256997869</v>
      </c>
      <c r="AN29" s="493">
        <f t="shared" si="57"/>
        <v>9.779622551361749</v>
      </c>
      <c r="AO29" s="702">
        <f t="shared" si="57"/>
        <v>-15.977631628730505</v>
      </c>
      <c r="AP29" s="493">
        <f t="shared" si="57"/>
        <v>78.470890658604858</v>
      </c>
      <c r="AQ29" s="493">
        <f t="shared" si="57"/>
        <v>-2.0524540694064064</v>
      </c>
      <c r="AR29" s="493">
        <f t="shared" si="57"/>
        <v>-56.270017245627081</v>
      </c>
      <c r="AS29" s="493">
        <f t="shared" si="57"/>
        <v>-4.1248606465997542</v>
      </c>
      <c r="AT29" s="702">
        <f t="shared" si="57"/>
        <v>3.3735996255809808</v>
      </c>
      <c r="AU29" s="493">
        <f t="shared" si="57"/>
        <v>-9.4490703977925801</v>
      </c>
      <c r="AV29" s="493">
        <f t="shared" si="57"/>
        <v>108.16006064544081</v>
      </c>
      <c r="AW29" s="493">
        <f t="shared" si="57"/>
        <v>94.172494172494183</v>
      </c>
      <c r="AX29" s="493">
        <f t="shared" si="57"/>
        <v>159.24889199906687</v>
      </c>
      <c r="AY29" s="702">
        <f t="shared" si="57"/>
        <v>90.442519447648252</v>
      </c>
      <c r="AZ29" s="493">
        <f t="shared" ref="AZ29:CE29" si="58">(AZ28-AU28)*10000</f>
        <v>109.66914363378238</v>
      </c>
      <c r="BA29" s="493">
        <f t="shared" si="58"/>
        <v>4.0838123959413553</v>
      </c>
      <c r="BB29" s="493">
        <f t="shared" si="58"/>
        <v>12.644138411009587</v>
      </c>
      <c r="BC29" s="493">
        <f t="shared" si="58"/>
        <v>-97.035666627946767</v>
      </c>
      <c r="BD29" s="702">
        <f t="shared" si="58"/>
        <v>2.7159448240979267</v>
      </c>
      <c r="BE29" s="493">
        <f t="shared" si="58"/>
        <v>26.238855295890872</v>
      </c>
      <c r="BF29" s="493">
        <f t="shared" si="58"/>
        <v>-19.756050290401504</v>
      </c>
      <c r="BG29" s="493">
        <f t="shared" si="58"/>
        <v>110.36157345979875</v>
      </c>
      <c r="BH29" s="614">
        <f t="shared" si="58"/>
        <v>86.672779387694519</v>
      </c>
      <c r="BI29" s="702">
        <f t="shared" si="58"/>
        <v>54.315076529445619</v>
      </c>
      <c r="BJ29" s="493">
        <f t="shared" si="58"/>
        <v>1.4604058210057613</v>
      </c>
      <c r="BK29" s="493">
        <f t="shared" si="58"/>
        <v>32.661134547926906</v>
      </c>
      <c r="BL29" s="493">
        <f t="shared" si="58"/>
        <v>-118.94749125207827</v>
      </c>
      <c r="BM29" s="614">
        <f t="shared" si="58"/>
        <v>-11.82502652136569</v>
      </c>
      <c r="BN29" s="702">
        <f t="shared" si="58"/>
        <v>-24.223194500692657</v>
      </c>
      <c r="BO29" s="493">
        <f t="shared" si="58"/>
        <v>-12.871925179221977</v>
      </c>
      <c r="BP29" s="493">
        <f t="shared" si="58"/>
        <v>-41.151693497201435</v>
      </c>
      <c r="BQ29" s="493">
        <f>(BQ28-BL28)*10000</f>
        <v>-84.044933109102828</v>
      </c>
      <c r="BR29" s="493">
        <f t="shared" si="58"/>
        <v>-147.94942179122319</v>
      </c>
      <c r="BS29" s="702">
        <f t="shared" si="58"/>
        <v>-73.189284050280406</v>
      </c>
      <c r="BT29" s="614">
        <f>(BT28-BO28)*10000</f>
        <v>-113.16623121422926</v>
      </c>
      <c r="BU29" s="493">
        <f t="shared" si="58"/>
        <v>-78.396598569853154</v>
      </c>
      <c r="BV29" s="493">
        <f t="shared" si="58"/>
        <v>167.30363064240862</v>
      </c>
      <c r="BW29" s="493">
        <f t="shared" si="58"/>
        <v>196.95138510804526</v>
      </c>
      <c r="BX29" s="702">
        <f t="shared" si="58"/>
        <v>49.152915799570707</v>
      </c>
      <c r="BY29" s="493">
        <f t="shared" si="58"/>
        <v>6.7685496573155479</v>
      </c>
      <c r="BZ29" s="493">
        <f t="shared" si="58"/>
        <v>0</v>
      </c>
      <c r="CA29" s="493">
        <f t="shared" si="58"/>
        <v>-39.803266150305326</v>
      </c>
      <c r="CB29" s="493">
        <f>(CB28-BW28)*10000</f>
        <v>-13.146274887604337</v>
      </c>
      <c r="CC29" s="702">
        <f>(CC28-BX28)*10000</f>
        <v>-12.077920822212151</v>
      </c>
      <c r="CD29" s="27">
        <f t="shared" si="58"/>
        <v>47.871889598508076</v>
      </c>
      <c r="CE29" s="786">
        <f t="shared" si="58"/>
        <v>-18.936369357030745</v>
      </c>
      <c r="CF29" s="27">
        <f>(CF28-CA28)*10000</f>
        <v>-69.708413532984792</v>
      </c>
      <c r="CG29" s="27">
        <f t="shared" ref="CG29:CW29" si="59">(CG28-CB28)*10000</f>
        <v>-119.06117182756526</v>
      </c>
      <c r="CH29" s="334">
        <f t="shared" si="59"/>
        <v>-42.960201657327723</v>
      </c>
      <c r="CI29" s="27">
        <f t="shared" si="59"/>
        <v>-26.001386001385796</v>
      </c>
      <c r="CJ29" s="27">
        <f t="shared" si="59"/>
        <v>-9.8950422322410798</v>
      </c>
      <c r="CK29" s="27">
        <f t="shared" si="59"/>
        <v>-95.719612807105008</v>
      </c>
      <c r="CL29" s="27">
        <f t="shared" ca="1" si="59"/>
        <v>4.6477647282330832</v>
      </c>
      <c r="CM29" s="334">
        <f t="shared" ca="1" si="59"/>
        <v>-31.366045021422593</v>
      </c>
      <c r="CN29" s="27">
        <f t="shared" si="59"/>
        <v>-0.79298300176028347</v>
      </c>
      <c r="CO29" s="27">
        <f t="shared" si="59"/>
        <v>91.831218002051969</v>
      </c>
      <c r="CP29" s="27">
        <f t="shared" si="59"/>
        <v>69.181043676297122</v>
      </c>
      <c r="CQ29" s="27">
        <f t="shared" ca="1" si="59"/>
        <v>62.409856356691883</v>
      </c>
      <c r="CR29" s="334">
        <f t="shared" ca="1" si="59"/>
        <v>55.777812415655767</v>
      </c>
      <c r="CS29" s="27">
        <f t="shared" si="59"/>
        <v>-45.425928452372808</v>
      </c>
      <c r="CT29" s="27">
        <f t="shared" si="59"/>
        <v>-47.279382853956108</v>
      </c>
      <c r="CU29" s="27">
        <f t="shared" si="59"/>
        <v>-45.684793852157625</v>
      </c>
      <c r="CV29" s="27">
        <f t="shared" ca="1" si="59"/>
        <v>-47.679199488036836</v>
      </c>
      <c r="CW29" s="334">
        <f t="shared" ca="1" si="59"/>
        <v>-46.522942996793383</v>
      </c>
      <c r="CX29" s="27">
        <f t="shared" ref="CX29:DG29" si="60">(CX28-CS28)*10000</f>
        <v>-13.491351017898834</v>
      </c>
      <c r="CY29" s="27">
        <f t="shared" si="60"/>
        <v>-14.666487400668283</v>
      </c>
      <c r="CZ29" s="27">
        <f t="shared" si="60"/>
        <v>-11.287919671868208</v>
      </c>
      <c r="DA29" s="27">
        <f t="shared" ca="1" si="60"/>
        <v>-9.0337027468739848</v>
      </c>
      <c r="DB29" s="334">
        <f t="shared" ca="1" si="60"/>
        <v>-11.9793001723556</v>
      </c>
      <c r="DC29" s="27">
        <f t="shared" si="60"/>
        <v>-10.404157491094301</v>
      </c>
      <c r="DD29" s="27">
        <f t="shared" si="60"/>
        <v>-11.596609449947559</v>
      </c>
      <c r="DE29" s="27">
        <f t="shared" si="60"/>
        <v>-8.2078164803187086</v>
      </c>
      <c r="DF29" s="27">
        <f t="shared" ca="1" si="60"/>
        <v>-5.9249496061422597</v>
      </c>
      <c r="DG29" s="334">
        <f t="shared" ca="1" si="60"/>
        <v>-8.8935958341818111</v>
      </c>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row>
    <row r="30" spans="1:226" s="36" customFormat="1" ht="12" customHeight="1" x14ac:dyDescent="0.2">
      <c r="A30" s="36" t="s">
        <v>24</v>
      </c>
      <c r="B30" s="49"/>
      <c r="C30" s="49"/>
      <c r="D30" s="49"/>
      <c r="E30" s="49"/>
      <c r="F30" s="433"/>
      <c r="G30" s="49">
        <f t="shared" ref="G30:AB30" si="61">G27/B27-1</f>
        <v>-2.2388059701492491E-2</v>
      </c>
      <c r="H30" s="49">
        <f t="shared" si="61"/>
        <v>-3.6231884057971064E-2</v>
      </c>
      <c r="I30" s="49">
        <f t="shared" si="61"/>
        <v>0.23893805309734506</v>
      </c>
      <c r="J30" s="49">
        <f t="shared" si="61"/>
        <v>-6.8702290076335881E-2</v>
      </c>
      <c r="K30" s="433">
        <f t="shared" si="61"/>
        <v>1.9379844961240345E-2</v>
      </c>
      <c r="L30" s="49">
        <f t="shared" si="61"/>
        <v>-0.1145038167938931</v>
      </c>
      <c r="M30" s="49">
        <f t="shared" si="61"/>
        <v>-1.5037593984962405E-2</v>
      </c>
      <c r="N30" s="49">
        <f t="shared" si="61"/>
        <v>7.1428571428571397E-2</v>
      </c>
      <c r="O30" s="49">
        <f t="shared" si="61"/>
        <v>0.10655737704918034</v>
      </c>
      <c r="P30" s="433">
        <f t="shared" si="61"/>
        <v>1.1406844106463865E-2</v>
      </c>
      <c r="Q30" s="49">
        <f t="shared" si="61"/>
        <v>2.5862068965517349E-2</v>
      </c>
      <c r="R30" s="49">
        <f t="shared" si="61"/>
        <v>-3.0534351145038219E-2</v>
      </c>
      <c r="S30" s="49">
        <f t="shared" si="61"/>
        <v>8.0000000000000071E-2</v>
      </c>
      <c r="T30" s="49">
        <f t="shared" si="61"/>
        <v>0</v>
      </c>
      <c r="U30" s="433">
        <f t="shared" si="61"/>
        <v>2.0676691729323293E-2</v>
      </c>
      <c r="V30" s="49">
        <f t="shared" si="61"/>
        <v>9.243697478991586E-2</v>
      </c>
      <c r="W30" s="49">
        <f t="shared" si="61"/>
        <v>5.5118110236220375E-2</v>
      </c>
      <c r="X30" s="49">
        <f t="shared" si="61"/>
        <v>-0.14197530864197527</v>
      </c>
      <c r="Y30" s="49">
        <f t="shared" si="61"/>
        <v>9.6296296296296324E-2</v>
      </c>
      <c r="Z30" s="433">
        <f t="shared" si="61"/>
        <v>1.4732965009208066E-2</v>
      </c>
      <c r="AA30" s="49">
        <f t="shared" si="61"/>
        <v>0.10769230769230775</v>
      </c>
      <c r="AB30" s="49">
        <f t="shared" si="61"/>
        <v>0.20149253731343286</v>
      </c>
      <c r="AC30" s="49">
        <f t="shared" ref="AC30:AY30" si="62">AC27/X27-1</f>
        <v>7.194244604316502E-3</v>
      </c>
      <c r="AD30" s="49">
        <f t="shared" si="62"/>
        <v>0.2567567567567568</v>
      </c>
      <c r="AE30" s="433">
        <f t="shared" si="62"/>
        <v>0.14519056261343022</v>
      </c>
      <c r="AF30" s="49">
        <f t="shared" si="62"/>
        <v>6.25E-2</v>
      </c>
      <c r="AG30" s="49">
        <f t="shared" si="62"/>
        <v>6.2111801242235032E-3</v>
      </c>
      <c r="AH30" s="49">
        <f t="shared" si="62"/>
        <v>0.15714285714285725</v>
      </c>
      <c r="AI30" s="49">
        <f t="shared" si="62"/>
        <v>-0.11290322580645162</v>
      </c>
      <c r="AJ30" s="433">
        <f t="shared" si="62"/>
        <v>1.7432646592709933E-2</v>
      </c>
      <c r="AK30" s="49">
        <f t="shared" si="62"/>
        <v>1.3071895424836555E-2</v>
      </c>
      <c r="AL30" s="49">
        <f t="shared" si="62"/>
        <v>3.7037037037036979E-2</v>
      </c>
      <c r="AM30" s="49">
        <f t="shared" si="62"/>
        <v>0.12345679012345689</v>
      </c>
      <c r="AN30" s="49">
        <f t="shared" si="62"/>
        <v>0.1212121212121211</v>
      </c>
      <c r="AO30" s="433">
        <f t="shared" si="62"/>
        <v>7.4766355140186924E-2</v>
      </c>
      <c r="AP30" s="49">
        <f t="shared" si="62"/>
        <v>0.18709677419354831</v>
      </c>
      <c r="AQ30" s="49">
        <f t="shared" si="62"/>
        <v>2.3809523809523725E-2</v>
      </c>
      <c r="AR30" s="49">
        <f t="shared" si="62"/>
        <v>-4.3956043956043911E-2</v>
      </c>
      <c r="AS30" s="49">
        <f t="shared" si="62"/>
        <v>0</v>
      </c>
      <c r="AT30" s="433">
        <f t="shared" si="62"/>
        <v>3.6231884057970953E-2</v>
      </c>
      <c r="AU30" s="49">
        <f t="shared" si="62"/>
        <v>-6.5217391304347783E-2</v>
      </c>
      <c r="AV30" s="49">
        <f t="shared" si="62"/>
        <v>7.5581395348837122E-2</v>
      </c>
      <c r="AW30" s="49">
        <f t="shared" si="62"/>
        <v>2.2988505747126409E-2</v>
      </c>
      <c r="AX30" s="49">
        <f t="shared" si="62"/>
        <v>7.5675675675675569E-2</v>
      </c>
      <c r="AY30" s="433">
        <f t="shared" si="62"/>
        <v>2.657342657342654E-2</v>
      </c>
      <c r="AZ30" s="49">
        <f t="shared" ref="AZ30:CE30" si="63">AZ27/AU27-1</f>
        <v>5.232558139534893E-2</v>
      </c>
      <c r="BA30" s="49">
        <f t="shared" si="63"/>
        <v>-2.7027027027026973E-2</v>
      </c>
      <c r="BB30" s="49">
        <f t="shared" si="63"/>
        <v>2.2471910112359605E-2</v>
      </c>
      <c r="BC30" s="49">
        <f t="shared" si="63"/>
        <v>-3.5175879396984966E-2</v>
      </c>
      <c r="BD30" s="433">
        <f t="shared" si="63"/>
        <v>1.3623978201635634E-3</v>
      </c>
      <c r="BE30" s="49">
        <f t="shared" si="63"/>
        <v>4.9723756906077332E-2</v>
      </c>
      <c r="BF30" s="49">
        <f t="shared" si="63"/>
        <v>2.2222222222222143E-2</v>
      </c>
      <c r="BG30" s="49">
        <f t="shared" si="63"/>
        <v>0.15934065934065944</v>
      </c>
      <c r="BH30" s="49">
        <f t="shared" si="63"/>
        <v>0.109375</v>
      </c>
      <c r="BI30" s="433">
        <f t="shared" si="63"/>
        <v>8.5714285714285632E-2</v>
      </c>
      <c r="BJ30" s="49">
        <f t="shared" si="63"/>
        <v>2.6315789473684292E-2</v>
      </c>
      <c r="BK30" s="49">
        <f t="shared" si="63"/>
        <v>0.10869565217391308</v>
      </c>
      <c r="BL30" s="49">
        <f t="shared" si="63"/>
        <v>-7.1090047393364886E-2</v>
      </c>
      <c r="BM30" s="49">
        <f t="shared" si="63"/>
        <v>-4.6948356807511304E-3</v>
      </c>
      <c r="BN30" s="433">
        <f t="shared" si="63"/>
        <v>1.1278195488721776E-2</v>
      </c>
      <c r="BO30" s="49">
        <f t="shared" si="63"/>
        <v>-5.12820512820511E-3</v>
      </c>
      <c r="BP30" s="49">
        <f t="shared" si="63"/>
        <v>-3.9215686274509776E-2</v>
      </c>
      <c r="BQ30" s="49">
        <f t="shared" si="63"/>
        <v>-9.1836734693877542E-2</v>
      </c>
      <c r="BR30" s="49">
        <f t="shared" si="63"/>
        <v>-0.1367924528301887</v>
      </c>
      <c r="BS30" s="433">
        <f t="shared" si="63"/>
        <v>-6.9392812887236643E-2</v>
      </c>
      <c r="BT30" s="701">
        <f>BT27/BO27-1</f>
        <v>-7.2164948453608213E-2</v>
      </c>
      <c r="BU30" s="49">
        <f t="shared" si="63"/>
        <v>-2.5510204081632626E-2</v>
      </c>
      <c r="BV30" s="49">
        <f t="shared" si="63"/>
        <v>0.15730337078651679</v>
      </c>
      <c r="BW30" s="49">
        <f t="shared" si="63"/>
        <v>0.20765027322404372</v>
      </c>
      <c r="BX30" s="433">
        <f t="shared" si="63"/>
        <v>6.2583222370172997E-2</v>
      </c>
      <c r="BY30" s="49">
        <f t="shared" si="63"/>
        <v>3.3333333333333437E-2</v>
      </c>
      <c r="BZ30" s="49">
        <f t="shared" si="63"/>
        <v>0</v>
      </c>
      <c r="CA30" s="49">
        <f t="shared" si="63"/>
        <v>-9.7087378640776656E-3</v>
      </c>
      <c r="CB30" s="49">
        <f>CB27/BW27-1</f>
        <v>1.8099547511312153E-2</v>
      </c>
      <c r="CC30" s="433">
        <f>CC27/BX27-1</f>
        <v>1.0025062656641603E-2</v>
      </c>
      <c r="CD30" s="49">
        <f t="shared" si="63"/>
        <v>7.5268817204301008E-2</v>
      </c>
      <c r="CE30" s="701">
        <f t="shared" si="63"/>
        <v>3.1413612565444948E-2</v>
      </c>
      <c r="CF30" s="49">
        <f t="shared" ref="CF30:CW30" si="64">CF27/CA27-1</f>
        <v>-1.4705882352941124E-2</v>
      </c>
      <c r="CG30" s="49">
        <f t="shared" si="64"/>
        <v>-5.7777777777777817E-2</v>
      </c>
      <c r="CH30" s="433">
        <f t="shared" si="64"/>
        <v>4.9627791563275903E-3</v>
      </c>
      <c r="CI30" s="49">
        <f t="shared" si="64"/>
        <v>2.0000000000000018E-2</v>
      </c>
      <c r="CJ30" s="49">
        <f t="shared" si="64"/>
        <v>0</v>
      </c>
      <c r="CK30" s="49">
        <f t="shared" si="64"/>
        <v>-4.7542443082579489E-2</v>
      </c>
      <c r="CL30" s="49">
        <f t="shared" ca="1" si="64"/>
        <v>5.3822895043244445E-2</v>
      </c>
      <c r="CM30" s="433">
        <f t="shared" ca="1" si="64"/>
        <v>7.2276823328016881E-3</v>
      </c>
      <c r="CN30" s="49">
        <f t="shared" si="64"/>
        <v>5.5008533144319527E-2</v>
      </c>
      <c r="CO30" s="49">
        <f t="shared" si="64"/>
        <v>0.13939095473312402</v>
      </c>
      <c r="CP30" s="49">
        <f t="shared" si="64"/>
        <v>0.12770018542955586</v>
      </c>
      <c r="CQ30" s="49">
        <f t="shared" ca="1" si="64"/>
        <v>7.8952244692020335E-2</v>
      </c>
      <c r="CR30" s="433">
        <f t="shared" ca="1" si="64"/>
        <v>9.899798755986855E-2</v>
      </c>
      <c r="CS30" s="49">
        <f t="shared" si="64"/>
        <v>-1.0708936064723118E-2</v>
      </c>
      <c r="CT30" s="49">
        <f t="shared" si="64"/>
        <v>-8.6136219647664491E-3</v>
      </c>
      <c r="CU30" s="49">
        <f t="shared" si="64"/>
        <v>-1.1516920841339706E-2</v>
      </c>
      <c r="CV30" s="49">
        <f t="shared" ca="1" si="64"/>
        <v>-1.317261219195609E-2</v>
      </c>
      <c r="CW30" s="433">
        <f t="shared" ca="1" si="64"/>
        <v>-1.1041283236962629E-2</v>
      </c>
      <c r="CX30" s="49">
        <f t="shared" ref="CX30:DG30" si="65">CX27/CS27-1</f>
        <v>1.3088933738259589E-2</v>
      </c>
      <c r="CY30" s="49">
        <f t="shared" si="65"/>
        <v>1.3680926696656437E-2</v>
      </c>
      <c r="CZ30" s="49">
        <f t="shared" si="65"/>
        <v>1.4667679634870145E-2</v>
      </c>
      <c r="DA30" s="49">
        <f t="shared" ca="1" si="65"/>
        <v>1.5870527385670297E-2</v>
      </c>
      <c r="DB30" s="433">
        <f t="shared" ca="1" si="65"/>
        <v>1.4363644978646395E-2</v>
      </c>
      <c r="DC30" s="49">
        <f t="shared" si="65"/>
        <v>1.5513816778559786E-2</v>
      </c>
      <c r="DD30" s="49">
        <f t="shared" si="65"/>
        <v>1.5896377817254281E-2</v>
      </c>
      <c r="DE30" s="49">
        <f t="shared" si="65"/>
        <v>1.71650776762311E-2</v>
      </c>
      <c r="DF30" s="49">
        <f t="shared" ca="1" si="65"/>
        <v>1.8377722214298453E-2</v>
      </c>
      <c r="DG30" s="433">
        <f t="shared" ca="1" si="65"/>
        <v>1.6776699143479235E-2</v>
      </c>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row>
    <row r="31" spans="1:226" s="528" customFormat="1" ht="12" hidden="1" customHeight="1" x14ac:dyDescent="0.2">
      <c r="A31" s="528" t="s">
        <v>345</v>
      </c>
      <c r="B31" s="527"/>
      <c r="C31" s="527"/>
      <c r="D31" s="527"/>
      <c r="E31" s="527"/>
      <c r="F31" s="703"/>
      <c r="G31" s="527">
        <v>0</v>
      </c>
      <c r="H31" s="527">
        <v>0</v>
      </c>
      <c r="I31" s="527">
        <v>0</v>
      </c>
      <c r="J31" s="527">
        <v>0</v>
      </c>
      <c r="K31" s="703">
        <f>SUM(G31:J31)</f>
        <v>0</v>
      </c>
      <c r="L31" s="527">
        <v>0</v>
      </c>
      <c r="M31" s="527">
        <v>0</v>
      </c>
      <c r="N31" s="527">
        <v>0</v>
      </c>
      <c r="O31" s="527">
        <v>0</v>
      </c>
      <c r="P31" s="703">
        <f>SUM(L31:O31)</f>
        <v>0</v>
      </c>
      <c r="Q31" s="527">
        <v>0</v>
      </c>
      <c r="R31" s="527">
        <v>0</v>
      </c>
      <c r="S31" s="527">
        <v>0</v>
      </c>
      <c r="T31" s="527">
        <v>0</v>
      </c>
      <c r="U31" s="703">
        <f>SUM(Q31:T31)</f>
        <v>0</v>
      </c>
      <c r="V31" s="527">
        <v>0</v>
      </c>
      <c r="W31" s="527">
        <v>0</v>
      </c>
      <c r="X31" s="527">
        <v>0</v>
      </c>
      <c r="Y31" s="527">
        <v>0</v>
      </c>
      <c r="Z31" s="703">
        <f>SUM(V31:Y31)</f>
        <v>0</v>
      </c>
      <c r="AA31" s="527">
        <v>0</v>
      </c>
      <c r="AB31" s="527">
        <v>0</v>
      </c>
      <c r="AC31" s="527">
        <v>0</v>
      </c>
      <c r="AD31" s="527">
        <v>-36</v>
      </c>
      <c r="AE31" s="703">
        <f>SUM(AA31:AD31)</f>
        <v>-36</v>
      </c>
      <c r="AF31" s="527">
        <v>-3</v>
      </c>
      <c r="AG31" s="527">
        <v>-5</v>
      </c>
      <c r="AH31" s="527">
        <v>-5</v>
      </c>
      <c r="AI31" s="527">
        <v>0</v>
      </c>
      <c r="AJ31" s="703">
        <f>SUM(AF31:AI31)</f>
        <v>-13</v>
      </c>
      <c r="AK31" s="704">
        <v>0</v>
      </c>
      <c r="AL31" s="704">
        <v>0</v>
      </c>
      <c r="AM31" s="704">
        <v>0</v>
      </c>
      <c r="AN31" s="704">
        <v>0</v>
      </c>
      <c r="AO31" s="703">
        <f>SUM(AK31:AN31)</f>
        <v>0</v>
      </c>
      <c r="AP31" s="704">
        <v>0</v>
      </c>
      <c r="AQ31" s="704">
        <v>0</v>
      </c>
      <c r="AR31" s="704">
        <v>-1</v>
      </c>
      <c r="AS31" s="704">
        <v>-1</v>
      </c>
      <c r="AT31" s="703">
        <f>SUM(AP31:AS31)</f>
        <v>-2</v>
      </c>
      <c r="AU31" s="704">
        <v>-1</v>
      </c>
      <c r="AV31" s="704">
        <v>0</v>
      </c>
      <c r="AW31" s="704">
        <v>0</v>
      </c>
      <c r="AX31" s="704">
        <f>AY31-SUM(AU31:AW31)</f>
        <v>-1</v>
      </c>
      <c r="AY31" s="703">
        <v>-2</v>
      </c>
      <c r="AZ31" s="704">
        <f>BD31/4</f>
        <v>-2.5</v>
      </c>
      <c r="BA31" s="584">
        <f>BD31/4</f>
        <v>-2.5</v>
      </c>
      <c r="BB31" s="584">
        <f>BD31/4</f>
        <v>-2.5</v>
      </c>
      <c r="BC31" s="203">
        <f>BD31-SUM(AZ31:BB31)</f>
        <v>-2.5</v>
      </c>
      <c r="BD31" s="714">
        <v>-10</v>
      </c>
      <c r="BE31" s="584">
        <f>BI31/4</f>
        <v>-2.5</v>
      </c>
      <c r="BF31" s="584">
        <f>BI31/4</f>
        <v>-2.5</v>
      </c>
      <c r="BG31" s="584">
        <f>BI31/4</f>
        <v>-2.5</v>
      </c>
      <c r="BH31" s="203">
        <f>BI31-SUM(BE31:BG31)</f>
        <v>-2.5</v>
      </c>
      <c r="BI31" s="714">
        <v>-10</v>
      </c>
      <c r="BJ31" s="715">
        <f>BN31/4</f>
        <v>-2.5</v>
      </c>
      <c r="BK31" s="584">
        <f>BN31/4</f>
        <v>-2.5</v>
      </c>
      <c r="BL31" s="584">
        <f>BN31/4</f>
        <v>-2.5</v>
      </c>
      <c r="BM31" s="203">
        <f>BN31-SUM(BJ31:BL31)</f>
        <v>-2.5</v>
      </c>
      <c r="BN31" s="714">
        <v>-10</v>
      </c>
      <c r="BO31" s="529">
        <f>BS31/4</f>
        <v>0</v>
      </c>
      <c r="BP31" s="529">
        <f>BS31/4</f>
        <v>0</v>
      </c>
      <c r="BQ31" s="529">
        <f>BS31/4</f>
        <v>0</v>
      </c>
      <c r="BR31" s="529">
        <f>BS31-SUM(BO31:BQ31)</f>
        <v>0</v>
      </c>
      <c r="BS31" s="530">
        <v>0</v>
      </c>
      <c r="BT31" s="716">
        <f>BX31/4</f>
        <v>0</v>
      </c>
      <c r="BU31" s="529">
        <f>BX31/4</f>
        <v>0</v>
      </c>
      <c r="BV31" s="529">
        <f>BX31/4</f>
        <v>0</v>
      </c>
      <c r="BW31" s="531">
        <f>BX31-SUM(BT31:BV31)</f>
        <v>0</v>
      </c>
      <c r="BX31" s="530">
        <v>0</v>
      </c>
      <c r="BY31" s="529">
        <f>CC31/4</f>
        <v>0</v>
      </c>
      <c r="BZ31" s="529">
        <f>CC31/4</f>
        <v>0</v>
      </c>
      <c r="CA31" s="529">
        <f>CC31/4</f>
        <v>0</v>
      </c>
      <c r="CB31" s="531">
        <f>CC31-SUM(BY31:CA31)</f>
        <v>0</v>
      </c>
      <c r="CC31" s="530">
        <v>0</v>
      </c>
      <c r="CD31" s="529">
        <f>CH31/4</f>
        <v>0</v>
      </c>
      <c r="CE31" s="716">
        <f>CH31/4</f>
        <v>0</v>
      </c>
      <c r="CF31" s="529">
        <f>CH31/4</f>
        <v>0</v>
      </c>
      <c r="CG31" s="531">
        <f>CH31-SUM(CD31:CF31)</f>
        <v>0</v>
      </c>
      <c r="CH31" s="530">
        <v>0</v>
      </c>
      <c r="CI31" s="531">
        <f>CJ31-SUM(CF31:CH31)</f>
        <v>0</v>
      </c>
      <c r="CJ31" s="529">
        <f>CM31/4</f>
        <v>0</v>
      </c>
      <c r="CK31" s="529">
        <f>CM31/4</f>
        <v>0</v>
      </c>
      <c r="CL31" s="531">
        <f>CM31-SUM(CI31:CK31)</f>
        <v>0</v>
      </c>
      <c r="CM31" s="530">
        <v>0</v>
      </c>
      <c r="CN31" s="529">
        <f>CR31/4</f>
        <v>0</v>
      </c>
      <c r="CO31" s="529">
        <f>CR31/4</f>
        <v>0</v>
      </c>
      <c r="CP31" s="529">
        <f>CR31/4</f>
        <v>0</v>
      </c>
      <c r="CQ31" s="531">
        <f>CR31-SUM(CN31:CP31)</f>
        <v>0</v>
      </c>
      <c r="CR31" s="530">
        <v>0</v>
      </c>
      <c r="CS31" s="529">
        <f>CW31/4</f>
        <v>0</v>
      </c>
      <c r="CT31" s="529">
        <f>CW31/4</f>
        <v>0</v>
      </c>
      <c r="CU31" s="529">
        <f>CW31/4</f>
        <v>0</v>
      </c>
      <c r="CV31" s="531">
        <f>CW31-CU31-CT31-CS31</f>
        <v>0</v>
      </c>
      <c r="CW31" s="530">
        <v>0</v>
      </c>
      <c r="CX31" s="529">
        <f>DB31/4</f>
        <v>0</v>
      </c>
      <c r="CY31" s="529">
        <f>DB31/4</f>
        <v>0</v>
      </c>
      <c r="CZ31" s="529">
        <f>DB31/4</f>
        <v>0</v>
      </c>
      <c r="DA31" s="531">
        <f>DB31-CZ31-CY31-CX31</f>
        <v>0</v>
      </c>
      <c r="DB31" s="530">
        <v>0</v>
      </c>
      <c r="DC31" s="529">
        <f>DG31/4</f>
        <v>0</v>
      </c>
      <c r="DD31" s="529">
        <f>DG31/4</f>
        <v>0</v>
      </c>
      <c r="DE31" s="529">
        <f>DG31/4</f>
        <v>0</v>
      </c>
      <c r="DF31" s="531">
        <f>DG31-DE31-DD31-DC31</f>
        <v>0</v>
      </c>
      <c r="DG31" s="530">
        <v>0</v>
      </c>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row>
    <row r="32" spans="1:226" s="36" customFormat="1" ht="4.5" customHeight="1" x14ac:dyDescent="0.2">
      <c r="B32" s="49"/>
      <c r="C32" s="49"/>
      <c r="D32" s="49"/>
      <c r="E32" s="49"/>
      <c r="F32" s="433"/>
      <c r="G32" s="49"/>
      <c r="H32" s="49"/>
      <c r="I32" s="49"/>
      <c r="J32" s="49"/>
      <c r="K32" s="433"/>
      <c r="L32" s="49"/>
      <c r="M32" s="49"/>
      <c r="N32" s="49"/>
      <c r="O32" s="49"/>
      <c r="P32" s="433"/>
      <c r="Q32" s="49"/>
      <c r="R32" s="49"/>
      <c r="S32" s="49"/>
      <c r="T32" s="49"/>
      <c r="U32" s="433"/>
      <c r="V32" s="49"/>
      <c r="W32" s="49"/>
      <c r="X32" s="49"/>
      <c r="Y32" s="49"/>
      <c r="Z32" s="433"/>
      <c r="AA32" s="49"/>
      <c r="AB32" s="49"/>
      <c r="AC32" s="49"/>
      <c r="AD32" s="49"/>
      <c r="AE32" s="433"/>
      <c r="AF32" s="49"/>
      <c r="AG32" s="49"/>
      <c r="AH32" s="49"/>
      <c r="AI32" s="49"/>
      <c r="AJ32" s="433"/>
      <c r="AK32" s="132"/>
      <c r="AL32" s="132"/>
      <c r="AM32" s="132"/>
      <c r="AN32" s="132"/>
      <c r="AO32" s="717"/>
      <c r="AP32" s="132"/>
      <c r="AQ32" s="132"/>
      <c r="AR32" s="132"/>
      <c r="AS32" s="132"/>
      <c r="AT32" s="717"/>
      <c r="AU32" s="132"/>
      <c r="AV32" s="132"/>
      <c r="AW32" s="132"/>
      <c r="AX32" s="49"/>
      <c r="AY32" s="433"/>
      <c r="AZ32" s="49"/>
      <c r="BA32" s="49"/>
      <c r="BB32" s="49"/>
      <c r="BC32" s="49"/>
      <c r="BD32" s="433"/>
      <c r="BE32" s="49"/>
      <c r="BF32" s="49"/>
      <c r="BG32" s="49"/>
      <c r="BH32" s="49"/>
      <c r="BI32" s="433"/>
      <c r="BJ32" s="49"/>
      <c r="BK32" s="49"/>
      <c r="BL32" s="49"/>
      <c r="BM32" s="49"/>
      <c r="BN32" s="433"/>
      <c r="BO32" s="49"/>
      <c r="BP32" s="49"/>
      <c r="BQ32" s="49"/>
      <c r="BR32" s="49"/>
      <c r="BS32" s="433"/>
      <c r="BT32" s="701"/>
      <c r="BU32" s="49"/>
      <c r="BV32" s="49"/>
      <c r="BW32" s="49"/>
      <c r="BX32" s="433"/>
      <c r="BY32" s="49"/>
      <c r="BZ32" s="49"/>
      <c r="CA32" s="49"/>
      <c r="CB32" s="49"/>
      <c r="CC32" s="433"/>
      <c r="CD32" s="49"/>
      <c r="CE32" s="701"/>
      <c r="CF32" s="49"/>
      <c r="CG32" s="49"/>
      <c r="CH32" s="433"/>
      <c r="CI32" s="49"/>
      <c r="CJ32" s="49"/>
      <c r="CK32" s="49"/>
      <c r="CL32" s="49"/>
      <c r="CM32" s="433"/>
      <c r="CN32" s="49"/>
      <c r="CO32" s="49"/>
      <c r="CP32" s="49"/>
      <c r="CQ32" s="49"/>
      <c r="CR32" s="433"/>
      <c r="CS32" s="49"/>
      <c r="CT32" s="49"/>
      <c r="CU32" s="49"/>
      <c r="CV32" s="49"/>
      <c r="CW32" s="435"/>
      <c r="CX32" s="49"/>
      <c r="CY32" s="49"/>
      <c r="CZ32" s="49"/>
      <c r="DA32" s="49"/>
      <c r="DB32" s="435"/>
      <c r="DC32" s="49"/>
      <c r="DD32" s="49"/>
      <c r="DE32" s="49"/>
      <c r="DF32" s="49"/>
      <c r="DG32" s="435"/>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EW32"/>
      <c r="EX32"/>
      <c r="EY32"/>
      <c r="EZ32"/>
      <c r="FA32"/>
      <c r="FB32"/>
      <c r="FC32"/>
      <c r="FD32"/>
      <c r="FE32"/>
      <c r="FF32"/>
      <c r="FG32"/>
      <c r="FH32"/>
      <c r="FI32"/>
      <c r="FJ32"/>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c r="HB32"/>
      <c r="HC32"/>
      <c r="HD32"/>
      <c r="HE32"/>
      <c r="HF32"/>
      <c r="HG32"/>
      <c r="HH32"/>
      <c r="HI32"/>
      <c r="HJ32"/>
      <c r="HK32"/>
      <c r="HL32"/>
      <c r="HM32"/>
      <c r="HN32"/>
      <c r="HO32"/>
      <c r="HP32"/>
      <c r="HQ32"/>
      <c r="HR32"/>
    </row>
    <row r="33" spans="1:226" s="35" customFormat="1" ht="12" hidden="1" customHeight="1" outlineLevel="1" x14ac:dyDescent="0.2">
      <c r="A33" s="35" t="s">
        <v>130</v>
      </c>
      <c r="B33" s="35">
        <f t="shared" ref="B33:AO33" si="66">B27-B31</f>
        <v>-134</v>
      </c>
      <c r="C33" s="35">
        <f t="shared" si="66"/>
        <v>-138</v>
      </c>
      <c r="D33" s="35">
        <f t="shared" si="66"/>
        <v>-113</v>
      </c>
      <c r="E33" s="35">
        <f t="shared" si="66"/>
        <v>-131</v>
      </c>
      <c r="F33" s="435">
        <f t="shared" si="66"/>
        <v>-516</v>
      </c>
      <c r="G33" s="35">
        <f t="shared" si="66"/>
        <v>-131</v>
      </c>
      <c r="H33" s="35">
        <f t="shared" si="66"/>
        <v>-133</v>
      </c>
      <c r="I33" s="35">
        <f t="shared" si="66"/>
        <v>-140</v>
      </c>
      <c r="J33" s="35">
        <f t="shared" si="66"/>
        <v>-122</v>
      </c>
      <c r="K33" s="435">
        <f t="shared" si="66"/>
        <v>-526</v>
      </c>
      <c r="L33" s="35">
        <f t="shared" si="66"/>
        <v>-116</v>
      </c>
      <c r="M33" s="35">
        <f t="shared" si="66"/>
        <v>-131</v>
      </c>
      <c r="N33" s="35">
        <f t="shared" si="66"/>
        <v>-150</v>
      </c>
      <c r="O33" s="35">
        <f t="shared" si="66"/>
        <v>-135</v>
      </c>
      <c r="P33" s="435">
        <f t="shared" si="66"/>
        <v>-532</v>
      </c>
      <c r="Q33" s="35">
        <f t="shared" si="66"/>
        <v>-119</v>
      </c>
      <c r="R33" s="35">
        <f t="shared" si="66"/>
        <v>-127</v>
      </c>
      <c r="S33" s="35">
        <f t="shared" si="66"/>
        <v>-162</v>
      </c>
      <c r="T33" s="35">
        <f t="shared" si="66"/>
        <v>-135</v>
      </c>
      <c r="U33" s="435">
        <f t="shared" si="66"/>
        <v>-543</v>
      </c>
      <c r="V33" s="35">
        <f t="shared" si="66"/>
        <v>-130</v>
      </c>
      <c r="W33" s="35">
        <f t="shared" si="66"/>
        <v>-134</v>
      </c>
      <c r="X33" s="35">
        <f t="shared" si="66"/>
        <v>-139</v>
      </c>
      <c r="Y33" s="35">
        <f t="shared" si="66"/>
        <v>-148</v>
      </c>
      <c r="Z33" s="435">
        <f t="shared" si="66"/>
        <v>-551</v>
      </c>
      <c r="AA33" s="35">
        <f t="shared" si="66"/>
        <v>-144</v>
      </c>
      <c r="AB33" s="35">
        <f t="shared" si="66"/>
        <v>-161</v>
      </c>
      <c r="AC33" s="35">
        <f t="shared" si="66"/>
        <v>-140</v>
      </c>
      <c r="AD33" s="35">
        <f t="shared" si="66"/>
        <v>-150</v>
      </c>
      <c r="AE33" s="435">
        <f t="shared" si="66"/>
        <v>-595</v>
      </c>
      <c r="AF33" s="35">
        <f t="shared" si="66"/>
        <v>-150</v>
      </c>
      <c r="AG33" s="35">
        <f t="shared" si="66"/>
        <v>-157</v>
      </c>
      <c r="AH33" s="35">
        <f t="shared" si="66"/>
        <v>-157</v>
      </c>
      <c r="AI33" s="35">
        <f t="shared" si="66"/>
        <v>-165</v>
      </c>
      <c r="AJ33" s="435">
        <f t="shared" si="66"/>
        <v>-629</v>
      </c>
      <c r="AK33" s="35">
        <f t="shared" si="66"/>
        <v>-155</v>
      </c>
      <c r="AL33" s="35">
        <f t="shared" si="66"/>
        <v>-168</v>
      </c>
      <c r="AM33" s="35">
        <f t="shared" si="66"/>
        <v>-182</v>
      </c>
      <c r="AN33" s="35">
        <f t="shared" si="66"/>
        <v>-185</v>
      </c>
      <c r="AO33" s="435">
        <f t="shared" si="66"/>
        <v>-690</v>
      </c>
      <c r="AP33" s="35">
        <f>AP27-AP31</f>
        <v>-184</v>
      </c>
      <c r="AQ33" s="35">
        <f>AQ27-AQ31</f>
        <v>-172</v>
      </c>
      <c r="AR33" s="35">
        <f>AR27-AR31</f>
        <v>-173</v>
      </c>
      <c r="AS33" s="35">
        <f>AS27-AS31</f>
        <v>-184</v>
      </c>
      <c r="AT33" s="435">
        <f>SUM(AP33:AS33)</f>
        <v>-713</v>
      </c>
      <c r="AU33" s="35">
        <f>AU27-AU31</f>
        <v>-171</v>
      </c>
      <c r="AV33" s="35">
        <f>AV27-AV31</f>
        <v>-185</v>
      </c>
      <c r="AW33" s="35">
        <f>AW27-AW31</f>
        <v>-178</v>
      </c>
      <c r="AX33" s="35">
        <f>AX27-AX31</f>
        <v>-198</v>
      </c>
      <c r="AY33" s="435">
        <f>SUM(AU33:AX33)</f>
        <v>-732</v>
      </c>
      <c r="AZ33" s="35">
        <f>AZ27-AZ31</f>
        <v>-178.5</v>
      </c>
      <c r="BA33" s="35">
        <f>BA27-BA31</f>
        <v>-177.5</v>
      </c>
      <c r="BB33" s="35">
        <f>BB27-BB31</f>
        <v>-179.5</v>
      </c>
      <c r="BC33" s="35">
        <f>BC27-BC31</f>
        <v>-189.5</v>
      </c>
      <c r="BD33" s="435">
        <f>SUM(AZ33:BC33)</f>
        <v>-725</v>
      </c>
      <c r="BE33" s="35">
        <f>BE27-BE31</f>
        <v>-187.5</v>
      </c>
      <c r="BF33" s="35">
        <f>BF27-BF31</f>
        <v>-181.5</v>
      </c>
      <c r="BG33" s="35">
        <f>BG27-BG31</f>
        <v>-208.5</v>
      </c>
      <c r="BH33" s="35">
        <f>BH27-BH31</f>
        <v>-210.5</v>
      </c>
      <c r="BI33" s="435">
        <f>SUM(BE33:BH33)</f>
        <v>-788</v>
      </c>
      <c r="BJ33" s="35">
        <f>BJ27-BJ31</f>
        <v>-192.5</v>
      </c>
      <c r="BK33" s="35">
        <f>BK27-BK31</f>
        <v>-201.5</v>
      </c>
      <c r="BL33" s="35">
        <f>BL27-BL31</f>
        <v>-193.5</v>
      </c>
      <c r="BM33" s="35">
        <f>BM27-BM31</f>
        <v>-209.5</v>
      </c>
      <c r="BN33" s="435">
        <f>SUM(BJ33:BM33)</f>
        <v>-797</v>
      </c>
      <c r="BO33" s="35">
        <f>BO27-BO31</f>
        <v>-194</v>
      </c>
      <c r="BP33" s="35">
        <f>BP27-BP31</f>
        <v>-196</v>
      </c>
      <c r="BQ33" s="35">
        <f>BQ27-BQ31</f>
        <v>-178</v>
      </c>
      <c r="BR33" s="35">
        <f>BR27-BR31</f>
        <v>-183</v>
      </c>
      <c r="BS33" s="435">
        <f>SUM(BO33:BR33)</f>
        <v>-751</v>
      </c>
      <c r="BT33" s="624">
        <f>BT27-BT31</f>
        <v>-180</v>
      </c>
      <c r="BU33" s="35">
        <f>BU27-BU31</f>
        <v>-191</v>
      </c>
      <c r="BV33" s="35">
        <f>BV27-BV31</f>
        <v>-206</v>
      </c>
      <c r="BW33" s="35">
        <f>BW27-BW31</f>
        <v>-221</v>
      </c>
      <c r="BX33" s="435">
        <f>SUM(BT33:BW33)</f>
        <v>-798</v>
      </c>
      <c r="BY33" s="35">
        <f>BY27-BY31</f>
        <v>-186</v>
      </c>
      <c r="BZ33" s="35">
        <f>BZ27-BZ31</f>
        <v>-191</v>
      </c>
      <c r="CA33" s="35">
        <f>CA27-CA31</f>
        <v>-204</v>
      </c>
      <c r="CB33" s="35">
        <f>CB27-CB31</f>
        <v>-225</v>
      </c>
      <c r="CC33" s="435">
        <f>SUM(BY33:CB33)</f>
        <v>-806</v>
      </c>
      <c r="CD33" s="35">
        <f>CD27-CD31</f>
        <v>-200</v>
      </c>
      <c r="CE33" s="624">
        <f>CE27-CE31</f>
        <v>-197</v>
      </c>
      <c r="CF33" s="35">
        <f>CF27-CF31</f>
        <v>-201</v>
      </c>
      <c r="CG33" s="35">
        <f>CG27-CG31</f>
        <v>-212</v>
      </c>
      <c r="CH33" s="435">
        <f>SUM(CD33:CG33)</f>
        <v>-810</v>
      </c>
      <c r="CI33" s="35">
        <f>CI27-CI31</f>
        <v>-204</v>
      </c>
      <c r="CJ33" s="35">
        <f>CJ27-CJ31</f>
        <v>-197</v>
      </c>
      <c r="CK33" s="35">
        <f>CK27-CK31</f>
        <v>-191.44396894040153</v>
      </c>
      <c r="CL33" s="35">
        <f ca="1">CL27-CL31</f>
        <v>-223.4104537491678</v>
      </c>
      <c r="CM33" s="435">
        <f ca="1">SUM(CI33:CL33)</f>
        <v>-815.85442268956933</v>
      </c>
      <c r="CN33" s="35">
        <f>CN27-CN31</f>
        <v>-215.2217407614412</v>
      </c>
      <c r="CO33" s="35">
        <f>CO27-CO31</f>
        <v>-224.46001808242545</v>
      </c>
      <c r="CP33" s="35">
        <f>CP27-CP31</f>
        <v>-215.89139927346093</v>
      </c>
      <c r="CQ33" s="35">
        <f ca="1">CQ27-CQ31</f>
        <v>-241.04921056032737</v>
      </c>
      <c r="CR33" s="435">
        <f ca="1">SUM(CN33:CQ33)</f>
        <v>-896.622368677655</v>
      </c>
      <c r="CS33" s="35">
        <f>CS27-CS31</f>
        <v>-212.91694489988851</v>
      </c>
      <c r="CT33" s="35">
        <f>CT27-CT31</f>
        <v>-222.52660434045879</v>
      </c>
      <c r="CU33" s="35">
        <f>CU27-CU31</f>
        <v>-213.40499511770241</v>
      </c>
      <c r="CV33" s="35">
        <f ca="1">CV27-CV31</f>
        <v>-237.87396279043901</v>
      </c>
      <c r="CW33" s="435">
        <f ca="1">SUM(CS33:CV33)</f>
        <v>-886.72250714848872</v>
      </c>
      <c r="CX33" s="35">
        <f>CX27-CX31</f>
        <v>-215.70380068343582</v>
      </c>
      <c r="CY33" s="35">
        <f>CY27-CY31</f>
        <v>-225.57097450249645</v>
      </c>
      <c r="CZ33" s="35">
        <f>CZ27-CZ31</f>
        <v>-216.53515121856989</v>
      </c>
      <c r="DA33" s="35">
        <f ca="1">DA27-DA31</f>
        <v>-241.64914803124259</v>
      </c>
      <c r="DB33" s="435">
        <f ca="1">SUM(CX33:DA33)</f>
        <v>-899.45907443574481</v>
      </c>
      <c r="DC33" s="35">
        <f>DC27-DC31</f>
        <v>-219.05018992567761</v>
      </c>
      <c r="DD33" s="35">
        <f>DD27-DD31</f>
        <v>-229.15673593779439</v>
      </c>
      <c r="DE33" s="35">
        <f>DE27-DE31</f>
        <v>-220.2519939088711</v>
      </c>
      <c r="DF33" s="35">
        <f ca="1">DF27-DF31</f>
        <v>-246.09010894708263</v>
      </c>
      <c r="DG33" s="435">
        <f ca="1">SUM(DC33:DF33)</f>
        <v>-914.54902871942568</v>
      </c>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EW33"/>
      <c r="EX33"/>
      <c r="EY33"/>
      <c r="EZ33"/>
      <c r="FA33"/>
      <c r="FB33"/>
      <c r="FC33"/>
      <c r="FD33"/>
      <c r="FE33"/>
      <c r="FF33"/>
      <c r="FG33"/>
      <c r="FH33"/>
      <c r="FI33"/>
      <c r="FJ33"/>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c r="HB33"/>
      <c r="HC33"/>
      <c r="HD33"/>
      <c r="HE33"/>
      <c r="HF33"/>
      <c r="HG33"/>
      <c r="HH33"/>
      <c r="HI33"/>
      <c r="HJ33"/>
      <c r="HK33"/>
      <c r="HL33"/>
      <c r="HM33"/>
      <c r="HN33"/>
      <c r="HO33"/>
      <c r="HP33"/>
      <c r="HQ33"/>
      <c r="HR33"/>
    </row>
    <row r="34" spans="1:226" s="36" customFormat="1" ht="12" hidden="1" customHeight="1" outlineLevel="1" x14ac:dyDescent="0.2">
      <c r="A34" s="36" t="s">
        <v>23</v>
      </c>
      <c r="B34" s="700">
        <f t="shared" ref="B34:W34" si="67">-B33/B7</f>
        <v>0.1391484942886812</v>
      </c>
      <c r="C34" s="700">
        <f t="shared" si="67"/>
        <v>0.15753424657534246</v>
      </c>
      <c r="D34" s="700">
        <f t="shared" si="67"/>
        <v>0.11746361746361747</v>
      </c>
      <c r="E34" s="700">
        <f t="shared" si="67"/>
        <v>0.11887477313974591</v>
      </c>
      <c r="F34" s="713">
        <f t="shared" si="67"/>
        <v>0.13220599538816294</v>
      </c>
      <c r="G34" s="700">
        <f t="shared" si="67"/>
        <v>0.133130081300813</v>
      </c>
      <c r="H34" s="700">
        <f t="shared" si="67"/>
        <v>0.14994363021420518</v>
      </c>
      <c r="I34" s="700">
        <f t="shared" si="67"/>
        <v>0.13685239491691104</v>
      </c>
      <c r="J34" s="700">
        <f t="shared" si="67"/>
        <v>0.10815602836879433</v>
      </c>
      <c r="K34" s="713">
        <f t="shared" si="67"/>
        <v>0.13078070611636003</v>
      </c>
      <c r="L34" s="700">
        <f t="shared" si="67"/>
        <v>0.11079274116523401</v>
      </c>
      <c r="M34" s="700">
        <f t="shared" si="67"/>
        <v>0.14146868250539957</v>
      </c>
      <c r="N34" s="700">
        <f t="shared" si="67"/>
        <v>0.14720314033366044</v>
      </c>
      <c r="O34" s="700">
        <f t="shared" si="67"/>
        <v>0.1171875</v>
      </c>
      <c r="P34" s="713">
        <f t="shared" si="67"/>
        <v>0.12837837837837837</v>
      </c>
      <c r="Q34" s="700">
        <f t="shared" si="67"/>
        <v>0.11829025844930417</v>
      </c>
      <c r="R34" s="700">
        <f t="shared" si="67"/>
        <v>0.13804347826086957</v>
      </c>
      <c r="S34" s="700">
        <f t="shared" si="67"/>
        <v>0.15413891531874405</v>
      </c>
      <c r="T34" s="700">
        <f t="shared" si="67"/>
        <v>0.11392405063291139</v>
      </c>
      <c r="U34" s="713">
        <f t="shared" si="67"/>
        <v>0.13046612205670352</v>
      </c>
      <c r="V34" s="700">
        <f t="shared" si="67"/>
        <v>0.12404580152671756</v>
      </c>
      <c r="W34" s="700">
        <f t="shared" si="67"/>
        <v>0.13400000000000001</v>
      </c>
      <c r="X34" s="700">
        <f t="shared" ref="X34:AV34" si="68">-X33/X7</f>
        <v>0.1279926335174954</v>
      </c>
      <c r="Y34" s="700">
        <f t="shared" si="68"/>
        <v>0.11802232854864433</v>
      </c>
      <c r="Z34" s="713">
        <f t="shared" si="68"/>
        <v>0.1255697356426618</v>
      </c>
      <c r="AA34" s="700">
        <f t="shared" si="68"/>
        <v>0.13043478260869565</v>
      </c>
      <c r="AB34" s="700">
        <f t="shared" si="68"/>
        <v>0.15131578947368421</v>
      </c>
      <c r="AC34" s="700">
        <f t="shared" si="68"/>
        <v>0.12100259291270528</v>
      </c>
      <c r="AD34" s="700">
        <f t="shared" si="68"/>
        <v>0.11372251705837756</v>
      </c>
      <c r="AE34" s="713">
        <f t="shared" si="68"/>
        <v>0.12812230835486649</v>
      </c>
      <c r="AF34" s="700">
        <f t="shared" si="68"/>
        <v>0.12919896640826872</v>
      </c>
      <c r="AG34" s="700">
        <f t="shared" si="68"/>
        <v>0.14259763851044505</v>
      </c>
      <c r="AH34" s="700">
        <f t="shared" si="68"/>
        <v>0.12651087832393232</v>
      </c>
      <c r="AI34" s="700">
        <f t="shared" si="68"/>
        <v>0.12276785714285714</v>
      </c>
      <c r="AJ34" s="713">
        <f t="shared" si="68"/>
        <v>0.12977099236641221</v>
      </c>
      <c r="AK34" s="700">
        <f t="shared" si="68"/>
        <v>0.12510088781275222</v>
      </c>
      <c r="AL34" s="700">
        <f t="shared" si="68"/>
        <v>0.14165261382799327</v>
      </c>
      <c r="AM34" s="700">
        <f t="shared" si="68"/>
        <v>0.13451589061345159</v>
      </c>
      <c r="AN34" s="700">
        <f t="shared" si="68"/>
        <v>0.12374581939799331</v>
      </c>
      <c r="AO34" s="713">
        <f t="shared" si="68"/>
        <v>0.13085530058790062</v>
      </c>
      <c r="AP34" s="700">
        <f t="shared" si="68"/>
        <v>0.13294797687861271</v>
      </c>
      <c r="AQ34" s="700">
        <f t="shared" si="68"/>
        <v>0.14144736842105263</v>
      </c>
      <c r="AR34" s="700">
        <f t="shared" si="68"/>
        <v>0.12814814814814815</v>
      </c>
      <c r="AS34" s="700">
        <f t="shared" si="68"/>
        <v>0.12266666666666666</v>
      </c>
      <c r="AT34" s="713">
        <f t="shared" si="68"/>
        <v>0.13082568807339451</v>
      </c>
      <c r="AU34" s="700">
        <f t="shared" si="68"/>
        <v>0.13123561013046814</v>
      </c>
      <c r="AV34" s="700">
        <f t="shared" si="68"/>
        <v>0.15226337448559671</v>
      </c>
      <c r="AW34" s="700">
        <f ca="1">AR34+(AW35*0.0001)</f>
        <v>0.1383061383061383</v>
      </c>
      <c r="AX34" s="700">
        <f ca="1">AS34+(AX35*0.0001)</f>
        <v>0.13855843247025892</v>
      </c>
      <c r="AY34" s="713">
        <f>-AY33/AY7</f>
        <v>0.13985479556744365</v>
      </c>
      <c r="AZ34" s="700">
        <f ca="1">AU34+(AZ35*0.0001)</f>
        <v>0.14099526066350712</v>
      </c>
      <c r="BA34" s="700">
        <f ca="1">AV34+(BA35*0.0001)</f>
        <v>0.15055131467345209</v>
      </c>
      <c r="BB34" s="700">
        <f ca="1">AW34+(BB35*0.0001)</f>
        <v>0.13765337423312884</v>
      </c>
      <c r="BC34" s="700">
        <f ca="1">AX34+(BC35*0.0001)</f>
        <v>0.12786774628879893</v>
      </c>
      <c r="BD34" s="713">
        <f>-BD33/BD7</f>
        <v>0.1385968266105907</v>
      </c>
      <c r="BE34" s="700">
        <f ca="1">AZ34+(BE35*0.0001)</f>
        <v>0.14367816091954022</v>
      </c>
      <c r="BF34" s="700">
        <f ca="1">BA34+(BF35*0.0001)</f>
        <v>0.14864864864864866</v>
      </c>
      <c r="BG34" s="700">
        <f ca="1">BB34+(BG35*0.0001)</f>
        <v>0.14882226980728053</v>
      </c>
      <c r="BH34" s="700">
        <f ca="1">BC34+(BH35*0.0001)</f>
        <v>0.13659961064243997</v>
      </c>
      <c r="BI34" s="713">
        <f>-BI33/BI7</f>
        <v>0.14411119239209949</v>
      </c>
      <c r="BJ34" s="700">
        <f ca="1">BE34+(BJ35*0.0001)</f>
        <v>0.14387144992526157</v>
      </c>
      <c r="BK34" s="700">
        <f ca="1">BF34+(BK35*0.0001)</f>
        <v>0.1520754716981132</v>
      </c>
      <c r="BL34" s="700">
        <f ca="1">BG34+(BL35*0.0001)</f>
        <v>0.13694267515923567</v>
      </c>
      <c r="BM34" s="700">
        <f ca="1">BH34+(BM35*0.0001)</f>
        <v>0.13542340012928247</v>
      </c>
      <c r="BN34" s="713">
        <f>-BN33/BN7</f>
        <v>0.14173928507913924</v>
      </c>
      <c r="BO34" s="700">
        <f>-BO33/BO7</f>
        <v>0.14445271779597915</v>
      </c>
      <c r="BP34" s="700">
        <f ca="1">BK34+(BP35*0.0001)</f>
        <v>0.14984709480122324</v>
      </c>
      <c r="BQ34" s="700">
        <f ca="1">BL34+(BQ35*0.0001)</f>
        <v>0.13030746705710103</v>
      </c>
      <c r="BR34" s="700">
        <f ca="1">BM34+(BR35*0.0001)</f>
        <v>0.12224448897795591</v>
      </c>
      <c r="BS34" s="713">
        <f>-BS33/BS7</f>
        <v>0.1361987667754806</v>
      </c>
      <c r="BT34" s="718">
        <f ca="1">BO34+(BT35*0.0001)</f>
        <v>0.14921332435538001</v>
      </c>
      <c r="BU34" s="700">
        <f ca="1">BP34+(BU35*0.0001)</f>
        <v>0.1546077013606241</v>
      </c>
      <c r="BV34" s="700">
        <f ca="1">BQ34+(BV35*0.0001)</f>
        <v>0.13506807361650189</v>
      </c>
      <c r="BW34" s="700">
        <f ca="1">BR34+(BW35*0.0001)</f>
        <v>0.12700509553735678</v>
      </c>
      <c r="BX34" s="713">
        <f>-BX33/BX7</f>
        <v>0.14111405835543767</v>
      </c>
      <c r="BY34" s="700">
        <f ca="1">BT34+(BY35*0.0001)</f>
        <v>0.15397393091478087</v>
      </c>
      <c r="BZ34" s="700">
        <f ca="1">BU34+(BZ35*0.0001)</f>
        <v>0.15936830792002496</v>
      </c>
      <c r="CA34" s="700">
        <f ca="1">BV34+(CA35*0.0001)</f>
        <v>0.13982868017590275</v>
      </c>
      <c r="CB34" s="700">
        <f ca="1">BW34+(CB35*0.0001)</f>
        <v>0.13176570209675764</v>
      </c>
      <c r="CC34" s="713">
        <f>-CC33/CC7</f>
        <v>0.13990626627321645</v>
      </c>
      <c r="CD34" s="146">
        <f ca="1">BY34+(CD35*0.0001)</f>
        <v>0.15873453747418173</v>
      </c>
      <c r="CE34" s="787">
        <f ca="1">BZ34+(CE35*0.0001)</f>
        <v>0.16412891447942582</v>
      </c>
      <c r="CF34" s="146">
        <f ca="1">CA34+(CF35*0.0001)</f>
        <v>0.14458928673530361</v>
      </c>
      <c r="CG34" s="146">
        <f ca="1">CB34+(CG35*0.0001)</f>
        <v>0.1365263086561585</v>
      </c>
      <c r="CH34" s="440">
        <f>-CH33/CH7</f>
        <v>0.13561024610748368</v>
      </c>
      <c r="CI34" s="146">
        <f ca="1">CD34+(CI35*0.0001)</f>
        <v>0.16349514403358259</v>
      </c>
      <c r="CJ34" s="146">
        <f ca="1">CE34+(CJ35*0.0001)</f>
        <v>0.16888952103882668</v>
      </c>
      <c r="CK34" s="146">
        <f ca="1">CF34+(CK35*0.0001)</f>
        <v>0.14934989329470447</v>
      </c>
      <c r="CL34" s="146">
        <f ca="1">CG34+(CL35*0.0001)</f>
        <v>0.14128691521555936</v>
      </c>
      <c r="CM34" s="440">
        <f ca="1">-CM33/CM7</f>
        <v>0.13247364160534142</v>
      </c>
      <c r="CN34" s="146">
        <f ca="1">CI34+(CN35*0.0001)</f>
        <v>0.16825575059298345</v>
      </c>
      <c r="CO34" s="146">
        <f ca="1">CJ34+(CO35*0.0001)</f>
        <v>0.17365012759822754</v>
      </c>
      <c r="CP34" s="146">
        <f ca="1">CK34+(CP35*0.0001)</f>
        <v>0.15411049985410533</v>
      </c>
      <c r="CQ34" s="146">
        <f ca="1">CL34+(CQ35*0.0001)</f>
        <v>0.14604752177496022</v>
      </c>
      <c r="CR34" s="440">
        <f ca="1">-CR33/CR7</f>
        <v>0.138051422846907</v>
      </c>
      <c r="CS34" s="146">
        <f ca="1">CN34+(CS35*0.0001)</f>
        <v>0.17301635715238431</v>
      </c>
      <c r="CT34" s="146">
        <f ca="1">CO34+(CT35*0.0001)</f>
        <v>0.1784107341576284</v>
      </c>
      <c r="CU34" s="146">
        <f ca="1">CP34+(CU35*0.0001)</f>
        <v>0.15887110641350619</v>
      </c>
      <c r="CV34" s="146">
        <f ca="1">CQ34+(CV35*0.0001)</f>
        <v>0.15080812833436108</v>
      </c>
      <c r="CW34" s="440">
        <f ca="1">-CW33/CW7</f>
        <v>0.13339912854722766</v>
      </c>
      <c r="CX34" s="146">
        <f ca="1">CS34+(CX35*0.0001)</f>
        <v>0.17777696371178517</v>
      </c>
      <c r="CY34" s="146">
        <f ca="1">CT34+(CY35*0.0001)</f>
        <v>0.18317134071702926</v>
      </c>
      <c r="CZ34" s="146">
        <f ca="1">CU34+(CZ35*0.0001)</f>
        <v>0.16363171297290705</v>
      </c>
      <c r="DA34" s="146">
        <f ca="1">CV34+(DA35*0.0001)</f>
        <v>0.15556873489376194</v>
      </c>
      <c r="DB34" s="440">
        <f ca="1">-DB33/DB7</f>
        <v>0.1322011985299921</v>
      </c>
      <c r="DC34" s="146">
        <f ca="1">CX34+(DC35*0.0001)</f>
        <v>0.18253757027118603</v>
      </c>
      <c r="DD34" s="146">
        <f ca="1">CY34+(DD35*0.0001)</f>
        <v>0.18793194727643012</v>
      </c>
      <c r="DE34" s="146">
        <f ca="1">CZ34+(DE35*0.0001)</f>
        <v>0.1683923195323079</v>
      </c>
      <c r="DF34" s="146">
        <f ca="1">DA34+(DF35*0.0001)</f>
        <v>0.1603293414531628</v>
      </c>
      <c r="DG34" s="440">
        <f ca="1">-DG33/DG7</f>
        <v>0.13131183894657392</v>
      </c>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EW34"/>
      <c r="EX34"/>
      <c r="EY34"/>
      <c r="EZ34"/>
      <c r="FA34"/>
      <c r="FB34"/>
      <c r="FC34"/>
      <c r="FD34"/>
      <c r="FE34"/>
      <c r="FF34"/>
      <c r="FG34"/>
      <c r="FH34"/>
      <c r="FI34"/>
      <c r="FJ34"/>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c r="HB34"/>
      <c r="HC34"/>
      <c r="HD34"/>
      <c r="HE34"/>
      <c r="HF34"/>
      <c r="HG34"/>
      <c r="HH34"/>
      <c r="HI34"/>
      <c r="HJ34"/>
      <c r="HK34"/>
      <c r="HL34"/>
      <c r="HM34"/>
      <c r="HN34"/>
      <c r="HO34"/>
      <c r="HP34"/>
      <c r="HQ34"/>
      <c r="HR34"/>
    </row>
    <row r="35" spans="1:226" s="36" customFormat="1" ht="12" hidden="1" customHeight="1" outlineLevel="1" x14ac:dyDescent="0.2">
      <c r="A35" s="80" t="s">
        <v>112</v>
      </c>
      <c r="B35" s="493" t="e">
        <f>(B34-#REF!)*10000</f>
        <v>#REF!</v>
      </c>
      <c r="C35" s="493" t="e">
        <f>(C34-#REF!)*10000</f>
        <v>#REF!</v>
      </c>
      <c r="D35" s="493" t="e">
        <f>(D34-#REF!)*10000</f>
        <v>#REF!</v>
      </c>
      <c r="E35" s="493" t="e">
        <f>(E34-#REF!)*10000</f>
        <v>#REF!</v>
      </c>
      <c r="F35" s="702" t="e">
        <f>(F34-#REF!)*10000</f>
        <v>#REF!</v>
      </c>
      <c r="G35" s="493">
        <f t="shared" ref="G35:AO35" si="69">(G34-B34)*10000</f>
        <v>-60.184129878682043</v>
      </c>
      <c r="H35" s="493">
        <f t="shared" si="69"/>
        <v>-75.906163611372818</v>
      </c>
      <c r="I35" s="493">
        <f t="shared" si="69"/>
        <v>193.88777453293565</v>
      </c>
      <c r="J35" s="493">
        <f t="shared" si="69"/>
        <v>-107.18744770951582</v>
      </c>
      <c r="K35" s="702">
        <f t="shared" si="69"/>
        <v>-14.252892718029099</v>
      </c>
      <c r="L35" s="493">
        <f t="shared" si="69"/>
        <v>-223.37340135578989</v>
      </c>
      <c r="M35" s="493">
        <f t="shared" si="69"/>
        <v>-84.749477088056082</v>
      </c>
      <c r="N35" s="493">
        <f t="shared" si="69"/>
        <v>103.50745416749407</v>
      </c>
      <c r="O35" s="493">
        <f t="shared" si="69"/>
        <v>90.314716312056703</v>
      </c>
      <c r="P35" s="702">
        <f t="shared" si="69"/>
        <v>-24.023277379816577</v>
      </c>
      <c r="Q35" s="493">
        <f t="shared" si="69"/>
        <v>74.97517284070166</v>
      </c>
      <c r="R35" s="493">
        <f t="shared" si="69"/>
        <v>-34.252042445299949</v>
      </c>
      <c r="S35" s="493">
        <f t="shared" si="69"/>
        <v>69.357749850836043</v>
      </c>
      <c r="T35" s="493">
        <f t="shared" si="69"/>
        <v>-32.634493670886108</v>
      </c>
      <c r="U35" s="702">
        <f t="shared" si="69"/>
        <v>20.87743678325149</v>
      </c>
      <c r="V35" s="493">
        <f t="shared" si="69"/>
        <v>57.555430774133832</v>
      </c>
      <c r="W35" s="493">
        <f t="shared" si="69"/>
        <v>-40.434782608695649</v>
      </c>
      <c r="X35" s="493">
        <f t="shared" si="69"/>
        <v>-261.46281801248642</v>
      </c>
      <c r="Y35" s="493">
        <f t="shared" si="69"/>
        <v>40.982779157329453</v>
      </c>
      <c r="Z35" s="702">
        <f t="shared" si="69"/>
        <v>-48.963864140417201</v>
      </c>
      <c r="AA35" s="493">
        <f t="shared" si="69"/>
        <v>63.889810819780926</v>
      </c>
      <c r="AB35" s="493">
        <f t="shared" si="69"/>
        <v>173.15789473684202</v>
      </c>
      <c r="AC35" s="493">
        <f t="shared" si="69"/>
        <v>-69.900406047901242</v>
      </c>
      <c r="AD35" s="493">
        <f t="shared" si="69"/>
        <v>-42.998114902667723</v>
      </c>
      <c r="AE35" s="702">
        <f t="shared" si="69"/>
        <v>25.52572712204687</v>
      </c>
      <c r="AF35" s="493">
        <f t="shared" si="69"/>
        <v>-12.358162004269257</v>
      </c>
      <c r="AG35" s="493">
        <f t="shared" si="69"/>
        <v>-87.181509632391624</v>
      </c>
      <c r="AH35" s="493">
        <f t="shared" si="69"/>
        <v>55.082854112270404</v>
      </c>
      <c r="AI35" s="493">
        <f t="shared" si="69"/>
        <v>90.453400844795752</v>
      </c>
      <c r="AJ35" s="702">
        <f t="shared" si="69"/>
        <v>16.486840115457202</v>
      </c>
      <c r="AK35" s="493">
        <f t="shared" si="69"/>
        <v>-40.980785955165025</v>
      </c>
      <c r="AL35" s="493">
        <f t="shared" si="69"/>
        <v>-9.4502468245177838</v>
      </c>
      <c r="AM35" s="493">
        <f t="shared" si="69"/>
        <v>80.050122895192757</v>
      </c>
      <c r="AN35" s="493">
        <f t="shared" si="69"/>
        <v>9.779622551361749</v>
      </c>
      <c r="AO35" s="702">
        <f t="shared" si="69"/>
        <v>10.84308221488417</v>
      </c>
      <c r="AP35" s="493">
        <f t="shared" ref="AP35:AV35" si="70">(AP34-AK34)*10000</f>
        <v>78.470890658604858</v>
      </c>
      <c r="AQ35" s="493">
        <f t="shared" si="70"/>
        <v>-2.0524540694064064</v>
      </c>
      <c r="AR35" s="493">
        <f t="shared" si="70"/>
        <v>-63.677424653034443</v>
      </c>
      <c r="AS35" s="493">
        <f t="shared" si="70"/>
        <v>-10.791527313266519</v>
      </c>
      <c r="AT35" s="702">
        <f t="shared" si="70"/>
        <v>-0.29612514506116572</v>
      </c>
      <c r="AU35" s="493">
        <f t="shared" si="70"/>
        <v>-17.123667481445672</v>
      </c>
      <c r="AV35" s="493">
        <f t="shared" si="70"/>
        <v>108.16006064544081</v>
      </c>
      <c r="AW35" s="493">
        <f t="shared" ref="AW35:CB35" ca="1" si="71">(AW34-AR34)*10000</f>
        <v>101.57990157990155</v>
      </c>
      <c r="AX35" s="493">
        <f t="shared" ca="1" si="71"/>
        <v>158.91765803592264</v>
      </c>
      <c r="AY35" s="702">
        <f t="shared" si="71"/>
        <v>90.291074940491427</v>
      </c>
      <c r="AZ35" s="493">
        <f t="shared" ca="1" si="71"/>
        <v>97.596505330389832</v>
      </c>
      <c r="BA35" s="493">
        <f t="shared" ca="1" si="71"/>
        <v>-17.120598121446172</v>
      </c>
      <c r="BB35" s="493">
        <f t="shared" ca="1" si="71"/>
        <v>-6.5276407300945971</v>
      </c>
      <c r="BC35" s="493">
        <f t="shared" ca="1" si="71"/>
        <v>-106.90686181459991</v>
      </c>
      <c r="BD35" s="702">
        <f t="shared" si="71"/>
        <v>-12.579689568529561</v>
      </c>
      <c r="BE35" s="493">
        <f t="shared" ca="1" si="71"/>
        <v>26.829002560330995</v>
      </c>
      <c r="BF35" s="493">
        <f t="shared" ca="1" si="71"/>
        <v>-19.026660248034343</v>
      </c>
      <c r="BG35" s="493">
        <f t="shared" ca="1" si="71"/>
        <v>111.68895574151682</v>
      </c>
      <c r="BH35" s="493">
        <f t="shared" ca="1" si="71"/>
        <v>87.318643536410391</v>
      </c>
      <c r="BI35" s="702">
        <f t="shared" si="71"/>
        <v>55.143657815087955</v>
      </c>
      <c r="BJ35" s="493">
        <f t="shared" ca="1" si="71"/>
        <v>1.9328900572135321</v>
      </c>
      <c r="BK35" s="493">
        <f t="shared" ca="1" si="71"/>
        <v>34.268230494645394</v>
      </c>
      <c r="BL35" s="493">
        <f t="shared" ca="1" si="71"/>
        <v>-118.79594648044861</v>
      </c>
      <c r="BM35" s="493">
        <f t="shared" ca="1" si="71"/>
        <v>-11.762105131574996</v>
      </c>
      <c r="BN35" s="702">
        <f t="shared" si="71"/>
        <v>-23.719073129602474</v>
      </c>
      <c r="BO35" s="493">
        <f t="shared" ca="1" si="71"/>
        <v>5.8126787071757775</v>
      </c>
      <c r="BP35" s="493">
        <f t="shared" ca="1" si="71"/>
        <v>-22.283768968899555</v>
      </c>
      <c r="BQ35" s="493">
        <f t="shared" ca="1" si="71"/>
        <v>-66.352081021346379</v>
      </c>
      <c r="BR35" s="493">
        <f t="shared" ca="1" si="71"/>
        <v>-131.78911151326565</v>
      </c>
      <c r="BS35" s="702">
        <f t="shared" si="71"/>
        <v>-55.405183036586479</v>
      </c>
      <c r="BT35" s="614">
        <f t="shared" ca="1" si="71"/>
        <v>47.606065594008598</v>
      </c>
      <c r="BU35" s="493">
        <f t="shared" ca="1" si="71"/>
        <v>47.606065594008598</v>
      </c>
      <c r="BV35" s="493">
        <f t="shared" ca="1" si="71"/>
        <v>47.606065594008598</v>
      </c>
      <c r="BW35" s="493">
        <f t="shared" ca="1" si="71"/>
        <v>47.606065594008733</v>
      </c>
      <c r="BX35" s="702">
        <f t="shared" si="71"/>
        <v>49.152915799570707</v>
      </c>
      <c r="BY35" s="493">
        <f t="shared" ca="1" si="71"/>
        <v>47.606065594008598</v>
      </c>
      <c r="BZ35" s="493">
        <f t="shared" ca="1" si="71"/>
        <v>47.606065594008598</v>
      </c>
      <c r="CA35" s="493">
        <f t="shared" ca="1" si="71"/>
        <v>47.606065594008598</v>
      </c>
      <c r="CB35" s="493">
        <f t="shared" ca="1" si="71"/>
        <v>47.606065594008598</v>
      </c>
      <c r="CC35" s="702">
        <f t="shared" ref="CC35:CW35" si="72">(CC34-BX34)*10000</f>
        <v>-12.077920822212151</v>
      </c>
      <c r="CD35" s="27">
        <f t="shared" ca="1" si="72"/>
        <v>47.606065594008598</v>
      </c>
      <c r="CE35" s="786">
        <f t="shared" ca="1" si="72"/>
        <v>47.606065594008598</v>
      </c>
      <c r="CF35" s="27">
        <f t="shared" ca="1" si="72"/>
        <v>47.606065594008598</v>
      </c>
      <c r="CG35" s="27">
        <f t="shared" ca="1" si="72"/>
        <v>47.606065594008598</v>
      </c>
      <c r="CH35" s="334">
        <f t="shared" si="72"/>
        <v>-42.960201657327723</v>
      </c>
      <c r="CI35" s="27">
        <f t="shared" ca="1" si="72"/>
        <v>47.606065594008598</v>
      </c>
      <c r="CJ35" s="27">
        <f t="shared" ca="1" si="72"/>
        <v>47.606065594008598</v>
      </c>
      <c r="CK35" s="27">
        <f t="shared" ca="1" si="72"/>
        <v>47.606065594008598</v>
      </c>
      <c r="CL35" s="27">
        <f t="shared" ca="1" si="72"/>
        <v>47.606065594008598</v>
      </c>
      <c r="CM35" s="334">
        <f t="shared" ca="1" si="72"/>
        <v>-31.366045021422593</v>
      </c>
      <c r="CN35" s="27">
        <f t="shared" ca="1" si="72"/>
        <v>47.606065594008598</v>
      </c>
      <c r="CO35" s="27">
        <f t="shared" ca="1" si="72"/>
        <v>47.606065594008598</v>
      </c>
      <c r="CP35" s="27">
        <f t="shared" ca="1" si="72"/>
        <v>47.606065594008598</v>
      </c>
      <c r="CQ35" s="27">
        <f t="shared" ca="1" si="72"/>
        <v>47.606065594008598</v>
      </c>
      <c r="CR35" s="334">
        <f t="shared" ca="1" si="72"/>
        <v>55.777812415655767</v>
      </c>
      <c r="CS35" s="27">
        <f t="shared" ca="1" si="72"/>
        <v>47.606065594008598</v>
      </c>
      <c r="CT35" s="27">
        <f t="shared" ca="1" si="72"/>
        <v>47.606065594008598</v>
      </c>
      <c r="CU35" s="27">
        <f t="shared" ca="1" si="72"/>
        <v>47.606065594008598</v>
      </c>
      <c r="CV35" s="27">
        <f t="shared" ca="1" si="72"/>
        <v>47.606065594008598</v>
      </c>
      <c r="CW35" s="334">
        <f t="shared" ca="1" si="72"/>
        <v>-46.522942996793383</v>
      </c>
      <c r="CX35" s="27">
        <f ca="1">(CX34-CS34)*10000</f>
        <v>47.606065594008598</v>
      </c>
      <c r="CY35" s="27">
        <f ca="1">(CY34-CT34)*10000</f>
        <v>47.606065594008598</v>
      </c>
      <c r="CZ35" s="27">
        <f ca="1">(CZ34-CU34)*10000</f>
        <v>47.606065594008598</v>
      </c>
      <c r="DA35" s="27">
        <f ca="1">(DA34-CV34)*10000</f>
        <v>47.606065594008598</v>
      </c>
      <c r="DB35" s="334">
        <f t="shared" ref="DB35" ca="1" si="73">(DB34-CW34)*10000</f>
        <v>-11.9793001723556</v>
      </c>
      <c r="DC35" s="27">
        <f ca="1">(DC34-CX34)*10000</f>
        <v>47.606065594008598</v>
      </c>
      <c r="DD35" s="27">
        <f ca="1">(DD34-CY34)*10000</f>
        <v>47.606065594008598</v>
      </c>
      <c r="DE35" s="27">
        <f ca="1">(DE34-CZ34)*10000</f>
        <v>47.606065594008598</v>
      </c>
      <c r="DF35" s="27">
        <f ca="1">(DF34-DA34)*10000</f>
        <v>47.606065594008598</v>
      </c>
      <c r="DG35" s="334">
        <f t="shared" ref="DG35" ca="1" si="74">(DG34-DB34)*10000</f>
        <v>-8.8935958341818111</v>
      </c>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EW35"/>
      <c r="EX35"/>
      <c r="EY35"/>
      <c r="EZ35"/>
      <c r="FA35"/>
      <c r="FB35"/>
      <c r="FC35"/>
      <c r="FD35"/>
      <c r="FE35"/>
      <c r="FF35"/>
      <c r="FG35"/>
      <c r="FH35"/>
      <c r="FI35"/>
      <c r="FJ35"/>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c r="HB35"/>
      <c r="HC35"/>
      <c r="HD35"/>
      <c r="HE35"/>
      <c r="HF35"/>
      <c r="HG35"/>
      <c r="HH35"/>
      <c r="HI35"/>
      <c r="HJ35"/>
      <c r="HK35"/>
      <c r="HL35"/>
      <c r="HM35"/>
      <c r="HN35"/>
      <c r="HO35"/>
      <c r="HP35"/>
      <c r="HQ35"/>
      <c r="HR35"/>
    </row>
    <row r="36" spans="1:226" s="36" customFormat="1" ht="12" hidden="1" customHeight="1" outlineLevel="1" x14ac:dyDescent="0.2">
      <c r="A36" s="36" t="s">
        <v>24</v>
      </c>
      <c r="B36" s="49" t="e">
        <f>B33/#REF!-1</f>
        <v>#REF!</v>
      </c>
      <c r="C36" s="49" t="e">
        <f>C33/#REF!-1</f>
        <v>#REF!</v>
      </c>
      <c r="D36" s="49" t="e">
        <f>D33/#REF!-1</f>
        <v>#REF!</v>
      </c>
      <c r="E36" s="49" t="e">
        <f>E33/#REF!-1</f>
        <v>#REF!</v>
      </c>
      <c r="F36" s="433" t="e">
        <f>F33/#REF!-1</f>
        <v>#REF!</v>
      </c>
      <c r="G36" s="49">
        <f t="shared" ref="G36:AO36" si="75">G33/B33-1</f>
        <v>-2.2388059701492491E-2</v>
      </c>
      <c r="H36" s="49">
        <f t="shared" si="75"/>
        <v>-3.6231884057971064E-2</v>
      </c>
      <c r="I36" s="49">
        <f t="shared" si="75"/>
        <v>0.23893805309734506</v>
      </c>
      <c r="J36" s="49">
        <f t="shared" si="75"/>
        <v>-6.8702290076335881E-2</v>
      </c>
      <c r="K36" s="433">
        <f t="shared" si="75"/>
        <v>1.9379844961240345E-2</v>
      </c>
      <c r="L36" s="49">
        <f t="shared" si="75"/>
        <v>-0.1145038167938931</v>
      </c>
      <c r="M36" s="49">
        <f t="shared" si="75"/>
        <v>-1.5037593984962405E-2</v>
      </c>
      <c r="N36" s="49">
        <f t="shared" si="75"/>
        <v>7.1428571428571397E-2</v>
      </c>
      <c r="O36" s="49">
        <f t="shared" si="75"/>
        <v>0.10655737704918034</v>
      </c>
      <c r="P36" s="433">
        <f t="shared" si="75"/>
        <v>1.1406844106463865E-2</v>
      </c>
      <c r="Q36" s="49">
        <f t="shared" si="75"/>
        <v>2.5862068965517349E-2</v>
      </c>
      <c r="R36" s="49">
        <f t="shared" si="75"/>
        <v>-3.0534351145038219E-2</v>
      </c>
      <c r="S36" s="49">
        <f t="shared" si="75"/>
        <v>8.0000000000000071E-2</v>
      </c>
      <c r="T36" s="49">
        <f t="shared" si="75"/>
        <v>0</v>
      </c>
      <c r="U36" s="433">
        <f t="shared" si="75"/>
        <v>2.0676691729323293E-2</v>
      </c>
      <c r="V36" s="49">
        <f t="shared" si="75"/>
        <v>9.243697478991586E-2</v>
      </c>
      <c r="W36" s="49">
        <f t="shared" si="75"/>
        <v>5.5118110236220375E-2</v>
      </c>
      <c r="X36" s="49">
        <f t="shared" si="75"/>
        <v>-0.14197530864197527</v>
      </c>
      <c r="Y36" s="49">
        <f t="shared" si="75"/>
        <v>9.6296296296296324E-2</v>
      </c>
      <c r="Z36" s="433">
        <f t="shared" si="75"/>
        <v>1.4732965009208066E-2</v>
      </c>
      <c r="AA36" s="49">
        <f t="shared" si="75"/>
        <v>0.10769230769230775</v>
      </c>
      <c r="AB36" s="49">
        <f t="shared" si="75"/>
        <v>0.20149253731343286</v>
      </c>
      <c r="AC36" s="49">
        <f t="shared" si="75"/>
        <v>7.194244604316502E-3</v>
      </c>
      <c r="AD36" s="49">
        <f t="shared" si="75"/>
        <v>1.3513513513513598E-2</v>
      </c>
      <c r="AE36" s="433">
        <f t="shared" si="75"/>
        <v>7.9854809437386542E-2</v>
      </c>
      <c r="AF36" s="49">
        <f t="shared" si="75"/>
        <v>4.1666666666666741E-2</v>
      </c>
      <c r="AG36" s="49">
        <f t="shared" si="75"/>
        <v>-2.4844720496894457E-2</v>
      </c>
      <c r="AH36" s="49">
        <f t="shared" si="75"/>
        <v>0.12142857142857144</v>
      </c>
      <c r="AI36" s="49">
        <f t="shared" si="75"/>
        <v>0.10000000000000009</v>
      </c>
      <c r="AJ36" s="433">
        <f t="shared" si="75"/>
        <v>5.7142857142857162E-2</v>
      </c>
      <c r="AK36" s="49">
        <f t="shared" si="75"/>
        <v>3.3333333333333437E-2</v>
      </c>
      <c r="AL36" s="49">
        <f t="shared" si="75"/>
        <v>7.0063694267515908E-2</v>
      </c>
      <c r="AM36" s="49">
        <f t="shared" si="75"/>
        <v>0.15923566878980888</v>
      </c>
      <c r="AN36" s="49">
        <f t="shared" si="75"/>
        <v>0.1212121212121211</v>
      </c>
      <c r="AO36" s="433">
        <f t="shared" si="75"/>
        <v>9.6979332273450014E-2</v>
      </c>
      <c r="AP36" s="49">
        <f t="shared" ref="AP36:AY36" si="76">AP33/AK33-1</f>
        <v>0.18709677419354831</v>
      </c>
      <c r="AQ36" s="49">
        <f t="shared" si="76"/>
        <v>2.3809523809523725E-2</v>
      </c>
      <c r="AR36" s="49">
        <f t="shared" si="76"/>
        <v>-4.9450549450549497E-2</v>
      </c>
      <c r="AS36" s="49">
        <f t="shared" si="76"/>
        <v>-5.4054054054053502E-3</v>
      </c>
      <c r="AT36" s="433">
        <f t="shared" si="76"/>
        <v>3.3333333333333437E-2</v>
      </c>
      <c r="AU36" s="49">
        <f t="shared" si="76"/>
        <v>-7.0652173913043459E-2</v>
      </c>
      <c r="AV36" s="49">
        <f t="shared" si="76"/>
        <v>7.5581395348837122E-2</v>
      </c>
      <c r="AW36" s="49">
        <f t="shared" si="76"/>
        <v>2.8901734104046284E-2</v>
      </c>
      <c r="AX36" s="49">
        <f t="shared" si="76"/>
        <v>7.6086956521739024E-2</v>
      </c>
      <c r="AY36" s="433">
        <f t="shared" si="76"/>
        <v>2.6647966339411022E-2</v>
      </c>
      <c r="AZ36" s="49">
        <f>AZ33/AU33-1</f>
        <v>4.3859649122806932E-2</v>
      </c>
      <c r="BA36" s="49">
        <f>BA33/AV33-1</f>
        <v>-4.0540540540540571E-2</v>
      </c>
      <c r="BB36" s="49">
        <f>BB33/AW33-1</f>
        <v>8.4269662921347965E-3</v>
      </c>
      <c r="BC36" s="49">
        <f>BC33/AX33-1</f>
        <v>-4.2929292929292928E-2</v>
      </c>
      <c r="BD36" s="433">
        <f>BD33/AY33-1</f>
        <v>-9.5628415300545999E-3</v>
      </c>
      <c r="BE36" s="49">
        <f t="shared" ref="BE36:CW36" si="77">BE33/AZ33-1</f>
        <v>5.0420168067226934E-2</v>
      </c>
      <c r="BF36" s="49">
        <f t="shared" si="77"/>
        <v>2.2535211267605604E-2</v>
      </c>
      <c r="BG36" s="49">
        <f t="shared" si="77"/>
        <v>0.16155988857938719</v>
      </c>
      <c r="BH36" s="49">
        <f t="shared" si="77"/>
        <v>0.1108179419525066</v>
      </c>
      <c r="BI36" s="433">
        <f>BI33/BD33-1</f>
        <v>8.6896551724138016E-2</v>
      </c>
      <c r="BJ36" s="49">
        <f t="shared" si="77"/>
        <v>2.6666666666666616E-2</v>
      </c>
      <c r="BK36" s="49">
        <f t="shared" si="77"/>
        <v>0.11019283746556474</v>
      </c>
      <c r="BL36" s="49">
        <f t="shared" si="77"/>
        <v>-7.1942446043165464E-2</v>
      </c>
      <c r="BM36" s="49">
        <f t="shared" si="77"/>
        <v>-4.7505938242280443E-3</v>
      </c>
      <c r="BN36" s="433">
        <f>BN33/BI33-1</f>
        <v>1.1421319796954377E-2</v>
      </c>
      <c r="BO36" s="49">
        <f t="shared" si="77"/>
        <v>7.7922077922076838E-3</v>
      </c>
      <c r="BP36" s="49">
        <f t="shared" si="77"/>
        <v>-2.7295285359801524E-2</v>
      </c>
      <c r="BQ36" s="49">
        <f t="shared" si="77"/>
        <v>-8.0103359173126609E-2</v>
      </c>
      <c r="BR36" s="49">
        <f t="shared" si="77"/>
        <v>-0.12649164677804292</v>
      </c>
      <c r="BS36" s="433">
        <f t="shared" si="77"/>
        <v>-5.7716436637390234E-2</v>
      </c>
      <c r="BT36" s="701">
        <f t="shared" si="77"/>
        <v>-7.2164948453608213E-2</v>
      </c>
      <c r="BU36" s="49">
        <f t="shared" si="77"/>
        <v>-2.5510204081632626E-2</v>
      </c>
      <c r="BV36" s="49">
        <f t="shared" si="77"/>
        <v>0.15730337078651679</v>
      </c>
      <c r="BW36" s="49">
        <f t="shared" si="77"/>
        <v>0.20765027322404372</v>
      </c>
      <c r="BX36" s="433">
        <f t="shared" si="77"/>
        <v>6.2583222370172997E-2</v>
      </c>
      <c r="BY36" s="49">
        <f t="shared" si="77"/>
        <v>3.3333333333333437E-2</v>
      </c>
      <c r="BZ36" s="49">
        <f t="shared" si="77"/>
        <v>0</v>
      </c>
      <c r="CA36" s="49">
        <f t="shared" si="77"/>
        <v>-9.7087378640776656E-3</v>
      </c>
      <c r="CB36" s="49">
        <f t="shared" si="77"/>
        <v>1.8099547511312153E-2</v>
      </c>
      <c r="CC36" s="433">
        <f t="shared" si="77"/>
        <v>1.0025062656641603E-2</v>
      </c>
      <c r="CD36" s="49">
        <f t="shared" si="77"/>
        <v>7.5268817204301008E-2</v>
      </c>
      <c r="CE36" s="701">
        <f t="shared" si="77"/>
        <v>3.1413612565444948E-2</v>
      </c>
      <c r="CF36" s="49">
        <f t="shared" si="77"/>
        <v>-1.4705882352941124E-2</v>
      </c>
      <c r="CG36" s="49">
        <f t="shared" si="77"/>
        <v>-5.7777777777777817E-2</v>
      </c>
      <c r="CH36" s="433">
        <f t="shared" si="77"/>
        <v>4.9627791563275903E-3</v>
      </c>
      <c r="CI36" s="49">
        <f t="shared" si="77"/>
        <v>2.0000000000000018E-2</v>
      </c>
      <c r="CJ36" s="49">
        <f t="shared" si="77"/>
        <v>0</v>
      </c>
      <c r="CK36" s="49">
        <f t="shared" si="77"/>
        <v>-4.7542443082579489E-2</v>
      </c>
      <c r="CL36" s="49">
        <f t="shared" ca="1" si="77"/>
        <v>5.3822895043244445E-2</v>
      </c>
      <c r="CM36" s="433">
        <f t="shared" ca="1" si="77"/>
        <v>7.2276823328016881E-3</v>
      </c>
      <c r="CN36" s="49">
        <f t="shared" si="77"/>
        <v>5.5008533144319527E-2</v>
      </c>
      <c r="CO36" s="49">
        <f t="shared" si="77"/>
        <v>0.13939095473312402</v>
      </c>
      <c r="CP36" s="49">
        <f t="shared" si="77"/>
        <v>0.12770018542955586</v>
      </c>
      <c r="CQ36" s="49">
        <f t="shared" ca="1" si="77"/>
        <v>7.8952244692020335E-2</v>
      </c>
      <c r="CR36" s="433">
        <f t="shared" ca="1" si="77"/>
        <v>9.899798755986855E-2</v>
      </c>
      <c r="CS36" s="49">
        <f t="shared" si="77"/>
        <v>-1.0708936064723118E-2</v>
      </c>
      <c r="CT36" s="49">
        <f t="shared" si="77"/>
        <v>-8.6136219647664491E-3</v>
      </c>
      <c r="CU36" s="49">
        <f t="shared" si="77"/>
        <v>-1.1516920841339706E-2</v>
      </c>
      <c r="CV36" s="49">
        <f t="shared" ca="1" si="77"/>
        <v>-1.317261219195609E-2</v>
      </c>
      <c r="CW36" s="433">
        <f t="shared" ca="1" si="77"/>
        <v>-1.1041283236962629E-2</v>
      </c>
      <c r="CX36" s="49">
        <f>CX33/CS33-1</f>
        <v>1.3088933738259589E-2</v>
      </c>
      <c r="CY36" s="49">
        <f>CY33/CT33-1</f>
        <v>1.3680926696656437E-2</v>
      </c>
      <c r="CZ36" s="49">
        <f>CZ33/CU33-1</f>
        <v>1.4667679634870145E-2</v>
      </c>
      <c r="DA36" s="49">
        <f ca="1">DA33/CV33-1</f>
        <v>1.5870527385670297E-2</v>
      </c>
      <c r="DB36" s="433">
        <f t="shared" ref="DB36" ca="1" si="78">DB33/CW33-1</f>
        <v>1.4363644978646395E-2</v>
      </c>
      <c r="DC36" s="49">
        <f>DC33/CX33-1</f>
        <v>1.5513816778559786E-2</v>
      </c>
      <c r="DD36" s="49">
        <f>DD33/CY33-1</f>
        <v>1.5896377817254281E-2</v>
      </c>
      <c r="DE36" s="49">
        <f>DE33/CZ33-1</f>
        <v>1.71650776762311E-2</v>
      </c>
      <c r="DF36" s="49">
        <f ca="1">DF33/DA33-1</f>
        <v>1.8377722214298453E-2</v>
      </c>
      <c r="DG36" s="433">
        <f t="shared" ref="DG36" ca="1" si="79">DG33/DB33-1</f>
        <v>1.6776699143479235E-2</v>
      </c>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EW36"/>
      <c r="EX36"/>
      <c r="EY36"/>
      <c r="EZ36"/>
      <c r="FA36"/>
      <c r="FB36"/>
      <c r="FC36"/>
      <c r="FD36"/>
      <c r="FE36"/>
      <c r="FF36"/>
      <c r="FG36"/>
      <c r="FH36"/>
      <c r="FI36"/>
      <c r="FJ36"/>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row>
    <row r="37" spans="1:226" s="36" customFormat="1" ht="12" hidden="1" customHeight="1" outlineLevel="1" x14ac:dyDescent="0.2">
      <c r="D37" s="655"/>
      <c r="F37" s="433"/>
      <c r="I37" s="655"/>
      <c r="K37" s="433"/>
      <c r="N37" s="655"/>
      <c r="P37" s="433"/>
      <c r="S37" s="655"/>
      <c r="U37" s="433"/>
      <c r="X37" s="655"/>
      <c r="Z37" s="433"/>
      <c r="AC37" s="655"/>
      <c r="AE37" s="433"/>
      <c r="AH37" s="655"/>
      <c r="AJ37" s="433"/>
      <c r="AK37" s="719"/>
      <c r="AL37" s="719"/>
      <c r="AM37" s="719"/>
      <c r="AN37" s="719"/>
      <c r="AO37" s="433"/>
      <c r="AP37" s="719"/>
      <c r="AQ37" s="719"/>
      <c r="AR37" s="719"/>
      <c r="AS37" s="719"/>
      <c r="AT37" s="433"/>
      <c r="AU37" s="719"/>
      <c r="AV37" s="719"/>
      <c r="AW37" s="719"/>
      <c r="AX37" s="719"/>
      <c r="AY37" s="433"/>
      <c r="AZ37" s="719"/>
      <c r="BA37" s="719"/>
      <c r="BB37" s="719"/>
      <c r="BC37" s="719"/>
      <c r="BD37" s="433"/>
      <c r="BE37" s="719"/>
      <c r="BF37" s="719"/>
      <c r="BG37" s="719"/>
      <c r="BH37" s="719"/>
      <c r="BI37" s="433"/>
      <c r="BJ37" s="719"/>
      <c r="BK37" s="719"/>
      <c r="BL37" s="719"/>
      <c r="BM37" s="719"/>
      <c r="BN37" s="433"/>
      <c r="BO37" s="719"/>
      <c r="BP37" s="719"/>
      <c r="BQ37" s="719"/>
      <c r="BR37" s="719"/>
      <c r="BS37" s="433"/>
      <c r="BT37" s="720"/>
      <c r="BU37" s="719"/>
      <c r="BV37" s="719"/>
      <c r="BW37" s="719"/>
      <c r="BX37" s="433"/>
      <c r="BY37" s="719"/>
      <c r="BZ37" s="719"/>
      <c r="CA37" s="719"/>
      <c r="CB37" s="719"/>
      <c r="CC37" s="433"/>
      <c r="CD37" s="42"/>
      <c r="CE37" s="788"/>
      <c r="CF37" s="42"/>
      <c r="CG37" s="42"/>
      <c r="CH37" s="433"/>
      <c r="CI37" s="42"/>
      <c r="CJ37" s="42"/>
      <c r="CK37" s="42"/>
      <c r="CL37" s="42"/>
      <c r="CM37" s="433"/>
      <c r="CN37" s="42"/>
      <c r="CO37" s="42"/>
      <c r="CP37" s="42"/>
      <c r="CQ37" s="42"/>
      <c r="CR37" s="433"/>
      <c r="CS37" s="42"/>
      <c r="CT37" s="42"/>
      <c r="CU37" s="42"/>
      <c r="CV37" s="42"/>
      <c r="CW37" s="441"/>
      <c r="CX37" s="42"/>
      <c r="CY37" s="42"/>
      <c r="CZ37" s="42"/>
      <c r="DA37" s="42"/>
      <c r="DB37" s="441"/>
      <c r="DC37" s="42"/>
      <c r="DD37" s="42"/>
      <c r="DE37" s="42"/>
      <c r="DF37" s="42"/>
      <c r="DG37" s="441"/>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row>
    <row r="38" spans="1:226" s="35" customFormat="1" ht="12" customHeight="1" collapsed="1" x14ac:dyDescent="0.2">
      <c r="A38" s="355" t="s">
        <v>28</v>
      </c>
      <c r="B38" s="655">
        <v>-88</v>
      </c>
      <c r="C38" s="655">
        <v>-78</v>
      </c>
      <c r="D38" s="655">
        <v>-91</v>
      </c>
      <c r="E38" s="655">
        <v>-95</v>
      </c>
      <c r="F38" s="441">
        <f>SUM(B38:E38)</f>
        <v>-352</v>
      </c>
      <c r="G38" s="655">
        <v>-99</v>
      </c>
      <c r="H38" s="655">
        <v>-76</v>
      </c>
      <c r="I38" s="655">
        <v>-103</v>
      </c>
      <c r="J38" s="655">
        <v>-113</v>
      </c>
      <c r="K38" s="441">
        <f>SUM(G38:J38)</f>
        <v>-391</v>
      </c>
      <c r="L38" s="655">
        <v>-111</v>
      </c>
      <c r="M38" s="655">
        <v>-104</v>
      </c>
      <c r="N38" s="655">
        <v>-119</v>
      </c>
      <c r="O38" s="655">
        <v>-123</v>
      </c>
      <c r="P38" s="441">
        <f>SUM(L38:O38)</f>
        <v>-457</v>
      </c>
      <c r="Q38" s="655">
        <f>-(106-2)</f>
        <v>-104</v>
      </c>
      <c r="R38" s="655">
        <f>-(88-1)</f>
        <v>-87</v>
      </c>
      <c r="S38" s="655">
        <f>-(107-2)</f>
        <v>-105</v>
      </c>
      <c r="T38" s="655">
        <f>-(128-4)</f>
        <v>-124</v>
      </c>
      <c r="U38" s="441">
        <f>SUM(Q38:T38)</f>
        <v>-420</v>
      </c>
      <c r="V38" s="655">
        <f>-(108-3)</f>
        <v>-105</v>
      </c>
      <c r="W38" s="655">
        <f>-92</f>
        <v>-92</v>
      </c>
      <c r="X38" s="655">
        <f>-106</f>
        <v>-106</v>
      </c>
      <c r="Y38" s="655">
        <f>-132</f>
        <v>-132</v>
      </c>
      <c r="Z38" s="441">
        <f>SUM(V38:Y38)</f>
        <v>-435</v>
      </c>
      <c r="AA38" s="655">
        <f>-113</f>
        <v>-113</v>
      </c>
      <c r="AB38" s="655">
        <f>-99</f>
        <v>-99</v>
      </c>
      <c r="AC38" s="655">
        <f>-112</f>
        <v>-112</v>
      </c>
      <c r="AD38" s="655">
        <f>-126</f>
        <v>-126</v>
      </c>
      <c r="AE38" s="441">
        <f>SUM(AA38:AD38)</f>
        <v>-450</v>
      </c>
      <c r="AF38" s="655">
        <f>-117</f>
        <v>-117</v>
      </c>
      <c r="AG38" s="655">
        <f>-109</f>
        <v>-109</v>
      </c>
      <c r="AH38" s="655">
        <f>-121</f>
        <v>-121</v>
      </c>
      <c r="AI38" s="655">
        <f>-127</f>
        <v>-127</v>
      </c>
      <c r="AJ38" s="441">
        <f>SUM(AF38:AI38)</f>
        <v>-474</v>
      </c>
      <c r="AK38" s="655">
        <v>-118</v>
      </c>
      <c r="AL38" s="655">
        <v>-109</v>
      </c>
      <c r="AM38" s="655">
        <v>-123</v>
      </c>
      <c r="AN38" s="655">
        <v>-136</v>
      </c>
      <c r="AO38" s="441">
        <f>SUM(AK38:AN38)</f>
        <v>-486</v>
      </c>
      <c r="AP38" s="655">
        <v>-119</v>
      </c>
      <c r="AQ38" s="655">
        <v>-107</v>
      </c>
      <c r="AR38" s="655">
        <v>-125</v>
      </c>
      <c r="AS38" s="655">
        <v>-148</v>
      </c>
      <c r="AT38" s="441">
        <f>SUM(AP38:AS38)</f>
        <v>-499</v>
      </c>
      <c r="AU38" s="655">
        <v>-122</v>
      </c>
      <c r="AV38" s="655">
        <v>-123</v>
      </c>
      <c r="AW38" s="655">
        <v>-122</v>
      </c>
      <c r="AX38" s="36">
        <v>-127</v>
      </c>
      <c r="AY38" s="441">
        <v>-494</v>
      </c>
      <c r="AZ38" s="655">
        <v>-118</v>
      </c>
      <c r="BA38" s="655">
        <v>-117</v>
      </c>
      <c r="BB38" s="655">
        <v>-125</v>
      </c>
      <c r="BC38" s="36">
        <v>-142</v>
      </c>
      <c r="BD38" s="441">
        <f>SUM(AZ38:BC38)</f>
        <v>-502</v>
      </c>
      <c r="BE38" s="655">
        <v>-118</v>
      </c>
      <c r="BF38" s="655">
        <v>-115</v>
      </c>
      <c r="BG38" s="655">
        <v>-126</v>
      </c>
      <c r="BH38" s="36">
        <v>-123</v>
      </c>
      <c r="BI38" s="441">
        <f>SUM(BE38:BH38)</f>
        <v>-482</v>
      </c>
      <c r="BJ38" s="655">
        <v>-122</v>
      </c>
      <c r="BK38" s="655">
        <v>-116</v>
      </c>
      <c r="BL38" s="655">
        <v>-132</v>
      </c>
      <c r="BM38" s="36">
        <v>-130</v>
      </c>
      <c r="BN38" s="441">
        <f>SUM(BJ38:BM38)</f>
        <v>-500</v>
      </c>
      <c r="BO38" s="655">
        <v>-120</v>
      </c>
      <c r="BP38" s="655">
        <v>-122</v>
      </c>
      <c r="BQ38" s="655">
        <v>-120</v>
      </c>
      <c r="BR38" s="655">
        <v>-141</v>
      </c>
      <c r="BS38" s="441">
        <f>SUM(BO38:BR38)</f>
        <v>-503</v>
      </c>
      <c r="BT38" s="721">
        <v>-121</v>
      </c>
      <c r="BU38" s="721">
        <v>-127</v>
      </c>
      <c r="BV38" s="721">
        <v>-124</v>
      </c>
      <c r="BW38" s="721">
        <v>-151</v>
      </c>
      <c r="BX38" s="441">
        <f>SUM(BT38:BW38)</f>
        <v>-523</v>
      </c>
      <c r="BY38" s="655">
        <v>-123</v>
      </c>
      <c r="BZ38" s="655">
        <v>-126</v>
      </c>
      <c r="CA38" s="655">
        <v>-146</v>
      </c>
      <c r="CB38" s="655">
        <v>-192</v>
      </c>
      <c r="CC38" s="441">
        <f>SUM(BY38:CB38)</f>
        <v>-587</v>
      </c>
      <c r="CD38" s="655">
        <v>-128</v>
      </c>
      <c r="CE38" s="634">
        <v>-128</v>
      </c>
      <c r="CF38" s="634">
        <v>-161</v>
      </c>
      <c r="CG38" s="634">
        <v>-182</v>
      </c>
      <c r="CH38" s="441">
        <f>SUM(CD38:CG38)</f>
        <v>-599</v>
      </c>
      <c r="CI38" s="634">
        <v>-134</v>
      </c>
      <c r="CJ38" s="634">
        <v>-140</v>
      </c>
      <c r="CK38" s="37">
        <f>-CK7*CK39</f>
        <v>-158.89476809830177</v>
      </c>
      <c r="CL38" s="36">
        <f ca="1">CM38-SUM(CI38:CK38)</f>
        <v>-197.03699623375059</v>
      </c>
      <c r="CM38" s="441">
        <f ca="1">-CM39*CM7</f>
        <v>-629.93176433205235</v>
      </c>
      <c r="CN38" s="37">
        <f>-CN7*CN39</f>
        <v>-141.45362161595563</v>
      </c>
      <c r="CO38" s="37">
        <f>-CO7*CO39</f>
        <v>-149.63766027174785</v>
      </c>
      <c r="CP38" s="37">
        <f>-CP7*CP39</f>
        <v>-169.8954021459499</v>
      </c>
      <c r="CQ38" s="36">
        <f ca="1">CR38-SUM(CN38:CP38)</f>
        <v>-203.33586389421424</v>
      </c>
      <c r="CR38" s="441">
        <f ca="1">-CR39*CR7</f>
        <v>-664.32254792786762</v>
      </c>
      <c r="CS38" s="37">
        <f>-CS7*CS39</f>
        <v>-144.77739538867365</v>
      </c>
      <c r="CT38" s="37">
        <f>-CT7*CT39</f>
        <v>-153.23372362804432</v>
      </c>
      <c r="CU38" s="37">
        <f>-CU7*CU39</f>
        <v>-173.89246974918115</v>
      </c>
      <c r="CV38" s="36">
        <f ca="1">CW38-SUM(CS38:CU38)</f>
        <v>-207.9964258919357</v>
      </c>
      <c r="CW38" s="441">
        <f ca="1">-CW39*CW7</f>
        <v>-679.90001465783484</v>
      </c>
      <c r="CX38" s="37">
        <f>-CX7*CX39</f>
        <v>-148.19419835116398</v>
      </c>
      <c r="CY38" s="37">
        <f>-CY7*CY39</f>
        <v>-156.9331581051481</v>
      </c>
      <c r="CZ38" s="37">
        <f>-CZ7*CZ39</f>
        <v>-178.00228659093409</v>
      </c>
      <c r="DA38" s="36">
        <f ca="1">DB38-SUM(CX38:CZ38)</f>
        <v>-212.78556307416466</v>
      </c>
      <c r="DB38" s="441">
        <f ca="1">-DB39*DB7</f>
        <v>-695.91520612141085</v>
      </c>
      <c r="DC38" s="37">
        <f>-DC7*DC39</f>
        <v>-151.70712764151631</v>
      </c>
      <c r="DD38" s="37">
        <f>-DD7*DD39</f>
        <v>-160.73948398771168</v>
      </c>
      <c r="DE38" s="37">
        <f>-DE7*DE39</f>
        <v>-182.22864403580522</v>
      </c>
      <c r="DF38" s="36">
        <f ca="1">DG38-SUM(DC38:DE38)</f>
        <v>-217.70753651565508</v>
      </c>
      <c r="DG38" s="441">
        <f ca="1">-DG39*DG7</f>
        <v>-712.38279218068828</v>
      </c>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row>
    <row r="39" spans="1:226" s="36" customFormat="1" ht="12" customHeight="1" x14ac:dyDescent="0.2">
      <c r="A39" s="36" t="s">
        <v>29</v>
      </c>
      <c r="B39" s="49">
        <f t="shared" ref="B39:W39" si="80">-B38/B$7</f>
        <v>9.138110072689512E-2</v>
      </c>
      <c r="C39" s="49">
        <f t="shared" si="80"/>
        <v>8.9041095890410954E-2</v>
      </c>
      <c r="D39" s="49">
        <f t="shared" si="80"/>
        <v>9.45945945945946E-2</v>
      </c>
      <c r="E39" s="49">
        <f t="shared" si="80"/>
        <v>8.6206896551724144E-2</v>
      </c>
      <c r="F39" s="433">
        <f t="shared" si="80"/>
        <v>9.0187035613630534E-2</v>
      </c>
      <c r="G39" s="49">
        <f t="shared" si="80"/>
        <v>0.10060975609756098</v>
      </c>
      <c r="H39" s="49">
        <f t="shared" si="80"/>
        <v>8.5682074408117245E-2</v>
      </c>
      <c r="I39" s="49">
        <f t="shared" si="80"/>
        <v>0.10068426197458455</v>
      </c>
      <c r="J39" s="49">
        <f t="shared" si="80"/>
        <v>0.10017730496453901</v>
      </c>
      <c r="K39" s="433">
        <f t="shared" si="80"/>
        <v>9.7215315763301835E-2</v>
      </c>
      <c r="L39" s="49">
        <f t="shared" si="80"/>
        <v>0.10601719197707736</v>
      </c>
      <c r="M39" s="49">
        <f t="shared" si="80"/>
        <v>0.11231101511879049</v>
      </c>
      <c r="N39" s="49">
        <f t="shared" si="80"/>
        <v>0.11678115799803729</v>
      </c>
      <c r="O39" s="49">
        <f t="shared" si="80"/>
        <v>0.10677083333333333</v>
      </c>
      <c r="P39" s="433">
        <f t="shared" si="80"/>
        <v>0.11027992277992278</v>
      </c>
      <c r="Q39" s="49">
        <f t="shared" si="80"/>
        <v>0.10337972166998012</v>
      </c>
      <c r="R39" s="49">
        <f t="shared" si="80"/>
        <v>9.4565217391304343E-2</v>
      </c>
      <c r="S39" s="49">
        <f t="shared" si="80"/>
        <v>9.9904852521408183E-2</v>
      </c>
      <c r="T39" s="49">
        <f t="shared" si="80"/>
        <v>0.10464135021097046</v>
      </c>
      <c r="U39" s="433">
        <f t="shared" si="80"/>
        <v>0.10091302258529553</v>
      </c>
      <c r="V39" s="49">
        <f t="shared" si="80"/>
        <v>0.10019083969465649</v>
      </c>
      <c r="W39" s="49">
        <f t="shared" si="80"/>
        <v>9.1999999999999998E-2</v>
      </c>
      <c r="X39" s="49">
        <f t="shared" ref="X39:AY39" si="81">-X38/X$7</f>
        <v>9.7605893186003684E-2</v>
      </c>
      <c r="Y39" s="49">
        <f t="shared" si="81"/>
        <v>0.10526315789473684</v>
      </c>
      <c r="Z39" s="433">
        <f t="shared" si="81"/>
        <v>9.9134001823154058E-2</v>
      </c>
      <c r="AA39" s="49">
        <f t="shared" si="81"/>
        <v>0.10235507246376811</v>
      </c>
      <c r="AB39" s="49">
        <f t="shared" si="81"/>
        <v>9.3045112781954889E-2</v>
      </c>
      <c r="AC39" s="49">
        <f t="shared" si="81"/>
        <v>9.6802074330164217E-2</v>
      </c>
      <c r="AD39" s="49">
        <f t="shared" si="81"/>
        <v>9.5526914329037149E-2</v>
      </c>
      <c r="AE39" s="433">
        <f t="shared" si="81"/>
        <v>9.6899224806201556E-2</v>
      </c>
      <c r="AF39" s="49">
        <f t="shared" si="81"/>
        <v>0.10077519379844961</v>
      </c>
      <c r="AG39" s="49">
        <f t="shared" si="81"/>
        <v>9.9000908265213447E-2</v>
      </c>
      <c r="AH39" s="49">
        <f t="shared" si="81"/>
        <v>9.7502014504431911E-2</v>
      </c>
      <c r="AI39" s="49">
        <f t="shared" si="81"/>
        <v>9.4494047619047616E-2</v>
      </c>
      <c r="AJ39" s="433">
        <f t="shared" si="81"/>
        <v>9.7792448937487106E-2</v>
      </c>
      <c r="AK39" s="49">
        <f t="shared" si="81"/>
        <v>9.5238095238095233E-2</v>
      </c>
      <c r="AL39" s="49">
        <f t="shared" si="81"/>
        <v>9.1905564924114669E-2</v>
      </c>
      <c r="AM39" s="49">
        <f t="shared" si="81"/>
        <v>9.0909090909090912E-2</v>
      </c>
      <c r="AN39" s="49">
        <f t="shared" si="81"/>
        <v>9.0969899665551843E-2</v>
      </c>
      <c r="AO39" s="433">
        <f t="shared" si="81"/>
        <v>9.2167646501043046E-2</v>
      </c>
      <c r="AP39" s="49">
        <f t="shared" si="81"/>
        <v>8.5982658959537578E-2</v>
      </c>
      <c r="AQ39" s="49">
        <f t="shared" si="81"/>
        <v>8.7993421052631582E-2</v>
      </c>
      <c r="AR39" s="49">
        <f t="shared" si="81"/>
        <v>9.2592592592592587E-2</v>
      </c>
      <c r="AS39" s="49">
        <f t="shared" si="81"/>
        <v>9.8666666666666666E-2</v>
      </c>
      <c r="AT39" s="433">
        <f t="shared" si="81"/>
        <v>9.155963302752293E-2</v>
      </c>
      <c r="AU39" s="49">
        <f t="shared" si="81"/>
        <v>9.3630084420567916E-2</v>
      </c>
      <c r="AV39" s="49">
        <f t="shared" si="81"/>
        <v>0.10123456790123457</v>
      </c>
      <c r="AW39" s="49">
        <f t="shared" si="81"/>
        <v>9.4794094794094799E-2</v>
      </c>
      <c r="AX39" s="49">
        <f>-AX38/AX$7</f>
        <v>8.8873337998600421E-2</v>
      </c>
      <c r="AY39" s="433">
        <f t="shared" si="81"/>
        <v>9.4382881161635457E-2</v>
      </c>
      <c r="AZ39" s="49">
        <f t="shared" ref="AZ39:BN39" si="82">-AZ38/AZ$7</f>
        <v>9.3206951026856236E-2</v>
      </c>
      <c r="BA39" s="49">
        <f t="shared" si="82"/>
        <v>9.9236641221374045E-2</v>
      </c>
      <c r="BB39" s="49">
        <f t="shared" si="82"/>
        <v>9.5858895705521474E-2</v>
      </c>
      <c r="BC39" s="49">
        <f t="shared" si="82"/>
        <v>9.5816464237516871E-2</v>
      </c>
      <c r="BD39" s="433">
        <f t="shared" si="82"/>
        <v>9.5966354425540051E-2</v>
      </c>
      <c r="BE39" s="49">
        <f t="shared" si="82"/>
        <v>9.0421455938697312E-2</v>
      </c>
      <c r="BF39" s="49">
        <f t="shared" si="82"/>
        <v>9.4185094185094187E-2</v>
      </c>
      <c r="BG39" s="49">
        <f t="shared" si="82"/>
        <v>8.9935760171306209E-2</v>
      </c>
      <c r="BH39" s="49">
        <f>-BH38/BH$7</f>
        <v>7.9818299805321222E-2</v>
      </c>
      <c r="BI39" s="433">
        <f t="shared" si="82"/>
        <v>8.8149231894659841E-2</v>
      </c>
      <c r="BJ39" s="49">
        <f t="shared" si="82"/>
        <v>9.1180866965620333E-2</v>
      </c>
      <c r="BK39" s="49">
        <f t="shared" si="82"/>
        <v>8.7547169811320755E-2</v>
      </c>
      <c r="BL39" s="49">
        <f t="shared" si="82"/>
        <v>9.3418259023354558E-2</v>
      </c>
      <c r="BM39" s="49">
        <f>-BM38/BM$7</f>
        <v>8.4033613445378158E-2</v>
      </c>
      <c r="BN39" s="433">
        <f t="shared" si="82"/>
        <v>8.8920505068468783E-2</v>
      </c>
      <c r="BO39" s="49">
        <f t="shared" ref="BO39:BT39" si="83">-BO38/BO$7</f>
        <v>8.9352196574832468E-2</v>
      </c>
      <c r="BP39" s="49">
        <f t="shared" si="83"/>
        <v>9.3272171253822631E-2</v>
      </c>
      <c r="BQ39" s="49">
        <f t="shared" si="83"/>
        <v>8.7847730600292828E-2</v>
      </c>
      <c r="BR39" s="49">
        <f t="shared" si="83"/>
        <v>9.4188376753507011E-2</v>
      </c>
      <c r="BS39" s="433">
        <f t="shared" si="83"/>
        <v>9.1222343126586863E-2</v>
      </c>
      <c r="BT39" s="49">
        <f t="shared" si="83"/>
        <v>8.9497041420118342E-2</v>
      </c>
      <c r="BU39" s="49">
        <f t="shared" ref="BU39:BZ39" si="84">-BU38/BU$7</f>
        <v>9.442379182156134E-2</v>
      </c>
      <c r="BV39" s="49">
        <f t="shared" si="84"/>
        <v>8.8508208422555315E-2</v>
      </c>
      <c r="BW39" s="49">
        <f t="shared" si="84"/>
        <v>9.6981374438021836E-2</v>
      </c>
      <c r="BX39" s="433">
        <f t="shared" si="84"/>
        <v>9.2484526967285582E-2</v>
      </c>
      <c r="BY39" s="49">
        <f t="shared" si="84"/>
        <v>8.8489208633093522E-2</v>
      </c>
      <c r="BZ39" s="49">
        <f t="shared" si="84"/>
        <v>9.3680297397769521E-2</v>
      </c>
      <c r="CA39" s="49">
        <f t="shared" ref="CA39:CG39" si="85">-CA38/CA$7</f>
        <v>0.10238429172510519</v>
      </c>
      <c r="CB39" s="49">
        <f t="shared" si="85"/>
        <v>0.12</v>
      </c>
      <c r="CC39" s="433">
        <f t="shared" si="85"/>
        <v>0.1018920326332234</v>
      </c>
      <c r="CD39" s="49">
        <f t="shared" si="85"/>
        <v>8.8704088704088704E-2</v>
      </c>
      <c r="CE39" s="701">
        <f t="shared" si="85"/>
        <v>9.1038406827880516E-2</v>
      </c>
      <c r="CF39" s="701">
        <f t="shared" si="85"/>
        <v>0.10900473933649289</v>
      </c>
      <c r="CG39" s="701">
        <f t="shared" si="85"/>
        <v>0.11050394656952034</v>
      </c>
      <c r="CH39" s="433">
        <f>-CH38/CH7</f>
        <v>0.1002846140967688</v>
      </c>
      <c r="CI39" s="701">
        <f t="shared" ref="CI39:CJ39" si="86">-CI38/CI$7</f>
        <v>8.9333333333333334E-2</v>
      </c>
      <c r="CJ39" s="701">
        <f t="shared" si="86"/>
        <v>9.8870056497175146E-2</v>
      </c>
      <c r="CK39" s="49">
        <f>+CF39+CK40/10000</f>
        <v>0.10500473933649289</v>
      </c>
      <c r="CL39" s="49">
        <f ca="1">-CL38/CL$7</f>
        <v>0.11393361305096862</v>
      </c>
      <c r="CM39" s="433">
        <f>+CH39+CM40/10000</f>
        <v>0.1022846140967688</v>
      </c>
      <c r="CN39" s="49">
        <f>+CI39+CN40/10000</f>
        <v>8.9333333333333334E-2</v>
      </c>
      <c r="CO39" s="49">
        <f>+CJ39+CO40/10000</f>
        <v>9.8870056497175146E-2</v>
      </c>
      <c r="CP39" s="49">
        <f>+CK39+CP40/10000</f>
        <v>0.10500473933649289</v>
      </c>
      <c r="CQ39" s="49">
        <f ca="1">-CQ38/CQ$7</f>
        <v>0.11423678635798783</v>
      </c>
      <c r="CR39" s="433">
        <f>+CM39+CR40/10000</f>
        <v>0.1022846140967688</v>
      </c>
      <c r="CS39" s="49">
        <f>+CN39+CS40/10000</f>
        <v>8.9333333333333334E-2</v>
      </c>
      <c r="CT39" s="49">
        <f>+CO39+CT40/10000</f>
        <v>9.8870056497175146E-2</v>
      </c>
      <c r="CU39" s="49">
        <f>+CP39+CU40/10000</f>
        <v>0.10500473933649289</v>
      </c>
      <c r="CV39" s="49">
        <f ca="1">-CV38/CV$7</f>
        <v>0.11424592878998283</v>
      </c>
      <c r="CW39" s="433">
        <f>+CR39+CW40/10000</f>
        <v>0.1022846140967688</v>
      </c>
      <c r="CX39" s="49">
        <f>+CS39+CX40/10000</f>
        <v>8.9333333333333334E-2</v>
      </c>
      <c r="CY39" s="49">
        <f>+CT39+CY40/10000</f>
        <v>9.8870056497175146E-2</v>
      </c>
      <c r="CZ39" s="49">
        <f>+CU39+CZ40/10000</f>
        <v>0.10500473933649289</v>
      </c>
      <c r="DA39" s="49">
        <f ca="1">-DA38/DA$7</f>
        <v>0.11425507131318074</v>
      </c>
      <c r="DB39" s="433">
        <f>+CW39+DB40/10000</f>
        <v>0.1022846140967688</v>
      </c>
      <c r="DC39" s="49">
        <f>+CX39+DC40/10000</f>
        <v>8.9333333333333334E-2</v>
      </c>
      <c r="DD39" s="49">
        <f>+CY39+DD40/10000</f>
        <v>9.8870056497175146E-2</v>
      </c>
      <c r="DE39" s="49">
        <f>+CZ39+DE40/10000</f>
        <v>0.10500473933649289</v>
      </c>
      <c r="DF39" s="49">
        <f ca="1">-DF38/DF$7</f>
        <v>0.11426421284831494</v>
      </c>
      <c r="DG39" s="433">
        <f>+DB39+DG40/10000</f>
        <v>0.1022846140967688</v>
      </c>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row>
    <row r="40" spans="1:226" s="36" customFormat="1" ht="12" customHeight="1" x14ac:dyDescent="0.2">
      <c r="A40" s="80" t="s">
        <v>112</v>
      </c>
      <c r="B40" s="493"/>
      <c r="C40" s="493"/>
      <c r="D40" s="493"/>
      <c r="E40" s="493"/>
      <c r="F40" s="702"/>
      <c r="G40" s="493">
        <f t="shared" ref="G40:AO40" si="87">(G39-B39)*10000</f>
        <v>92.286553706658609</v>
      </c>
      <c r="H40" s="493">
        <f t="shared" si="87"/>
        <v>-33.590214822937085</v>
      </c>
      <c r="I40" s="493">
        <f t="shared" si="87"/>
        <v>60.896673799899489</v>
      </c>
      <c r="J40" s="493">
        <f t="shared" si="87"/>
        <v>139.70408412814868</v>
      </c>
      <c r="K40" s="702">
        <f t="shared" si="87"/>
        <v>70.282801496713006</v>
      </c>
      <c r="L40" s="493">
        <f t="shared" si="87"/>
        <v>54.074358795163782</v>
      </c>
      <c r="M40" s="493">
        <f t="shared" si="87"/>
        <v>266.28940710673248</v>
      </c>
      <c r="N40" s="493">
        <f t="shared" si="87"/>
        <v>160.9689602345274</v>
      </c>
      <c r="O40" s="493">
        <f t="shared" si="87"/>
        <v>65.935283687943155</v>
      </c>
      <c r="P40" s="702">
        <f t="shared" si="87"/>
        <v>130.64607016620946</v>
      </c>
      <c r="Q40" s="493">
        <f t="shared" si="87"/>
        <v>-26.374703070972394</v>
      </c>
      <c r="R40" s="493">
        <f t="shared" si="87"/>
        <v>-177.45797727486149</v>
      </c>
      <c r="S40" s="493">
        <f t="shared" si="87"/>
        <v>-168.76305476629105</v>
      </c>
      <c r="T40" s="493">
        <f t="shared" si="87"/>
        <v>-21.294831223628712</v>
      </c>
      <c r="U40" s="702">
        <f t="shared" si="87"/>
        <v>-93.669001946272559</v>
      </c>
      <c r="V40" s="493">
        <f t="shared" si="87"/>
        <v>-31.888819753236319</v>
      </c>
      <c r="W40" s="493">
        <f t="shared" si="87"/>
        <v>-25.652173913043448</v>
      </c>
      <c r="X40" s="493">
        <f t="shared" si="87"/>
        <v>-22.989593354044992</v>
      </c>
      <c r="Y40" s="493">
        <f t="shared" si="87"/>
        <v>6.2180768376637889</v>
      </c>
      <c r="Z40" s="702">
        <f t="shared" si="87"/>
        <v>-17.790207621414673</v>
      </c>
      <c r="AA40" s="493">
        <f t="shared" si="87"/>
        <v>21.642327691116236</v>
      </c>
      <c r="AB40" s="493">
        <f t="shared" si="87"/>
        <v>10.451127819548905</v>
      </c>
      <c r="AC40" s="493">
        <f t="shared" si="87"/>
        <v>-8.0381885583946655</v>
      </c>
      <c r="AD40" s="493">
        <f t="shared" si="87"/>
        <v>-97.362435656996865</v>
      </c>
      <c r="AE40" s="702">
        <f t="shared" si="87"/>
        <v>-22.34777016952502</v>
      </c>
      <c r="AF40" s="493">
        <f t="shared" si="87"/>
        <v>-15.798786653185015</v>
      </c>
      <c r="AG40" s="493">
        <f t="shared" si="87"/>
        <v>59.55795483258558</v>
      </c>
      <c r="AH40" s="493">
        <f t="shared" si="87"/>
        <v>6.9994017426769357</v>
      </c>
      <c r="AI40" s="493">
        <f t="shared" si="87"/>
        <v>-10.328667099895327</v>
      </c>
      <c r="AJ40" s="702">
        <f t="shared" si="87"/>
        <v>8.9322413128554992</v>
      </c>
      <c r="AK40" s="493">
        <f t="shared" si="87"/>
        <v>-55.37098560354378</v>
      </c>
      <c r="AL40" s="493">
        <f t="shared" si="87"/>
        <v>-70.953433410987785</v>
      </c>
      <c r="AM40" s="493">
        <f t="shared" si="87"/>
        <v>-65.929235953409986</v>
      </c>
      <c r="AN40" s="493">
        <f t="shared" si="87"/>
        <v>-35.24147953495774</v>
      </c>
      <c r="AO40" s="702">
        <f t="shared" si="87"/>
        <v>-56.248024364440596</v>
      </c>
      <c r="AP40" s="493">
        <f t="shared" ref="AP40:AY40" si="88">(AP39-AK39)*10000</f>
        <v>-92.554362785576544</v>
      </c>
      <c r="AQ40" s="493">
        <f t="shared" si="88"/>
        <v>-39.121438714830873</v>
      </c>
      <c r="AR40" s="493">
        <f t="shared" si="88"/>
        <v>16.835016835016759</v>
      </c>
      <c r="AS40" s="493">
        <f t="shared" si="88"/>
        <v>76.967670011148243</v>
      </c>
      <c r="AT40" s="702">
        <f t="shared" si="88"/>
        <v>-6.080134735201165</v>
      </c>
      <c r="AU40" s="493">
        <f t="shared" si="88"/>
        <v>76.474254610303376</v>
      </c>
      <c r="AV40" s="493">
        <f t="shared" si="88"/>
        <v>132.41146848602989</v>
      </c>
      <c r="AW40" s="493">
        <f t="shared" si="88"/>
        <v>22.015022015022119</v>
      </c>
      <c r="AX40" s="493">
        <f>(AX39-AS39)*10000</f>
        <v>-97.933286680662448</v>
      </c>
      <c r="AY40" s="702">
        <f t="shared" si="88"/>
        <v>28.232481341125272</v>
      </c>
      <c r="AZ40" s="493">
        <f t="shared" ref="AZ40:BN40" si="89">(AZ39-AU39)*10000</f>
        <v>-4.2313339371168048</v>
      </c>
      <c r="BA40" s="493">
        <f t="shared" si="89"/>
        <v>-19.979266798605259</v>
      </c>
      <c r="BB40" s="493">
        <f t="shared" si="89"/>
        <v>10.648009114266749</v>
      </c>
      <c r="BC40" s="722">
        <f t="shared" si="89"/>
        <v>69.431262389164502</v>
      </c>
      <c r="BD40" s="723">
        <f t="shared" si="89"/>
        <v>15.834732639045946</v>
      </c>
      <c r="BE40" s="493">
        <f t="shared" si="89"/>
        <v>-27.854950881589236</v>
      </c>
      <c r="BF40" s="493">
        <f t="shared" si="89"/>
        <v>-50.515470362798574</v>
      </c>
      <c r="BG40" s="493">
        <f t="shared" si="89"/>
        <v>-59.231355342152654</v>
      </c>
      <c r="BH40" s="722">
        <f>(BH39-BC39)*10000</f>
        <v>-159.98164432195651</v>
      </c>
      <c r="BI40" s="724">
        <f t="shared" si="89"/>
        <v>-78.171225308802107</v>
      </c>
      <c r="BJ40" s="493">
        <f t="shared" si="89"/>
        <v>7.5941102692302085</v>
      </c>
      <c r="BK40" s="493">
        <f t="shared" si="89"/>
        <v>-66.379243737734328</v>
      </c>
      <c r="BL40" s="493">
        <f t="shared" si="89"/>
        <v>34.824988520483494</v>
      </c>
      <c r="BM40" s="722">
        <f>(BM39-BH39)*10000</f>
        <v>42.153136400569366</v>
      </c>
      <c r="BN40" s="724">
        <f t="shared" si="89"/>
        <v>7.7127317380894231</v>
      </c>
      <c r="BO40" s="722">
        <f t="shared" ref="BO40:BX40" si="90">(BO39-BJ39)*10000</f>
        <v>-18.28670390787865</v>
      </c>
      <c r="BP40" s="722">
        <f t="shared" si="90"/>
        <v>57.250014425018762</v>
      </c>
      <c r="BQ40" s="722">
        <f t="shared" si="90"/>
        <v>-55.705284230617295</v>
      </c>
      <c r="BR40" s="722">
        <f t="shared" si="90"/>
        <v>101.54763308128852</v>
      </c>
      <c r="BS40" s="724">
        <f t="shared" si="90"/>
        <v>23.018380581180804</v>
      </c>
      <c r="BT40" s="722">
        <f t="shared" si="90"/>
        <v>1.4484484528587416</v>
      </c>
      <c r="BU40" s="722">
        <f t="shared" si="90"/>
        <v>11.516205677387092</v>
      </c>
      <c r="BV40" s="722">
        <f t="shared" si="90"/>
        <v>6.6047782226248684</v>
      </c>
      <c r="BW40" s="722">
        <f>(BW39-BR39)*10000</f>
        <v>27.929976845148254</v>
      </c>
      <c r="BX40" s="724">
        <f t="shared" si="90"/>
        <v>12.621838406987191</v>
      </c>
      <c r="BY40" s="722">
        <f t="shared" ref="BY40:CF40" si="91">(BY39-BT39)*10000</f>
        <v>-10.078327870248206</v>
      </c>
      <c r="BZ40" s="722">
        <f t="shared" si="91"/>
        <v>-7.4349442379181845</v>
      </c>
      <c r="CA40" s="722">
        <f t="shared" si="91"/>
        <v>138.76083302549873</v>
      </c>
      <c r="CB40" s="722">
        <f t="shared" si="91"/>
        <v>230.1862556197816</v>
      </c>
      <c r="CC40" s="724">
        <f t="shared" si="91"/>
        <v>94.075056659378149</v>
      </c>
      <c r="CD40" s="722">
        <f t="shared" si="91"/>
        <v>2.1488007099518258</v>
      </c>
      <c r="CE40" s="789">
        <f t="shared" si="91"/>
        <v>-26.41890569889005</v>
      </c>
      <c r="CF40" s="789">
        <f t="shared" si="91"/>
        <v>66.204476113877064</v>
      </c>
      <c r="CG40" s="789">
        <f>(CG39-CB39)*10000</f>
        <v>-94.960534304796568</v>
      </c>
      <c r="CH40" s="724">
        <f>(CH39-CC39)*10000</f>
        <v>-16.074185364546022</v>
      </c>
      <c r="CI40" s="789">
        <f>(CI39-CD39)*10000</f>
        <v>6.2924462924462965</v>
      </c>
      <c r="CJ40" s="789">
        <f>(CJ39-CE39)*10000</f>
        <v>78.316496692946302</v>
      </c>
      <c r="CK40" s="511">
        <v>-40</v>
      </c>
      <c r="CL40" s="513">
        <f ca="1">(CL39-CG39)*10000</f>
        <v>34.296664814482817</v>
      </c>
      <c r="CM40" s="512">
        <v>20</v>
      </c>
      <c r="CN40" s="511">
        <f>CR40</f>
        <v>0</v>
      </c>
      <c r="CO40" s="511">
        <f>CR40</f>
        <v>0</v>
      </c>
      <c r="CP40" s="511">
        <f>CR40</f>
        <v>0</v>
      </c>
      <c r="CQ40" s="513">
        <f ca="1">(CQ39-CL39)*10000</f>
        <v>3.0317330701920553</v>
      </c>
      <c r="CR40" s="512">
        <v>0</v>
      </c>
      <c r="CS40" s="511">
        <f>CW40</f>
        <v>0</v>
      </c>
      <c r="CT40" s="511">
        <f>CW40</f>
        <v>0</v>
      </c>
      <c r="CU40" s="511">
        <f>CW40</f>
        <v>0</v>
      </c>
      <c r="CV40" s="513">
        <f ca="1">(CV39-CQ39)*10000</f>
        <v>9.1424319949989785E-2</v>
      </c>
      <c r="CW40" s="512">
        <v>0</v>
      </c>
      <c r="CX40" s="511">
        <f>DB40</f>
        <v>0</v>
      </c>
      <c r="CY40" s="511">
        <f>DB40</f>
        <v>0</v>
      </c>
      <c r="CZ40" s="511">
        <f>DB40</f>
        <v>0</v>
      </c>
      <c r="DA40" s="513">
        <f ca="1">(DA39-CV39)*10000</f>
        <v>9.1425231979191945E-2</v>
      </c>
      <c r="DB40" s="512">
        <v>0</v>
      </c>
      <c r="DC40" s="511">
        <f>DG40</f>
        <v>0</v>
      </c>
      <c r="DD40" s="511">
        <f>DG40</f>
        <v>0</v>
      </c>
      <c r="DE40" s="511">
        <f>DG40</f>
        <v>0</v>
      </c>
      <c r="DF40" s="513">
        <f ca="1">(DF39-DA39)*10000</f>
        <v>9.1415351341911366E-2</v>
      </c>
      <c r="DG40" s="512">
        <v>0</v>
      </c>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row>
    <row r="41" spans="1:226" s="36" customFormat="1" ht="12" customHeight="1" x14ac:dyDescent="0.2">
      <c r="A41" s="36" t="s">
        <v>24</v>
      </c>
      <c r="B41" s="49"/>
      <c r="C41" s="49"/>
      <c r="D41" s="700"/>
      <c r="E41" s="49"/>
      <c r="F41" s="433"/>
      <c r="G41" s="49">
        <f t="shared" ref="G41:AB41" si="92">G38/B38-1</f>
        <v>0.125</v>
      </c>
      <c r="H41" s="49">
        <f t="shared" si="92"/>
        <v>-2.5641025641025661E-2</v>
      </c>
      <c r="I41" s="700">
        <f t="shared" si="92"/>
        <v>0.13186813186813184</v>
      </c>
      <c r="J41" s="49">
        <f t="shared" si="92"/>
        <v>0.18947368421052624</v>
      </c>
      <c r="K41" s="433">
        <f t="shared" si="92"/>
        <v>0.11079545454545459</v>
      </c>
      <c r="L41" s="49">
        <f t="shared" si="92"/>
        <v>0.1212121212121211</v>
      </c>
      <c r="M41" s="49">
        <f t="shared" si="92"/>
        <v>0.36842105263157898</v>
      </c>
      <c r="N41" s="700">
        <f t="shared" si="92"/>
        <v>0.15533980582524265</v>
      </c>
      <c r="O41" s="49">
        <f t="shared" si="92"/>
        <v>8.8495575221238854E-2</v>
      </c>
      <c r="P41" s="433">
        <f t="shared" si="92"/>
        <v>0.16879795396419439</v>
      </c>
      <c r="Q41" s="49">
        <f t="shared" si="92"/>
        <v>-6.3063063063063085E-2</v>
      </c>
      <c r="R41" s="49">
        <f t="shared" si="92"/>
        <v>-0.16346153846153844</v>
      </c>
      <c r="S41" s="700">
        <f t="shared" si="92"/>
        <v>-0.11764705882352944</v>
      </c>
      <c r="T41" s="49">
        <f t="shared" si="92"/>
        <v>8.1300813008129413E-3</v>
      </c>
      <c r="U41" s="433">
        <f t="shared" si="92"/>
        <v>-8.0962800875273522E-2</v>
      </c>
      <c r="V41" s="49">
        <f t="shared" si="92"/>
        <v>9.6153846153845812E-3</v>
      </c>
      <c r="W41" s="49">
        <f t="shared" si="92"/>
        <v>5.7471264367816133E-2</v>
      </c>
      <c r="X41" s="700">
        <f t="shared" si="92"/>
        <v>9.52380952380949E-3</v>
      </c>
      <c r="Y41" s="49">
        <f t="shared" si="92"/>
        <v>6.4516129032258007E-2</v>
      </c>
      <c r="Z41" s="433">
        <f t="shared" si="92"/>
        <v>3.5714285714285809E-2</v>
      </c>
      <c r="AA41" s="49">
        <f t="shared" si="92"/>
        <v>7.6190476190476142E-2</v>
      </c>
      <c r="AB41" s="49">
        <f t="shared" si="92"/>
        <v>7.6086956521739024E-2</v>
      </c>
      <c r="AC41" s="700">
        <f t="shared" ref="AC41:BB41" si="93">AC38/X38-1</f>
        <v>5.6603773584905648E-2</v>
      </c>
      <c r="AD41" s="49">
        <f t="shared" si="93"/>
        <v>-4.5454545454545414E-2</v>
      </c>
      <c r="AE41" s="433">
        <f t="shared" si="93"/>
        <v>3.4482758620689724E-2</v>
      </c>
      <c r="AF41" s="49">
        <f t="shared" si="93"/>
        <v>3.539823008849563E-2</v>
      </c>
      <c r="AG41" s="49">
        <f t="shared" si="93"/>
        <v>0.10101010101010099</v>
      </c>
      <c r="AH41" s="700">
        <f t="shared" si="93"/>
        <v>8.0357142857142794E-2</v>
      </c>
      <c r="AI41" s="49">
        <f t="shared" si="93"/>
        <v>7.9365079365079083E-3</v>
      </c>
      <c r="AJ41" s="433">
        <f t="shared" si="93"/>
        <v>5.3333333333333233E-2</v>
      </c>
      <c r="AK41" s="49">
        <f t="shared" si="93"/>
        <v>8.5470085470085166E-3</v>
      </c>
      <c r="AL41" s="49">
        <f t="shared" si="93"/>
        <v>0</v>
      </c>
      <c r="AM41" s="49">
        <f t="shared" si="93"/>
        <v>1.6528925619834656E-2</v>
      </c>
      <c r="AN41" s="49">
        <f t="shared" si="93"/>
        <v>7.0866141732283561E-2</v>
      </c>
      <c r="AO41" s="433">
        <f t="shared" si="93"/>
        <v>2.5316455696202445E-2</v>
      </c>
      <c r="AP41" s="49">
        <f t="shared" ref="AP41:AY41" si="94">AP38/AK38-1</f>
        <v>8.4745762711864181E-3</v>
      </c>
      <c r="AQ41" s="49">
        <f t="shared" si="94"/>
        <v>-1.834862385321101E-2</v>
      </c>
      <c r="AR41" s="49">
        <f t="shared" si="94"/>
        <v>1.6260162601626105E-2</v>
      </c>
      <c r="AS41" s="49">
        <f t="shared" si="94"/>
        <v>8.8235294117646967E-2</v>
      </c>
      <c r="AT41" s="433">
        <f t="shared" si="94"/>
        <v>2.6748971193415683E-2</v>
      </c>
      <c r="AU41" s="49">
        <f t="shared" si="94"/>
        <v>2.5210084033613356E-2</v>
      </c>
      <c r="AV41" s="49">
        <f t="shared" si="94"/>
        <v>0.14953271028037385</v>
      </c>
      <c r="AW41" s="49">
        <f t="shared" si="94"/>
        <v>-2.4000000000000021E-2</v>
      </c>
      <c r="AX41" s="49">
        <f t="shared" si="93"/>
        <v>-0.14189189189189189</v>
      </c>
      <c r="AY41" s="433">
        <f t="shared" si="94"/>
        <v>-1.0020040080160331E-2</v>
      </c>
      <c r="AZ41" s="49">
        <f t="shared" si="93"/>
        <v>-3.2786885245901676E-2</v>
      </c>
      <c r="BA41" s="49">
        <f t="shared" si="93"/>
        <v>-4.8780487804878092E-2</v>
      </c>
      <c r="BB41" s="49">
        <f t="shared" si="93"/>
        <v>2.4590163934426146E-2</v>
      </c>
      <c r="BC41" s="49">
        <f>BC38/AX38-1</f>
        <v>0.11811023622047245</v>
      </c>
      <c r="BD41" s="433">
        <f>BD38/AY38-1</f>
        <v>1.6194331983805599E-2</v>
      </c>
      <c r="BE41" s="49">
        <f>BE38/AZ38-1</f>
        <v>0</v>
      </c>
      <c r="BF41" s="49">
        <f>BF38/BA38-1</f>
        <v>-1.7094017094017144E-2</v>
      </c>
      <c r="BG41" s="49">
        <f t="shared" ref="BG41:CV41" si="95">BG38/BB38-1</f>
        <v>8.0000000000000071E-3</v>
      </c>
      <c r="BH41" s="49">
        <f t="shared" si="95"/>
        <v>-0.13380281690140849</v>
      </c>
      <c r="BI41" s="433">
        <f>BI38/BD38-1</f>
        <v>-3.9840637450199168E-2</v>
      </c>
      <c r="BJ41" s="49">
        <f>BJ38/BE38-1</f>
        <v>3.3898305084745672E-2</v>
      </c>
      <c r="BK41" s="49">
        <f t="shared" si="95"/>
        <v>8.6956521739129933E-3</v>
      </c>
      <c r="BL41" s="49">
        <f t="shared" si="95"/>
        <v>4.7619047619047672E-2</v>
      </c>
      <c r="BM41" s="49">
        <f t="shared" si="95"/>
        <v>5.6910569105691033E-2</v>
      </c>
      <c r="BN41" s="433">
        <f>BN38/BI38-1</f>
        <v>3.7344398340249052E-2</v>
      </c>
      <c r="BO41" s="49">
        <f t="shared" si="95"/>
        <v>-1.6393442622950838E-2</v>
      </c>
      <c r="BP41" s="49">
        <f t="shared" si="95"/>
        <v>5.1724137931034475E-2</v>
      </c>
      <c r="BQ41" s="49">
        <f t="shared" si="95"/>
        <v>-9.0909090909090939E-2</v>
      </c>
      <c r="BR41" s="49">
        <f t="shared" si="95"/>
        <v>8.4615384615384537E-2</v>
      </c>
      <c r="BS41" s="433">
        <f>BS38/BN38-1</f>
        <v>6.0000000000000053E-3</v>
      </c>
      <c r="BT41" s="701">
        <f>BT38/BO38-1</f>
        <v>8.3333333333333037E-3</v>
      </c>
      <c r="BU41" s="49">
        <f t="shared" si="95"/>
        <v>4.0983606557376984E-2</v>
      </c>
      <c r="BV41" s="49">
        <f t="shared" si="95"/>
        <v>3.3333333333333437E-2</v>
      </c>
      <c r="BW41" s="49">
        <f t="shared" si="95"/>
        <v>7.0921985815602939E-2</v>
      </c>
      <c r="BX41" s="433">
        <f>BX38/BS38-1</f>
        <v>3.9761431411530879E-2</v>
      </c>
      <c r="BY41" s="49">
        <f t="shared" si="95"/>
        <v>1.6528925619834656E-2</v>
      </c>
      <c r="BZ41" s="49">
        <f t="shared" si="95"/>
        <v>-7.8740157480314821E-3</v>
      </c>
      <c r="CA41" s="49">
        <f t="shared" si="95"/>
        <v>0.17741935483870974</v>
      </c>
      <c r="CB41" s="49">
        <f>CB38/BW38-1</f>
        <v>0.27152317880794707</v>
      </c>
      <c r="CC41" s="433">
        <f t="shared" si="95"/>
        <v>0.12237093690248568</v>
      </c>
      <c r="CD41" s="49">
        <f>CD38/BY38-1</f>
        <v>4.0650406504065151E-2</v>
      </c>
      <c r="CE41" s="701">
        <f>CE38/BZ38-1</f>
        <v>1.5873015873015817E-2</v>
      </c>
      <c r="CF41" s="701">
        <f>CF38/CA38-1</f>
        <v>0.10273972602739723</v>
      </c>
      <c r="CG41" s="701">
        <f t="shared" si="95"/>
        <v>-5.208333333333337E-2</v>
      </c>
      <c r="CH41" s="713">
        <f t="shared" si="95"/>
        <v>2.0442930153321992E-2</v>
      </c>
      <c r="CI41" s="701">
        <f t="shared" si="95"/>
        <v>4.6875E-2</v>
      </c>
      <c r="CJ41" s="701">
        <f t="shared" si="95"/>
        <v>9.375E-2</v>
      </c>
      <c r="CK41" s="49">
        <f t="shared" si="95"/>
        <v>-1.3075974544709545E-2</v>
      </c>
      <c r="CL41" s="49">
        <f t="shared" ca="1" si="95"/>
        <v>8.2620858427201016E-2</v>
      </c>
      <c r="CM41" s="433">
        <f t="shared" ca="1" si="95"/>
        <v>5.1639005562691631E-2</v>
      </c>
      <c r="CN41" s="49">
        <f t="shared" si="95"/>
        <v>5.5624041910116606E-2</v>
      </c>
      <c r="CO41" s="49">
        <f t="shared" si="95"/>
        <v>6.8840430512484563E-2</v>
      </c>
      <c r="CP41" s="49">
        <f t="shared" si="95"/>
        <v>6.9232198009455459E-2</v>
      </c>
      <c r="CQ41" s="49">
        <f t="shared" ca="1" si="95"/>
        <v>3.196794399459435E-2</v>
      </c>
      <c r="CR41" s="433">
        <f t="shared" ca="1" si="95"/>
        <v>5.4594458547873925E-2</v>
      </c>
      <c r="CS41" s="49">
        <f t="shared" si="95"/>
        <v>2.3497268820320549E-2</v>
      </c>
      <c r="CT41" s="49">
        <f t="shared" si="95"/>
        <v>2.4031806897848229E-2</v>
      </c>
      <c r="CU41" s="49">
        <f t="shared" si="95"/>
        <v>2.3526637876859935E-2</v>
      </c>
      <c r="CV41" s="49">
        <f t="shared" ca="1" si="95"/>
        <v>2.2920511455599035E-2</v>
      </c>
      <c r="CW41" s="433">
        <f ca="1">CW37/CR38-1</f>
        <v>-1</v>
      </c>
      <c r="CX41" s="49">
        <f>CX38/CS38-1</f>
        <v>2.360038977989265E-2</v>
      </c>
      <c r="CY41" s="49">
        <f>CY38/CT38-1</f>
        <v>2.4142430200832843E-2</v>
      </c>
      <c r="CZ41" s="49">
        <f>CZ38/CU38-1</f>
        <v>2.3634242745996126E-2</v>
      </c>
      <c r="DA41" s="49">
        <f ca="1">DA38/CV38-1</f>
        <v>2.3025093636547034E-2</v>
      </c>
      <c r="DB41" s="433">
        <f ca="1">DB37/CW38-1</f>
        <v>-1</v>
      </c>
      <c r="DC41" s="49">
        <f>DC38/CX38-1</f>
        <v>2.3704904304202357E-2</v>
      </c>
      <c r="DD41" s="49">
        <f>DD38/CY38-1</f>
        <v>2.4254440097441154E-2</v>
      </c>
      <c r="DE41" s="49">
        <f>DE38/CZ38-1</f>
        <v>2.3743276144444714E-2</v>
      </c>
      <c r="DF41" s="49">
        <f ca="1">DF38/DA38-1</f>
        <v>2.313114372225944E-2</v>
      </c>
      <c r="DG41" s="433">
        <f ca="1">DG37/DB38-1</f>
        <v>-1</v>
      </c>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row>
    <row r="42" spans="1:226" s="36" customFormat="1" ht="4.5" customHeight="1" x14ac:dyDescent="0.2">
      <c r="B42" s="655"/>
      <c r="C42" s="655"/>
      <c r="D42" s="655"/>
      <c r="E42" s="655"/>
      <c r="F42" s="434"/>
      <c r="G42" s="655"/>
      <c r="H42" s="655"/>
      <c r="I42" s="655"/>
      <c r="J42" s="655"/>
      <c r="K42" s="434"/>
      <c r="L42" s="655"/>
      <c r="M42" s="655"/>
      <c r="N42" s="655"/>
      <c r="O42" s="655"/>
      <c r="P42" s="434"/>
      <c r="Q42" s="655"/>
      <c r="R42" s="655"/>
      <c r="S42" s="655"/>
      <c r="T42" s="655"/>
      <c r="U42" s="434"/>
      <c r="V42" s="655"/>
      <c r="W42" s="655"/>
      <c r="X42" s="655"/>
      <c r="Y42" s="655"/>
      <c r="Z42" s="434"/>
      <c r="AA42" s="655"/>
      <c r="AB42" s="655"/>
      <c r="AC42" s="655"/>
      <c r="AD42" s="655"/>
      <c r="AE42" s="434"/>
      <c r="AF42" s="655"/>
      <c r="AG42" s="655"/>
      <c r="AH42" s="655"/>
      <c r="AI42" s="655"/>
      <c r="AJ42" s="434"/>
      <c r="AK42" s="655"/>
      <c r="AL42" s="655"/>
      <c r="AM42" s="655"/>
      <c r="AN42" s="655"/>
      <c r="AO42" s="434"/>
      <c r="AP42" s="655"/>
      <c r="AQ42" s="655"/>
      <c r="AR42" s="655"/>
      <c r="AS42" s="49"/>
      <c r="AT42" s="434"/>
      <c r="AU42" s="49"/>
      <c r="AV42" s="49"/>
      <c r="AW42" s="49"/>
      <c r="AX42" s="49"/>
      <c r="AY42" s="434"/>
      <c r="AZ42" s="49"/>
      <c r="BA42" s="49"/>
      <c r="BB42" s="49"/>
      <c r="BC42" s="49"/>
      <c r="BD42" s="434"/>
      <c r="BE42" s="49"/>
      <c r="BF42" s="49"/>
      <c r="BG42" s="49"/>
      <c r="BH42" s="49"/>
      <c r="BI42" s="434"/>
      <c r="BJ42" s="49"/>
      <c r="BK42" s="49"/>
      <c r="BL42" s="49"/>
      <c r="BM42" s="49"/>
      <c r="BN42" s="434"/>
      <c r="BO42" s="49"/>
      <c r="BP42" s="49"/>
      <c r="BQ42" s="49"/>
      <c r="BR42" s="49"/>
      <c r="BS42" s="434"/>
      <c r="BT42" s="701"/>
      <c r="BU42" s="49"/>
      <c r="BV42" s="49"/>
      <c r="BW42" s="49"/>
      <c r="BX42" s="434"/>
      <c r="BY42" s="49"/>
      <c r="BZ42" s="49"/>
      <c r="CA42" s="49"/>
      <c r="CB42" s="49"/>
      <c r="CC42" s="434"/>
      <c r="CD42" s="49"/>
      <c r="CE42" s="701"/>
      <c r="CF42" s="49"/>
      <c r="CG42" s="49"/>
      <c r="CH42" s="449"/>
      <c r="CI42" s="49"/>
      <c r="CJ42" s="49"/>
      <c r="CK42" s="49"/>
      <c r="CL42" s="49"/>
      <c r="CM42" s="434"/>
      <c r="CN42" s="49"/>
      <c r="CO42" s="49"/>
      <c r="CP42" s="49"/>
      <c r="CQ42" s="49"/>
      <c r="CR42" s="434"/>
      <c r="CS42" s="49"/>
      <c r="CT42" s="49"/>
      <c r="CU42" s="49"/>
      <c r="CV42" s="49"/>
      <c r="CW42" s="434"/>
      <c r="CX42" s="49"/>
      <c r="CY42" s="49"/>
      <c r="CZ42" s="49"/>
      <c r="DA42" s="49"/>
      <c r="DB42" s="434"/>
      <c r="DC42" s="49"/>
      <c r="DD42" s="49"/>
      <c r="DE42" s="49"/>
      <c r="DF42" s="49"/>
      <c r="DG42" s="434"/>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row>
    <row r="43" spans="1:226" s="35" customFormat="1" ht="12" customHeight="1" x14ac:dyDescent="0.2">
      <c r="A43" s="355" t="s">
        <v>30</v>
      </c>
      <c r="B43" s="655">
        <v>-14</v>
      </c>
      <c r="C43" s="655">
        <v>-17</v>
      </c>
      <c r="D43" s="655">
        <v>-16</v>
      </c>
      <c r="E43" s="655">
        <v>-20</v>
      </c>
      <c r="F43" s="712">
        <f>SUM(B43:E43)</f>
        <v>-67</v>
      </c>
      <c r="G43" s="655">
        <v>-16</v>
      </c>
      <c r="H43" s="655">
        <v>-16</v>
      </c>
      <c r="I43" s="655">
        <v>-15</v>
      </c>
      <c r="J43" s="655">
        <v>-20</v>
      </c>
      <c r="K43" s="712">
        <f>SUM(G43:J43)</f>
        <v>-67</v>
      </c>
      <c r="L43" s="655">
        <v>-15</v>
      </c>
      <c r="M43" s="655">
        <v>-18</v>
      </c>
      <c r="N43" s="655">
        <v>-20</v>
      </c>
      <c r="O43" s="655">
        <v>-23</v>
      </c>
      <c r="P43" s="712">
        <f>SUM(L43:O43)</f>
        <v>-76</v>
      </c>
      <c r="Q43" s="655">
        <v>-19</v>
      </c>
      <c r="R43" s="655">
        <v>-20</v>
      </c>
      <c r="S43" s="655">
        <v>-22</v>
      </c>
      <c r="T43" s="655">
        <v>-23</v>
      </c>
      <c r="U43" s="712">
        <f>SUM(Q43:T43)</f>
        <v>-84</v>
      </c>
      <c r="V43" s="655">
        <v>-21</v>
      </c>
      <c r="W43" s="655">
        <v>-21</v>
      </c>
      <c r="X43" s="655">
        <v>-22</v>
      </c>
      <c r="Y43" s="655">
        <v>-24</v>
      </c>
      <c r="Z43" s="712">
        <f>SUM(V43:Y43)</f>
        <v>-88</v>
      </c>
      <c r="AA43" s="655">
        <v>-23</v>
      </c>
      <c r="AB43" s="655">
        <v>-25</v>
      </c>
      <c r="AC43" s="655">
        <v>-25</v>
      </c>
      <c r="AD43" s="655">
        <v>-26</v>
      </c>
      <c r="AE43" s="712">
        <f>SUM(AA43:AD43)</f>
        <v>-99</v>
      </c>
      <c r="AF43" s="655">
        <v>-26</v>
      </c>
      <c r="AG43" s="655">
        <v>-27</v>
      </c>
      <c r="AH43" s="655">
        <v>-26</v>
      </c>
      <c r="AI43" s="655">
        <v>-29</v>
      </c>
      <c r="AJ43" s="712">
        <f>SUM(AF43:AI43)</f>
        <v>-108</v>
      </c>
      <c r="AK43" s="655">
        <v>-23</v>
      </c>
      <c r="AL43" s="655">
        <v>-28</v>
      </c>
      <c r="AM43" s="655">
        <v>-27</v>
      </c>
      <c r="AN43" s="655">
        <v>-33</v>
      </c>
      <c r="AO43" s="712">
        <f>SUM(AK43:AN43)</f>
        <v>-111</v>
      </c>
      <c r="AP43" s="655">
        <v>-27</v>
      </c>
      <c r="AQ43" s="655">
        <v>-27</v>
      </c>
      <c r="AR43" s="655">
        <v>-27</v>
      </c>
      <c r="AS43" s="655">
        <v>-33</v>
      </c>
      <c r="AT43" s="712">
        <f>SUM(AP43:AS43)</f>
        <v>-114</v>
      </c>
      <c r="AU43" s="655">
        <v>-26</v>
      </c>
      <c r="AV43" s="655">
        <v>-29</v>
      </c>
      <c r="AW43" s="655">
        <v>-30</v>
      </c>
      <c r="AX43" s="36">
        <v>-33</v>
      </c>
      <c r="AY43" s="712">
        <v>-118</v>
      </c>
      <c r="AZ43" s="655">
        <v>-29</v>
      </c>
      <c r="BA43" s="655">
        <v>-28</v>
      </c>
      <c r="BB43" s="655">
        <v>-29</v>
      </c>
      <c r="BC43" s="36">
        <v>-29</v>
      </c>
      <c r="BD43" s="712">
        <f>SUM(AZ43:BC43)</f>
        <v>-115</v>
      </c>
      <c r="BE43" s="655">
        <v>-28</v>
      </c>
      <c r="BF43" s="655">
        <v>-29</v>
      </c>
      <c r="BG43" s="655">
        <v>-30</v>
      </c>
      <c r="BH43" s="36">
        <v>-34</v>
      </c>
      <c r="BI43" s="712">
        <f>SUM(BE43:BH43)</f>
        <v>-121</v>
      </c>
      <c r="BJ43" s="655">
        <v>-30</v>
      </c>
      <c r="BK43" s="655">
        <v>-31</v>
      </c>
      <c r="BL43" s="655">
        <v>-34</v>
      </c>
      <c r="BM43" s="36">
        <v>-35</v>
      </c>
      <c r="BN43" s="712">
        <f>SUM(BJ43:BM43)</f>
        <v>-130</v>
      </c>
      <c r="BO43" s="655">
        <v>-31</v>
      </c>
      <c r="BP43" s="655">
        <v>-31</v>
      </c>
      <c r="BQ43" s="655">
        <v>-28</v>
      </c>
      <c r="BR43" s="655">
        <v>-35</v>
      </c>
      <c r="BS43" s="712">
        <f>SUM(BO43:BR43)</f>
        <v>-125</v>
      </c>
      <c r="BT43" s="721">
        <v>-30</v>
      </c>
      <c r="BU43" s="721">
        <v>-33</v>
      </c>
      <c r="BV43" s="721">
        <v>-34</v>
      </c>
      <c r="BW43" s="721">
        <v>-39</v>
      </c>
      <c r="BX43" s="712">
        <f>SUM(BT43:BW43)</f>
        <v>-136</v>
      </c>
      <c r="BY43" s="655">
        <v>-30</v>
      </c>
      <c r="BZ43" s="655">
        <v>-34</v>
      </c>
      <c r="CA43" s="655">
        <v>-35</v>
      </c>
      <c r="CB43" s="655">
        <v>-42</v>
      </c>
      <c r="CC43" s="712">
        <f>SUM(BY43:CB43)</f>
        <v>-141</v>
      </c>
      <c r="CD43" s="655">
        <v>-31</v>
      </c>
      <c r="CE43" s="634">
        <v>-32</v>
      </c>
      <c r="CF43" s="634">
        <v>-35</v>
      </c>
      <c r="CG43" s="634">
        <v>-37</v>
      </c>
      <c r="CH43" s="712">
        <f>SUM(CD43:CG43)</f>
        <v>-135</v>
      </c>
      <c r="CI43" s="634">
        <v>-32</v>
      </c>
      <c r="CJ43" s="634">
        <v>-31</v>
      </c>
      <c r="CK43" s="37">
        <f>-CK7*CK44</f>
        <v>-35.101572596909996</v>
      </c>
      <c r="CL43" s="36">
        <f ca="1">CM43-SUM(CI43:CK43)</f>
        <v>-38.014380319795237</v>
      </c>
      <c r="CM43" s="439">
        <f ca="1">-CM44*CM7</f>
        <v>-136.11595291670523</v>
      </c>
      <c r="CN43" s="37">
        <f>-CN7*CN44</f>
        <v>-33.779969341123731</v>
      </c>
      <c r="CO43" s="37">
        <f>-CO7*CO44</f>
        <v>-33.134053345887025</v>
      </c>
      <c r="CP43" s="37">
        <f>-CP7*CP44</f>
        <v>-37.531731621382548</v>
      </c>
      <c r="CQ43" s="36">
        <f ca="1">CR43-SUM(CN43:CP43)</f>
        <v>-39.101375357527331</v>
      </c>
      <c r="CR43" s="439">
        <f ca="1">-CR44*CR7</f>
        <v>-143.54712966592064</v>
      </c>
      <c r="CS43" s="37">
        <f>-CS7*CS44</f>
        <v>-34.573706361474301</v>
      </c>
      <c r="CT43" s="37">
        <f>-CT7*CT44</f>
        <v>-33.930324517638383</v>
      </c>
      <c r="CU43" s="37">
        <f>-CU7*CU44</f>
        <v>-38.414727080130305</v>
      </c>
      <c r="CV43" s="36">
        <f ca="1">CW43-SUM(CS43:CU43)</f>
        <v>-39.994358069067331</v>
      </c>
      <c r="CW43" s="439">
        <f ca="1">-CW44*CW7</f>
        <v>-146.91311602831033</v>
      </c>
      <c r="CX43" s="37">
        <f>-CX7*CX44</f>
        <v>-35.389659307740644</v>
      </c>
      <c r="CY43" s="37">
        <f>-CY7*CY44</f>
        <v>-34.749485008997077</v>
      </c>
      <c r="CZ43" s="37">
        <f>-CZ7*CZ44</f>
        <v>-39.322630064963299</v>
      </c>
      <c r="DA43" s="36">
        <f ca="1">DB43-SUM(CX43:CZ43)</f>
        <v>-40.911911776009902</v>
      </c>
      <c r="DB43" s="439">
        <f ca="1">-DB44*DB7</f>
        <v>-150.37368615771092</v>
      </c>
      <c r="DC43" s="37">
        <f>-DC7*DC44</f>
        <v>-36.228567794988969</v>
      </c>
      <c r="DD43" s="37">
        <f>-DD7*DD44</f>
        <v>-35.592314311564728</v>
      </c>
      <c r="DE43" s="37">
        <f>-DE7*DE44</f>
        <v>-40.256278129321565</v>
      </c>
      <c r="DF43" s="36">
        <f ca="1">DG43-SUM(DC43:DE43)</f>
        <v>-41.854849688971285</v>
      </c>
      <c r="DG43" s="439">
        <f ca="1">-DG44*DG7</f>
        <v>-153.93200992484654</v>
      </c>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row>
    <row r="44" spans="1:226" s="36" customFormat="1" ht="12" customHeight="1" x14ac:dyDescent="0.2">
      <c r="A44" s="36" t="s">
        <v>29</v>
      </c>
      <c r="B44" s="49">
        <f t="shared" ref="B44:W44" si="96">-B43/B$7</f>
        <v>1.4537902388369679E-2</v>
      </c>
      <c r="C44" s="49">
        <f t="shared" si="96"/>
        <v>1.9406392694063926E-2</v>
      </c>
      <c r="D44" s="700">
        <f t="shared" si="96"/>
        <v>1.6632016632016633E-2</v>
      </c>
      <c r="E44" s="700">
        <f t="shared" si="96"/>
        <v>1.8148820326678767E-2</v>
      </c>
      <c r="F44" s="433">
        <f t="shared" si="96"/>
        <v>1.7166282346912632E-2</v>
      </c>
      <c r="G44" s="49">
        <f t="shared" si="96"/>
        <v>1.6260162601626018E-2</v>
      </c>
      <c r="H44" s="49">
        <f t="shared" si="96"/>
        <v>1.8038331454340473E-2</v>
      </c>
      <c r="I44" s="700">
        <f t="shared" si="96"/>
        <v>1.466275659824047E-2</v>
      </c>
      <c r="J44" s="700">
        <f t="shared" si="96"/>
        <v>1.7730496453900711E-2</v>
      </c>
      <c r="K44" s="433">
        <f t="shared" si="96"/>
        <v>1.6658378915962207E-2</v>
      </c>
      <c r="L44" s="49">
        <f t="shared" si="96"/>
        <v>1.4326647564469915E-2</v>
      </c>
      <c r="M44" s="49">
        <f t="shared" si="96"/>
        <v>1.9438444924406047E-2</v>
      </c>
      <c r="N44" s="700">
        <f t="shared" si="96"/>
        <v>1.9627085377821395E-2</v>
      </c>
      <c r="O44" s="700">
        <f t="shared" si="96"/>
        <v>1.9965277777777776E-2</v>
      </c>
      <c r="P44" s="433">
        <f t="shared" si="96"/>
        <v>1.8339768339768341E-2</v>
      </c>
      <c r="Q44" s="49">
        <f t="shared" si="96"/>
        <v>1.8886679920477135E-2</v>
      </c>
      <c r="R44" s="49">
        <f t="shared" si="96"/>
        <v>2.1739130434782608E-2</v>
      </c>
      <c r="S44" s="700">
        <f t="shared" si="96"/>
        <v>2.093244529019981E-2</v>
      </c>
      <c r="T44" s="700">
        <f t="shared" si="96"/>
        <v>1.9409282700421943E-2</v>
      </c>
      <c r="U44" s="433">
        <f t="shared" si="96"/>
        <v>2.0182604517059107E-2</v>
      </c>
      <c r="V44" s="49">
        <f t="shared" si="96"/>
        <v>2.0038167938931296E-2</v>
      </c>
      <c r="W44" s="49">
        <f t="shared" si="96"/>
        <v>2.1000000000000001E-2</v>
      </c>
      <c r="X44" s="700">
        <f t="shared" ref="X44:AY44" si="97">-X43/X$7</f>
        <v>2.0257826887661142E-2</v>
      </c>
      <c r="Y44" s="700">
        <f t="shared" si="97"/>
        <v>1.9138755980861243E-2</v>
      </c>
      <c r="Z44" s="433">
        <f t="shared" si="97"/>
        <v>2.0054694621695533E-2</v>
      </c>
      <c r="AA44" s="49">
        <f t="shared" si="97"/>
        <v>2.0833333333333332E-2</v>
      </c>
      <c r="AB44" s="49">
        <f t="shared" si="97"/>
        <v>2.3496240601503758E-2</v>
      </c>
      <c r="AC44" s="700">
        <f t="shared" si="97"/>
        <v>2.1607605877268798E-2</v>
      </c>
      <c r="AD44" s="700">
        <f t="shared" si="97"/>
        <v>1.9711902956785442E-2</v>
      </c>
      <c r="AE44" s="433">
        <f t="shared" si="97"/>
        <v>2.1317829457364341E-2</v>
      </c>
      <c r="AF44" s="49">
        <f t="shared" si="97"/>
        <v>2.2394487510766579E-2</v>
      </c>
      <c r="AG44" s="49">
        <f t="shared" si="97"/>
        <v>2.4523160762942781E-2</v>
      </c>
      <c r="AH44" s="700">
        <f t="shared" si="97"/>
        <v>2.0950846091861403E-2</v>
      </c>
      <c r="AI44" s="700">
        <f t="shared" si="97"/>
        <v>2.1577380952380952E-2</v>
      </c>
      <c r="AJ44" s="433">
        <f t="shared" si="97"/>
        <v>2.2281823808541365E-2</v>
      </c>
      <c r="AK44" s="700">
        <f t="shared" si="97"/>
        <v>1.8563357546408393E-2</v>
      </c>
      <c r="AL44" s="700">
        <f t="shared" si="97"/>
        <v>2.3608768971332208E-2</v>
      </c>
      <c r="AM44" s="700">
        <f t="shared" si="97"/>
        <v>1.9955654101995565E-2</v>
      </c>
      <c r="AN44" s="700">
        <f t="shared" si="97"/>
        <v>2.2073578595317726E-2</v>
      </c>
      <c r="AO44" s="433">
        <f t="shared" si="97"/>
        <v>2.1050635311966621E-2</v>
      </c>
      <c r="AP44" s="700">
        <f t="shared" si="97"/>
        <v>1.9508670520231215E-2</v>
      </c>
      <c r="AQ44" s="700">
        <f t="shared" si="97"/>
        <v>2.2203947368421052E-2</v>
      </c>
      <c r="AR44" s="700">
        <f t="shared" si="97"/>
        <v>0.02</v>
      </c>
      <c r="AS44" s="49">
        <f t="shared" si="97"/>
        <v>2.1999999999999999E-2</v>
      </c>
      <c r="AT44" s="433">
        <f t="shared" si="97"/>
        <v>2.0917431192660551E-2</v>
      </c>
      <c r="AU44" s="49">
        <f t="shared" si="97"/>
        <v>1.9953952417498082E-2</v>
      </c>
      <c r="AV44" s="49">
        <f t="shared" si="97"/>
        <v>2.3868312757201648E-2</v>
      </c>
      <c r="AW44" s="49">
        <f t="shared" si="97"/>
        <v>2.3310023310023312E-2</v>
      </c>
      <c r="AX44" s="49">
        <f>-AX43/AX$7</f>
        <v>2.3093072078376489E-2</v>
      </c>
      <c r="AY44" s="433">
        <f t="shared" si="97"/>
        <v>2.2544898739014139E-2</v>
      </c>
      <c r="AZ44" s="49">
        <f t="shared" ref="AZ44:BN44" si="98">-AZ43/AZ$7</f>
        <v>2.2906793048973143E-2</v>
      </c>
      <c r="BA44" s="49">
        <f t="shared" si="98"/>
        <v>2.3748939779474131E-2</v>
      </c>
      <c r="BB44" s="49">
        <f t="shared" si="98"/>
        <v>2.2239263803680982E-2</v>
      </c>
      <c r="BC44" s="49">
        <f t="shared" si="98"/>
        <v>1.9568151147098516E-2</v>
      </c>
      <c r="BD44" s="433">
        <f t="shared" si="98"/>
        <v>2.198432422099025E-2</v>
      </c>
      <c r="BE44" s="49">
        <f t="shared" si="98"/>
        <v>2.1455938697318006E-2</v>
      </c>
      <c r="BF44" s="49">
        <f t="shared" si="98"/>
        <v>2.375102375102375E-2</v>
      </c>
      <c r="BG44" s="49">
        <f t="shared" si="98"/>
        <v>2.1413276231263382E-2</v>
      </c>
      <c r="BH44" s="49">
        <f>-BH43/BH$7</f>
        <v>2.2063595068137574E-2</v>
      </c>
      <c r="BI44" s="713">
        <f t="shared" si="98"/>
        <v>2.2128749085588879E-2</v>
      </c>
      <c r="BJ44" s="49">
        <f t="shared" si="98"/>
        <v>2.2421524663677129E-2</v>
      </c>
      <c r="BK44" s="49">
        <f t="shared" si="98"/>
        <v>2.339622641509434E-2</v>
      </c>
      <c r="BL44" s="49">
        <f t="shared" si="98"/>
        <v>2.4062278839348902E-2</v>
      </c>
      <c r="BM44" s="49">
        <f>-BM43/BM$7</f>
        <v>2.2624434389140271E-2</v>
      </c>
      <c r="BN44" s="713">
        <f t="shared" si="98"/>
        <v>2.3119331317801885E-2</v>
      </c>
      <c r="BO44" s="49">
        <f t="shared" ref="BO44:BT44" si="99">-BO43/BO$7</f>
        <v>2.3082650781831721E-2</v>
      </c>
      <c r="BP44" s="49">
        <f t="shared" si="99"/>
        <v>2.3700305810397553E-2</v>
      </c>
      <c r="BQ44" s="49">
        <f t="shared" si="99"/>
        <v>2.0497803806734993E-2</v>
      </c>
      <c r="BR44" s="49">
        <f t="shared" si="99"/>
        <v>2.3380093520374082E-2</v>
      </c>
      <c r="BS44" s="713">
        <f t="shared" si="99"/>
        <v>2.266956837141821E-2</v>
      </c>
      <c r="BT44" s="49">
        <f t="shared" si="99"/>
        <v>2.2189349112426034E-2</v>
      </c>
      <c r="BU44" s="49">
        <f t="shared" ref="BU44:BZ44" si="100">-BU43/BU$7</f>
        <v>2.4535315985130111E-2</v>
      </c>
      <c r="BV44" s="49">
        <f t="shared" si="100"/>
        <v>2.4268379728765169E-2</v>
      </c>
      <c r="BW44" s="49">
        <f t="shared" si="100"/>
        <v>2.5048169556840076E-2</v>
      </c>
      <c r="BX44" s="713">
        <f t="shared" si="100"/>
        <v>2.404951370468612E-2</v>
      </c>
      <c r="BY44" s="49">
        <f t="shared" si="100"/>
        <v>2.1582733812949641E-2</v>
      </c>
      <c r="BZ44" s="49">
        <f t="shared" si="100"/>
        <v>2.5278810408921933E-2</v>
      </c>
      <c r="CA44" s="49">
        <f t="shared" ref="CA44:CG44" si="101">-CA43/CA$7</f>
        <v>2.4544179523141654E-2</v>
      </c>
      <c r="CB44" s="49">
        <f t="shared" si="101"/>
        <v>2.6249999999999999E-2</v>
      </c>
      <c r="CC44" s="713">
        <f t="shared" si="101"/>
        <v>2.4474917549036624E-2</v>
      </c>
      <c r="CD44" s="49">
        <f t="shared" si="101"/>
        <v>2.1483021483021482E-2</v>
      </c>
      <c r="CE44" s="701">
        <f t="shared" si="101"/>
        <v>2.2759601706970129E-2</v>
      </c>
      <c r="CF44" s="701">
        <f t="shared" si="101"/>
        <v>2.3696682464454975E-2</v>
      </c>
      <c r="CG44" s="701">
        <f t="shared" si="101"/>
        <v>2.2465088038858532E-2</v>
      </c>
      <c r="CH44" s="713">
        <f>-CH43/CH7</f>
        <v>2.2601707684580613E-2</v>
      </c>
      <c r="CI44" s="701">
        <f t="shared" ref="CI44:CJ44" si="102">-CI43/CI$7</f>
        <v>2.1333333333333333E-2</v>
      </c>
      <c r="CJ44" s="701">
        <f t="shared" si="102"/>
        <v>2.1892655367231638E-2</v>
      </c>
      <c r="CK44" s="49">
        <f>+CF44+CK45/10000</f>
        <v>2.3196682464454974E-2</v>
      </c>
      <c r="CL44" s="49">
        <f ca="1">-CL43/CL$7</f>
        <v>2.1981230837430053E-2</v>
      </c>
      <c r="CM44" s="433">
        <f>+CH44+CM45/10000</f>
        <v>2.2101707684580613E-2</v>
      </c>
      <c r="CN44" s="49">
        <f>+CI44+CN45/10000</f>
        <v>2.1333333333333333E-2</v>
      </c>
      <c r="CO44" s="49">
        <f>+CJ44+CO45/10000</f>
        <v>2.1892655367231638E-2</v>
      </c>
      <c r="CP44" s="49">
        <f>+CK44+CP45/10000</f>
        <v>2.3196682464454974E-2</v>
      </c>
      <c r="CQ44" s="49">
        <f ca="1">-CQ43/CQ$7</f>
        <v>2.1967671504055018E-2</v>
      </c>
      <c r="CR44" s="433">
        <f>+CM44+CR45/10000</f>
        <v>2.2101707684580613E-2</v>
      </c>
      <c r="CS44" s="49">
        <f>+CN44+CS45/10000</f>
        <v>2.1333333333333333E-2</v>
      </c>
      <c r="CT44" s="49">
        <f>+CO44+CT45/10000</f>
        <v>2.1892655367231638E-2</v>
      </c>
      <c r="CU44" s="49">
        <f>+CP44+CU45/10000</f>
        <v>2.3196682464454974E-2</v>
      </c>
      <c r="CV44" s="49">
        <f ca="1">-CV43/CV$7</f>
        <v>2.1967649513043364E-2</v>
      </c>
      <c r="CW44" s="433">
        <f>+CR44+CW45/10000</f>
        <v>2.2101707684580613E-2</v>
      </c>
      <c r="CX44" s="49">
        <f>+CS44+CX45/10000</f>
        <v>2.1333333333333333E-2</v>
      </c>
      <c r="CY44" s="49">
        <f>+CT44+CY45/10000</f>
        <v>2.1892655367231638E-2</v>
      </c>
      <c r="CZ44" s="49">
        <f>+CU44+CZ45/10000</f>
        <v>2.3196682464454974E-2</v>
      </c>
      <c r="DA44" s="49">
        <f ca="1">-DA43/DA$7</f>
        <v>2.1967624729772428E-2</v>
      </c>
      <c r="DB44" s="433">
        <f>+CW44+DB45/10000</f>
        <v>2.2101707684580613E-2</v>
      </c>
      <c r="DC44" s="49">
        <f>+CX44+DC45/10000</f>
        <v>2.1333333333333333E-2</v>
      </c>
      <c r="DD44" s="49">
        <f>+CY44+DD45/10000</f>
        <v>2.1892655367231638E-2</v>
      </c>
      <c r="DE44" s="49">
        <f>+CZ44+DE45/10000</f>
        <v>2.3196682464454974E-2</v>
      </c>
      <c r="DF44" s="49">
        <f ca="1">-DF43/DF$7</f>
        <v>2.1967597126574159E-2</v>
      </c>
      <c r="DG44" s="433">
        <f>+DB44+DG45/10000</f>
        <v>2.2101707684580613E-2</v>
      </c>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row>
    <row r="45" spans="1:226" s="36" customFormat="1" ht="12" customHeight="1" x14ac:dyDescent="0.2">
      <c r="A45" s="80" t="s">
        <v>112</v>
      </c>
      <c r="B45" s="493"/>
      <c r="C45" s="493"/>
      <c r="D45" s="493"/>
      <c r="E45" s="493"/>
      <c r="F45" s="702"/>
      <c r="G45" s="493">
        <f t="shared" ref="G45:AR45" si="103">(G44-B44)*10000</f>
        <v>17.222602132563395</v>
      </c>
      <c r="H45" s="493">
        <f t="shared" si="103"/>
        <v>-13.680612397234531</v>
      </c>
      <c r="I45" s="493">
        <f t="shared" si="103"/>
        <v>-19.692600337761629</v>
      </c>
      <c r="J45" s="493">
        <f t="shared" si="103"/>
        <v>-4.183238727780564</v>
      </c>
      <c r="K45" s="702">
        <f t="shared" si="103"/>
        <v>-5.0790343095042516</v>
      </c>
      <c r="L45" s="493">
        <f t="shared" si="103"/>
        <v>-19.335150371561031</v>
      </c>
      <c r="M45" s="493">
        <f t="shared" si="103"/>
        <v>14.001134700655747</v>
      </c>
      <c r="N45" s="493">
        <f t="shared" si="103"/>
        <v>49.643287795809243</v>
      </c>
      <c r="O45" s="493">
        <f t="shared" si="103"/>
        <v>22.347813238770659</v>
      </c>
      <c r="P45" s="702">
        <f t="shared" si="103"/>
        <v>16.813894238061344</v>
      </c>
      <c r="Q45" s="493">
        <f t="shared" si="103"/>
        <v>45.600323560072205</v>
      </c>
      <c r="R45" s="493">
        <f t="shared" si="103"/>
        <v>23.006855103765606</v>
      </c>
      <c r="S45" s="493">
        <f t="shared" si="103"/>
        <v>13.053599123784149</v>
      </c>
      <c r="T45" s="493">
        <f t="shared" si="103"/>
        <v>-5.5599507735583362</v>
      </c>
      <c r="U45" s="702">
        <f t="shared" si="103"/>
        <v>18.42836177290766</v>
      </c>
      <c r="V45" s="493">
        <f t="shared" si="103"/>
        <v>11.51488018454161</v>
      </c>
      <c r="W45" s="493">
        <f t="shared" si="103"/>
        <v>-7.3913043478260683</v>
      </c>
      <c r="X45" s="493">
        <f t="shared" si="103"/>
        <v>-6.7461840253866745</v>
      </c>
      <c r="Y45" s="493">
        <f t="shared" si="103"/>
        <v>-2.7052671956069934</v>
      </c>
      <c r="Z45" s="702">
        <f t="shared" si="103"/>
        <v>-1.2790989536357391</v>
      </c>
      <c r="AA45" s="493">
        <f t="shared" si="103"/>
        <v>7.9516539440203582</v>
      </c>
      <c r="AB45" s="493">
        <f t="shared" si="103"/>
        <v>24.962406015037569</v>
      </c>
      <c r="AC45" s="493">
        <f t="shared" si="103"/>
        <v>13.497789896076556</v>
      </c>
      <c r="AD45" s="493">
        <f t="shared" si="103"/>
        <v>5.7314697592419916</v>
      </c>
      <c r="AE45" s="702">
        <f t="shared" si="103"/>
        <v>12.631348356688076</v>
      </c>
      <c r="AF45" s="493">
        <f t="shared" si="103"/>
        <v>15.611541774332473</v>
      </c>
      <c r="AG45" s="493">
        <f t="shared" si="103"/>
        <v>10.269201614390225</v>
      </c>
      <c r="AH45" s="493">
        <f t="shared" si="103"/>
        <v>-6.5675978540739521</v>
      </c>
      <c r="AI45" s="493">
        <f t="shared" si="103"/>
        <v>18.654779955955096</v>
      </c>
      <c r="AJ45" s="702">
        <f t="shared" si="103"/>
        <v>9.6399435117702428</v>
      </c>
      <c r="AK45" s="493">
        <f t="shared" si="103"/>
        <v>-38.311299643581862</v>
      </c>
      <c r="AL45" s="493">
        <f t="shared" si="103"/>
        <v>-9.1439179161057282</v>
      </c>
      <c r="AM45" s="493">
        <f t="shared" si="103"/>
        <v>-9.9519198986583799</v>
      </c>
      <c r="AN45" s="493">
        <f t="shared" si="103"/>
        <v>4.961976429367736</v>
      </c>
      <c r="AO45" s="702">
        <f t="shared" si="103"/>
        <v>-12.311884965747442</v>
      </c>
      <c r="AP45" s="493">
        <f t="shared" si="103"/>
        <v>9.4531297382282116</v>
      </c>
      <c r="AQ45" s="493">
        <f t="shared" si="103"/>
        <v>-14.048216029111556</v>
      </c>
      <c r="AR45" s="493">
        <f t="shared" si="103"/>
        <v>0.44345898004435891</v>
      </c>
      <c r="AS45" s="493">
        <f t="shared" ref="AS45:BB45" si="104">(AS44-AN44)*10000</f>
        <v>-0.73578595317726903</v>
      </c>
      <c r="AT45" s="702">
        <f t="shared" si="104"/>
        <v>-1.3320411930606983</v>
      </c>
      <c r="AU45" s="493">
        <f t="shared" si="104"/>
        <v>4.4528189726686724</v>
      </c>
      <c r="AV45" s="493">
        <f t="shared" si="104"/>
        <v>16.643653887805954</v>
      </c>
      <c r="AW45" s="493">
        <f t="shared" si="104"/>
        <v>33.100233100233112</v>
      </c>
      <c r="AX45" s="493">
        <f t="shared" si="104"/>
        <v>10.930720783764897</v>
      </c>
      <c r="AY45" s="702">
        <f t="shared" si="104"/>
        <v>16.274675463535878</v>
      </c>
      <c r="AZ45" s="493">
        <f t="shared" si="104"/>
        <v>29.528406314750615</v>
      </c>
      <c r="BA45" s="493">
        <f t="shared" si="104"/>
        <v>-1.1937297772751654</v>
      </c>
      <c r="BB45" s="493">
        <f t="shared" si="104"/>
        <v>-10.707595063423302</v>
      </c>
      <c r="BC45" s="722">
        <f t="shared" ref="BC45:BS45" si="105">(BC44-AX44)*10000</f>
        <v>-35.249209312779719</v>
      </c>
      <c r="BD45" s="723">
        <f t="shared" si="105"/>
        <v>-5.6057451802388885</v>
      </c>
      <c r="BE45" s="493">
        <f t="shared" si="105"/>
        <v>-14.50854351655137</v>
      </c>
      <c r="BF45" s="493">
        <f t="shared" si="105"/>
        <v>2.0839715496184796E-2</v>
      </c>
      <c r="BG45" s="493">
        <f t="shared" si="105"/>
        <v>-8.2598757241759966</v>
      </c>
      <c r="BH45" s="722">
        <f t="shared" si="105"/>
        <v>24.954439210390575</v>
      </c>
      <c r="BI45" s="724">
        <f t="shared" si="105"/>
        <v>1.4442486459862944</v>
      </c>
      <c r="BJ45" s="493">
        <f t="shared" si="105"/>
        <v>9.6558596635912259</v>
      </c>
      <c r="BK45" s="493">
        <f t="shared" si="105"/>
        <v>-3.5479733592940974</v>
      </c>
      <c r="BL45" s="493">
        <f t="shared" si="105"/>
        <v>26.490026080855205</v>
      </c>
      <c r="BM45" s="722">
        <f t="shared" si="105"/>
        <v>5.6083932100269713</v>
      </c>
      <c r="BN45" s="724">
        <f t="shared" si="105"/>
        <v>9.9058223221300601</v>
      </c>
      <c r="BO45" s="722">
        <f t="shared" si="105"/>
        <v>6.6112611815459177</v>
      </c>
      <c r="BP45" s="722">
        <f t="shared" si="105"/>
        <v>3.0407939530321255</v>
      </c>
      <c r="BQ45" s="722">
        <f t="shared" si="105"/>
        <v>-35.644750326139089</v>
      </c>
      <c r="BR45" s="722">
        <f>(BR44-BM44)*10000</f>
        <v>7.5565913123381083</v>
      </c>
      <c r="BS45" s="724">
        <f t="shared" si="105"/>
        <v>-4.4976294638367564</v>
      </c>
      <c r="BT45" s="722">
        <f t="shared" ref="BT45:CA45" si="106">(BT44-BO44)*10000</f>
        <v>-8.9330166940568621</v>
      </c>
      <c r="BU45" s="722">
        <f t="shared" si="106"/>
        <v>8.3501017473255885</v>
      </c>
      <c r="BV45" s="722">
        <f t="shared" si="106"/>
        <v>37.705759220301765</v>
      </c>
      <c r="BW45" s="722">
        <f t="shared" si="106"/>
        <v>16.680760364659942</v>
      </c>
      <c r="BX45" s="724">
        <f t="shared" si="106"/>
        <v>13.799453332679104</v>
      </c>
      <c r="BY45" s="722">
        <f t="shared" si="106"/>
        <v>-6.0661529947639288</v>
      </c>
      <c r="BZ45" s="722">
        <f t="shared" si="106"/>
        <v>7.4349442379182191</v>
      </c>
      <c r="CA45" s="722">
        <f t="shared" si="106"/>
        <v>2.757997943764849</v>
      </c>
      <c r="CB45" s="722">
        <f t="shared" ref="CB45:CJ45" si="107">(CB44-BW44)*10000</f>
        <v>12.01830443159923</v>
      </c>
      <c r="CC45" s="724">
        <f t="shared" si="107"/>
        <v>4.2540384435050402</v>
      </c>
      <c r="CD45" s="722">
        <f t="shared" si="107"/>
        <v>-0.99712329928159504</v>
      </c>
      <c r="CE45" s="789">
        <f t="shared" si="107"/>
        <v>-25.192087019518041</v>
      </c>
      <c r="CF45" s="789">
        <f t="shared" si="107"/>
        <v>-8.4749705868667959</v>
      </c>
      <c r="CG45" s="789">
        <f t="shared" si="107"/>
        <v>-37.849119611414672</v>
      </c>
      <c r="CH45" s="724">
        <f>(CH44-CC44)*10000</f>
        <v>-18.732098644560111</v>
      </c>
      <c r="CI45" s="789">
        <f t="shared" si="107"/>
        <v>-1.4968814968814927</v>
      </c>
      <c r="CJ45" s="789">
        <f t="shared" si="107"/>
        <v>-8.6694633973849111</v>
      </c>
      <c r="CK45" s="511">
        <v>-5</v>
      </c>
      <c r="CL45" s="513">
        <f ca="1">(CL44-CG44)*10000</f>
        <v>-4.8385720142847877</v>
      </c>
      <c r="CM45" s="512">
        <v>-5</v>
      </c>
      <c r="CN45" s="511">
        <f>CR45</f>
        <v>0</v>
      </c>
      <c r="CO45" s="511">
        <f>CR45</f>
        <v>0</v>
      </c>
      <c r="CP45" s="511">
        <f>CR45</f>
        <v>0</v>
      </c>
      <c r="CQ45" s="513">
        <f ca="1">(CQ44-CL44)*10000</f>
        <v>-0.13559333375035704</v>
      </c>
      <c r="CR45" s="512">
        <v>0</v>
      </c>
      <c r="CS45" s="511">
        <f>CW45</f>
        <v>0</v>
      </c>
      <c r="CT45" s="511">
        <f>CW45</f>
        <v>0</v>
      </c>
      <c r="CU45" s="511">
        <f>CW45</f>
        <v>0</v>
      </c>
      <c r="CV45" s="513">
        <f ca="1">(CV44-CQ44)*10000</f>
        <v>-2.1991011654037829E-4</v>
      </c>
      <c r="CW45" s="512">
        <v>0</v>
      </c>
      <c r="CX45" s="511">
        <f>DB45</f>
        <v>0</v>
      </c>
      <c r="CY45" s="511">
        <f>DB45</f>
        <v>0</v>
      </c>
      <c r="CZ45" s="511">
        <f>DB45</f>
        <v>0</v>
      </c>
      <c r="DA45" s="513">
        <f ca="1">(DA44-CV44)*10000</f>
        <v>-2.4783270935468948E-4</v>
      </c>
      <c r="DB45" s="512">
        <v>0</v>
      </c>
      <c r="DC45" s="511">
        <f>DG45</f>
        <v>0</v>
      </c>
      <c r="DD45" s="511">
        <f>DG45</f>
        <v>0</v>
      </c>
      <c r="DE45" s="511">
        <f>DG45</f>
        <v>0</v>
      </c>
      <c r="DF45" s="513">
        <f ca="1">(DF44-DA44)*10000</f>
        <v>-2.760319826877744E-4</v>
      </c>
      <c r="DG45" s="512">
        <v>0</v>
      </c>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row>
    <row r="46" spans="1:226" s="36" customFormat="1" ht="12" customHeight="1" x14ac:dyDescent="0.2">
      <c r="A46" s="36" t="s">
        <v>24</v>
      </c>
      <c r="B46" s="49"/>
      <c r="C46" s="49"/>
      <c r="D46" s="700"/>
      <c r="E46" s="49"/>
      <c r="F46" s="433"/>
      <c r="G46" s="49">
        <f t="shared" ref="G46:AB46" si="108">G43/B43-1</f>
        <v>0.14285714285714279</v>
      </c>
      <c r="H46" s="49">
        <f t="shared" si="108"/>
        <v>-5.8823529411764719E-2</v>
      </c>
      <c r="I46" s="700">
        <f t="shared" si="108"/>
        <v>-6.25E-2</v>
      </c>
      <c r="J46" s="49">
        <f t="shared" si="108"/>
        <v>0</v>
      </c>
      <c r="K46" s="433">
        <f t="shared" si="108"/>
        <v>0</v>
      </c>
      <c r="L46" s="49">
        <f t="shared" si="108"/>
        <v>-6.25E-2</v>
      </c>
      <c r="M46" s="49">
        <f t="shared" si="108"/>
        <v>0.125</v>
      </c>
      <c r="N46" s="700">
        <f t="shared" si="108"/>
        <v>0.33333333333333326</v>
      </c>
      <c r="O46" s="49">
        <f t="shared" si="108"/>
        <v>0.14999999999999991</v>
      </c>
      <c r="P46" s="433">
        <f t="shared" si="108"/>
        <v>0.13432835820895517</v>
      </c>
      <c r="Q46" s="49">
        <f t="shared" si="108"/>
        <v>0.26666666666666661</v>
      </c>
      <c r="R46" s="49">
        <f t="shared" si="108"/>
        <v>0.11111111111111116</v>
      </c>
      <c r="S46" s="700">
        <f t="shared" si="108"/>
        <v>0.10000000000000009</v>
      </c>
      <c r="T46" s="49">
        <f t="shared" si="108"/>
        <v>0</v>
      </c>
      <c r="U46" s="433">
        <f t="shared" si="108"/>
        <v>0.10526315789473695</v>
      </c>
      <c r="V46" s="49">
        <f t="shared" si="108"/>
        <v>0.10526315789473695</v>
      </c>
      <c r="W46" s="49">
        <f t="shared" si="108"/>
        <v>5.0000000000000044E-2</v>
      </c>
      <c r="X46" s="700">
        <f t="shared" si="108"/>
        <v>0</v>
      </c>
      <c r="Y46" s="49">
        <f t="shared" si="108"/>
        <v>4.3478260869565188E-2</v>
      </c>
      <c r="Z46" s="433">
        <f t="shared" si="108"/>
        <v>4.7619047619047672E-2</v>
      </c>
      <c r="AA46" s="49">
        <f t="shared" si="108"/>
        <v>9.5238095238095344E-2</v>
      </c>
      <c r="AB46" s="49">
        <f t="shared" si="108"/>
        <v>0.19047619047619047</v>
      </c>
      <c r="AC46" s="700">
        <f t="shared" ref="AC46:AR46" si="109">AC43/X43-1</f>
        <v>0.13636363636363646</v>
      </c>
      <c r="AD46" s="49">
        <f t="shared" si="109"/>
        <v>8.3333333333333259E-2</v>
      </c>
      <c r="AE46" s="433">
        <f t="shared" si="109"/>
        <v>0.125</v>
      </c>
      <c r="AF46" s="49">
        <f t="shared" si="109"/>
        <v>0.13043478260869557</v>
      </c>
      <c r="AG46" s="49">
        <f t="shared" si="109"/>
        <v>8.0000000000000071E-2</v>
      </c>
      <c r="AH46" s="700">
        <f t="shared" si="109"/>
        <v>4.0000000000000036E-2</v>
      </c>
      <c r="AI46" s="49">
        <f t="shared" si="109"/>
        <v>0.11538461538461542</v>
      </c>
      <c r="AJ46" s="433">
        <f t="shared" si="109"/>
        <v>9.0909090909090828E-2</v>
      </c>
      <c r="AK46" s="49">
        <f t="shared" si="109"/>
        <v>-0.11538461538461542</v>
      </c>
      <c r="AL46" s="49">
        <f t="shared" si="109"/>
        <v>3.7037037037036979E-2</v>
      </c>
      <c r="AM46" s="49">
        <f t="shared" si="109"/>
        <v>3.8461538461538547E-2</v>
      </c>
      <c r="AN46" s="49">
        <f t="shared" si="109"/>
        <v>0.13793103448275867</v>
      </c>
      <c r="AO46" s="433">
        <f t="shared" si="109"/>
        <v>2.7777777777777679E-2</v>
      </c>
      <c r="AP46" s="49">
        <f t="shared" si="109"/>
        <v>0.17391304347826098</v>
      </c>
      <c r="AQ46" s="49">
        <f t="shared" si="109"/>
        <v>-3.5714285714285698E-2</v>
      </c>
      <c r="AR46" s="49">
        <f t="shared" si="109"/>
        <v>0</v>
      </c>
      <c r="AS46" s="49">
        <f t="shared" ref="AS46:BA46" si="110">AS43/AN43-1</f>
        <v>0</v>
      </c>
      <c r="AT46" s="433">
        <f t="shared" si="110"/>
        <v>2.7027027027026973E-2</v>
      </c>
      <c r="AU46" s="49">
        <f t="shared" si="110"/>
        <v>-3.703703703703709E-2</v>
      </c>
      <c r="AV46" s="49">
        <f t="shared" si="110"/>
        <v>7.4074074074074181E-2</v>
      </c>
      <c r="AW46" s="49">
        <f t="shared" si="110"/>
        <v>0.11111111111111116</v>
      </c>
      <c r="AX46" s="49">
        <f t="shared" si="110"/>
        <v>0</v>
      </c>
      <c r="AY46" s="433">
        <f t="shared" si="110"/>
        <v>3.5087719298245723E-2</v>
      </c>
      <c r="AZ46" s="49">
        <f t="shared" si="110"/>
        <v>0.11538461538461542</v>
      </c>
      <c r="BA46" s="49">
        <f t="shared" si="110"/>
        <v>-3.4482758620689613E-2</v>
      </c>
      <c r="BB46" s="49">
        <f>BB43/AW43-1</f>
        <v>-3.3333333333333326E-2</v>
      </c>
      <c r="BC46" s="49">
        <f>BC43/AX43-1</f>
        <v>-0.12121212121212122</v>
      </c>
      <c r="BD46" s="433">
        <f>BD43/AY43-1</f>
        <v>-2.5423728813559365E-2</v>
      </c>
      <c r="BE46" s="49">
        <f>BE43/AZ43-1</f>
        <v>-3.4482758620689613E-2</v>
      </c>
      <c r="BF46" s="49">
        <f>BF43/BA43-1</f>
        <v>3.5714285714285809E-2</v>
      </c>
      <c r="BG46" s="49">
        <f t="shared" ref="BG46:CV46" si="111">BG43/BB43-1</f>
        <v>3.4482758620689724E-2</v>
      </c>
      <c r="BH46" s="49">
        <f t="shared" si="111"/>
        <v>0.17241379310344818</v>
      </c>
      <c r="BI46" s="713">
        <f>BI43/BD43-1</f>
        <v>5.2173913043478182E-2</v>
      </c>
      <c r="BJ46" s="49">
        <f>BJ43/BE43-1</f>
        <v>7.1428571428571397E-2</v>
      </c>
      <c r="BK46" s="49">
        <f>BK43/BF43-1</f>
        <v>6.8965517241379226E-2</v>
      </c>
      <c r="BL46" s="49">
        <f>BL43/BG43-1</f>
        <v>0.1333333333333333</v>
      </c>
      <c r="BM46" s="49">
        <f t="shared" si="111"/>
        <v>2.9411764705882248E-2</v>
      </c>
      <c r="BN46" s="713">
        <f>BN43/BI43-1</f>
        <v>7.4380165289256173E-2</v>
      </c>
      <c r="BO46" s="49">
        <f t="shared" si="111"/>
        <v>3.3333333333333437E-2</v>
      </c>
      <c r="BP46" s="49">
        <f t="shared" si="111"/>
        <v>0</v>
      </c>
      <c r="BQ46" s="49">
        <f t="shared" si="111"/>
        <v>-0.17647058823529416</v>
      </c>
      <c r="BR46" s="49">
        <f t="shared" si="111"/>
        <v>0</v>
      </c>
      <c r="BS46" s="713">
        <f>BS43/BN43-1</f>
        <v>-3.8461538461538436E-2</v>
      </c>
      <c r="BT46" s="701">
        <f>BT43/BO43-1</f>
        <v>-3.2258064516129004E-2</v>
      </c>
      <c r="BU46" s="49">
        <f t="shared" si="111"/>
        <v>6.4516129032258007E-2</v>
      </c>
      <c r="BV46" s="49">
        <f t="shared" si="111"/>
        <v>0.21428571428571419</v>
      </c>
      <c r="BW46" s="49">
        <f t="shared" si="111"/>
        <v>0.11428571428571432</v>
      </c>
      <c r="BX46" s="713">
        <f>BX43/BS43-1</f>
        <v>8.8000000000000078E-2</v>
      </c>
      <c r="BY46" s="49">
        <f t="shared" si="111"/>
        <v>0</v>
      </c>
      <c r="BZ46" s="49">
        <f t="shared" si="111"/>
        <v>3.0303030303030276E-2</v>
      </c>
      <c r="CA46" s="49">
        <f t="shared" si="111"/>
        <v>2.9411764705882248E-2</v>
      </c>
      <c r="CB46" s="49">
        <f>CB43/BW43-1</f>
        <v>7.6923076923076872E-2</v>
      </c>
      <c r="CC46" s="713">
        <f>CC43/BX43-1</f>
        <v>3.6764705882353033E-2</v>
      </c>
      <c r="CD46" s="49">
        <f>CD43/BY43-1</f>
        <v>3.3333333333333437E-2</v>
      </c>
      <c r="CE46" s="701">
        <f>CE43/BZ43-1</f>
        <v>-5.8823529411764719E-2</v>
      </c>
      <c r="CF46" s="701">
        <f>CF43/CA43-1</f>
        <v>0</v>
      </c>
      <c r="CG46" s="701">
        <f t="shared" si="111"/>
        <v>-0.11904761904761907</v>
      </c>
      <c r="CH46" s="713">
        <f t="shared" si="111"/>
        <v>-4.2553191489361653E-2</v>
      </c>
      <c r="CI46" s="701">
        <f t="shared" si="111"/>
        <v>3.2258064516129004E-2</v>
      </c>
      <c r="CJ46" s="701">
        <f t="shared" si="111"/>
        <v>-3.125E-2</v>
      </c>
      <c r="CK46" s="49">
        <f t="shared" si="111"/>
        <v>2.9020741974283837E-3</v>
      </c>
      <c r="CL46" s="49">
        <f t="shared" ca="1" si="111"/>
        <v>2.7415684318790268E-2</v>
      </c>
      <c r="CM46" s="433">
        <f t="shared" ca="1" si="111"/>
        <v>8.2663179015201038E-3</v>
      </c>
      <c r="CN46" s="49">
        <f t="shared" si="111"/>
        <v>5.5624041910116606E-2</v>
      </c>
      <c r="CO46" s="49">
        <f t="shared" si="111"/>
        <v>6.8840430512484785E-2</v>
      </c>
      <c r="CP46" s="49">
        <f t="shared" si="111"/>
        <v>6.9232198009455459E-2</v>
      </c>
      <c r="CQ46" s="49">
        <f t="shared" ca="1" si="111"/>
        <v>2.8594311641746417E-2</v>
      </c>
      <c r="CR46" s="433">
        <f t="shared" ca="1" si="111"/>
        <v>5.4594458547873925E-2</v>
      </c>
      <c r="CS46" s="49">
        <f t="shared" si="111"/>
        <v>2.3497268820320549E-2</v>
      </c>
      <c r="CT46" s="49">
        <f t="shared" si="111"/>
        <v>2.4031806897848229E-2</v>
      </c>
      <c r="CU46" s="49">
        <f t="shared" si="111"/>
        <v>2.3526637876859935E-2</v>
      </c>
      <c r="CV46" s="49">
        <f t="shared" ca="1" si="111"/>
        <v>2.2837629197820286E-2</v>
      </c>
      <c r="CW46" s="433">
        <f t="shared" ref="CW46:DG46" ca="1" si="112">CW43/CR43-1</f>
        <v>2.3448649723776471E-2</v>
      </c>
      <c r="CX46" s="49">
        <f t="shared" si="112"/>
        <v>2.3600389779892428E-2</v>
      </c>
      <c r="CY46" s="49">
        <f t="shared" si="112"/>
        <v>2.4142430200832843E-2</v>
      </c>
      <c r="CZ46" s="49">
        <f t="shared" si="112"/>
        <v>2.3634242745996126E-2</v>
      </c>
      <c r="DA46" s="49">
        <f t="shared" ca="1" si="112"/>
        <v>2.2942078614138994E-2</v>
      </c>
      <c r="DB46" s="433">
        <f t="shared" ca="1" si="112"/>
        <v>2.3555215646870797E-2</v>
      </c>
      <c r="DC46" s="49">
        <f t="shared" si="112"/>
        <v>2.3704904304202579E-2</v>
      </c>
      <c r="DD46" s="49">
        <f t="shared" si="112"/>
        <v>2.4254440097441154E-2</v>
      </c>
      <c r="DE46" s="49">
        <f t="shared" si="112"/>
        <v>2.3743276144444714E-2</v>
      </c>
      <c r="DF46" s="49">
        <f t="shared" ca="1" si="112"/>
        <v>2.3048004163772839E-2</v>
      </c>
      <c r="DG46" s="433">
        <f t="shared" ca="1" si="112"/>
        <v>2.3663207693157551E-2</v>
      </c>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row>
    <row r="47" spans="1:226" s="36" customFormat="1" ht="3.75" customHeight="1" x14ac:dyDescent="0.2">
      <c r="B47" s="49"/>
      <c r="C47" s="49"/>
      <c r="D47" s="700"/>
      <c r="E47" s="49"/>
      <c r="F47" s="434"/>
      <c r="G47" s="49"/>
      <c r="H47" s="49"/>
      <c r="I47" s="700"/>
      <c r="J47" s="49"/>
      <c r="K47" s="434"/>
      <c r="L47" s="49"/>
      <c r="M47" s="49"/>
      <c r="N47" s="700"/>
      <c r="O47" s="49"/>
      <c r="P47" s="434"/>
      <c r="Q47" s="49"/>
      <c r="R47" s="49"/>
      <c r="S47" s="700"/>
      <c r="T47" s="49"/>
      <c r="U47" s="434"/>
      <c r="V47" s="49"/>
      <c r="W47" s="49"/>
      <c r="X47" s="700"/>
      <c r="Y47" s="49"/>
      <c r="Z47" s="434"/>
      <c r="AA47" s="49"/>
      <c r="AB47" s="49"/>
      <c r="AC47" s="700"/>
      <c r="AD47" s="49"/>
      <c r="AE47" s="434"/>
      <c r="AF47" s="49"/>
      <c r="AG47" s="49"/>
      <c r="AH47" s="700"/>
      <c r="AI47" s="49"/>
      <c r="AJ47" s="434"/>
      <c r="AK47" s="49"/>
      <c r="AL47" s="49"/>
      <c r="AM47" s="49"/>
      <c r="AN47" s="49"/>
      <c r="AO47" s="434"/>
      <c r="AP47" s="49"/>
      <c r="AQ47" s="49"/>
      <c r="AR47" s="49"/>
      <c r="AS47" s="49"/>
      <c r="AT47" s="434"/>
      <c r="AU47" s="49"/>
      <c r="AV47" s="49"/>
      <c r="AW47" s="49"/>
      <c r="AX47" s="49"/>
      <c r="AY47" s="434"/>
      <c r="AZ47" s="49"/>
      <c r="BA47" s="49"/>
      <c r="BB47" s="49"/>
      <c r="BC47" s="49"/>
      <c r="BD47" s="434"/>
      <c r="BE47" s="49"/>
      <c r="BF47" s="49"/>
      <c r="BG47" s="49"/>
      <c r="BH47" s="49"/>
      <c r="BI47" s="434"/>
      <c r="BJ47" s="49"/>
      <c r="BK47" s="49"/>
      <c r="BL47" s="49"/>
      <c r="BM47" s="49"/>
      <c r="BN47" s="434"/>
      <c r="BO47" s="49"/>
      <c r="BP47" s="49"/>
      <c r="BQ47" s="49"/>
      <c r="BR47" s="49"/>
      <c r="BS47" s="434"/>
      <c r="BT47" s="701"/>
      <c r="BU47" s="49"/>
      <c r="BV47" s="49"/>
      <c r="BW47" s="49"/>
      <c r="BX47" s="434"/>
      <c r="BY47" s="49"/>
      <c r="BZ47" s="49"/>
      <c r="CA47" s="49"/>
      <c r="CB47" s="49"/>
      <c r="CC47" s="434"/>
      <c r="CD47" s="49"/>
      <c r="CE47" s="701"/>
      <c r="CF47" s="49"/>
      <c r="CG47" s="49"/>
      <c r="CH47" s="434"/>
      <c r="CI47" s="49"/>
      <c r="CJ47" s="49"/>
      <c r="CK47" s="49"/>
      <c r="CL47" s="49"/>
      <c r="CM47" s="434"/>
      <c r="CN47" s="49"/>
      <c r="CO47" s="49"/>
      <c r="CP47" s="49"/>
      <c r="CQ47" s="49"/>
      <c r="CR47" s="434"/>
      <c r="CS47" s="49"/>
      <c r="CT47" s="49"/>
      <c r="CU47" s="49"/>
      <c r="CV47" s="49"/>
      <c r="CW47" s="434"/>
      <c r="CX47" s="49"/>
      <c r="CY47" s="49"/>
      <c r="CZ47" s="49"/>
      <c r="DA47" s="49"/>
      <c r="DB47" s="434"/>
      <c r="DC47" s="49"/>
      <c r="DD47" s="49"/>
      <c r="DE47" s="49"/>
      <c r="DF47" s="49"/>
      <c r="DG47" s="434"/>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row>
    <row r="48" spans="1:226" s="36" customFormat="1" ht="12" customHeight="1" x14ac:dyDescent="0.2">
      <c r="A48" s="355" t="s">
        <v>131</v>
      </c>
      <c r="B48" s="655"/>
      <c r="E48" s="655"/>
      <c r="F48" s="712"/>
      <c r="G48" s="655">
        <v>-12</v>
      </c>
      <c r="H48" s="36">
        <v>-66</v>
      </c>
      <c r="I48" s="36">
        <v>-100</v>
      </c>
      <c r="J48" s="655">
        <v>-6</v>
      </c>
      <c r="K48" s="712">
        <f>SUM(G48:J48)</f>
        <v>-184</v>
      </c>
      <c r="L48" s="655">
        <v>-3</v>
      </c>
      <c r="M48" s="36">
        <v>-30</v>
      </c>
      <c r="N48" s="36">
        <v>0</v>
      </c>
      <c r="O48" s="655">
        <v>0</v>
      </c>
      <c r="P48" s="712">
        <f>SUM(L48:O48)</f>
        <v>-33</v>
      </c>
      <c r="Q48" s="655">
        <v>0</v>
      </c>
      <c r="R48" s="36">
        <v>0</v>
      </c>
      <c r="S48" s="36">
        <v>0</v>
      </c>
      <c r="T48" s="655">
        <v>-11</v>
      </c>
      <c r="U48" s="712">
        <f>SUM(Q48:T48)</f>
        <v>-11</v>
      </c>
      <c r="V48" s="655">
        <v>-30</v>
      </c>
      <c r="W48" s="36">
        <v>-2</v>
      </c>
      <c r="X48" s="36">
        <v>-5</v>
      </c>
      <c r="Y48" s="655">
        <v>1</v>
      </c>
      <c r="Z48" s="712">
        <f>SUM(V48:Y48)</f>
        <v>-36</v>
      </c>
      <c r="AA48" s="655">
        <v>-1</v>
      </c>
      <c r="AB48" s="36">
        <v>0</v>
      </c>
      <c r="AC48" s="36">
        <v>0</v>
      </c>
      <c r="AD48" s="655">
        <v>0</v>
      </c>
      <c r="AE48" s="712">
        <f>SUM(AA48:AD48)</f>
        <v>-1</v>
      </c>
      <c r="AF48" s="655">
        <v>0</v>
      </c>
      <c r="AG48" s="36">
        <v>-4</v>
      </c>
      <c r="AH48" s="36">
        <v>-9</v>
      </c>
      <c r="AI48" s="655">
        <v>0</v>
      </c>
      <c r="AJ48" s="712">
        <f>SUM(AF48:AI48)</f>
        <v>-13</v>
      </c>
      <c r="AK48" s="655">
        <v>-25</v>
      </c>
      <c r="AL48" s="655">
        <v>-2</v>
      </c>
      <c r="AM48" s="655">
        <v>-7</v>
      </c>
      <c r="AN48" s="655">
        <v>-2</v>
      </c>
      <c r="AO48" s="712">
        <f>SUM(AK48:AN48)</f>
        <v>-36</v>
      </c>
      <c r="AP48" s="655">
        <v>-1</v>
      </c>
      <c r="AQ48" s="36">
        <v>-1</v>
      </c>
      <c r="AR48" s="36">
        <v>-14</v>
      </c>
      <c r="AS48" s="36">
        <v>-4</v>
      </c>
      <c r="AT48" s="712">
        <f>SUM(AP48:AS48)</f>
        <v>-20</v>
      </c>
      <c r="AU48" s="36">
        <v>-2</v>
      </c>
      <c r="AV48" s="36">
        <v>-2</v>
      </c>
      <c r="AW48" s="493">
        <v>0</v>
      </c>
      <c r="AX48" s="493">
        <v>0</v>
      </c>
      <c r="AY48" s="712">
        <f>SUM(AU48:AX48)</f>
        <v>-4</v>
      </c>
      <c r="AZ48" s="719">
        <v>0</v>
      </c>
      <c r="BA48" s="719">
        <v>0</v>
      </c>
      <c r="BB48" s="719">
        <v>0</v>
      </c>
      <c r="BC48" s="36">
        <f>BD48-SUM(AZ48:BB48)</f>
        <v>0</v>
      </c>
      <c r="BD48" s="725">
        <v>0</v>
      </c>
      <c r="BE48" s="719">
        <f>BI48/4</f>
        <v>0</v>
      </c>
      <c r="BF48" s="719">
        <f>BI48/4</f>
        <v>0</v>
      </c>
      <c r="BG48" s="719">
        <f>BI48/4</f>
        <v>0</v>
      </c>
      <c r="BH48" s="36">
        <f>BI48-SUM(BE48:BG48)</f>
        <v>0</v>
      </c>
      <c r="BI48" s="726">
        <v>0</v>
      </c>
      <c r="BJ48" s="719"/>
      <c r="BK48" s="719"/>
      <c r="BL48" s="719"/>
      <c r="BM48" s="36">
        <f>BN48-SUM(BJ48:BL48)</f>
        <v>0</v>
      </c>
      <c r="BN48" s="726">
        <v>0</v>
      </c>
      <c r="BO48" s="719">
        <f>BS48/4</f>
        <v>0</v>
      </c>
      <c r="BP48" s="719">
        <f>BS48/4</f>
        <v>0</v>
      </c>
      <c r="BQ48" s="719">
        <f>BT48/4</f>
        <v>0</v>
      </c>
      <c r="BR48" s="719">
        <f>BS48-SUM(BO48:BQ48)</f>
        <v>0</v>
      </c>
      <c r="BS48" s="726"/>
      <c r="BT48" s="720">
        <v>0</v>
      </c>
      <c r="BU48" s="719">
        <v>0</v>
      </c>
      <c r="BV48" s="719">
        <v>0</v>
      </c>
      <c r="BW48" s="719">
        <v>0</v>
      </c>
      <c r="BX48" s="726">
        <v>0</v>
      </c>
      <c r="BY48" s="719">
        <f>CC48/4</f>
        <v>0</v>
      </c>
      <c r="BZ48" s="719">
        <f>CC48/4</f>
        <v>0</v>
      </c>
      <c r="CA48" s="719">
        <f>CC48/4</f>
        <v>0</v>
      </c>
      <c r="CB48" s="36">
        <f>CC48-SUM(BY48:CA48)</f>
        <v>0</v>
      </c>
      <c r="CC48" s="726">
        <v>0</v>
      </c>
      <c r="CD48" s="42">
        <f>CH48/4</f>
        <v>0</v>
      </c>
      <c r="CE48" s="788">
        <f>CH48/4</f>
        <v>0</v>
      </c>
      <c r="CF48" s="42">
        <f>CH48/4</f>
        <v>0</v>
      </c>
      <c r="CG48" s="36">
        <f>CH48-SUM(CD48:CF48)</f>
        <v>0</v>
      </c>
      <c r="CH48" s="437">
        <v>0</v>
      </c>
      <c r="CI48" s="36">
        <f>CJ48-SUM(CF48:CH48)</f>
        <v>0</v>
      </c>
      <c r="CJ48" s="42">
        <f>CM48/4</f>
        <v>0</v>
      </c>
      <c r="CK48" s="42">
        <f>CM48/4</f>
        <v>0</v>
      </c>
      <c r="CL48" s="36">
        <f>CM48-SUM(CI48:CK48)</f>
        <v>0</v>
      </c>
      <c r="CM48" s="437">
        <v>0</v>
      </c>
      <c r="CN48" s="42">
        <f>CR48/4</f>
        <v>0</v>
      </c>
      <c r="CO48" s="42">
        <f>CR48/4</f>
        <v>0</v>
      </c>
      <c r="CP48" s="42">
        <f>CR48/4</f>
        <v>0</v>
      </c>
      <c r="CQ48" s="36">
        <f>CR48-SUM(CN48:CP48)</f>
        <v>0</v>
      </c>
      <c r="CR48" s="437">
        <v>0</v>
      </c>
      <c r="CS48" s="42">
        <f>CW48/4</f>
        <v>0</v>
      </c>
      <c r="CT48" s="42">
        <f>CW48/4</f>
        <v>0</v>
      </c>
      <c r="CU48" s="42">
        <f>CW48/4</f>
        <v>0</v>
      </c>
      <c r="CV48" s="36">
        <f>CW48-SUM(CS48:CU48)</f>
        <v>0</v>
      </c>
      <c r="CW48" s="437">
        <v>0</v>
      </c>
      <c r="CX48" s="42">
        <f>DB48/4</f>
        <v>0</v>
      </c>
      <c r="CY48" s="42">
        <f>DB48/4</f>
        <v>0</v>
      </c>
      <c r="CZ48" s="42">
        <f>DB48/4</f>
        <v>0</v>
      </c>
      <c r="DA48" s="36">
        <f>DB48-SUM(CX48:CZ48)</f>
        <v>0</v>
      </c>
      <c r="DB48" s="437">
        <v>0</v>
      </c>
      <c r="DC48" s="42">
        <f>DG48/4</f>
        <v>0</v>
      </c>
      <c r="DD48" s="42">
        <f>DG48/4</f>
        <v>0</v>
      </c>
      <c r="DE48" s="42">
        <f>DG48/4</f>
        <v>0</v>
      </c>
      <c r="DF48" s="36">
        <f>DG48-SUM(DC48:DE48)</f>
        <v>0</v>
      </c>
      <c r="DG48" s="437">
        <v>0</v>
      </c>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row>
    <row r="49" spans="1:226" s="36" customFormat="1" ht="10.5" customHeight="1" x14ac:dyDescent="0.2">
      <c r="A49" s="78"/>
      <c r="F49" s="441"/>
      <c r="K49" s="441"/>
      <c r="P49" s="441"/>
      <c r="U49" s="441"/>
      <c r="Z49" s="441"/>
      <c r="AE49" s="441"/>
      <c r="AJ49" s="441"/>
      <c r="AO49" s="441"/>
      <c r="AT49" s="441"/>
      <c r="AY49" s="441"/>
      <c r="AZ49" s="36">
        <v>233</v>
      </c>
      <c r="BA49" s="36">
        <v>167</v>
      </c>
      <c r="BB49" s="36">
        <v>239</v>
      </c>
      <c r="BC49" s="36">
        <v>282</v>
      </c>
      <c r="BD49" s="441">
        <v>921</v>
      </c>
      <c r="BE49" s="382"/>
      <c r="BF49" s="382"/>
      <c r="BG49" s="382"/>
      <c r="BH49" s="382"/>
      <c r="BI49" s="727"/>
      <c r="BJ49" s="382"/>
      <c r="BK49" s="382"/>
      <c r="BL49" s="382"/>
      <c r="BM49" s="382"/>
      <c r="BN49" s="727"/>
      <c r="BO49" s="382"/>
      <c r="BP49" s="382"/>
      <c r="BQ49" s="382"/>
      <c r="BR49" s="382"/>
      <c r="BS49" s="727"/>
      <c r="BT49" s="728"/>
      <c r="BX49" s="441"/>
      <c r="CB49" s="764"/>
      <c r="CC49" s="765"/>
      <c r="CE49" s="790"/>
      <c r="CF49" s="764"/>
      <c r="CG49" s="764"/>
      <c r="CH49" s="765"/>
      <c r="CM49" s="441"/>
      <c r="CR49" s="441"/>
      <c r="CW49" s="441"/>
      <c r="DB49" s="441"/>
      <c r="DG49" s="441"/>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row>
    <row r="50" spans="1:226" s="35" customFormat="1" ht="12" customHeight="1" x14ac:dyDescent="0.2">
      <c r="A50" s="35" t="s">
        <v>132</v>
      </c>
      <c r="B50" s="35">
        <f t="shared" ref="B50:W50" si="113">B17+B27+B38+B43+B48</f>
        <v>178</v>
      </c>
      <c r="C50" s="35">
        <f t="shared" si="113"/>
        <v>129</v>
      </c>
      <c r="D50" s="35">
        <f t="shared" si="113"/>
        <v>181</v>
      </c>
      <c r="E50" s="35">
        <f t="shared" si="113"/>
        <v>198</v>
      </c>
      <c r="F50" s="435">
        <f t="shared" si="113"/>
        <v>686</v>
      </c>
      <c r="G50" s="35">
        <f t="shared" si="113"/>
        <v>166</v>
      </c>
      <c r="H50" s="35">
        <f t="shared" si="113"/>
        <v>91</v>
      </c>
      <c r="I50" s="35">
        <f t="shared" si="113"/>
        <v>76</v>
      </c>
      <c r="J50" s="35">
        <f t="shared" si="113"/>
        <v>242</v>
      </c>
      <c r="K50" s="435">
        <f t="shared" si="113"/>
        <v>575</v>
      </c>
      <c r="L50" s="35">
        <f t="shared" si="113"/>
        <v>258</v>
      </c>
      <c r="M50" s="35">
        <f t="shared" si="113"/>
        <v>147</v>
      </c>
      <c r="N50" s="35">
        <f t="shared" si="113"/>
        <v>175</v>
      </c>
      <c r="O50" s="35">
        <f t="shared" si="113"/>
        <v>241</v>
      </c>
      <c r="P50" s="435">
        <f t="shared" si="113"/>
        <v>821</v>
      </c>
      <c r="Q50" s="35">
        <f t="shared" si="113"/>
        <v>187</v>
      </c>
      <c r="R50" s="35">
        <f t="shared" si="113"/>
        <v>159</v>
      </c>
      <c r="S50" s="35">
        <f t="shared" si="113"/>
        <v>178</v>
      </c>
      <c r="T50" s="35">
        <f t="shared" si="113"/>
        <v>249</v>
      </c>
      <c r="U50" s="435">
        <f t="shared" si="113"/>
        <v>773</v>
      </c>
      <c r="V50" s="35">
        <f t="shared" si="113"/>
        <v>171</v>
      </c>
      <c r="W50" s="35">
        <f t="shared" si="113"/>
        <v>182</v>
      </c>
      <c r="X50" s="35">
        <f t="shared" ref="X50:AS50" si="114">X17+X27+X38+X43+X48</f>
        <v>182</v>
      </c>
      <c r="Y50" s="35">
        <f t="shared" si="114"/>
        <v>250</v>
      </c>
      <c r="Z50" s="435">
        <f t="shared" si="114"/>
        <v>785</v>
      </c>
      <c r="AA50" s="35">
        <f t="shared" si="114"/>
        <v>185</v>
      </c>
      <c r="AB50" s="35">
        <f t="shared" si="114"/>
        <v>151</v>
      </c>
      <c r="AC50" s="35">
        <f t="shared" si="114"/>
        <v>203</v>
      </c>
      <c r="AD50" s="35">
        <f>AD17+AD27+AD38+AD43+AD48</f>
        <v>239</v>
      </c>
      <c r="AE50" s="435">
        <f t="shared" si="114"/>
        <v>778</v>
      </c>
      <c r="AF50" s="35">
        <f>AF17+AF27+AF38+AF43+AF48</f>
        <v>202</v>
      </c>
      <c r="AG50" s="35">
        <f t="shared" si="114"/>
        <v>160</v>
      </c>
      <c r="AH50" s="35">
        <f t="shared" si="114"/>
        <v>219</v>
      </c>
      <c r="AI50" s="35">
        <f t="shared" si="114"/>
        <v>273</v>
      </c>
      <c r="AJ50" s="435">
        <f t="shared" si="114"/>
        <v>854</v>
      </c>
      <c r="AK50" s="35">
        <f t="shared" si="114"/>
        <v>207</v>
      </c>
      <c r="AL50" s="35">
        <f t="shared" si="114"/>
        <v>172</v>
      </c>
      <c r="AM50" s="35">
        <f t="shared" si="114"/>
        <v>199</v>
      </c>
      <c r="AN50" s="35">
        <f t="shared" si="114"/>
        <v>274</v>
      </c>
      <c r="AO50" s="435">
        <f t="shared" si="114"/>
        <v>852</v>
      </c>
      <c r="AP50" s="35">
        <f t="shared" si="114"/>
        <v>231</v>
      </c>
      <c r="AQ50" s="35">
        <f t="shared" si="114"/>
        <v>179</v>
      </c>
      <c r="AR50" s="35">
        <f t="shared" si="114"/>
        <v>271</v>
      </c>
      <c r="AS50" s="35">
        <f t="shared" si="114"/>
        <v>317</v>
      </c>
      <c r="AT50" s="435">
        <f>SUM(AP50:AS50)</f>
        <v>998</v>
      </c>
      <c r="AU50" s="35">
        <f t="shared" ref="AU50:BD50" si="115">AU17+AU27+AU38+AU43+AU48</f>
        <v>261</v>
      </c>
      <c r="AV50" s="35">
        <f t="shared" si="115"/>
        <v>190</v>
      </c>
      <c r="AW50" s="35">
        <f t="shared" si="115"/>
        <v>244</v>
      </c>
      <c r="AX50" s="35">
        <f t="shared" si="115"/>
        <v>274</v>
      </c>
      <c r="AY50" s="435">
        <f t="shared" si="115"/>
        <v>969</v>
      </c>
      <c r="AZ50" s="35">
        <f t="shared" si="115"/>
        <v>233</v>
      </c>
      <c r="BA50" s="35">
        <f t="shared" si="115"/>
        <v>167</v>
      </c>
      <c r="BB50" s="35">
        <f t="shared" si="115"/>
        <v>239</v>
      </c>
      <c r="BC50" s="35">
        <f t="shared" si="115"/>
        <v>282</v>
      </c>
      <c r="BD50" s="435">
        <f t="shared" si="115"/>
        <v>921</v>
      </c>
      <c r="BE50" s="35">
        <f>BE17+BE27+BE38+BE43+BE48</f>
        <v>210</v>
      </c>
      <c r="BF50" s="35">
        <f>BF17+BF27+BF38+BF43+BF48</f>
        <v>179</v>
      </c>
      <c r="BG50" s="35">
        <f>BG17+BG27+BG38+BG43+BG48</f>
        <v>226</v>
      </c>
      <c r="BH50" s="35">
        <f>BH17+BH27+BH38+BH43+BH48</f>
        <v>288</v>
      </c>
      <c r="BI50" s="435">
        <f>BI17+BI27+BI38+BI43+BI48</f>
        <v>903</v>
      </c>
      <c r="BJ50" s="35">
        <f>BJ17+BJ27+BJ43+BJ38</f>
        <v>227</v>
      </c>
      <c r="BK50" s="35">
        <f>BK17+BK27+BK43+BK38</f>
        <v>212</v>
      </c>
      <c r="BL50" s="35">
        <f>BL17+BL27+BL43+BL38</f>
        <v>233</v>
      </c>
      <c r="BM50" s="35">
        <f t="shared" ref="BM50:BR50" si="116">BM17+BM27+BM38+BM43+BM48</f>
        <v>303</v>
      </c>
      <c r="BN50" s="435">
        <f t="shared" si="116"/>
        <v>975</v>
      </c>
      <c r="BO50" s="35">
        <f>BO17+BO27+BO38+BO43+BO48</f>
        <v>239</v>
      </c>
      <c r="BP50" s="35">
        <f>BP17+BP27+BP38+BP43+BP48</f>
        <v>206</v>
      </c>
      <c r="BQ50" s="35">
        <f t="shared" si="116"/>
        <v>249</v>
      </c>
      <c r="BR50" s="35">
        <f t="shared" si="116"/>
        <v>283</v>
      </c>
      <c r="BS50" s="435">
        <f>SUM(BO50:BR50)</f>
        <v>977</v>
      </c>
      <c r="BT50" s="624">
        <f>BT17+BT27+BT38+BT43+BT48</f>
        <v>247</v>
      </c>
      <c r="BU50" s="624">
        <f>BU17+BU27+BU38+BU43+BU48</f>
        <v>221</v>
      </c>
      <c r="BV50" s="624">
        <f>BV17+BV27+BV38+BV43+BV48</f>
        <v>241</v>
      </c>
      <c r="BW50" s="624">
        <f>BW17+BW27+BW38+BW43+BW48</f>
        <v>299</v>
      </c>
      <c r="BX50" s="435">
        <f>SUM(BT50:BW50)</f>
        <v>1008</v>
      </c>
      <c r="BY50" s="624">
        <f>BY17+BY27+BY38+BY43+BY48</f>
        <v>286</v>
      </c>
      <c r="BZ50" s="624">
        <f>BZ17+BZ27+BZ38+BZ43+BZ48</f>
        <v>249</v>
      </c>
      <c r="CA50" s="624">
        <f>CA17+CA27+CA38+CA43+CA48</f>
        <v>261</v>
      </c>
      <c r="CB50" s="624">
        <f>CB17+CB27+CB38+CB43+CB48</f>
        <v>268</v>
      </c>
      <c r="CC50" s="435">
        <f>SUM(BY50:CB50)</f>
        <v>1064</v>
      </c>
      <c r="CD50" s="624">
        <f>CD17+CD27+CD38+CD43+CD48</f>
        <v>281</v>
      </c>
      <c r="CE50" s="624">
        <f>CE17+CE27+CE38+CE43+CE48</f>
        <v>272</v>
      </c>
      <c r="CF50" s="624">
        <f>CF17+CF27+CF38+CF43+CF48</f>
        <v>253</v>
      </c>
      <c r="CG50" s="624">
        <f>CG17+CG27+CG38+CG43+CG48</f>
        <v>321</v>
      </c>
      <c r="CH50" s="435">
        <f>SUM(CD50:CG50)</f>
        <v>1127</v>
      </c>
      <c r="CI50" s="624">
        <f>CI17+CI27+CI38+CI43+CI48</f>
        <v>303</v>
      </c>
      <c r="CJ50" s="624">
        <f>CJ17+CJ27+CJ38+CJ43+CJ48</f>
        <v>241</v>
      </c>
      <c r="CK50" s="35">
        <f>SegmentData!CL160</f>
        <v>262.33874018076563</v>
      </c>
      <c r="CL50" s="35">
        <f ca="1">SegmentData!CM160</f>
        <v>322.65282494227728</v>
      </c>
      <c r="CM50" s="435">
        <f ca="1">SUM(CI50:CL50)</f>
        <v>1128.9915651230428</v>
      </c>
      <c r="CN50" s="35">
        <f>SegmentData!CO160</f>
        <v>312.06246817266214</v>
      </c>
      <c r="CO50" s="35">
        <f>SegmentData!CP160</f>
        <v>249.74600268046552</v>
      </c>
      <c r="CP50" s="35">
        <f>SegmentData!CQ160</f>
        <v>279.01555473323771</v>
      </c>
      <c r="CQ50" s="35">
        <f ca="1">SegmentData!CR160</f>
        <v>326.5670939563031</v>
      </c>
      <c r="CR50" s="435">
        <f ca="1">SUM(CN50:CQ50)</f>
        <v>1167.3911195426685</v>
      </c>
      <c r="CS50" s="35">
        <f>SegmentData!CT160</f>
        <v>328.37764532194353</v>
      </c>
      <c r="CT50" s="35">
        <f>SegmentData!CU160</f>
        <v>264.62529360504089</v>
      </c>
      <c r="CU50" s="35">
        <f>SegmentData!CV160</f>
        <v>294.801499590074</v>
      </c>
      <c r="CV50" s="35">
        <f ca="1">SegmentData!CW160</f>
        <v>344.53201054448499</v>
      </c>
      <c r="CW50" s="435">
        <f ca="1">SUM(CS50:CV50)</f>
        <v>1232.3364490615434</v>
      </c>
      <c r="CX50" s="35">
        <f>SegmentData!CY160</f>
        <v>340.02444313342909</v>
      </c>
      <c r="CY50" s="35">
        <f>SegmentData!CZ160</f>
        <v>274.92922093547628</v>
      </c>
      <c r="CZ50" s="35">
        <f>SegmentData!DA160</f>
        <v>305.37760250780855</v>
      </c>
      <c r="DA50" s="35">
        <f ca="1">SegmentData!DB160</f>
        <v>355.98721934383695</v>
      </c>
      <c r="DB50" s="435">
        <f ca="1">SUM(CX50:DA50)</f>
        <v>1276.3184859205508</v>
      </c>
      <c r="DC50" s="35">
        <f>SegmentData!DD160</f>
        <v>351.54975284539864</v>
      </c>
      <c r="DD50" s="35">
        <f>SegmentData!DE160</f>
        <v>285.10857657580488</v>
      </c>
      <c r="DE50" s="35">
        <f>SegmentData!DF160</f>
        <v>315.78811101670141</v>
      </c>
      <c r="DF50" s="35">
        <f ca="1">SegmentData!DG160</f>
        <v>367.23267865288517</v>
      </c>
      <c r="DG50" s="435">
        <f ca="1">SUM(DC50:DF50)</f>
        <v>1319.67911909079</v>
      </c>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c r="HB50"/>
      <c r="HC50"/>
      <c r="HD50"/>
      <c r="HE50"/>
      <c r="HF50"/>
      <c r="HG50"/>
      <c r="HH50"/>
      <c r="HI50"/>
      <c r="HJ50"/>
      <c r="HK50"/>
      <c r="HL50"/>
      <c r="HM50"/>
      <c r="HN50"/>
      <c r="HO50"/>
      <c r="HP50"/>
      <c r="HQ50"/>
      <c r="HR50"/>
    </row>
    <row r="51" spans="1:226" s="36" customFormat="1" ht="12" customHeight="1" x14ac:dyDescent="0.2">
      <c r="A51" s="36" t="s">
        <v>23</v>
      </c>
      <c r="B51" s="43">
        <f t="shared" ref="B51:W51" si="117">B50/B7</f>
        <v>0.18483904465212878</v>
      </c>
      <c r="C51" s="43">
        <f t="shared" si="117"/>
        <v>0.14726027397260275</v>
      </c>
      <c r="D51" s="43">
        <f t="shared" si="117"/>
        <v>0.18814968814968816</v>
      </c>
      <c r="E51" s="43">
        <f t="shared" si="117"/>
        <v>0.17967332123411978</v>
      </c>
      <c r="F51" s="407">
        <f t="shared" si="117"/>
        <v>0.1757622341788368</v>
      </c>
      <c r="G51" s="43">
        <f t="shared" si="117"/>
        <v>0.16869918699186992</v>
      </c>
      <c r="H51" s="43">
        <f t="shared" si="117"/>
        <v>0.10259301014656144</v>
      </c>
      <c r="I51" s="43">
        <f t="shared" si="117"/>
        <v>7.4291300097751714E-2</v>
      </c>
      <c r="J51" s="43">
        <f t="shared" si="117"/>
        <v>0.21453900709219859</v>
      </c>
      <c r="K51" s="407">
        <f t="shared" si="117"/>
        <v>0.14296369965191447</v>
      </c>
      <c r="L51" s="43">
        <f t="shared" si="117"/>
        <v>0.24641833810888253</v>
      </c>
      <c r="M51" s="43">
        <f t="shared" si="117"/>
        <v>0.15874730021598271</v>
      </c>
      <c r="N51" s="43">
        <f t="shared" si="117"/>
        <v>0.1717369970559372</v>
      </c>
      <c r="O51" s="43">
        <f t="shared" si="117"/>
        <v>0.2092013888888889</v>
      </c>
      <c r="P51" s="407">
        <f t="shared" si="117"/>
        <v>0.19811776061776062</v>
      </c>
      <c r="Q51" s="43">
        <f t="shared" si="117"/>
        <v>0.18588469184890655</v>
      </c>
      <c r="R51" s="43">
        <f t="shared" si="117"/>
        <v>0.17282608695652174</v>
      </c>
      <c r="S51" s="43">
        <f t="shared" si="117"/>
        <v>0.16936251189343482</v>
      </c>
      <c r="T51" s="43">
        <f t="shared" si="117"/>
        <v>0.21012658227848102</v>
      </c>
      <c r="U51" s="407">
        <f t="shared" si="117"/>
        <v>0.1857280153772225</v>
      </c>
      <c r="V51" s="43">
        <f t="shared" si="117"/>
        <v>0.16316793893129772</v>
      </c>
      <c r="W51" s="43">
        <f t="shared" si="117"/>
        <v>0.182</v>
      </c>
      <c r="X51" s="43">
        <f t="shared" ref="X51:AY51" si="118">X50/X7</f>
        <v>0.16758747697974216</v>
      </c>
      <c r="Y51" s="43">
        <f t="shared" si="118"/>
        <v>0.19936204146730463</v>
      </c>
      <c r="Z51" s="407">
        <f t="shared" si="118"/>
        <v>0.17889699179580676</v>
      </c>
      <c r="AA51" s="43">
        <f t="shared" si="118"/>
        <v>0.16757246376811594</v>
      </c>
      <c r="AB51" s="43">
        <f t="shared" si="118"/>
        <v>0.14191729323308272</v>
      </c>
      <c r="AC51" s="43">
        <f t="shared" si="118"/>
        <v>0.17545375972342264</v>
      </c>
      <c r="AD51" s="43">
        <f t="shared" si="118"/>
        <v>0.18119787717968158</v>
      </c>
      <c r="AE51" s="407">
        <f t="shared" si="118"/>
        <v>0.16752799310938846</v>
      </c>
      <c r="AF51" s="43">
        <f t="shared" si="118"/>
        <v>0.1739879414298019</v>
      </c>
      <c r="AG51" s="43">
        <f t="shared" si="118"/>
        <v>0.14532243415077203</v>
      </c>
      <c r="AH51" s="43">
        <f t="shared" si="118"/>
        <v>0.17647058823529413</v>
      </c>
      <c r="AI51" s="43">
        <f t="shared" si="118"/>
        <v>0.203125</v>
      </c>
      <c r="AJ51" s="407">
        <f t="shared" si="118"/>
        <v>0.17619145863420674</v>
      </c>
      <c r="AK51" s="43">
        <f t="shared" si="118"/>
        <v>0.16707021791767554</v>
      </c>
      <c r="AL51" s="43">
        <f t="shared" si="118"/>
        <v>0.14502529510961215</v>
      </c>
      <c r="AM51" s="43">
        <f t="shared" si="118"/>
        <v>0.14708056171470807</v>
      </c>
      <c r="AN51" s="43">
        <f t="shared" si="118"/>
        <v>0.18327759197324414</v>
      </c>
      <c r="AO51" s="407">
        <f t="shared" si="118"/>
        <v>0.16157784942158165</v>
      </c>
      <c r="AP51" s="43">
        <f t="shared" si="118"/>
        <v>0.16690751445086704</v>
      </c>
      <c r="AQ51" s="43">
        <f t="shared" si="118"/>
        <v>0.14720394736842105</v>
      </c>
      <c r="AR51" s="43">
        <f t="shared" si="118"/>
        <v>0.20074074074074075</v>
      </c>
      <c r="AS51" s="43">
        <f t="shared" si="118"/>
        <v>0.21133333333333335</v>
      </c>
      <c r="AT51" s="407">
        <f t="shared" si="118"/>
        <v>0.18311926605504586</v>
      </c>
      <c r="AU51" s="43">
        <f t="shared" si="118"/>
        <v>0.20030698388334611</v>
      </c>
      <c r="AV51" s="43">
        <f t="shared" si="118"/>
        <v>0.15637860082304528</v>
      </c>
      <c r="AW51" s="43">
        <f t="shared" si="118"/>
        <v>0.1895881895881896</v>
      </c>
      <c r="AX51" s="43">
        <f t="shared" si="118"/>
        <v>0.19174247725682295</v>
      </c>
      <c r="AY51" s="407">
        <f t="shared" si="118"/>
        <v>0.18513565150936187</v>
      </c>
      <c r="AZ51" s="43">
        <f t="shared" ref="AZ51:CD51" si="119">AZ50/AZ7</f>
        <v>0.18404423380726698</v>
      </c>
      <c r="BA51" s="43">
        <f t="shared" si="119"/>
        <v>0.14164546225614927</v>
      </c>
      <c r="BB51" s="43">
        <f t="shared" si="119"/>
        <v>0.18328220858895705</v>
      </c>
      <c r="BC51" s="43">
        <f t="shared" si="119"/>
        <v>0.19028340080971659</v>
      </c>
      <c r="BD51" s="407">
        <f t="shared" si="119"/>
        <v>0.17606576180462627</v>
      </c>
      <c r="BE51" s="43">
        <f t="shared" si="119"/>
        <v>0.16091954022988506</v>
      </c>
      <c r="BF51" s="43">
        <f t="shared" si="119"/>
        <v>0.14660114660114659</v>
      </c>
      <c r="BG51" s="43">
        <f t="shared" si="119"/>
        <v>0.16131334760885083</v>
      </c>
      <c r="BH51" s="43">
        <f t="shared" si="119"/>
        <v>0.18689162881245944</v>
      </c>
      <c r="BI51" s="407">
        <f t="shared" si="119"/>
        <v>0.16514264813460131</v>
      </c>
      <c r="BJ51" s="43">
        <f t="shared" si="119"/>
        <v>0.16965620328849029</v>
      </c>
      <c r="BK51" s="43">
        <f t="shared" si="119"/>
        <v>0.16</v>
      </c>
      <c r="BL51" s="43">
        <f t="shared" si="119"/>
        <v>0.16489738145789101</v>
      </c>
      <c r="BM51" s="43">
        <f t="shared" si="119"/>
        <v>0.19586296056884292</v>
      </c>
      <c r="BN51" s="407">
        <f t="shared" si="119"/>
        <v>0.17339498488351412</v>
      </c>
      <c r="BO51" s="43">
        <f>BO50/BO7</f>
        <v>0.17795979151154132</v>
      </c>
      <c r="BP51" s="43">
        <f t="shared" si="119"/>
        <v>0.15749235474006115</v>
      </c>
      <c r="BQ51" s="43">
        <f t="shared" si="119"/>
        <v>0.1822840409956076</v>
      </c>
      <c r="BR51" s="43">
        <f t="shared" si="119"/>
        <v>0.18904475617902472</v>
      </c>
      <c r="BS51" s="407">
        <f t="shared" si="119"/>
        <v>0.17718534639100472</v>
      </c>
      <c r="BT51" s="707">
        <f t="shared" si="119"/>
        <v>0.18269230769230768</v>
      </c>
      <c r="BU51" s="43">
        <f t="shared" si="119"/>
        <v>0.16431226765799256</v>
      </c>
      <c r="BV51" s="43">
        <f t="shared" si="119"/>
        <v>0.17201998572448252</v>
      </c>
      <c r="BW51" s="43">
        <f t="shared" si="119"/>
        <v>0.1920359666024406</v>
      </c>
      <c r="BX51" s="407">
        <f>BX50/BX7</f>
        <v>0.17824933687002653</v>
      </c>
      <c r="BY51" s="43">
        <f t="shared" si="119"/>
        <v>0.20575539568345325</v>
      </c>
      <c r="BZ51" s="43">
        <f t="shared" si="119"/>
        <v>0.18513011152416356</v>
      </c>
      <c r="CA51" s="43">
        <f t="shared" si="119"/>
        <v>0.18302945301542778</v>
      </c>
      <c r="CB51" s="43">
        <f>CB50/CB7</f>
        <v>0.16750000000000001</v>
      </c>
      <c r="CC51" s="407">
        <f>CC50/CC7</f>
        <v>0.18469015795868773</v>
      </c>
      <c r="CD51" s="43">
        <f t="shared" si="119"/>
        <v>0.19473319473319473</v>
      </c>
      <c r="CE51" s="707">
        <f>CE50/CE7</f>
        <v>0.19345661450924609</v>
      </c>
      <c r="CF51" s="43">
        <f t="shared" ref="CF51:CV51" si="120">CF50/CF7</f>
        <v>0.17129316181448884</v>
      </c>
      <c r="CG51" s="43">
        <f>CG50/CG7</f>
        <v>0.19489981785063754</v>
      </c>
      <c r="CH51" s="407">
        <f>CH50/CH7</f>
        <v>0.18868240415201742</v>
      </c>
      <c r="CI51" s="43">
        <f t="shared" si="120"/>
        <v>0.20200000000000001</v>
      </c>
      <c r="CJ51" s="43">
        <f t="shared" ref="CJ51" si="121">CJ50/CJ7</f>
        <v>0.17019774011299435</v>
      </c>
      <c r="CK51" s="43">
        <f t="shared" si="120"/>
        <v>0.17336512309519927</v>
      </c>
      <c r="CL51" s="43">
        <f t="shared" ca="1" si="120"/>
        <v>0.18656903429021379</v>
      </c>
      <c r="CM51" s="407">
        <f t="shared" ca="1" si="120"/>
        <v>0.18331900865415948</v>
      </c>
      <c r="CN51" s="43">
        <f t="shared" si="120"/>
        <v>0.19707929830017604</v>
      </c>
      <c r="CO51" s="43">
        <f t="shared" si="120"/>
        <v>0.16501461831278913</v>
      </c>
      <c r="CP51" s="43">
        <f t="shared" si="120"/>
        <v>0.1724470187275696</v>
      </c>
      <c r="CQ51" s="43">
        <f t="shared" ca="1" si="120"/>
        <v>0.18346972653699506</v>
      </c>
      <c r="CR51" s="407">
        <f t="shared" ca="1" si="120"/>
        <v>0.17974122741259402</v>
      </c>
      <c r="CS51" s="43">
        <f t="shared" si="120"/>
        <v>0.20262189114541326</v>
      </c>
      <c r="CT51" s="43">
        <f t="shared" si="120"/>
        <v>0.17074255659818474</v>
      </c>
      <c r="CU51" s="43">
        <f t="shared" si="120"/>
        <v>0.17801549811278533</v>
      </c>
      <c r="CV51" s="43">
        <f t="shared" ca="1" si="120"/>
        <v>0.18924065340903984</v>
      </c>
      <c r="CW51" s="407">
        <f t="shared" ref="CW51:DG51" ca="1" si="122">CW50/CW7</f>
        <v>0.18539352171227344</v>
      </c>
      <c r="CX51" s="43">
        <f t="shared" si="122"/>
        <v>0.2049710262472032</v>
      </c>
      <c r="CY51" s="43">
        <f t="shared" si="122"/>
        <v>0.17320920533825154</v>
      </c>
      <c r="CZ51" s="43">
        <f t="shared" si="122"/>
        <v>0.18014429007997218</v>
      </c>
      <c r="DA51" s="43">
        <f t="shared" ca="1" si="122"/>
        <v>0.19114710859652939</v>
      </c>
      <c r="DB51" s="407">
        <f t="shared" ca="1" si="122"/>
        <v>0.18759145172950875</v>
      </c>
      <c r="DC51" s="43">
        <f t="shared" si="122"/>
        <v>0.20701144199631261</v>
      </c>
      <c r="DD51" s="43">
        <f t="shared" si="122"/>
        <v>0.17536886628324627</v>
      </c>
      <c r="DE51" s="43">
        <f t="shared" si="122"/>
        <v>0.18196507172800402</v>
      </c>
      <c r="DF51" s="43">
        <f t="shared" ca="1" si="122"/>
        <v>0.19274276687905431</v>
      </c>
      <c r="DG51" s="407">
        <f t="shared" ca="1" si="122"/>
        <v>0.18948081131292721</v>
      </c>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row>
    <row r="52" spans="1:226" s="36" customFormat="1" ht="12" customHeight="1" x14ac:dyDescent="0.2">
      <c r="A52" s="80" t="s">
        <v>112</v>
      </c>
      <c r="B52" s="493"/>
      <c r="C52" s="493"/>
      <c r="D52" s="493"/>
      <c r="E52" s="493"/>
      <c r="F52" s="702"/>
      <c r="G52" s="493">
        <f t="shared" ref="G52:AB52" si="123">(G51-B51)*10000</f>
        <v>-161.39857660258855</v>
      </c>
      <c r="H52" s="493">
        <f t="shared" si="123"/>
        <v>-446.67263826041301</v>
      </c>
      <c r="I52" s="493">
        <f t="shared" si="123"/>
        <v>-1138.5838805193644</v>
      </c>
      <c r="J52" s="493">
        <f t="shared" si="123"/>
        <v>348.65685858078808</v>
      </c>
      <c r="K52" s="702">
        <f t="shared" si="123"/>
        <v>-327.98534526922327</v>
      </c>
      <c r="L52" s="493">
        <f t="shared" si="123"/>
        <v>777.19151117012609</v>
      </c>
      <c r="M52" s="493">
        <f t="shared" si="123"/>
        <v>561.54290069421268</v>
      </c>
      <c r="N52" s="493">
        <f t="shared" si="123"/>
        <v>974.45696958185488</v>
      </c>
      <c r="O52" s="493">
        <f t="shared" si="123"/>
        <v>-53.37618203309691</v>
      </c>
      <c r="P52" s="702">
        <f t="shared" si="123"/>
        <v>551.54060965846156</v>
      </c>
      <c r="Q52" s="493">
        <f t="shared" si="123"/>
        <v>-605.33646259975978</v>
      </c>
      <c r="R52" s="493">
        <f t="shared" si="123"/>
        <v>140.7878674053903</v>
      </c>
      <c r="S52" s="493">
        <f t="shared" si="123"/>
        <v>-23.74485162502382</v>
      </c>
      <c r="T52" s="493">
        <f t="shared" si="123"/>
        <v>9.2519338959212725</v>
      </c>
      <c r="U52" s="702">
        <f t="shared" si="123"/>
        <v>-123.89745240538124</v>
      </c>
      <c r="V52" s="493">
        <f t="shared" si="123"/>
        <v>-227.16752917608829</v>
      </c>
      <c r="W52" s="493">
        <f t="shared" si="123"/>
        <v>91.739130434782538</v>
      </c>
      <c r="X52" s="493">
        <f t="shared" si="123"/>
        <v>-17.75034913692658</v>
      </c>
      <c r="Y52" s="493">
        <f t="shared" si="123"/>
        <v>-107.64540811176393</v>
      </c>
      <c r="Z52" s="702">
        <f t="shared" si="123"/>
        <v>-68.310235814157409</v>
      </c>
      <c r="AA52" s="493">
        <f t="shared" si="123"/>
        <v>44.045248368182186</v>
      </c>
      <c r="AB52" s="493">
        <f t="shared" si="123"/>
        <v>-400.82706766917278</v>
      </c>
      <c r="AC52" s="493">
        <f t="shared" ref="AC52:AY52" si="124">(AC51-X51)*10000</f>
        <v>78.662827436804804</v>
      </c>
      <c r="AD52" s="493">
        <f t="shared" si="124"/>
        <v>-181.64164287623046</v>
      </c>
      <c r="AE52" s="702">
        <f t="shared" si="124"/>
        <v>-113.68998686418303</v>
      </c>
      <c r="AF52" s="493">
        <f t="shared" si="124"/>
        <v>64.154776616859593</v>
      </c>
      <c r="AG52" s="493">
        <f t="shared" si="124"/>
        <v>34.051409176893145</v>
      </c>
      <c r="AH52" s="493">
        <f t="shared" si="124"/>
        <v>10.16828511871487</v>
      </c>
      <c r="AI52" s="493">
        <f t="shared" si="124"/>
        <v>219.27122820318417</v>
      </c>
      <c r="AJ52" s="702">
        <f t="shared" si="124"/>
        <v>86.63465524818281</v>
      </c>
      <c r="AK52" s="493">
        <f>(AK51-AF51)*10000</f>
        <v>-69.177235121263564</v>
      </c>
      <c r="AL52" s="493">
        <f>(AL51-AG51)*10000</f>
        <v>-2.9713904115988288</v>
      </c>
      <c r="AM52" s="493">
        <f t="shared" si="124"/>
        <v>-293.90026520586059</v>
      </c>
      <c r="AN52" s="493">
        <f t="shared" si="124"/>
        <v>-198.47408026755858</v>
      </c>
      <c r="AO52" s="702">
        <f t="shared" si="124"/>
        <v>-146.13609212625084</v>
      </c>
      <c r="AP52" s="493">
        <f t="shared" si="124"/>
        <v>-1.6270346680849479</v>
      </c>
      <c r="AQ52" s="493">
        <f t="shared" si="124"/>
        <v>21.786522588088943</v>
      </c>
      <c r="AR52" s="493">
        <f t="shared" si="124"/>
        <v>536.60179026032677</v>
      </c>
      <c r="AS52" s="493">
        <f t="shared" si="124"/>
        <v>280.55741360089206</v>
      </c>
      <c r="AT52" s="702">
        <f t="shared" si="124"/>
        <v>215.41416633464206</v>
      </c>
      <c r="AU52" s="493">
        <f t="shared" si="124"/>
        <v>333.99469432479066</v>
      </c>
      <c r="AV52" s="493">
        <f t="shared" si="124"/>
        <v>91.746534546242316</v>
      </c>
      <c r="AW52" s="493">
        <f t="shared" si="124"/>
        <v>-111.52551152551149</v>
      </c>
      <c r="AX52" s="493">
        <f t="shared" si="124"/>
        <v>-195.908560765104</v>
      </c>
      <c r="AY52" s="702">
        <f t="shared" si="124"/>
        <v>20.16385454316011</v>
      </c>
      <c r="AZ52" s="493">
        <f t="shared" ref="AZ52:CE52" si="125">(AZ51-AU51)*10000</f>
        <v>-162.62750076079135</v>
      </c>
      <c r="BA52" s="493">
        <f t="shared" si="125"/>
        <v>-147.33138566896008</v>
      </c>
      <c r="BB52" s="493">
        <f t="shared" si="125"/>
        <v>-63.059809992325469</v>
      </c>
      <c r="BC52" s="493">
        <f t="shared" si="125"/>
        <v>-14.590764471063554</v>
      </c>
      <c r="BD52" s="702">
        <f t="shared" si="125"/>
        <v>-90.698897047356013</v>
      </c>
      <c r="BE52" s="493">
        <f t="shared" si="125"/>
        <v>-231.24693577381922</v>
      </c>
      <c r="BF52" s="493">
        <f t="shared" si="125"/>
        <v>49.556843449973243</v>
      </c>
      <c r="BG52" s="493">
        <f t="shared" si="125"/>
        <v>-219.68860980106226</v>
      </c>
      <c r="BH52" s="493">
        <f t="shared" si="125"/>
        <v>-33.917719972571533</v>
      </c>
      <c r="BI52" s="702">
        <f t="shared" si="125"/>
        <v>-109.23113670024964</v>
      </c>
      <c r="BJ52" s="493">
        <f t="shared" si="125"/>
        <v>87.366630586052381</v>
      </c>
      <c r="BK52" s="493">
        <f t="shared" si="125"/>
        <v>133.9885339885341</v>
      </c>
      <c r="BL52" s="493">
        <f t="shared" si="125"/>
        <v>35.840338490401855</v>
      </c>
      <c r="BM52" s="493">
        <f t="shared" si="125"/>
        <v>89.713317563834821</v>
      </c>
      <c r="BN52" s="702">
        <f t="shared" si="125"/>
        <v>82.523367489128191</v>
      </c>
      <c r="BO52" s="493">
        <f>(BO51-BJ51)*10000</f>
        <v>83.035882230510225</v>
      </c>
      <c r="BP52" s="493">
        <f t="shared" si="125"/>
        <v>-25.07645259938851</v>
      </c>
      <c r="BQ52" s="493">
        <f t="shared" si="125"/>
        <v>173.86659537716594</v>
      </c>
      <c r="BR52" s="493">
        <f t="shared" si="125"/>
        <v>-68.182043898182002</v>
      </c>
      <c r="BS52" s="702">
        <f>(BS51-BN51)*10000</f>
        <v>37.903615074905971</v>
      </c>
      <c r="BT52" s="614">
        <f t="shared" si="125"/>
        <v>47.325161807663662</v>
      </c>
      <c r="BU52" s="493">
        <f t="shared" si="125"/>
        <v>68.199129179314085</v>
      </c>
      <c r="BV52" s="493">
        <f>(BV51-BQ51)*10000</f>
        <v>-102.64055271125089</v>
      </c>
      <c r="BW52" s="493">
        <f t="shared" si="125"/>
        <v>29.912104234158797</v>
      </c>
      <c r="BX52" s="702">
        <f>(BX51-BS51)*10000</f>
        <v>10.639904790218091</v>
      </c>
      <c r="BY52" s="493">
        <f t="shared" si="125"/>
        <v>230.63087991145565</v>
      </c>
      <c r="BZ52" s="493">
        <f t="shared" si="125"/>
        <v>208.17843866170998</v>
      </c>
      <c r="CA52" s="493">
        <f t="shared" si="125"/>
        <v>110.09467290945263</v>
      </c>
      <c r="CB52" s="493">
        <f>(CB51-BW51)*10000</f>
        <v>-245.3596660244059</v>
      </c>
      <c r="CC52" s="702">
        <f>(CC51-BX51)*10000</f>
        <v>64.408210886612025</v>
      </c>
      <c r="CD52" s="27">
        <f t="shared" si="125"/>
        <v>-110.22200950258521</v>
      </c>
      <c r="CE52" s="786">
        <f t="shared" si="125"/>
        <v>83.265029850825286</v>
      </c>
      <c r="CF52" s="27">
        <f t="shared" ref="CF52:CV52" si="126">(CF51-CA51)*10000</f>
        <v>-117.36291200938942</v>
      </c>
      <c r="CG52" s="27">
        <f t="shared" si="126"/>
        <v>273.99817850637527</v>
      </c>
      <c r="CH52" s="334">
        <f>(CH51-CC51)*10000</f>
        <v>39.922461933296901</v>
      </c>
      <c r="CI52" s="27">
        <f t="shared" si="126"/>
        <v>72.66805266805288</v>
      </c>
      <c r="CJ52" s="27">
        <f t="shared" si="126"/>
        <v>-232.58874396251738</v>
      </c>
      <c r="CK52" s="27">
        <f t="shared" si="126"/>
        <v>20.719612807104383</v>
      </c>
      <c r="CL52" s="27">
        <f t="shared" ca="1" si="126"/>
        <v>-83.307835604237439</v>
      </c>
      <c r="CM52" s="334">
        <f t="shared" ca="1" si="126"/>
        <v>-53.633954978579425</v>
      </c>
      <c r="CN52" s="27">
        <f t="shared" si="126"/>
        <v>-49.207016998239759</v>
      </c>
      <c r="CO52" s="27">
        <f t="shared" si="126"/>
        <v>-51.831218002052204</v>
      </c>
      <c r="CP52" s="27">
        <f t="shared" si="126"/>
        <v>-9.1810436762967953</v>
      </c>
      <c r="CQ52" s="27">
        <f t="shared" ca="1" si="126"/>
        <v>-30.993077532187328</v>
      </c>
      <c r="CR52" s="334">
        <f ca="1">(CR51-CM51)*10000</f>
        <v>-35.777812415654644</v>
      </c>
      <c r="CS52" s="27">
        <f t="shared" si="126"/>
        <v>55.425928452372261</v>
      </c>
      <c r="CT52" s="27">
        <f t="shared" si="126"/>
        <v>57.279382853956115</v>
      </c>
      <c r="CU52" s="27">
        <f t="shared" si="126"/>
        <v>55.684793852157355</v>
      </c>
      <c r="CV52" s="27">
        <f t="shared" ca="1" si="126"/>
        <v>57.709268720447795</v>
      </c>
      <c r="CW52" s="334">
        <f t="shared" ref="CW52:DG52" ca="1" si="127">(CW51-CR51)*10000</f>
        <v>56.522942996794221</v>
      </c>
      <c r="CX52" s="27">
        <f t="shared" si="127"/>
        <v>23.491351017899397</v>
      </c>
      <c r="CY52" s="27">
        <f t="shared" si="127"/>
        <v>24.666487400668014</v>
      </c>
      <c r="CZ52" s="27">
        <f t="shared" si="127"/>
        <v>21.287919671868494</v>
      </c>
      <c r="DA52" s="27">
        <f t="shared" ca="1" si="127"/>
        <v>19.064551874895528</v>
      </c>
      <c r="DB52" s="334">
        <f t="shared" ca="1" si="127"/>
        <v>21.97930017235311</v>
      </c>
      <c r="DC52" s="27">
        <f t="shared" si="127"/>
        <v>20.404157491094033</v>
      </c>
      <c r="DD52" s="27">
        <f t="shared" si="127"/>
        <v>21.596609449947291</v>
      </c>
      <c r="DE52" s="27">
        <f t="shared" si="127"/>
        <v>18.207816480318439</v>
      </c>
      <c r="DF52" s="27">
        <f t="shared" ca="1" si="127"/>
        <v>15.9565828252492</v>
      </c>
      <c r="DG52" s="334">
        <f t="shared" ca="1" si="127"/>
        <v>18.893595834184595</v>
      </c>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row>
    <row r="53" spans="1:226" s="36" customFormat="1" ht="13.5" customHeight="1" x14ac:dyDescent="0.2">
      <c r="A53" s="80"/>
      <c r="B53" s="493"/>
      <c r="C53" s="493"/>
      <c r="D53" s="493"/>
      <c r="E53" s="493"/>
      <c r="F53" s="702"/>
      <c r="G53" s="493"/>
      <c r="H53" s="493"/>
      <c r="I53" s="493"/>
      <c r="J53" s="493"/>
      <c r="K53" s="702"/>
      <c r="L53" s="493"/>
      <c r="M53" s="493"/>
      <c r="N53" s="493"/>
      <c r="O53" s="493"/>
      <c r="P53" s="702"/>
      <c r="Q53" s="493"/>
      <c r="R53" s="493"/>
      <c r="S53" s="493"/>
      <c r="T53" s="493"/>
      <c r="U53" s="702"/>
      <c r="V53" s="493"/>
      <c r="W53" s="493"/>
      <c r="X53" s="493"/>
      <c r="Y53" s="493"/>
      <c r="Z53" s="702"/>
      <c r="AA53" s="493"/>
      <c r="AB53" s="493"/>
      <c r="AC53" s="493"/>
      <c r="AD53" s="493"/>
      <c r="AE53" s="702"/>
      <c r="AF53" s="493"/>
      <c r="AG53" s="493"/>
      <c r="AH53" s="493"/>
      <c r="AI53" s="493"/>
      <c r="AJ53" s="702"/>
      <c r="AK53" s="493"/>
      <c r="AL53" s="493"/>
      <c r="AM53" s="493"/>
      <c r="AN53" s="493"/>
      <c r="AO53" s="702"/>
      <c r="AP53" s="493"/>
      <c r="AQ53" s="570"/>
      <c r="AR53" s="570"/>
      <c r="AS53" s="493"/>
      <c r="AT53" s="702"/>
      <c r="AU53" s="570"/>
      <c r="AV53" s="570"/>
      <c r="AW53" s="729"/>
      <c r="AX53" s="493"/>
      <c r="AY53" s="702"/>
      <c r="AZ53" s="493"/>
      <c r="BA53" s="493"/>
      <c r="BB53" s="493"/>
      <c r="BC53" s="493"/>
      <c r="BD53" s="702"/>
      <c r="BE53" s="493"/>
      <c r="BF53" s="493"/>
      <c r="BG53" s="493"/>
      <c r="BH53" s="493"/>
      <c r="BI53" s="568"/>
      <c r="BJ53" s="493"/>
      <c r="BK53" s="493"/>
      <c r="BL53" s="493"/>
      <c r="BM53" s="493"/>
      <c r="BN53" s="568"/>
      <c r="BO53" s="684"/>
      <c r="BP53" s="684"/>
      <c r="BQ53" s="684"/>
      <c r="BR53" s="684"/>
      <c r="BS53" s="756"/>
      <c r="BT53" s="757"/>
      <c r="BU53" s="684"/>
      <c r="BV53" s="684"/>
      <c r="BW53" s="684"/>
      <c r="BX53" s="756"/>
      <c r="BY53" s="493"/>
      <c r="BZ53" s="493"/>
      <c r="CA53" s="493"/>
      <c r="CB53" s="493"/>
      <c r="CC53" s="702"/>
      <c r="CD53" s="54"/>
      <c r="CE53" s="791"/>
      <c r="CF53" s="54"/>
      <c r="CG53" s="54"/>
      <c r="CH53" s="334"/>
      <c r="CI53" s="27"/>
      <c r="CJ53" s="27"/>
      <c r="CK53" s="27"/>
      <c r="CL53" s="27"/>
      <c r="CM53" s="334"/>
      <c r="CN53" s="27"/>
      <c r="CO53" s="27"/>
      <c r="CP53" s="27"/>
      <c r="CQ53" s="27"/>
      <c r="CR53" s="334"/>
      <c r="CS53" s="27"/>
      <c r="CT53" s="27"/>
      <c r="CU53" s="27"/>
      <c r="CV53" s="27"/>
      <c r="CW53" s="334"/>
      <c r="CX53" s="27"/>
      <c r="CY53" s="27"/>
      <c r="CZ53" s="27"/>
      <c r="DA53" s="27"/>
      <c r="DB53" s="334"/>
      <c r="DC53" s="27"/>
      <c r="DD53" s="27"/>
      <c r="DE53" s="27"/>
      <c r="DF53" s="27"/>
      <c r="DG53" s="334"/>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row>
    <row r="54" spans="1:226" s="35" customFormat="1" ht="12" hidden="1" customHeight="1" outlineLevel="1" x14ac:dyDescent="0.2">
      <c r="A54" s="35" t="s">
        <v>140</v>
      </c>
      <c r="B54" s="35">
        <f t="shared" ref="B54:W54" si="128">B50-B102</f>
        <v>178</v>
      </c>
      <c r="C54" s="35">
        <f t="shared" si="128"/>
        <v>129</v>
      </c>
      <c r="D54" s="35">
        <f t="shared" si="128"/>
        <v>181</v>
      </c>
      <c r="E54" s="35">
        <f t="shared" si="128"/>
        <v>198</v>
      </c>
      <c r="F54" s="435">
        <f t="shared" si="128"/>
        <v>686</v>
      </c>
      <c r="G54" s="35">
        <f t="shared" si="128"/>
        <v>178</v>
      </c>
      <c r="H54" s="35">
        <f t="shared" si="128"/>
        <v>157</v>
      </c>
      <c r="I54" s="35">
        <f t="shared" si="128"/>
        <v>176</v>
      </c>
      <c r="J54" s="35">
        <f t="shared" si="128"/>
        <v>248</v>
      </c>
      <c r="K54" s="435">
        <f t="shared" si="128"/>
        <v>759</v>
      </c>
      <c r="L54" s="35">
        <f t="shared" si="128"/>
        <v>261</v>
      </c>
      <c r="M54" s="35">
        <f t="shared" si="128"/>
        <v>177</v>
      </c>
      <c r="N54" s="35">
        <f t="shared" si="128"/>
        <v>175</v>
      </c>
      <c r="O54" s="35">
        <f t="shared" si="128"/>
        <v>241</v>
      </c>
      <c r="P54" s="435">
        <f t="shared" si="128"/>
        <v>854</v>
      </c>
      <c r="Q54" s="35">
        <f t="shared" si="128"/>
        <v>187</v>
      </c>
      <c r="R54" s="35">
        <f t="shared" si="128"/>
        <v>159</v>
      </c>
      <c r="S54" s="35">
        <f t="shared" si="128"/>
        <v>178</v>
      </c>
      <c r="T54" s="35">
        <f t="shared" si="128"/>
        <v>249</v>
      </c>
      <c r="U54" s="435">
        <f t="shared" si="128"/>
        <v>773</v>
      </c>
      <c r="V54" s="35">
        <f t="shared" si="128"/>
        <v>171</v>
      </c>
      <c r="W54" s="35">
        <f t="shared" si="128"/>
        <v>182</v>
      </c>
      <c r="X54" s="35">
        <f t="shared" ref="X54:AS54" si="129">X50-X102</f>
        <v>182</v>
      </c>
      <c r="Y54" s="35">
        <f t="shared" si="129"/>
        <v>250</v>
      </c>
      <c r="Z54" s="435">
        <f t="shared" si="129"/>
        <v>785</v>
      </c>
      <c r="AA54" s="35">
        <f t="shared" si="129"/>
        <v>185</v>
      </c>
      <c r="AB54" s="35">
        <f t="shared" si="129"/>
        <v>151</v>
      </c>
      <c r="AC54" s="35">
        <f t="shared" si="129"/>
        <v>203</v>
      </c>
      <c r="AD54" s="35">
        <f t="shared" si="129"/>
        <v>275</v>
      </c>
      <c r="AE54" s="435">
        <f t="shared" si="129"/>
        <v>814</v>
      </c>
      <c r="AF54" s="35">
        <f t="shared" si="129"/>
        <v>205</v>
      </c>
      <c r="AG54" s="35">
        <f t="shared" si="129"/>
        <v>165</v>
      </c>
      <c r="AH54" s="35">
        <f t="shared" si="129"/>
        <v>229</v>
      </c>
      <c r="AI54" s="35">
        <f t="shared" si="129"/>
        <v>273</v>
      </c>
      <c r="AJ54" s="435">
        <f t="shared" si="129"/>
        <v>872</v>
      </c>
      <c r="AK54" s="35">
        <f t="shared" si="129"/>
        <v>234</v>
      </c>
      <c r="AL54" s="35">
        <f t="shared" si="129"/>
        <v>177</v>
      </c>
      <c r="AM54" s="35">
        <f t="shared" si="129"/>
        <v>216</v>
      </c>
      <c r="AN54" s="35">
        <f t="shared" si="129"/>
        <v>284</v>
      </c>
      <c r="AO54" s="435">
        <f t="shared" si="129"/>
        <v>911</v>
      </c>
      <c r="AP54" s="35">
        <f t="shared" si="129"/>
        <v>237</v>
      </c>
      <c r="AQ54" s="35">
        <f t="shared" si="129"/>
        <v>182</v>
      </c>
      <c r="AR54" s="35">
        <f t="shared" si="129"/>
        <v>290</v>
      </c>
      <c r="AS54" s="35">
        <f t="shared" si="129"/>
        <v>328</v>
      </c>
      <c r="AT54" s="435">
        <f>SUM(AP54:AS54)</f>
        <v>1037</v>
      </c>
      <c r="AU54" s="35">
        <f>AU50-AU102</f>
        <v>267</v>
      </c>
      <c r="AV54" s="35">
        <f t="shared" ref="AV54:BZ54" si="130">AV50-AV102</f>
        <v>196</v>
      </c>
      <c r="AW54" s="35">
        <f t="shared" si="130"/>
        <v>245</v>
      </c>
      <c r="AX54" s="35">
        <f t="shared" si="130"/>
        <v>278</v>
      </c>
      <c r="AY54" s="435">
        <f>AY50-AY102</f>
        <v>986</v>
      </c>
      <c r="AZ54" s="35">
        <f t="shared" si="130"/>
        <v>236.75</v>
      </c>
      <c r="BA54" s="35">
        <f t="shared" si="130"/>
        <v>170.75</v>
      </c>
      <c r="BB54" s="35">
        <f t="shared" si="130"/>
        <v>242.75</v>
      </c>
      <c r="BC54" s="35">
        <f t="shared" si="130"/>
        <v>285.75</v>
      </c>
      <c r="BD54" s="435">
        <f t="shared" si="130"/>
        <v>936</v>
      </c>
      <c r="BE54" s="35">
        <f t="shared" si="130"/>
        <v>212.5</v>
      </c>
      <c r="BF54" s="35">
        <f t="shared" si="130"/>
        <v>181.5</v>
      </c>
      <c r="BG54" s="35">
        <f t="shared" si="130"/>
        <v>228.5</v>
      </c>
      <c r="BH54" s="35">
        <f t="shared" si="130"/>
        <v>294</v>
      </c>
      <c r="BI54" s="435">
        <f>BI50-BI102</f>
        <v>916.5</v>
      </c>
      <c r="BJ54" s="35">
        <f t="shared" si="130"/>
        <v>229.5</v>
      </c>
      <c r="BK54" s="35">
        <f t="shared" si="130"/>
        <v>214.5</v>
      </c>
      <c r="BL54" s="35">
        <f t="shared" si="130"/>
        <v>235.5</v>
      </c>
      <c r="BM54" s="35">
        <f>BM50-BM102</f>
        <v>305.5</v>
      </c>
      <c r="BN54" s="435">
        <f>BN50-BN102</f>
        <v>985</v>
      </c>
      <c r="BO54" s="35">
        <f t="shared" si="130"/>
        <v>239</v>
      </c>
      <c r="BP54" s="35">
        <f t="shared" si="130"/>
        <v>206</v>
      </c>
      <c r="BQ54" s="35">
        <f t="shared" si="130"/>
        <v>249</v>
      </c>
      <c r="BR54" s="35">
        <f t="shared" si="130"/>
        <v>283</v>
      </c>
      <c r="BS54" s="435">
        <f t="shared" si="130"/>
        <v>977</v>
      </c>
      <c r="BT54" s="624">
        <f t="shared" si="130"/>
        <v>247</v>
      </c>
      <c r="BU54" s="35">
        <f t="shared" si="130"/>
        <v>221</v>
      </c>
      <c r="BV54" s="35">
        <f t="shared" si="130"/>
        <v>241</v>
      </c>
      <c r="BW54" s="35">
        <f t="shared" si="130"/>
        <v>299</v>
      </c>
      <c r="BX54" s="435">
        <f>BX50-BX102</f>
        <v>1008</v>
      </c>
      <c r="BY54" s="35">
        <f t="shared" si="130"/>
        <v>286</v>
      </c>
      <c r="BZ54" s="35">
        <f t="shared" si="130"/>
        <v>249</v>
      </c>
      <c r="CA54" s="35">
        <f t="shared" ref="CA54:CW54" si="131">CA50-CA102</f>
        <v>261</v>
      </c>
      <c r="CB54" s="35">
        <f t="shared" si="131"/>
        <v>268</v>
      </c>
      <c r="CC54" s="435">
        <f t="shared" si="131"/>
        <v>1064</v>
      </c>
      <c r="CD54" s="35">
        <f t="shared" si="131"/>
        <v>281</v>
      </c>
      <c r="CE54" s="624">
        <f t="shared" si="131"/>
        <v>272</v>
      </c>
      <c r="CF54" s="35">
        <f t="shared" si="131"/>
        <v>253</v>
      </c>
      <c r="CG54" s="35">
        <f t="shared" si="131"/>
        <v>321</v>
      </c>
      <c r="CH54" s="435">
        <f t="shared" si="131"/>
        <v>1127</v>
      </c>
      <c r="CI54" s="35">
        <f t="shared" si="131"/>
        <v>303</v>
      </c>
      <c r="CJ54" s="35">
        <f t="shared" si="131"/>
        <v>241</v>
      </c>
      <c r="CK54" s="35">
        <f t="shared" si="131"/>
        <v>262.33874018076563</v>
      </c>
      <c r="CL54" s="35">
        <f t="shared" ca="1" si="131"/>
        <v>322.65282494227728</v>
      </c>
      <c r="CM54" s="435">
        <f t="shared" ca="1" si="131"/>
        <v>1128.9915651230428</v>
      </c>
      <c r="CN54" s="35">
        <f t="shared" si="131"/>
        <v>312.06246817266214</v>
      </c>
      <c r="CO54" s="35">
        <f t="shared" si="131"/>
        <v>249.74600268046552</v>
      </c>
      <c r="CP54" s="35">
        <f t="shared" si="131"/>
        <v>279.01555473323771</v>
      </c>
      <c r="CQ54" s="35">
        <f t="shared" ca="1" si="131"/>
        <v>326.5670939563031</v>
      </c>
      <c r="CR54" s="435">
        <f t="shared" ca="1" si="131"/>
        <v>1167.3911195426685</v>
      </c>
      <c r="CS54" s="35">
        <f t="shared" si="131"/>
        <v>328.37764532194353</v>
      </c>
      <c r="CT54" s="35">
        <f t="shared" si="131"/>
        <v>264.62529360504089</v>
      </c>
      <c r="CU54" s="35">
        <f t="shared" si="131"/>
        <v>294.801499590074</v>
      </c>
      <c r="CV54" s="35">
        <f t="shared" ca="1" si="131"/>
        <v>344.53201054448499</v>
      </c>
      <c r="CW54" s="435">
        <f t="shared" ca="1" si="131"/>
        <v>1232.3364490615434</v>
      </c>
      <c r="CX54" s="35">
        <f t="shared" ref="CX54:DG54" si="132">CX50-CX102</f>
        <v>340.02444313342909</v>
      </c>
      <c r="CY54" s="35">
        <f t="shared" si="132"/>
        <v>274.92922093547628</v>
      </c>
      <c r="CZ54" s="35">
        <f t="shared" si="132"/>
        <v>305.37760250780855</v>
      </c>
      <c r="DA54" s="35">
        <f t="shared" ca="1" si="132"/>
        <v>355.98721934383695</v>
      </c>
      <c r="DB54" s="435">
        <f t="shared" ca="1" si="132"/>
        <v>1276.3184859205508</v>
      </c>
      <c r="DC54" s="35">
        <f t="shared" si="132"/>
        <v>351.54975284539864</v>
      </c>
      <c r="DD54" s="35">
        <f t="shared" si="132"/>
        <v>285.10857657580488</v>
      </c>
      <c r="DE54" s="35">
        <f t="shared" si="132"/>
        <v>315.78811101670141</v>
      </c>
      <c r="DF54" s="35">
        <f t="shared" ca="1" si="132"/>
        <v>367.23267865288517</v>
      </c>
      <c r="DG54" s="435">
        <f t="shared" ca="1" si="132"/>
        <v>1319.67911909079</v>
      </c>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row>
    <row r="55" spans="1:226" s="43" customFormat="1" ht="12" hidden="1" customHeight="1" outlineLevel="1" x14ac:dyDescent="0.2">
      <c r="A55" s="36" t="s">
        <v>23</v>
      </c>
      <c r="B55" s="43">
        <f t="shared" ref="B55:W55" si="133">B54/B7</f>
        <v>0.18483904465212878</v>
      </c>
      <c r="C55" s="43">
        <f t="shared" si="133"/>
        <v>0.14726027397260275</v>
      </c>
      <c r="D55" s="43">
        <f t="shared" si="133"/>
        <v>0.18814968814968816</v>
      </c>
      <c r="E55" s="43">
        <f t="shared" si="133"/>
        <v>0.17967332123411978</v>
      </c>
      <c r="F55" s="407">
        <f t="shared" si="133"/>
        <v>0.1757622341788368</v>
      </c>
      <c r="G55" s="43">
        <f t="shared" si="133"/>
        <v>0.18089430894308944</v>
      </c>
      <c r="H55" s="43">
        <f t="shared" si="133"/>
        <v>0.17700112739571588</v>
      </c>
      <c r="I55" s="43">
        <f t="shared" si="133"/>
        <v>0.17204301075268819</v>
      </c>
      <c r="J55" s="43">
        <f t="shared" si="133"/>
        <v>0.21985815602836881</v>
      </c>
      <c r="K55" s="407">
        <f t="shared" si="133"/>
        <v>0.1887120835405271</v>
      </c>
      <c r="L55" s="43">
        <f t="shared" si="133"/>
        <v>0.24928366762177651</v>
      </c>
      <c r="M55" s="43">
        <f t="shared" si="133"/>
        <v>0.19114470842332612</v>
      </c>
      <c r="N55" s="43">
        <f t="shared" si="133"/>
        <v>0.1717369970559372</v>
      </c>
      <c r="O55" s="43">
        <f t="shared" si="133"/>
        <v>0.2092013888888889</v>
      </c>
      <c r="P55" s="407">
        <f t="shared" si="133"/>
        <v>0.20608108108108109</v>
      </c>
      <c r="Q55" s="43">
        <f t="shared" si="133"/>
        <v>0.18588469184890655</v>
      </c>
      <c r="R55" s="43">
        <f t="shared" si="133"/>
        <v>0.17282608695652174</v>
      </c>
      <c r="S55" s="43">
        <f t="shared" si="133"/>
        <v>0.16936251189343482</v>
      </c>
      <c r="T55" s="43">
        <f t="shared" si="133"/>
        <v>0.21012658227848102</v>
      </c>
      <c r="U55" s="407">
        <f t="shared" si="133"/>
        <v>0.1857280153772225</v>
      </c>
      <c r="V55" s="43">
        <f t="shared" si="133"/>
        <v>0.16316793893129772</v>
      </c>
      <c r="W55" s="43">
        <f t="shared" si="133"/>
        <v>0.182</v>
      </c>
      <c r="X55" s="43">
        <f t="shared" ref="X55:AY55" si="134">X54/X7</f>
        <v>0.16758747697974216</v>
      </c>
      <c r="Y55" s="43">
        <f t="shared" si="134"/>
        <v>0.19936204146730463</v>
      </c>
      <c r="Z55" s="407">
        <f t="shared" si="134"/>
        <v>0.17889699179580676</v>
      </c>
      <c r="AA55" s="43">
        <f t="shared" si="134"/>
        <v>0.16757246376811594</v>
      </c>
      <c r="AB55" s="43">
        <f t="shared" si="134"/>
        <v>0.14191729323308272</v>
      </c>
      <c r="AC55" s="43">
        <f t="shared" si="134"/>
        <v>0.17545375972342264</v>
      </c>
      <c r="AD55" s="43">
        <f t="shared" si="134"/>
        <v>0.20849128127369218</v>
      </c>
      <c r="AE55" s="407">
        <f t="shared" si="134"/>
        <v>0.17527993109388459</v>
      </c>
      <c r="AF55" s="43">
        <f t="shared" si="134"/>
        <v>0.17657192075796727</v>
      </c>
      <c r="AG55" s="43">
        <f t="shared" si="134"/>
        <v>0.14986376021798364</v>
      </c>
      <c r="AH55" s="43">
        <f t="shared" si="134"/>
        <v>0.18452860596293311</v>
      </c>
      <c r="AI55" s="43">
        <f t="shared" si="134"/>
        <v>0.203125</v>
      </c>
      <c r="AJ55" s="407">
        <f t="shared" si="134"/>
        <v>0.17990509593563028</v>
      </c>
      <c r="AK55" s="43">
        <f t="shared" si="134"/>
        <v>0.18886198547215496</v>
      </c>
      <c r="AL55" s="43">
        <f t="shared" si="134"/>
        <v>0.14924114671163574</v>
      </c>
      <c r="AM55" s="43">
        <f t="shared" si="134"/>
        <v>0.15964523281596452</v>
      </c>
      <c r="AN55" s="43">
        <f t="shared" si="134"/>
        <v>0.18996655518394648</v>
      </c>
      <c r="AO55" s="407">
        <f t="shared" si="134"/>
        <v>0.17276692584866299</v>
      </c>
      <c r="AP55" s="43">
        <f t="shared" si="134"/>
        <v>0.17124277456647399</v>
      </c>
      <c r="AQ55" s="43">
        <f t="shared" si="134"/>
        <v>0.14967105263157895</v>
      </c>
      <c r="AR55" s="43">
        <f t="shared" si="134"/>
        <v>0.21481481481481482</v>
      </c>
      <c r="AS55" s="43">
        <f t="shared" si="134"/>
        <v>0.21866666666666668</v>
      </c>
      <c r="AT55" s="407">
        <f t="shared" si="134"/>
        <v>0.19027522935779817</v>
      </c>
      <c r="AU55" s="43">
        <f t="shared" si="134"/>
        <v>0.20491174213353799</v>
      </c>
      <c r="AV55" s="43">
        <f t="shared" si="134"/>
        <v>0.16131687242798354</v>
      </c>
      <c r="AW55" s="43">
        <f t="shared" si="134"/>
        <v>0.19036519036519037</v>
      </c>
      <c r="AX55" s="43">
        <f t="shared" si="134"/>
        <v>0.19454163750874737</v>
      </c>
      <c r="AY55" s="407">
        <f t="shared" si="134"/>
        <v>0.18838364539549102</v>
      </c>
      <c r="AZ55" s="43">
        <f>AZ54/AZ7</f>
        <v>0.18700631911532387</v>
      </c>
      <c r="BA55" s="43">
        <f>BA54/BA7</f>
        <v>0.14482612383375743</v>
      </c>
      <c r="BB55" s="43">
        <f>BB54/BB7</f>
        <v>0.18615797546012269</v>
      </c>
      <c r="BC55" s="43">
        <f>BC54/BC7</f>
        <v>0.19281376518218624</v>
      </c>
      <c r="BD55" s="407">
        <f>BD54/BD7</f>
        <v>0.17893328235519021</v>
      </c>
      <c r="BE55" s="43">
        <f t="shared" ref="BE55:CV55" si="135">BE54/BE7</f>
        <v>0.16283524904214558</v>
      </c>
      <c r="BF55" s="43">
        <f t="shared" si="135"/>
        <v>0.14864864864864866</v>
      </c>
      <c r="BG55" s="43">
        <f t="shared" si="135"/>
        <v>0.16309778729478944</v>
      </c>
      <c r="BH55" s="43">
        <f t="shared" si="135"/>
        <v>0.19078520441271901</v>
      </c>
      <c r="BI55" s="407">
        <f>BI54/BI7</f>
        <v>0.16761155815654719</v>
      </c>
      <c r="BJ55" s="43">
        <f t="shared" si="135"/>
        <v>0.17152466367713004</v>
      </c>
      <c r="BK55" s="43">
        <f t="shared" si="135"/>
        <v>0.16188679245283019</v>
      </c>
      <c r="BL55" s="43">
        <f t="shared" si="135"/>
        <v>0.16666666666666666</v>
      </c>
      <c r="BM55" s="43">
        <f t="shared" si="135"/>
        <v>0.19747899159663865</v>
      </c>
      <c r="BN55" s="407">
        <f>BN54/BN7</f>
        <v>0.17517339498488352</v>
      </c>
      <c r="BO55" s="43">
        <f t="shared" si="135"/>
        <v>0.17795979151154132</v>
      </c>
      <c r="BP55" s="43">
        <f t="shared" si="135"/>
        <v>0.15749235474006115</v>
      </c>
      <c r="BQ55" s="43">
        <f t="shared" si="135"/>
        <v>0.1822840409956076</v>
      </c>
      <c r="BR55" s="43">
        <f t="shared" si="135"/>
        <v>0.18904475617902472</v>
      </c>
      <c r="BS55" s="407">
        <f t="shared" si="135"/>
        <v>0.17718534639100472</v>
      </c>
      <c r="BT55" s="707">
        <f t="shared" si="135"/>
        <v>0.18269230769230768</v>
      </c>
      <c r="BU55" s="43">
        <f t="shared" si="135"/>
        <v>0.16431226765799256</v>
      </c>
      <c r="BV55" s="43">
        <f t="shared" si="135"/>
        <v>0.17201998572448252</v>
      </c>
      <c r="BW55" s="43">
        <f t="shared" si="135"/>
        <v>0.1920359666024406</v>
      </c>
      <c r="BX55" s="407">
        <f>BX54/BX7</f>
        <v>0.17824933687002653</v>
      </c>
      <c r="BY55" s="43">
        <f t="shared" si="135"/>
        <v>0.20575539568345325</v>
      </c>
      <c r="BZ55" s="43">
        <f t="shared" si="135"/>
        <v>0.18513011152416356</v>
      </c>
      <c r="CA55" s="43">
        <f t="shared" si="135"/>
        <v>0.18302945301542778</v>
      </c>
      <c r="CB55" s="43">
        <f t="shared" si="135"/>
        <v>0.16750000000000001</v>
      </c>
      <c r="CC55" s="407">
        <f t="shared" si="135"/>
        <v>0.18469015795868773</v>
      </c>
      <c r="CD55" s="43">
        <f t="shared" si="135"/>
        <v>0.19473319473319473</v>
      </c>
      <c r="CE55" s="707">
        <f t="shared" si="135"/>
        <v>0.19345661450924609</v>
      </c>
      <c r="CF55" s="43">
        <f t="shared" si="135"/>
        <v>0.17129316181448884</v>
      </c>
      <c r="CG55" s="43">
        <f t="shared" si="135"/>
        <v>0.19489981785063754</v>
      </c>
      <c r="CH55" s="407">
        <f t="shared" si="135"/>
        <v>0.18868240415201742</v>
      </c>
      <c r="CI55" s="43">
        <f t="shared" si="135"/>
        <v>0.20200000000000001</v>
      </c>
      <c r="CJ55" s="43">
        <f t="shared" si="135"/>
        <v>0.17019774011299435</v>
      </c>
      <c r="CK55" s="43">
        <f t="shared" si="135"/>
        <v>0.17336512309519927</v>
      </c>
      <c r="CL55" s="43">
        <f t="shared" ca="1" si="135"/>
        <v>0.18656903429021379</v>
      </c>
      <c r="CM55" s="407">
        <f t="shared" ca="1" si="135"/>
        <v>0.18331900865415948</v>
      </c>
      <c r="CN55" s="43">
        <f t="shared" si="135"/>
        <v>0.19707929830017604</v>
      </c>
      <c r="CO55" s="43">
        <f t="shared" si="135"/>
        <v>0.16501461831278913</v>
      </c>
      <c r="CP55" s="43">
        <f t="shared" si="135"/>
        <v>0.1724470187275696</v>
      </c>
      <c r="CQ55" s="43">
        <f t="shared" ca="1" si="135"/>
        <v>0.18346972653699506</v>
      </c>
      <c r="CR55" s="407">
        <f t="shared" ca="1" si="135"/>
        <v>0.17974122741259402</v>
      </c>
      <c r="CS55" s="43">
        <f t="shared" si="135"/>
        <v>0.20262189114541326</v>
      </c>
      <c r="CT55" s="43">
        <f t="shared" si="135"/>
        <v>0.17074255659818474</v>
      </c>
      <c r="CU55" s="43">
        <f t="shared" si="135"/>
        <v>0.17801549811278533</v>
      </c>
      <c r="CV55" s="43">
        <f t="shared" ca="1" si="135"/>
        <v>0.18924065340903984</v>
      </c>
      <c r="CW55" s="407">
        <f t="shared" ref="CW55:DG55" ca="1" si="136">CW54/CW7</f>
        <v>0.18539352171227344</v>
      </c>
      <c r="CX55" s="43">
        <f t="shared" si="136"/>
        <v>0.2049710262472032</v>
      </c>
      <c r="CY55" s="43">
        <f t="shared" si="136"/>
        <v>0.17320920533825154</v>
      </c>
      <c r="CZ55" s="43">
        <f t="shared" si="136"/>
        <v>0.18014429007997218</v>
      </c>
      <c r="DA55" s="43">
        <f t="shared" ca="1" si="136"/>
        <v>0.19114710859652939</v>
      </c>
      <c r="DB55" s="407">
        <f t="shared" ca="1" si="136"/>
        <v>0.18759145172950875</v>
      </c>
      <c r="DC55" s="43">
        <f t="shared" si="136"/>
        <v>0.20701144199631261</v>
      </c>
      <c r="DD55" s="43">
        <f t="shared" si="136"/>
        <v>0.17536886628324627</v>
      </c>
      <c r="DE55" s="43">
        <f t="shared" si="136"/>
        <v>0.18196507172800402</v>
      </c>
      <c r="DF55" s="43">
        <f t="shared" ca="1" si="136"/>
        <v>0.19274276687905431</v>
      </c>
      <c r="DG55" s="407">
        <f t="shared" ca="1" si="136"/>
        <v>0.18948081131292721</v>
      </c>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row>
    <row r="56" spans="1:226" s="37" customFormat="1" ht="12" hidden="1" customHeight="1" outlineLevel="1" x14ac:dyDescent="0.2">
      <c r="A56" s="80" t="s">
        <v>112</v>
      </c>
      <c r="B56" s="493" t="e">
        <f>(B55-#REF!)*10000</f>
        <v>#REF!</v>
      </c>
      <c r="C56" s="493" t="e">
        <f>(C55-#REF!)*10000</f>
        <v>#REF!</v>
      </c>
      <c r="D56" s="493" t="e">
        <f>(D55-#REF!)*10000</f>
        <v>#REF!</v>
      </c>
      <c r="E56" s="493" t="e">
        <f>(E55-#REF!)*10000</f>
        <v>#REF!</v>
      </c>
      <c r="F56" s="702" t="e">
        <f>(F55-#REF!)*10000</f>
        <v>#REF!</v>
      </c>
      <c r="G56" s="493">
        <f t="shared" ref="G56:AM56" si="137">(G55-B55)*10000</f>
        <v>-39.447357090393318</v>
      </c>
      <c r="H56" s="493">
        <f t="shared" si="137"/>
        <v>297.4085342311314</v>
      </c>
      <c r="I56" s="493">
        <f t="shared" si="137"/>
        <v>-161.06677396999973</v>
      </c>
      <c r="J56" s="493">
        <f t="shared" si="137"/>
        <v>401.84834794249031</v>
      </c>
      <c r="K56" s="702">
        <f t="shared" si="137"/>
        <v>129.49849361690303</v>
      </c>
      <c r="L56" s="493">
        <f t="shared" si="137"/>
        <v>683.89358678687063</v>
      </c>
      <c r="M56" s="493">
        <f t="shared" si="137"/>
        <v>141.43581027610236</v>
      </c>
      <c r="N56" s="493">
        <f t="shared" si="137"/>
        <v>-3.0601369675098411</v>
      </c>
      <c r="O56" s="493">
        <f t="shared" si="137"/>
        <v>-106.56767139479911</v>
      </c>
      <c r="P56" s="702">
        <f t="shared" si="137"/>
        <v>173.68997540553988</v>
      </c>
      <c r="Q56" s="493">
        <f t="shared" si="137"/>
        <v>-633.9897577286996</v>
      </c>
      <c r="R56" s="493">
        <f t="shared" si="137"/>
        <v>-183.18621466804379</v>
      </c>
      <c r="S56" s="493">
        <f t="shared" si="137"/>
        <v>-23.74485162502382</v>
      </c>
      <c r="T56" s="493">
        <f t="shared" si="137"/>
        <v>9.2519338959212725</v>
      </c>
      <c r="U56" s="702">
        <f t="shared" si="137"/>
        <v>-203.53065703858587</v>
      </c>
      <c r="V56" s="493">
        <f t="shared" si="137"/>
        <v>-227.16752917608829</v>
      </c>
      <c r="W56" s="493">
        <f t="shared" si="137"/>
        <v>91.739130434782538</v>
      </c>
      <c r="X56" s="493">
        <f t="shared" si="137"/>
        <v>-17.75034913692658</v>
      </c>
      <c r="Y56" s="493">
        <f t="shared" si="137"/>
        <v>-107.64540811176393</v>
      </c>
      <c r="Z56" s="702">
        <f t="shared" si="137"/>
        <v>-68.310235814157409</v>
      </c>
      <c r="AA56" s="493">
        <f t="shared" si="137"/>
        <v>44.045248368182186</v>
      </c>
      <c r="AB56" s="493">
        <f t="shared" si="137"/>
        <v>-400.82706766917278</v>
      </c>
      <c r="AC56" s="493">
        <f t="shared" si="137"/>
        <v>78.662827436804804</v>
      </c>
      <c r="AD56" s="493">
        <f t="shared" si="137"/>
        <v>91.29239806387551</v>
      </c>
      <c r="AE56" s="702">
        <f t="shared" si="137"/>
        <v>-36.170607019221649</v>
      </c>
      <c r="AF56" s="493">
        <f t="shared" si="137"/>
        <v>89.994569898513291</v>
      </c>
      <c r="AG56" s="493">
        <f t="shared" si="137"/>
        <v>79.46466984900924</v>
      </c>
      <c r="AH56" s="493">
        <f t="shared" si="137"/>
        <v>90.748462395104639</v>
      </c>
      <c r="AI56" s="493">
        <f t="shared" si="137"/>
        <v>-53.662812736921808</v>
      </c>
      <c r="AJ56" s="702">
        <f t="shared" si="137"/>
        <v>46.251648417456877</v>
      </c>
      <c r="AK56" s="493">
        <f t="shared" si="137"/>
        <v>122.90064714187699</v>
      </c>
      <c r="AL56" s="493">
        <f t="shared" si="137"/>
        <v>-6.2261350634790213</v>
      </c>
      <c r="AM56" s="493">
        <f t="shared" si="137"/>
        <v>-248.83373146968592</v>
      </c>
      <c r="AN56" s="493">
        <f t="shared" ref="AN56:AY56" si="138">(AN55-AI55)*10000</f>
        <v>-131.5844481605352</v>
      </c>
      <c r="AO56" s="702">
        <f t="shared" si="138"/>
        <v>-71.38170086967294</v>
      </c>
      <c r="AP56" s="493">
        <f t="shared" si="138"/>
        <v>-176.1921090568097</v>
      </c>
      <c r="AQ56" s="493">
        <f t="shared" si="138"/>
        <v>4.299059199432131</v>
      </c>
      <c r="AR56" s="493">
        <f t="shared" si="138"/>
        <v>551.69581998850299</v>
      </c>
      <c r="AS56" s="493">
        <f t="shared" si="138"/>
        <v>287.001114827202</v>
      </c>
      <c r="AT56" s="702">
        <f t="shared" si="138"/>
        <v>175.0830350913518</v>
      </c>
      <c r="AU56" s="493">
        <f t="shared" si="138"/>
        <v>336.68967567063999</v>
      </c>
      <c r="AV56" s="493">
        <f t="shared" si="138"/>
        <v>116.45819796404582</v>
      </c>
      <c r="AW56" s="493">
        <f t="shared" si="138"/>
        <v>-244.49624449624451</v>
      </c>
      <c r="AX56" s="493">
        <f t="shared" si="138"/>
        <v>-241.25029157919309</v>
      </c>
      <c r="AY56" s="702">
        <f t="shared" si="138"/>
        <v>-18.915839623071527</v>
      </c>
      <c r="AZ56" s="493">
        <f>(AZ55-AU55)*10000</f>
        <v>-179.05423018214128</v>
      </c>
      <c r="BA56" s="493">
        <f>(BA55-AV55)*10000</f>
        <v>-164.90748594226113</v>
      </c>
      <c r="BB56" s="493">
        <f>(BB55-AW55)*10000</f>
        <v>-42.072149050676742</v>
      </c>
      <c r="BC56" s="493">
        <f>(BC55-AX55)*10000</f>
        <v>-17.278723265611305</v>
      </c>
      <c r="BD56" s="702">
        <f>(BD55-AY55)*10000</f>
        <v>-94.503630403008074</v>
      </c>
      <c r="BE56" s="493">
        <f t="shared" ref="BE56:CV56" si="139">(BE55-AZ55)*10000</f>
        <v>-241.71070073178285</v>
      </c>
      <c r="BF56" s="493">
        <f t="shared" si="139"/>
        <v>38.225248148912314</v>
      </c>
      <c r="BG56" s="493">
        <f t="shared" si="139"/>
        <v>-230.60188165333255</v>
      </c>
      <c r="BH56" s="493">
        <f t="shared" si="139"/>
        <v>-20.285607694672247</v>
      </c>
      <c r="BI56" s="702">
        <f>(BI55-BD55)*10000</f>
        <v>-113.21724198643024</v>
      </c>
      <c r="BJ56" s="493">
        <f t="shared" si="139"/>
        <v>86.894146349844604</v>
      </c>
      <c r="BK56" s="493">
        <f t="shared" si="139"/>
        <v>132.38143804181536</v>
      </c>
      <c r="BL56" s="493">
        <f t="shared" si="139"/>
        <v>35.688793718772203</v>
      </c>
      <c r="BM56" s="493">
        <f t="shared" si="139"/>
        <v>66.937871839196362</v>
      </c>
      <c r="BN56" s="702">
        <f>(BN55-BI55)*10000</f>
        <v>75.618368283363324</v>
      </c>
      <c r="BO56" s="493">
        <f t="shared" si="139"/>
        <v>64.351278344112757</v>
      </c>
      <c r="BP56" s="493">
        <f t="shared" si="139"/>
        <v>-43.944377127690395</v>
      </c>
      <c r="BQ56" s="493">
        <f t="shared" si="139"/>
        <v>156.17374328940946</v>
      </c>
      <c r="BR56" s="493">
        <f t="shared" si="139"/>
        <v>-84.342354176139281</v>
      </c>
      <c r="BS56" s="702">
        <f t="shared" si="139"/>
        <v>20.11951406121204</v>
      </c>
      <c r="BT56" s="614">
        <f t="shared" si="139"/>
        <v>47.325161807663662</v>
      </c>
      <c r="BU56" s="493">
        <f t="shared" si="139"/>
        <v>68.199129179314085</v>
      </c>
      <c r="BV56" s="493">
        <f t="shared" si="139"/>
        <v>-102.64055271125089</v>
      </c>
      <c r="BW56" s="493">
        <f t="shared" si="139"/>
        <v>29.912104234158797</v>
      </c>
      <c r="BX56" s="702">
        <f t="shared" si="139"/>
        <v>10.639904790218091</v>
      </c>
      <c r="BY56" s="493">
        <f t="shared" si="139"/>
        <v>230.63087991145565</v>
      </c>
      <c r="BZ56" s="493">
        <f t="shared" si="139"/>
        <v>208.17843866170998</v>
      </c>
      <c r="CA56" s="493">
        <f t="shared" si="139"/>
        <v>110.09467290945263</v>
      </c>
      <c r="CB56" s="493">
        <f t="shared" si="139"/>
        <v>-245.3596660244059</v>
      </c>
      <c r="CC56" s="702">
        <f t="shared" si="139"/>
        <v>64.408210886612025</v>
      </c>
      <c r="CD56" s="27">
        <f t="shared" si="139"/>
        <v>-110.22200950258521</v>
      </c>
      <c r="CE56" s="786">
        <f t="shared" si="139"/>
        <v>83.265029850825286</v>
      </c>
      <c r="CF56" s="27">
        <f t="shared" si="139"/>
        <v>-117.36291200938942</v>
      </c>
      <c r="CG56" s="27">
        <f t="shared" si="139"/>
        <v>273.99817850637527</v>
      </c>
      <c r="CH56" s="334">
        <f t="shared" si="139"/>
        <v>39.922461933296901</v>
      </c>
      <c r="CI56" s="27">
        <f t="shared" si="139"/>
        <v>72.66805266805288</v>
      </c>
      <c r="CJ56" s="27">
        <f t="shared" si="139"/>
        <v>-232.58874396251738</v>
      </c>
      <c r="CK56" s="27">
        <f t="shared" si="139"/>
        <v>20.719612807104383</v>
      </c>
      <c r="CL56" s="27">
        <f t="shared" ca="1" si="139"/>
        <v>-83.307835604237439</v>
      </c>
      <c r="CM56" s="334">
        <f t="shared" ca="1" si="139"/>
        <v>-53.633954978579425</v>
      </c>
      <c r="CN56" s="27">
        <f t="shared" si="139"/>
        <v>-49.207016998239759</v>
      </c>
      <c r="CO56" s="27">
        <f t="shared" si="139"/>
        <v>-51.831218002052204</v>
      </c>
      <c r="CP56" s="27">
        <f t="shared" si="139"/>
        <v>-9.1810436762967953</v>
      </c>
      <c r="CQ56" s="27">
        <f t="shared" ca="1" si="139"/>
        <v>-30.993077532187328</v>
      </c>
      <c r="CR56" s="334">
        <f t="shared" ca="1" si="139"/>
        <v>-35.777812415654644</v>
      </c>
      <c r="CS56" s="27">
        <f t="shared" si="139"/>
        <v>55.425928452372261</v>
      </c>
      <c r="CT56" s="27">
        <f t="shared" si="139"/>
        <v>57.279382853956115</v>
      </c>
      <c r="CU56" s="27">
        <f t="shared" si="139"/>
        <v>55.684793852157355</v>
      </c>
      <c r="CV56" s="27">
        <f t="shared" ca="1" si="139"/>
        <v>57.709268720447795</v>
      </c>
      <c r="CW56" s="334">
        <f t="shared" ref="CW56:DG56" ca="1" si="140">(CW55-CR55)*10000</f>
        <v>56.522942996794221</v>
      </c>
      <c r="CX56" s="27">
        <f t="shared" si="140"/>
        <v>23.491351017899397</v>
      </c>
      <c r="CY56" s="27">
        <f t="shared" si="140"/>
        <v>24.666487400668014</v>
      </c>
      <c r="CZ56" s="27">
        <f t="shared" si="140"/>
        <v>21.287919671868494</v>
      </c>
      <c r="DA56" s="27">
        <f t="shared" ca="1" si="140"/>
        <v>19.064551874895528</v>
      </c>
      <c r="DB56" s="334">
        <f t="shared" ca="1" si="140"/>
        <v>21.97930017235311</v>
      </c>
      <c r="DC56" s="27">
        <f t="shared" si="140"/>
        <v>20.404157491094033</v>
      </c>
      <c r="DD56" s="27">
        <f t="shared" si="140"/>
        <v>21.596609449947291</v>
      </c>
      <c r="DE56" s="27">
        <f t="shared" si="140"/>
        <v>18.207816480318439</v>
      </c>
      <c r="DF56" s="27">
        <f t="shared" ca="1" si="140"/>
        <v>15.9565828252492</v>
      </c>
      <c r="DG56" s="334">
        <f t="shared" ca="1" si="140"/>
        <v>18.893595834184595</v>
      </c>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row>
    <row r="57" spans="1:226" s="36" customFormat="1" ht="12" hidden="1" customHeight="1" outlineLevel="1" x14ac:dyDescent="0.2">
      <c r="A57" s="36" t="s">
        <v>24</v>
      </c>
      <c r="B57" s="49" t="e">
        <f>B54/#REF!-1</f>
        <v>#REF!</v>
      </c>
      <c r="C57" s="49" t="e">
        <f>C54/#REF!-1</f>
        <v>#REF!</v>
      </c>
      <c r="D57" s="49" t="e">
        <f>D54/#REF!-1</f>
        <v>#REF!</v>
      </c>
      <c r="E57" s="49" t="e">
        <f>E54/#REF!-1</f>
        <v>#REF!</v>
      </c>
      <c r="F57" s="433" t="e">
        <f>F54/#REF!-1</f>
        <v>#REF!</v>
      </c>
      <c r="G57" s="49">
        <f t="shared" ref="G57:AM57" si="141">G54/B54-1</f>
        <v>0</v>
      </c>
      <c r="H57" s="49">
        <f t="shared" si="141"/>
        <v>0.21705426356589141</v>
      </c>
      <c r="I57" s="49">
        <f t="shared" si="141"/>
        <v>-2.7624309392265234E-2</v>
      </c>
      <c r="J57" s="49">
        <f t="shared" si="141"/>
        <v>0.2525252525252526</v>
      </c>
      <c r="K57" s="433">
        <f t="shared" si="141"/>
        <v>0.10641399416909625</v>
      </c>
      <c r="L57" s="49">
        <f t="shared" si="141"/>
        <v>0.46629213483146059</v>
      </c>
      <c r="M57" s="49">
        <f t="shared" si="141"/>
        <v>0.12738853503184711</v>
      </c>
      <c r="N57" s="49">
        <f t="shared" si="141"/>
        <v>-5.6818181818182323E-3</v>
      </c>
      <c r="O57" s="49">
        <f t="shared" si="141"/>
        <v>-2.8225806451612878E-2</v>
      </c>
      <c r="P57" s="433">
        <f t="shared" si="141"/>
        <v>0.12516469038208178</v>
      </c>
      <c r="Q57" s="49">
        <f t="shared" si="141"/>
        <v>-0.28352490421455934</v>
      </c>
      <c r="R57" s="49">
        <f t="shared" si="141"/>
        <v>-0.10169491525423724</v>
      </c>
      <c r="S57" s="49">
        <f t="shared" si="141"/>
        <v>1.7142857142857126E-2</v>
      </c>
      <c r="T57" s="49">
        <f t="shared" si="141"/>
        <v>3.3195020746888071E-2</v>
      </c>
      <c r="U57" s="433">
        <f t="shared" si="141"/>
        <v>-9.4847775175644022E-2</v>
      </c>
      <c r="V57" s="49">
        <f t="shared" si="141"/>
        <v>-8.5561497326203217E-2</v>
      </c>
      <c r="W57" s="49">
        <f t="shared" si="141"/>
        <v>0.14465408805031443</v>
      </c>
      <c r="X57" s="49">
        <f t="shared" si="141"/>
        <v>2.2471910112359605E-2</v>
      </c>
      <c r="Y57" s="49">
        <f t="shared" si="141"/>
        <v>4.0160642570281624E-3</v>
      </c>
      <c r="Z57" s="433">
        <f t="shared" si="141"/>
        <v>1.5523932729624823E-2</v>
      </c>
      <c r="AA57" s="49">
        <f t="shared" si="141"/>
        <v>8.1871345029239873E-2</v>
      </c>
      <c r="AB57" s="49">
        <f t="shared" si="141"/>
        <v>-0.17032967032967028</v>
      </c>
      <c r="AC57" s="49">
        <f t="shared" si="141"/>
        <v>0.11538461538461542</v>
      </c>
      <c r="AD57" s="49">
        <f t="shared" si="141"/>
        <v>0.10000000000000009</v>
      </c>
      <c r="AE57" s="433">
        <f t="shared" si="141"/>
        <v>3.6942675159235661E-2</v>
      </c>
      <c r="AF57" s="49">
        <f t="shared" si="141"/>
        <v>0.10810810810810811</v>
      </c>
      <c r="AG57" s="49">
        <f t="shared" si="141"/>
        <v>9.27152317880795E-2</v>
      </c>
      <c r="AH57" s="49">
        <f t="shared" si="141"/>
        <v>0.12807881773399021</v>
      </c>
      <c r="AI57" s="49">
        <f t="shared" si="141"/>
        <v>-7.2727272727273196E-3</v>
      </c>
      <c r="AJ57" s="433">
        <f t="shared" si="141"/>
        <v>7.1253071253071232E-2</v>
      </c>
      <c r="AK57" s="49">
        <f t="shared" si="141"/>
        <v>0.14146341463414625</v>
      </c>
      <c r="AL57" s="49">
        <f t="shared" si="141"/>
        <v>7.2727272727272751E-2</v>
      </c>
      <c r="AM57" s="49">
        <f t="shared" si="141"/>
        <v>-5.6768558951965087E-2</v>
      </c>
      <c r="AN57" s="49">
        <f t="shared" ref="AN57:AY57" si="142">AN54/AI54-1</f>
        <v>4.0293040293040372E-2</v>
      </c>
      <c r="AO57" s="433">
        <f t="shared" si="142"/>
        <v>4.4724770642201817E-2</v>
      </c>
      <c r="AP57" s="49">
        <f t="shared" si="142"/>
        <v>1.2820512820512775E-2</v>
      </c>
      <c r="AQ57" s="49">
        <f t="shared" si="142"/>
        <v>2.8248587570621542E-2</v>
      </c>
      <c r="AR57" s="49">
        <f t="shared" si="142"/>
        <v>0.34259259259259256</v>
      </c>
      <c r="AS57" s="49">
        <f t="shared" si="142"/>
        <v>0.15492957746478875</v>
      </c>
      <c r="AT57" s="433">
        <f t="shared" si="142"/>
        <v>0.13830954994511524</v>
      </c>
      <c r="AU57" s="49">
        <f t="shared" si="142"/>
        <v>0.12658227848101267</v>
      </c>
      <c r="AV57" s="49">
        <f t="shared" si="142"/>
        <v>7.6923076923076872E-2</v>
      </c>
      <c r="AW57" s="49">
        <f t="shared" si="142"/>
        <v>-0.15517241379310343</v>
      </c>
      <c r="AX57" s="49">
        <f t="shared" si="142"/>
        <v>-0.15243902439024393</v>
      </c>
      <c r="AY57" s="433">
        <f t="shared" si="142"/>
        <v>-4.9180327868852514E-2</v>
      </c>
      <c r="AZ57" s="49">
        <f>AZ54/AU54-1</f>
        <v>-0.11329588014981273</v>
      </c>
      <c r="BA57" s="49">
        <f>BA54/AV54-1</f>
        <v>-0.12882653061224492</v>
      </c>
      <c r="BB57" s="49">
        <f>BB54/AW54-1</f>
        <v>-9.1836734693877542E-3</v>
      </c>
      <c r="BC57" s="49">
        <f>BC54/AX54-1</f>
        <v>2.7877697841726556E-2</v>
      </c>
      <c r="BD57" s="433">
        <f>BD54/AY54-1</f>
        <v>-5.070993914807298E-2</v>
      </c>
      <c r="BE57" s="49">
        <f t="shared" ref="BE57:CV57" si="143">BE54/AZ54-1</f>
        <v>-0.10242872228088706</v>
      </c>
      <c r="BF57" s="49">
        <f t="shared" si="143"/>
        <v>6.2957540263543166E-2</v>
      </c>
      <c r="BG57" s="49">
        <f t="shared" si="143"/>
        <v>-5.8702368692070017E-2</v>
      </c>
      <c r="BH57" s="49">
        <f t="shared" si="143"/>
        <v>2.8871391076115582E-2</v>
      </c>
      <c r="BI57" s="433">
        <f>BI54/BD54-1</f>
        <v>-2.083333333333337E-2</v>
      </c>
      <c r="BJ57" s="49">
        <f t="shared" si="143"/>
        <v>8.0000000000000071E-2</v>
      </c>
      <c r="BK57" s="49">
        <f t="shared" si="143"/>
        <v>0.18181818181818188</v>
      </c>
      <c r="BL57" s="49">
        <f t="shared" si="143"/>
        <v>3.0634573304157531E-2</v>
      </c>
      <c r="BM57" s="49">
        <f t="shared" si="143"/>
        <v>3.9115646258503389E-2</v>
      </c>
      <c r="BN57" s="433">
        <f>BN54/BI54-1</f>
        <v>7.4740861974904593E-2</v>
      </c>
      <c r="BO57" s="49">
        <f t="shared" si="143"/>
        <v>4.1394335511982572E-2</v>
      </c>
      <c r="BP57" s="49">
        <f t="shared" si="143"/>
        <v>-3.9627039627039617E-2</v>
      </c>
      <c r="BQ57" s="49">
        <f t="shared" si="143"/>
        <v>5.7324840764331197E-2</v>
      </c>
      <c r="BR57" s="49">
        <f t="shared" si="143"/>
        <v>-7.3649754500818343E-2</v>
      </c>
      <c r="BS57" s="433">
        <f t="shared" si="143"/>
        <v>-8.1218274111675148E-3</v>
      </c>
      <c r="BT57" s="701">
        <f t="shared" si="143"/>
        <v>3.3472803347280422E-2</v>
      </c>
      <c r="BU57" s="49">
        <f t="shared" si="143"/>
        <v>7.2815533980582492E-2</v>
      </c>
      <c r="BV57" s="49">
        <f t="shared" si="143"/>
        <v>-3.2128514056224855E-2</v>
      </c>
      <c r="BW57" s="49">
        <f t="shared" si="143"/>
        <v>5.6537102473498191E-2</v>
      </c>
      <c r="BX57" s="433">
        <f t="shared" si="143"/>
        <v>3.1729785056294757E-2</v>
      </c>
      <c r="BY57" s="49">
        <f t="shared" si="143"/>
        <v>0.15789473684210531</v>
      </c>
      <c r="BZ57" s="49">
        <f t="shared" si="143"/>
        <v>0.12669683257918551</v>
      </c>
      <c r="CA57" s="49">
        <f t="shared" si="143"/>
        <v>8.2987551867219844E-2</v>
      </c>
      <c r="CB57" s="49">
        <f t="shared" si="143"/>
        <v>-0.10367892976588633</v>
      </c>
      <c r="CC57" s="433">
        <f t="shared" si="143"/>
        <v>5.555555555555558E-2</v>
      </c>
      <c r="CD57" s="49">
        <f t="shared" si="143"/>
        <v>-1.7482517482517501E-2</v>
      </c>
      <c r="CE57" s="701">
        <f t="shared" si="143"/>
        <v>9.2369477911646625E-2</v>
      </c>
      <c r="CF57" s="49">
        <f t="shared" si="143"/>
        <v>-3.0651340996168619E-2</v>
      </c>
      <c r="CG57" s="49">
        <f t="shared" si="143"/>
        <v>0.19776119402985071</v>
      </c>
      <c r="CH57" s="433">
        <f t="shared" si="143"/>
        <v>5.921052631578938E-2</v>
      </c>
      <c r="CI57" s="49">
        <f t="shared" si="143"/>
        <v>7.8291814946619187E-2</v>
      </c>
      <c r="CJ57" s="49">
        <f t="shared" si="143"/>
        <v>-0.11397058823529416</v>
      </c>
      <c r="CK57" s="49">
        <f t="shared" si="143"/>
        <v>3.691201652476539E-2</v>
      </c>
      <c r="CL57" s="49">
        <f t="shared" ca="1" si="143"/>
        <v>5.1489873591192836E-3</v>
      </c>
      <c r="CM57" s="433">
        <f t="shared" ca="1" si="143"/>
        <v>1.7671385297628461E-3</v>
      </c>
      <c r="CN57" s="49">
        <f t="shared" si="143"/>
        <v>2.9909135883373406E-2</v>
      </c>
      <c r="CO57" s="49">
        <f t="shared" si="143"/>
        <v>3.6290467553798944E-2</v>
      </c>
      <c r="CP57" s="49">
        <f t="shared" si="143"/>
        <v>6.3569774486912811E-2</v>
      </c>
      <c r="CQ57" s="49">
        <f t="shared" ca="1" si="143"/>
        <v>1.2131519427192705E-2</v>
      </c>
      <c r="CR57" s="433">
        <f t="shared" ca="1" si="143"/>
        <v>3.4012259795263233E-2</v>
      </c>
      <c r="CS57" s="49">
        <f t="shared" si="143"/>
        <v>5.2281766675812857E-2</v>
      </c>
      <c r="CT57" s="49">
        <f t="shared" si="143"/>
        <v>5.9577693996618164E-2</v>
      </c>
      <c r="CU57" s="49">
        <f t="shared" si="143"/>
        <v>5.6577293233450732E-2</v>
      </c>
      <c r="CV57" s="49">
        <f t="shared" ca="1" si="143"/>
        <v>5.5011410888158085E-2</v>
      </c>
      <c r="CW57" s="433">
        <f t="shared" ref="CW57:DG57" ca="1" si="144">CW54/CR54-1</f>
        <v>5.5632879530827184E-2</v>
      </c>
      <c r="CX57" s="49">
        <f t="shared" si="144"/>
        <v>3.5467693910975484E-2</v>
      </c>
      <c r="CY57" s="49">
        <f t="shared" si="144"/>
        <v>3.8937802165707636E-2</v>
      </c>
      <c r="CZ57" s="49">
        <f t="shared" si="144"/>
        <v>3.5875336226039556E-2</v>
      </c>
      <c r="DA57" s="49">
        <f t="shared" ca="1" si="144"/>
        <v>3.3248605205793869E-2</v>
      </c>
      <c r="DB57" s="433">
        <f t="shared" ca="1" si="144"/>
        <v>3.568995860870694E-2</v>
      </c>
      <c r="DC57" s="49">
        <f t="shared" si="144"/>
        <v>3.3895532938045037E-2</v>
      </c>
      <c r="DD57" s="49">
        <f t="shared" si="144"/>
        <v>3.7025368222745714E-2</v>
      </c>
      <c r="DE57" s="49">
        <f t="shared" si="144"/>
        <v>3.4090609211023137E-2</v>
      </c>
      <c r="DF57" s="49">
        <f t="shared" ca="1" si="144"/>
        <v>3.1589502931526736E-2</v>
      </c>
      <c r="DG57" s="433">
        <f t="shared" ca="1" si="144"/>
        <v>3.3973207822783458E-2</v>
      </c>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row>
    <row r="58" spans="1:226" s="36" customFormat="1" ht="12" hidden="1" customHeight="1" outlineLevel="1" x14ac:dyDescent="0.2">
      <c r="B58" s="49"/>
      <c r="C58" s="49"/>
      <c r="D58" s="49"/>
      <c r="E58" s="49"/>
      <c r="F58" s="434"/>
      <c r="G58" s="49"/>
      <c r="H58" s="49"/>
      <c r="I58" s="49"/>
      <c r="J58" s="49"/>
      <c r="K58" s="434"/>
      <c r="L58" s="49"/>
      <c r="M58" s="49"/>
      <c r="N58" s="49"/>
      <c r="O58" s="49"/>
      <c r="P58" s="434"/>
      <c r="Q58" s="49"/>
      <c r="R58" s="49"/>
      <c r="S58" s="49"/>
      <c r="T58" s="49"/>
      <c r="U58" s="434"/>
      <c r="V58" s="49"/>
      <c r="W58" s="49"/>
      <c r="X58" s="49"/>
      <c r="Y58" s="49"/>
      <c r="Z58" s="434"/>
      <c r="AA58" s="49"/>
      <c r="AB58" s="49"/>
      <c r="AC58" s="49"/>
      <c r="AD58" s="49"/>
      <c r="AE58" s="434"/>
      <c r="AF58" s="49"/>
      <c r="AG58" s="49"/>
      <c r="AH58" s="49"/>
      <c r="AI58" s="49"/>
      <c r="AJ58" s="434"/>
      <c r="AK58" s="49"/>
      <c r="AL58" s="49"/>
      <c r="AM58" s="49"/>
      <c r="AN58" s="49"/>
      <c r="AO58" s="434"/>
      <c r="AP58" s="49"/>
      <c r="AQ58" s="49"/>
      <c r="AR58" s="49"/>
      <c r="AS58" s="49"/>
      <c r="AT58" s="434"/>
      <c r="AU58" s="49"/>
      <c r="AV58" s="49"/>
      <c r="AW58" s="49"/>
      <c r="AX58" s="49"/>
      <c r="AY58" s="434"/>
      <c r="AZ58" s="49"/>
      <c r="BA58" s="49"/>
      <c r="BB58" s="49"/>
      <c r="BC58" s="49"/>
      <c r="BD58" s="434"/>
      <c r="BE58" s="49"/>
      <c r="BF58" s="49"/>
      <c r="BG58" s="49"/>
      <c r="BH58" s="49"/>
      <c r="BI58" s="434"/>
      <c r="BJ58" s="49"/>
      <c r="BK58" s="49"/>
      <c r="BL58" s="49"/>
      <c r="BM58" s="49"/>
      <c r="BN58" s="434"/>
      <c r="BO58" s="49"/>
      <c r="BP58" s="49"/>
      <c r="BQ58" s="49"/>
      <c r="BR58" s="49"/>
      <c r="BS58" s="434"/>
      <c r="BT58" s="701"/>
      <c r="BU58" s="49"/>
      <c r="BV58" s="49"/>
      <c r="BW58" s="49"/>
      <c r="BX58" s="434"/>
      <c r="BY58" s="49"/>
      <c r="BZ58" s="49"/>
      <c r="CA58" s="49"/>
      <c r="CB58" s="49"/>
      <c r="CC58" s="434"/>
      <c r="CD58" s="49"/>
      <c r="CE58" s="701"/>
      <c r="CF58" s="49"/>
      <c r="CG58" s="49"/>
      <c r="CH58" s="434"/>
      <c r="CI58" s="49"/>
      <c r="CJ58" s="49"/>
      <c r="CK58" s="49"/>
      <c r="CL58" s="49"/>
      <c r="CM58" s="434"/>
      <c r="CN58" s="49"/>
      <c r="CO58" s="49"/>
      <c r="CP58" s="49"/>
      <c r="CQ58" s="49"/>
      <c r="CR58" s="434"/>
      <c r="CS58" s="49"/>
      <c r="CT58" s="49"/>
      <c r="CU58" s="49"/>
      <c r="CV58" s="49"/>
      <c r="CW58" s="434"/>
      <c r="CX58" s="49"/>
      <c r="CY58" s="49"/>
      <c r="CZ58" s="49"/>
      <c r="DA58" s="49"/>
      <c r="DB58" s="434"/>
      <c r="DC58" s="49"/>
      <c r="DD58" s="49"/>
      <c r="DE58" s="49"/>
      <c r="DF58" s="49"/>
      <c r="DG58" s="434"/>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row>
    <row r="59" spans="1:226" s="36" customFormat="1" ht="12" hidden="1" customHeight="1" outlineLevel="1" x14ac:dyDescent="0.2">
      <c r="A59" s="36" t="s">
        <v>250</v>
      </c>
      <c r="B59" s="49"/>
      <c r="C59" s="49"/>
      <c r="D59" s="49"/>
      <c r="E59" s="49"/>
      <c r="F59" s="434"/>
      <c r="G59" s="49"/>
      <c r="H59" s="49"/>
      <c r="I59" s="49"/>
      <c r="J59" s="49"/>
      <c r="K59" s="434"/>
      <c r="L59" s="49"/>
      <c r="M59" s="49"/>
      <c r="N59" s="49"/>
      <c r="O59" s="49"/>
      <c r="P59" s="434"/>
      <c r="Q59" s="49"/>
      <c r="R59" s="49"/>
      <c r="S59" s="49"/>
      <c r="T59" s="49"/>
      <c r="U59" s="434"/>
      <c r="V59" s="49"/>
      <c r="W59" s="49"/>
      <c r="X59" s="49"/>
      <c r="Y59" s="49"/>
      <c r="Z59" s="434"/>
      <c r="AA59" s="49"/>
      <c r="AB59" s="49"/>
      <c r="AC59" s="49"/>
      <c r="AD59" s="49"/>
      <c r="AE59" s="434"/>
      <c r="AF59" s="49"/>
      <c r="AG59" s="49"/>
      <c r="AH59" s="49"/>
      <c r="AI59" s="49"/>
      <c r="AJ59" s="434"/>
      <c r="AK59" s="49"/>
      <c r="AL59" s="49"/>
      <c r="AM59" s="49"/>
      <c r="AN59" s="49"/>
      <c r="AO59" s="434"/>
      <c r="AP59" s="49"/>
      <c r="AQ59" s="49"/>
      <c r="AR59" s="49"/>
      <c r="AS59" s="49"/>
      <c r="AT59" s="434"/>
      <c r="AU59" s="49"/>
      <c r="AV59" s="49"/>
      <c r="AW59" s="49"/>
      <c r="AX59" s="49"/>
      <c r="AY59" s="434"/>
      <c r="AZ59" s="49"/>
      <c r="BA59" s="49"/>
      <c r="BB59" s="49"/>
      <c r="BC59" s="49"/>
      <c r="BD59" s="434"/>
      <c r="BE59" s="49"/>
      <c r="BF59" s="49"/>
      <c r="BG59" s="49"/>
      <c r="BH59" s="49"/>
      <c r="BI59" s="434"/>
      <c r="BJ59" s="49"/>
      <c r="BK59" s="49"/>
      <c r="BL59" s="49"/>
      <c r="BM59" s="49"/>
      <c r="BN59" s="434"/>
      <c r="BO59" s="49"/>
      <c r="BP59" s="49"/>
      <c r="BQ59" s="49"/>
      <c r="BR59" s="49"/>
      <c r="BS59" s="434"/>
      <c r="BT59" s="701"/>
      <c r="BU59" s="49"/>
      <c r="BV59" s="49"/>
      <c r="BW59" s="49"/>
      <c r="BX59" s="434"/>
      <c r="BY59" s="49"/>
      <c r="BZ59" s="49"/>
      <c r="CA59" s="49"/>
      <c r="CB59" s="49"/>
      <c r="CC59" s="434"/>
      <c r="CD59" s="49"/>
      <c r="CE59" s="701"/>
      <c r="CF59" s="49"/>
      <c r="CG59" s="49"/>
      <c r="CH59" s="434"/>
      <c r="CI59" s="49"/>
      <c r="CJ59" s="49"/>
      <c r="CK59" s="49"/>
      <c r="CL59" s="49"/>
      <c r="CM59" s="434"/>
      <c r="CN59" s="49"/>
      <c r="CO59" s="49"/>
      <c r="CP59" s="49"/>
      <c r="CQ59" s="49"/>
      <c r="CR59" s="434"/>
      <c r="CS59" s="49"/>
      <c r="CT59" s="49"/>
      <c r="CU59" s="49"/>
      <c r="CV59" s="49"/>
      <c r="CW59" s="434"/>
      <c r="CX59" s="49"/>
      <c r="CY59" s="49"/>
      <c r="CZ59" s="49"/>
      <c r="DA59" s="49"/>
      <c r="DB59" s="434"/>
      <c r="DC59" s="49"/>
      <c r="DD59" s="49"/>
      <c r="DE59" s="49"/>
      <c r="DF59" s="49"/>
      <c r="DG59" s="434"/>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row>
    <row r="60" spans="1:226" s="36" customFormat="1" ht="12" hidden="1" customHeight="1" outlineLevel="1" x14ac:dyDescent="0.2">
      <c r="A60" s="36" t="s">
        <v>251</v>
      </c>
      <c r="F60" s="441"/>
      <c r="G60" s="36">
        <f t="shared" ref="G60:AL60" si="145">G50+G172</f>
        <v>215</v>
      </c>
      <c r="H60" s="36">
        <f t="shared" si="145"/>
        <v>127</v>
      </c>
      <c r="I60" s="36">
        <f t="shared" si="145"/>
        <v>126</v>
      </c>
      <c r="J60" s="36">
        <f t="shared" si="145"/>
        <v>297</v>
      </c>
      <c r="K60" s="441">
        <f t="shared" si="145"/>
        <v>765</v>
      </c>
      <c r="L60" s="36">
        <f t="shared" si="145"/>
        <v>301</v>
      </c>
      <c r="M60" s="36">
        <f t="shared" si="145"/>
        <v>192</v>
      </c>
      <c r="N60" s="36">
        <f t="shared" si="145"/>
        <v>229</v>
      </c>
      <c r="O60" s="36">
        <f t="shared" si="145"/>
        <v>290</v>
      </c>
      <c r="P60" s="441">
        <f t="shared" si="145"/>
        <v>1012</v>
      </c>
      <c r="Q60" s="36">
        <f t="shared" si="145"/>
        <v>234</v>
      </c>
      <c r="R60" s="36">
        <f t="shared" si="145"/>
        <v>207</v>
      </c>
      <c r="S60" s="36">
        <f t="shared" si="145"/>
        <v>224</v>
      </c>
      <c r="T60" s="36">
        <f t="shared" si="145"/>
        <v>303</v>
      </c>
      <c r="U60" s="441">
        <f t="shared" si="145"/>
        <v>968</v>
      </c>
      <c r="V60" s="36">
        <f t="shared" si="145"/>
        <v>218</v>
      </c>
      <c r="W60" s="36">
        <f t="shared" si="145"/>
        <v>229</v>
      </c>
      <c r="X60" s="36">
        <f t="shared" si="145"/>
        <v>230</v>
      </c>
      <c r="Y60" s="36">
        <f t="shared" si="145"/>
        <v>298</v>
      </c>
      <c r="Z60" s="441">
        <f t="shared" si="145"/>
        <v>975</v>
      </c>
      <c r="AA60" s="36">
        <f t="shared" si="145"/>
        <v>239</v>
      </c>
      <c r="AB60" s="36">
        <f t="shared" si="145"/>
        <v>189</v>
      </c>
      <c r="AC60" s="36">
        <f t="shared" si="145"/>
        <v>249</v>
      </c>
      <c r="AD60" s="36">
        <f t="shared" si="145"/>
        <v>289</v>
      </c>
      <c r="AE60" s="441">
        <f t="shared" si="145"/>
        <v>966</v>
      </c>
      <c r="AF60" s="36">
        <f t="shared" si="145"/>
        <v>248</v>
      </c>
      <c r="AG60" s="36">
        <f t="shared" si="145"/>
        <v>209</v>
      </c>
      <c r="AH60" s="36">
        <f t="shared" si="145"/>
        <v>267</v>
      </c>
      <c r="AI60" s="36">
        <f t="shared" si="145"/>
        <v>322</v>
      </c>
      <c r="AJ60" s="441">
        <f t="shared" si="145"/>
        <v>1046</v>
      </c>
      <c r="AK60" s="36">
        <f t="shared" si="145"/>
        <v>255</v>
      </c>
      <c r="AL60" s="36">
        <f t="shared" si="145"/>
        <v>222</v>
      </c>
      <c r="AM60" s="36">
        <f t="shared" ref="AM60:BR60" si="146">AM50+AM172</f>
        <v>255</v>
      </c>
      <c r="AN60" s="36">
        <f t="shared" si="146"/>
        <v>325</v>
      </c>
      <c r="AO60" s="441">
        <f t="shared" si="146"/>
        <v>1057</v>
      </c>
      <c r="AP60" s="36">
        <f t="shared" si="146"/>
        <v>278</v>
      </c>
      <c r="AQ60" s="36">
        <f t="shared" si="146"/>
        <v>225</v>
      </c>
      <c r="AR60" s="36">
        <f t="shared" si="146"/>
        <v>320</v>
      </c>
      <c r="AS60" s="36">
        <f t="shared" si="146"/>
        <v>365</v>
      </c>
      <c r="AT60" s="441">
        <f t="shared" si="146"/>
        <v>1188</v>
      </c>
      <c r="AU60" s="36">
        <f t="shared" si="146"/>
        <v>309</v>
      </c>
      <c r="AV60" s="36">
        <f t="shared" si="146"/>
        <v>237</v>
      </c>
      <c r="AW60" s="36">
        <f t="shared" si="146"/>
        <v>288</v>
      </c>
      <c r="AX60" s="36">
        <f t="shared" si="146"/>
        <v>320</v>
      </c>
      <c r="AY60" s="441">
        <f t="shared" si="146"/>
        <v>1154</v>
      </c>
      <c r="AZ60" s="36">
        <f t="shared" si="146"/>
        <v>278</v>
      </c>
      <c r="BA60" s="36">
        <f t="shared" si="146"/>
        <v>210</v>
      </c>
      <c r="BB60" s="36">
        <f t="shared" si="146"/>
        <v>281</v>
      </c>
      <c r="BC60" s="36">
        <f t="shared" si="146"/>
        <v>325</v>
      </c>
      <c r="BD60" s="441">
        <f>BD50+BD172</f>
        <v>1094</v>
      </c>
      <c r="BE60" s="36">
        <f t="shared" si="146"/>
        <v>256</v>
      </c>
      <c r="BF60" s="36">
        <f t="shared" si="146"/>
        <v>222</v>
      </c>
      <c r="BG60" s="36">
        <f t="shared" si="146"/>
        <v>272</v>
      </c>
      <c r="BH60" s="36">
        <f t="shared" si="146"/>
        <v>333</v>
      </c>
      <c r="BI60" s="441">
        <f>BI50+BI172</f>
        <v>1083</v>
      </c>
      <c r="BJ60" s="36">
        <f t="shared" si="146"/>
        <v>271</v>
      </c>
      <c r="BK60" s="36">
        <f t="shared" si="146"/>
        <v>258</v>
      </c>
      <c r="BL60" s="36">
        <f t="shared" si="146"/>
        <v>279</v>
      </c>
      <c r="BM60" s="36">
        <f>BM50+BM172</f>
        <v>349</v>
      </c>
      <c r="BN60" s="441">
        <f>BN50+BN172</f>
        <v>1157</v>
      </c>
      <c r="BO60" s="36">
        <f t="shared" si="146"/>
        <v>283</v>
      </c>
      <c r="BP60" s="36">
        <f t="shared" si="146"/>
        <v>251</v>
      </c>
      <c r="BQ60" s="36">
        <f t="shared" si="146"/>
        <v>293</v>
      </c>
      <c r="BR60" s="36">
        <f t="shared" si="146"/>
        <v>330</v>
      </c>
      <c r="BS60" s="441">
        <f t="shared" ref="BS60:CW60" si="147">BS50+BS172</f>
        <v>1157</v>
      </c>
      <c r="BT60" s="728">
        <f t="shared" si="147"/>
        <v>290</v>
      </c>
      <c r="BU60" s="36">
        <f t="shared" si="147"/>
        <v>263</v>
      </c>
      <c r="BV60" s="36">
        <f t="shared" si="147"/>
        <v>282</v>
      </c>
      <c r="BW60" s="36">
        <f t="shared" si="147"/>
        <v>342</v>
      </c>
      <c r="BX60" s="441">
        <f>BX50+BX172</f>
        <v>1177</v>
      </c>
      <c r="BY60" s="36">
        <f t="shared" si="147"/>
        <v>327</v>
      </c>
      <c r="BZ60" s="36">
        <f t="shared" si="147"/>
        <v>290</v>
      </c>
      <c r="CA60" s="36">
        <f t="shared" si="147"/>
        <v>301</v>
      </c>
      <c r="CB60" s="36">
        <f t="shared" si="147"/>
        <v>311</v>
      </c>
      <c r="CC60" s="441">
        <f t="shared" si="147"/>
        <v>1229</v>
      </c>
      <c r="CD60" s="36">
        <f t="shared" si="147"/>
        <v>322</v>
      </c>
      <c r="CE60" s="728">
        <f t="shared" si="147"/>
        <v>313</v>
      </c>
      <c r="CF60" s="36">
        <f t="shared" si="147"/>
        <v>292</v>
      </c>
      <c r="CG60" s="36">
        <f t="shared" si="147"/>
        <v>363</v>
      </c>
      <c r="CH60" s="441">
        <f t="shared" si="147"/>
        <v>1290</v>
      </c>
      <c r="CI60" s="36">
        <f t="shared" si="147"/>
        <v>343</v>
      </c>
      <c r="CJ60" s="36">
        <f t="shared" si="147"/>
        <v>282</v>
      </c>
      <c r="CK60" s="36">
        <f t="shared" si="147"/>
        <v>302.7207999814301</v>
      </c>
      <c r="CL60" s="36">
        <f t="shared" ca="1" si="147"/>
        <v>365.04516157265874</v>
      </c>
      <c r="CM60" s="441">
        <f t="shared" ca="1" si="147"/>
        <v>1292.7659615540888</v>
      </c>
      <c r="CN60" s="36">
        <f t="shared" ca="1" si="147"/>
        <v>353.63877055091336</v>
      </c>
      <c r="CO60" s="36">
        <f t="shared" ca="1" si="147"/>
        <v>292.69174867611309</v>
      </c>
      <c r="CP60" s="36">
        <f t="shared" ca="1" si="147"/>
        <v>321.24037072379781</v>
      </c>
      <c r="CQ60" s="36">
        <f t="shared" ca="1" si="147"/>
        <v>370.86892232805769</v>
      </c>
      <c r="CR60" s="441">
        <f t="shared" ca="1" si="147"/>
        <v>1338.4398122788821</v>
      </c>
      <c r="CS60" s="36">
        <f t="shared" ca="1" si="147"/>
        <v>371.70067296893507</v>
      </c>
      <c r="CT60" s="36">
        <f t="shared" ca="1" si="147"/>
        <v>309.1924570928341</v>
      </c>
      <c r="CU60" s="36">
        <f t="shared" ca="1" si="147"/>
        <v>338.46219738613672</v>
      </c>
      <c r="CV60" s="36">
        <f t="shared" ca="1" si="147"/>
        <v>390.16891242195226</v>
      </c>
      <c r="CW60" s="441">
        <f t="shared" ca="1" si="147"/>
        <v>1409.5242398698581</v>
      </c>
      <c r="CX60" s="36">
        <f t="shared" ref="CX60:DG60" ca="1" si="148">CX50+CX172</f>
        <v>384.47402141205032</v>
      </c>
      <c r="CY60" s="36">
        <f t="shared" ca="1" si="148"/>
        <v>320.50473494255471</v>
      </c>
      <c r="CZ60" s="36">
        <f t="shared" ca="1" si="148"/>
        <v>349.89159941630578</v>
      </c>
      <c r="DA60" s="36">
        <f t="shared" ca="1" si="148"/>
        <v>402.37128083635002</v>
      </c>
      <c r="DB60" s="441">
        <f t="shared" ca="1" si="148"/>
        <v>1457.2416366072607</v>
      </c>
      <c r="DC60" s="36">
        <f t="shared" ca="1" si="148"/>
        <v>396.58777356096107</v>
      </c>
      <c r="DD60" s="36">
        <f t="shared" ca="1" si="148"/>
        <v>331.15956866507526</v>
      </c>
      <c r="DE60" s="36">
        <f t="shared" ca="1" si="148"/>
        <v>360.64810840191592</v>
      </c>
      <c r="DF60" s="36">
        <f t="shared" ca="1" si="148"/>
        <v>413.8509728671558</v>
      </c>
      <c r="DG60" s="441">
        <f t="shared" ca="1" si="148"/>
        <v>1502.246423495108</v>
      </c>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row>
    <row r="61" spans="1:226" s="36" customFormat="1" ht="12" hidden="1" customHeight="1" outlineLevel="1" x14ac:dyDescent="0.2">
      <c r="A61" s="36" t="s">
        <v>252</v>
      </c>
      <c r="B61" s="49"/>
      <c r="C61" s="49"/>
      <c r="D61" s="49"/>
      <c r="E61" s="49"/>
      <c r="F61" s="433"/>
      <c r="G61" s="49">
        <f t="shared" ref="G61:AL61" si="149">G60/G7</f>
        <v>0.2184959349593496</v>
      </c>
      <c r="H61" s="49">
        <f t="shared" si="149"/>
        <v>0.14317925591882752</v>
      </c>
      <c r="I61" s="49">
        <f t="shared" si="149"/>
        <v>0.12316715542521994</v>
      </c>
      <c r="J61" s="49">
        <f t="shared" si="149"/>
        <v>0.26329787234042551</v>
      </c>
      <c r="K61" s="433">
        <f t="shared" si="149"/>
        <v>0.19020387866732968</v>
      </c>
      <c r="L61" s="49">
        <f t="shared" si="149"/>
        <v>0.28748806112702963</v>
      </c>
      <c r="M61" s="49">
        <f t="shared" si="149"/>
        <v>0.20734341252699784</v>
      </c>
      <c r="N61" s="49">
        <f t="shared" si="149"/>
        <v>0.22473012757605496</v>
      </c>
      <c r="O61" s="49">
        <f t="shared" si="149"/>
        <v>0.2517361111111111</v>
      </c>
      <c r="P61" s="433">
        <f t="shared" si="149"/>
        <v>0.24420849420849422</v>
      </c>
      <c r="Q61" s="49">
        <f t="shared" si="149"/>
        <v>0.23260437375745527</v>
      </c>
      <c r="R61" s="49">
        <f t="shared" si="149"/>
        <v>0.22500000000000001</v>
      </c>
      <c r="S61" s="49">
        <f t="shared" si="149"/>
        <v>0.2131303520456708</v>
      </c>
      <c r="T61" s="49">
        <f t="shared" si="149"/>
        <v>0.25569620253164554</v>
      </c>
      <c r="U61" s="433">
        <f t="shared" si="149"/>
        <v>0.23258049014896684</v>
      </c>
      <c r="V61" s="49">
        <f t="shared" si="149"/>
        <v>0.20801526717557253</v>
      </c>
      <c r="W61" s="49">
        <f t="shared" si="149"/>
        <v>0.22900000000000001</v>
      </c>
      <c r="X61" s="49">
        <f t="shared" si="149"/>
        <v>0.21178637200736647</v>
      </c>
      <c r="Y61" s="49">
        <f t="shared" si="149"/>
        <v>0.23763955342902712</v>
      </c>
      <c r="Z61" s="433">
        <f t="shared" si="149"/>
        <v>0.22219690063810393</v>
      </c>
      <c r="AA61" s="49">
        <f t="shared" si="149"/>
        <v>0.2164855072463768</v>
      </c>
      <c r="AB61" s="49">
        <f t="shared" si="149"/>
        <v>0.17763157894736842</v>
      </c>
      <c r="AC61" s="49">
        <f t="shared" si="149"/>
        <v>0.21521175453759722</v>
      </c>
      <c r="AD61" s="49">
        <f t="shared" si="149"/>
        <v>0.21910538286580744</v>
      </c>
      <c r="AE61" s="433">
        <f t="shared" si="149"/>
        <v>0.20801033591731266</v>
      </c>
      <c r="AF61" s="49">
        <f t="shared" si="149"/>
        <v>0.2136089577950043</v>
      </c>
      <c r="AG61" s="49">
        <f t="shared" si="149"/>
        <v>0.18982742960944596</v>
      </c>
      <c r="AH61" s="49">
        <f t="shared" si="149"/>
        <v>0.21514907332796132</v>
      </c>
      <c r="AI61" s="49">
        <f t="shared" si="149"/>
        <v>0.23958333333333334</v>
      </c>
      <c r="AJ61" s="433">
        <f t="shared" si="149"/>
        <v>0.21580358984939138</v>
      </c>
      <c r="AK61" s="49">
        <f t="shared" si="149"/>
        <v>0.20581113801452786</v>
      </c>
      <c r="AL61" s="49">
        <f t="shared" si="149"/>
        <v>0.18718381112984822</v>
      </c>
      <c r="AM61" s="49">
        <f t="shared" ref="AM61:BD61" si="150">AM60/AM7</f>
        <v>0.18847006651884701</v>
      </c>
      <c r="AN61" s="49">
        <f t="shared" si="150"/>
        <v>0.21739130434782608</v>
      </c>
      <c r="AO61" s="433">
        <f t="shared" si="150"/>
        <v>0.20045514887161009</v>
      </c>
      <c r="AP61" s="49">
        <f t="shared" si="150"/>
        <v>0.20086705202312138</v>
      </c>
      <c r="AQ61" s="49">
        <f t="shared" si="150"/>
        <v>0.18503289473684212</v>
      </c>
      <c r="AR61" s="49">
        <f t="shared" si="150"/>
        <v>0.23703703703703705</v>
      </c>
      <c r="AS61" s="49">
        <f t="shared" si="150"/>
        <v>0.24333333333333335</v>
      </c>
      <c r="AT61" s="433">
        <f t="shared" si="150"/>
        <v>0.21798165137614678</v>
      </c>
      <c r="AU61" s="49">
        <f t="shared" si="150"/>
        <v>0.23714504988488105</v>
      </c>
      <c r="AV61" s="49">
        <f t="shared" si="150"/>
        <v>0.19506172839506172</v>
      </c>
      <c r="AW61" s="49">
        <f t="shared" si="150"/>
        <v>0.22377622377622378</v>
      </c>
      <c r="AX61" s="49">
        <f t="shared" si="150"/>
        <v>0.22393282015395383</v>
      </c>
      <c r="AY61" s="433">
        <f t="shared" si="150"/>
        <v>0.22048146732900267</v>
      </c>
      <c r="AZ61" s="49">
        <f t="shared" si="150"/>
        <v>0.21958925750394945</v>
      </c>
      <c r="BA61" s="49">
        <f t="shared" si="150"/>
        <v>0.17811704834605599</v>
      </c>
      <c r="BB61" s="49">
        <f t="shared" si="150"/>
        <v>0.21549079754601227</v>
      </c>
      <c r="BC61" s="49">
        <f t="shared" si="150"/>
        <v>0.21929824561403508</v>
      </c>
      <c r="BD61" s="433">
        <f t="shared" si="150"/>
        <v>0.20913783215446377</v>
      </c>
      <c r="BE61" s="49">
        <f t="shared" ref="BE61:CV61" si="151">BE60/BE7</f>
        <v>0.19616858237547893</v>
      </c>
      <c r="BF61" s="49">
        <f t="shared" si="151"/>
        <v>0.18181818181818182</v>
      </c>
      <c r="BG61" s="49">
        <f t="shared" si="151"/>
        <v>0.19414703783012136</v>
      </c>
      <c r="BH61" s="49">
        <f t="shared" si="151"/>
        <v>0.21609344581440623</v>
      </c>
      <c r="BI61" s="433">
        <f t="shared" si="151"/>
        <v>0.19806144842721288</v>
      </c>
      <c r="BJ61" s="49">
        <f t="shared" si="151"/>
        <v>0.20254110612855009</v>
      </c>
      <c r="BK61" s="49">
        <f t="shared" si="151"/>
        <v>0.19471698113207547</v>
      </c>
      <c r="BL61" s="49">
        <f t="shared" si="151"/>
        <v>0.19745222929936307</v>
      </c>
      <c r="BM61" s="49">
        <f t="shared" si="151"/>
        <v>0.22559793148028442</v>
      </c>
      <c r="BN61" s="433">
        <f t="shared" si="151"/>
        <v>0.20576204872843679</v>
      </c>
      <c r="BO61" s="49">
        <f t="shared" si="151"/>
        <v>0.21072226358897989</v>
      </c>
      <c r="BP61" s="49">
        <f t="shared" si="151"/>
        <v>0.19189602446483181</v>
      </c>
      <c r="BQ61" s="49">
        <f t="shared" si="151"/>
        <v>0.21449487554904831</v>
      </c>
      <c r="BR61" s="49">
        <f t="shared" si="151"/>
        <v>0.22044088176352705</v>
      </c>
      <c r="BS61" s="433">
        <f t="shared" si="151"/>
        <v>0.20982952484584694</v>
      </c>
      <c r="BT61" s="701">
        <f t="shared" si="151"/>
        <v>0.21449704142011836</v>
      </c>
      <c r="BU61" s="49">
        <f t="shared" si="151"/>
        <v>0.19553903345724907</v>
      </c>
      <c r="BV61" s="49">
        <f t="shared" si="151"/>
        <v>0.2012847965738758</v>
      </c>
      <c r="BW61" s="49">
        <f t="shared" si="151"/>
        <v>0.21965317919075145</v>
      </c>
      <c r="BX61" s="433">
        <f>BX60/BX7</f>
        <v>0.20813439434129088</v>
      </c>
      <c r="BY61" s="49">
        <f t="shared" si="151"/>
        <v>0.23525179856115108</v>
      </c>
      <c r="BZ61" s="49">
        <f t="shared" si="151"/>
        <v>0.21561338289962825</v>
      </c>
      <c r="CA61" s="49">
        <f t="shared" si="151"/>
        <v>0.21107994389901824</v>
      </c>
      <c r="CB61" s="49">
        <f t="shared" si="151"/>
        <v>0.19437499999999999</v>
      </c>
      <c r="CC61" s="433">
        <f t="shared" si="151"/>
        <v>0.21333101892032633</v>
      </c>
      <c r="CD61" s="49">
        <f t="shared" si="151"/>
        <v>0.22314622314622315</v>
      </c>
      <c r="CE61" s="701">
        <f t="shared" si="151"/>
        <v>0.22261735419630158</v>
      </c>
      <c r="CF61" s="49">
        <f t="shared" si="151"/>
        <v>0.19769803656059581</v>
      </c>
      <c r="CG61" s="49">
        <f t="shared" si="151"/>
        <v>0.22040072859744991</v>
      </c>
      <c r="CH61" s="433">
        <f t="shared" si="151"/>
        <v>0.21597187343043697</v>
      </c>
      <c r="CI61" s="49">
        <f t="shared" si="151"/>
        <v>0.22866666666666666</v>
      </c>
      <c r="CJ61" s="49">
        <f t="shared" si="151"/>
        <v>0.19915254237288135</v>
      </c>
      <c r="CK61" s="49">
        <f t="shared" si="151"/>
        <v>0.20005138667699407</v>
      </c>
      <c r="CL61" s="49">
        <f t="shared" ca="1" si="151"/>
        <v>0.21108175104033325</v>
      </c>
      <c r="CM61" s="433">
        <f t="shared" ca="1" si="151"/>
        <v>0.20991173168606328</v>
      </c>
      <c r="CN61" s="49">
        <f t="shared" ca="1" si="151"/>
        <v>0.22333631198914072</v>
      </c>
      <c r="CO61" s="49">
        <f t="shared" ca="1" si="151"/>
        <v>0.19339015108436561</v>
      </c>
      <c r="CP61" s="49">
        <f t="shared" ca="1" si="151"/>
        <v>0.19854428646181496</v>
      </c>
      <c r="CQ61" s="49">
        <f t="shared" ca="1" si="151"/>
        <v>0.20835908154819618</v>
      </c>
      <c r="CR61" s="433">
        <f t="shared" ca="1" si="151"/>
        <v>0.2060773040411116</v>
      </c>
      <c r="CS61" s="49">
        <f t="shared" ca="1" si="151"/>
        <v>0.22935389899379238</v>
      </c>
      <c r="CT61" s="49">
        <f t="shared" ca="1" si="151"/>
        <v>0.19949835439275401</v>
      </c>
      <c r="CU61" s="49">
        <f t="shared" ca="1" si="151"/>
        <v>0.2043799531000407</v>
      </c>
      <c r="CV61" s="49">
        <f t="shared" ca="1" si="151"/>
        <v>0.21430757568777842</v>
      </c>
      <c r="CW61" s="433">
        <f t="shared" ref="CW61:DG61" ca="1" si="152">CW60/CW7</f>
        <v>0.21204977177075934</v>
      </c>
      <c r="CX61" s="49">
        <f t="shared" ca="1" si="152"/>
        <v>0.23176579309415363</v>
      </c>
      <c r="CY61" s="49">
        <f t="shared" ca="1" si="152"/>
        <v>0.20192240845717752</v>
      </c>
      <c r="CZ61" s="49">
        <f t="shared" ca="1" si="152"/>
        <v>0.20640339456520784</v>
      </c>
      <c r="DA61" s="49">
        <f t="shared" ca="1" si="152"/>
        <v>0.21605300059905638</v>
      </c>
      <c r="DB61" s="433">
        <f t="shared" ca="1" si="152"/>
        <v>0.21418327568504558</v>
      </c>
      <c r="DC61" s="49">
        <f t="shared" ca="1" si="152"/>
        <v>0.23353225601346406</v>
      </c>
      <c r="DD61" s="49">
        <f t="shared" ca="1" si="152"/>
        <v>0.20369460229198699</v>
      </c>
      <c r="DE61" s="49">
        <f t="shared" ca="1" si="152"/>
        <v>0.2078145333041142</v>
      </c>
      <c r="DF61" s="49">
        <f t="shared" ca="1" si="152"/>
        <v>0.21721046688603937</v>
      </c>
      <c r="DG61" s="433">
        <f t="shared" ca="1" si="152"/>
        <v>0.21569400242682288</v>
      </c>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row>
    <row r="62" spans="1:226" s="36" customFormat="1" ht="12" hidden="1" customHeight="1" outlineLevel="1" x14ac:dyDescent="0.2">
      <c r="A62" s="36" t="s">
        <v>253</v>
      </c>
      <c r="F62" s="441"/>
      <c r="G62" s="36">
        <f t="shared" ref="G62:AL62" si="153">G54+G172</f>
        <v>227</v>
      </c>
      <c r="H62" s="36">
        <f t="shared" si="153"/>
        <v>193</v>
      </c>
      <c r="I62" s="36">
        <f t="shared" si="153"/>
        <v>226</v>
      </c>
      <c r="J62" s="36">
        <f t="shared" si="153"/>
        <v>303</v>
      </c>
      <c r="K62" s="441">
        <f t="shared" si="153"/>
        <v>949</v>
      </c>
      <c r="L62" s="36">
        <f t="shared" si="153"/>
        <v>304</v>
      </c>
      <c r="M62" s="36">
        <f t="shared" si="153"/>
        <v>222</v>
      </c>
      <c r="N62" s="36">
        <f t="shared" si="153"/>
        <v>229</v>
      </c>
      <c r="O62" s="36">
        <f t="shared" si="153"/>
        <v>290</v>
      </c>
      <c r="P62" s="441">
        <f t="shared" si="153"/>
        <v>1045</v>
      </c>
      <c r="Q62" s="36">
        <f t="shared" si="153"/>
        <v>234</v>
      </c>
      <c r="R62" s="36">
        <f t="shared" si="153"/>
        <v>207</v>
      </c>
      <c r="S62" s="36">
        <f t="shared" si="153"/>
        <v>224</v>
      </c>
      <c r="T62" s="36">
        <f t="shared" si="153"/>
        <v>303</v>
      </c>
      <c r="U62" s="441">
        <f t="shared" si="153"/>
        <v>968</v>
      </c>
      <c r="V62" s="36">
        <f t="shared" si="153"/>
        <v>218</v>
      </c>
      <c r="W62" s="36">
        <f t="shared" si="153"/>
        <v>229</v>
      </c>
      <c r="X62" s="36">
        <f t="shared" si="153"/>
        <v>230</v>
      </c>
      <c r="Y62" s="36">
        <f t="shared" si="153"/>
        <v>298</v>
      </c>
      <c r="Z62" s="441">
        <f t="shared" si="153"/>
        <v>975</v>
      </c>
      <c r="AA62" s="36">
        <f t="shared" si="153"/>
        <v>239</v>
      </c>
      <c r="AB62" s="36">
        <f t="shared" si="153"/>
        <v>189</v>
      </c>
      <c r="AC62" s="36">
        <f t="shared" si="153"/>
        <v>249</v>
      </c>
      <c r="AD62" s="36">
        <f t="shared" si="153"/>
        <v>325</v>
      </c>
      <c r="AE62" s="441">
        <f t="shared" si="153"/>
        <v>1002</v>
      </c>
      <c r="AF62" s="36">
        <f t="shared" si="153"/>
        <v>251</v>
      </c>
      <c r="AG62" s="36">
        <f t="shared" si="153"/>
        <v>214</v>
      </c>
      <c r="AH62" s="36">
        <f t="shared" si="153"/>
        <v>277</v>
      </c>
      <c r="AI62" s="36">
        <f t="shared" si="153"/>
        <v>322</v>
      </c>
      <c r="AJ62" s="441">
        <f t="shared" si="153"/>
        <v>1064</v>
      </c>
      <c r="AK62" s="36">
        <f t="shared" si="153"/>
        <v>282</v>
      </c>
      <c r="AL62" s="36">
        <f t="shared" si="153"/>
        <v>227</v>
      </c>
      <c r="AM62" s="36">
        <f t="shared" ref="AM62:BR62" si="154">AM54+AM172</f>
        <v>272</v>
      </c>
      <c r="AN62" s="36">
        <f t="shared" si="154"/>
        <v>335</v>
      </c>
      <c r="AO62" s="441">
        <f t="shared" si="154"/>
        <v>1116</v>
      </c>
      <c r="AP62" s="36">
        <f t="shared" si="154"/>
        <v>284</v>
      </c>
      <c r="AQ62" s="36">
        <f t="shared" si="154"/>
        <v>228</v>
      </c>
      <c r="AR62" s="36">
        <f t="shared" si="154"/>
        <v>339</v>
      </c>
      <c r="AS62" s="36">
        <f t="shared" si="154"/>
        <v>376</v>
      </c>
      <c r="AT62" s="441">
        <f t="shared" si="154"/>
        <v>1227</v>
      </c>
      <c r="AU62" s="36">
        <f t="shared" si="154"/>
        <v>315</v>
      </c>
      <c r="AV62" s="36">
        <f t="shared" si="154"/>
        <v>243</v>
      </c>
      <c r="AW62" s="36">
        <f t="shared" si="154"/>
        <v>289</v>
      </c>
      <c r="AX62" s="36">
        <f t="shared" si="154"/>
        <v>324</v>
      </c>
      <c r="AY62" s="441">
        <f t="shared" si="154"/>
        <v>1171</v>
      </c>
      <c r="AZ62" s="36">
        <f t="shared" si="154"/>
        <v>281.75</v>
      </c>
      <c r="BA62" s="36">
        <f t="shared" si="154"/>
        <v>213.75</v>
      </c>
      <c r="BB62" s="36">
        <f t="shared" si="154"/>
        <v>284.75</v>
      </c>
      <c r="BC62" s="36">
        <f t="shared" si="154"/>
        <v>328.75</v>
      </c>
      <c r="BD62" s="441">
        <f t="shared" si="154"/>
        <v>1109</v>
      </c>
      <c r="BE62" s="36">
        <f t="shared" si="154"/>
        <v>258.5</v>
      </c>
      <c r="BF62" s="36">
        <f t="shared" si="154"/>
        <v>224.5</v>
      </c>
      <c r="BG62" s="36">
        <f t="shared" si="154"/>
        <v>274.5</v>
      </c>
      <c r="BH62" s="36">
        <f t="shared" si="154"/>
        <v>339</v>
      </c>
      <c r="BI62" s="441">
        <f>BI54+BI172</f>
        <v>1096.5</v>
      </c>
      <c r="BJ62" s="36">
        <f t="shared" si="154"/>
        <v>273.5</v>
      </c>
      <c r="BK62" s="36">
        <f t="shared" si="154"/>
        <v>260.5</v>
      </c>
      <c r="BL62" s="36">
        <f t="shared" si="154"/>
        <v>281.5</v>
      </c>
      <c r="BM62" s="36">
        <f>BM54+BM172</f>
        <v>351.5</v>
      </c>
      <c r="BN62" s="441">
        <f>BN54+BN172</f>
        <v>1167</v>
      </c>
      <c r="BO62" s="36">
        <f t="shared" si="154"/>
        <v>283</v>
      </c>
      <c r="BP62" s="36">
        <f t="shared" si="154"/>
        <v>251</v>
      </c>
      <c r="BQ62" s="36">
        <f t="shared" si="154"/>
        <v>293</v>
      </c>
      <c r="BR62" s="36">
        <f t="shared" si="154"/>
        <v>330</v>
      </c>
      <c r="BS62" s="441">
        <f t="shared" ref="BS62:CW62" si="155">BS54+BS172</f>
        <v>1157</v>
      </c>
      <c r="BT62" s="728">
        <f t="shared" si="155"/>
        <v>290</v>
      </c>
      <c r="BU62" s="36">
        <f t="shared" si="155"/>
        <v>263</v>
      </c>
      <c r="BV62" s="36">
        <f t="shared" si="155"/>
        <v>282</v>
      </c>
      <c r="BW62" s="36">
        <f t="shared" si="155"/>
        <v>342</v>
      </c>
      <c r="BX62" s="441">
        <f>BX54+BX172</f>
        <v>1177</v>
      </c>
      <c r="BY62" s="36">
        <f t="shared" si="155"/>
        <v>327</v>
      </c>
      <c r="BZ62" s="36">
        <f t="shared" si="155"/>
        <v>290</v>
      </c>
      <c r="CA62" s="36">
        <f t="shared" si="155"/>
        <v>301</v>
      </c>
      <c r="CB62" s="36">
        <f t="shared" si="155"/>
        <v>311</v>
      </c>
      <c r="CC62" s="441">
        <f t="shared" si="155"/>
        <v>1229</v>
      </c>
      <c r="CD62" s="36">
        <f t="shared" si="155"/>
        <v>322</v>
      </c>
      <c r="CE62" s="728">
        <f t="shared" si="155"/>
        <v>313</v>
      </c>
      <c r="CF62" s="36">
        <f t="shared" si="155"/>
        <v>292</v>
      </c>
      <c r="CG62" s="36">
        <f t="shared" si="155"/>
        <v>363</v>
      </c>
      <c r="CH62" s="441">
        <f t="shared" si="155"/>
        <v>1290</v>
      </c>
      <c r="CI62" s="36">
        <f t="shared" si="155"/>
        <v>343</v>
      </c>
      <c r="CJ62" s="36">
        <f t="shared" si="155"/>
        <v>282</v>
      </c>
      <c r="CK62" s="36">
        <f t="shared" si="155"/>
        <v>302.7207999814301</v>
      </c>
      <c r="CL62" s="36">
        <f t="shared" ca="1" si="155"/>
        <v>365.04516157265874</v>
      </c>
      <c r="CM62" s="441">
        <f t="shared" ca="1" si="155"/>
        <v>1292.7659615540888</v>
      </c>
      <c r="CN62" s="36">
        <f t="shared" ca="1" si="155"/>
        <v>353.63877055091336</v>
      </c>
      <c r="CO62" s="36">
        <f t="shared" ca="1" si="155"/>
        <v>292.69174867611309</v>
      </c>
      <c r="CP62" s="36">
        <f t="shared" ca="1" si="155"/>
        <v>321.24037072379781</v>
      </c>
      <c r="CQ62" s="36">
        <f t="shared" ca="1" si="155"/>
        <v>370.86892232805769</v>
      </c>
      <c r="CR62" s="441">
        <f t="shared" ca="1" si="155"/>
        <v>1338.4398122788821</v>
      </c>
      <c r="CS62" s="36">
        <f t="shared" ca="1" si="155"/>
        <v>371.70067296893507</v>
      </c>
      <c r="CT62" s="36">
        <f t="shared" ca="1" si="155"/>
        <v>309.1924570928341</v>
      </c>
      <c r="CU62" s="36">
        <f t="shared" ca="1" si="155"/>
        <v>338.46219738613672</v>
      </c>
      <c r="CV62" s="36">
        <f t="shared" ca="1" si="155"/>
        <v>390.16891242195226</v>
      </c>
      <c r="CW62" s="441">
        <f t="shared" ca="1" si="155"/>
        <v>1409.5242398698581</v>
      </c>
      <c r="CX62" s="36">
        <f t="shared" ref="CX62:DG62" ca="1" si="156">CX54+CX172</f>
        <v>384.47402141205032</v>
      </c>
      <c r="CY62" s="36">
        <f t="shared" ca="1" si="156"/>
        <v>320.50473494255471</v>
      </c>
      <c r="CZ62" s="36">
        <f t="shared" ca="1" si="156"/>
        <v>349.89159941630578</v>
      </c>
      <c r="DA62" s="36">
        <f t="shared" ca="1" si="156"/>
        <v>402.37128083635002</v>
      </c>
      <c r="DB62" s="441">
        <f t="shared" ca="1" si="156"/>
        <v>1457.2416366072607</v>
      </c>
      <c r="DC62" s="36">
        <f t="shared" ca="1" si="156"/>
        <v>396.58777356096107</v>
      </c>
      <c r="DD62" s="36">
        <f t="shared" ca="1" si="156"/>
        <v>331.15956866507526</v>
      </c>
      <c r="DE62" s="36">
        <f t="shared" ca="1" si="156"/>
        <v>360.64810840191592</v>
      </c>
      <c r="DF62" s="36">
        <f t="shared" ca="1" si="156"/>
        <v>413.8509728671558</v>
      </c>
      <c r="DG62" s="441">
        <f t="shared" ca="1" si="156"/>
        <v>1502.246423495108</v>
      </c>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row>
    <row r="63" spans="1:226" s="36" customFormat="1" ht="12" hidden="1" customHeight="1" outlineLevel="1" x14ac:dyDescent="0.2">
      <c r="A63" s="36" t="s">
        <v>254</v>
      </c>
      <c r="B63" s="49"/>
      <c r="C63" s="49"/>
      <c r="D63" s="49"/>
      <c r="E63" s="49"/>
      <c r="F63" s="433"/>
      <c r="G63" s="49">
        <f t="shared" ref="G63:AL63" si="157">G62/G7</f>
        <v>0.2306910569105691</v>
      </c>
      <c r="H63" s="49">
        <f t="shared" si="157"/>
        <v>0.21758737316798196</v>
      </c>
      <c r="I63" s="49">
        <f t="shared" si="157"/>
        <v>0.2209188660801564</v>
      </c>
      <c r="J63" s="49">
        <f t="shared" si="157"/>
        <v>0.26861702127659576</v>
      </c>
      <c r="K63" s="433">
        <f t="shared" si="157"/>
        <v>0.23595226255594232</v>
      </c>
      <c r="L63" s="49">
        <f t="shared" si="157"/>
        <v>0.2903533906399236</v>
      </c>
      <c r="M63" s="49">
        <f t="shared" si="157"/>
        <v>0.23974082073434125</v>
      </c>
      <c r="N63" s="49">
        <f t="shared" si="157"/>
        <v>0.22473012757605496</v>
      </c>
      <c r="O63" s="49">
        <f t="shared" si="157"/>
        <v>0.2517361111111111</v>
      </c>
      <c r="P63" s="433">
        <f t="shared" si="157"/>
        <v>0.25217181467181465</v>
      </c>
      <c r="Q63" s="49">
        <f t="shared" si="157"/>
        <v>0.23260437375745527</v>
      </c>
      <c r="R63" s="49">
        <f t="shared" si="157"/>
        <v>0.22500000000000001</v>
      </c>
      <c r="S63" s="49">
        <f t="shared" si="157"/>
        <v>0.2131303520456708</v>
      </c>
      <c r="T63" s="49">
        <f t="shared" si="157"/>
        <v>0.25569620253164554</v>
      </c>
      <c r="U63" s="433">
        <f t="shared" si="157"/>
        <v>0.23258049014896684</v>
      </c>
      <c r="V63" s="49">
        <f t="shared" si="157"/>
        <v>0.20801526717557253</v>
      </c>
      <c r="W63" s="49">
        <f t="shared" si="157"/>
        <v>0.22900000000000001</v>
      </c>
      <c r="X63" s="49">
        <f t="shared" si="157"/>
        <v>0.21178637200736647</v>
      </c>
      <c r="Y63" s="49">
        <f t="shared" si="157"/>
        <v>0.23763955342902712</v>
      </c>
      <c r="Z63" s="433">
        <f t="shared" si="157"/>
        <v>0.22219690063810393</v>
      </c>
      <c r="AA63" s="49">
        <f t="shared" si="157"/>
        <v>0.2164855072463768</v>
      </c>
      <c r="AB63" s="49">
        <f t="shared" si="157"/>
        <v>0.17763157894736842</v>
      </c>
      <c r="AC63" s="49">
        <f t="shared" si="157"/>
        <v>0.21521175453759722</v>
      </c>
      <c r="AD63" s="49">
        <f t="shared" si="157"/>
        <v>0.24639878695981804</v>
      </c>
      <c r="AE63" s="433">
        <f t="shared" si="157"/>
        <v>0.2157622739018088</v>
      </c>
      <c r="AF63" s="49">
        <f t="shared" si="157"/>
        <v>0.21619293712316967</v>
      </c>
      <c r="AG63" s="49">
        <f t="shared" si="157"/>
        <v>0.1943687556766576</v>
      </c>
      <c r="AH63" s="49">
        <f t="shared" si="157"/>
        <v>0.22320709105560033</v>
      </c>
      <c r="AI63" s="49">
        <f t="shared" si="157"/>
        <v>0.23958333333333334</v>
      </c>
      <c r="AJ63" s="433">
        <f t="shared" si="157"/>
        <v>0.21951722715081493</v>
      </c>
      <c r="AK63" s="49">
        <f t="shared" si="157"/>
        <v>0.22760290556900725</v>
      </c>
      <c r="AL63" s="49">
        <f t="shared" si="157"/>
        <v>0.19139966273187184</v>
      </c>
      <c r="AM63" s="49">
        <f t="shared" ref="AM63:BR63" si="158">AM62/AM7</f>
        <v>0.20103473762010349</v>
      </c>
      <c r="AN63" s="49">
        <f t="shared" si="158"/>
        <v>0.22408026755852842</v>
      </c>
      <c r="AO63" s="433">
        <f t="shared" si="158"/>
        <v>0.21164422529869145</v>
      </c>
      <c r="AP63" s="49">
        <f t="shared" si="158"/>
        <v>0.20520231213872833</v>
      </c>
      <c r="AQ63" s="49">
        <f t="shared" si="158"/>
        <v>0.1875</v>
      </c>
      <c r="AR63" s="49">
        <f t="shared" si="158"/>
        <v>0.25111111111111112</v>
      </c>
      <c r="AS63" s="49">
        <f t="shared" si="158"/>
        <v>0.25066666666666665</v>
      </c>
      <c r="AT63" s="433">
        <f t="shared" si="158"/>
        <v>0.22513761467889909</v>
      </c>
      <c r="AU63" s="49">
        <f t="shared" si="158"/>
        <v>0.24174980813507291</v>
      </c>
      <c r="AV63" s="49">
        <f t="shared" si="158"/>
        <v>0.2</v>
      </c>
      <c r="AW63" s="49">
        <f t="shared" si="158"/>
        <v>0.22455322455322455</v>
      </c>
      <c r="AX63" s="49">
        <f t="shared" si="158"/>
        <v>0.22673198040587825</v>
      </c>
      <c r="AY63" s="433">
        <f t="shared" si="158"/>
        <v>0.22372946121513182</v>
      </c>
      <c r="AZ63" s="49">
        <f t="shared" si="158"/>
        <v>0.22255134281200631</v>
      </c>
      <c r="BA63" s="49">
        <f t="shared" si="158"/>
        <v>0.18129770992366412</v>
      </c>
      <c r="BB63" s="49">
        <f t="shared" si="158"/>
        <v>0.21836656441717792</v>
      </c>
      <c r="BC63" s="49">
        <f t="shared" si="158"/>
        <v>0.22182860998650472</v>
      </c>
      <c r="BD63" s="433">
        <f t="shared" si="158"/>
        <v>0.21200535270502771</v>
      </c>
      <c r="BE63" s="49">
        <f t="shared" si="158"/>
        <v>0.19808429118773946</v>
      </c>
      <c r="BF63" s="49">
        <f t="shared" si="158"/>
        <v>0.18386568386568386</v>
      </c>
      <c r="BG63" s="49">
        <f t="shared" si="158"/>
        <v>0.19593147751605997</v>
      </c>
      <c r="BH63" s="49">
        <f t="shared" si="158"/>
        <v>0.21998702141466581</v>
      </c>
      <c r="BI63" s="433">
        <f t="shared" si="158"/>
        <v>0.20053035844915873</v>
      </c>
      <c r="BJ63" s="49">
        <f t="shared" si="158"/>
        <v>0.20440956651718983</v>
      </c>
      <c r="BK63" s="49">
        <f t="shared" si="158"/>
        <v>0.19660377358490566</v>
      </c>
      <c r="BL63" s="49">
        <f t="shared" si="158"/>
        <v>0.19922151450813871</v>
      </c>
      <c r="BM63" s="49">
        <f t="shared" si="158"/>
        <v>0.22721396250808015</v>
      </c>
      <c r="BN63" s="433">
        <f t="shared" si="158"/>
        <v>0.20754045882980615</v>
      </c>
      <c r="BO63" s="49">
        <f t="shared" si="158"/>
        <v>0.21072226358897989</v>
      </c>
      <c r="BP63" s="49">
        <f t="shared" si="158"/>
        <v>0.19189602446483181</v>
      </c>
      <c r="BQ63" s="49">
        <f t="shared" si="158"/>
        <v>0.21449487554904831</v>
      </c>
      <c r="BR63" s="49">
        <f t="shared" si="158"/>
        <v>0.22044088176352705</v>
      </c>
      <c r="BS63" s="433">
        <f t="shared" ref="BS63:CV63" si="159">BS62/BS7</f>
        <v>0.20982952484584694</v>
      </c>
      <c r="BT63" s="701">
        <f t="shared" si="159"/>
        <v>0.21449704142011836</v>
      </c>
      <c r="BU63" s="49">
        <f t="shared" si="159"/>
        <v>0.19553903345724907</v>
      </c>
      <c r="BV63" s="49">
        <f t="shared" si="159"/>
        <v>0.2012847965738758</v>
      </c>
      <c r="BW63" s="49">
        <f t="shared" si="159"/>
        <v>0.21965317919075145</v>
      </c>
      <c r="BX63" s="433">
        <f>BX62/BX7</f>
        <v>0.20813439434129088</v>
      </c>
      <c r="BY63" s="49">
        <f t="shared" si="159"/>
        <v>0.23525179856115108</v>
      </c>
      <c r="BZ63" s="49">
        <f t="shared" si="159"/>
        <v>0.21561338289962825</v>
      </c>
      <c r="CA63" s="49">
        <f t="shared" si="159"/>
        <v>0.21107994389901824</v>
      </c>
      <c r="CB63" s="49">
        <f t="shared" si="159"/>
        <v>0.19437499999999999</v>
      </c>
      <c r="CC63" s="433">
        <f t="shared" si="159"/>
        <v>0.21333101892032633</v>
      </c>
      <c r="CD63" s="49">
        <f t="shared" si="159"/>
        <v>0.22314622314622315</v>
      </c>
      <c r="CE63" s="701">
        <f t="shared" si="159"/>
        <v>0.22261735419630158</v>
      </c>
      <c r="CF63" s="49">
        <f t="shared" si="159"/>
        <v>0.19769803656059581</v>
      </c>
      <c r="CG63" s="49">
        <f t="shared" si="159"/>
        <v>0.22040072859744991</v>
      </c>
      <c r="CH63" s="433">
        <f t="shared" si="159"/>
        <v>0.21597187343043697</v>
      </c>
      <c r="CI63" s="49">
        <f t="shared" si="159"/>
        <v>0.22866666666666666</v>
      </c>
      <c r="CJ63" s="49">
        <f t="shared" si="159"/>
        <v>0.19915254237288135</v>
      </c>
      <c r="CK63" s="49">
        <f t="shared" si="159"/>
        <v>0.20005138667699407</v>
      </c>
      <c r="CL63" s="49">
        <f t="shared" ca="1" si="159"/>
        <v>0.21108175104033325</v>
      </c>
      <c r="CM63" s="433">
        <f t="shared" ca="1" si="159"/>
        <v>0.20991173168606328</v>
      </c>
      <c r="CN63" s="49">
        <f t="shared" ca="1" si="159"/>
        <v>0.22333631198914072</v>
      </c>
      <c r="CO63" s="49">
        <f t="shared" ca="1" si="159"/>
        <v>0.19339015108436561</v>
      </c>
      <c r="CP63" s="49">
        <f t="shared" ca="1" si="159"/>
        <v>0.19854428646181496</v>
      </c>
      <c r="CQ63" s="49">
        <f t="shared" ca="1" si="159"/>
        <v>0.20835908154819618</v>
      </c>
      <c r="CR63" s="433">
        <f t="shared" ca="1" si="159"/>
        <v>0.2060773040411116</v>
      </c>
      <c r="CS63" s="49">
        <f t="shared" ca="1" si="159"/>
        <v>0.22935389899379238</v>
      </c>
      <c r="CT63" s="49">
        <f t="shared" ca="1" si="159"/>
        <v>0.19949835439275401</v>
      </c>
      <c r="CU63" s="49">
        <f t="shared" ca="1" si="159"/>
        <v>0.2043799531000407</v>
      </c>
      <c r="CV63" s="49">
        <f t="shared" ca="1" si="159"/>
        <v>0.21430757568777842</v>
      </c>
      <c r="CW63" s="433">
        <f t="shared" ref="CW63:DG63" ca="1" si="160">CW62/CW7</f>
        <v>0.21204977177075934</v>
      </c>
      <c r="CX63" s="49">
        <f t="shared" ca="1" si="160"/>
        <v>0.23176579309415363</v>
      </c>
      <c r="CY63" s="49">
        <f t="shared" ca="1" si="160"/>
        <v>0.20192240845717752</v>
      </c>
      <c r="CZ63" s="49">
        <f t="shared" ca="1" si="160"/>
        <v>0.20640339456520784</v>
      </c>
      <c r="DA63" s="49">
        <f t="shared" ca="1" si="160"/>
        <v>0.21605300059905638</v>
      </c>
      <c r="DB63" s="433">
        <f t="shared" ca="1" si="160"/>
        <v>0.21418327568504558</v>
      </c>
      <c r="DC63" s="49">
        <f t="shared" ca="1" si="160"/>
        <v>0.23353225601346406</v>
      </c>
      <c r="DD63" s="49">
        <f t="shared" ca="1" si="160"/>
        <v>0.20369460229198699</v>
      </c>
      <c r="DE63" s="49">
        <f t="shared" ca="1" si="160"/>
        <v>0.2078145333041142</v>
      </c>
      <c r="DF63" s="49">
        <f t="shared" ca="1" si="160"/>
        <v>0.21721046688603937</v>
      </c>
      <c r="DG63" s="433">
        <f t="shared" ca="1" si="160"/>
        <v>0.21569400242682288</v>
      </c>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row>
    <row r="64" spans="1:226" s="36" customFormat="1" ht="12" hidden="1" customHeight="1" outlineLevel="1" x14ac:dyDescent="0.2">
      <c r="B64" s="49"/>
      <c r="C64" s="49"/>
      <c r="D64" s="49"/>
      <c r="E64" s="49"/>
      <c r="F64" s="434"/>
      <c r="G64" s="49"/>
      <c r="H64" s="49"/>
      <c r="I64" s="49"/>
      <c r="J64" s="49"/>
      <c r="K64" s="434"/>
      <c r="L64" s="49"/>
      <c r="M64" s="49"/>
      <c r="N64" s="49"/>
      <c r="O64" s="49"/>
      <c r="P64" s="434"/>
      <c r="Q64" s="49"/>
      <c r="R64" s="49"/>
      <c r="S64" s="49"/>
      <c r="T64" s="49"/>
      <c r="U64" s="434"/>
      <c r="V64" s="49"/>
      <c r="W64" s="49"/>
      <c r="X64" s="49"/>
      <c r="Y64" s="49"/>
      <c r="Z64" s="434"/>
      <c r="AA64" s="49"/>
      <c r="AB64" s="49"/>
      <c r="AC64" s="49"/>
      <c r="AD64" s="49"/>
      <c r="AE64" s="434"/>
      <c r="AF64" s="49"/>
      <c r="AG64" s="49"/>
      <c r="AH64" s="49"/>
      <c r="AI64" s="49"/>
      <c r="AJ64" s="434"/>
      <c r="AK64" s="49"/>
      <c r="AL64" s="49"/>
      <c r="AM64" s="49"/>
      <c r="AN64" s="49"/>
      <c r="AO64" s="434"/>
      <c r="AP64" s="49"/>
      <c r="AQ64" s="49"/>
      <c r="AR64" s="49"/>
      <c r="AS64" s="49"/>
      <c r="AT64" s="730"/>
      <c r="AU64" s="49"/>
      <c r="AV64" s="49"/>
      <c r="AW64" s="49"/>
      <c r="AX64" s="49"/>
      <c r="AY64" s="434"/>
      <c r="AZ64" s="49"/>
      <c r="BA64" s="49"/>
      <c r="BB64" s="49"/>
      <c r="BC64" s="49"/>
      <c r="BD64" s="434"/>
      <c r="BE64" s="49"/>
      <c r="BF64" s="49"/>
      <c r="BG64" s="49"/>
      <c r="BH64" s="49"/>
      <c r="BI64" s="434"/>
      <c r="BJ64" s="49"/>
      <c r="BK64" s="49"/>
      <c r="BL64" s="49"/>
      <c r="BM64" s="49"/>
      <c r="BN64" s="434"/>
      <c r="BO64" s="49"/>
      <c r="BP64" s="49"/>
      <c r="BQ64" s="49"/>
      <c r="BR64" s="49"/>
      <c r="BS64" s="434"/>
      <c r="BT64" s="701"/>
      <c r="BU64" s="49"/>
      <c r="BV64" s="49"/>
      <c r="BW64" s="49"/>
      <c r="BX64" s="434"/>
      <c r="BY64" s="49"/>
      <c r="BZ64" s="49"/>
      <c r="CA64" s="49"/>
      <c r="CB64" s="49"/>
      <c r="CC64" s="434"/>
      <c r="CD64" s="49"/>
      <c r="CE64" s="701"/>
      <c r="CF64" s="49"/>
      <c r="CG64" s="49"/>
      <c r="CH64" s="434"/>
      <c r="CI64" s="49"/>
      <c r="CJ64" s="49"/>
      <c r="CK64" s="49"/>
      <c r="CL64" s="49"/>
      <c r="CM64" s="434"/>
      <c r="CN64" s="49"/>
      <c r="CO64" s="49"/>
      <c r="CP64" s="49"/>
      <c r="CQ64" s="49"/>
      <c r="CR64" s="434"/>
      <c r="CS64" s="49"/>
      <c r="CT64" s="49"/>
      <c r="CU64" s="49"/>
      <c r="CV64" s="49"/>
      <c r="CW64" s="434"/>
      <c r="CX64" s="49"/>
      <c r="CY64" s="49"/>
      <c r="CZ64" s="49"/>
      <c r="DA64" s="49"/>
      <c r="DB64" s="434"/>
      <c r="DC64" s="49"/>
      <c r="DD64" s="49"/>
      <c r="DE64" s="49"/>
      <c r="DF64" s="49"/>
      <c r="DG64" s="43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row>
    <row r="65" spans="1:226" s="36" customFormat="1" ht="12" customHeight="1" collapsed="1" x14ac:dyDescent="0.2">
      <c r="A65" s="36" t="s">
        <v>31</v>
      </c>
      <c r="B65" s="655">
        <v>-24</v>
      </c>
      <c r="C65" s="655">
        <v>-21</v>
      </c>
      <c r="D65" s="655">
        <v>-22</v>
      </c>
      <c r="E65" s="655">
        <v>-17</v>
      </c>
      <c r="F65" s="441">
        <f>SUM(B65:E65)</f>
        <v>-84</v>
      </c>
      <c r="G65" s="655">
        <v>-12</v>
      </c>
      <c r="H65" s="655">
        <v>-12</v>
      </c>
      <c r="I65" s="655">
        <v>-7</v>
      </c>
      <c r="J65" s="655">
        <v>-8</v>
      </c>
      <c r="K65" s="441">
        <f>SUM(G65:J65)</f>
        <v>-39</v>
      </c>
      <c r="L65" s="655">
        <v>-8</v>
      </c>
      <c r="M65" s="655">
        <v>-8</v>
      </c>
      <c r="N65" s="655">
        <v>-6</v>
      </c>
      <c r="O65" s="655">
        <v>-6</v>
      </c>
      <c r="P65" s="441">
        <f>SUM(L65:O65)</f>
        <v>-28</v>
      </c>
      <c r="Q65" s="655">
        <v>-6</v>
      </c>
      <c r="R65" s="655">
        <v>-7</v>
      </c>
      <c r="S65" s="655">
        <v>-8</v>
      </c>
      <c r="T65" s="655">
        <v>-9</v>
      </c>
      <c r="U65" s="441">
        <f>SUM(Q65:T65)</f>
        <v>-30</v>
      </c>
      <c r="V65" s="655">
        <v>-8</v>
      </c>
      <c r="W65" s="655">
        <v>-17</v>
      </c>
      <c r="X65" s="655">
        <v>-27</v>
      </c>
      <c r="Y65" s="655">
        <v>-27</v>
      </c>
      <c r="Z65" s="441">
        <f>SUM(V65:Y65)</f>
        <v>-79</v>
      </c>
      <c r="AA65" s="655">
        <v>-30</v>
      </c>
      <c r="AB65" s="655">
        <v>-32</v>
      </c>
      <c r="AC65" s="655">
        <v>-33</v>
      </c>
      <c r="AD65" s="655">
        <v>-32</v>
      </c>
      <c r="AE65" s="441">
        <f>SUM(AA65:AD65)</f>
        <v>-127</v>
      </c>
      <c r="AF65" s="655">
        <v>-29</v>
      </c>
      <c r="AG65" s="655">
        <v>-29</v>
      </c>
      <c r="AH65" s="655">
        <v>-28</v>
      </c>
      <c r="AI65" s="655">
        <v>-27</v>
      </c>
      <c r="AJ65" s="441">
        <f>SUM(AF65:AI65)</f>
        <v>-113</v>
      </c>
      <c r="AK65" s="655">
        <v>-33</v>
      </c>
      <c r="AL65" s="655">
        <v>-46</v>
      </c>
      <c r="AM65" s="655">
        <v>-46</v>
      </c>
      <c r="AN65" s="655">
        <v>-43</v>
      </c>
      <c r="AO65" s="441">
        <f>SUM(AK65:AN65)</f>
        <v>-168</v>
      </c>
      <c r="AP65" s="655">
        <v>-42</v>
      </c>
      <c r="AQ65" s="655">
        <v>-44</v>
      </c>
      <c r="AR65" s="655">
        <v>-39</v>
      </c>
      <c r="AS65" s="655">
        <v>-36</v>
      </c>
      <c r="AT65" s="441">
        <f>SUM(AP65:AS65)</f>
        <v>-161</v>
      </c>
      <c r="AU65" s="655">
        <v>-36</v>
      </c>
      <c r="AV65" s="655">
        <v>-37</v>
      </c>
      <c r="AW65" s="655">
        <v>-34</v>
      </c>
      <c r="AX65" s="655">
        <v>-32</v>
      </c>
      <c r="AY65" s="441">
        <f>SUM(AU65:AX65)</f>
        <v>-139</v>
      </c>
      <c r="AZ65" s="655">
        <v>-32</v>
      </c>
      <c r="BA65" s="655">
        <v>-33</v>
      </c>
      <c r="BB65" s="655">
        <v>-29</v>
      </c>
      <c r="BC65" s="655">
        <v>-29</v>
      </c>
      <c r="BD65" s="441">
        <f>SUM(AZ65:BC65)</f>
        <v>-123</v>
      </c>
      <c r="BE65" s="655">
        <v>-29</v>
      </c>
      <c r="BF65" s="655">
        <v>-30</v>
      </c>
      <c r="BG65" s="655">
        <v>-33</v>
      </c>
      <c r="BH65" s="655">
        <v>-33</v>
      </c>
      <c r="BI65" s="441">
        <f>SUM(BE65:BH65)</f>
        <v>-125</v>
      </c>
      <c r="BJ65" s="655">
        <v>-33</v>
      </c>
      <c r="BK65" s="655">
        <v>-33</v>
      </c>
      <c r="BL65" s="655">
        <v>-30</v>
      </c>
      <c r="BM65" s="655">
        <v>-26</v>
      </c>
      <c r="BN65" s="441">
        <f>SUM(BJ65:BM65)</f>
        <v>-122</v>
      </c>
      <c r="BO65" s="655">
        <v>-26</v>
      </c>
      <c r="BP65" s="655">
        <v>-26</v>
      </c>
      <c r="BQ65" s="655">
        <v>-25</v>
      </c>
      <c r="BR65" s="655">
        <v>-26</v>
      </c>
      <c r="BS65" s="441">
        <f>SUM(BO65:BR65)</f>
        <v>-103</v>
      </c>
      <c r="BT65" s="721">
        <v>-26</v>
      </c>
      <c r="BU65" s="721">
        <v>-26</v>
      </c>
      <c r="BV65" s="721">
        <v>-25</v>
      </c>
      <c r="BW65" s="721">
        <v>-23</v>
      </c>
      <c r="BX65" s="441">
        <f>SUM(BT65:BW65)</f>
        <v>-100</v>
      </c>
      <c r="BY65" s="655">
        <v>-23</v>
      </c>
      <c r="BZ65" s="655">
        <v>-22</v>
      </c>
      <c r="CA65" s="655">
        <v>-22</v>
      </c>
      <c r="CB65" s="655">
        <v>-21</v>
      </c>
      <c r="CC65" s="441">
        <f>SUM(BY65:CB65)</f>
        <v>-88</v>
      </c>
      <c r="CD65" s="655">
        <v>-22</v>
      </c>
      <c r="CE65" s="634">
        <v>-22</v>
      </c>
      <c r="CF65" s="37">
        <v>-22</v>
      </c>
      <c r="CG65" s="37">
        <v>-22</v>
      </c>
      <c r="CH65" s="441">
        <f>SUM(CD65:CG65)</f>
        <v>-88</v>
      </c>
      <c r="CI65" s="37">
        <v>-21</v>
      </c>
      <c r="CJ65" s="37">
        <v>-20</v>
      </c>
      <c r="CK65" s="37">
        <f ca="1">-AVERAGE(CJ241:CK241)*CK262/4</f>
        <v>-22.094917528802075</v>
      </c>
      <c r="CL65" s="37">
        <f ca="1">-AVERAGE(CK241:CL241)*CL262/4</f>
        <v>-22.484417484147151</v>
      </c>
      <c r="CM65" s="441">
        <f ca="1">SUM(CI65:CL65)</f>
        <v>-85.57933501294923</v>
      </c>
      <c r="CN65" s="37">
        <f ca="1">-AVERAGE(CM241:CN241)*CN262/4</f>
        <v>-22.143467070570185</v>
      </c>
      <c r="CO65" s="37">
        <f ca="1">-AVERAGE(CN241:CO241)*CO262/4</f>
        <v>-23.203715540825602</v>
      </c>
      <c r="CP65" s="37">
        <f ca="1">-AVERAGE(CO241:CP241)*CP262/4</f>
        <v>-24.740545023402056</v>
      </c>
      <c r="CQ65" s="37">
        <f ca="1">-AVERAGE(CP241:CQ241)*CQ262/4</f>
        <v>-24.52236103577593</v>
      </c>
      <c r="CR65" s="441">
        <f ca="1">SUM(CN65:CQ65)</f>
        <v>-94.610088670573774</v>
      </c>
      <c r="CS65" s="37">
        <f ca="1">-AVERAGE(CR241:CS241)*CS262/4</f>
        <v>-23.778415233158128</v>
      </c>
      <c r="CT65" s="37">
        <f ca="1">-AVERAGE(CS241:CT241)*CT262/4</f>
        <v>-24.826609411979192</v>
      </c>
      <c r="CU65" s="37">
        <f ca="1">-AVERAGE(CT241:CU241)*CU262/4</f>
        <v>-26.413586606524532</v>
      </c>
      <c r="CV65" s="37">
        <f ca="1">-AVERAGE(CU241:CV241)*CV262/4</f>
        <v>-26.212012844232522</v>
      </c>
      <c r="CW65" s="441">
        <f ca="1">SUM(CS65:CV65)</f>
        <v>-101.23062409589437</v>
      </c>
      <c r="CX65" s="37">
        <f ca="1">-AVERAGE(CW241:CX241)*CX262/4</f>
        <v>-25.523402820248833</v>
      </c>
      <c r="CY65" s="37">
        <f ca="1">-AVERAGE(CX241:CY241)*CY262/4</f>
        <v>-26.661529333549705</v>
      </c>
      <c r="CZ65" s="37">
        <f ca="1">-AVERAGE(CY241:CZ241)*CZ262/4</f>
        <v>-28.330946077939089</v>
      </c>
      <c r="DA65" s="37">
        <f ca="1">-AVERAGE(CZ241:DA241)*DA262/4</f>
        <v>-28.212906413496512</v>
      </c>
      <c r="DB65" s="441">
        <f ca="1">SUM(CX65:DA65)</f>
        <v>-108.72878464523414</v>
      </c>
      <c r="DC65" s="37">
        <f ca="1">-AVERAGE(DB241:DC241)*DC262/4</f>
        <v>-27.548733704672898</v>
      </c>
      <c r="DD65" s="37">
        <f ca="1">-AVERAGE(DC241:DD241)*DD262/4</f>
        <v>-28.718838872004664</v>
      </c>
      <c r="DE65" s="37">
        <f ca="1">-AVERAGE(DD241:DE241)*DE262/4</f>
        <v>-30.488268580569667</v>
      </c>
      <c r="DF65" s="37">
        <f ca="1">-AVERAGE(DE241:DF241)*DF262/4</f>
        <v>-30.471825264010391</v>
      </c>
      <c r="DG65" s="441">
        <f ca="1">SUM(DC65:DF65)</f>
        <v>-117.22766642125762</v>
      </c>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row>
    <row r="66" spans="1:226" s="36" customFormat="1" ht="12" customHeight="1" x14ac:dyDescent="0.2">
      <c r="A66" s="36" t="s">
        <v>126</v>
      </c>
      <c r="B66" s="655">
        <v>-2</v>
      </c>
      <c r="C66" s="655">
        <v>2</v>
      </c>
      <c r="D66" s="655">
        <v>-10</v>
      </c>
      <c r="E66" s="655">
        <v>-15</v>
      </c>
      <c r="F66" s="712">
        <f>SUM(B66:E66)</f>
        <v>-25</v>
      </c>
      <c r="G66" s="655">
        <v>2</v>
      </c>
      <c r="H66" s="655">
        <v>-4</v>
      </c>
      <c r="I66" s="655">
        <v>30</v>
      </c>
      <c r="J66" s="655">
        <v>-4</v>
      </c>
      <c r="K66" s="712">
        <f>SUM(G66:J66)</f>
        <v>24</v>
      </c>
      <c r="L66" s="655">
        <v>-6</v>
      </c>
      <c r="M66" s="655">
        <v>3</v>
      </c>
      <c r="N66" s="655">
        <v>4</v>
      </c>
      <c r="O66" s="655">
        <v>7</v>
      </c>
      <c r="P66" s="712">
        <f>SUM(L66:O66)</f>
        <v>8</v>
      </c>
      <c r="Q66" s="655">
        <v>-3</v>
      </c>
      <c r="R66" s="655">
        <v>2</v>
      </c>
      <c r="S66" s="655">
        <v>6</v>
      </c>
      <c r="T66" s="655">
        <v>4</v>
      </c>
      <c r="U66" s="712">
        <f>SUM(Q66:T66)</f>
        <v>9</v>
      </c>
      <c r="V66" s="655">
        <v>4</v>
      </c>
      <c r="W66" s="655">
        <v>29</v>
      </c>
      <c r="X66" s="655">
        <v>-18</v>
      </c>
      <c r="Y66" s="655">
        <v>8</v>
      </c>
      <c r="Z66" s="712">
        <f>SUM(V66:Y66)</f>
        <v>23</v>
      </c>
      <c r="AA66" s="655">
        <v>-1</v>
      </c>
      <c r="AB66" s="655">
        <v>1</v>
      </c>
      <c r="AC66" s="655">
        <v>-2</v>
      </c>
      <c r="AD66" s="655">
        <v>4</v>
      </c>
      <c r="AE66" s="712">
        <f>SUM(AA66:AD66)</f>
        <v>2</v>
      </c>
      <c r="AF66" s="655">
        <v>2</v>
      </c>
      <c r="AG66" s="655">
        <v>5</v>
      </c>
      <c r="AH66" s="655">
        <v>2</v>
      </c>
      <c r="AI66" s="655">
        <v>-7</v>
      </c>
      <c r="AJ66" s="712">
        <f>SUM(AF66:AI66)</f>
        <v>2</v>
      </c>
      <c r="AK66" s="655">
        <v>0</v>
      </c>
      <c r="AL66" s="655">
        <v>2</v>
      </c>
      <c r="AM66" s="655">
        <v>-2</v>
      </c>
      <c r="AN66" s="655">
        <v>9</v>
      </c>
      <c r="AO66" s="712">
        <f>SUM(AK66:AN66)</f>
        <v>9</v>
      </c>
      <c r="AP66" s="655">
        <v>-3</v>
      </c>
      <c r="AQ66" s="655">
        <v>-4</v>
      </c>
      <c r="AR66" s="655">
        <v>1</v>
      </c>
      <c r="AS66" s="655">
        <v>-20</v>
      </c>
      <c r="AT66" s="712">
        <f>SUM(AP66:AS66)</f>
        <v>-26</v>
      </c>
      <c r="AU66" s="655">
        <f>-8</f>
        <v>-8</v>
      </c>
      <c r="AV66" s="655">
        <f>-16</f>
        <v>-16</v>
      </c>
      <c r="AW66" s="655">
        <v>-1</v>
      </c>
      <c r="AX66" s="655">
        <v>0</v>
      </c>
      <c r="AY66" s="712">
        <v>-25</v>
      </c>
      <c r="AZ66" s="655">
        <v>1</v>
      </c>
      <c r="BA66" s="655">
        <v>12</v>
      </c>
      <c r="BB66" s="655">
        <v>9</v>
      </c>
      <c r="BC66" s="655">
        <v>1</v>
      </c>
      <c r="BD66" s="712">
        <f>SUM(AZ66:BC66)</f>
        <v>23</v>
      </c>
      <c r="BE66" s="655">
        <v>6</v>
      </c>
      <c r="BF66" s="655">
        <v>6</v>
      </c>
      <c r="BG66" s="655">
        <v>5</v>
      </c>
      <c r="BH66" s="655">
        <v>-4</v>
      </c>
      <c r="BI66" s="712">
        <f>SUM(BE66:BH66)</f>
        <v>13</v>
      </c>
      <c r="BJ66" s="655">
        <v>0</v>
      </c>
      <c r="BK66" s="655">
        <v>9</v>
      </c>
      <c r="BL66" s="655">
        <v>-1</v>
      </c>
      <c r="BM66" s="655">
        <v>-8</v>
      </c>
      <c r="BN66" s="712">
        <f>SUM(BJ66:BM66)</f>
        <v>0</v>
      </c>
      <c r="BO66" s="655">
        <f>-2</f>
        <v>-2</v>
      </c>
      <c r="BP66" s="655">
        <v>4</v>
      </c>
      <c r="BQ66" s="655">
        <v>2</v>
      </c>
      <c r="BR66" s="655">
        <v>6</v>
      </c>
      <c r="BS66" s="441">
        <f>SUM(BO66:BR66)</f>
        <v>10</v>
      </c>
      <c r="BT66" s="721">
        <v>-3</v>
      </c>
      <c r="BU66" s="721">
        <v>2</v>
      </c>
      <c r="BV66" s="721">
        <v>1</v>
      </c>
      <c r="BW66" s="721">
        <v>13</v>
      </c>
      <c r="BX66" s="712">
        <f>SUM(BT66:BW66)</f>
        <v>13</v>
      </c>
      <c r="BY66" s="721">
        <v>1</v>
      </c>
      <c r="BZ66" s="721">
        <v>3</v>
      </c>
      <c r="CA66" s="721">
        <v>-2</v>
      </c>
      <c r="CB66" s="721">
        <v>5</v>
      </c>
      <c r="CC66" s="712">
        <f>SUM(BY66:CB66)</f>
        <v>7</v>
      </c>
      <c r="CD66" s="721">
        <v>5.4</v>
      </c>
      <c r="CE66" s="634">
        <v>-23.5</v>
      </c>
      <c r="CF66" s="37">
        <v>16.5</v>
      </c>
      <c r="CG66" s="37">
        <v>-3.6</v>
      </c>
      <c r="CH66" s="439">
        <f>SUM(CD66:CG66)</f>
        <v>-5.2000000000000011</v>
      </c>
      <c r="CI66" s="37">
        <v>-3</v>
      </c>
      <c r="CJ66" s="37">
        <v>6</v>
      </c>
      <c r="CK66" s="37">
        <v>0</v>
      </c>
      <c r="CL66" s="37">
        <v>0</v>
      </c>
      <c r="CM66" s="439">
        <f>SUM(CI66:CL66)</f>
        <v>3</v>
      </c>
      <c r="CN66" s="37">
        <f>CI66</f>
        <v>-3</v>
      </c>
      <c r="CO66" s="37">
        <f>CJ66</f>
        <v>6</v>
      </c>
      <c r="CP66" s="37">
        <f>CK66</f>
        <v>0</v>
      </c>
      <c r="CQ66" s="37">
        <f>CL66</f>
        <v>0</v>
      </c>
      <c r="CR66" s="439">
        <f>SUM(CN66:CQ66)</f>
        <v>3</v>
      </c>
      <c r="CS66" s="37">
        <v>0</v>
      </c>
      <c r="CT66" s="37">
        <v>0</v>
      </c>
      <c r="CU66" s="37">
        <v>0</v>
      </c>
      <c r="CV66" s="37">
        <v>0</v>
      </c>
      <c r="CW66" s="439">
        <f>SUM(CS66:CV66)</f>
        <v>0</v>
      </c>
      <c r="CX66" s="37">
        <v>0</v>
      </c>
      <c r="CY66" s="37">
        <v>0</v>
      </c>
      <c r="CZ66" s="37">
        <v>0</v>
      </c>
      <c r="DA66" s="37">
        <v>0</v>
      </c>
      <c r="DB66" s="439">
        <f>SUM(CX66:DA66)</f>
        <v>0</v>
      </c>
      <c r="DC66" s="37">
        <v>0</v>
      </c>
      <c r="DD66" s="37">
        <v>0</v>
      </c>
      <c r="DE66" s="37">
        <v>0</v>
      </c>
      <c r="DF66" s="37">
        <v>0</v>
      </c>
      <c r="DG66" s="439">
        <f>SUM(DC66:DF66)</f>
        <v>0</v>
      </c>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row>
    <row r="67" spans="1:226" s="36" customFormat="1" ht="12" hidden="1" customHeight="1" outlineLevel="1" x14ac:dyDescent="0.2">
      <c r="A67" s="36" t="s">
        <v>326</v>
      </c>
      <c r="B67" s="655"/>
      <c r="C67" s="655"/>
      <c r="D67" s="655"/>
      <c r="E67" s="655"/>
      <c r="F67" s="731"/>
      <c r="G67" s="655"/>
      <c r="H67" s="655"/>
      <c r="I67" s="655"/>
      <c r="J67" s="655"/>
      <c r="K67" s="731"/>
      <c r="L67" s="655"/>
      <c r="M67" s="655"/>
      <c r="N67" s="655"/>
      <c r="O67" s="655"/>
      <c r="P67" s="731"/>
      <c r="Q67" s="655"/>
      <c r="R67" s="655"/>
      <c r="S67" s="655"/>
      <c r="T67" s="655"/>
      <c r="U67" s="731"/>
      <c r="V67" s="655"/>
      <c r="W67" s="655"/>
      <c r="X67" s="655"/>
      <c r="Y67" s="655"/>
      <c r="Z67" s="731"/>
      <c r="AA67" s="655"/>
      <c r="AB67" s="655"/>
      <c r="AC67" s="655"/>
      <c r="AD67" s="655"/>
      <c r="AE67" s="731"/>
      <c r="AF67" s="655"/>
      <c r="AG67" s="655"/>
      <c r="AH67" s="655"/>
      <c r="AI67" s="655"/>
      <c r="AJ67" s="731">
        <v>-4</v>
      </c>
      <c r="AK67" s="655"/>
      <c r="AL67" s="655"/>
      <c r="AM67" s="655"/>
      <c r="AN67" s="655"/>
      <c r="AO67" s="731">
        <v>-2</v>
      </c>
      <c r="AP67" s="655"/>
      <c r="AQ67" s="655"/>
      <c r="AR67" s="655"/>
      <c r="AS67" s="655"/>
      <c r="AT67" s="731">
        <v>-28</v>
      </c>
      <c r="AU67" s="655"/>
      <c r="AV67" s="655"/>
      <c r="AW67" s="719"/>
      <c r="AX67" s="719">
        <v>0</v>
      </c>
      <c r="AY67" s="712"/>
      <c r="AZ67" s="719"/>
      <c r="BA67" s="719"/>
      <c r="BB67" s="719"/>
      <c r="BC67" s="719"/>
      <c r="BD67" s="726"/>
      <c r="BE67" s="719"/>
      <c r="BF67" s="719">
        <f>BI67/4</f>
        <v>0</v>
      </c>
      <c r="BG67" s="719">
        <f>BI67/4</f>
        <v>0</v>
      </c>
      <c r="BH67" s="719">
        <f>BI67/4</f>
        <v>0</v>
      </c>
      <c r="BI67" s="726"/>
      <c r="BJ67" s="719">
        <f>BN67/4</f>
        <v>0</v>
      </c>
      <c r="BK67" s="719">
        <f>BN67/4</f>
        <v>0</v>
      </c>
      <c r="BL67" s="719">
        <f>BN67/4</f>
        <v>0</v>
      </c>
      <c r="BM67" s="719">
        <f>BN67/4</f>
        <v>0</v>
      </c>
      <c r="BN67" s="726"/>
      <c r="BO67" s="719">
        <f>BS67/4</f>
        <v>0</v>
      </c>
      <c r="BP67" s="719">
        <f>BS67/4</f>
        <v>0</v>
      </c>
      <c r="BQ67" s="719">
        <f>BS67/4</f>
        <v>0</v>
      </c>
      <c r="BR67" s="719">
        <f>BS67/4</f>
        <v>0</v>
      </c>
      <c r="BS67" s="726">
        <v>0</v>
      </c>
      <c r="BT67" s="720">
        <f>BX67/4</f>
        <v>0</v>
      </c>
      <c r="BU67" s="719">
        <f>BX67/4</f>
        <v>0</v>
      </c>
      <c r="BV67" s="719">
        <f>BX67/4</f>
        <v>0</v>
      </c>
      <c r="BW67" s="719">
        <f>BX67/4</f>
        <v>0</v>
      </c>
      <c r="BX67" s="726">
        <v>0</v>
      </c>
      <c r="BY67" s="719">
        <f>CC67/4</f>
        <v>0</v>
      </c>
      <c r="BZ67" s="719">
        <f>CC67/4</f>
        <v>0</v>
      </c>
      <c r="CA67" s="719">
        <f>CC67/4</f>
        <v>0</v>
      </c>
      <c r="CB67" s="719">
        <f>CC67/4</f>
        <v>0</v>
      </c>
      <c r="CC67" s="726">
        <v>0</v>
      </c>
      <c r="CD67" s="42">
        <f>CH67/4</f>
        <v>0</v>
      </c>
      <c r="CE67" s="788">
        <f>CH67/4</f>
        <v>0</v>
      </c>
      <c r="CF67" s="42">
        <f>CH67/4</f>
        <v>0</v>
      </c>
      <c r="CG67" s="42">
        <f>CH67/4</f>
        <v>0</v>
      </c>
      <c r="CH67" s="437">
        <v>0</v>
      </c>
      <c r="CI67" s="42">
        <f>CM67/4</f>
        <v>0</v>
      </c>
      <c r="CJ67" s="42">
        <f>CM67/4</f>
        <v>0</v>
      </c>
      <c r="CK67" s="42">
        <f>CM67/4</f>
        <v>0</v>
      </c>
      <c r="CL67" s="42">
        <f>CM67/4</f>
        <v>0</v>
      </c>
      <c r="CM67" s="437">
        <v>0</v>
      </c>
      <c r="CN67" s="42">
        <f>CR67/4</f>
        <v>0</v>
      </c>
      <c r="CO67" s="42">
        <f>CR67/4</f>
        <v>0</v>
      </c>
      <c r="CP67" s="42">
        <f>CR67/4</f>
        <v>0</v>
      </c>
      <c r="CQ67" s="42">
        <f>CR67/4</f>
        <v>0</v>
      </c>
      <c r="CR67" s="437">
        <v>0</v>
      </c>
      <c r="CS67" s="42">
        <f>CW67/4</f>
        <v>0</v>
      </c>
      <c r="CT67" s="42">
        <f>CW67/4</f>
        <v>0</v>
      </c>
      <c r="CU67" s="42">
        <f>CW67/4</f>
        <v>0</v>
      </c>
      <c r="CV67" s="42">
        <f>CW67/4</f>
        <v>0</v>
      </c>
      <c r="CW67" s="437">
        <v>0</v>
      </c>
      <c r="CX67" s="42">
        <f>DB67/4</f>
        <v>0</v>
      </c>
      <c r="CY67" s="42">
        <f>DB67/4</f>
        <v>0</v>
      </c>
      <c r="CZ67" s="42">
        <f>DB67/4</f>
        <v>0</v>
      </c>
      <c r="DA67" s="42">
        <f>DB67/4</f>
        <v>0</v>
      </c>
      <c r="DB67" s="437">
        <v>0</v>
      </c>
      <c r="DC67" s="42">
        <f>DG67/4</f>
        <v>0</v>
      </c>
      <c r="DD67" s="42">
        <f>DG67/4</f>
        <v>0</v>
      </c>
      <c r="DE67" s="42">
        <f>DG67/4</f>
        <v>0</v>
      </c>
      <c r="DF67" s="42">
        <f>DG67/4</f>
        <v>0</v>
      </c>
      <c r="DG67" s="437">
        <v>0</v>
      </c>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row>
    <row r="68" spans="1:226" s="36" customFormat="1" ht="12" hidden="1" customHeight="1" outlineLevel="1" x14ac:dyDescent="0.2">
      <c r="A68" s="36" t="s">
        <v>327</v>
      </c>
      <c r="B68" s="655"/>
      <c r="C68" s="655"/>
      <c r="D68" s="655"/>
      <c r="E68" s="655"/>
      <c r="F68" s="731"/>
      <c r="G68" s="655"/>
      <c r="H68" s="655"/>
      <c r="I68" s="655"/>
      <c r="J68" s="655"/>
      <c r="K68" s="731"/>
      <c r="L68" s="655"/>
      <c r="M68" s="655"/>
      <c r="N68" s="655"/>
      <c r="O68" s="655"/>
      <c r="P68" s="731"/>
      <c r="Q68" s="655"/>
      <c r="R68" s="655"/>
      <c r="S68" s="655"/>
      <c r="T68" s="655"/>
      <c r="U68" s="731"/>
      <c r="V68" s="655"/>
      <c r="W68" s="655"/>
      <c r="X68" s="655"/>
      <c r="Y68" s="655"/>
      <c r="Z68" s="731"/>
      <c r="AA68" s="655"/>
      <c r="AB68" s="655"/>
      <c r="AC68" s="655"/>
      <c r="AD68" s="655"/>
      <c r="AE68" s="731"/>
      <c r="AF68" s="655"/>
      <c r="AG68" s="655"/>
      <c r="AH68" s="655"/>
      <c r="AI68" s="655"/>
      <c r="AJ68" s="731">
        <v>-4</v>
      </c>
      <c r="AK68" s="655"/>
      <c r="AL68" s="655"/>
      <c r="AM68" s="655"/>
      <c r="AN68" s="655"/>
      <c r="AO68" s="731">
        <v>-7</v>
      </c>
      <c r="AP68" s="655"/>
      <c r="AQ68" s="655"/>
      <c r="AR68" s="655"/>
      <c r="AS68" s="655"/>
      <c r="AT68" s="731">
        <v>-3</v>
      </c>
      <c r="AU68" s="655"/>
      <c r="AV68" s="655"/>
      <c r="AW68" s="655"/>
      <c r="AX68" s="655">
        <f>AY68/4</f>
        <v>-1</v>
      </c>
      <c r="AY68" s="726">
        <v>-4</v>
      </c>
      <c r="AZ68" s="376"/>
      <c r="BA68" s="376"/>
      <c r="BB68" s="376"/>
      <c r="BC68" s="376"/>
      <c r="BD68" s="726"/>
      <c r="BE68" s="376"/>
      <c r="BF68" s="376">
        <f>BI68/4</f>
        <v>0</v>
      </c>
      <c r="BG68" s="376">
        <f>BI68/4</f>
        <v>0</v>
      </c>
      <c r="BH68" s="376">
        <f>BI68/4</f>
        <v>0</v>
      </c>
      <c r="BI68" s="726"/>
      <c r="BJ68" s="376">
        <f>BN68/4</f>
        <v>0</v>
      </c>
      <c r="BK68" s="376">
        <f>BN68/4</f>
        <v>0</v>
      </c>
      <c r="BL68" s="376">
        <f>BN68/4</f>
        <v>0</v>
      </c>
      <c r="BM68" s="376">
        <f>BN68/4</f>
        <v>0</v>
      </c>
      <c r="BN68" s="726"/>
      <c r="BO68" s="376">
        <f>BS68/4</f>
        <v>-1</v>
      </c>
      <c r="BP68" s="376">
        <f>BS68/4</f>
        <v>-1</v>
      </c>
      <c r="BQ68" s="376">
        <f>BS68/4</f>
        <v>-1</v>
      </c>
      <c r="BR68" s="376">
        <f>BS68/4</f>
        <v>-1</v>
      </c>
      <c r="BS68" s="726">
        <v>-4</v>
      </c>
      <c r="BT68" s="732">
        <f>BX68/4</f>
        <v>-1</v>
      </c>
      <c r="BU68" s="376">
        <f>BX68/4</f>
        <v>-1</v>
      </c>
      <c r="BV68" s="376">
        <f>BX68/4</f>
        <v>-1</v>
      </c>
      <c r="BW68" s="376">
        <f>BX68/4</f>
        <v>-1</v>
      </c>
      <c r="BX68" s="726">
        <v>-4</v>
      </c>
      <c r="BY68" s="376">
        <f>CC68/4</f>
        <v>-1</v>
      </c>
      <c r="BZ68" s="376">
        <f>CC68/4</f>
        <v>-1</v>
      </c>
      <c r="CA68" s="376">
        <f>CC68/4</f>
        <v>-1</v>
      </c>
      <c r="CB68" s="376">
        <f>CC68/4</f>
        <v>-1</v>
      </c>
      <c r="CC68" s="726">
        <v>-4</v>
      </c>
      <c r="CD68" s="376">
        <f>CH68/4</f>
        <v>-1</v>
      </c>
      <c r="CE68" s="732">
        <f>CH68/4</f>
        <v>-1</v>
      </c>
      <c r="CF68" s="376">
        <f>CH68/4</f>
        <v>-1</v>
      </c>
      <c r="CG68" s="376">
        <f>CH68/4</f>
        <v>-1</v>
      </c>
      <c r="CH68" s="437">
        <v>-4</v>
      </c>
      <c r="CI68" s="376">
        <f>CM68/4</f>
        <v>-1</v>
      </c>
      <c r="CJ68" s="376">
        <f>CM68/4</f>
        <v>-1</v>
      </c>
      <c r="CK68" s="376">
        <f>CM68/4</f>
        <v>-1</v>
      </c>
      <c r="CL68" s="376">
        <f>CM68/4</f>
        <v>-1</v>
      </c>
      <c r="CM68" s="437">
        <v>-4</v>
      </c>
      <c r="CN68" s="376">
        <f>CR68/4</f>
        <v>-1</v>
      </c>
      <c r="CO68" s="376">
        <f>CR68/4</f>
        <v>-1</v>
      </c>
      <c r="CP68" s="376">
        <f>CR68/4</f>
        <v>-1</v>
      </c>
      <c r="CQ68" s="376">
        <f>CR68/4</f>
        <v>-1</v>
      </c>
      <c r="CR68" s="437">
        <v>-4</v>
      </c>
      <c r="CS68" s="376">
        <f>CW68/4</f>
        <v>-1</v>
      </c>
      <c r="CT68" s="376">
        <f>CW68/4</f>
        <v>-1</v>
      </c>
      <c r="CU68" s="376">
        <f>CW68/4</f>
        <v>-1</v>
      </c>
      <c r="CV68" s="376">
        <f>CW68/4</f>
        <v>-1</v>
      </c>
      <c r="CW68" s="437">
        <v>-4</v>
      </c>
      <c r="CX68" s="376">
        <f>DB68/4</f>
        <v>-1</v>
      </c>
      <c r="CY68" s="376">
        <f>DB68/4</f>
        <v>-1</v>
      </c>
      <c r="CZ68" s="376">
        <f>DB68/4</f>
        <v>-1</v>
      </c>
      <c r="DA68" s="376">
        <f>DB68/4</f>
        <v>-1</v>
      </c>
      <c r="DB68" s="437">
        <v>-4</v>
      </c>
      <c r="DC68" s="376">
        <f>DG68/4</f>
        <v>-1</v>
      </c>
      <c r="DD68" s="376">
        <f>DG68/4</f>
        <v>-1</v>
      </c>
      <c r="DE68" s="376">
        <f>DG68/4</f>
        <v>-1</v>
      </c>
      <c r="DF68" s="376">
        <f>DG68/4</f>
        <v>-1</v>
      </c>
      <c r="DG68" s="437">
        <v>-4</v>
      </c>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row>
    <row r="69" spans="1:226" s="36" customFormat="1" ht="12" hidden="1" customHeight="1" outlineLevel="1" x14ac:dyDescent="0.2">
      <c r="A69" s="36" t="s">
        <v>328</v>
      </c>
      <c r="B69" s="655"/>
      <c r="C69" s="655"/>
      <c r="D69" s="655"/>
      <c r="E69" s="655"/>
      <c r="F69" s="731"/>
      <c r="G69" s="655"/>
      <c r="H69" s="655"/>
      <c r="I69" s="655"/>
      <c r="J69" s="655"/>
      <c r="K69" s="731"/>
      <c r="L69" s="655"/>
      <c r="M69" s="655"/>
      <c r="N69" s="655"/>
      <c r="O69" s="655"/>
      <c r="P69" s="731"/>
      <c r="Q69" s="655"/>
      <c r="R69" s="655"/>
      <c r="S69" s="655"/>
      <c r="T69" s="655"/>
      <c r="U69" s="731"/>
      <c r="V69" s="655"/>
      <c r="W69" s="655"/>
      <c r="X69" s="655"/>
      <c r="Y69" s="655"/>
      <c r="Z69" s="731"/>
      <c r="AA69" s="655"/>
      <c r="AB69" s="655"/>
      <c r="AC69" s="655"/>
      <c r="AD69" s="655"/>
      <c r="AE69" s="731"/>
      <c r="AF69" s="655"/>
      <c r="AG69" s="655"/>
      <c r="AH69" s="655"/>
      <c r="AI69" s="655"/>
      <c r="AJ69" s="731">
        <v>5</v>
      </c>
      <c r="AK69" s="655"/>
      <c r="AL69" s="655"/>
      <c r="AM69" s="655"/>
      <c r="AN69" s="655"/>
      <c r="AO69" s="731">
        <v>-7</v>
      </c>
      <c r="AP69" s="655"/>
      <c r="AQ69" s="655"/>
      <c r="AR69" s="655"/>
      <c r="AS69" s="655"/>
      <c r="AT69" s="731">
        <v>-7</v>
      </c>
      <c r="AU69" s="655"/>
      <c r="AV69" s="655"/>
      <c r="AW69" s="655"/>
      <c r="AX69" s="655">
        <f>AY69/4</f>
        <v>-1.75</v>
      </c>
      <c r="AY69" s="726">
        <v>-7</v>
      </c>
      <c r="AZ69" s="376"/>
      <c r="BA69" s="376"/>
      <c r="BB69" s="376"/>
      <c r="BC69" s="376"/>
      <c r="BD69" s="726"/>
      <c r="BE69" s="376"/>
      <c r="BF69" s="376">
        <f>BI69/4</f>
        <v>0</v>
      </c>
      <c r="BG69" s="376">
        <f>BI69/4</f>
        <v>0</v>
      </c>
      <c r="BH69" s="376">
        <f>BI69/4</f>
        <v>0</v>
      </c>
      <c r="BI69" s="726"/>
      <c r="BJ69" s="376">
        <f>BN69/4</f>
        <v>0</v>
      </c>
      <c r="BK69" s="376">
        <f>BN69/4</f>
        <v>0</v>
      </c>
      <c r="BL69" s="376">
        <f>BN69/4</f>
        <v>0</v>
      </c>
      <c r="BM69" s="376">
        <f>BN69/4</f>
        <v>0</v>
      </c>
      <c r="BN69" s="726"/>
      <c r="BO69" s="376">
        <f>BS69/4</f>
        <v>-1.75</v>
      </c>
      <c r="BP69" s="376">
        <f>BS69/4</f>
        <v>-1.75</v>
      </c>
      <c r="BQ69" s="376">
        <f>BS69/4</f>
        <v>-1.75</v>
      </c>
      <c r="BR69" s="376">
        <f>BS69/4</f>
        <v>-1.75</v>
      </c>
      <c r="BS69" s="726">
        <v>-7</v>
      </c>
      <c r="BT69" s="732">
        <f>BX69/4</f>
        <v>-1.75</v>
      </c>
      <c r="BU69" s="376">
        <f>BX69/4</f>
        <v>-1.75</v>
      </c>
      <c r="BV69" s="376">
        <f>BX69/4</f>
        <v>-1.75</v>
      </c>
      <c r="BW69" s="376">
        <f>BX69/4</f>
        <v>-1.75</v>
      </c>
      <c r="BX69" s="726">
        <v>-7</v>
      </c>
      <c r="BY69" s="376">
        <f>CC69/4</f>
        <v>-1.75</v>
      </c>
      <c r="BZ69" s="376">
        <f>CC69/4</f>
        <v>-1.75</v>
      </c>
      <c r="CA69" s="376">
        <f>CC69/4</f>
        <v>-1.75</v>
      </c>
      <c r="CB69" s="376">
        <f>CC69/4</f>
        <v>-1.75</v>
      </c>
      <c r="CC69" s="726">
        <v>-7</v>
      </c>
      <c r="CD69" s="376">
        <f>CH69/4</f>
        <v>-1.75</v>
      </c>
      <c r="CE69" s="732">
        <f>CH69/4</f>
        <v>-1.75</v>
      </c>
      <c r="CF69" s="376">
        <f>CH69/4</f>
        <v>-1.75</v>
      </c>
      <c r="CG69" s="376">
        <f>CH69/4</f>
        <v>-1.75</v>
      </c>
      <c r="CH69" s="437">
        <v>-7</v>
      </c>
      <c r="CI69" s="376">
        <f>CM69/4</f>
        <v>-1.75</v>
      </c>
      <c r="CJ69" s="376">
        <f>CM69/4</f>
        <v>-1.75</v>
      </c>
      <c r="CK69" s="376">
        <f>CM69/4</f>
        <v>-1.75</v>
      </c>
      <c r="CL69" s="376">
        <f>CM69/4</f>
        <v>-1.75</v>
      </c>
      <c r="CM69" s="437">
        <v>-7</v>
      </c>
      <c r="CN69" s="376">
        <f>CR69/4</f>
        <v>-1.75</v>
      </c>
      <c r="CO69" s="376">
        <f>CR69/4</f>
        <v>-1.75</v>
      </c>
      <c r="CP69" s="376">
        <f>CR69/4</f>
        <v>-1.75</v>
      </c>
      <c r="CQ69" s="376">
        <f>CR69/4</f>
        <v>-1.75</v>
      </c>
      <c r="CR69" s="437">
        <v>-7</v>
      </c>
      <c r="CS69" s="376">
        <f>CW69/4</f>
        <v>-1.75</v>
      </c>
      <c r="CT69" s="376">
        <f>CW69/4</f>
        <v>-1.75</v>
      </c>
      <c r="CU69" s="376">
        <f>CW69/4</f>
        <v>-1.75</v>
      </c>
      <c r="CV69" s="376">
        <f>CW69/4</f>
        <v>-1.75</v>
      </c>
      <c r="CW69" s="437">
        <v>-7</v>
      </c>
      <c r="CX69" s="376">
        <f>DB69/4</f>
        <v>-1.75</v>
      </c>
      <c r="CY69" s="376">
        <f>DB69/4</f>
        <v>-1.75</v>
      </c>
      <c r="CZ69" s="376">
        <f>DB69/4</f>
        <v>-1.75</v>
      </c>
      <c r="DA69" s="376">
        <f>DB69/4</f>
        <v>-1.75</v>
      </c>
      <c r="DB69" s="437">
        <v>-7</v>
      </c>
      <c r="DC69" s="376">
        <f>DG69/4</f>
        <v>-1.75</v>
      </c>
      <c r="DD69" s="376">
        <f>DG69/4</f>
        <v>-1.75</v>
      </c>
      <c r="DE69" s="376">
        <f>DG69/4</f>
        <v>-1.75</v>
      </c>
      <c r="DF69" s="376">
        <f>DG69/4</f>
        <v>-1.75</v>
      </c>
      <c r="DG69" s="437">
        <v>-7</v>
      </c>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row>
    <row r="70" spans="1:226" s="36" customFormat="1" ht="12" hidden="1" customHeight="1" outlineLevel="1" x14ac:dyDescent="0.2">
      <c r="A70" s="36" t="s">
        <v>329</v>
      </c>
      <c r="B70" s="655"/>
      <c r="C70" s="655"/>
      <c r="D70" s="655"/>
      <c r="E70" s="655"/>
      <c r="F70" s="731"/>
      <c r="G70" s="655"/>
      <c r="H70" s="655"/>
      <c r="I70" s="655"/>
      <c r="J70" s="655"/>
      <c r="K70" s="731"/>
      <c r="L70" s="655"/>
      <c r="M70" s="655"/>
      <c r="N70" s="655"/>
      <c r="O70" s="655"/>
      <c r="P70" s="731"/>
      <c r="Q70" s="655"/>
      <c r="R70" s="655"/>
      <c r="S70" s="655"/>
      <c r="T70" s="655"/>
      <c r="U70" s="731"/>
      <c r="V70" s="655"/>
      <c r="W70" s="655"/>
      <c r="X70" s="655"/>
      <c r="Y70" s="655"/>
      <c r="Z70" s="731"/>
      <c r="AA70" s="655"/>
      <c r="AB70" s="655"/>
      <c r="AC70" s="655"/>
      <c r="AD70" s="655"/>
      <c r="AE70" s="731"/>
      <c r="AF70" s="655"/>
      <c r="AG70" s="655"/>
      <c r="AH70" s="655"/>
      <c r="AI70" s="655"/>
      <c r="AJ70" s="731">
        <v>8</v>
      </c>
      <c r="AK70" s="655"/>
      <c r="AL70" s="655"/>
      <c r="AM70" s="655"/>
      <c r="AN70" s="655"/>
      <c r="AO70" s="731">
        <v>8</v>
      </c>
      <c r="AP70" s="655"/>
      <c r="AQ70" s="655"/>
      <c r="AR70" s="655"/>
      <c r="AS70" s="655"/>
      <c r="AT70" s="731">
        <v>8</v>
      </c>
      <c r="AU70" s="655"/>
      <c r="AV70" s="655"/>
      <c r="AW70" s="655"/>
      <c r="AX70" s="655">
        <f>AY70/4</f>
        <v>2</v>
      </c>
      <c r="AY70" s="726">
        <v>8</v>
      </c>
      <c r="AZ70" s="376"/>
      <c r="BA70" s="376"/>
      <c r="BB70" s="376"/>
      <c r="BC70" s="376"/>
      <c r="BD70" s="726"/>
      <c r="BE70" s="376"/>
      <c r="BF70" s="376">
        <f>BI70/4</f>
        <v>0</v>
      </c>
      <c r="BG70" s="376">
        <f>BI70/4</f>
        <v>0</v>
      </c>
      <c r="BH70" s="376">
        <f>BI70/4</f>
        <v>0</v>
      </c>
      <c r="BI70" s="726"/>
      <c r="BJ70" s="376">
        <f>BN70/4</f>
        <v>0</v>
      </c>
      <c r="BK70" s="376">
        <f>BN70/4</f>
        <v>0</v>
      </c>
      <c r="BL70" s="376">
        <f>BN70/4</f>
        <v>0</v>
      </c>
      <c r="BM70" s="376">
        <f>BN70/4</f>
        <v>0</v>
      </c>
      <c r="BN70" s="726"/>
      <c r="BO70" s="376">
        <f>BS70/4</f>
        <v>2</v>
      </c>
      <c r="BP70" s="376">
        <f>BS70/4</f>
        <v>2</v>
      </c>
      <c r="BQ70" s="376">
        <f>BS70/4</f>
        <v>2</v>
      </c>
      <c r="BR70" s="376">
        <f>BS70/4</f>
        <v>2</v>
      </c>
      <c r="BS70" s="726">
        <v>8</v>
      </c>
      <c r="BT70" s="732">
        <f>BX70/4</f>
        <v>2</v>
      </c>
      <c r="BU70" s="376">
        <f>BX70/4</f>
        <v>2</v>
      </c>
      <c r="BV70" s="376">
        <f>BX70/4</f>
        <v>2</v>
      </c>
      <c r="BW70" s="376">
        <f>BX70/4</f>
        <v>2</v>
      </c>
      <c r="BX70" s="726">
        <v>8</v>
      </c>
      <c r="BY70" s="376">
        <f>CC70/4</f>
        <v>2</v>
      </c>
      <c r="BZ70" s="376">
        <f>CC70/4</f>
        <v>2</v>
      </c>
      <c r="CA70" s="376">
        <f>CC70/4</f>
        <v>2</v>
      </c>
      <c r="CB70" s="376">
        <f>CC70/4</f>
        <v>2</v>
      </c>
      <c r="CC70" s="726">
        <v>8</v>
      </c>
      <c r="CD70" s="376">
        <f>CH70/4</f>
        <v>2</v>
      </c>
      <c r="CE70" s="732">
        <f>CH70/4</f>
        <v>2</v>
      </c>
      <c r="CF70" s="376">
        <f>CH70/4</f>
        <v>2</v>
      </c>
      <c r="CG70" s="376">
        <f>CH70/4</f>
        <v>2</v>
      </c>
      <c r="CH70" s="437">
        <v>8</v>
      </c>
      <c r="CI70" s="376">
        <f>CM70/4</f>
        <v>2</v>
      </c>
      <c r="CJ70" s="376">
        <f>CM70/4</f>
        <v>2</v>
      </c>
      <c r="CK70" s="376">
        <f>CM70/4</f>
        <v>2</v>
      </c>
      <c r="CL70" s="376">
        <f>CM70/4</f>
        <v>2</v>
      </c>
      <c r="CM70" s="437">
        <v>8</v>
      </c>
      <c r="CN70" s="376">
        <f>CR70/4</f>
        <v>2</v>
      </c>
      <c r="CO70" s="376">
        <f>CR70/4</f>
        <v>2</v>
      </c>
      <c r="CP70" s="376">
        <f>CR70/4</f>
        <v>2</v>
      </c>
      <c r="CQ70" s="376">
        <f>CR70/4</f>
        <v>2</v>
      </c>
      <c r="CR70" s="437">
        <v>8</v>
      </c>
      <c r="CS70" s="376">
        <f>CW70/4</f>
        <v>2</v>
      </c>
      <c r="CT70" s="376">
        <f>CW70/4</f>
        <v>2</v>
      </c>
      <c r="CU70" s="376">
        <f>CW70/4</f>
        <v>2</v>
      </c>
      <c r="CV70" s="376">
        <f>CW70/4</f>
        <v>2</v>
      </c>
      <c r="CW70" s="437">
        <v>8</v>
      </c>
      <c r="CX70" s="376">
        <f>DB70/4</f>
        <v>2</v>
      </c>
      <c r="CY70" s="376">
        <f>DB70/4</f>
        <v>2</v>
      </c>
      <c r="CZ70" s="376">
        <f>DB70/4</f>
        <v>2</v>
      </c>
      <c r="DA70" s="376">
        <f>DB70/4</f>
        <v>2</v>
      </c>
      <c r="DB70" s="437">
        <v>8</v>
      </c>
      <c r="DC70" s="376">
        <f>DG70/4</f>
        <v>2</v>
      </c>
      <c r="DD70" s="376">
        <f>DG70/4</f>
        <v>2</v>
      </c>
      <c r="DE70" s="376">
        <f>DG70/4</f>
        <v>2</v>
      </c>
      <c r="DF70" s="376">
        <f>DG70/4</f>
        <v>2</v>
      </c>
      <c r="DG70" s="437">
        <v>8</v>
      </c>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row>
    <row r="71" spans="1:226" s="36" customFormat="1" ht="12" hidden="1" customHeight="1" outlineLevel="1" x14ac:dyDescent="0.2">
      <c r="A71" s="80" t="s">
        <v>342</v>
      </c>
      <c r="B71" s="655"/>
      <c r="C71" s="655"/>
      <c r="D71" s="655"/>
      <c r="E71" s="655"/>
      <c r="F71" s="712"/>
      <c r="G71" s="655"/>
      <c r="H71" s="655"/>
      <c r="I71" s="655"/>
      <c r="J71" s="655"/>
      <c r="K71" s="712"/>
      <c r="L71" s="655"/>
      <c r="M71" s="655"/>
      <c r="N71" s="655"/>
      <c r="O71" s="655"/>
      <c r="P71" s="712"/>
      <c r="Q71" s="655"/>
      <c r="R71" s="655"/>
      <c r="S71" s="655"/>
      <c r="T71" s="655"/>
      <c r="U71" s="712"/>
      <c r="V71" s="655"/>
      <c r="W71" s="655"/>
      <c r="X71" s="655"/>
      <c r="Y71" s="655"/>
      <c r="Z71" s="712"/>
      <c r="AA71" s="655"/>
      <c r="AB71" s="655"/>
      <c r="AC71" s="655"/>
      <c r="AD71" s="655"/>
      <c r="AE71" s="712"/>
      <c r="AF71" s="655"/>
      <c r="AG71" s="655"/>
      <c r="AH71" s="655"/>
      <c r="AI71" s="655"/>
      <c r="AJ71" s="712">
        <v>8</v>
      </c>
      <c r="AK71" s="655"/>
      <c r="AL71" s="655"/>
      <c r="AM71" s="655"/>
      <c r="AN71" s="655"/>
      <c r="AO71" s="712">
        <v>12</v>
      </c>
      <c r="AP71" s="655"/>
      <c r="AQ71" s="655"/>
      <c r="AR71" s="655"/>
      <c r="AS71" s="655"/>
      <c r="AT71" s="712">
        <v>4</v>
      </c>
      <c r="AU71" s="655"/>
      <c r="AV71" s="655"/>
      <c r="AW71" s="655"/>
      <c r="AX71" s="655">
        <f>(AX263/4)*(AVERAGE(AW237:AX237))</f>
        <v>0</v>
      </c>
      <c r="AY71" s="712"/>
      <c r="AZ71" s="655"/>
      <c r="BA71" s="655"/>
      <c r="BB71" s="655"/>
      <c r="BC71" s="655"/>
      <c r="BD71" s="712"/>
      <c r="BE71" s="655"/>
      <c r="BF71" s="655">
        <f t="shared" ref="BF71:CV71" si="161">(BF263/4)*(AVERAGE(BE237:BF237))</f>
        <v>0</v>
      </c>
      <c r="BG71" s="655">
        <f t="shared" si="161"/>
        <v>0</v>
      </c>
      <c r="BH71" s="655">
        <f t="shared" si="161"/>
        <v>0</v>
      </c>
      <c r="BI71" s="712"/>
      <c r="BJ71" s="655">
        <f t="shared" si="161"/>
        <v>0</v>
      </c>
      <c r="BK71" s="655">
        <f t="shared" si="161"/>
        <v>0</v>
      </c>
      <c r="BL71" s="655">
        <f t="shared" si="161"/>
        <v>0</v>
      </c>
      <c r="BM71" s="655">
        <f t="shared" si="161"/>
        <v>0</v>
      </c>
      <c r="BN71" s="712"/>
      <c r="BO71" s="655">
        <f t="shared" si="161"/>
        <v>0</v>
      </c>
      <c r="BP71" s="655">
        <f t="shared" si="161"/>
        <v>0</v>
      </c>
      <c r="BQ71" s="655">
        <f t="shared" si="161"/>
        <v>0</v>
      </c>
      <c r="BR71" s="655">
        <f t="shared" si="161"/>
        <v>0</v>
      </c>
      <c r="BS71" s="712">
        <f>SUM(BO71:BR71)</f>
        <v>0</v>
      </c>
      <c r="BT71" s="721">
        <f t="shared" si="161"/>
        <v>0</v>
      </c>
      <c r="BU71" s="655">
        <f t="shared" si="161"/>
        <v>0</v>
      </c>
      <c r="BV71" s="655">
        <f t="shared" si="161"/>
        <v>0</v>
      </c>
      <c r="BW71" s="655">
        <f t="shared" si="161"/>
        <v>0</v>
      </c>
      <c r="BX71" s="712">
        <f>SUM(BT71:BW71)</f>
        <v>0</v>
      </c>
      <c r="BY71" s="655">
        <f t="shared" si="161"/>
        <v>0</v>
      </c>
      <c r="BZ71" s="655">
        <f t="shared" si="161"/>
        <v>0</v>
      </c>
      <c r="CA71" s="655">
        <f t="shared" si="161"/>
        <v>0</v>
      </c>
      <c r="CB71" s="655">
        <f t="shared" si="161"/>
        <v>0</v>
      </c>
      <c r="CC71" s="712">
        <f>SUM(BY71:CB71)</f>
        <v>0</v>
      </c>
      <c r="CD71" s="37">
        <f t="shared" ca="1" si="161"/>
        <v>0</v>
      </c>
      <c r="CE71" s="634">
        <f t="shared" ca="1" si="161"/>
        <v>0</v>
      </c>
      <c r="CF71" s="37">
        <f t="shared" ca="1" si="161"/>
        <v>0</v>
      </c>
      <c r="CG71" s="37">
        <f t="shared" ca="1" si="161"/>
        <v>0</v>
      </c>
      <c r="CH71" s="439">
        <f ca="1">SUM(CD71:CG71)</f>
        <v>0</v>
      </c>
      <c r="CI71" s="37">
        <f t="shared" si="161"/>
        <v>0.27687499999999998</v>
      </c>
      <c r="CJ71" s="37">
        <f t="shared" si="161"/>
        <v>0.29906250000000001</v>
      </c>
      <c r="CK71" s="37">
        <f t="shared" ca="1" si="161"/>
        <v>0.30562499999999998</v>
      </c>
      <c r="CL71" s="37">
        <f t="shared" ca="1" si="161"/>
        <v>0.30562499999999998</v>
      </c>
      <c r="CM71" s="439">
        <f ca="1">SUM(CI71:CL71)</f>
        <v>1.1871875000000001</v>
      </c>
      <c r="CN71" s="37">
        <f t="shared" ca="1" si="161"/>
        <v>0.30562499999999998</v>
      </c>
      <c r="CO71" s="37">
        <f t="shared" ca="1" si="161"/>
        <v>0.30562499999999998</v>
      </c>
      <c r="CP71" s="37">
        <f t="shared" ca="1" si="161"/>
        <v>0.30562499999999998</v>
      </c>
      <c r="CQ71" s="37">
        <f t="shared" ca="1" si="161"/>
        <v>0.30562499999999998</v>
      </c>
      <c r="CR71" s="439">
        <f ca="1">SUM(CN71:CQ71)</f>
        <v>1.2224999999999999</v>
      </c>
      <c r="CS71" s="37">
        <f t="shared" ca="1" si="161"/>
        <v>0.30562499999999998</v>
      </c>
      <c r="CT71" s="37">
        <f t="shared" ca="1" si="161"/>
        <v>0.30562499999999998</v>
      </c>
      <c r="CU71" s="37">
        <f t="shared" ca="1" si="161"/>
        <v>0.30562499999999998</v>
      </c>
      <c r="CV71" s="37">
        <f t="shared" ca="1" si="161"/>
        <v>0.30562499999999998</v>
      </c>
      <c r="CW71" s="439">
        <f ca="1">SUM(CS71:CV71)</f>
        <v>1.2224999999999999</v>
      </c>
      <c r="CX71" s="37">
        <f ca="1">(CX263/4)*(AVERAGE(CW237:CX237))</f>
        <v>0.30562499999999998</v>
      </c>
      <c r="CY71" s="37">
        <f ca="1">(CY263/4)*(AVERAGE(CX237:CY237))</f>
        <v>0.30562499999999998</v>
      </c>
      <c r="CZ71" s="37">
        <f ca="1">(CZ263/4)*(AVERAGE(CY237:CZ237))</f>
        <v>0.30562499999999998</v>
      </c>
      <c r="DA71" s="37">
        <f ca="1">(DA263/4)*(AVERAGE(CZ237:DA237))</f>
        <v>0.30562499999999998</v>
      </c>
      <c r="DB71" s="439">
        <f ca="1">SUM(CX71:DA71)</f>
        <v>1.2224999999999999</v>
      </c>
      <c r="DC71" s="37">
        <f ca="1">(DC263/4)*(AVERAGE(DB237:DC237))</f>
        <v>0.30562499999999998</v>
      </c>
      <c r="DD71" s="37">
        <f ca="1">(DD263/4)*(AVERAGE(DC237:DD237))</f>
        <v>0.30562499999999998</v>
      </c>
      <c r="DE71" s="37">
        <f ca="1">(DE263/4)*(AVERAGE(DD237:DE237))</f>
        <v>0.30562499999999998</v>
      </c>
      <c r="DF71" s="37">
        <f ca="1">(DF263/4)*(AVERAGE(DE237:DF237))</f>
        <v>0.30562499999999998</v>
      </c>
      <c r="DG71" s="439">
        <f ca="1">SUM(DC71:DF71)</f>
        <v>1.2224999999999999</v>
      </c>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row>
    <row r="72" spans="1:226" s="36" customFormat="1" ht="12" hidden="1" customHeight="1" outlineLevel="1" x14ac:dyDescent="0.2">
      <c r="A72" s="36" t="s">
        <v>330</v>
      </c>
      <c r="B72" s="655"/>
      <c r="C72" s="655"/>
      <c r="D72" s="655"/>
      <c r="E72" s="655"/>
      <c r="F72" s="731"/>
      <c r="G72" s="655"/>
      <c r="H72" s="655"/>
      <c r="I72" s="655"/>
      <c r="J72" s="655"/>
      <c r="K72" s="731"/>
      <c r="L72" s="655"/>
      <c r="M72" s="655"/>
      <c r="N72" s="655"/>
      <c r="O72" s="655"/>
      <c r="P72" s="731"/>
      <c r="Q72" s="655"/>
      <c r="R72" s="655"/>
      <c r="S72" s="655"/>
      <c r="T72" s="655"/>
      <c r="U72" s="731"/>
      <c r="V72" s="655"/>
      <c r="W72" s="655"/>
      <c r="X72" s="655"/>
      <c r="Y72" s="655"/>
      <c r="Z72" s="731"/>
      <c r="AA72" s="655"/>
      <c r="AB72" s="655"/>
      <c r="AC72" s="655"/>
      <c r="AD72" s="655"/>
      <c r="AE72" s="731"/>
      <c r="AF72" s="655"/>
      <c r="AG72" s="655"/>
      <c r="AH72" s="655"/>
      <c r="AI72" s="655"/>
      <c r="AJ72" s="731">
        <f>AJ66-SUM(AJ67:AJ71)</f>
        <v>-11</v>
      </c>
      <c r="AK72" s="655"/>
      <c r="AL72" s="655"/>
      <c r="AM72" s="655"/>
      <c r="AN72" s="655"/>
      <c r="AO72" s="731">
        <f>AO66-SUM(AO67:AO71)</f>
        <v>5</v>
      </c>
      <c r="AP72" s="655"/>
      <c r="AQ72" s="655"/>
      <c r="AR72" s="655"/>
      <c r="AS72" s="655"/>
      <c r="AT72" s="731">
        <f>AT66-SUM(AT67:AT71)</f>
        <v>0</v>
      </c>
      <c r="AU72" s="655"/>
      <c r="AV72" s="655"/>
      <c r="AW72" s="733"/>
      <c r="AX72" s="733">
        <v>0</v>
      </c>
      <c r="AY72" s="726"/>
      <c r="AZ72" s="734"/>
      <c r="BA72" s="734"/>
      <c r="BB72" s="734"/>
      <c r="BC72" s="677"/>
      <c r="BD72" s="725"/>
      <c r="BE72" s="734"/>
      <c r="BF72" s="734">
        <v>4</v>
      </c>
      <c r="BG72" s="734">
        <v>0</v>
      </c>
      <c r="BH72" s="677">
        <v>0</v>
      </c>
      <c r="BI72" s="735"/>
      <c r="BJ72" s="734">
        <f>BN72/4</f>
        <v>0</v>
      </c>
      <c r="BK72" s="734">
        <f>BN72/4</f>
        <v>0</v>
      </c>
      <c r="BL72" s="734">
        <f>BN72/4</f>
        <v>0</v>
      </c>
      <c r="BM72" s="677">
        <v>0</v>
      </c>
      <c r="BN72" s="735"/>
      <c r="BO72" s="734">
        <f>BS72/4</f>
        <v>0</v>
      </c>
      <c r="BP72" s="734">
        <f>BS72/4</f>
        <v>0</v>
      </c>
      <c r="BQ72" s="734">
        <f>BS72/4</f>
        <v>0</v>
      </c>
      <c r="BR72" s="734">
        <f>BS72/4</f>
        <v>0</v>
      </c>
      <c r="BS72" s="725">
        <v>0</v>
      </c>
      <c r="BT72" s="736">
        <f>BX72/4</f>
        <v>0</v>
      </c>
      <c r="BU72" s="734">
        <f>BX72/4</f>
        <v>0</v>
      </c>
      <c r="BV72" s="734">
        <f>BX72/4</f>
        <v>0</v>
      </c>
      <c r="BW72" s="677">
        <f>BX72/4</f>
        <v>0</v>
      </c>
      <c r="BX72" s="725">
        <v>0</v>
      </c>
      <c r="BY72" s="734">
        <f>CC72/4</f>
        <v>0</v>
      </c>
      <c r="BZ72" s="734">
        <f>CC72/4</f>
        <v>0</v>
      </c>
      <c r="CA72" s="734">
        <f>CC72/4</f>
        <v>0</v>
      </c>
      <c r="CB72" s="677">
        <f>CC72/4</f>
        <v>0</v>
      </c>
      <c r="CC72" s="725">
        <v>0</v>
      </c>
      <c r="CD72" s="137">
        <f>CH72/4</f>
        <v>0</v>
      </c>
      <c r="CE72" s="792">
        <f>CH72/4</f>
        <v>0</v>
      </c>
      <c r="CF72" s="137">
        <f>CH72/4</f>
        <v>0</v>
      </c>
      <c r="CG72" s="58">
        <f>CH72/4</f>
        <v>0</v>
      </c>
      <c r="CH72" s="509">
        <v>0</v>
      </c>
      <c r="CI72" s="137">
        <f>CM72/4</f>
        <v>0</v>
      </c>
      <c r="CJ72" s="137">
        <f>CM72/4</f>
        <v>0</v>
      </c>
      <c r="CK72" s="137">
        <f>CM72/4</f>
        <v>0</v>
      </c>
      <c r="CL72" s="58">
        <f>CM72/4</f>
        <v>0</v>
      </c>
      <c r="CM72" s="509">
        <v>0</v>
      </c>
      <c r="CN72" s="137">
        <f>CR72/4</f>
        <v>0</v>
      </c>
      <c r="CO72" s="137">
        <f>CR72/4</f>
        <v>0</v>
      </c>
      <c r="CP72" s="137">
        <f>CR72/4</f>
        <v>0</v>
      </c>
      <c r="CQ72" s="58">
        <f>CR72/4</f>
        <v>0</v>
      </c>
      <c r="CR72" s="509">
        <v>0</v>
      </c>
      <c r="CS72" s="137">
        <f>CW72/4</f>
        <v>0</v>
      </c>
      <c r="CT72" s="137">
        <f>CW72/4</f>
        <v>0</v>
      </c>
      <c r="CU72" s="137">
        <f>CW72/4</f>
        <v>0</v>
      </c>
      <c r="CV72" s="58">
        <f>CW72/4</f>
        <v>0</v>
      </c>
      <c r="CW72" s="509">
        <v>0</v>
      </c>
      <c r="CX72" s="137">
        <f>DB72/4</f>
        <v>0</v>
      </c>
      <c r="CY72" s="137">
        <f>DB72/4</f>
        <v>0</v>
      </c>
      <c r="CZ72" s="137">
        <f>DB72/4</f>
        <v>0</v>
      </c>
      <c r="DA72" s="58">
        <f>DB72/4</f>
        <v>0</v>
      </c>
      <c r="DB72" s="509">
        <v>0</v>
      </c>
      <c r="DC72" s="137">
        <f>DG72/4</f>
        <v>0</v>
      </c>
      <c r="DD72" s="137">
        <f>DG72/4</f>
        <v>0</v>
      </c>
      <c r="DE72" s="137">
        <f>DG72/4</f>
        <v>0</v>
      </c>
      <c r="DF72" s="58">
        <f>DG72/4</f>
        <v>0</v>
      </c>
      <c r="DG72" s="509">
        <v>0</v>
      </c>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row>
    <row r="73" spans="1:226" s="78" customFormat="1" ht="13.5" customHeight="1" collapsed="1" x14ac:dyDescent="0.2">
      <c r="F73" s="434"/>
      <c r="K73" s="434"/>
      <c r="P73" s="434"/>
      <c r="U73" s="434"/>
      <c r="Z73" s="434"/>
      <c r="AE73" s="434"/>
      <c r="AJ73" s="434"/>
      <c r="AO73" s="434"/>
      <c r="AT73" s="434"/>
      <c r="AY73" s="737"/>
      <c r="BD73" s="737"/>
      <c r="BI73" s="434"/>
      <c r="BJ73" s="173"/>
      <c r="BK73" s="173"/>
      <c r="BL73" s="173"/>
      <c r="BN73" s="434"/>
      <c r="BO73" s="173"/>
      <c r="BP73" s="173"/>
      <c r="BQ73" s="173"/>
      <c r="BR73" s="173"/>
      <c r="BS73" s="434"/>
      <c r="BT73" s="738"/>
      <c r="BW73" s="760"/>
      <c r="BX73" s="434"/>
      <c r="CC73" s="434"/>
      <c r="CE73" s="738"/>
      <c r="CH73" s="434"/>
      <c r="CM73" s="434"/>
      <c r="CR73" s="434"/>
      <c r="CW73" s="434"/>
      <c r="DB73" s="434"/>
      <c r="DG73" s="434"/>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row>
    <row r="74" spans="1:226" s="45" customFormat="1" ht="12" customHeight="1" x14ac:dyDescent="0.2">
      <c r="A74" s="35" t="s">
        <v>133</v>
      </c>
      <c r="B74" s="44">
        <f t="shared" ref="B74:W74" si="162">B50+B65+B66</f>
        <v>152</v>
      </c>
      <c r="C74" s="44">
        <f t="shared" si="162"/>
        <v>110</v>
      </c>
      <c r="D74" s="44">
        <f t="shared" si="162"/>
        <v>149</v>
      </c>
      <c r="E74" s="44">
        <f t="shared" si="162"/>
        <v>166</v>
      </c>
      <c r="F74" s="435">
        <f t="shared" si="162"/>
        <v>577</v>
      </c>
      <c r="G74" s="44">
        <f t="shared" si="162"/>
        <v>156</v>
      </c>
      <c r="H74" s="44">
        <f t="shared" si="162"/>
        <v>75</v>
      </c>
      <c r="I74" s="44">
        <f t="shared" si="162"/>
        <v>99</v>
      </c>
      <c r="J74" s="44">
        <f t="shared" si="162"/>
        <v>230</v>
      </c>
      <c r="K74" s="435">
        <f t="shared" si="162"/>
        <v>560</v>
      </c>
      <c r="L74" s="44">
        <f t="shared" si="162"/>
        <v>244</v>
      </c>
      <c r="M74" s="44">
        <f t="shared" si="162"/>
        <v>142</v>
      </c>
      <c r="N74" s="44">
        <f t="shared" si="162"/>
        <v>173</v>
      </c>
      <c r="O74" s="44">
        <f t="shared" si="162"/>
        <v>242</v>
      </c>
      <c r="P74" s="435">
        <f t="shared" si="162"/>
        <v>801</v>
      </c>
      <c r="Q74" s="44">
        <f t="shared" si="162"/>
        <v>178</v>
      </c>
      <c r="R74" s="44">
        <f t="shared" si="162"/>
        <v>154</v>
      </c>
      <c r="S74" s="44">
        <f t="shared" si="162"/>
        <v>176</v>
      </c>
      <c r="T74" s="44">
        <f t="shared" si="162"/>
        <v>244</v>
      </c>
      <c r="U74" s="435">
        <f t="shared" si="162"/>
        <v>752</v>
      </c>
      <c r="V74" s="44">
        <f t="shared" si="162"/>
        <v>167</v>
      </c>
      <c r="W74" s="44">
        <f t="shared" si="162"/>
        <v>194</v>
      </c>
      <c r="X74" s="44">
        <f t="shared" ref="X74:AS74" si="163">X50+X65+X66</f>
        <v>137</v>
      </c>
      <c r="Y74" s="44">
        <f t="shared" si="163"/>
        <v>231</v>
      </c>
      <c r="Z74" s="435">
        <f t="shared" si="163"/>
        <v>729</v>
      </c>
      <c r="AA74" s="44">
        <f t="shared" si="163"/>
        <v>154</v>
      </c>
      <c r="AB74" s="44">
        <f t="shared" si="163"/>
        <v>120</v>
      </c>
      <c r="AC74" s="44">
        <f t="shared" si="163"/>
        <v>168</v>
      </c>
      <c r="AD74" s="44">
        <f t="shared" si="163"/>
        <v>211</v>
      </c>
      <c r="AE74" s="435">
        <f t="shared" si="163"/>
        <v>653</v>
      </c>
      <c r="AF74" s="44">
        <f t="shared" si="163"/>
        <v>175</v>
      </c>
      <c r="AG74" s="44">
        <f t="shared" si="163"/>
        <v>136</v>
      </c>
      <c r="AH74" s="44">
        <f t="shared" si="163"/>
        <v>193</v>
      </c>
      <c r="AI74" s="44">
        <f t="shared" si="163"/>
        <v>239</v>
      </c>
      <c r="AJ74" s="435">
        <f t="shared" si="163"/>
        <v>743</v>
      </c>
      <c r="AK74" s="44">
        <f t="shared" si="163"/>
        <v>174</v>
      </c>
      <c r="AL74" s="44">
        <f t="shared" si="163"/>
        <v>128</v>
      </c>
      <c r="AM74" s="44">
        <f t="shared" si="163"/>
        <v>151</v>
      </c>
      <c r="AN74" s="44">
        <f t="shared" si="163"/>
        <v>240</v>
      </c>
      <c r="AO74" s="435">
        <f t="shared" si="163"/>
        <v>693</v>
      </c>
      <c r="AP74" s="44">
        <f t="shared" si="163"/>
        <v>186</v>
      </c>
      <c r="AQ74" s="44">
        <f t="shared" si="163"/>
        <v>131</v>
      </c>
      <c r="AR74" s="44">
        <f t="shared" si="163"/>
        <v>233</v>
      </c>
      <c r="AS74" s="44">
        <f t="shared" si="163"/>
        <v>261</v>
      </c>
      <c r="AT74" s="435">
        <f>SUM(AP74:AS74)</f>
        <v>811</v>
      </c>
      <c r="AU74" s="44">
        <f t="shared" ref="AU74:BB74" si="164">AU50+AU65+AU66</f>
        <v>217</v>
      </c>
      <c r="AV74" s="44">
        <f t="shared" si="164"/>
        <v>137</v>
      </c>
      <c r="AW74" s="44">
        <f t="shared" si="164"/>
        <v>209</v>
      </c>
      <c r="AX74" s="44">
        <f t="shared" si="164"/>
        <v>242</v>
      </c>
      <c r="AY74" s="435">
        <f t="shared" si="164"/>
        <v>805</v>
      </c>
      <c r="AZ74" s="44">
        <f t="shared" si="164"/>
        <v>202</v>
      </c>
      <c r="BA74" s="44">
        <f t="shared" si="164"/>
        <v>146</v>
      </c>
      <c r="BB74" s="44">
        <f t="shared" si="164"/>
        <v>219</v>
      </c>
      <c r="BC74" s="44">
        <f t="shared" ref="BC74:BH74" si="165">BC50+BC65+BC66</f>
        <v>254</v>
      </c>
      <c r="BD74" s="435">
        <f t="shared" si="165"/>
        <v>821</v>
      </c>
      <c r="BE74" s="44">
        <f t="shared" si="165"/>
        <v>187</v>
      </c>
      <c r="BF74" s="44">
        <f t="shared" si="165"/>
        <v>155</v>
      </c>
      <c r="BG74" s="44">
        <f t="shared" si="165"/>
        <v>198</v>
      </c>
      <c r="BH74" s="44">
        <f t="shared" si="165"/>
        <v>251</v>
      </c>
      <c r="BI74" s="435">
        <f t="shared" ref="BI74:BR74" si="166">BI50+BI65+BI66</f>
        <v>791</v>
      </c>
      <c r="BJ74" s="44">
        <f t="shared" si="166"/>
        <v>194</v>
      </c>
      <c r="BK74" s="44">
        <f t="shared" si="166"/>
        <v>188</v>
      </c>
      <c r="BL74" s="44">
        <f t="shared" si="166"/>
        <v>202</v>
      </c>
      <c r="BM74" s="44">
        <f t="shared" si="166"/>
        <v>269</v>
      </c>
      <c r="BN74" s="435">
        <f t="shared" si="166"/>
        <v>853</v>
      </c>
      <c r="BO74" s="44">
        <f>BO50+BO65+BO66</f>
        <v>211</v>
      </c>
      <c r="BP74" s="44">
        <f>BP50+BP65+BP66</f>
        <v>184</v>
      </c>
      <c r="BQ74" s="44">
        <f>BQ50+BQ65+BQ66</f>
        <v>226</v>
      </c>
      <c r="BR74" s="44">
        <f t="shared" si="166"/>
        <v>263</v>
      </c>
      <c r="BS74" s="435">
        <f t="shared" ref="BS74:BX74" si="167">BS50+BS65+BS66</f>
        <v>884</v>
      </c>
      <c r="BT74" s="739">
        <f t="shared" si="167"/>
        <v>218</v>
      </c>
      <c r="BU74" s="44">
        <f t="shared" si="167"/>
        <v>197</v>
      </c>
      <c r="BV74" s="44">
        <f t="shared" si="167"/>
        <v>217</v>
      </c>
      <c r="BW74" s="44">
        <f t="shared" si="167"/>
        <v>289</v>
      </c>
      <c r="BX74" s="435">
        <f t="shared" si="167"/>
        <v>921</v>
      </c>
      <c r="BY74" s="44">
        <f>BY50+BY65+BY66</f>
        <v>264</v>
      </c>
      <c r="BZ74" s="44">
        <f>BZ50+BZ65+BZ66</f>
        <v>230</v>
      </c>
      <c r="CA74" s="44">
        <f>CA50+CA65+CA66</f>
        <v>237</v>
      </c>
      <c r="CB74" s="44">
        <f>CB50+CB65+CB66</f>
        <v>252</v>
      </c>
      <c r="CC74" s="435">
        <f>SUM(BY74:CB74)</f>
        <v>983</v>
      </c>
      <c r="CD74" s="44">
        <f>CD50+CD65+CD66</f>
        <v>264.39999999999998</v>
      </c>
      <c r="CE74" s="739">
        <f>CE50+CE65+CE66</f>
        <v>226.5</v>
      </c>
      <c r="CF74" s="44">
        <f>CF50+CF65+CF66</f>
        <v>247.5</v>
      </c>
      <c r="CG74" s="44">
        <f>CG50+CG65+CG66</f>
        <v>295.39999999999998</v>
      </c>
      <c r="CH74" s="435">
        <f>SUM(CD74:CG74)</f>
        <v>1033.8</v>
      </c>
      <c r="CI74" s="44">
        <f>CI50+CI65+CI66</f>
        <v>279</v>
      </c>
      <c r="CJ74" s="44">
        <f>CJ50+CJ65+CJ66</f>
        <v>227</v>
      </c>
      <c r="CK74" s="44">
        <f ca="1">CK50+CK65+CK66</f>
        <v>240.24382265196354</v>
      </c>
      <c r="CL74" s="44">
        <f ca="1">CL50+CL65+CL66</f>
        <v>300.1684074581301</v>
      </c>
      <c r="CM74" s="435">
        <f ca="1">SUM(CI74:CL74)</f>
        <v>1046.4122301100938</v>
      </c>
      <c r="CN74" s="44">
        <f ca="1">CN50+CN65+CN66</f>
        <v>286.91900110209195</v>
      </c>
      <c r="CO74" s="44">
        <f ca="1">CO50+CO65+CO66</f>
        <v>232.54228713963991</v>
      </c>
      <c r="CP74" s="44">
        <f ca="1">CP50+CP65+CP66</f>
        <v>254.27500970983564</v>
      </c>
      <c r="CQ74" s="44">
        <f ca="1">CQ50+CQ65+CQ66</f>
        <v>302.04473292052717</v>
      </c>
      <c r="CR74" s="435">
        <f ca="1">SUM(CN74:CQ74)</f>
        <v>1075.7810308720946</v>
      </c>
      <c r="CS74" s="44">
        <f ca="1">CS50+CS65+CS66</f>
        <v>304.59923008878542</v>
      </c>
      <c r="CT74" s="44">
        <f ca="1">CT50+CT65+CT66</f>
        <v>239.79868419306172</v>
      </c>
      <c r="CU74" s="44">
        <f ca="1">CU50+CU65+CU66</f>
        <v>268.38791298354948</v>
      </c>
      <c r="CV74" s="44">
        <f ca="1">CV50+CV65+CV66</f>
        <v>318.31999770025249</v>
      </c>
      <c r="CW74" s="435">
        <f ca="1">SUM(CS74:CV74)</f>
        <v>1131.1058249656492</v>
      </c>
      <c r="CX74" s="44">
        <f ca="1">CX50+CX65+CX66</f>
        <v>314.50104031318028</v>
      </c>
      <c r="CY74" s="44">
        <f ca="1">CY50+CY65+CY66</f>
        <v>248.26769160192657</v>
      </c>
      <c r="CZ74" s="44">
        <f ca="1">CZ50+CZ65+CZ66</f>
        <v>277.04665642986947</v>
      </c>
      <c r="DA74" s="44">
        <f ca="1">DA50+DA65+DA66</f>
        <v>327.77431293034044</v>
      </c>
      <c r="DB74" s="435">
        <f ca="1">SUM(CX74:DA74)</f>
        <v>1167.5897012753167</v>
      </c>
      <c r="DC74" s="44">
        <f ca="1">DC50+DC65+DC66</f>
        <v>324.00101914072576</v>
      </c>
      <c r="DD74" s="44">
        <f ca="1">DD50+DD65+DD66</f>
        <v>256.38973770380022</v>
      </c>
      <c r="DE74" s="44">
        <f ca="1">DE50+DE65+DE66</f>
        <v>285.29984243613171</v>
      </c>
      <c r="DF74" s="44">
        <f ca="1">DF50+DF65+DF66</f>
        <v>336.76085338887481</v>
      </c>
      <c r="DG74" s="435">
        <f ca="1">SUM(DC74:DF74)</f>
        <v>1202.4514526695325</v>
      </c>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row>
    <row r="75" spans="1:226" s="35" customFormat="1" ht="12.75" customHeight="1" x14ac:dyDescent="0.2">
      <c r="A75" s="36" t="s">
        <v>23</v>
      </c>
      <c r="B75" s="570">
        <f t="shared" ref="B75:AT75" si="168">B74/B7</f>
        <v>0.15784008307372793</v>
      </c>
      <c r="C75" s="570">
        <f t="shared" si="168"/>
        <v>0.12557077625570776</v>
      </c>
      <c r="D75" s="570">
        <f t="shared" si="168"/>
        <v>0.15488565488565489</v>
      </c>
      <c r="E75" s="570">
        <f t="shared" si="168"/>
        <v>0.15063520871143377</v>
      </c>
      <c r="F75" s="568">
        <f t="shared" si="168"/>
        <v>0.14783499871893416</v>
      </c>
      <c r="G75" s="570">
        <f t="shared" si="168"/>
        <v>0.15853658536585366</v>
      </c>
      <c r="H75" s="570">
        <f t="shared" si="168"/>
        <v>8.4554678692220969E-2</v>
      </c>
      <c r="I75" s="570">
        <f t="shared" si="168"/>
        <v>9.6774193548387094E-2</v>
      </c>
      <c r="J75" s="570">
        <f t="shared" si="168"/>
        <v>0.20390070921985815</v>
      </c>
      <c r="K75" s="568">
        <f t="shared" si="168"/>
        <v>0.139234211834908</v>
      </c>
      <c r="L75" s="570">
        <f t="shared" si="168"/>
        <v>0.23304680038204392</v>
      </c>
      <c r="M75" s="570">
        <f t="shared" si="168"/>
        <v>0.15334773218142547</v>
      </c>
      <c r="N75" s="570">
        <f t="shared" si="168"/>
        <v>0.16977428851815504</v>
      </c>
      <c r="O75" s="570">
        <f t="shared" si="168"/>
        <v>0.21006944444444445</v>
      </c>
      <c r="P75" s="568">
        <f t="shared" si="168"/>
        <v>0.19329150579150578</v>
      </c>
      <c r="Q75" s="570">
        <f t="shared" si="168"/>
        <v>0.17693836978131214</v>
      </c>
      <c r="R75" s="570">
        <f t="shared" si="168"/>
        <v>0.16739130434782609</v>
      </c>
      <c r="S75" s="570">
        <f t="shared" si="168"/>
        <v>0.16745956232159848</v>
      </c>
      <c r="T75" s="570">
        <f t="shared" si="168"/>
        <v>0.2059071729957806</v>
      </c>
      <c r="U75" s="568">
        <f t="shared" si="168"/>
        <v>0.18068236424795772</v>
      </c>
      <c r="V75" s="570">
        <f t="shared" si="168"/>
        <v>0.15935114503816794</v>
      </c>
      <c r="W75" s="570">
        <f t="shared" si="168"/>
        <v>0.19400000000000001</v>
      </c>
      <c r="X75" s="570">
        <f t="shared" si="168"/>
        <v>0.12615101289134439</v>
      </c>
      <c r="Y75" s="570">
        <f t="shared" si="168"/>
        <v>0.18421052631578946</v>
      </c>
      <c r="Z75" s="568">
        <f t="shared" si="168"/>
        <v>0.16613491340018233</v>
      </c>
      <c r="AA75" s="570">
        <f t="shared" si="168"/>
        <v>0.13949275362318841</v>
      </c>
      <c r="AB75" s="570">
        <f t="shared" si="168"/>
        <v>0.11278195488721804</v>
      </c>
      <c r="AC75" s="570">
        <f t="shared" si="168"/>
        <v>0.14520311149524634</v>
      </c>
      <c r="AD75" s="570">
        <f t="shared" si="168"/>
        <v>0.15996967399545109</v>
      </c>
      <c r="AE75" s="568">
        <f t="shared" si="168"/>
        <v>0.14061154177433247</v>
      </c>
      <c r="AF75" s="570">
        <f t="shared" si="168"/>
        <v>0.15073212747631351</v>
      </c>
      <c r="AG75" s="570">
        <f t="shared" si="168"/>
        <v>0.12352406902815623</v>
      </c>
      <c r="AH75" s="570">
        <f t="shared" si="168"/>
        <v>0.15551974214343273</v>
      </c>
      <c r="AI75" s="570">
        <f t="shared" si="168"/>
        <v>0.17782738095238096</v>
      </c>
      <c r="AJ75" s="568">
        <f t="shared" si="168"/>
        <v>0.1532906952754281</v>
      </c>
      <c r="AK75" s="570">
        <f t="shared" si="168"/>
        <v>0.14043583535108958</v>
      </c>
      <c r="AL75" s="570">
        <f t="shared" si="168"/>
        <v>0.10792580101180438</v>
      </c>
      <c r="AM75" s="570">
        <f t="shared" si="168"/>
        <v>0.11160384331116038</v>
      </c>
      <c r="AN75" s="570">
        <f t="shared" si="168"/>
        <v>0.16053511705685619</v>
      </c>
      <c r="AO75" s="568">
        <f t="shared" si="168"/>
        <v>0.13142423667741324</v>
      </c>
      <c r="AP75" s="570">
        <f t="shared" si="168"/>
        <v>0.13439306358381503</v>
      </c>
      <c r="AQ75" s="570">
        <f t="shared" si="168"/>
        <v>0.10773026315789473</v>
      </c>
      <c r="AR75" s="570">
        <f t="shared" si="168"/>
        <v>0.1725925925925926</v>
      </c>
      <c r="AS75" s="570">
        <f t="shared" si="168"/>
        <v>0.17399999999999999</v>
      </c>
      <c r="AT75" s="568">
        <f t="shared" si="168"/>
        <v>0.14880733944954128</v>
      </c>
      <c r="AU75" s="570">
        <f t="shared" ref="AU75:BW75" si="169">AU74/AU7</f>
        <v>0.16653875671527243</v>
      </c>
      <c r="AV75" s="570">
        <f t="shared" si="169"/>
        <v>0.11275720164609053</v>
      </c>
      <c r="AW75" s="570">
        <f t="shared" si="169"/>
        <v>0.1623931623931624</v>
      </c>
      <c r="AX75" s="570">
        <f t="shared" si="169"/>
        <v>0.16934919524142758</v>
      </c>
      <c r="AY75" s="568">
        <f t="shared" si="169"/>
        <v>0.15380206343141001</v>
      </c>
      <c r="AZ75" s="570">
        <f t="shared" si="169"/>
        <v>0.15955766192733017</v>
      </c>
      <c r="BA75" s="570">
        <f t="shared" si="169"/>
        <v>0.12383375742154368</v>
      </c>
      <c r="BB75" s="570">
        <f t="shared" si="169"/>
        <v>0.16794478527607362</v>
      </c>
      <c r="BC75" s="570">
        <f t="shared" si="169"/>
        <v>0.17139001349527666</v>
      </c>
      <c r="BD75" s="568">
        <f t="shared" si="169"/>
        <v>0.15694895813419996</v>
      </c>
      <c r="BE75" s="570">
        <f t="shared" si="169"/>
        <v>0.14329501915708812</v>
      </c>
      <c r="BF75" s="570">
        <f t="shared" si="169"/>
        <v>0.12694512694512694</v>
      </c>
      <c r="BG75" s="570">
        <f t="shared" si="169"/>
        <v>0.14132762312633834</v>
      </c>
      <c r="BH75" s="570">
        <f t="shared" si="169"/>
        <v>0.16288124594419209</v>
      </c>
      <c r="BI75" s="568">
        <f t="shared" si="169"/>
        <v>0.14465983906364302</v>
      </c>
      <c r="BJ75" s="570">
        <f t="shared" si="169"/>
        <v>0.14499252615844543</v>
      </c>
      <c r="BK75" s="570">
        <f t="shared" si="169"/>
        <v>0.1418867924528302</v>
      </c>
      <c r="BL75" s="570">
        <f t="shared" si="169"/>
        <v>0.14295824486907288</v>
      </c>
      <c r="BM75" s="570">
        <f t="shared" si="169"/>
        <v>0.17388493859082094</v>
      </c>
      <c r="BN75" s="568">
        <f t="shared" si="169"/>
        <v>0.15169838164680777</v>
      </c>
      <c r="BO75" s="570">
        <f>BO74/BO7</f>
        <v>0.15711094564408043</v>
      </c>
      <c r="BP75" s="570">
        <f t="shared" si="169"/>
        <v>0.14067278287461774</v>
      </c>
      <c r="BQ75" s="570">
        <f t="shared" si="169"/>
        <v>0.16544655929721816</v>
      </c>
      <c r="BR75" s="570">
        <f t="shared" si="169"/>
        <v>0.17568470273881096</v>
      </c>
      <c r="BS75" s="568">
        <f>BS74/BS7</f>
        <v>0.16031918752266958</v>
      </c>
      <c r="BT75" s="671">
        <f>BT74/BT7</f>
        <v>0.16124260355029585</v>
      </c>
      <c r="BU75" s="570">
        <f t="shared" si="169"/>
        <v>0.14646840148698884</v>
      </c>
      <c r="BV75" s="570">
        <f t="shared" si="169"/>
        <v>0.15488936473947182</v>
      </c>
      <c r="BW75" s="570">
        <f t="shared" si="169"/>
        <v>0.18561335902376364</v>
      </c>
      <c r="BX75" s="568">
        <f t="shared" ref="BX75:CC75" si="170">BX74/BX7</f>
        <v>0.16286472148541115</v>
      </c>
      <c r="BY75" s="570">
        <f t="shared" si="170"/>
        <v>0.18992805755395684</v>
      </c>
      <c r="BZ75" s="570">
        <f t="shared" si="170"/>
        <v>0.17100371747211895</v>
      </c>
      <c r="CA75" s="570">
        <f t="shared" si="170"/>
        <v>0.1661991584852735</v>
      </c>
      <c r="CB75" s="570">
        <f>CB74/CB7</f>
        <v>0.1575</v>
      </c>
      <c r="CC75" s="568">
        <f t="shared" si="170"/>
        <v>0.17063009894115605</v>
      </c>
      <c r="CD75" s="47">
        <f t="shared" ref="CD75:CW75" si="171">CD74/CD7</f>
        <v>0.1832293832293832</v>
      </c>
      <c r="CE75" s="610">
        <f>CE74/CE7</f>
        <v>0.16109530583214793</v>
      </c>
      <c r="CF75" s="47">
        <f t="shared" si="171"/>
        <v>0.16756939742721733</v>
      </c>
      <c r="CG75" s="47">
        <f t="shared" si="171"/>
        <v>0.17935640558591376</v>
      </c>
      <c r="CH75" s="185">
        <f t="shared" si="171"/>
        <v>0.17307885484681065</v>
      </c>
      <c r="CI75" s="47">
        <f t="shared" si="171"/>
        <v>0.186</v>
      </c>
      <c r="CJ75" s="47">
        <f t="shared" si="171"/>
        <v>0.16031073446327684</v>
      </c>
      <c r="CK75" s="47">
        <f t="shared" ca="1" si="171"/>
        <v>0.15876381756739338</v>
      </c>
      <c r="CL75" s="47">
        <f t="shared" ca="1" si="171"/>
        <v>0.17356776564381093</v>
      </c>
      <c r="CM75" s="185">
        <f t="shared" ca="1" si="171"/>
        <v>0.16991026203678003</v>
      </c>
      <c r="CN75" s="47">
        <f t="shared" ca="1" si="171"/>
        <v>0.18120024409632401</v>
      </c>
      <c r="CO75" s="47">
        <f t="shared" ca="1" si="171"/>
        <v>0.15364761134145719</v>
      </c>
      <c r="CP75" s="47">
        <f t="shared" ca="1" si="171"/>
        <v>0.15715599584871984</v>
      </c>
      <c r="CQ75" s="47">
        <f t="shared" ca="1" si="171"/>
        <v>0.16969273872487556</v>
      </c>
      <c r="CR75" s="185">
        <f t="shared" ca="1" si="171"/>
        <v>0.1656361776950013</v>
      </c>
      <c r="CS75" s="47">
        <f t="shared" ca="1" si="171"/>
        <v>0.18794967599428819</v>
      </c>
      <c r="CT75" s="47">
        <f t="shared" ca="1" si="171"/>
        <v>0.15472383554201607</v>
      </c>
      <c r="CU75" s="47">
        <f t="shared" ca="1" si="171"/>
        <v>0.16206568855196593</v>
      </c>
      <c r="CV75" s="47">
        <f t="shared" ca="1" si="171"/>
        <v>0.17484321489536003</v>
      </c>
      <c r="CW75" s="185">
        <f t="shared" ca="1" si="171"/>
        <v>0.17016431874537175</v>
      </c>
      <c r="CX75" s="47">
        <f t="shared" ref="CX75:DG75" ca="1" si="172">CX74/CX7</f>
        <v>0.18958519686041925</v>
      </c>
      <c r="CY75" s="47">
        <f t="shared" ca="1" si="172"/>
        <v>0.15641207372287319</v>
      </c>
      <c r="CZ75" s="47">
        <f t="shared" ca="1" si="172"/>
        <v>0.1634316755116729</v>
      </c>
      <c r="DA75" s="47">
        <f t="shared" ca="1" si="172"/>
        <v>0.17599820663318225</v>
      </c>
      <c r="DB75" s="185">
        <f t="shared" ca="1" si="172"/>
        <v>0.17161065165383371</v>
      </c>
      <c r="DC75" s="47">
        <f t="shared" ca="1" si="172"/>
        <v>0.19078926279345956</v>
      </c>
      <c r="DD75" s="47">
        <f t="shared" ca="1" si="172"/>
        <v>0.15770405144518543</v>
      </c>
      <c r="DE75" s="47">
        <f t="shared" ca="1" si="172"/>
        <v>0.1643969626523821</v>
      </c>
      <c r="DF75" s="47">
        <f t="shared" ca="1" si="172"/>
        <v>0.17674957167980054</v>
      </c>
      <c r="DG75" s="185">
        <f t="shared" ca="1" si="172"/>
        <v>0.17264914896373085</v>
      </c>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row>
    <row r="76" spans="1:226" s="36" customFormat="1" ht="12" customHeight="1" x14ac:dyDescent="0.2">
      <c r="A76" s="36" t="s">
        <v>32</v>
      </c>
      <c r="B76" s="36">
        <v>-52</v>
      </c>
      <c r="C76" s="36">
        <v>-37</v>
      </c>
      <c r="D76" s="36">
        <v>-40</v>
      </c>
      <c r="E76" s="36">
        <v>-59</v>
      </c>
      <c r="F76" s="712">
        <f>SUM(B76:E76)</f>
        <v>-188</v>
      </c>
      <c r="G76" s="36">
        <v>-45</v>
      </c>
      <c r="H76" s="36">
        <v>-33</v>
      </c>
      <c r="I76" s="36">
        <v>-49</v>
      </c>
      <c r="J76" s="36">
        <v>-76</v>
      </c>
      <c r="K76" s="712">
        <f>SUM(G76:J76)</f>
        <v>-203</v>
      </c>
      <c r="L76" s="36">
        <v>-86</v>
      </c>
      <c r="M76" s="36">
        <v>-55</v>
      </c>
      <c r="N76" s="36">
        <v>-61</v>
      </c>
      <c r="O76" s="36">
        <v>-85</v>
      </c>
      <c r="P76" s="712">
        <f>SUM(L76:O76)</f>
        <v>-287</v>
      </c>
      <c r="Q76" s="36">
        <v>-63</v>
      </c>
      <c r="R76" s="36">
        <v>-53</v>
      </c>
      <c r="S76" s="36">
        <v>-61</v>
      </c>
      <c r="T76" s="36">
        <v>-85</v>
      </c>
      <c r="U76" s="712">
        <f>SUM(Q76:T76)</f>
        <v>-262</v>
      </c>
      <c r="V76" s="36">
        <v>-58</v>
      </c>
      <c r="W76" s="36">
        <v>-58</v>
      </c>
      <c r="X76" s="36">
        <v>-21</v>
      </c>
      <c r="Y76" s="36">
        <v>-75</v>
      </c>
      <c r="Z76" s="712">
        <f>SUM(V76:Y76)</f>
        <v>-212</v>
      </c>
      <c r="AA76" s="36">
        <v>-46</v>
      </c>
      <c r="AB76" s="36">
        <v>-37</v>
      </c>
      <c r="AC76" s="36">
        <v>-58</v>
      </c>
      <c r="AD76" s="36">
        <v>-69</v>
      </c>
      <c r="AE76" s="712">
        <f>SUM(AA76:AD76)</f>
        <v>-210</v>
      </c>
      <c r="AF76" s="36">
        <v>-63</v>
      </c>
      <c r="AG76" s="36">
        <v>-45</v>
      </c>
      <c r="AH76" s="36">
        <v>-64</v>
      </c>
      <c r="AI76" s="36">
        <v>-75</v>
      </c>
      <c r="AJ76" s="712">
        <f>SUM(AF76:AI76)</f>
        <v>-247</v>
      </c>
      <c r="AK76" s="36">
        <v>-63</v>
      </c>
      <c r="AL76" s="36">
        <f>-36</f>
        <v>-36</v>
      </c>
      <c r="AM76" s="36">
        <v>-51</v>
      </c>
      <c r="AN76" s="36">
        <v>-82</v>
      </c>
      <c r="AO76" s="712">
        <f>SUM(AK76:AN76)</f>
        <v>-232</v>
      </c>
      <c r="AP76" s="36">
        <v>-58</v>
      </c>
      <c r="AQ76" s="36">
        <v>-45</v>
      </c>
      <c r="AR76" s="36">
        <v>-80</v>
      </c>
      <c r="AS76" s="36">
        <v>-91</v>
      </c>
      <c r="AT76" s="712">
        <f>SUM(AP76:AS76)</f>
        <v>-274</v>
      </c>
      <c r="AU76" s="36">
        <v>-77</v>
      </c>
      <c r="AV76" s="36">
        <v>-44</v>
      </c>
      <c r="AW76" s="36">
        <v>-66</v>
      </c>
      <c r="AX76" s="36">
        <v>-92</v>
      </c>
      <c r="AY76" s="712">
        <v>-279</v>
      </c>
      <c r="AZ76" s="36">
        <v>-62</v>
      </c>
      <c r="BA76" s="36">
        <f>-BA74*BA77</f>
        <v>-51.975999999999999</v>
      </c>
      <c r="BB76" s="36">
        <v>-78</v>
      </c>
      <c r="BC76" s="36">
        <f>-BC77*BC74</f>
        <v>-85</v>
      </c>
      <c r="BD76" s="712">
        <f>SUM(AZ76:BC76)</f>
        <v>-276.976</v>
      </c>
      <c r="BE76" s="655">
        <v>-57</v>
      </c>
      <c r="BF76" s="655">
        <f>-BF74*BF77</f>
        <v>-50</v>
      </c>
      <c r="BG76" s="655">
        <f>-BG74*BG77</f>
        <v>-64</v>
      </c>
      <c r="BH76" s="655">
        <f>-BH74*BH77</f>
        <v>-77</v>
      </c>
      <c r="BI76" s="712">
        <f>SUM(BE76:BH76)</f>
        <v>-248</v>
      </c>
      <c r="BJ76" s="36">
        <v>-61</v>
      </c>
      <c r="BK76" s="36">
        <v>-65</v>
      </c>
      <c r="BL76" s="36">
        <f>-68</f>
        <v>-68</v>
      </c>
      <c r="BM76" s="655">
        <f>-BM74*BM77</f>
        <v>-85</v>
      </c>
      <c r="BN76" s="712">
        <f>SUM(BJ76:BM76)</f>
        <v>-279</v>
      </c>
      <c r="BO76" s="36">
        <v>-72</v>
      </c>
      <c r="BP76" s="36">
        <v>-65.599999999999994</v>
      </c>
      <c r="BQ76" s="36">
        <v>-75.400000000000006</v>
      </c>
      <c r="BR76" s="36">
        <v>-92.2</v>
      </c>
      <c r="BS76" s="712">
        <f>SUM(BO76:BR76)</f>
        <v>-305.2</v>
      </c>
      <c r="BT76" s="728">
        <v>-73.099999999999994</v>
      </c>
      <c r="BU76" s="728">
        <v>-68.8</v>
      </c>
      <c r="BV76" s="728">
        <v>-72.8</v>
      </c>
      <c r="BW76" s="728">
        <v>-100</v>
      </c>
      <c r="BX76" s="712">
        <f>SUM(BT76:BW76)</f>
        <v>-314.7</v>
      </c>
      <c r="BY76" s="728">
        <v>-91</v>
      </c>
      <c r="BZ76" s="728">
        <v>-79.400000000000006</v>
      </c>
      <c r="CA76" s="728">
        <v>-78</v>
      </c>
      <c r="CB76" s="728">
        <v>-87</v>
      </c>
      <c r="CC76" s="712">
        <f>SUM(BY76:CB76)</f>
        <v>-335.4</v>
      </c>
      <c r="CD76" s="728">
        <v>-85</v>
      </c>
      <c r="CE76" s="728">
        <f>-77</f>
        <v>-77</v>
      </c>
      <c r="CF76" s="728">
        <v>-75</v>
      </c>
      <c r="CG76" s="728">
        <v>-93</v>
      </c>
      <c r="CH76" s="439">
        <f>SUM(CD76:CG76)</f>
        <v>-330</v>
      </c>
      <c r="CI76" s="728">
        <v>-87</v>
      </c>
      <c r="CJ76" s="728">
        <f>6</f>
        <v>6</v>
      </c>
      <c r="CK76" s="36">
        <f ca="1">-CK74*CK77</f>
        <v>-72.073146795589054</v>
      </c>
      <c r="CL76" s="36">
        <f ca="1">CM76-SUM(CI76:CK76)</f>
        <v>-92.310521165227925</v>
      </c>
      <c r="CM76" s="439">
        <f ca="1">-CM77*CM74</f>
        <v>-245.38366796081698</v>
      </c>
      <c r="CN76" s="36">
        <f ca="1">-CN74*CN77</f>
        <v>-71.729750275522989</v>
      </c>
      <c r="CO76" s="36">
        <f ca="1">-CO74*CO77</f>
        <v>-58.135571784909978</v>
      </c>
      <c r="CP76" s="36">
        <f ca="1">-CP74*CP77</f>
        <v>-63.568752427458911</v>
      </c>
      <c r="CQ76" s="36">
        <f ca="1">CR76-SUM(CN76:CP76)</f>
        <v>-75.511183230131763</v>
      </c>
      <c r="CR76" s="439">
        <f ca="1">-CR77*CR74</f>
        <v>-268.94525771802364</v>
      </c>
      <c r="CS76" s="36">
        <f ca="1">-CS74*CS77</f>
        <v>-76.149807522196355</v>
      </c>
      <c r="CT76" s="36">
        <f ca="1">-CT74*CT77</f>
        <v>-59.949671048265429</v>
      </c>
      <c r="CU76" s="36">
        <f ca="1">-CU74*CU77</f>
        <v>-67.096978245887371</v>
      </c>
      <c r="CV76" s="36">
        <f ca="1">CW76-SUM(CS76:CU76)</f>
        <v>-79.579999425063136</v>
      </c>
      <c r="CW76" s="439">
        <f ca="1">-CW77*CW74</f>
        <v>-282.77645624141229</v>
      </c>
      <c r="CX76" s="36">
        <f ca="1">-CX74*CX77</f>
        <v>-78.625260078295071</v>
      </c>
      <c r="CY76" s="36">
        <f ca="1">-CY74*CY77</f>
        <v>-62.066922900481643</v>
      </c>
      <c r="CZ76" s="36">
        <f ca="1">-CZ74*CZ77</f>
        <v>-69.261664107467368</v>
      </c>
      <c r="DA76" s="36">
        <f ca="1">DB76-SUM(CX76:CZ76)</f>
        <v>-81.943578232585082</v>
      </c>
      <c r="DB76" s="439">
        <f ca="1">-DB77*DB74</f>
        <v>-291.89742531882916</v>
      </c>
      <c r="DC76" s="36">
        <f ca="1">-DC74*DC77</f>
        <v>-81.00025478518144</v>
      </c>
      <c r="DD76" s="36">
        <f ca="1">-DD74*DD77</f>
        <v>-64.097434425950055</v>
      </c>
      <c r="DE76" s="36">
        <f ca="1">-DE74*DE77</f>
        <v>-71.324960609032928</v>
      </c>
      <c r="DF76" s="36">
        <f ca="1">DG76-SUM(DC76:DE76)</f>
        <v>-84.190213347218702</v>
      </c>
      <c r="DG76" s="439">
        <f ca="1">-DG77*DG74</f>
        <v>-300.61286316738313</v>
      </c>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row>
    <row r="77" spans="1:226" s="37" customFormat="1" ht="12" customHeight="1" x14ac:dyDescent="0.2">
      <c r="A77" s="655" t="s">
        <v>33</v>
      </c>
      <c r="B77" s="570">
        <f t="shared" ref="B77:W77" si="173">-B76/B74</f>
        <v>0.34210526315789475</v>
      </c>
      <c r="C77" s="570">
        <f t="shared" si="173"/>
        <v>0.33636363636363636</v>
      </c>
      <c r="D77" s="570">
        <f t="shared" si="173"/>
        <v>0.26845637583892618</v>
      </c>
      <c r="E77" s="570">
        <f t="shared" si="173"/>
        <v>0.35542168674698793</v>
      </c>
      <c r="F77" s="568">
        <f t="shared" si="173"/>
        <v>0.32582322357019067</v>
      </c>
      <c r="G77" s="570">
        <f t="shared" si="173"/>
        <v>0.28846153846153844</v>
      </c>
      <c r="H77" s="570">
        <f t="shared" si="173"/>
        <v>0.44</v>
      </c>
      <c r="I77" s="570">
        <f t="shared" si="173"/>
        <v>0.49494949494949497</v>
      </c>
      <c r="J77" s="570">
        <f t="shared" si="173"/>
        <v>0.33043478260869563</v>
      </c>
      <c r="K77" s="568">
        <f t="shared" si="173"/>
        <v>0.36249999999999999</v>
      </c>
      <c r="L77" s="570">
        <f t="shared" si="173"/>
        <v>0.35245901639344263</v>
      </c>
      <c r="M77" s="570">
        <f t="shared" si="173"/>
        <v>0.38732394366197181</v>
      </c>
      <c r="N77" s="570">
        <f t="shared" si="173"/>
        <v>0.35260115606936415</v>
      </c>
      <c r="O77" s="570">
        <f t="shared" si="173"/>
        <v>0.3512396694214876</v>
      </c>
      <c r="P77" s="568">
        <f t="shared" si="173"/>
        <v>0.35830212234706615</v>
      </c>
      <c r="Q77" s="570">
        <f t="shared" si="173"/>
        <v>0.3539325842696629</v>
      </c>
      <c r="R77" s="570">
        <f t="shared" si="173"/>
        <v>0.34415584415584416</v>
      </c>
      <c r="S77" s="570">
        <f t="shared" si="173"/>
        <v>0.34659090909090912</v>
      </c>
      <c r="T77" s="570">
        <f t="shared" si="173"/>
        <v>0.34836065573770492</v>
      </c>
      <c r="U77" s="568">
        <f t="shared" si="173"/>
        <v>0.34840425531914893</v>
      </c>
      <c r="V77" s="570">
        <f t="shared" si="173"/>
        <v>0.3473053892215569</v>
      </c>
      <c r="W77" s="570">
        <f t="shared" si="173"/>
        <v>0.29896907216494845</v>
      </c>
      <c r="X77" s="570">
        <f t="shared" ref="X77:BB77" si="174">-X76/X74</f>
        <v>0.15328467153284672</v>
      </c>
      <c r="Y77" s="570">
        <f t="shared" si="174"/>
        <v>0.32467532467532467</v>
      </c>
      <c r="Z77" s="568">
        <f t="shared" si="174"/>
        <v>0.29080932784636487</v>
      </c>
      <c r="AA77" s="570">
        <f t="shared" si="174"/>
        <v>0.29870129870129869</v>
      </c>
      <c r="AB77" s="570">
        <f t="shared" si="174"/>
        <v>0.30833333333333335</v>
      </c>
      <c r="AC77" s="570">
        <f t="shared" si="174"/>
        <v>0.34523809523809523</v>
      </c>
      <c r="AD77" s="570">
        <f t="shared" si="174"/>
        <v>0.32701421800947866</v>
      </c>
      <c r="AE77" s="568">
        <f t="shared" si="174"/>
        <v>0.32159264931087289</v>
      </c>
      <c r="AF77" s="570">
        <f t="shared" si="174"/>
        <v>0.36</v>
      </c>
      <c r="AG77" s="570">
        <f t="shared" si="174"/>
        <v>0.33088235294117646</v>
      </c>
      <c r="AH77" s="570">
        <f t="shared" si="174"/>
        <v>0.33160621761658032</v>
      </c>
      <c r="AI77" s="570">
        <f t="shared" si="174"/>
        <v>0.31380753138075312</v>
      </c>
      <c r="AJ77" s="568">
        <f t="shared" si="174"/>
        <v>0.33243606998654107</v>
      </c>
      <c r="AK77" s="570">
        <f t="shared" si="174"/>
        <v>0.36206896551724138</v>
      </c>
      <c r="AL77" s="570">
        <f t="shared" si="174"/>
        <v>0.28125</v>
      </c>
      <c r="AM77" s="570">
        <f t="shared" si="174"/>
        <v>0.33774834437086093</v>
      </c>
      <c r="AN77" s="570">
        <f t="shared" si="174"/>
        <v>0.34166666666666667</v>
      </c>
      <c r="AO77" s="568">
        <f t="shared" si="174"/>
        <v>0.33477633477633478</v>
      </c>
      <c r="AP77" s="570">
        <f t="shared" si="174"/>
        <v>0.31182795698924731</v>
      </c>
      <c r="AQ77" s="570">
        <f t="shared" si="174"/>
        <v>0.34351145038167941</v>
      </c>
      <c r="AR77" s="570">
        <f t="shared" si="174"/>
        <v>0.34334763948497854</v>
      </c>
      <c r="AS77" s="570">
        <f t="shared" si="174"/>
        <v>0.34865900383141762</v>
      </c>
      <c r="AT77" s="568">
        <f t="shared" si="174"/>
        <v>0.33785450061652283</v>
      </c>
      <c r="AU77" s="570">
        <f t="shared" si="174"/>
        <v>0.35483870967741937</v>
      </c>
      <c r="AV77" s="570">
        <f t="shared" si="174"/>
        <v>0.32116788321167883</v>
      </c>
      <c r="AW77" s="570">
        <f t="shared" si="174"/>
        <v>0.31578947368421051</v>
      </c>
      <c r="AX77" s="570">
        <f t="shared" si="174"/>
        <v>0.38016528925619836</v>
      </c>
      <c r="AY77" s="568">
        <f>-AY76/AY74</f>
        <v>0.34658385093167704</v>
      </c>
      <c r="AZ77" s="570">
        <f t="shared" si="174"/>
        <v>0.30693069306930693</v>
      </c>
      <c r="BA77" s="570">
        <v>0.35599999999999998</v>
      </c>
      <c r="BB77" s="570">
        <f t="shared" si="174"/>
        <v>0.35616438356164382</v>
      </c>
      <c r="BC77" s="570">
        <f>85/254</f>
        <v>0.3346456692913386</v>
      </c>
      <c r="BD77" s="568">
        <f>-BD76/BD74</f>
        <v>0.33736419001218027</v>
      </c>
      <c r="BE77" s="570">
        <f>-BE76/BE74</f>
        <v>0.30481283422459893</v>
      </c>
      <c r="BF77" s="570">
        <f>50/155</f>
        <v>0.32258064516129031</v>
      </c>
      <c r="BG77" s="570">
        <f>64/198</f>
        <v>0.32323232323232326</v>
      </c>
      <c r="BH77" s="570">
        <f>77/251</f>
        <v>0.30677290836653387</v>
      </c>
      <c r="BI77" s="568">
        <f>-BI76/BI74</f>
        <v>0.31352718078381797</v>
      </c>
      <c r="BJ77" s="570">
        <f>-BJ76/BJ74</f>
        <v>0.31443298969072164</v>
      </c>
      <c r="BK77" s="570">
        <f>-BK76/BK74</f>
        <v>0.34574468085106386</v>
      </c>
      <c r="BL77" s="570">
        <f>-BL76/BL74</f>
        <v>0.33663366336633666</v>
      </c>
      <c r="BM77" s="570">
        <f>85/269</f>
        <v>0.31598513011152418</v>
      </c>
      <c r="BN77" s="568">
        <f t="shared" ref="BN77:BS77" si="175">-BN76/BN74</f>
        <v>0.32708089097303633</v>
      </c>
      <c r="BO77" s="570">
        <f t="shared" si="175"/>
        <v>0.34123222748815168</v>
      </c>
      <c r="BP77" s="570">
        <f t="shared" si="175"/>
        <v>0.35652173913043478</v>
      </c>
      <c r="BQ77" s="570">
        <f>-BQ76/BQ74</f>
        <v>0.33362831858407083</v>
      </c>
      <c r="BR77" s="570">
        <f>-BR76/BR74</f>
        <v>0.35057034220532318</v>
      </c>
      <c r="BS77" s="568">
        <f t="shared" si="175"/>
        <v>0.34524886877828054</v>
      </c>
      <c r="BT77" s="570">
        <f t="shared" ref="BT77:BZ77" si="176">-BT76/BT74</f>
        <v>0.33532110091743117</v>
      </c>
      <c r="BU77" s="570">
        <f t="shared" si="176"/>
        <v>0.34923857868020303</v>
      </c>
      <c r="BV77" s="570">
        <f t="shared" si="176"/>
        <v>0.3354838709677419</v>
      </c>
      <c r="BW77" s="570">
        <f t="shared" si="176"/>
        <v>0.34602076124567471</v>
      </c>
      <c r="BX77" s="761">
        <f t="shared" si="176"/>
        <v>0.34169381107491853</v>
      </c>
      <c r="BY77" s="570">
        <f t="shared" si="176"/>
        <v>0.34469696969696972</v>
      </c>
      <c r="BZ77" s="570">
        <f t="shared" si="176"/>
        <v>0.34521739130434786</v>
      </c>
      <c r="CA77" s="570">
        <f t="shared" ref="CA77:CG77" si="177">-CA76/CA74</f>
        <v>0.32911392405063289</v>
      </c>
      <c r="CB77" s="570">
        <f t="shared" si="177"/>
        <v>0.34523809523809523</v>
      </c>
      <c r="CC77" s="568">
        <f t="shared" si="177"/>
        <v>0.34120040691759917</v>
      </c>
      <c r="CD77" s="570">
        <f t="shared" si="177"/>
        <v>0.32148260211800306</v>
      </c>
      <c r="CE77" s="671">
        <f t="shared" si="177"/>
        <v>0.33995584988962474</v>
      </c>
      <c r="CF77" s="671">
        <f t="shared" si="177"/>
        <v>0.30303030303030304</v>
      </c>
      <c r="CG77" s="47">
        <f t="shared" si="177"/>
        <v>0.31482735274204471</v>
      </c>
      <c r="CH77" s="568">
        <f>-CH76/CH74</f>
        <v>0.3192106790481718</v>
      </c>
      <c r="CI77" s="47">
        <f t="shared" ref="CI77:CJ77" si="178">-CI76/CI74</f>
        <v>0.31182795698924731</v>
      </c>
      <c r="CJ77" s="47">
        <f t="shared" si="178"/>
        <v>-2.643171806167401E-2</v>
      </c>
      <c r="CK77" s="145">
        <v>0.3</v>
      </c>
      <c r="CL77" s="47">
        <f ca="1">-CL76/CL74</f>
        <v>0.30752910323550336</v>
      </c>
      <c r="CM77" s="442">
        <v>0.23449999999999999</v>
      </c>
      <c r="CN77" s="145">
        <f>CR77</f>
        <v>0.25</v>
      </c>
      <c r="CO77" s="145">
        <f>CR77</f>
        <v>0.25</v>
      </c>
      <c r="CP77" s="145">
        <f>CR77</f>
        <v>0.25</v>
      </c>
      <c r="CQ77" s="47">
        <f ca="1">-CQ76/CQ74</f>
        <v>0.24999999999999992</v>
      </c>
      <c r="CR77" s="442">
        <v>0.25</v>
      </c>
      <c r="CS77" s="145">
        <f>CW77</f>
        <v>0.25</v>
      </c>
      <c r="CT77" s="145">
        <f>CW77</f>
        <v>0.25</v>
      </c>
      <c r="CU77" s="145">
        <f>CW77</f>
        <v>0.25</v>
      </c>
      <c r="CV77" s="47">
        <f ca="1">-CV76/CV74</f>
        <v>0.25000000000000006</v>
      </c>
      <c r="CW77" s="442">
        <f>CR77</f>
        <v>0.25</v>
      </c>
      <c r="CX77" s="145">
        <f>DB77</f>
        <v>0.25</v>
      </c>
      <c r="CY77" s="145">
        <f>DB77</f>
        <v>0.25</v>
      </c>
      <c r="CZ77" s="145">
        <f>DB77</f>
        <v>0.25</v>
      </c>
      <c r="DA77" s="47">
        <f ca="1">-DA76/DA74</f>
        <v>0.24999999999999992</v>
      </c>
      <c r="DB77" s="442">
        <f>CW77</f>
        <v>0.25</v>
      </c>
      <c r="DC77" s="145">
        <f>DG77</f>
        <v>0.25</v>
      </c>
      <c r="DD77" s="145">
        <f>DG77</f>
        <v>0.25</v>
      </c>
      <c r="DE77" s="145">
        <f>DG77</f>
        <v>0.25</v>
      </c>
      <c r="DF77" s="47">
        <f ca="1">-DF76/DF74</f>
        <v>0.25</v>
      </c>
      <c r="DG77" s="442">
        <f>DB77</f>
        <v>0.25</v>
      </c>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row>
    <row r="78" spans="1:226" s="37" customFormat="1" ht="4.5" customHeight="1" x14ac:dyDescent="0.2">
      <c r="A78" s="655"/>
      <c r="B78" s="78"/>
      <c r="C78" s="78"/>
      <c r="D78" s="78"/>
      <c r="E78" s="78"/>
      <c r="F78" s="443"/>
      <c r="G78" s="78"/>
      <c r="H78" s="78"/>
      <c r="I78" s="78"/>
      <c r="J78" s="78"/>
      <c r="K78" s="443"/>
      <c r="L78" s="78"/>
      <c r="M78" s="78"/>
      <c r="N78" s="78"/>
      <c r="O78" s="78"/>
      <c r="P78" s="443"/>
      <c r="Q78" s="78"/>
      <c r="R78" s="78"/>
      <c r="S78" s="78"/>
      <c r="T78" s="78"/>
      <c r="U78" s="443"/>
      <c r="V78" s="78"/>
      <c r="W78" s="78"/>
      <c r="X78" s="78"/>
      <c r="Y78" s="78"/>
      <c r="Z78" s="443"/>
      <c r="AA78" s="78"/>
      <c r="AB78" s="78"/>
      <c r="AC78" s="78"/>
      <c r="AD78" s="78"/>
      <c r="AE78" s="443"/>
      <c r="AF78" s="78"/>
      <c r="AG78" s="78"/>
      <c r="AH78" s="78"/>
      <c r="AI78" s="78"/>
      <c r="AJ78" s="443"/>
      <c r="AK78" s="78"/>
      <c r="AL78" s="78"/>
      <c r="AM78" s="78"/>
      <c r="AN78" s="78"/>
      <c r="AO78" s="443"/>
      <c r="AP78" s="78"/>
      <c r="AQ78" s="78"/>
      <c r="AR78" s="570"/>
      <c r="AS78" s="77"/>
      <c r="AT78" s="443"/>
      <c r="AU78" s="77"/>
      <c r="AV78" s="77"/>
      <c r="AW78" s="77"/>
      <c r="AX78" s="77"/>
      <c r="AY78" s="443"/>
      <c r="AZ78" s="77"/>
      <c r="BA78" s="77"/>
      <c r="BB78" s="77"/>
      <c r="BC78" s="77"/>
      <c r="BD78" s="443"/>
      <c r="BE78" s="77"/>
      <c r="BF78" s="77"/>
      <c r="BG78" s="77"/>
      <c r="BH78" s="77"/>
      <c r="BI78" s="443"/>
      <c r="BJ78" s="77"/>
      <c r="BK78" s="77"/>
      <c r="BL78" s="77"/>
      <c r="BM78" s="77"/>
      <c r="BN78" s="443"/>
      <c r="BO78" s="77"/>
      <c r="BP78" s="77"/>
      <c r="BQ78" s="77"/>
      <c r="BR78" s="77"/>
      <c r="BS78" s="443"/>
      <c r="BT78" s="77"/>
      <c r="BU78" s="77"/>
      <c r="BV78" s="77"/>
      <c r="BW78" s="77"/>
      <c r="BX78" s="443"/>
      <c r="BY78" s="77"/>
      <c r="BZ78" s="77"/>
      <c r="CA78" s="77"/>
      <c r="CB78" s="77"/>
      <c r="CC78" s="443"/>
      <c r="CD78" s="77"/>
      <c r="CE78" s="793"/>
      <c r="CF78" s="77"/>
      <c r="CG78" s="77"/>
      <c r="CH78" s="443"/>
      <c r="CI78" s="77"/>
      <c r="CJ78" s="77"/>
      <c r="CK78" s="77"/>
      <c r="CL78" s="77"/>
      <c r="CM78" s="443"/>
      <c r="CN78" s="77"/>
      <c r="CO78" s="77"/>
      <c r="CP78" s="77"/>
      <c r="CQ78" s="77"/>
      <c r="CR78" s="443"/>
      <c r="CS78" s="77"/>
      <c r="CT78" s="77"/>
      <c r="CU78" s="77"/>
      <c r="CV78" s="77"/>
      <c r="CW78" s="443"/>
      <c r="CX78" s="77"/>
      <c r="CY78" s="77"/>
      <c r="CZ78" s="77"/>
      <c r="DA78" s="77"/>
      <c r="DB78" s="443"/>
      <c r="DC78" s="77"/>
      <c r="DD78" s="77"/>
      <c r="DE78" s="77"/>
      <c r="DF78" s="77"/>
      <c r="DG78" s="443"/>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row>
    <row r="79" spans="1:226" s="36" customFormat="1" x14ac:dyDescent="0.2">
      <c r="A79" s="740" t="s">
        <v>354</v>
      </c>
      <c r="B79" s="35">
        <f>B74+B76</f>
        <v>100</v>
      </c>
      <c r="C79" s="35">
        <f>C74+C76</f>
        <v>73</v>
      </c>
      <c r="D79" s="35">
        <f>D74+D76</f>
        <v>109</v>
      </c>
      <c r="E79" s="35">
        <f>E74+E76</f>
        <v>107</v>
      </c>
      <c r="F79" s="435">
        <f>SUM(B79:E79)</f>
        <v>389</v>
      </c>
      <c r="G79" s="35">
        <f>G74+G76</f>
        <v>111</v>
      </c>
      <c r="H79" s="35">
        <f>H74+H76</f>
        <v>42</v>
      </c>
      <c r="I79" s="35">
        <f>I74+I76</f>
        <v>50</v>
      </c>
      <c r="J79" s="35">
        <f>J74+J76</f>
        <v>154</v>
      </c>
      <c r="K79" s="435">
        <f>SUM(G79:J79)</f>
        <v>357</v>
      </c>
      <c r="L79" s="35">
        <f t="shared" ref="L79:Z79" si="179">L74+L76</f>
        <v>158</v>
      </c>
      <c r="M79" s="35">
        <f t="shared" si="179"/>
        <v>87</v>
      </c>
      <c r="N79" s="35">
        <f t="shared" si="179"/>
        <v>112</v>
      </c>
      <c r="O79" s="35">
        <f t="shared" si="179"/>
        <v>157</v>
      </c>
      <c r="P79" s="435">
        <f t="shared" si="179"/>
        <v>514</v>
      </c>
      <c r="Q79" s="35">
        <f t="shared" si="179"/>
        <v>115</v>
      </c>
      <c r="R79" s="35">
        <f t="shared" si="179"/>
        <v>101</v>
      </c>
      <c r="S79" s="35">
        <f t="shared" si="179"/>
        <v>115</v>
      </c>
      <c r="T79" s="35">
        <f t="shared" si="179"/>
        <v>159</v>
      </c>
      <c r="U79" s="435">
        <f t="shared" si="179"/>
        <v>490</v>
      </c>
      <c r="V79" s="35">
        <f t="shared" si="179"/>
        <v>109</v>
      </c>
      <c r="W79" s="35">
        <f t="shared" si="179"/>
        <v>136</v>
      </c>
      <c r="X79" s="35">
        <f t="shared" si="179"/>
        <v>116</v>
      </c>
      <c r="Y79" s="35">
        <f t="shared" si="179"/>
        <v>156</v>
      </c>
      <c r="Z79" s="435">
        <f t="shared" si="179"/>
        <v>517</v>
      </c>
      <c r="AA79" s="35">
        <f>AA74+AA76</f>
        <v>108</v>
      </c>
      <c r="AB79" s="35">
        <f>AB74+AB76</f>
        <v>83</v>
      </c>
      <c r="AC79" s="35">
        <f>AC74+AC76</f>
        <v>110</v>
      </c>
      <c r="AD79" s="35">
        <f>AD74+AD76</f>
        <v>142</v>
      </c>
      <c r="AE79" s="435">
        <f>SUM(AA79:AD79)</f>
        <v>443</v>
      </c>
      <c r="AF79" s="35">
        <f>AF74+AF76</f>
        <v>112</v>
      </c>
      <c r="AG79" s="35">
        <f>AG74+AG76</f>
        <v>91</v>
      </c>
      <c r="AH79" s="35">
        <f>AH74+AH76</f>
        <v>129</v>
      </c>
      <c r="AI79" s="35">
        <f>AI74+AI76</f>
        <v>164</v>
      </c>
      <c r="AJ79" s="435">
        <f>SUM(AF79:AI79)</f>
        <v>496</v>
      </c>
      <c r="AK79" s="35">
        <f>AK74+AK76</f>
        <v>111</v>
      </c>
      <c r="AL79" s="35">
        <f>AL74+AL76</f>
        <v>92</v>
      </c>
      <c r="AM79" s="35">
        <f>AM74+AM76</f>
        <v>100</v>
      </c>
      <c r="AN79" s="35">
        <f>AN74+AN76</f>
        <v>158</v>
      </c>
      <c r="AO79" s="435">
        <f>SUM(AK79:AN79)</f>
        <v>461</v>
      </c>
      <c r="AP79" s="35">
        <f>AP74+AP76</f>
        <v>128</v>
      </c>
      <c r="AQ79" s="35">
        <f>AQ74+AQ76</f>
        <v>86</v>
      </c>
      <c r="AR79" s="35">
        <f>AR74+AR76</f>
        <v>153</v>
      </c>
      <c r="AS79" s="35">
        <f>AS74+AS76</f>
        <v>170</v>
      </c>
      <c r="AT79" s="435">
        <f>SUM(AP79:AS79)</f>
        <v>537</v>
      </c>
      <c r="AU79" s="35">
        <f>AU74+AU76</f>
        <v>140</v>
      </c>
      <c r="AV79" s="35">
        <f t="shared" ref="AV79:BX79" si="180">AV74+AV76</f>
        <v>93</v>
      </c>
      <c r="AW79" s="35">
        <f t="shared" si="180"/>
        <v>143</v>
      </c>
      <c r="AX79" s="35">
        <f t="shared" si="180"/>
        <v>150</v>
      </c>
      <c r="AY79" s="435">
        <f t="shared" si="180"/>
        <v>526</v>
      </c>
      <c r="AZ79" s="35">
        <f t="shared" si="180"/>
        <v>140</v>
      </c>
      <c r="BA79" s="35">
        <f>BA74+BA76</f>
        <v>94.024000000000001</v>
      </c>
      <c r="BB79" s="35">
        <f t="shared" si="180"/>
        <v>141</v>
      </c>
      <c r="BC79" s="35">
        <f t="shared" si="180"/>
        <v>169</v>
      </c>
      <c r="BD79" s="435">
        <f t="shared" si="180"/>
        <v>544.024</v>
      </c>
      <c r="BE79" s="35">
        <f t="shared" si="180"/>
        <v>130</v>
      </c>
      <c r="BF79" s="35">
        <f t="shared" si="180"/>
        <v>105</v>
      </c>
      <c r="BG79" s="35">
        <f t="shared" si="180"/>
        <v>134</v>
      </c>
      <c r="BH79" s="35">
        <f t="shared" si="180"/>
        <v>174</v>
      </c>
      <c r="BI79" s="435">
        <f>BI74+BI76</f>
        <v>543</v>
      </c>
      <c r="BJ79" s="35">
        <f t="shared" si="180"/>
        <v>133</v>
      </c>
      <c r="BK79" s="35">
        <f t="shared" si="180"/>
        <v>123</v>
      </c>
      <c r="BL79" s="35">
        <f t="shared" si="180"/>
        <v>134</v>
      </c>
      <c r="BM79" s="35">
        <f>BM74+BM76</f>
        <v>184</v>
      </c>
      <c r="BN79" s="435">
        <f>BN74+BN76</f>
        <v>574</v>
      </c>
      <c r="BO79" s="35">
        <f>BO74+BO76</f>
        <v>139</v>
      </c>
      <c r="BP79" s="35">
        <f>BP74+BP76</f>
        <v>118.4</v>
      </c>
      <c r="BQ79" s="35">
        <f>BQ74+BQ76</f>
        <v>150.6</v>
      </c>
      <c r="BR79" s="35">
        <f t="shared" si="180"/>
        <v>170.8</v>
      </c>
      <c r="BS79" s="435">
        <f>BS74+BS76</f>
        <v>578.79999999999995</v>
      </c>
      <c r="BT79" s="35">
        <f>BT74+BT76</f>
        <v>144.9</v>
      </c>
      <c r="BU79" s="35">
        <f t="shared" si="180"/>
        <v>128.19999999999999</v>
      </c>
      <c r="BV79" s="35">
        <f t="shared" si="180"/>
        <v>144.19999999999999</v>
      </c>
      <c r="BW79" s="35">
        <f t="shared" si="180"/>
        <v>189</v>
      </c>
      <c r="BX79" s="435">
        <f t="shared" si="180"/>
        <v>606.29999999999995</v>
      </c>
      <c r="BY79" s="35">
        <f t="shared" ref="BY79:CD79" si="181">BY74+BY76</f>
        <v>173</v>
      </c>
      <c r="BZ79" s="35">
        <f t="shared" si="181"/>
        <v>150.6</v>
      </c>
      <c r="CA79" s="35">
        <f t="shared" si="181"/>
        <v>159</v>
      </c>
      <c r="CB79" s="35">
        <f t="shared" si="181"/>
        <v>165</v>
      </c>
      <c r="CC79" s="435">
        <f t="shared" si="181"/>
        <v>647.6</v>
      </c>
      <c r="CD79" s="35">
        <f t="shared" si="181"/>
        <v>179.39999999999998</v>
      </c>
      <c r="CE79" s="624">
        <f>CE74+CE76</f>
        <v>149.5</v>
      </c>
      <c r="CF79" s="35">
        <f t="shared" ref="CF79:CW79" si="182">CF74+CF76</f>
        <v>172.5</v>
      </c>
      <c r="CG79" s="35">
        <f t="shared" si="182"/>
        <v>202.39999999999998</v>
      </c>
      <c r="CH79" s="435">
        <f t="shared" si="182"/>
        <v>703.8</v>
      </c>
      <c r="CI79" s="35">
        <f t="shared" si="182"/>
        <v>192</v>
      </c>
      <c r="CJ79" s="35">
        <f t="shared" si="182"/>
        <v>233</v>
      </c>
      <c r="CK79" s="35">
        <f t="shared" ca="1" si="182"/>
        <v>168.17067585637449</v>
      </c>
      <c r="CL79" s="35">
        <f t="shared" ca="1" si="182"/>
        <v>207.85788629290218</v>
      </c>
      <c r="CM79" s="435">
        <f t="shared" ca="1" si="182"/>
        <v>801.02856214927681</v>
      </c>
      <c r="CN79" s="35">
        <f t="shared" ca="1" si="182"/>
        <v>215.18925082656898</v>
      </c>
      <c r="CO79" s="35">
        <f t="shared" ca="1" si="182"/>
        <v>174.40671535472993</v>
      </c>
      <c r="CP79" s="35">
        <f t="shared" ca="1" si="182"/>
        <v>190.70625728237673</v>
      </c>
      <c r="CQ79" s="35">
        <f t="shared" ca="1" si="182"/>
        <v>226.5335496903954</v>
      </c>
      <c r="CR79" s="435">
        <f t="shared" ca="1" si="182"/>
        <v>806.83577315407092</v>
      </c>
      <c r="CS79" s="35">
        <f t="shared" ca="1" si="182"/>
        <v>228.44942256658908</v>
      </c>
      <c r="CT79" s="35">
        <f t="shared" ca="1" si="182"/>
        <v>179.84901314479629</v>
      </c>
      <c r="CU79" s="35">
        <f t="shared" ca="1" si="182"/>
        <v>201.2909347376621</v>
      </c>
      <c r="CV79" s="35">
        <f t="shared" ca="1" si="182"/>
        <v>238.73999827518935</v>
      </c>
      <c r="CW79" s="435">
        <f t="shared" ca="1" si="182"/>
        <v>848.32936872423693</v>
      </c>
      <c r="CX79" s="35">
        <f t="shared" ref="CX79:DG79" ca="1" si="183">CX74+CX76</f>
        <v>235.87578023488521</v>
      </c>
      <c r="CY79" s="35">
        <f t="shared" ca="1" si="183"/>
        <v>186.20076870144493</v>
      </c>
      <c r="CZ79" s="35">
        <f t="shared" ca="1" si="183"/>
        <v>207.7849923224021</v>
      </c>
      <c r="DA79" s="35">
        <f t="shared" ca="1" si="183"/>
        <v>245.83073469775536</v>
      </c>
      <c r="DB79" s="435">
        <f t="shared" ca="1" si="183"/>
        <v>875.69227595648749</v>
      </c>
      <c r="DC79" s="35">
        <f t="shared" ca="1" si="183"/>
        <v>243.00076435554433</v>
      </c>
      <c r="DD79" s="35">
        <f t="shared" ca="1" si="183"/>
        <v>192.29230327785018</v>
      </c>
      <c r="DE79" s="35">
        <f t="shared" ca="1" si="183"/>
        <v>213.97488182709878</v>
      </c>
      <c r="DF79" s="35">
        <f t="shared" ca="1" si="183"/>
        <v>252.57064004165611</v>
      </c>
      <c r="DG79" s="435">
        <f t="shared" ca="1" si="183"/>
        <v>901.83858950214938</v>
      </c>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row>
    <row r="80" spans="1:226" s="35" customFormat="1" ht="3.75" customHeight="1" x14ac:dyDescent="0.2">
      <c r="A80" s="36"/>
      <c r="B80" s="36"/>
      <c r="C80" s="36"/>
      <c r="D80" s="36"/>
      <c r="E80" s="36"/>
      <c r="F80" s="441"/>
      <c r="G80" s="36"/>
      <c r="H80" s="36"/>
      <c r="I80" s="36"/>
      <c r="J80" s="36"/>
      <c r="K80" s="441"/>
      <c r="L80" s="36"/>
      <c r="M80" s="36"/>
      <c r="N80" s="36"/>
      <c r="O80" s="36"/>
      <c r="P80" s="441"/>
      <c r="Q80" s="36"/>
      <c r="R80" s="36"/>
      <c r="S80" s="36"/>
      <c r="T80" s="36"/>
      <c r="U80" s="441"/>
      <c r="V80" s="36"/>
      <c r="W80" s="36"/>
      <c r="X80" s="36"/>
      <c r="Y80" s="36"/>
      <c r="Z80" s="441"/>
      <c r="AA80" s="36"/>
      <c r="AB80" s="36"/>
      <c r="AC80" s="36"/>
      <c r="AD80" s="36"/>
      <c r="AE80" s="441"/>
      <c r="AF80" s="36"/>
      <c r="AG80" s="36"/>
      <c r="AH80" s="36"/>
      <c r="AI80" s="36"/>
      <c r="AJ80" s="441"/>
      <c r="AK80" s="36"/>
      <c r="AL80" s="36"/>
      <c r="AM80" s="36"/>
      <c r="AN80" s="36"/>
      <c r="AO80" s="441"/>
      <c r="AP80" s="36"/>
      <c r="AQ80" s="36"/>
      <c r="AR80" s="36"/>
      <c r="AS80" s="36"/>
      <c r="AT80" s="441"/>
      <c r="AU80" s="36"/>
      <c r="AV80" s="36"/>
      <c r="AW80" s="36"/>
      <c r="AX80" s="36"/>
      <c r="AY80" s="441"/>
      <c r="AZ80" s="36"/>
      <c r="BA80" s="36"/>
      <c r="BB80" s="36"/>
      <c r="BC80" s="36"/>
      <c r="BD80" s="441"/>
      <c r="BE80" s="36"/>
      <c r="BF80" s="36"/>
      <c r="BG80" s="36"/>
      <c r="BH80" s="36"/>
      <c r="BI80" s="441"/>
      <c r="BJ80" s="36"/>
      <c r="BK80" s="36"/>
      <c r="BL80" s="36"/>
      <c r="BM80" s="36"/>
      <c r="BN80" s="441"/>
      <c r="BO80" s="36"/>
      <c r="BP80" s="36"/>
      <c r="BQ80" s="36"/>
      <c r="BR80" s="36"/>
      <c r="BS80" s="441"/>
      <c r="BT80" s="36"/>
      <c r="BU80" s="36"/>
      <c r="BV80" s="36"/>
      <c r="BW80" s="36"/>
      <c r="BX80" s="441"/>
      <c r="BY80" s="36"/>
      <c r="BZ80" s="36"/>
      <c r="CA80" s="36"/>
      <c r="CB80" s="36"/>
      <c r="CC80" s="441"/>
      <c r="CD80" s="36"/>
      <c r="CE80" s="728"/>
      <c r="CF80" s="36"/>
      <c r="CG80" s="36"/>
      <c r="CH80" s="441"/>
      <c r="CI80" s="36"/>
      <c r="CJ80" s="36"/>
      <c r="CK80" s="36"/>
      <c r="CL80" s="36"/>
      <c r="CM80" s="441"/>
      <c r="CN80" s="36"/>
      <c r="CO80" s="36"/>
      <c r="CP80" s="36"/>
      <c r="CQ80" s="36"/>
      <c r="CR80" s="441"/>
      <c r="CS80" s="36"/>
      <c r="CT80" s="36"/>
      <c r="CU80" s="36"/>
      <c r="CV80" s="36"/>
      <c r="CW80" s="441"/>
      <c r="CX80" s="36"/>
      <c r="CY80" s="36"/>
      <c r="CZ80" s="36"/>
      <c r="DA80" s="36"/>
      <c r="DB80" s="441"/>
      <c r="DC80" s="36"/>
      <c r="DD80" s="36"/>
      <c r="DE80" s="36"/>
      <c r="DF80" s="36"/>
      <c r="DG80" s="441"/>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row>
    <row r="81" spans="1:226" s="43" customFormat="1" ht="12" customHeight="1" x14ac:dyDescent="0.2">
      <c r="A81" s="36" t="s">
        <v>24</v>
      </c>
      <c r="B81" s="49"/>
      <c r="C81" s="49"/>
      <c r="D81" s="49"/>
      <c r="E81" s="49"/>
      <c r="F81" s="433"/>
      <c r="G81" s="49">
        <f t="shared" ref="G81:AO81" si="184">G79/B79-1</f>
        <v>0.1100000000000001</v>
      </c>
      <c r="H81" s="49">
        <f t="shared" si="184"/>
        <v>-0.42465753424657537</v>
      </c>
      <c r="I81" s="49">
        <f t="shared" si="184"/>
        <v>-0.54128440366972475</v>
      </c>
      <c r="J81" s="49">
        <f t="shared" si="184"/>
        <v>0.43925233644859807</v>
      </c>
      <c r="K81" s="433">
        <f t="shared" si="184"/>
        <v>-8.2262210796915203E-2</v>
      </c>
      <c r="L81" s="49">
        <f t="shared" si="184"/>
        <v>0.42342342342342332</v>
      </c>
      <c r="M81" s="49">
        <f t="shared" si="184"/>
        <v>1.0714285714285716</v>
      </c>
      <c r="N81" s="49">
        <f t="shared" si="184"/>
        <v>1.2400000000000002</v>
      </c>
      <c r="O81" s="49">
        <f t="shared" si="184"/>
        <v>1.9480519480519431E-2</v>
      </c>
      <c r="P81" s="433">
        <f t="shared" si="184"/>
        <v>0.43977591036414565</v>
      </c>
      <c r="Q81" s="49">
        <f t="shared" si="184"/>
        <v>-0.27215189873417722</v>
      </c>
      <c r="R81" s="49">
        <f t="shared" si="184"/>
        <v>0.16091954022988508</v>
      </c>
      <c r="S81" s="49">
        <f t="shared" si="184"/>
        <v>2.6785714285714191E-2</v>
      </c>
      <c r="T81" s="49">
        <f t="shared" si="184"/>
        <v>1.2738853503184711E-2</v>
      </c>
      <c r="U81" s="433">
        <f t="shared" si="184"/>
        <v>-4.6692607003890996E-2</v>
      </c>
      <c r="V81" s="49">
        <f t="shared" si="184"/>
        <v>-5.2173913043478293E-2</v>
      </c>
      <c r="W81" s="49">
        <f t="shared" si="184"/>
        <v>0.34653465346534662</v>
      </c>
      <c r="X81" s="49">
        <f t="shared" si="184"/>
        <v>8.6956521739129933E-3</v>
      </c>
      <c r="Y81" s="49">
        <f t="shared" si="184"/>
        <v>-1.8867924528301883E-2</v>
      </c>
      <c r="Z81" s="433">
        <f t="shared" si="184"/>
        <v>5.5102040816326525E-2</v>
      </c>
      <c r="AA81" s="49">
        <f t="shared" si="184"/>
        <v>-9.1743119266054496E-3</v>
      </c>
      <c r="AB81" s="49">
        <f t="shared" si="184"/>
        <v>-0.38970588235294112</v>
      </c>
      <c r="AC81" s="49">
        <f t="shared" si="184"/>
        <v>-5.1724137931034475E-2</v>
      </c>
      <c r="AD81" s="49">
        <f t="shared" si="184"/>
        <v>-8.9743589743589758E-2</v>
      </c>
      <c r="AE81" s="433">
        <f t="shared" si="184"/>
        <v>-0.14313346228239843</v>
      </c>
      <c r="AF81" s="49">
        <f t="shared" si="184"/>
        <v>3.7037037037036979E-2</v>
      </c>
      <c r="AG81" s="49">
        <f t="shared" si="184"/>
        <v>9.6385542168674787E-2</v>
      </c>
      <c r="AH81" s="49">
        <f t="shared" si="184"/>
        <v>0.17272727272727262</v>
      </c>
      <c r="AI81" s="49">
        <f t="shared" si="184"/>
        <v>0.15492957746478875</v>
      </c>
      <c r="AJ81" s="433">
        <f t="shared" si="184"/>
        <v>0.11963882618510158</v>
      </c>
      <c r="AK81" s="49">
        <f t="shared" si="184"/>
        <v>-8.9285714285713969E-3</v>
      </c>
      <c r="AL81" s="49">
        <f t="shared" si="184"/>
        <v>1.098901098901095E-2</v>
      </c>
      <c r="AM81" s="49">
        <f t="shared" si="184"/>
        <v>-0.22480620155038755</v>
      </c>
      <c r="AN81" s="49">
        <f t="shared" si="184"/>
        <v>-3.6585365853658569E-2</v>
      </c>
      <c r="AO81" s="433">
        <f t="shared" si="184"/>
        <v>-7.0564516129032251E-2</v>
      </c>
      <c r="AP81" s="49">
        <f t="shared" ref="AP81:AV81" si="185">AP79/AK79-1</f>
        <v>0.15315315315315314</v>
      </c>
      <c r="AQ81" s="49">
        <f t="shared" si="185"/>
        <v>-6.5217391304347783E-2</v>
      </c>
      <c r="AR81" s="49">
        <f t="shared" si="185"/>
        <v>0.53</v>
      </c>
      <c r="AS81" s="49">
        <f t="shared" si="185"/>
        <v>7.5949367088607556E-2</v>
      </c>
      <c r="AT81" s="433">
        <f t="shared" si="185"/>
        <v>0.16485900216919736</v>
      </c>
      <c r="AU81" s="49">
        <f t="shared" si="185"/>
        <v>9.375E-2</v>
      </c>
      <c r="AV81" s="49">
        <f t="shared" si="185"/>
        <v>8.1395348837209225E-2</v>
      </c>
      <c r="AW81" s="49">
        <f t="shared" ref="AW81:BX81" si="186">AW79/AR79-1</f>
        <v>-6.5359477124182996E-2</v>
      </c>
      <c r="AX81" s="49">
        <f t="shared" si="186"/>
        <v>-0.11764705882352944</v>
      </c>
      <c r="AY81" s="433">
        <f t="shared" si="186"/>
        <v>-2.0484171322160183E-2</v>
      </c>
      <c r="AZ81" s="49">
        <f t="shared" si="186"/>
        <v>0</v>
      </c>
      <c r="BA81" s="49">
        <f t="shared" si="186"/>
        <v>1.1010752688171976E-2</v>
      </c>
      <c r="BB81" s="49">
        <f t="shared" si="186"/>
        <v>-1.3986013986013957E-2</v>
      </c>
      <c r="BC81" s="49">
        <f t="shared" si="186"/>
        <v>0.12666666666666671</v>
      </c>
      <c r="BD81" s="433">
        <f t="shared" si="186"/>
        <v>3.4266159695817588E-2</v>
      </c>
      <c r="BE81" s="49">
        <f t="shared" si="186"/>
        <v>-7.1428571428571397E-2</v>
      </c>
      <c r="BF81" s="49">
        <f t="shared" si="186"/>
        <v>0.11673615247170943</v>
      </c>
      <c r="BG81" s="49">
        <f t="shared" si="186"/>
        <v>-4.9645390070921946E-2</v>
      </c>
      <c r="BH81" s="49">
        <f t="shared" si="186"/>
        <v>2.9585798816567976E-2</v>
      </c>
      <c r="BI81" s="433">
        <f t="shared" si="186"/>
        <v>-1.8822698998574028E-3</v>
      </c>
      <c r="BJ81" s="49">
        <f t="shared" si="186"/>
        <v>2.3076923076922995E-2</v>
      </c>
      <c r="BK81" s="49">
        <f t="shared" si="186"/>
        <v>0.17142857142857149</v>
      </c>
      <c r="BL81" s="49">
        <f t="shared" si="186"/>
        <v>0</v>
      </c>
      <c r="BM81" s="49">
        <f t="shared" si="186"/>
        <v>5.7471264367816133E-2</v>
      </c>
      <c r="BN81" s="433">
        <f t="shared" si="186"/>
        <v>5.7090239410681365E-2</v>
      </c>
      <c r="BO81" s="49">
        <f t="shared" si="186"/>
        <v>4.5112781954887327E-2</v>
      </c>
      <c r="BP81" s="49">
        <f t="shared" si="186"/>
        <v>-3.7398373983739797E-2</v>
      </c>
      <c r="BQ81" s="49">
        <f t="shared" si="186"/>
        <v>0.12388059701492526</v>
      </c>
      <c r="BR81" s="49">
        <f t="shared" si="186"/>
        <v>-7.1739130434782528E-2</v>
      </c>
      <c r="BS81" s="433">
        <f>BS79/BN79-1</f>
        <v>8.3623693379790698E-3</v>
      </c>
      <c r="BT81" s="49">
        <f>BT79/BO79-1</f>
        <v>4.2446043165467628E-2</v>
      </c>
      <c r="BU81" s="49">
        <f t="shared" si="186"/>
        <v>8.2770270270270174E-2</v>
      </c>
      <c r="BV81" s="49">
        <f t="shared" si="186"/>
        <v>-4.2496679946879223E-2</v>
      </c>
      <c r="BW81" s="49">
        <f t="shared" si="186"/>
        <v>0.10655737704918034</v>
      </c>
      <c r="BX81" s="433">
        <f t="shared" si="186"/>
        <v>4.75120939875604E-2</v>
      </c>
      <c r="BY81" s="49">
        <f>BY79/BT79-1</f>
        <v>0.19392684610075905</v>
      </c>
      <c r="BZ81" s="49">
        <f>BZ79/BU79-1</f>
        <v>0.1747269890795633</v>
      </c>
      <c r="CA81" s="49">
        <f>CA79/BV79-1</f>
        <v>0.10263522884882126</v>
      </c>
      <c r="CB81" s="49">
        <f>CB79/BW79-1</f>
        <v>-0.12698412698412698</v>
      </c>
      <c r="CC81" s="433">
        <f>CC79/BX79-1</f>
        <v>6.8118093353125575E-2</v>
      </c>
      <c r="CD81" s="49">
        <f t="shared" ref="CD81:CW81" si="187">CD79/BY79-1</f>
        <v>3.699421965317895E-2</v>
      </c>
      <c r="CE81" s="701">
        <f t="shared" si="187"/>
        <v>-7.3041168658698474E-3</v>
      </c>
      <c r="CF81" s="49">
        <f t="shared" si="187"/>
        <v>8.4905660377358583E-2</v>
      </c>
      <c r="CG81" s="49">
        <f t="shared" si="187"/>
        <v>0.22666666666666657</v>
      </c>
      <c r="CH81" s="433">
        <f t="shared" si="187"/>
        <v>8.6781964175416837E-2</v>
      </c>
      <c r="CI81" s="49">
        <f t="shared" si="187"/>
        <v>7.0234113712374757E-2</v>
      </c>
      <c r="CJ81" s="49">
        <f t="shared" si="187"/>
        <v>0.55852842809364556</v>
      </c>
      <c r="CK81" s="49">
        <f t="shared" ca="1" si="187"/>
        <v>-2.5097531267394224E-2</v>
      </c>
      <c r="CL81" s="49">
        <f t="shared" ca="1" si="187"/>
        <v>2.696584136809399E-2</v>
      </c>
      <c r="CM81" s="433">
        <f t="shared" ca="1" si="187"/>
        <v>0.13814799964375801</v>
      </c>
      <c r="CN81" s="49">
        <f t="shared" ca="1" si="187"/>
        <v>0.1207773480550467</v>
      </c>
      <c r="CO81" s="49">
        <f t="shared" ca="1" si="187"/>
        <v>-0.25147332465781147</v>
      </c>
      <c r="CP81" s="49">
        <f t="shared" ca="1" si="187"/>
        <v>0.13400422702260339</v>
      </c>
      <c r="CQ81" s="49">
        <f t="shared" ca="1" si="187"/>
        <v>8.9848231070609907E-2</v>
      </c>
      <c r="CR81" s="433">
        <f t="shared" ca="1" si="187"/>
        <v>7.2496928064742505E-3</v>
      </c>
      <c r="CS81" s="49">
        <f t="shared" ca="1" si="187"/>
        <v>6.1620976368875757E-2</v>
      </c>
      <c r="CT81" s="49">
        <f t="shared" ca="1" si="187"/>
        <v>3.1204634402965281E-2</v>
      </c>
      <c r="CU81" s="49">
        <f t="shared" ca="1" si="187"/>
        <v>5.5502517883368352E-2</v>
      </c>
      <c r="CV81" s="49">
        <f t="shared" ca="1" si="187"/>
        <v>5.3883623867089669E-2</v>
      </c>
      <c r="CW81" s="433">
        <f t="shared" ca="1" si="187"/>
        <v>5.1427560540554307E-2</v>
      </c>
      <c r="CX81" s="49">
        <f t="shared" ref="CX81:DG81" ca="1" si="188">CX79/CS79-1</f>
        <v>3.250766661986848E-2</v>
      </c>
      <c r="CY81" s="49">
        <f t="shared" ca="1" si="188"/>
        <v>3.5317155460479865E-2</v>
      </c>
      <c r="CZ81" s="49">
        <f t="shared" ca="1" si="188"/>
        <v>3.226204693819712E-2</v>
      </c>
      <c r="DA81" s="49">
        <f t="shared" ca="1" si="188"/>
        <v>2.9700663792385118E-2</v>
      </c>
      <c r="DB81" s="433">
        <f t="shared" ca="1" si="188"/>
        <v>3.2255051211300678E-2</v>
      </c>
      <c r="DC81" s="49">
        <f t="shared" ca="1" si="188"/>
        <v>3.0206510026438815E-2</v>
      </c>
      <c r="DD81" s="49">
        <f t="shared" ca="1" si="188"/>
        <v>3.2714873407275968E-2</v>
      </c>
      <c r="DE81" s="49">
        <f t="shared" ca="1" si="188"/>
        <v>2.9789877678424226E-2</v>
      </c>
      <c r="DF81" s="49">
        <f t="shared" ca="1" si="188"/>
        <v>2.7416853926696128E-2</v>
      </c>
      <c r="DG81" s="433">
        <f t="shared" ca="1" si="188"/>
        <v>2.9857878462046683E-2</v>
      </c>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row>
    <row r="82" spans="1:226" s="36" customFormat="1" ht="12" customHeight="1" x14ac:dyDescent="0.2">
      <c r="A82" s="36" t="s">
        <v>23</v>
      </c>
      <c r="B82" s="43">
        <f>B79/B7</f>
        <v>0.10384215991692627</v>
      </c>
      <c r="C82" s="43">
        <f>C79/C7</f>
        <v>8.3333333333333329E-2</v>
      </c>
      <c r="D82" s="43">
        <f>D79/D7</f>
        <v>0.11330561330561331</v>
      </c>
      <c r="E82" s="43">
        <f>E79/E7</f>
        <v>9.7096188747731391E-2</v>
      </c>
      <c r="F82" s="407">
        <f>F79/F7</f>
        <v>9.9666922879836028E-2</v>
      </c>
      <c r="G82" s="43">
        <f t="shared" ref="G82:AL82" si="189">G79/G7</f>
        <v>0.11280487804878049</v>
      </c>
      <c r="H82" s="43">
        <f t="shared" si="189"/>
        <v>4.7350620067643741E-2</v>
      </c>
      <c r="I82" s="43">
        <f t="shared" si="189"/>
        <v>4.8875855327468229E-2</v>
      </c>
      <c r="J82" s="43">
        <f t="shared" si="189"/>
        <v>0.13652482269503546</v>
      </c>
      <c r="K82" s="407">
        <f t="shared" si="189"/>
        <v>8.876181004475385E-2</v>
      </c>
      <c r="L82" s="43">
        <f t="shared" si="189"/>
        <v>0.15090735434574976</v>
      </c>
      <c r="M82" s="43">
        <f t="shared" si="189"/>
        <v>9.3952483801295894E-2</v>
      </c>
      <c r="N82" s="43">
        <f t="shared" si="189"/>
        <v>0.1099116781157998</v>
      </c>
      <c r="O82" s="43">
        <f t="shared" si="189"/>
        <v>0.13628472222222221</v>
      </c>
      <c r="P82" s="407">
        <f t="shared" si="189"/>
        <v>0.12403474903474904</v>
      </c>
      <c r="Q82" s="43">
        <f t="shared" si="189"/>
        <v>0.1143141153081511</v>
      </c>
      <c r="R82" s="43">
        <f t="shared" si="189"/>
        <v>0.10978260869565218</v>
      </c>
      <c r="S82" s="43">
        <f t="shared" si="189"/>
        <v>0.10941960038058991</v>
      </c>
      <c r="T82" s="43">
        <f t="shared" si="189"/>
        <v>0.13417721518987341</v>
      </c>
      <c r="U82" s="407">
        <f t="shared" si="189"/>
        <v>0.11773185968284479</v>
      </c>
      <c r="V82" s="43">
        <f t="shared" si="189"/>
        <v>0.10400763358778627</v>
      </c>
      <c r="W82" s="43">
        <f t="shared" si="189"/>
        <v>0.13600000000000001</v>
      </c>
      <c r="X82" s="43">
        <f t="shared" si="189"/>
        <v>0.10681399631675875</v>
      </c>
      <c r="Y82" s="43">
        <f t="shared" si="189"/>
        <v>0.12440191387559808</v>
      </c>
      <c r="Z82" s="407">
        <f t="shared" si="189"/>
        <v>0.11782133090246126</v>
      </c>
      <c r="AA82" s="43">
        <f t="shared" si="189"/>
        <v>9.7826086956521743E-2</v>
      </c>
      <c r="AB82" s="43">
        <f t="shared" si="189"/>
        <v>7.8007518796992484E-2</v>
      </c>
      <c r="AC82" s="43">
        <f t="shared" si="189"/>
        <v>9.507346585998272E-2</v>
      </c>
      <c r="AD82" s="43">
        <f t="shared" si="189"/>
        <v>0.10765731614859743</v>
      </c>
      <c r="AE82" s="407">
        <f t="shared" si="189"/>
        <v>9.5391903531438421E-2</v>
      </c>
      <c r="AF82" s="43">
        <f t="shared" si="189"/>
        <v>9.6468561584840656E-2</v>
      </c>
      <c r="AG82" s="43">
        <f t="shared" si="189"/>
        <v>8.2652134423251589E-2</v>
      </c>
      <c r="AH82" s="43">
        <f t="shared" si="189"/>
        <v>0.10394842868654311</v>
      </c>
      <c r="AI82" s="43">
        <f t="shared" si="189"/>
        <v>0.12202380952380952</v>
      </c>
      <c r="AJ82" s="407">
        <f t="shared" si="189"/>
        <v>0.10233133897256035</v>
      </c>
      <c r="AK82" s="43">
        <f t="shared" si="189"/>
        <v>8.9588377723970949E-2</v>
      </c>
      <c r="AL82" s="43">
        <f t="shared" si="189"/>
        <v>7.7571669477234401E-2</v>
      </c>
      <c r="AM82" s="43">
        <f t="shared" ref="AM82:BR82" si="190">AM79/AM7</f>
        <v>7.3909830007390986E-2</v>
      </c>
      <c r="AN82" s="43">
        <f t="shared" si="190"/>
        <v>0.10568561872909699</v>
      </c>
      <c r="AO82" s="407">
        <f t="shared" si="190"/>
        <v>8.7426512421771282E-2</v>
      </c>
      <c r="AP82" s="43">
        <f t="shared" si="190"/>
        <v>9.2485549132947972E-2</v>
      </c>
      <c r="AQ82" s="43">
        <f t="shared" si="190"/>
        <v>7.0723684210526314E-2</v>
      </c>
      <c r="AR82" s="43">
        <f t="shared" si="190"/>
        <v>0.11333333333333333</v>
      </c>
      <c r="AS82" s="43">
        <f t="shared" si="190"/>
        <v>0.11333333333333333</v>
      </c>
      <c r="AT82" s="407">
        <f t="shared" si="190"/>
        <v>9.8532110091743119E-2</v>
      </c>
      <c r="AU82" s="43">
        <f t="shared" si="190"/>
        <v>0.10744435917114352</v>
      </c>
      <c r="AV82" s="43">
        <f t="shared" si="190"/>
        <v>7.6543209876543214E-2</v>
      </c>
      <c r="AW82" s="43">
        <f t="shared" si="190"/>
        <v>0.1111111111111111</v>
      </c>
      <c r="AX82" s="43">
        <f t="shared" si="190"/>
        <v>0.10496850944716585</v>
      </c>
      <c r="AY82" s="407">
        <f t="shared" si="190"/>
        <v>0.10049675200611387</v>
      </c>
      <c r="AZ82" s="43">
        <f t="shared" si="190"/>
        <v>0.11058451816745656</v>
      </c>
      <c r="BA82" s="43">
        <f t="shared" si="190"/>
        <v>7.9748939779474129E-2</v>
      </c>
      <c r="BB82" s="43">
        <f t="shared" si="190"/>
        <v>0.10812883435582822</v>
      </c>
      <c r="BC82" s="43">
        <f t="shared" si="190"/>
        <v>0.11403508771929824</v>
      </c>
      <c r="BD82" s="407">
        <f t="shared" si="190"/>
        <v>0.104</v>
      </c>
      <c r="BE82" s="43">
        <f t="shared" si="190"/>
        <v>9.9616858237547887E-2</v>
      </c>
      <c r="BF82" s="43">
        <f t="shared" si="190"/>
        <v>8.5995085995085999E-2</v>
      </c>
      <c r="BG82" s="43">
        <f t="shared" si="190"/>
        <v>9.5645967166309784E-2</v>
      </c>
      <c r="BH82" s="43">
        <f t="shared" si="190"/>
        <v>0.11291369240752758</v>
      </c>
      <c r="BI82" s="407">
        <f>BI79/BI7</f>
        <v>9.9305047549378203E-2</v>
      </c>
      <c r="BJ82" s="43">
        <f t="shared" si="190"/>
        <v>9.9402092675635281E-2</v>
      </c>
      <c r="BK82" s="43">
        <f t="shared" si="190"/>
        <v>9.2830188679245279E-2</v>
      </c>
      <c r="BL82" s="43">
        <f t="shared" si="190"/>
        <v>9.4833687190375091E-2</v>
      </c>
      <c r="BM82" s="43">
        <f>BM79/BM7</f>
        <v>0.11893988364576599</v>
      </c>
      <c r="BN82" s="407">
        <f>BN79/BN7</f>
        <v>0.10208073981860218</v>
      </c>
      <c r="BO82" s="43">
        <f t="shared" si="190"/>
        <v>0.10349962769918093</v>
      </c>
      <c r="BP82" s="43">
        <f t="shared" si="190"/>
        <v>9.0519877675840979E-2</v>
      </c>
      <c r="BQ82" s="43">
        <f t="shared" si="190"/>
        <v>0.11024890190336749</v>
      </c>
      <c r="BR82" s="43">
        <f t="shared" si="190"/>
        <v>0.11409485637942553</v>
      </c>
      <c r="BS82" s="407">
        <f>BS79/BS7</f>
        <v>0.10496916938701487</v>
      </c>
      <c r="BT82" s="43">
        <f>BT79/BT7</f>
        <v>0.10717455621301776</v>
      </c>
      <c r="BU82" s="43">
        <f t="shared" ref="BU82:CW82" si="191">BU79/BU7</f>
        <v>9.5315985130111511E-2</v>
      </c>
      <c r="BV82" s="43">
        <f t="shared" si="191"/>
        <v>0.10292648108493932</v>
      </c>
      <c r="BW82" s="43">
        <f t="shared" si="191"/>
        <v>0.12138728323699421</v>
      </c>
      <c r="BX82" s="407">
        <f t="shared" si="191"/>
        <v>0.10721485411140583</v>
      </c>
      <c r="BY82" s="43">
        <f>BY79/BY7</f>
        <v>0.12446043165467625</v>
      </c>
      <c r="BZ82" s="43">
        <f>BZ79/BZ7</f>
        <v>0.11197026022304832</v>
      </c>
      <c r="CA82" s="43">
        <f>CA79/CA7</f>
        <v>0.11150070126227209</v>
      </c>
      <c r="CB82" s="43">
        <f>CB79/CB7</f>
        <v>0.10312499999999999</v>
      </c>
      <c r="CC82" s="407">
        <f>CC79/CC7</f>
        <v>0.11241103975004339</v>
      </c>
      <c r="CD82" s="43">
        <f t="shared" si="191"/>
        <v>0.1243243243243243</v>
      </c>
      <c r="CE82" s="707">
        <f>CE79/CE7</f>
        <v>0.10633001422475107</v>
      </c>
      <c r="CF82" s="43">
        <f t="shared" si="191"/>
        <v>0.11679079214624238</v>
      </c>
      <c r="CG82" s="43">
        <f t="shared" si="191"/>
        <v>0.12289010321797206</v>
      </c>
      <c r="CH82" s="407">
        <f t="shared" si="191"/>
        <v>0.11783023606228026</v>
      </c>
      <c r="CI82" s="43">
        <f t="shared" si="191"/>
        <v>0.128</v>
      </c>
      <c r="CJ82" s="43">
        <f t="shared" si="191"/>
        <v>0.16454802259887005</v>
      </c>
      <c r="CK82" s="43">
        <f t="shared" ca="1" si="191"/>
        <v>0.11113467229717537</v>
      </c>
      <c r="CL82" s="43">
        <f ca="1">CL79/CL7</f>
        <v>0.12019062632477975</v>
      </c>
      <c r="CM82" s="407">
        <f t="shared" ca="1" si="191"/>
        <v>0.13006630558915511</v>
      </c>
      <c r="CN82" s="43">
        <f t="shared" ca="1" si="191"/>
        <v>0.13590018307224302</v>
      </c>
      <c r="CO82" s="43">
        <f t="shared" ca="1" si="191"/>
        <v>0.11523570850609288</v>
      </c>
      <c r="CP82" s="43">
        <f t="shared" ca="1" si="191"/>
        <v>0.11786699688653987</v>
      </c>
      <c r="CQ82" s="43">
        <f t="shared" ca="1" si="191"/>
        <v>0.12726955404365667</v>
      </c>
      <c r="CR82" s="407">
        <f t="shared" ca="1" si="191"/>
        <v>0.12422713327125098</v>
      </c>
      <c r="CS82" s="43">
        <f t="shared" ca="1" si="191"/>
        <v>0.14096225699571616</v>
      </c>
      <c r="CT82" s="43">
        <f t="shared" ca="1" si="191"/>
        <v>0.11604287665651207</v>
      </c>
      <c r="CU82" s="43">
        <f t="shared" ca="1" si="191"/>
        <v>0.12154926641397444</v>
      </c>
      <c r="CV82" s="43">
        <f t="shared" ca="1" si="191"/>
        <v>0.13113241117152002</v>
      </c>
      <c r="CW82" s="407">
        <f t="shared" ca="1" si="191"/>
        <v>0.12762323905902884</v>
      </c>
      <c r="CX82" s="43">
        <f t="shared" ref="CX82:DG82" ca="1" si="192">CX79/CX7</f>
        <v>0.14218889764531445</v>
      </c>
      <c r="CY82" s="43">
        <f t="shared" ca="1" si="192"/>
        <v>0.11730905529215488</v>
      </c>
      <c r="CZ82" s="43">
        <f t="shared" ca="1" si="192"/>
        <v>0.12257375663375468</v>
      </c>
      <c r="DA82" s="43">
        <f t="shared" ca="1" si="192"/>
        <v>0.13199865497488672</v>
      </c>
      <c r="DB82" s="407">
        <f t="shared" ca="1" si="192"/>
        <v>0.12870798874037528</v>
      </c>
      <c r="DC82" s="43">
        <f t="shared" ca="1" si="192"/>
        <v>0.14309194709509468</v>
      </c>
      <c r="DD82" s="43">
        <f t="shared" ca="1" si="192"/>
        <v>0.11827803858388909</v>
      </c>
      <c r="DE82" s="43">
        <f t="shared" ca="1" si="192"/>
        <v>0.12329772198928658</v>
      </c>
      <c r="DF82" s="43">
        <f t="shared" ca="1" si="192"/>
        <v>0.13256217875985041</v>
      </c>
      <c r="DG82" s="407">
        <f t="shared" ca="1" si="192"/>
        <v>0.12948686172279814</v>
      </c>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c r="HB82"/>
      <c r="HC82"/>
      <c r="HD82"/>
      <c r="HE82"/>
      <c r="HF82"/>
      <c r="HG82"/>
      <c r="HH82"/>
      <c r="HI82"/>
      <c r="HJ82"/>
      <c r="HK82"/>
      <c r="HL82"/>
      <c r="HM82"/>
      <c r="HN82"/>
      <c r="HO82"/>
      <c r="HP82"/>
      <c r="HQ82"/>
      <c r="HR82"/>
    </row>
    <row r="83" spans="1:226" s="36" customFormat="1" ht="3.75" customHeight="1" x14ac:dyDescent="0.2">
      <c r="B83" s="43"/>
      <c r="C83" s="43"/>
      <c r="D83" s="43"/>
      <c r="E83" s="741"/>
      <c r="F83" s="407"/>
      <c r="G83" s="43"/>
      <c r="H83" s="43"/>
      <c r="I83" s="43"/>
      <c r="J83" s="741"/>
      <c r="K83" s="407"/>
      <c r="L83" s="43"/>
      <c r="M83" s="43"/>
      <c r="N83" s="43"/>
      <c r="O83" s="741"/>
      <c r="P83" s="407"/>
      <c r="Q83" s="43"/>
      <c r="R83" s="43"/>
      <c r="S83" s="43"/>
      <c r="T83" s="741"/>
      <c r="U83" s="407"/>
      <c r="V83" s="43"/>
      <c r="W83" s="43"/>
      <c r="X83" s="43"/>
      <c r="Y83" s="741"/>
      <c r="Z83" s="407"/>
      <c r="AA83" s="43"/>
      <c r="AB83" s="43"/>
      <c r="AC83" s="43"/>
      <c r="AD83" s="741"/>
      <c r="AE83" s="407"/>
      <c r="AF83" s="43"/>
      <c r="AG83" s="43"/>
      <c r="AH83" s="43"/>
      <c r="AI83" s="741"/>
      <c r="AJ83" s="407"/>
      <c r="AK83" s="43"/>
      <c r="AL83" s="43"/>
      <c r="AM83" s="43"/>
      <c r="AN83" s="43"/>
      <c r="AO83" s="407"/>
      <c r="AP83" s="43"/>
      <c r="AQ83" s="43"/>
      <c r="AR83" s="43"/>
      <c r="AS83" s="43"/>
      <c r="AT83" s="407"/>
      <c r="AU83" s="43"/>
      <c r="AV83" s="43"/>
      <c r="AW83" s="89"/>
      <c r="AX83" s="43"/>
      <c r="AY83" s="407"/>
      <c r="AZ83" s="89"/>
      <c r="BA83" s="89"/>
      <c r="BB83" s="89"/>
      <c r="BC83" s="43"/>
      <c r="BD83" s="407"/>
      <c r="BE83" s="89"/>
      <c r="BF83" s="89"/>
      <c r="BG83" s="89"/>
      <c r="BH83" s="43"/>
      <c r="BI83" s="407"/>
      <c r="BJ83" s="89"/>
      <c r="BK83" s="89"/>
      <c r="BL83" s="89"/>
      <c r="BM83" s="43"/>
      <c r="BN83" s="407"/>
      <c r="BO83" s="89"/>
      <c r="BP83" s="89"/>
      <c r="BQ83" s="89"/>
      <c r="BR83" s="89"/>
      <c r="BS83" s="407"/>
      <c r="BT83" s="89"/>
      <c r="BU83" s="89"/>
      <c r="BV83" s="89"/>
      <c r="BW83" s="43"/>
      <c r="BX83" s="407"/>
      <c r="BY83" s="89"/>
      <c r="BZ83" s="89"/>
      <c r="CA83" s="89"/>
      <c r="CB83" s="89"/>
      <c r="CC83" s="407"/>
      <c r="CD83" s="89"/>
      <c r="CE83" s="794"/>
      <c r="CF83" s="89"/>
      <c r="CG83" s="43"/>
      <c r="CH83" s="407"/>
      <c r="CI83" s="89"/>
      <c r="CJ83" s="89"/>
      <c r="CK83" s="89"/>
      <c r="CL83" s="43"/>
      <c r="CM83" s="407"/>
      <c r="CN83" s="89"/>
      <c r="CO83" s="89"/>
      <c r="CP83" s="89"/>
      <c r="CQ83" s="43"/>
      <c r="CR83" s="407"/>
      <c r="CS83" s="89"/>
      <c r="CT83" s="89"/>
      <c r="CU83" s="89"/>
      <c r="CV83" s="43"/>
      <c r="CW83" s="407"/>
      <c r="CX83" s="89"/>
      <c r="CY83" s="89"/>
      <c r="CZ83" s="89"/>
      <c r="DA83" s="43"/>
      <c r="DB83" s="407"/>
      <c r="DC83" s="89"/>
      <c r="DD83" s="89"/>
      <c r="DE83" s="89"/>
      <c r="DF83" s="43"/>
      <c r="DG83" s="407"/>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row>
    <row r="84" spans="1:226" s="36" customFormat="1" ht="25.5" hidden="1" customHeight="1" outlineLevel="1" x14ac:dyDescent="0.2">
      <c r="A84" s="740" t="s">
        <v>142</v>
      </c>
      <c r="B84" s="655">
        <v>0</v>
      </c>
      <c r="C84" s="655">
        <v>0</v>
      </c>
      <c r="D84" s="655">
        <v>0</v>
      </c>
      <c r="E84" s="655">
        <v>0</v>
      </c>
      <c r="F84" s="441">
        <f>SUM(B84:E84)</f>
        <v>0</v>
      </c>
      <c r="G84" s="655">
        <v>-32</v>
      </c>
      <c r="H84" s="655">
        <v>9</v>
      </c>
      <c r="I84" s="655">
        <v>-4</v>
      </c>
      <c r="J84" s="655">
        <v>-9</v>
      </c>
      <c r="K84" s="441">
        <f>SUM(G84:J84)</f>
        <v>-36</v>
      </c>
      <c r="L84" s="655">
        <v>-13</v>
      </c>
      <c r="M84" s="655">
        <v>2</v>
      </c>
      <c r="N84" s="655">
        <v>-2</v>
      </c>
      <c r="O84" s="655">
        <v>-8</v>
      </c>
      <c r="P84" s="441">
        <f>SUM(L84:O84)</f>
        <v>-21</v>
      </c>
      <c r="Q84" s="655">
        <v>14</v>
      </c>
      <c r="R84" s="655">
        <v>8</v>
      </c>
      <c r="S84" s="655">
        <v>11</v>
      </c>
      <c r="T84" s="655">
        <v>26</v>
      </c>
      <c r="U84" s="441">
        <f>SUM(Q84:T84)</f>
        <v>59</v>
      </c>
      <c r="V84" s="655">
        <v>14</v>
      </c>
      <c r="W84" s="655">
        <v>563</v>
      </c>
      <c r="X84" s="655">
        <v>2</v>
      </c>
      <c r="Y84" s="655">
        <v>0</v>
      </c>
      <c r="Z84" s="441">
        <f>SUM(V84:Y84)</f>
        <v>579</v>
      </c>
      <c r="AA84" s="655">
        <v>1</v>
      </c>
      <c r="AB84" s="655">
        <v>0</v>
      </c>
      <c r="AC84" s="655">
        <v>0</v>
      </c>
      <c r="AD84" s="655">
        <v>0</v>
      </c>
      <c r="AE84" s="441">
        <f>SUM(AA84:AD84)</f>
        <v>1</v>
      </c>
      <c r="AF84" s="655">
        <v>0</v>
      </c>
      <c r="AG84" s="655">
        <v>5</v>
      </c>
      <c r="AH84" s="655">
        <v>0</v>
      </c>
      <c r="AI84" s="655">
        <v>0</v>
      </c>
      <c r="AJ84" s="441">
        <f>SUM(AF84:AI84)</f>
        <v>5</v>
      </c>
      <c r="AK84" s="655">
        <v>0</v>
      </c>
      <c r="AL84" s="655">
        <v>0</v>
      </c>
      <c r="AM84" s="655">
        <v>0</v>
      </c>
      <c r="AN84" s="655">
        <v>0</v>
      </c>
      <c r="AO84" s="441">
        <f>SUM(AK84:AN84)</f>
        <v>0</v>
      </c>
      <c r="AP84" s="655">
        <v>0</v>
      </c>
      <c r="AQ84" s="655">
        <v>0</v>
      </c>
      <c r="AR84" s="655">
        <v>0</v>
      </c>
      <c r="AS84" s="655">
        <v>0</v>
      </c>
      <c r="AT84" s="441">
        <f>SUM(AP84:AS84)</f>
        <v>0</v>
      </c>
      <c r="AU84" s="655">
        <v>0</v>
      </c>
      <c r="AV84" s="655">
        <v>0</v>
      </c>
      <c r="AW84" s="655">
        <v>0</v>
      </c>
      <c r="AX84" s="655">
        <v>0</v>
      </c>
      <c r="AY84" s="441">
        <f>SUM(AU84:AX84)</f>
        <v>0</v>
      </c>
      <c r="AZ84" s="677"/>
      <c r="BA84" s="677"/>
      <c r="BB84" s="734"/>
      <c r="BC84" s="734"/>
      <c r="BD84" s="742">
        <f>SUM(AZ84:BC84)</f>
        <v>0</v>
      </c>
      <c r="BE84" s="734">
        <f>BI84/4</f>
        <v>-0.25</v>
      </c>
      <c r="BF84" s="734">
        <f>BI84/4</f>
        <v>-0.25</v>
      </c>
      <c r="BG84" s="734">
        <f>BI84/4</f>
        <v>-0.25</v>
      </c>
      <c r="BH84" s="677">
        <f>BI84-SUM(BE84:BG84)</f>
        <v>-0.25</v>
      </c>
      <c r="BI84" s="742">
        <v>-1</v>
      </c>
      <c r="BJ84" s="677">
        <f>BN84/4</f>
        <v>-0.5</v>
      </c>
      <c r="BK84" s="677">
        <f>BN84/4</f>
        <v>-0.5</v>
      </c>
      <c r="BL84" s="677">
        <f>BN84/4</f>
        <v>-0.5</v>
      </c>
      <c r="BM84" s="677">
        <f>BN84-SUM(BJ84:BL84)</f>
        <v>-0.5</v>
      </c>
      <c r="BN84" s="742">
        <v>-2</v>
      </c>
      <c r="BO84" s="677">
        <v>-3</v>
      </c>
      <c r="BP84" s="677">
        <v>-3</v>
      </c>
      <c r="BQ84" s="677">
        <v>-14</v>
      </c>
      <c r="BR84" s="677">
        <v>-1</v>
      </c>
      <c r="BS84" s="742">
        <f>SUM(BO84:BR84)</f>
        <v>-21</v>
      </c>
      <c r="BT84" s="677">
        <v>-55</v>
      </c>
      <c r="BU84" s="677">
        <v>-3</v>
      </c>
      <c r="BV84" s="677">
        <v>30</v>
      </c>
      <c r="BW84" s="677">
        <v>2</v>
      </c>
      <c r="BX84" s="742">
        <f>SUM(BT84:BW84)</f>
        <v>-26</v>
      </c>
      <c r="BY84" s="677">
        <f>CC84/4</f>
        <v>0</v>
      </c>
      <c r="BZ84" s="677">
        <f>CC84/4</f>
        <v>0</v>
      </c>
      <c r="CA84" s="677">
        <f>CC84/4</f>
        <v>0</v>
      </c>
      <c r="CB84" s="677">
        <f>CC84-SUM(BY84:CA84)</f>
        <v>0</v>
      </c>
      <c r="CC84" s="742">
        <v>0</v>
      </c>
      <c r="CD84" s="677">
        <f>CH84/4</f>
        <v>0</v>
      </c>
      <c r="CE84" s="828">
        <f>CH84/4</f>
        <v>0</v>
      </c>
      <c r="CF84" s="677">
        <f>CH84/4</f>
        <v>0</v>
      </c>
      <c r="CG84" s="677">
        <v>-1</v>
      </c>
      <c r="CH84" s="742">
        <v>0</v>
      </c>
      <c r="CI84" s="677">
        <v>0</v>
      </c>
      <c r="CJ84" s="677">
        <v>0</v>
      </c>
      <c r="CK84" s="137">
        <f>CM84/4</f>
        <v>0</v>
      </c>
      <c r="CL84" s="58">
        <f>CM84-SUM(CI84:CK84)</f>
        <v>0</v>
      </c>
      <c r="CM84" s="444">
        <v>0</v>
      </c>
      <c r="CN84" s="137">
        <f>CR84/4</f>
        <v>0</v>
      </c>
      <c r="CO84" s="137">
        <f>CR84/4</f>
        <v>0</v>
      </c>
      <c r="CP84" s="137">
        <f>CR84/4</f>
        <v>0</v>
      </c>
      <c r="CQ84" s="58">
        <f>CR84-SUM(CN84:CP84)</f>
        <v>0</v>
      </c>
      <c r="CR84" s="444">
        <v>0</v>
      </c>
      <c r="CS84" s="137">
        <f>CW84/4</f>
        <v>0</v>
      </c>
      <c r="CT84" s="137">
        <f>CW84/4</f>
        <v>0</v>
      </c>
      <c r="CU84" s="137">
        <f>CW84/4</f>
        <v>0</v>
      </c>
      <c r="CV84" s="58">
        <f>CW84-SUM(CS84:CU84)</f>
        <v>0</v>
      </c>
      <c r="CW84" s="444">
        <v>0</v>
      </c>
      <c r="CX84" s="137">
        <f>DB84/4</f>
        <v>0</v>
      </c>
      <c r="CY84" s="137">
        <f>DB84/4</f>
        <v>0</v>
      </c>
      <c r="CZ84" s="137">
        <f>DB84/4</f>
        <v>0</v>
      </c>
      <c r="DA84" s="58">
        <f>DB84-SUM(CX84:CZ84)</f>
        <v>0</v>
      </c>
      <c r="DB84" s="444">
        <v>0</v>
      </c>
      <c r="DC84" s="137">
        <f>DG84/4</f>
        <v>0</v>
      </c>
      <c r="DD84" s="137">
        <f>DG84/4</f>
        <v>0</v>
      </c>
      <c r="DE84" s="137">
        <f>DG84/4</f>
        <v>0</v>
      </c>
      <c r="DF84" s="58">
        <f>DG84-SUM(DC84:DE84)</f>
        <v>0</v>
      </c>
      <c r="DG84" s="444">
        <v>0</v>
      </c>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c r="HB84"/>
      <c r="HC84"/>
      <c r="HD84"/>
      <c r="HE84"/>
      <c r="HF84"/>
      <c r="HG84"/>
      <c r="HH84"/>
      <c r="HI84"/>
      <c r="HJ84"/>
      <c r="HK84"/>
      <c r="HL84"/>
      <c r="HM84"/>
      <c r="HN84"/>
      <c r="HO84"/>
      <c r="HP84"/>
      <c r="HQ84"/>
      <c r="HR84"/>
    </row>
    <row r="85" spans="1:226" s="36" customFormat="1" ht="12" hidden="1" customHeight="1" outlineLevel="1" x14ac:dyDescent="0.2">
      <c r="B85" s="43"/>
      <c r="C85" s="43"/>
      <c r="D85" s="43"/>
      <c r="E85" s="741"/>
      <c r="F85" s="441"/>
      <c r="G85" s="43"/>
      <c r="H85" s="43"/>
      <c r="I85" s="43"/>
      <c r="J85" s="741"/>
      <c r="K85" s="441"/>
      <c r="L85" s="43"/>
      <c r="M85" s="43"/>
      <c r="N85" s="43"/>
      <c r="O85" s="741"/>
      <c r="P85" s="441"/>
      <c r="Q85" s="43"/>
      <c r="R85" s="43"/>
      <c r="S85" s="43"/>
      <c r="T85" s="741"/>
      <c r="U85" s="441"/>
      <c r="V85" s="43"/>
      <c r="W85" s="43"/>
      <c r="X85" s="43"/>
      <c r="Y85" s="741"/>
      <c r="Z85" s="441"/>
      <c r="AA85" s="43"/>
      <c r="AB85" s="43"/>
      <c r="AC85" s="43"/>
      <c r="AD85" s="741"/>
      <c r="AE85" s="441"/>
      <c r="AF85" s="43"/>
      <c r="AG85" s="43"/>
      <c r="AH85" s="43"/>
      <c r="AI85" s="741"/>
      <c r="AJ85" s="441"/>
      <c r="AK85" s="43"/>
      <c r="AL85" s="43"/>
      <c r="AM85" s="43"/>
      <c r="AN85" s="43"/>
      <c r="AO85" s="441"/>
      <c r="AP85" s="43"/>
      <c r="AQ85" s="43"/>
      <c r="AR85" s="43"/>
      <c r="AS85" s="43"/>
      <c r="AT85" s="441"/>
      <c r="AU85" s="43"/>
      <c r="AV85" s="43"/>
      <c r="AW85" s="35"/>
      <c r="AX85" s="22"/>
      <c r="AY85" s="441"/>
      <c r="AZ85" s="35"/>
      <c r="BA85" s="35"/>
      <c r="BB85" s="35"/>
      <c r="BC85" s="22"/>
      <c r="BD85" s="498"/>
      <c r="BE85" s="35"/>
      <c r="BF85" s="35"/>
      <c r="BG85" s="35"/>
      <c r="BH85" s="22"/>
      <c r="BI85" s="441"/>
      <c r="BJ85" s="35"/>
      <c r="BK85" s="35"/>
      <c r="BL85" s="35"/>
      <c r="BM85" s="22"/>
      <c r="BN85" s="441"/>
      <c r="BO85" s="35"/>
      <c r="BP85" s="35"/>
      <c r="BQ85" s="35"/>
      <c r="BR85" s="35"/>
      <c r="BS85" s="441"/>
      <c r="BT85" s="35"/>
      <c r="BU85" s="35"/>
      <c r="BV85" s="35"/>
      <c r="BW85" s="22"/>
      <c r="BX85" s="441"/>
      <c r="BY85" s="35"/>
      <c r="BZ85" s="35"/>
      <c r="CA85" s="35"/>
      <c r="CB85" s="35"/>
      <c r="CC85" s="441"/>
      <c r="CD85" s="35"/>
      <c r="CE85" s="624"/>
      <c r="CF85" s="35"/>
      <c r="CG85" s="22"/>
      <c r="CH85" s="441"/>
      <c r="CI85" s="35"/>
      <c r="CJ85" s="35"/>
      <c r="CK85" s="35"/>
      <c r="CL85" s="22"/>
      <c r="CM85" s="441"/>
      <c r="CN85" s="35"/>
      <c r="CO85" s="35"/>
      <c r="CP85" s="35"/>
      <c r="CQ85" s="22"/>
      <c r="CR85" s="441"/>
      <c r="CS85" s="35"/>
      <c r="CT85" s="35"/>
      <c r="CU85" s="35"/>
      <c r="CV85" s="22"/>
      <c r="CW85" s="441"/>
      <c r="CX85" s="35"/>
      <c r="CY85" s="35"/>
      <c r="CZ85" s="35"/>
      <c r="DA85" s="22"/>
      <c r="DB85" s="441"/>
      <c r="DC85" s="35"/>
      <c r="DD85" s="35"/>
      <c r="DE85" s="35"/>
      <c r="DF85" s="22"/>
      <c r="DG85" s="441"/>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row>
    <row r="86" spans="1:226" s="36" customFormat="1" ht="12" hidden="1" customHeight="1" outlineLevel="1" x14ac:dyDescent="0.2">
      <c r="A86" s="35" t="s">
        <v>134</v>
      </c>
      <c r="B86" s="35">
        <f t="shared" ref="B86:AW86" si="193">B79+B84</f>
        <v>100</v>
      </c>
      <c r="C86" s="35">
        <f t="shared" si="193"/>
        <v>73</v>
      </c>
      <c r="D86" s="35">
        <f t="shared" si="193"/>
        <v>109</v>
      </c>
      <c r="E86" s="35">
        <f t="shared" si="193"/>
        <v>107</v>
      </c>
      <c r="F86" s="435">
        <f t="shared" si="193"/>
        <v>389</v>
      </c>
      <c r="G86" s="35">
        <f t="shared" si="193"/>
        <v>79</v>
      </c>
      <c r="H86" s="35">
        <f t="shared" si="193"/>
        <v>51</v>
      </c>
      <c r="I86" s="35">
        <f t="shared" si="193"/>
        <v>46</v>
      </c>
      <c r="J86" s="35">
        <f t="shared" si="193"/>
        <v>145</v>
      </c>
      <c r="K86" s="435">
        <f t="shared" si="193"/>
        <v>321</v>
      </c>
      <c r="L86" s="35">
        <f t="shared" si="193"/>
        <v>145</v>
      </c>
      <c r="M86" s="35">
        <f t="shared" si="193"/>
        <v>89</v>
      </c>
      <c r="N86" s="35">
        <f t="shared" si="193"/>
        <v>110</v>
      </c>
      <c r="O86" s="35">
        <f t="shared" si="193"/>
        <v>149</v>
      </c>
      <c r="P86" s="435">
        <f t="shared" si="193"/>
        <v>493</v>
      </c>
      <c r="Q86" s="35">
        <f t="shared" si="193"/>
        <v>129</v>
      </c>
      <c r="R86" s="35">
        <f t="shared" si="193"/>
        <v>109</v>
      </c>
      <c r="S86" s="35">
        <f t="shared" si="193"/>
        <v>126</v>
      </c>
      <c r="T86" s="35">
        <f t="shared" si="193"/>
        <v>185</v>
      </c>
      <c r="U86" s="435">
        <f t="shared" si="193"/>
        <v>549</v>
      </c>
      <c r="V86" s="35">
        <f t="shared" si="193"/>
        <v>123</v>
      </c>
      <c r="W86" s="35">
        <f t="shared" si="193"/>
        <v>699</v>
      </c>
      <c r="X86" s="35">
        <f t="shared" si="193"/>
        <v>118</v>
      </c>
      <c r="Y86" s="35">
        <f t="shared" si="193"/>
        <v>156</v>
      </c>
      <c r="Z86" s="435">
        <f t="shared" si="193"/>
        <v>1096</v>
      </c>
      <c r="AA86" s="35">
        <f>AA79+AA84</f>
        <v>109</v>
      </c>
      <c r="AB86" s="35">
        <f>AB79+AB84</f>
        <v>83</v>
      </c>
      <c r="AC86" s="35">
        <f>AC79+AC84</f>
        <v>110</v>
      </c>
      <c r="AD86" s="35">
        <f>AD79+AD84</f>
        <v>142</v>
      </c>
      <c r="AE86" s="435">
        <f t="shared" si="193"/>
        <v>444</v>
      </c>
      <c r="AF86" s="35">
        <f t="shared" si="193"/>
        <v>112</v>
      </c>
      <c r="AG86" s="35">
        <f t="shared" si="193"/>
        <v>96</v>
      </c>
      <c r="AH86" s="35">
        <f t="shared" si="193"/>
        <v>129</v>
      </c>
      <c r="AI86" s="35">
        <f t="shared" si="193"/>
        <v>164</v>
      </c>
      <c r="AJ86" s="435">
        <f>AJ79+AJ84</f>
        <v>501</v>
      </c>
      <c r="AK86" s="35">
        <f t="shared" si="193"/>
        <v>111</v>
      </c>
      <c r="AL86" s="35">
        <f t="shared" si="193"/>
        <v>92</v>
      </c>
      <c r="AM86" s="35">
        <f t="shared" si="193"/>
        <v>100</v>
      </c>
      <c r="AN86" s="35">
        <f t="shared" si="193"/>
        <v>158</v>
      </c>
      <c r="AO86" s="435">
        <f>AO79+AO84</f>
        <v>461</v>
      </c>
      <c r="AP86" s="35">
        <f t="shared" si="193"/>
        <v>128</v>
      </c>
      <c r="AQ86" s="35">
        <f t="shared" si="193"/>
        <v>86</v>
      </c>
      <c r="AR86" s="35">
        <f t="shared" si="193"/>
        <v>153</v>
      </c>
      <c r="AS86" s="35">
        <f t="shared" si="193"/>
        <v>170</v>
      </c>
      <c r="AT86" s="435">
        <f>AT79+AT84</f>
        <v>537</v>
      </c>
      <c r="AU86" s="35">
        <f>AU79+AU84</f>
        <v>140</v>
      </c>
      <c r="AV86" s="35">
        <f t="shared" si="193"/>
        <v>93</v>
      </c>
      <c r="AW86" s="35">
        <f t="shared" si="193"/>
        <v>143</v>
      </c>
      <c r="AX86" s="35">
        <f t="shared" ref="AX86:CC86" si="194">AX79+AX84</f>
        <v>150</v>
      </c>
      <c r="AY86" s="435">
        <f t="shared" si="194"/>
        <v>526</v>
      </c>
      <c r="AZ86" s="35">
        <f>AZ79</f>
        <v>140</v>
      </c>
      <c r="BA86" s="35">
        <f>BA79</f>
        <v>94.024000000000001</v>
      </c>
      <c r="BB86" s="35">
        <f t="shared" si="194"/>
        <v>141</v>
      </c>
      <c r="BC86" s="35">
        <f t="shared" si="194"/>
        <v>169</v>
      </c>
      <c r="BD86" s="435">
        <f>+BD79</f>
        <v>544.024</v>
      </c>
      <c r="BE86" s="35">
        <f t="shared" si="194"/>
        <v>129.75</v>
      </c>
      <c r="BF86" s="35">
        <f t="shared" si="194"/>
        <v>104.75</v>
      </c>
      <c r="BG86" s="35">
        <f t="shared" si="194"/>
        <v>133.75</v>
      </c>
      <c r="BH86" s="35">
        <f t="shared" si="194"/>
        <v>173.75</v>
      </c>
      <c r="BI86" s="435">
        <f t="shared" si="194"/>
        <v>542</v>
      </c>
      <c r="BJ86" s="35">
        <f t="shared" si="194"/>
        <v>132.5</v>
      </c>
      <c r="BK86" s="35">
        <f t="shared" si="194"/>
        <v>122.5</v>
      </c>
      <c r="BL86" s="35">
        <f t="shared" si="194"/>
        <v>133.5</v>
      </c>
      <c r="BM86" s="35">
        <f>BM79+BM84</f>
        <v>183.5</v>
      </c>
      <c r="BN86" s="435">
        <f>BN79+BN84</f>
        <v>572</v>
      </c>
      <c r="BO86" s="35">
        <f>BO79+BO84</f>
        <v>136</v>
      </c>
      <c r="BP86" s="35">
        <f>BP79+BP84</f>
        <v>115.4</v>
      </c>
      <c r="BQ86" s="35">
        <f t="shared" si="194"/>
        <v>136.6</v>
      </c>
      <c r="BR86" s="35">
        <f t="shared" si="194"/>
        <v>169.8</v>
      </c>
      <c r="BS86" s="435">
        <f t="shared" si="194"/>
        <v>557.79999999999995</v>
      </c>
      <c r="BT86" s="35">
        <f>BT79+BT84</f>
        <v>89.9</v>
      </c>
      <c r="BU86" s="35">
        <f t="shared" si="194"/>
        <v>125.19999999999999</v>
      </c>
      <c r="BV86" s="35">
        <f t="shared" si="194"/>
        <v>174.2</v>
      </c>
      <c r="BW86" s="35">
        <f t="shared" si="194"/>
        <v>191</v>
      </c>
      <c r="BX86" s="435">
        <f t="shared" si="194"/>
        <v>580.29999999999995</v>
      </c>
      <c r="BY86" s="35">
        <f t="shared" si="194"/>
        <v>173</v>
      </c>
      <c r="BZ86" s="35">
        <f t="shared" si="194"/>
        <v>150.6</v>
      </c>
      <c r="CA86" s="35">
        <f>CA79+CA84</f>
        <v>159</v>
      </c>
      <c r="CB86" s="35">
        <f>CB79+CB84</f>
        <v>165</v>
      </c>
      <c r="CC86" s="435">
        <f t="shared" si="194"/>
        <v>647.6</v>
      </c>
      <c r="CD86" s="35">
        <f t="shared" ref="CD86:CW86" si="195">CD79+CD84</f>
        <v>179.39999999999998</v>
      </c>
      <c r="CE86" s="624">
        <f t="shared" si="195"/>
        <v>149.5</v>
      </c>
      <c r="CF86" s="35">
        <f t="shared" si="195"/>
        <v>172.5</v>
      </c>
      <c r="CG86" s="35">
        <f t="shared" si="195"/>
        <v>201.39999999999998</v>
      </c>
      <c r="CH86" s="435">
        <f t="shared" si="195"/>
        <v>703.8</v>
      </c>
      <c r="CI86" s="35">
        <f t="shared" si="195"/>
        <v>192</v>
      </c>
      <c r="CJ86" s="35">
        <f t="shared" si="195"/>
        <v>233</v>
      </c>
      <c r="CK86" s="35">
        <f t="shared" ca="1" si="195"/>
        <v>168.17067585637449</v>
      </c>
      <c r="CL86" s="35">
        <f t="shared" ca="1" si="195"/>
        <v>207.85788629290218</v>
      </c>
      <c r="CM86" s="435">
        <f t="shared" ca="1" si="195"/>
        <v>801.02856214927681</v>
      </c>
      <c r="CN86" s="35">
        <f t="shared" ca="1" si="195"/>
        <v>215.18925082656898</v>
      </c>
      <c r="CO86" s="35">
        <f t="shared" ca="1" si="195"/>
        <v>174.40671535472993</v>
      </c>
      <c r="CP86" s="35">
        <f t="shared" ca="1" si="195"/>
        <v>190.70625728237673</v>
      </c>
      <c r="CQ86" s="35">
        <f t="shared" ca="1" si="195"/>
        <v>226.5335496903954</v>
      </c>
      <c r="CR86" s="435">
        <f t="shared" ca="1" si="195"/>
        <v>806.83577315407092</v>
      </c>
      <c r="CS86" s="35">
        <f t="shared" ca="1" si="195"/>
        <v>228.44942256658908</v>
      </c>
      <c r="CT86" s="35">
        <f t="shared" ca="1" si="195"/>
        <v>179.84901314479629</v>
      </c>
      <c r="CU86" s="35">
        <f t="shared" ca="1" si="195"/>
        <v>201.2909347376621</v>
      </c>
      <c r="CV86" s="35">
        <f t="shared" ca="1" si="195"/>
        <v>238.73999827518935</v>
      </c>
      <c r="CW86" s="435">
        <f t="shared" ca="1" si="195"/>
        <v>848.32936872423693</v>
      </c>
      <c r="CX86" s="35">
        <f t="shared" ref="CX86:DG86" ca="1" si="196">CX79+CX84</f>
        <v>235.87578023488521</v>
      </c>
      <c r="CY86" s="35">
        <f t="shared" ca="1" si="196"/>
        <v>186.20076870144493</v>
      </c>
      <c r="CZ86" s="35">
        <f t="shared" ca="1" si="196"/>
        <v>207.7849923224021</v>
      </c>
      <c r="DA86" s="35">
        <f t="shared" ca="1" si="196"/>
        <v>245.83073469775536</v>
      </c>
      <c r="DB86" s="435">
        <f t="shared" ca="1" si="196"/>
        <v>875.69227595648749</v>
      </c>
      <c r="DC86" s="35">
        <f t="shared" ca="1" si="196"/>
        <v>243.00076435554433</v>
      </c>
      <c r="DD86" s="35">
        <f t="shared" ca="1" si="196"/>
        <v>192.29230327785018</v>
      </c>
      <c r="DE86" s="35">
        <f t="shared" ca="1" si="196"/>
        <v>213.97488182709878</v>
      </c>
      <c r="DF86" s="35">
        <f t="shared" ca="1" si="196"/>
        <v>252.57064004165611</v>
      </c>
      <c r="DG86" s="435">
        <f t="shared" ca="1" si="196"/>
        <v>901.83858950214938</v>
      </c>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row>
    <row r="87" spans="1:226" s="36" customFormat="1" ht="12" customHeight="1" collapsed="1" x14ac:dyDescent="0.2">
      <c r="B87" s="386"/>
      <c r="C87" s="386"/>
      <c r="D87" s="386"/>
      <c r="E87" s="386"/>
      <c r="F87" s="407"/>
      <c r="G87" s="386"/>
      <c r="H87" s="386"/>
      <c r="I87" s="386"/>
      <c r="J87" s="386"/>
      <c r="K87" s="407"/>
      <c r="L87" s="386"/>
      <c r="M87" s="386"/>
      <c r="N87" s="386"/>
      <c r="O87" s="386"/>
      <c r="P87" s="407"/>
      <c r="Q87" s="386"/>
      <c r="R87" s="386"/>
      <c r="S87" s="386"/>
      <c r="T87" s="386"/>
      <c r="U87" s="407"/>
      <c r="V87" s="386"/>
      <c r="W87" s="386"/>
      <c r="X87" s="386"/>
      <c r="Y87" s="386"/>
      <c r="Z87" s="407"/>
      <c r="AA87" s="386"/>
      <c r="AB87" s="386"/>
      <c r="AC87" s="386"/>
      <c r="AD87" s="386"/>
      <c r="AE87" s="407"/>
      <c r="AF87" s="386"/>
      <c r="AG87" s="386"/>
      <c r="AH87" s="386"/>
      <c r="AI87" s="386"/>
      <c r="AJ87" s="407"/>
      <c r="AK87" s="43"/>
      <c r="AL87" s="43"/>
      <c r="AM87" s="43"/>
      <c r="AN87" s="43"/>
      <c r="AO87" s="407"/>
      <c r="AP87" s="43"/>
      <c r="AQ87" s="43"/>
      <c r="AR87" s="43"/>
      <c r="AS87" s="43"/>
      <c r="AT87" s="407"/>
      <c r="AU87" s="43"/>
      <c r="AV87" s="43"/>
      <c r="AW87" s="350"/>
      <c r="AX87" s="386"/>
      <c r="AY87" s="575"/>
      <c r="AZ87" s="574"/>
      <c r="BA87" s="574"/>
      <c r="BB87" s="574"/>
      <c r="BC87" s="574"/>
      <c r="BD87" s="575"/>
      <c r="BE87" s="574"/>
      <c r="BF87" s="574"/>
      <c r="BG87" s="574"/>
      <c r="BH87" s="574"/>
      <c r="BI87" s="575"/>
      <c r="BJ87" s="386"/>
      <c r="BK87" s="386"/>
      <c r="BL87" s="386"/>
      <c r="BM87" s="574"/>
      <c r="BN87" s="575"/>
      <c r="BO87" s="386"/>
      <c r="BP87" s="386"/>
      <c r="BQ87" s="386"/>
      <c r="BR87" s="386"/>
      <c r="BS87" s="510"/>
      <c r="BT87" s="386"/>
      <c r="BU87" s="386"/>
      <c r="BV87" s="386"/>
      <c r="BW87" s="386"/>
      <c r="BX87" s="510"/>
      <c r="BY87" s="386"/>
      <c r="BZ87" s="386"/>
      <c r="CA87" s="386"/>
      <c r="CB87" s="386"/>
      <c r="CC87" s="510"/>
      <c r="CD87" s="386"/>
      <c r="CE87" s="795"/>
      <c r="CF87" s="386"/>
      <c r="CG87" s="386"/>
      <c r="CH87" s="510"/>
      <c r="CI87" s="386"/>
      <c r="CJ87" s="386"/>
      <c r="CK87" s="386"/>
      <c r="CL87" s="386"/>
      <c r="CM87" s="510"/>
      <c r="CN87" s="386"/>
      <c r="CO87" s="386"/>
      <c r="CP87" s="386"/>
      <c r="CQ87" s="386"/>
      <c r="CR87" s="510"/>
      <c r="CS87" s="386"/>
      <c r="CT87" s="386"/>
      <c r="CU87" s="386"/>
      <c r="CV87" s="386"/>
      <c r="CW87" s="510"/>
      <c r="CX87" s="386"/>
      <c r="CY87" s="386"/>
      <c r="CZ87" s="386"/>
      <c r="DA87" s="386"/>
      <c r="DB87" s="510"/>
      <c r="DC87" s="386"/>
      <c r="DD87" s="386"/>
      <c r="DE87" s="386"/>
      <c r="DF87" s="386"/>
      <c r="DG87" s="510"/>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c r="HB87"/>
      <c r="HC87"/>
      <c r="HD87"/>
      <c r="HE87"/>
      <c r="HF87"/>
      <c r="HG87"/>
      <c r="HH87"/>
      <c r="HI87"/>
      <c r="HJ87"/>
      <c r="HK87"/>
      <c r="HL87"/>
      <c r="HM87"/>
      <c r="HN87"/>
      <c r="HO87"/>
      <c r="HP87"/>
      <c r="HQ87"/>
      <c r="HR87"/>
    </row>
    <row r="88" spans="1:226" s="35" customFormat="1" ht="12" customHeight="1" x14ac:dyDescent="0.2">
      <c r="A88" s="35" t="s">
        <v>353</v>
      </c>
      <c r="B88" s="85">
        <f>B79/B98</f>
        <v>0.41911148365465217</v>
      </c>
      <c r="C88" s="85">
        <f>C79/C98</f>
        <v>0.30531158511083228</v>
      </c>
      <c r="D88" s="85">
        <f>D79/D98</f>
        <v>0.45454545454545453</v>
      </c>
      <c r="E88" s="85">
        <f>E79/E98</f>
        <v>0.44546211490424648</v>
      </c>
      <c r="F88" s="445">
        <f>F79/F98</f>
        <v>1.6242171189979122</v>
      </c>
      <c r="G88" s="85">
        <f>((G79+G108)/G98)-0.002</f>
        <v>0.4641906761864763</v>
      </c>
      <c r="H88" s="85">
        <f t="shared" ref="H88:T88" si="197">(H79+H108)/H98</f>
        <v>0.17804154302670622</v>
      </c>
      <c r="I88" s="85">
        <f t="shared" si="197"/>
        <v>0.21312872975277067</v>
      </c>
      <c r="J88" s="85">
        <f t="shared" si="197"/>
        <v>0.66580198875918717</v>
      </c>
      <c r="K88" s="445">
        <f t="shared" si="197"/>
        <v>1.5210907541542396</v>
      </c>
      <c r="L88" s="85">
        <f t="shared" si="197"/>
        <v>0.70504239178937977</v>
      </c>
      <c r="M88" s="85">
        <f t="shared" si="197"/>
        <v>0.39402173913043476</v>
      </c>
      <c r="N88" s="85">
        <f t="shared" si="197"/>
        <v>0.51211705532693186</v>
      </c>
      <c r="O88" s="85">
        <f t="shared" si="197"/>
        <v>0.72117593017914561</v>
      </c>
      <c r="P88" s="445">
        <f t="shared" si="197"/>
        <v>2.3290377539738638</v>
      </c>
      <c r="Q88" s="85">
        <f t="shared" si="197"/>
        <v>0.53536430377036137</v>
      </c>
      <c r="R88" s="85">
        <f t="shared" si="197"/>
        <v>0.47426969510563066</v>
      </c>
      <c r="S88" s="85">
        <f t="shared" si="197"/>
        <v>0.53837439023248412</v>
      </c>
      <c r="T88" s="85">
        <f t="shared" si="197"/>
        <v>0.74032686129347669</v>
      </c>
      <c r="U88" s="445">
        <f>((U79+U108)/U98)-0.001</f>
        <v>2.2847569354063748</v>
      </c>
      <c r="V88" s="85">
        <f>(V79+V108)/V98</f>
        <v>0.50670100456960632</v>
      </c>
      <c r="W88" s="85">
        <f>(W79+W108)/W98</f>
        <v>0.71652107941793197</v>
      </c>
      <c r="X88" s="85">
        <f>((X79+X108)/X98)+0.002</f>
        <v>0.74509434735817137</v>
      </c>
      <c r="Y88" s="85">
        <f>((Y79+Y108)/Y98)-0.002</f>
        <v>1.0040686577367326</v>
      </c>
      <c r="Z88" s="445">
        <f>((Z79+Z108)/Z98)-0.001</f>
        <v>2.8844310845202488</v>
      </c>
      <c r="AA88" s="85">
        <f>((AA79+AA108)/AA98)-0.002</f>
        <v>0.70442717913161779</v>
      </c>
      <c r="AB88" s="85">
        <f>(AB79+AB108)/AB98</f>
        <v>0.54510586875426892</v>
      </c>
      <c r="AC88" s="85">
        <f>(AC79+AC108)/AC98</f>
        <v>0.71940093522121573</v>
      </c>
      <c r="AD88" s="85">
        <f>((AD79+AD108)/AD98)-0.001</f>
        <v>0.9241477304562542</v>
      </c>
      <c r="AE88" s="445">
        <f>(AE79+AE108)/AE98</f>
        <v>2.8954059123796574</v>
      </c>
      <c r="AF88" s="85">
        <f>(AF79+AF108)/AF98</f>
        <v>0.72931860804334225</v>
      </c>
      <c r="AG88" s="85">
        <f>(AG79+AG108)/AG98</f>
        <v>0.59135068395230206</v>
      </c>
      <c r="AH88" s="85">
        <f>(AH79+AH108)/AH98</f>
        <v>0.83782555043190232</v>
      </c>
      <c r="AI88" s="85">
        <f>((AI79+AI108)/AI98)+0.003</f>
        <v>1.0658025585027444</v>
      </c>
      <c r="AJ88" s="445">
        <f>((AJ79+AJ108)/AJ98)+0.003</f>
        <v>3.2251392146035665</v>
      </c>
      <c r="AK88" s="85">
        <f>(AK79+AK108)/AK98</f>
        <v>0.75961321316389163</v>
      </c>
      <c r="AL88" s="85">
        <f>(AL79+AL108)/AL98</f>
        <v>0.65236197580587973</v>
      </c>
      <c r="AM88" s="85">
        <f>(AM79+AM108)/AM98</f>
        <v>0.7127583749109051</v>
      </c>
      <c r="AN88" s="85">
        <f>(AN79+AN108)/AN98</f>
        <v>1.1269132562087216</v>
      </c>
      <c r="AO88" s="445">
        <f>((AO79+AO108)/AO98)-0.01</f>
        <v>3.2363874257063188</v>
      </c>
      <c r="AP88" s="85">
        <f>(AP79+AP108-0.5)/AP98</f>
        <v>0.90447590447590442</v>
      </c>
      <c r="AQ88" s="85">
        <f>(AQ79+AQ108)/AQ98</f>
        <v>0.60563310034271711</v>
      </c>
      <c r="AR88" s="85">
        <f>(AR79+AR108-0.5)/AR98</f>
        <v>1.0765754242346721</v>
      </c>
      <c r="AS88" s="85">
        <f>(AS79+AS108)/AS98</f>
        <v>1.1962061155152888</v>
      </c>
      <c r="AT88" s="445">
        <f>(AT79)/AT98</f>
        <v>3.8068097233151148</v>
      </c>
      <c r="AU88" s="85">
        <f>(AU79+AU108)/AU98</f>
        <v>0.98678839423261233</v>
      </c>
      <c r="AV88" s="85">
        <f t="shared" ref="AV88:BW88" si="198">(AV79+AV108)/AV98</f>
        <v>0.6571137866711888</v>
      </c>
      <c r="AW88" s="85">
        <f t="shared" si="198"/>
        <v>0.99990141817003952</v>
      </c>
      <c r="AX88" s="85">
        <f t="shared" si="198"/>
        <v>1.0483512294300781</v>
      </c>
      <c r="AY88" s="445">
        <f>(AY79+AY108)/AY98</f>
        <v>3.6916924555230546</v>
      </c>
      <c r="AZ88" s="85">
        <f t="shared" si="198"/>
        <v>0.98274345074220204</v>
      </c>
      <c r="BA88" s="85">
        <f t="shared" si="198"/>
        <v>0.67800227865991725</v>
      </c>
      <c r="BB88" s="85">
        <f t="shared" si="198"/>
        <v>1.0240469463791588</v>
      </c>
      <c r="BC88" s="85">
        <f t="shared" si="198"/>
        <v>1.2643359991620968</v>
      </c>
      <c r="BD88" s="445">
        <f>(BD79+BD108)/BD98</f>
        <v>3.9387112816398835</v>
      </c>
      <c r="BE88" s="85">
        <f t="shared" si="198"/>
        <v>0.97521910621131513</v>
      </c>
      <c r="BF88" s="85">
        <f t="shared" si="198"/>
        <v>0.79330301152933702</v>
      </c>
      <c r="BG88" s="85">
        <f>(BG79+BG108)/BG98</f>
        <v>1.0181829234007309</v>
      </c>
      <c r="BH88" s="85">
        <f t="shared" si="198"/>
        <v>1.3242513033220442</v>
      </c>
      <c r="BI88" s="445">
        <f>(BI79+BI108)/BI98</f>
        <v>4.10399818607815</v>
      </c>
      <c r="BJ88" s="85">
        <f t="shared" si="198"/>
        <v>1.0098555830587235</v>
      </c>
      <c r="BK88" s="85">
        <f t="shared" si="198"/>
        <v>0.92869439159191813</v>
      </c>
      <c r="BL88" s="85">
        <f t="shared" si="198"/>
        <v>1.0039333208466006</v>
      </c>
      <c r="BM88" s="85">
        <f t="shared" ref="BM88:BT88" si="199">(BM79+BM108)/BM98</f>
        <v>1.377121815405802</v>
      </c>
      <c r="BN88" s="445">
        <f t="shared" si="199"/>
        <v>4.3167956440974962</v>
      </c>
      <c r="BO88" s="85">
        <f t="shared" si="199"/>
        <v>1.0511430235108177</v>
      </c>
      <c r="BP88" s="85">
        <f t="shared" si="199"/>
        <v>0.89508459456598988</v>
      </c>
      <c r="BQ88" s="85">
        <f t="shared" si="199"/>
        <v>1.1447683478393067</v>
      </c>
      <c r="BR88" s="85">
        <f t="shared" si="199"/>
        <v>1.3015812535721092</v>
      </c>
      <c r="BS88" s="445">
        <f t="shared" si="199"/>
        <v>4.3907110820318795</v>
      </c>
      <c r="BT88" s="85">
        <f t="shared" si="199"/>
        <v>1.1029999467149785</v>
      </c>
      <c r="BU88" s="85">
        <f t="shared" si="198"/>
        <v>0.96522334906903384</v>
      </c>
      <c r="BV88" s="85">
        <f>(BV79+BV108)/BV98</f>
        <v>1.0751966595831934</v>
      </c>
      <c r="BW88" s="85">
        <f t="shared" si="198"/>
        <v>1.4360174449526646</v>
      </c>
      <c r="BX88" s="445">
        <f t="shared" ref="BX88:CC88" si="200">(BX79+BX108)/BX98</f>
        <v>4.5663372898716625</v>
      </c>
      <c r="BY88" s="85">
        <f t="shared" si="200"/>
        <v>1.3183965858862978</v>
      </c>
      <c r="BZ88" s="85">
        <f t="shared" si="200"/>
        <v>1.1448466696060693</v>
      </c>
      <c r="CA88" s="85">
        <f t="shared" si="200"/>
        <v>1.2077753385948788</v>
      </c>
      <c r="CB88" s="85">
        <f>(CB79+CB108)/CB98</f>
        <v>1.2546488542014389</v>
      </c>
      <c r="CC88" s="445">
        <f t="shared" si="200"/>
        <v>4.9166015017044113</v>
      </c>
      <c r="CD88" s="85">
        <f>(CD79+CD108)/CD98</f>
        <v>1.3571066546640136</v>
      </c>
      <c r="CE88" s="796">
        <f>(CE79+CE108)/CE98</f>
        <v>1.1431848594914931</v>
      </c>
      <c r="CF88" s="85">
        <f t="shared" ref="CF88:CW88" si="201">(CF79+CF108)/CF98</f>
        <v>1.313165146693869</v>
      </c>
      <c r="CG88" s="85">
        <f t="shared" si="201"/>
        <v>1.5343329745136982</v>
      </c>
      <c r="CH88" s="445">
        <f t="shared" si="201"/>
        <v>5.349406381587948</v>
      </c>
      <c r="CI88" s="85">
        <f t="shared" si="201"/>
        <v>1.4599761233071502</v>
      </c>
      <c r="CJ88" s="85">
        <f t="shared" si="201"/>
        <v>1.7697770688542023</v>
      </c>
      <c r="CK88" s="85">
        <f t="shared" ca="1" si="201"/>
        <v>1.2778138298486028</v>
      </c>
      <c r="CL88" s="85">
        <f t="shared" ca="1" si="201"/>
        <v>1.5880698291237687</v>
      </c>
      <c r="CM88" s="445">
        <f t="shared" ca="1" si="201"/>
        <v>6.0954207683995199</v>
      </c>
      <c r="CN88" s="85">
        <f t="shared" ca="1" si="201"/>
        <v>1.658630417923052</v>
      </c>
      <c r="CO88" s="85">
        <f t="shared" ca="1" si="201"/>
        <v>1.3520411884940293</v>
      </c>
      <c r="CP88" s="85">
        <f t="shared" ca="1" si="201"/>
        <v>1.481108734529847</v>
      </c>
      <c r="CQ88" s="85">
        <f t="shared" ca="1" si="201"/>
        <v>1.7642783331541703</v>
      </c>
      <c r="CR88" s="445">
        <f t="shared" ca="1" si="201"/>
        <v>6.2558322943261153</v>
      </c>
      <c r="CS88" s="85">
        <f t="shared" ca="1" si="201"/>
        <v>1.7868534074632787</v>
      </c>
      <c r="CT88" s="85">
        <f t="shared" ca="1" si="201"/>
        <v>1.412795315077443</v>
      </c>
      <c r="CU88" s="85">
        <f t="shared" ca="1" si="201"/>
        <v>1.5880926561462987</v>
      </c>
      <c r="CV88" s="85">
        <f t="shared" ca="1" si="201"/>
        <v>1.8917573000341787</v>
      </c>
      <c r="CW88" s="445">
        <f t="shared" ca="1" si="201"/>
        <v>6.6784378453981148</v>
      </c>
      <c r="CX88" s="85">
        <f t="shared" ref="CX88:DG88" ca="1" si="202">(CX79+CX108)/CX98</f>
        <v>1.8772427772841378</v>
      </c>
      <c r="CY88" s="85">
        <f t="shared" ca="1" si="202"/>
        <v>1.4884139895424955</v>
      </c>
      <c r="CZ88" s="85">
        <f t="shared" ca="1" si="202"/>
        <v>1.6682841600024316</v>
      </c>
      <c r="DA88" s="85">
        <f t="shared" ca="1" si="202"/>
        <v>1.9825040064296335</v>
      </c>
      <c r="DB88" s="445">
        <f t="shared" ca="1" si="202"/>
        <v>7.0153529670669439</v>
      </c>
      <c r="DC88" s="85">
        <f t="shared" ca="1" si="202"/>
        <v>1.968412540672656</v>
      </c>
      <c r="DD88" s="85">
        <f t="shared" ca="1" si="202"/>
        <v>1.5646225835894234</v>
      </c>
      <c r="DE88" s="85">
        <f t="shared" ca="1" si="202"/>
        <v>1.7488734937660766</v>
      </c>
      <c r="DF88" s="85">
        <f t="shared" ca="1" si="202"/>
        <v>2.0736485320511675</v>
      </c>
      <c r="DG88" s="445">
        <f t="shared" ca="1" si="202"/>
        <v>7.3544359385919407</v>
      </c>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c r="HB88"/>
      <c r="HC88"/>
      <c r="HD88"/>
      <c r="HE88"/>
      <c r="HF88"/>
      <c r="HG88"/>
      <c r="HH88"/>
      <c r="HI88"/>
      <c r="HJ88"/>
      <c r="HK88"/>
      <c r="HL88"/>
      <c r="HM88"/>
      <c r="HN88"/>
      <c r="HO88"/>
      <c r="HP88"/>
      <c r="HQ88"/>
      <c r="HR88"/>
    </row>
    <row r="89" spans="1:226" s="35" customFormat="1" ht="12" customHeight="1" x14ac:dyDescent="0.2">
      <c r="A89" s="36" t="s">
        <v>191</v>
      </c>
      <c r="B89" s="743"/>
      <c r="C89" s="743"/>
      <c r="D89" s="743"/>
      <c r="E89" s="743"/>
      <c r="F89" s="744"/>
      <c r="G89" s="743"/>
      <c r="H89" s="743"/>
      <c r="I89" s="743"/>
      <c r="J89" s="743"/>
      <c r="K89" s="744"/>
      <c r="L89" s="743">
        <f>L88/G88-1</f>
        <v>0.51886375138251961</v>
      </c>
      <c r="M89" s="743">
        <f t="shared" ref="M89:AW89" si="203">M88/H88-1</f>
        <v>1.2130887681159419</v>
      </c>
      <c r="N89" s="743">
        <f t="shared" si="203"/>
        <v>1.4028532235939641</v>
      </c>
      <c r="O89" s="743">
        <f t="shared" si="203"/>
        <v>8.3168783444392158E-2</v>
      </c>
      <c r="P89" s="744">
        <f t="shared" si="203"/>
        <v>0.53116291556769135</v>
      </c>
      <c r="Q89" s="743">
        <f t="shared" si="203"/>
        <v>-0.24066366788013938</v>
      </c>
      <c r="R89" s="743">
        <f t="shared" si="203"/>
        <v>0.20366377792325574</v>
      </c>
      <c r="S89" s="743">
        <f t="shared" si="203"/>
        <v>5.1272135212895309E-2</v>
      </c>
      <c r="T89" s="743">
        <f t="shared" si="203"/>
        <v>2.6555144608852776E-2</v>
      </c>
      <c r="U89" s="744">
        <f t="shared" si="203"/>
        <v>-1.9012494963611459E-2</v>
      </c>
      <c r="V89" s="743">
        <f t="shared" si="203"/>
        <v>-5.3539802707970319E-2</v>
      </c>
      <c r="W89" s="743">
        <f t="shared" si="203"/>
        <v>0.51078824308676607</v>
      </c>
      <c r="X89" s="743">
        <f t="shared" si="203"/>
        <v>0.38397063618947436</v>
      </c>
      <c r="Y89" s="743">
        <f t="shared" si="203"/>
        <v>0.35625047561080558</v>
      </c>
      <c r="Z89" s="744">
        <f t="shared" si="203"/>
        <v>0.26246737227092121</v>
      </c>
      <c r="AA89" s="743">
        <f t="shared" si="203"/>
        <v>0.39022258250693787</v>
      </c>
      <c r="AB89" s="743">
        <f t="shared" si="203"/>
        <v>-0.23923261378843552</v>
      </c>
      <c r="AC89" s="743">
        <f t="shared" si="203"/>
        <v>-3.4483434518131739E-2</v>
      </c>
      <c r="AD89" s="743">
        <f t="shared" si="203"/>
        <v>-7.9597074029407411E-2</v>
      </c>
      <c r="AE89" s="744">
        <f t="shared" si="203"/>
        <v>3.8048500857956746E-3</v>
      </c>
      <c r="AF89" s="743">
        <f t="shared" si="203"/>
        <v>3.5335702041493278E-2</v>
      </c>
      <c r="AG89" s="743">
        <f t="shared" si="203"/>
        <v>8.4836392064015831E-2</v>
      </c>
      <c r="AH89" s="743">
        <f t="shared" si="203"/>
        <v>0.16461559807990933</v>
      </c>
      <c r="AI89" s="743">
        <f t="shared" si="203"/>
        <v>0.15328158407807257</v>
      </c>
      <c r="AJ89" s="744">
        <f t="shared" si="203"/>
        <v>0.11388154621571167</v>
      </c>
      <c r="AK89" s="743">
        <f t="shared" si="203"/>
        <v>4.1538231421004657E-2</v>
      </c>
      <c r="AL89" s="743">
        <f t="shared" si="203"/>
        <v>0.10317277633942634</v>
      </c>
      <c r="AM89" s="743">
        <f t="shared" si="203"/>
        <v>-0.1492759148447127</v>
      </c>
      <c r="AN89" s="743">
        <f t="shared" si="203"/>
        <v>5.7337728473673799E-2</v>
      </c>
      <c r="AO89" s="744">
        <f t="shared" si="203"/>
        <v>3.4876668429753011E-3</v>
      </c>
      <c r="AP89" s="743">
        <f t="shared" si="203"/>
        <v>0.190705860300455</v>
      </c>
      <c r="AQ89" s="743">
        <f t="shared" si="203"/>
        <v>-7.1630286859434511E-2</v>
      </c>
      <c r="AR89" s="743">
        <f t="shared" si="203"/>
        <v>0.51043532020124527</v>
      </c>
      <c r="AS89" s="743">
        <f t="shared" si="203"/>
        <v>6.1489079948965575E-2</v>
      </c>
      <c r="AT89" s="744">
        <f t="shared" si="203"/>
        <v>0.1762527851511182</v>
      </c>
      <c r="AU89" s="743">
        <f t="shared" si="203"/>
        <v>9.1005729781606037E-2</v>
      </c>
      <c r="AV89" s="743">
        <f t="shared" si="203"/>
        <v>8.5003092300172556E-2</v>
      </c>
      <c r="AW89" s="743">
        <f t="shared" si="203"/>
        <v>-7.122028270256997E-2</v>
      </c>
      <c r="AX89" s="743">
        <f t="shared" ref="AX89:CB89" si="204">AX88/AS88-1</f>
        <v>-0.12360318524330516</v>
      </c>
      <c r="AY89" s="744">
        <f t="shared" si="204"/>
        <v>-3.0239827088550109E-2</v>
      </c>
      <c r="AZ89" s="743">
        <f t="shared" si="204"/>
        <v>-4.0990991726811421E-3</v>
      </c>
      <c r="BA89" s="743">
        <f t="shared" si="204"/>
        <v>3.1788241872911405E-2</v>
      </c>
      <c r="BB89" s="743">
        <f t="shared" si="204"/>
        <v>2.4147908754154068E-2</v>
      </c>
      <c r="BC89" s="743">
        <f t="shared" si="204"/>
        <v>0.20602329035225719</v>
      </c>
      <c r="BD89" s="744">
        <f t="shared" si="204"/>
        <v>6.691208140788385E-2</v>
      </c>
      <c r="BE89" s="743">
        <f t="shared" si="204"/>
        <v>-7.6564687612054039E-3</v>
      </c>
      <c r="BF89" s="743">
        <f t="shared" si="204"/>
        <v>0.17005950643309564</v>
      </c>
      <c r="BG89" s="743">
        <f t="shared" si="204"/>
        <v>-5.7263224104734389E-3</v>
      </c>
      <c r="BH89" s="743">
        <f t="shared" si="204"/>
        <v>4.7388751249394678E-2</v>
      </c>
      <c r="BI89" s="744">
        <f t="shared" si="204"/>
        <v>4.1964717040505972E-2</v>
      </c>
      <c r="BJ89" s="743">
        <f t="shared" si="204"/>
        <v>3.5516610192318332E-2</v>
      </c>
      <c r="BK89" s="743">
        <f t="shared" si="204"/>
        <v>0.1706679264983153</v>
      </c>
      <c r="BL89" s="743">
        <f t="shared" si="204"/>
        <v>-1.399513017418974E-2</v>
      </c>
      <c r="BM89" s="743">
        <f t="shared" si="204"/>
        <v>3.9924832961180323E-2</v>
      </c>
      <c r="BN89" s="744">
        <f t="shared" si="204"/>
        <v>5.1851255378526195E-2</v>
      </c>
      <c r="BO89" s="743">
        <f t="shared" si="204"/>
        <v>4.088449986783238E-2</v>
      </c>
      <c r="BP89" s="743">
        <f t="shared" si="204"/>
        <v>-3.6190373636601936E-2</v>
      </c>
      <c r="BQ89" s="743">
        <f t="shared" si="204"/>
        <v>0.14028324796904057</v>
      </c>
      <c r="BR89" s="743">
        <f t="shared" si="204"/>
        <v>-5.4853943194148713E-2</v>
      </c>
      <c r="BS89" s="744">
        <f t="shared" si="204"/>
        <v>1.7122755865325745E-2</v>
      </c>
      <c r="BT89" s="743">
        <f>BT88/BO88-1</f>
        <v>4.9333841393874867E-2</v>
      </c>
      <c r="BU89" s="743">
        <f>BU88/BP88-1</f>
        <v>7.835991696075717E-2</v>
      </c>
      <c r="BV89" s="743">
        <f>BV88/BQ88-1</f>
        <v>-6.077359527578341E-2</v>
      </c>
      <c r="BW89" s="743">
        <f>BW88/BR88-1</f>
        <v>0.10328682209551165</v>
      </c>
      <c r="BX89" s="744">
        <f>BX88/BS88-1</f>
        <v>3.9999490870282539E-2</v>
      </c>
      <c r="BY89" s="743">
        <f t="shared" si="204"/>
        <v>0.19528254721392035</v>
      </c>
      <c r="BZ89" s="743">
        <f t="shared" si="204"/>
        <v>0.18609508432455946</v>
      </c>
      <c r="CA89" s="743">
        <f t="shared" si="204"/>
        <v>0.12330644615570163</v>
      </c>
      <c r="CB89" s="743">
        <f t="shared" si="204"/>
        <v>-0.12629971271498319</v>
      </c>
      <c r="CC89" s="744">
        <f>CC88/BX88-1</f>
        <v>7.6705724872678571E-2</v>
      </c>
      <c r="CD89" s="316">
        <f t="shared" ref="CD89:CW89" si="205">CD88/BY88-1</f>
        <v>2.9361475289085837E-2</v>
      </c>
      <c r="CE89" s="797">
        <f t="shared" si="205"/>
        <v>-1.4515569278356066E-3</v>
      </c>
      <c r="CF89" s="316">
        <f t="shared" si="205"/>
        <v>8.7259446961055032E-2</v>
      </c>
      <c r="CG89" s="316">
        <f t="shared" si="205"/>
        <v>0.22291824471499089</v>
      </c>
      <c r="CH89" s="446">
        <f t="shared" si="205"/>
        <v>8.8029277893174385E-2</v>
      </c>
      <c r="CI89" s="316">
        <f t="shared" si="205"/>
        <v>7.5800577861439011E-2</v>
      </c>
      <c r="CJ89" s="316">
        <f t="shared" si="205"/>
        <v>0.54811101123350037</v>
      </c>
      <c r="CK89" s="316">
        <f t="shared" ca="1" si="205"/>
        <v>-2.692069381697304E-2</v>
      </c>
      <c r="CL89" s="316">
        <f t="shared" ca="1" si="205"/>
        <v>3.5022941892454806E-2</v>
      </c>
      <c r="CM89" s="446">
        <f t="shared" ca="1" si="205"/>
        <v>0.1394574151964354</v>
      </c>
      <c r="CN89" s="316">
        <f t="shared" ca="1" si="205"/>
        <v>0.13606681057626369</v>
      </c>
      <c r="CO89" s="316">
        <f t="shared" ca="1" si="205"/>
        <v>-0.23603870098205393</v>
      </c>
      <c r="CP89" s="316">
        <f t="shared" ca="1" si="205"/>
        <v>0.15909587134874803</v>
      </c>
      <c r="CQ89" s="316">
        <f t="shared" ca="1" si="205"/>
        <v>0.11095765488324028</v>
      </c>
      <c r="CR89" s="446">
        <f t="shared" ca="1" si="205"/>
        <v>2.631672726487011E-2</v>
      </c>
      <c r="CS89" s="316">
        <f t="shared" ca="1" si="205"/>
        <v>7.7306546506477503E-2</v>
      </c>
      <c r="CT89" s="316">
        <f t="shared" ca="1" si="205"/>
        <v>4.4935115217225485E-2</v>
      </c>
      <c r="CU89" s="316">
        <f t="shared" ca="1" si="205"/>
        <v>7.2232321045903491E-2</v>
      </c>
      <c r="CV89" s="316">
        <f t="shared" ca="1" si="205"/>
        <v>7.2255587162430412E-2</v>
      </c>
      <c r="CW89" s="446">
        <f t="shared" ca="1" si="205"/>
        <v>6.7553849142550026E-2</v>
      </c>
      <c r="CX89" s="316">
        <f t="shared" ref="CX89:DG89" ca="1" si="206">CX88/CS88-1</f>
        <v>5.0585778018120253E-2</v>
      </c>
      <c r="CY89" s="316">
        <f t="shared" ca="1" si="206"/>
        <v>5.352415431877855E-2</v>
      </c>
      <c r="CZ89" s="316">
        <f t="shared" ca="1" si="206"/>
        <v>5.0495481825806987E-2</v>
      </c>
      <c r="DA89" s="316">
        <f t="shared" ca="1" si="206"/>
        <v>4.7969528857541688E-2</v>
      </c>
      <c r="DB89" s="446">
        <f t="shared" ca="1" si="206"/>
        <v>5.0448193045771417E-2</v>
      </c>
      <c r="DC89" s="316">
        <f t="shared" ca="1" si="206"/>
        <v>4.8565781949853282E-2</v>
      </c>
      <c r="DD89" s="316">
        <f t="shared" ca="1" si="206"/>
        <v>5.1201207851017783E-2</v>
      </c>
      <c r="DE89" s="316">
        <f t="shared" ca="1" si="206"/>
        <v>4.8306718780766644E-2</v>
      </c>
      <c r="DF89" s="316">
        <f t="shared" ca="1" si="206"/>
        <v>4.5974447126429618E-2</v>
      </c>
      <c r="DG89" s="446">
        <f t="shared" ca="1" si="206"/>
        <v>4.8334413552218569E-2</v>
      </c>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c r="HB89"/>
      <c r="HC89"/>
      <c r="HD89"/>
      <c r="HE89"/>
      <c r="HF89"/>
      <c r="HG89"/>
      <c r="HH89"/>
      <c r="HI89"/>
      <c r="HJ89"/>
      <c r="HK89"/>
      <c r="HL89"/>
      <c r="HM89"/>
      <c r="HN89"/>
      <c r="HO89"/>
      <c r="HP89"/>
      <c r="HQ89"/>
      <c r="HR89"/>
    </row>
    <row r="90" spans="1:226" s="35" customFormat="1" ht="12" customHeight="1" x14ac:dyDescent="0.2">
      <c r="A90" s="36"/>
      <c r="B90" s="85"/>
      <c r="C90" s="85"/>
      <c r="D90" s="85"/>
      <c r="E90" s="85"/>
      <c r="F90" s="445"/>
      <c r="G90" s="85"/>
      <c r="H90" s="85"/>
      <c r="I90" s="85"/>
      <c r="J90" s="85"/>
      <c r="K90" s="445"/>
      <c r="L90" s="85"/>
      <c r="M90" s="85"/>
      <c r="N90" s="85"/>
      <c r="O90" s="85"/>
      <c r="P90" s="445"/>
      <c r="Q90" s="85"/>
      <c r="R90" s="85"/>
      <c r="S90" s="85"/>
      <c r="T90" s="85"/>
      <c r="U90" s="445"/>
      <c r="V90" s="85"/>
      <c r="W90" s="85"/>
      <c r="X90" s="85"/>
      <c r="Y90" s="85"/>
      <c r="Z90" s="445"/>
      <c r="AA90" s="85"/>
      <c r="AB90" s="85"/>
      <c r="AC90" s="85"/>
      <c r="AD90" s="85"/>
      <c r="AE90" s="445"/>
      <c r="AF90" s="85"/>
      <c r="AG90" s="85"/>
      <c r="AH90" s="85"/>
      <c r="AI90" s="85"/>
      <c r="AJ90" s="445"/>
      <c r="AK90" s="85"/>
      <c r="AL90" s="85"/>
      <c r="AM90" s="85"/>
      <c r="AN90" s="85"/>
      <c r="AO90" s="445"/>
      <c r="AP90" s="85"/>
      <c r="AQ90" s="85"/>
      <c r="AR90" s="85"/>
      <c r="AS90" s="85"/>
      <c r="AT90" s="445"/>
      <c r="AU90" s="574"/>
      <c r="AV90" s="574"/>
      <c r="AW90" s="574"/>
      <c r="AX90" s="574"/>
      <c r="AY90" s="575"/>
      <c r="AZ90" s="745"/>
      <c r="BA90" s="745"/>
      <c r="BB90" s="745"/>
      <c r="BC90" s="745"/>
      <c r="BD90" s="746"/>
      <c r="BE90" s="745"/>
      <c r="BF90" s="745"/>
      <c r="BG90" s="745"/>
      <c r="BH90" s="745"/>
      <c r="BI90" s="746"/>
      <c r="BJ90" s="747"/>
      <c r="BK90" s="748"/>
      <c r="BL90" s="749"/>
      <c r="BM90" s="745"/>
      <c r="BN90" s="750"/>
      <c r="BO90" s="748"/>
      <c r="BP90" s="748"/>
      <c r="BQ90" s="748"/>
      <c r="BR90" s="748"/>
      <c r="BS90" s="751"/>
      <c r="BT90" s="752"/>
      <c r="BU90" s="752"/>
      <c r="BV90" s="752"/>
      <c r="BW90" s="752"/>
      <c r="BX90" s="667"/>
      <c r="BY90" s="666"/>
      <c r="BZ90" s="666"/>
      <c r="CA90" s="666"/>
      <c r="CB90" s="781"/>
      <c r="CC90" s="763"/>
      <c r="CD90" s="574"/>
      <c r="CE90" s="784"/>
      <c r="CF90" s="784"/>
      <c r="CG90" s="574"/>
      <c r="CH90" s="763"/>
      <c r="CI90" s="574"/>
      <c r="CJ90" s="826"/>
      <c r="CK90" s="574"/>
      <c r="CL90" s="574"/>
      <c r="CM90" s="763"/>
      <c r="CN90" s="574"/>
      <c r="CO90" s="574"/>
      <c r="CP90" s="574"/>
      <c r="CQ90" s="574"/>
      <c r="CR90" s="763"/>
      <c r="CS90" s="574"/>
      <c r="CT90" s="574"/>
      <c r="CU90" s="574"/>
      <c r="CV90" s="574"/>
      <c r="CW90" s="763"/>
      <c r="CX90" s="574"/>
      <c r="CY90" s="574"/>
      <c r="CZ90" s="574"/>
      <c r="DA90" s="574"/>
      <c r="DB90" s="575"/>
      <c r="DC90" s="574"/>
      <c r="DD90" s="574"/>
      <c r="DE90" s="574"/>
      <c r="DF90" s="574"/>
      <c r="DG90" s="575"/>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c r="HB90"/>
      <c r="HC90"/>
      <c r="HD90"/>
      <c r="HE90"/>
      <c r="HF90"/>
      <c r="HG90"/>
      <c r="HH90"/>
      <c r="HI90"/>
      <c r="HJ90"/>
      <c r="HK90"/>
      <c r="HL90"/>
      <c r="HM90"/>
      <c r="HN90"/>
      <c r="HO90"/>
      <c r="HP90"/>
      <c r="HQ90"/>
      <c r="HR90"/>
    </row>
    <row r="91" spans="1:226" s="36" customFormat="1" ht="12" hidden="1" customHeight="1" x14ac:dyDescent="0.2">
      <c r="A91" s="35"/>
      <c r="B91" s="85"/>
      <c r="C91" s="85"/>
      <c r="D91" s="85"/>
      <c r="E91" s="85"/>
      <c r="F91" s="445"/>
      <c r="G91" s="85"/>
      <c r="H91" s="85"/>
      <c r="I91" s="85"/>
      <c r="J91" s="85"/>
      <c r="K91" s="445"/>
      <c r="L91" s="85"/>
      <c r="M91" s="85"/>
      <c r="N91" s="85"/>
      <c r="O91" s="85"/>
      <c r="P91" s="445"/>
      <c r="Q91" s="85"/>
      <c r="R91" s="85"/>
      <c r="S91" s="85"/>
      <c r="T91" s="85"/>
      <c r="U91" s="445"/>
      <c r="V91" s="85"/>
      <c r="W91" s="85"/>
      <c r="X91" s="85"/>
      <c r="Y91" s="85"/>
      <c r="Z91" s="445"/>
      <c r="AA91" s="85"/>
      <c r="AB91" s="85"/>
      <c r="AC91" s="85"/>
      <c r="AD91" s="85"/>
      <c r="AE91" s="445"/>
      <c r="AF91" s="85"/>
      <c r="AG91" s="85"/>
      <c r="AH91" s="85"/>
      <c r="AI91" s="85"/>
      <c r="AJ91" s="445"/>
      <c r="AK91" s="85"/>
      <c r="AL91" s="85"/>
      <c r="AM91" s="85"/>
      <c r="AN91" s="85"/>
      <c r="AO91" s="445"/>
      <c r="AP91" s="85"/>
      <c r="AQ91" s="85"/>
      <c r="AR91" s="85"/>
      <c r="AS91" s="85"/>
      <c r="AT91" s="445"/>
      <c r="AU91" s="85"/>
      <c r="AV91" s="85"/>
      <c r="AW91" s="85"/>
      <c r="AX91" s="85"/>
      <c r="AY91" s="445"/>
      <c r="AZ91" s="85"/>
      <c r="BA91" s="85"/>
      <c r="BB91" s="85"/>
      <c r="BC91" s="85"/>
      <c r="BD91" s="445"/>
      <c r="BE91" s="85"/>
      <c r="BF91" s="85"/>
      <c r="BG91" s="85"/>
      <c r="BH91" s="85"/>
      <c r="BI91" s="445"/>
      <c r="BJ91" s="85"/>
      <c r="BK91" s="85"/>
      <c r="BL91" s="85"/>
      <c r="BM91" s="85"/>
      <c r="BN91" s="445"/>
      <c r="BO91" s="85"/>
      <c r="BP91" s="85"/>
      <c r="BQ91" s="85"/>
      <c r="BR91" s="85"/>
      <c r="BS91" s="445"/>
      <c r="BT91" s="85"/>
      <c r="BU91" s="85"/>
      <c r="BV91" s="85"/>
      <c r="BW91" s="85"/>
      <c r="BX91" s="445"/>
      <c r="BY91" s="85"/>
      <c r="BZ91" s="85"/>
      <c r="CA91" s="85"/>
      <c r="CB91" s="85"/>
      <c r="CC91" s="445"/>
      <c r="CD91" s="85"/>
      <c r="CE91" s="796"/>
      <c r="CF91" s="85"/>
      <c r="CG91" s="85"/>
      <c r="CH91" s="445"/>
      <c r="CI91" s="85"/>
      <c r="CJ91" s="85"/>
      <c r="CK91" s="85"/>
      <c r="CL91" s="85"/>
      <c r="CM91" s="445"/>
      <c r="CN91" s="85"/>
      <c r="CO91" s="85"/>
      <c r="CP91" s="85"/>
      <c r="CQ91" s="85"/>
      <c r="CR91" s="445"/>
      <c r="CS91" s="85"/>
      <c r="CT91" s="85"/>
      <c r="CU91" s="85"/>
      <c r="CV91" s="85"/>
      <c r="CW91" s="445"/>
      <c r="CX91" s="85"/>
      <c r="CY91" s="85"/>
      <c r="CZ91" s="85"/>
      <c r="DA91" s="85"/>
      <c r="DB91" s="445"/>
      <c r="DC91" s="85"/>
      <c r="DD91" s="85"/>
      <c r="DE91" s="85"/>
      <c r="DF91" s="85"/>
      <c r="DG91" s="445"/>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row>
    <row r="92" spans="1:226" s="36" customFormat="1" ht="12" hidden="1" customHeight="1" x14ac:dyDescent="0.2">
      <c r="B92" s="743"/>
      <c r="C92" s="743"/>
      <c r="D92" s="743"/>
      <c r="E92" s="743"/>
      <c r="F92" s="744"/>
      <c r="G92" s="743"/>
      <c r="H92" s="743"/>
      <c r="I92" s="743"/>
      <c r="J92" s="743"/>
      <c r="K92" s="744"/>
      <c r="L92" s="743"/>
      <c r="M92" s="743"/>
      <c r="N92" s="743"/>
      <c r="O92" s="743"/>
      <c r="P92" s="744"/>
      <c r="Q92" s="743"/>
      <c r="R92" s="743"/>
      <c r="S92" s="743"/>
      <c r="T92" s="743"/>
      <c r="U92" s="744"/>
      <c r="V92" s="743"/>
      <c r="W92" s="743"/>
      <c r="X92" s="743"/>
      <c r="Y92" s="743"/>
      <c r="Z92" s="744"/>
      <c r="AA92" s="743"/>
      <c r="AB92" s="743"/>
      <c r="AC92" s="743"/>
      <c r="AD92" s="743"/>
      <c r="AE92" s="744"/>
      <c r="AF92" s="743"/>
      <c r="AG92" s="743"/>
      <c r="AH92" s="743"/>
      <c r="AI92" s="743"/>
      <c r="AJ92" s="744"/>
      <c r="AK92" s="743"/>
      <c r="AL92" s="743"/>
      <c r="AM92" s="743"/>
      <c r="AN92" s="743"/>
      <c r="AO92" s="744"/>
      <c r="AP92" s="743"/>
      <c r="AQ92" s="743"/>
      <c r="AR92" s="743"/>
      <c r="AS92" s="743"/>
      <c r="AT92" s="744"/>
      <c r="AU92" s="743"/>
      <c r="AV92" s="743"/>
      <c r="AW92" s="743"/>
      <c r="AX92" s="743"/>
      <c r="AY92" s="744"/>
      <c r="AZ92" s="743"/>
      <c r="BA92" s="743"/>
      <c r="BB92" s="743"/>
      <c r="BC92" s="743"/>
      <c r="BD92" s="744"/>
      <c r="BE92" s="743"/>
      <c r="BF92" s="743"/>
      <c r="BG92" s="743"/>
      <c r="BH92" s="743"/>
      <c r="BI92" s="744"/>
      <c r="BJ92" s="743"/>
      <c r="BK92" s="743"/>
      <c r="BL92" s="743"/>
      <c r="BM92" s="743"/>
      <c r="BN92" s="744"/>
      <c r="BO92" s="743"/>
      <c r="BP92" s="743"/>
      <c r="BQ92" s="743"/>
      <c r="BR92" s="743"/>
      <c r="BS92" s="744"/>
      <c r="BT92" s="743"/>
      <c r="BU92" s="743"/>
      <c r="BV92" s="743"/>
      <c r="BW92" s="743"/>
      <c r="BX92" s="744"/>
      <c r="BY92" s="743"/>
      <c r="BZ92" s="743"/>
      <c r="CA92" s="743"/>
      <c r="CB92" s="743"/>
      <c r="CC92" s="744"/>
      <c r="CD92" s="316"/>
      <c r="CE92" s="797"/>
      <c r="CF92" s="316"/>
      <c r="CG92" s="316"/>
      <c r="CH92" s="446"/>
      <c r="CI92" s="316"/>
      <c r="CJ92" s="316"/>
      <c r="CK92" s="316"/>
      <c r="CL92" s="316"/>
      <c r="CM92" s="446"/>
      <c r="CN92" s="316"/>
      <c r="CO92" s="316"/>
      <c r="CP92" s="316"/>
      <c r="CQ92" s="316"/>
      <c r="CR92" s="446"/>
      <c r="CS92" s="316"/>
      <c r="CT92" s="316"/>
      <c r="CU92" s="316"/>
      <c r="CV92" s="316"/>
      <c r="CW92" s="446"/>
      <c r="CX92" s="316"/>
      <c r="CY92" s="316"/>
      <c r="CZ92" s="316"/>
      <c r="DA92" s="316"/>
      <c r="DB92" s="446"/>
      <c r="DC92" s="316"/>
      <c r="DD92" s="316"/>
      <c r="DE92" s="316"/>
      <c r="DF92" s="316"/>
      <c r="DG92" s="446"/>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row>
    <row r="93" spans="1:226" s="36" customFormat="1" ht="3.75" customHeight="1" x14ac:dyDescent="0.2">
      <c r="A93" s="78"/>
      <c r="B93" s="386"/>
      <c r="C93" s="386"/>
      <c r="D93" s="386"/>
      <c r="E93" s="386"/>
      <c r="F93" s="407"/>
      <c r="G93" s="386"/>
      <c r="H93" s="386"/>
      <c r="I93" s="386"/>
      <c r="J93" s="386"/>
      <c r="K93" s="407"/>
      <c r="L93" s="386"/>
      <c r="M93" s="386"/>
      <c r="N93" s="386"/>
      <c r="O93" s="386"/>
      <c r="P93" s="407"/>
      <c r="Q93" s="386"/>
      <c r="R93" s="386"/>
      <c r="S93" s="386"/>
      <c r="T93" s="386"/>
      <c r="U93" s="407"/>
      <c r="V93" s="386"/>
      <c r="W93" s="386"/>
      <c r="X93" s="386"/>
      <c r="Y93" s="386"/>
      <c r="Z93" s="407"/>
      <c r="AA93" s="386"/>
      <c r="AB93" s="386"/>
      <c r="AC93" s="386"/>
      <c r="AD93" s="386"/>
      <c r="AE93" s="407"/>
      <c r="AF93" s="386"/>
      <c r="AG93" s="386"/>
      <c r="AH93" s="386"/>
      <c r="AI93" s="386"/>
      <c r="AJ93" s="407"/>
      <c r="AK93" s="85"/>
      <c r="AL93" s="85"/>
      <c r="AM93" s="85"/>
      <c r="AN93" s="85"/>
      <c r="AO93" s="407"/>
      <c r="AP93" s="85"/>
      <c r="AQ93" s="85"/>
      <c r="AR93" s="85"/>
      <c r="AS93" s="85"/>
      <c r="AT93" s="407"/>
      <c r="AU93" s="85"/>
      <c r="AV93" s="85"/>
      <c r="AW93" s="43"/>
      <c r="AX93" s="43"/>
      <c r="AY93" s="407"/>
      <c r="AZ93" s="43"/>
      <c r="BA93" s="43"/>
      <c r="BB93" s="43"/>
      <c r="BC93" s="43"/>
      <c r="BD93" s="407"/>
      <c r="BE93" s="43"/>
      <c r="BF93" s="43"/>
      <c r="BG93" s="43"/>
      <c r="BH93" s="43"/>
      <c r="BI93" s="407"/>
      <c r="BJ93" s="43"/>
      <c r="BK93" s="43"/>
      <c r="BL93" s="43"/>
      <c r="BM93" s="43"/>
      <c r="BN93" s="407"/>
      <c r="BO93" s="43"/>
      <c r="BP93" s="43"/>
      <c r="BQ93" s="43"/>
      <c r="BR93" s="43"/>
      <c r="BS93" s="407"/>
      <c r="BT93" s="43"/>
      <c r="BU93" s="43"/>
      <c r="BV93" s="43"/>
      <c r="BW93" s="43"/>
      <c r="BX93" s="407"/>
      <c r="BY93" s="43"/>
      <c r="BZ93" s="43"/>
      <c r="CA93" s="43"/>
      <c r="CB93" s="43"/>
      <c r="CC93" s="407"/>
      <c r="CD93" s="43"/>
      <c r="CE93" s="707"/>
      <c r="CF93" s="43"/>
      <c r="CG93" s="43"/>
      <c r="CH93" s="407"/>
      <c r="CI93" s="43"/>
      <c r="CJ93" s="43"/>
      <c r="CK93" s="43"/>
      <c r="CL93" s="43"/>
      <c r="CM93" s="407"/>
      <c r="CN93" s="43"/>
      <c r="CO93" s="43"/>
      <c r="CP93" s="43"/>
      <c r="CQ93" s="43"/>
      <c r="CR93" s="407"/>
      <c r="CS93" s="43"/>
      <c r="CT93" s="43"/>
      <c r="CU93" s="43"/>
      <c r="CV93" s="43"/>
      <c r="CW93" s="407"/>
      <c r="CX93" s="43"/>
      <c r="CY93" s="43"/>
      <c r="CZ93" s="43"/>
      <c r="DA93" s="43"/>
      <c r="DB93" s="407"/>
      <c r="DC93" s="43"/>
      <c r="DD93" s="43"/>
      <c r="DE93" s="43"/>
      <c r="DF93" s="43"/>
      <c r="DG93" s="407"/>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row>
    <row r="94" spans="1:226" s="36" customFormat="1" ht="12" hidden="1" customHeight="1" outlineLevel="1" x14ac:dyDescent="0.2">
      <c r="A94" s="35" t="s">
        <v>141</v>
      </c>
      <c r="B94" s="85"/>
      <c r="C94" s="85"/>
      <c r="D94" s="85"/>
      <c r="E94" s="85"/>
      <c r="F94" s="445"/>
      <c r="G94" s="85">
        <f t="shared" ref="G94:X94" si="207">G86/G98</f>
        <v>0.33179336413271737</v>
      </c>
      <c r="H94" s="85">
        <f t="shared" si="207"/>
        <v>0.21619330224671471</v>
      </c>
      <c r="I94" s="85">
        <f t="shared" si="207"/>
        <v>0.19607843137254902</v>
      </c>
      <c r="J94" s="85">
        <f t="shared" si="207"/>
        <v>0.62689148292261132</v>
      </c>
      <c r="K94" s="445">
        <f t="shared" si="207"/>
        <v>1.3677034512143162</v>
      </c>
      <c r="L94" s="85">
        <f t="shared" si="207"/>
        <v>0.64703257474341813</v>
      </c>
      <c r="M94" s="85">
        <f t="shared" si="207"/>
        <v>0.40307971014492749</v>
      </c>
      <c r="N94" s="85">
        <f t="shared" si="207"/>
        <v>0.5029721079103795</v>
      </c>
      <c r="O94" s="85">
        <f t="shared" si="207"/>
        <v>0.6844281120808452</v>
      </c>
      <c r="P94" s="445">
        <f t="shared" si="207"/>
        <v>2.2338825149982782</v>
      </c>
      <c r="Q94" s="85">
        <f t="shared" si="207"/>
        <v>0.60053908857718796</v>
      </c>
      <c r="R94" s="85">
        <f t="shared" si="207"/>
        <v>0.51183561154964097</v>
      </c>
      <c r="S94" s="85">
        <f t="shared" si="207"/>
        <v>0.58987107103733039</v>
      </c>
      <c r="T94" s="85">
        <f t="shared" si="207"/>
        <v>0.86138659961819619</v>
      </c>
      <c r="U94" s="445">
        <f t="shared" si="207"/>
        <v>2.5609807296695912</v>
      </c>
      <c r="V94" s="85">
        <f t="shared" si="207"/>
        <v>0.57178186754184934</v>
      </c>
      <c r="W94" s="85">
        <f t="shared" si="207"/>
        <v>3.6827076067142239</v>
      </c>
      <c r="X94" s="85">
        <f t="shared" si="207"/>
        <v>0.75590631886434678</v>
      </c>
      <c r="Y94" s="85">
        <f>(Y86/Y98)-0.002</f>
        <v>1.0040686577367326</v>
      </c>
      <c r="Z94" s="445">
        <f>(Z86/Z98)-0.002</f>
        <v>6.1148906549984376</v>
      </c>
      <c r="AA94" s="85">
        <f>AA86/AA98</f>
        <v>0.71296817153098468</v>
      </c>
      <c r="AB94" s="85">
        <f>AB86/AB98</f>
        <v>0.54510586875426892</v>
      </c>
      <c r="AC94" s="85">
        <f>AC86/AC98</f>
        <v>0.71940093522121573</v>
      </c>
      <c r="AD94" s="85">
        <f>(AD86/AD98)-0.002</f>
        <v>0.9231477304562542</v>
      </c>
      <c r="AE94" s="445">
        <f>(AE86/AE98)+0.001</f>
        <v>2.9029418173737422</v>
      </c>
      <c r="AF94" s="85">
        <f>AF86/AF98</f>
        <v>0.72931860804334225</v>
      </c>
      <c r="AG94" s="85">
        <f>AG86/AG98</f>
        <v>0.62384247977385709</v>
      </c>
      <c r="AH94" s="85">
        <f>AH86/AH98</f>
        <v>0.83782555043190232</v>
      </c>
      <c r="AI94" s="85">
        <f>AI86/AI98</f>
        <v>1.0628025585027445</v>
      </c>
      <c r="AJ94" s="445">
        <f>(AJ86/AJ98)+0.001</f>
        <v>3.2556204566862634</v>
      </c>
      <c r="AK94" s="85">
        <f>AK86/AK98</f>
        <v>0.75961321316389163</v>
      </c>
      <c r="AL94" s="85">
        <f>AL86/AL98</f>
        <v>0.65236197580587973</v>
      </c>
      <c r="AM94" s="85">
        <f>AM86/AM98</f>
        <v>0.7127583749109051</v>
      </c>
      <c r="AN94" s="85">
        <f>AN86/AN98</f>
        <v>1.1269132562087216</v>
      </c>
      <c r="AO94" s="445">
        <f>(AO86/AO98)-0.01</f>
        <v>3.2363874257063188</v>
      </c>
      <c r="AP94" s="85">
        <f>(AP86+AP108-0.5)/AP98</f>
        <v>0.90447590447590442</v>
      </c>
      <c r="AQ94" s="85">
        <f>(AQ86+AQ108)/AQ98</f>
        <v>0.60563310034271711</v>
      </c>
      <c r="AR94" s="85">
        <f>(AR86+AR108-0.5)/AR98</f>
        <v>1.0765754242346721</v>
      </c>
      <c r="AS94" s="85">
        <f>(AS86+AS108)/AS98</f>
        <v>1.1962061155152888</v>
      </c>
      <c r="AT94" s="445">
        <f>(AT86/AT98)</f>
        <v>3.8068097233151148</v>
      </c>
      <c r="AU94" s="85">
        <f t="shared" ref="AU94:BZ94" si="208">(AU86+AU108)/AU98</f>
        <v>0.98678839423261233</v>
      </c>
      <c r="AV94" s="85">
        <f t="shared" si="208"/>
        <v>0.6571137866711888</v>
      </c>
      <c r="AW94" s="85">
        <f t="shared" si="208"/>
        <v>0.99990141817003952</v>
      </c>
      <c r="AX94" s="85">
        <f t="shared" si="208"/>
        <v>1.0483512294300781</v>
      </c>
      <c r="AY94" s="445">
        <f t="shared" si="208"/>
        <v>3.6916924555230546</v>
      </c>
      <c r="AZ94" s="85">
        <f>((AZ86+AZ108)/AZ98)-0.004</f>
        <v>0.97874345074220204</v>
      </c>
      <c r="BA94" s="85">
        <f t="shared" si="208"/>
        <v>0.67800227865991725</v>
      </c>
      <c r="BB94" s="85">
        <f t="shared" si="208"/>
        <v>1.0240469463791588</v>
      </c>
      <c r="BC94" s="85">
        <f t="shared" si="208"/>
        <v>1.2643359991620968</v>
      </c>
      <c r="BD94" s="445">
        <f t="shared" si="208"/>
        <v>3.9387112816398835</v>
      </c>
      <c r="BE94" s="85">
        <f t="shared" si="208"/>
        <v>0.97334800278420208</v>
      </c>
      <c r="BF94" s="85">
        <f t="shared" si="208"/>
        <v>0.79141419483521958</v>
      </c>
      <c r="BG94" s="85">
        <f t="shared" si="208"/>
        <v>1.0162833283943864</v>
      </c>
      <c r="BH94" s="85">
        <f t="shared" si="208"/>
        <v>1.3223486434034779</v>
      </c>
      <c r="BI94" s="445">
        <f t="shared" si="208"/>
        <v>4.0964401783689821</v>
      </c>
      <c r="BJ94" s="85">
        <f t="shared" si="208"/>
        <v>1.0060591334983524</v>
      </c>
      <c r="BK94" s="85">
        <f t="shared" si="208"/>
        <v>0.92491921113829245</v>
      </c>
      <c r="BL94" s="85">
        <f t="shared" si="208"/>
        <v>1.0001873009926954</v>
      </c>
      <c r="BM94" s="85">
        <f t="shared" ref="BM94:BT94" si="209">(BM86+BM108)/BM98</f>
        <v>1.3733796365595905</v>
      </c>
      <c r="BN94" s="445">
        <f t="shared" si="209"/>
        <v>4.3017545442922787</v>
      </c>
      <c r="BO94" s="85">
        <f t="shared" si="209"/>
        <v>1.0284564834350447</v>
      </c>
      <c r="BP94" s="85">
        <f t="shared" si="209"/>
        <v>0.87240508625773006</v>
      </c>
      <c r="BQ94" s="85">
        <f t="shared" si="209"/>
        <v>1.0383489795142715</v>
      </c>
      <c r="BR94" s="85">
        <f t="shared" si="209"/>
        <v>1.2939607544294152</v>
      </c>
      <c r="BS94" s="445">
        <f t="shared" si="209"/>
        <v>4.2314074664087462</v>
      </c>
      <c r="BT94" s="85">
        <f t="shared" si="209"/>
        <v>0.6843319200115705</v>
      </c>
      <c r="BU94" s="85">
        <f t="shared" si="208"/>
        <v>0.94263621921562424</v>
      </c>
      <c r="BV94" s="85">
        <f>(BV86+BV108)/BV98</f>
        <v>1.2988852850165902</v>
      </c>
      <c r="BW94" s="85">
        <f t="shared" si="208"/>
        <v>1.4512133967511054</v>
      </c>
      <c r="BX94" s="445">
        <f t="shared" si="208"/>
        <v>4.3705187684521292</v>
      </c>
      <c r="BY94" s="85">
        <f t="shared" si="208"/>
        <v>1.3183965858862978</v>
      </c>
      <c r="BZ94" s="85">
        <f t="shared" si="208"/>
        <v>1.1448466696060693</v>
      </c>
      <c r="CA94" s="85">
        <f t="shared" ref="CA94:CW94" si="210">(CA86+CA108)/CA98</f>
        <v>1.2077753385948788</v>
      </c>
      <c r="CB94" s="85">
        <f>(CB86+CB108)/CB98</f>
        <v>1.2546488542014389</v>
      </c>
      <c r="CC94" s="445">
        <f t="shared" si="210"/>
        <v>4.9166015017044113</v>
      </c>
      <c r="CD94" s="85">
        <f t="shared" si="210"/>
        <v>1.3571066546640136</v>
      </c>
      <c r="CE94" s="796">
        <f t="shared" si="210"/>
        <v>1.1431848594914931</v>
      </c>
      <c r="CF94" s="85">
        <f t="shared" si="210"/>
        <v>1.313165146693869</v>
      </c>
      <c r="CG94" s="85">
        <f t="shared" si="210"/>
        <v>1.5267522779993026</v>
      </c>
      <c r="CH94" s="445">
        <f t="shared" si="210"/>
        <v>5.349406381587948</v>
      </c>
      <c r="CI94" s="85">
        <f t="shared" si="210"/>
        <v>1.4599761233071502</v>
      </c>
      <c r="CJ94" s="85">
        <f t="shared" si="210"/>
        <v>1.7697770688542023</v>
      </c>
      <c r="CK94" s="85">
        <f t="shared" ca="1" si="210"/>
        <v>1.2778138298486028</v>
      </c>
      <c r="CL94" s="85">
        <f t="shared" ca="1" si="210"/>
        <v>1.5880698291237687</v>
      </c>
      <c r="CM94" s="445">
        <f t="shared" ca="1" si="210"/>
        <v>6.0954207683995199</v>
      </c>
      <c r="CN94" s="85">
        <f t="shared" ca="1" si="210"/>
        <v>1.658630417923052</v>
      </c>
      <c r="CO94" s="85">
        <f t="shared" ca="1" si="210"/>
        <v>1.3520411884940293</v>
      </c>
      <c r="CP94" s="85">
        <f t="shared" ca="1" si="210"/>
        <v>1.481108734529847</v>
      </c>
      <c r="CQ94" s="85">
        <f t="shared" ca="1" si="210"/>
        <v>1.7642783331541703</v>
      </c>
      <c r="CR94" s="445">
        <f t="shared" ca="1" si="210"/>
        <v>6.2558322943261153</v>
      </c>
      <c r="CS94" s="85">
        <f t="shared" ca="1" si="210"/>
        <v>1.7868534074632787</v>
      </c>
      <c r="CT94" s="85">
        <f t="shared" ca="1" si="210"/>
        <v>1.412795315077443</v>
      </c>
      <c r="CU94" s="85">
        <f t="shared" ca="1" si="210"/>
        <v>1.5880926561462987</v>
      </c>
      <c r="CV94" s="85">
        <f t="shared" ca="1" si="210"/>
        <v>1.8917573000341787</v>
      </c>
      <c r="CW94" s="445">
        <f t="shared" ca="1" si="210"/>
        <v>6.6784378453981148</v>
      </c>
      <c r="CX94" s="85">
        <f t="shared" ref="CX94:DG94" ca="1" si="211">(CX86+CX108)/CX98</f>
        <v>1.8772427772841378</v>
      </c>
      <c r="CY94" s="85">
        <f t="shared" ca="1" si="211"/>
        <v>1.4884139895424955</v>
      </c>
      <c r="CZ94" s="85">
        <f t="shared" ca="1" si="211"/>
        <v>1.6682841600024316</v>
      </c>
      <c r="DA94" s="85">
        <f t="shared" ca="1" si="211"/>
        <v>1.9825040064296335</v>
      </c>
      <c r="DB94" s="445">
        <f t="shared" ca="1" si="211"/>
        <v>7.0153529670669439</v>
      </c>
      <c r="DC94" s="85">
        <f t="shared" ca="1" si="211"/>
        <v>1.968412540672656</v>
      </c>
      <c r="DD94" s="85">
        <f t="shared" ca="1" si="211"/>
        <v>1.5646225835894234</v>
      </c>
      <c r="DE94" s="85">
        <f t="shared" ca="1" si="211"/>
        <v>1.7488734937660766</v>
      </c>
      <c r="DF94" s="85">
        <f t="shared" ca="1" si="211"/>
        <v>2.0736485320511675</v>
      </c>
      <c r="DG94" s="445">
        <f t="shared" ca="1" si="211"/>
        <v>7.3544359385919407</v>
      </c>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c r="HB94"/>
      <c r="HC94"/>
      <c r="HD94"/>
      <c r="HE94"/>
      <c r="HF94"/>
      <c r="HG94"/>
      <c r="HH94"/>
      <c r="HI94"/>
      <c r="HJ94"/>
      <c r="HK94"/>
      <c r="HL94"/>
      <c r="HM94"/>
      <c r="HN94"/>
      <c r="HO94"/>
      <c r="HP94"/>
      <c r="HQ94"/>
      <c r="HR94"/>
    </row>
    <row r="95" spans="1:226" s="36" customFormat="1" ht="12" hidden="1" customHeight="1" outlineLevel="1" x14ac:dyDescent="0.2">
      <c r="A95" s="36" t="s">
        <v>191</v>
      </c>
      <c r="B95" s="743"/>
      <c r="C95" s="743"/>
      <c r="D95" s="743"/>
      <c r="E95" s="743"/>
      <c r="F95" s="744"/>
      <c r="G95" s="743"/>
      <c r="H95" s="743"/>
      <c r="I95" s="743"/>
      <c r="J95" s="743"/>
      <c r="K95" s="744"/>
      <c r="L95" s="743">
        <f t="shared" ref="L95:AQ95" si="212">L94/G94-1</f>
        <v>0.95010703856212464</v>
      </c>
      <c r="M95" s="743">
        <f t="shared" si="212"/>
        <v>0.86444124751349793</v>
      </c>
      <c r="N95" s="743">
        <f t="shared" si="212"/>
        <v>1.5651577503429355</v>
      </c>
      <c r="O95" s="743">
        <f t="shared" si="212"/>
        <v>9.1780843615858698E-2</v>
      </c>
      <c r="P95" s="744">
        <f t="shared" si="212"/>
        <v>0.63330911610621765</v>
      </c>
      <c r="Q95" s="743">
        <f t="shared" si="212"/>
        <v>-7.1856484481739202E-2</v>
      </c>
      <c r="R95" s="743">
        <f t="shared" si="212"/>
        <v>0.26981239359731157</v>
      </c>
      <c r="S95" s="743">
        <f t="shared" si="212"/>
        <v>0.17277093850785596</v>
      </c>
      <c r="T95" s="743">
        <f t="shared" si="212"/>
        <v>0.25854941434148526</v>
      </c>
      <c r="U95" s="744">
        <f t="shared" si="212"/>
        <v>0.14642588071448559</v>
      </c>
      <c r="V95" s="743">
        <f t="shared" si="212"/>
        <v>-4.788567735610838E-2</v>
      </c>
      <c r="W95" s="743">
        <f t="shared" si="212"/>
        <v>6.1950984331949952</v>
      </c>
      <c r="X95" s="743">
        <f t="shared" si="212"/>
        <v>0.28147718370902908</v>
      </c>
      <c r="Y95" s="743">
        <f t="shared" si="212"/>
        <v>0.16564230066009755</v>
      </c>
      <c r="Z95" s="744">
        <f t="shared" si="212"/>
        <v>1.3877144346132426</v>
      </c>
      <c r="AA95" s="743">
        <f t="shared" si="212"/>
        <v>0.24692336711569784</v>
      </c>
      <c r="AB95" s="743">
        <f t="shared" si="212"/>
        <v>-0.85198231112335798</v>
      </c>
      <c r="AC95" s="743">
        <f t="shared" si="212"/>
        <v>-4.8293528883282422E-2</v>
      </c>
      <c r="AD95" s="743">
        <f t="shared" si="212"/>
        <v>-8.0593021858566871E-2</v>
      </c>
      <c r="AE95" s="744">
        <f t="shared" si="212"/>
        <v>-0.52526676580867104</v>
      </c>
      <c r="AF95" s="743">
        <f t="shared" si="212"/>
        <v>2.2932912246626191E-2</v>
      </c>
      <c r="AG95" s="743">
        <f t="shared" si="212"/>
        <v>0.14444278723236836</v>
      </c>
      <c r="AH95" s="743">
        <f t="shared" si="212"/>
        <v>0.16461559807990933</v>
      </c>
      <c r="AI95" s="743">
        <f t="shared" si="212"/>
        <v>0.15128112591195753</v>
      </c>
      <c r="AJ95" s="744">
        <f t="shared" si="212"/>
        <v>0.12149008195816524</v>
      </c>
      <c r="AK95" s="743">
        <f t="shared" si="212"/>
        <v>4.1538231421004657E-2</v>
      </c>
      <c r="AL95" s="743">
        <f t="shared" si="212"/>
        <v>4.5715860905081396E-2</v>
      </c>
      <c r="AM95" s="743">
        <f t="shared" si="212"/>
        <v>-0.1492759148447127</v>
      </c>
      <c r="AN95" s="743">
        <f t="shared" si="212"/>
        <v>6.032230275799777E-2</v>
      </c>
      <c r="AO95" s="744">
        <f t="shared" si="212"/>
        <v>-5.9076391845507281E-3</v>
      </c>
      <c r="AP95" s="743">
        <f t="shared" si="212"/>
        <v>0.190705860300455</v>
      </c>
      <c r="AQ95" s="743">
        <f t="shared" si="212"/>
        <v>-7.1630286859434511E-2</v>
      </c>
      <c r="AR95" s="743">
        <f t="shared" ref="AR95:BW95" si="213">AR94/AM94-1</f>
        <v>0.51043532020124527</v>
      </c>
      <c r="AS95" s="743">
        <f t="shared" si="213"/>
        <v>6.1489079948965575E-2</v>
      </c>
      <c r="AT95" s="744">
        <f t="shared" si="213"/>
        <v>0.1762527851511182</v>
      </c>
      <c r="AU95" s="743">
        <f t="shared" si="213"/>
        <v>9.1005729781606037E-2</v>
      </c>
      <c r="AV95" s="743">
        <f t="shared" si="213"/>
        <v>8.5003092300172556E-2</v>
      </c>
      <c r="AW95" s="743">
        <f t="shared" si="213"/>
        <v>-7.122028270256997E-2</v>
      </c>
      <c r="AX95" s="743">
        <f t="shared" si="213"/>
        <v>-0.12360318524330516</v>
      </c>
      <c r="AY95" s="744">
        <f t="shared" si="213"/>
        <v>-3.0239827088550109E-2</v>
      </c>
      <c r="AZ95" s="743">
        <f t="shared" si="213"/>
        <v>-8.1526531295157412E-3</v>
      </c>
      <c r="BA95" s="743">
        <f t="shared" si="213"/>
        <v>3.1788241872911405E-2</v>
      </c>
      <c r="BB95" s="743">
        <f t="shared" si="213"/>
        <v>2.4147908754154068E-2</v>
      </c>
      <c r="BC95" s="743">
        <f t="shared" si="213"/>
        <v>0.20602329035225719</v>
      </c>
      <c r="BD95" s="744">
        <f t="shared" si="213"/>
        <v>6.691208140788385E-2</v>
      </c>
      <c r="BE95" s="743">
        <f t="shared" si="213"/>
        <v>-5.5126273937348147E-3</v>
      </c>
      <c r="BF95" s="743">
        <f t="shared" si="213"/>
        <v>0.16727365046539799</v>
      </c>
      <c r="BG95" s="743">
        <f t="shared" si="213"/>
        <v>-7.5813106149313914E-3</v>
      </c>
      <c r="BH95" s="743">
        <f t="shared" si="213"/>
        <v>4.5883882353921157E-2</v>
      </c>
      <c r="BI95" s="744">
        <f t="shared" si="213"/>
        <v>4.0045813325882529E-2</v>
      </c>
      <c r="BJ95" s="743">
        <f t="shared" si="213"/>
        <v>3.36068195759196E-2</v>
      </c>
      <c r="BK95" s="743">
        <f t="shared" si="213"/>
        <v>0.16869171310589137</v>
      </c>
      <c r="BL95" s="743">
        <f t="shared" si="213"/>
        <v>-1.5838129930873635E-2</v>
      </c>
      <c r="BM95" s="743">
        <f t="shared" si="213"/>
        <v>3.859117896833042E-2</v>
      </c>
      <c r="BN95" s="744">
        <f t="shared" si="213"/>
        <v>5.0120191430463867E-2</v>
      </c>
      <c r="BO95" s="743">
        <f t="shared" si="213"/>
        <v>2.226245872726218E-2</v>
      </c>
      <c r="BP95" s="743">
        <f t="shared" si="213"/>
        <v>-5.6776985760662924E-2</v>
      </c>
      <c r="BQ95" s="743">
        <f t="shared" si="213"/>
        <v>3.8154532139830444E-2</v>
      </c>
      <c r="BR95" s="743">
        <f t="shared" si="213"/>
        <v>-5.7827333401509473E-2</v>
      </c>
      <c r="BS95" s="744">
        <f t="shared" si="213"/>
        <v>-1.6353112935481473E-2</v>
      </c>
      <c r="BT95" s="743">
        <f t="shared" si="213"/>
        <v>-0.33460294039286731</v>
      </c>
      <c r="BU95" s="743">
        <f t="shared" si="213"/>
        <v>8.0502892594491504E-2</v>
      </c>
      <c r="BV95" s="743">
        <f t="shared" si="213"/>
        <v>0.25091400929983543</v>
      </c>
      <c r="BW95" s="743">
        <f t="shared" si="213"/>
        <v>0.12152813892028158</v>
      </c>
      <c r="BX95" s="744">
        <f t="shared" ref="BX95:CW95" si="214">BX94/BS94-1</f>
        <v>3.2875893694409131E-2</v>
      </c>
      <c r="BY95" s="743">
        <f t="shared" si="214"/>
        <v>0.92654550713344874</v>
      </c>
      <c r="BZ95" s="743">
        <f t="shared" si="214"/>
        <v>0.21451589305438112</v>
      </c>
      <c r="CA95" s="743">
        <f t="shared" si="214"/>
        <v>-7.0144721379723385E-2</v>
      </c>
      <c r="CB95" s="743">
        <f t="shared" si="214"/>
        <v>-0.13544840682267967</v>
      </c>
      <c r="CC95" s="744">
        <f t="shared" si="214"/>
        <v>0.12494689124643288</v>
      </c>
      <c r="CD95" s="316">
        <f t="shared" si="214"/>
        <v>2.9361475289085837E-2</v>
      </c>
      <c r="CE95" s="797">
        <f t="shared" si="214"/>
        <v>-1.4515569278356066E-3</v>
      </c>
      <c r="CF95" s="316">
        <f t="shared" si="214"/>
        <v>8.7259446961055032E-2</v>
      </c>
      <c r="CG95" s="316">
        <f t="shared" si="214"/>
        <v>0.21687615852568776</v>
      </c>
      <c r="CH95" s="446">
        <f t="shared" si="214"/>
        <v>8.8029277893174385E-2</v>
      </c>
      <c r="CI95" s="316">
        <f t="shared" si="214"/>
        <v>7.5800577861439011E-2</v>
      </c>
      <c r="CJ95" s="316">
        <f t="shared" si="214"/>
        <v>0.54811101123350037</v>
      </c>
      <c r="CK95" s="316">
        <f t="shared" ca="1" si="214"/>
        <v>-2.692069381697304E-2</v>
      </c>
      <c r="CL95" s="316">
        <f t="shared" ca="1" si="214"/>
        <v>4.0162082616846284E-2</v>
      </c>
      <c r="CM95" s="446">
        <f t="shared" ca="1" si="214"/>
        <v>0.1394574151964354</v>
      </c>
      <c r="CN95" s="316">
        <f t="shared" ca="1" si="214"/>
        <v>0.13606681057626369</v>
      </c>
      <c r="CO95" s="316">
        <f t="shared" ca="1" si="214"/>
        <v>-0.23603870098205393</v>
      </c>
      <c r="CP95" s="316">
        <f t="shared" ca="1" si="214"/>
        <v>0.15909587134874803</v>
      </c>
      <c r="CQ95" s="316">
        <f t="shared" ca="1" si="214"/>
        <v>0.11095765488324028</v>
      </c>
      <c r="CR95" s="446">
        <f t="shared" ca="1" si="214"/>
        <v>2.631672726487011E-2</v>
      </c>
      <c r="CS95" s="316">
        <f t="shared" ca="1" si="214"/>
        <v>7.7306546506477503E-2</v>
      </c>
      <c r="CT95" s="316">
        <f t="shared" ca="1" si="214"/>
        <v>4.4935115217225485E-2</v>
      </c>
      <c r="CU95" s="316">
        <f t="shared" ca="1" si="214"/>
        <v>7.2232321045903491E-2</v>
      </c>
      <c r="CV95" s="316">
        <f t="shared" ca="1" si="214"/>
        <v>7.2255587162430412E-2</v>
      </c>
      <c r="CW95" s="446">
        <f t="shared" ca="1" si="214"/>
        <v>6.7553849142550026E-2</v>
      </c>
      <c r="CX95" s="316">
        <f t="shared" ref="CX95:DG95" ca="1" si="215">CX94/CS94-1</f>
        <v>5.0585778018120253E-2</v>
      </c>
      <c r="CY95" s="316">
        <f t="shared" ca="1" si="215"/>
        <v>5.352415431877855E-2</v>
      </c>
      <c r="CZ95" s="316">
        <f t="shared" ca="1" si="215"/>
        <v>5.0495481825806987E-2</v>
      </c>
      <c r="DA95" s="316">
        <f t="shared" ca="1" si="215"/>
        <v>4.7969528857541688E-2</v>
      </c>
      <c r="DB95" s="446">
        <f t="shared" ca="1" si="215"/>
        <v>5.0448193045771417E-2</v>
      </c>
      <c r="DC95" s="316">
        <f t="shared" ca="1" si="215"/>
        <v>4.8565781949853282E-2</v>
      </c>
      <c r="DD95" s="316">
        <f t="shared" ca="1" si="215"/>
        <v>5.1201207851017783E-2</v>
      </c>
      <c r="DE95" s="316">
        <f t="shared" ca="1" si="215"/>
        <v>4.8306718780766644E-2</v>
      </c>
      <c r="DF95" s="316">
        <f t="shared" ca="1" si="215"/>
        <v>4.5974447126429618E-2</v>
      </c>
      <c r="DG95" s="446">
        <f t="shared" ca="1" si="215"/>
        <v>4.8334413552218569E-2</v>
      </c>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row>
    <row r="96" spans="1:226" s="36" customFormat="1" ht="12" hidden="1" customHeight="1" outlineLevel="1" x14ac:dyDescent="0.2">
      <c r="A96" s="35"/>
      <c r="B96" s="43"/>
      <c r="C96" s="85"/>
      <c r="D96" s="85"/>
      <c r="E96" s="85"/>
      <c r="F96" s="407"/>
      <c r="G96" s="43"/>
      <c r="H96" s="85"/>
      <c r="I96" s="85"/>
      <c r="J96" s="85"/>
      <c r="K96" s="407"/>
      <c r="L96" s="43"/>
      <c r="M96" s="85"/>
      <c r="N96" s="85"/>
      <c r="O96" s="85"/>
      <c r="P96" s="407"/>
      <c r="Q96" s="43"/>
      <c r="R96" s="85"/>
      <c r="S96" s="85"/>
      <c r="T96" s="85"/>
      <c r="U96" s="407"/>
      <c r="V96" s="43"/>
      <c r="W96" s="85"/>
      <c r="X96" s="85"/>
      <c r="Y96" s="85"/>
      <c r="Z96" s="407"/>
      <c r="AA96" s="43"/>
      <c r="AB96" s="85"/>
      <c r="AC96" s="85"/>
      <c r="AD96" s="85"/>
      <c r="AE96" s="407"/>
      <c r="AF96" s="43"/>
      <c r="AG96" s="85"/>
      <c r="AH96" s="85"/>
      <c r="AI96" s="85"/>
      <c r="AJ96" s="407"/>
      <c r="AK96" s="85"/>
      <c r="AL96" s="85"/>
      <c r="AM96" s="85"/>
      <c r="AN96" s="85"/>
      <c r="AO96" s="407"/>
      <c r="AP96" s="85"/>
      <c r="AQ96" s="85"/>
      <c r="AR96" s="85"/>
      <c r="AS96" s="85"/>
      <c r="AT96" s="407"/>
      <c r="AU96" s="85"/>
      <c r="AV96" s="85"/>
      <c r="AW96" s="43"/>
      <c r="AX96" s="43"/>
      <c r="AY96" s="407"/>
      <c r="AZ96" s="43"/>
      <c r="BA96" s="43"/>
      <c r="BB96" s="43"/>
      <c r="BC96" s="43"/>
      <c r="BD96" s="407"/>
      <c r="BE96" s="43"/>
      <c r="BF96" s="43"/>
      <c r="BG96" s="43"/>
      <c r="BH96" s="43"/>
      <c r="BI96" s="407"/>
      <c r="BJ96" s="43"/>
      <c r="BK96" s="43"/>
      <c r="BL96" s="386"/>
      <c r="BM96" s="43"/>
      <c r="BN96" s="407"/>
      <c r="BO96" s="386"/>
      <c r="BP96" s="386"/>
      <c r="BQ96" s="386"/>
      <c r="BR96" s="386"/>
      <c r="BS96" s="510"/>
      <c r="BT96" s="43"/>
      <c r="BU96" s="43"/>
      <c r="BV96" s="43"/>
      <c r="BW96" s="43"/>
      <c r="BX96" s="753"/>
      <c r="BY96" s="43"/>
      <c r="BZ96" s="43"/>
      <c r="CA96" s="43"/>
      <c r="CB96" s="43"/>
      <c r="CC96" s="407"/>
      <c r="CD96" s="43"/>
      <c r="CE96" s="707"/>
      <c r="CF96" s="43"/>
      <c r="CG96" s="43"/>
      <c r="CH96" s="407"/>
      <c r="CI96" s="43"/>
      <c r="CJ96" s="43"/>
      <c r="CK96" s="43"/>
      <c r="CL96" s="43"/>
      <c r="CM96" s="407"/>
      <c r="CN96" s="43"/>
      <c r="CO96" s="43"/>
      <c r="CP96" s="43"/>
      <c r="CQ96" s="43"/>
      <c r="CR96" s="407"/>
      <c r="CS96" s="43"/>
      <c r="CT96" s="43"/>
      <c r="CU96" s="43"/>
      <c r="CV96" s="43"/>
      <c r="CW96" s="407"/>
      <c r="CX96" s="43"/>
      <c r="CY96" s="43"/>
      <c r="CZ96" s="43"/>
      <c r="DA96" s="43"/>
      <c r="DB96" s="407"/>
      <c r="DC96" s="43"/>
      <c r="DD96" s="43"/>
      <c r="DE96" s="43"/>
      <c r="DF96" s="43"/>
      <c r="DG96" s="407"/>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c r="HH96"/>
      <c r="HI96"/>
      <c r="HJ96"/>
      <c r="HK96"/>
      <c r="HL96"/>
      <c r="HM96"/>
      <c r="HN96"/>
      <c r="HO96"/>
      <c r="HP96"/>
      <c r="HQ96"/>
      <c r="HR96"/>
    </row>
    <row r="97" spans="1:226" s="36" customFormat="1" ht="12" customHeight="1" collapsed="1" x14ac:dyDescent="0.2">
      <c r="A97" s="36" t="s">
        <v>123</v>
      </c>
      <c r="B97" s="36">
        <v>235.5</v>
      </c>
      <c r="C97" s="36">
        <v>236.1</v>
      </c>
      <c r="D97" s="36">
        <v>236.4</v>
      </c>
      <c r="E97" s="36">
        <v>236.6</v>
      </c>
      <c r="F97" s="441">
        <v>236.1</v>
      </c>
      <c r="G97" s="36">
        <v>235</v>
      </c>
      <c r="H97" s="36">
        <v>232.8</v>
      </c>
      <c r="I97" s="36">
        <v>231.5</v>
      </c>
      <c r="J97" s="36">
        <v>228.1</v>
      </c>
      <c r="K97" s="441">
        <v>231.8</v>
      </c>
      <c r="L97" s="36">
        <v>221.9</v>
      </c>
      <c r="M97" s="36">
        <v>218.3</v>
      </c>
      <c r="N97" s="36">
        <v>216.1</v>
      </c>
      <c r="O97" s="36">
        <v>215.1</v>
      </c>
      <c r="P97" s="441">
        <v>218.17400000000001</v>
      </c>
      <c r="Q97" s="36">
        <v>212.654</v>
      </c>
      <c r="R97" s="36">
        <v>210.5</v>
      </c>
      <c r="S97" s="36">
        <v>211.21299999999999</v>
      </c>
      <c r="T97" s="36">
        <v>212.363</v>
      </c>
      <c r="U97" s="441">
        <v>211.68299999999999</v>
      </c>
      <c r="V97" s="36">
        <v>212.905</v>
      </c>
      <c r="W97" s="36">
        <v>187.31</v>
      </c>
      <c r="X97" s="36">
        <v>153.50200000000001</v>
      </c>
      <c r="Y97" s="36">
        <v>152.62700000000001</v>
      </c>
      <c r="Z97" s="441">
        <v>176.58600000000001</v>
      </c>
      <c r="AA97" s="36">
        <v>150.83500000000001</v>
      </c>
      <c r="AB97" s="36">
        <v>150.08000000000001</v>
      </c>
      <c r="AC97" s="36">
        <v>150.364</v>
      </c>
      <c r="AD97" s="36">
        <v>150.90299999999999</v>
      </c>
      <c r="AE97" s="441">
        <v>150.54499999999999</v>
      </c>
      <c r="AF97" s="36">
        <v>151.143</v>
      </c>
      <c r="AG97" s="36">
        <v>151.41300000000001</v>
      </c>
      <c r="AH97" s="36">
        <v>151.46899999999999</v>
      </c>
      <c r="AI97" s="36">
        <v>151.75800000000001</v>
      </c>
      <c r="AJ97" s="441">
        <v>151.44499999999999</v>
      </c>
      <c r="AK97" s="36">
        <v>143.77799999999999</v>
      </c>
      <c r="AL97" s="36">
        <v>138.75</v>
      </c>
      <c r="AM97" s="36">
        <v>138.00800000000001</v>
      </c>
      <c r="AN97" s="36">
        <v>137.99700000000001</v>
      </c>
      <c r="AO97" s="441">
        <v>139.63300000000001</v>
      </c>
      <c r="AP97" s="36">
        <v>138.45699999999999</v>
      </c>
      <c r="AQ97" s="36">
        <v>139.08600000000001</v>
      </c>
      <c r="AR97" s="36">
        <v>139.21299999999999</v>
      </c>
      <c r="AS97" s="36">
        <v>139.303</v>
      </c>
      <c r="AT97" s="441">
        <v>139.01499999999999</v>
      </c>
      <c r="AU97" s="36">
        <v>139.74299999999999</v>
      </c>
      <c r="AV97" s="36">
        <v>140.303</v>
      </c>
      <c r="AW97" s="36">
        <v>140.76400000000001</v>
      </c>
      <c r="AX97" s="36">
        <v>140.28</v>
      </c>
      <c r="AY97" s="441">
        <v>140.27199999999999</v>
      </c>
      <c r="AZ97" s="36">
        <v>139.47499999999999</v>
      </c>
      <c r="BA97" s="36">
        <v>138.678</v>
      </c>
      <c r="BB97" s="36">
        <v>136.364</v>
      </c>
      <c r="BC97" s="655">
        <v>132.279</v>
      </c>
      <c r="BD97" s="441">
        <f>BD118</f>
        <v>136.69900000000001</v>
      </c>
      <c r="BE97" s="655">
        <v>131.96799999999999</v>
      </c>
      <c r="BF97" s="655">
        <v>131.11199999999999</v>
      </c>
      <c r="BG97" s="655">
        <v>130.26599999999999</v>
      </c>
      <c r="BH97" s="655">
        <v>130.06100000000001</v>
      </c>
      <c r="BI97" s="441">
        <v>132.56899999999999</v>
      </c>
      <c r="BJ97" s="655">
        <v>130.268</v>
      </c>
      <c r="BK97" s="655">
        <v>130.99100000000001</v>
      </c>
      <c r="BL97" s="655">
        <v>131.619</v>
      </c>
      <c r="BM97" s="655">
        <v>131.422</v>
      </c>
      <c r="BN97" s="441">
        <v>131.07499999999999</v>
      </c>
      <c r="BO97" s="655">
        <v>130.07400000000001</v>
      </c>
      <c r="BP97" s="655">
        <v>129.83600000000001</v>
      </c>
      <c r="BQ97" s="721">
        <v>129.31800000000001</v>
      </c>
      <c r="BR97" s="721">
        <v>129.005</v>
      </c>
      <c r="BS97" s="441">
        <f>BS118</f>
        <v>129.55825000000002</v>
      </c>
      <c r="BT97" s="721">
        <v>129.31200000000001</v>
      </c>
      <c r="BU97" s="721">
        <v>130.55500000000001</v>
      </c>
      <c r="BV97" s="721">
        <v>131.833</v>
      </c>
      <c r="BW97" s="721">
        <v>129.541</v>
      </c>
      <c r="BX97" s="441">
        <v>130.31</v>
      </c>
      <c r="BY97" s="721">
        <v>129.155</v>
      </c>
      <c r="BZ97" s="721">
        <v>129.54300000000001</v>
      </c>
      <c r="CA97" s="721">
        <v>129.69</v>
      </c>
      <c r="CB97" s="721">
        <v>129.50200000000001</v>
      </c>
      <c r="CC97" s="441">
        <v>129.47200000000001</v>
      </c>
      <c r="CD97" s="655">
        <v>129.44900000000001</v>
      </c>
      <c r="CE97" s="655">
        <v>128.49700000000001</v>
      </c>
      <c r="CF97" s="655">
        <v>128.75200000000001</v>
      </c>
      <c r="CG97" s="655">
        <v>129.113</v>
      </c>
      <c r="CH97" s="441">
        <v>128.953</v>
      </c>
      <c r="CI97" s="655">
        <v>129.01900000000001</v>
      </c>
      <c r="CJ97" s="655">
        <v>129.35900000000001</v>
      </c>
      <c r="CK97" s="258">
        <f t="shared" ref="CK97:CV97" si="216">CK118</f>
        <v>128.99812</v>
      </c>
      <c r="CL97" s="258">
        <f t="shared" si="216"/>
        <v>128.08611999999999</v>
      </c>
      <c r="CM97" s="441">
        <f t="shared" si="216"/>
        <v>128.86556000000002</v>
      </c>
      <c r="CN97" s="258">
        <f t="shared" si="216"/>
        <v>127.24912</v>
      </c>
      <c r="CO97" s="258">
        <f t="shared" si="216"/>
        <v>126.69911999999999</v>
      </c>
      <c r="CP97" s="258">
        <f t="shared" si="216"/>
        <v>126.14912000000001</v>
      </c>
      <c r="CQ97" s="258">
        <f t="shared" si="216"/>
        <v>125.59912</v>
      </c>
      <c r="CR97" s="441">
        <f t="shared" si="216"/>
        <v>126.42411999999999</v>
      </c>
      <c r="CS97" s="258">
        <f t="shared" si="216"/>
        <v>125.04912000000002</v>
      </c>
      <c r="CT97" s="258">
        <f t="shared" si="216"/>
        <v>124.49912</v>
      </c>
      <c r="CU97" s="258">
        <f t="shared" si="216"/>
        <v>123.94912000000002</v>
      </c>
      <c r="CV97" s="258">
        <f t="shared" si="216"/>
        <v>123.39912000000001</v>
      </c>
      <c r="CW97" s="441">
        <f t="shared" ref="CW97:DG97" si="217">CW118</f>
        <v>124.22412000000003</v>
      </c>
      <c r="CX97" s="258">
        <f t="shared" si="217"/>
        <v>122.84912000000003</v>
      </c>
      <c r="CY97" s="258">
        <f t="shared" si="217"/>
        <v>122.29912000000002</v>
      </c>
      <c r="CZ97" s="258">
        <f t="shared" si="217"/>
        <v>121.74912000000003</v>
      </c>
      <c r="DA97" s="258">
        <f t="shared" si="217"/>
        <v>121.19912000000002</v>
      </c>
      <c r="DB97" s="441">
        <f t="shared" si="217"/>
        <v>122.02412000000001</v>
      </c>
      <c r="DC97" s="258">
        <f t="shared" si="217"/>
        <v>120.64912000000004</v>
      </c>
      <c r="DD97" s="258">
        <f t="shared" si="217"/>
        <v>120.09912000000003</v>
      </c>
      <c r="DE97" s="258">
        <f t="shared" si="217"/>
        <v>119.54912000000004</v>
      </c>
      <c r="DF97" s="258">
        <f t="shared" si="217"/>
        <v>118.99912000000003</v>
      </c>
      <c r="DG97" s="441">
        <f t="shared" si="217"/>
        <v>119.82412000000005</v>
      </c>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c r="HH97"/>
      <c r="HI97"/>
      <c r="HJ97"/>
      <c r="HK97"/>
      <c r="HL97"/>
      <c r="HM97"/>
      <c r="HN97"/>
      <c r="HO97"/>
      <c r="HP97"/>
      <c r="HQ97"/>
      <c r="HR97"/>
    </row>
    <row r="98" spans="1:226" s="36" customFormat="1" ht="12" customHeight="1" x14ac:dyDescent="0.2">
      <c r="A98" s="36" t="s">
        <v>124</v>
      </c>
      <c r="B98" s="36">
        <v>238.6</v>
      </c>
      <c r="C98" s="36">
        <v>239.1</v>
      </c>
      <c r="D98" s="36">
        <v>239.8</v>
      </c>
      <c r="E98" s="36">
        <v>240.2</v>
      </c>
      <c r="F98" s="460">
        <v>239.5</v>
      </c>
      <c r="G98" s="36">
        <v>238.1</v>
      </c>
      <c r="H98" s="36">
        <v>235.9</v>
      </c>
      <c r="I98" s="36">
        <v>234.6</v>
      </c>
      <c r="J98" s="36">
        <v>231.3</v>
      </c>
      <c r="K98" s="460">
        <v>234.7</v>
      </c>
      <c r="L98" s="36">
        <v>224.1</v>
      </c>
      <c r="M98" s="36">
        <v>220.8</v>
      </c>
      <c r="N98" s="36">
        <v>218.7</v>
      </c>
      <c r="O98" s="36">
        <v>217.7</v>
      </c>
      <c r="P98" s="460">
        <v>220.69200000000001</v>
      </c>
      <c r="Q98" s="36">
        <v>214.80699999999999</v>
      </c>
      <c r="R98" s="36">
        <v>212.959</v>
      </c>
      <c r="S98" s="36">
        <v>213.60599999999999</v>
      </c>
      <c r="T98" s="36">
        <v>214.77</v>
      </c>
      <c r="U98" s="460">
        <v>214.37100000000001</v>
      </c>
      <c r="V98" s="36">
        <v>215.11699999999999</v>
      </c>
      <c r="W98" s="36">
        <v>189.80600000000001</v>
      </c>
      <c r="X98" s="36">
        <v>156.10400000000001</v>
      </c>
      <c r="Y98" s="36">
        <v>155.059</v>
      </c>
      <c r="Z98" s="460">
        <v>179.17599999999999</v>
      </c>
      <c r="AA98" s="36">
        <v>152.88200000000001</v>
      </c>
      <c r="AB98" s="36">
        <v>152.26400000000001</v>
      </c>
      <c r="AC98" s="36">
        <v>152.905</v>
      </c>
      <c r="AD98" s="36">
        <v>153.489</v>
      </c>
      <c r="AE98" s="460">
        <v>153.001</v>
      </c>
      <c r="AF98" s="36">
        <v>153.56800000000001</v>
      </c>
      <c r="AG98" s="36">
        <v>153.88499999999999</v>
      </c>
      <c r="AH98" s="36">
        <v>153.97</v>
      </c>
      <c r="AI98" s="36">
        <v>154.309</v>
      </c>
      <c r="AJ98" s="460">
        <v>153.935</v>
      </c>
      <c r="AK98" s="36">
        <v>146.12700000000001</v>
      </c>
      <c r="AL98" s="36">
        <v>141.02600000000001</v>
      </c>
      <c r="AM98" s="36">
        <v>140.30000000000001</v>
      </c>
      <c r="AN98" s="36">
        <v>140.20599999999999</v>
      </c>
      <c r="AO98" s="460">
        <v>142.00399999999999</v>
      </c>
      <c r="AP98" s="36">
        <v>139.86000000000001</v>
      </c>
      <c r="AQ98" s="36">
        <v>140.34899999999999</v>
      </c>
      <c r="AR98" s="36">
        <v>140.72399999999999</v>
      </c>
      <c r="AS98" s="36">
        <v>141.28</v>
      </c>
      <c r="AT98" s="460">
        <v>141.06299999999999</v>
      </c>
      <c r="AU98" s="36">
        <v>140.86099999999999</v>
      </c>
      <c r="AV98" s="36">
        <v>141.52799999999999</v>
      </c>
      <c r="AW98" s="36">
        <v>142.01400000000001</v>
      </c>
      <c r="AX98" s="36">
        <v>141.65100000000001</v>
      </c>
      <c r="AY98" s="460">
        <v>141.53399999999999</v>
      </c>
      <c r="AZ98" s="36">
        <v>140.93199999999999</v>
      </c>
      <c r="BA98" s="36">
        <v>138.678</v>
      </c>
      <c r="BB98" s="36">
        <v>137.68899999999999</v>
      </c>
      <c r="BC98" s="655">
        <v>133.667</v>
      </c>
      <c r="BD98" s="460">
        <f>BD120</f>
        <v>137.7415</v>
      </c>
      <c r="BE98" s="655">
        <v>133.61099999999999</v>
      </c>
      <c r="BF98" s="655">
        <v>132.358</v>
      </c>
      <c r="BG98" s="655">
        <v>131.607</v>
      </c>
      <c r="BH98" s="655">
        <v>131.39500000000001</v>
      </c>
      <c r="BI98" s="460">
        <v>132.31</v>
      </c>
      <c r="BJ98" s="655">
        <v>131.702</v>
      </c>
      <c r="BK98" s="655">
        <v>132.44399999999999</v>
      </c>
      <c r="BL98" s="655">
        <v>133.47499999999999</v>
      </c>
      <c r="BM98" s="655">
        <v>133.61199999999999</v>
      </c>
      <c r="BN98" s="460">
        <v>132.96899999999999</v>
      </c>
      <c r="BO98" s="655">
        <v>132.23699999999999</v>
      </c>
      <c r="BP98" s="655">
        <v>132.27799999999999</v>
      </c>
      <c r="BQ98" s="721">
        <v>131.55500000000001</v>
      </c>
      <c r="BR98" s="721">
        <v>131.22499999999999</v>
      </c>
      <c r="BS98" s="460">
        <f>BS120</f>
        <v>131.82374999999999</v>
      </c>
      <c r="BT98" s="721">
        <v>131.369</v>
      </c>
      <c r="BU98" s="721">
        <v>132.81899999999999</v>
      </c>
      <c r="BV98" s="721">
        <v>134.11500000000001</v>
      </c>
      <c r="BW98" s="721">
        <v>131.614</v>
      </c>
      <c r="BX98" s="460">
        <v>132.77600000000001</v>
      </c>
      <c r="BY98" s="721">
        <v>131.22</v>
      </c>
      <c r="BZ98" s="721">
        <v>131.54599999999999</v>
      </c>
      <c r="CA98" s="721">
        <v>131.64699999999999</v>
      </c>
      <c r="CB98" s="721">
        <v>131.51089999999999</v>
      </c>
      <c r="CC98" s="460">
        <v>131.71700000000001</v>
      </c>
      <c r="CD98" s="721">
        <v>132.19300000000001</v>
      </c>
      <c r="CE98" s="721">
        <v>130.77500000000001</v>
      </c>
      <c r="CF98" s="721">
        <v>131.36199999999999</v>
      </c>
      <c r="CG98" s="721">
        <v>131.91399999999999</v>
      </c>
      <c r="CH98" s="460">
        <v>131.566</v>
      </c>
      <c r="CI98" s="721">
        <v>131.50899999999999</v>
      </c>
      <c r="CJ98" s="721">
        <v>131.655</v>
      </c>
      <c r="CK98" s="258">
        <f t="shared" ref="CK98:CW98" si="218">CK120</f>
        <v>131.60811999999999</v>
      </c>
      <c r="CL98" s="258">
        <f t="shared" si="218"/>
        <v>130.88711999999998</v>
      </c>
      <c r="CM98" s="460">
        <f t="shared" si="218"/>
        <v>131.41480999999999</v>
      </c>
      <c r="CN98" s="258">
        <f t="shared" si="218"/>
        <v>129.73911999999999</v>
      </c>
      <c r="CO98" s="258">
        <f t="shared" si="218"/>
        <v>128.99511999999999</v>
      </c>
      <c r="CP98" s="258">
        <f t="shared" si="218"/>
        <v>128.75912</v>
      </c>
      <c r="CQ98" s="258">
        <f t="shared" si="218"/>
        <v>128.40011999999999</v>
      </c>
      <c r="CR98" s="460">
        <f t="shared" si="218"/>
        <v>128.97336999999999</v>
      </c>
      <c r="CS98" s="258">
        <f t="shared" si="218"/>
        <v>127.85012</v>
      </c>
      <c r="CT98" s="258">
        <f t="shared" si="218"/>
        <v>127.30011999999999</v>
      </c>
      <c r="CU98" s="258">
        <f t="shared" si="218"/>
        <v>126.75012000000001</v>
      </c>
      <c r="CV98" s="258">
        <f t="shared" si="218"/>
        <v>126.20012</v>
      </c>
      <c r="CW98" s="460">
        <f t="shared" si="218"/>
        <v>127.02511999999999</v>
      </c>
      <c r="CX98" s="258">
        <f t="shared" ref="CX98:DG98" si="219">CX120</f>
        <v>125.65012000000002</v>
      </c>
      <c r="CY98" s="258">
        <f t="shared" si="219"/>
        <v>125.10012</v>
      </c>
      <c r="CZ98" s="258">
        <f t="shared" si="219"/>
        <v>124.55012000000002</v>
      </c>
      <c r="DA98" s="258">
        <f t="shared" si="219"/>
        <v>124.00012000000001</v>
      </c>
      <c r="DB98" s="460">
        <f t="shared" si="219"/>
        <v>124.82512000000003</v>
      </c>
      <c r="DC98" s="258">
        <f t="shared" si="219"/>
        <v>123.45012000000003</v>
      </c>
      <c r="DD98" s="258">
        <f t="shared" si="219"/>
        <v>122.90012000000002</v>
      </c>
      <c r="DE98" s="258">
        <f t="shared" si="219"/>
        <v>122.35012000000003</v>
      </c>
      <c r="DF98" s="258">
        <f t="shared" si="219"/>
        <v>121.80012000000002</v>
      </c>
      <c r="DG98" s="460">
        <f t="shared" si="219"/>
        <v>122.62512000000001</v>
      </c>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c r="HB98"/>
      <c r="HC98"/>
      <c r="HD98"/>
      <c r="HE98"/>
      <c r="HF98"/>
      <c r="HG98"/>
      <c r="HH98"/>
      <c r="HI98"/>
      <c r="HJ98"/>
      <c r="HK98"/>
      <c r="HL98"/>
      <c r="HM98"/>
      <c r="HN98"/>
      <c r="HO98"/>
      <c r="HP98"/>
      <c r="HQ98"/>
      <c r="HR98"/>
    </row>
    <row r="99" spans="1:226" s="36" customFormat="1" ht="12" customHeight="1" x14ac:dyDescent="0.2">
      <c r="B99" s="43"/>
      <c r="C99" s="43"/>
      <c r="D99" s="43"/>
      <c r="E99" s="43"/>
      <c r="F99" s="43"/>
      <c r="G99" s="43"/>
      <c r="H99" s="43"/>
      <c r="I99" s="43"/>
      <c r="J99" s="43"/>
      <c r="K99" s="43"/>
      <c r="L99" s="43"/>
      <c r="M99" s="43"/>
      <c r="N99" s="43"/>
      <c r="O99" s="43"/>
      <c r="P99" s="43"/>
      <c r="Q99" s="43"/>
      <c r="R99" s="43"/>
      <c r="S99" s="43"/>
      <c r="T99" s="43"/>
      <c r="U99" s="43"/>
      <c r="V99" s="43"/>
      <c r="W99" s="43"/>
      <c r="X99" s="43"/>
      <c r="Y99" s="43"/>
      <c r="Z99" s="43"/>
      <c r="AA99" s="43"/>
      <c r="AB99" s="43"/>
      <c r="AC99" s="43"/>
      <c r="AD99" s="43"/>
      <c r="AE99" s="43"/>
      <c r="AF99" s="43"/>
      <c r="AG99" s="43"/>
      <c r="AH99" s="43"/>
      <c r="AI99" s="43"/>
      <c r="AJ99" s="43"/>
      <c r="AK99" s="43"/>
      <c r="AL99" s="43"/>
      <c r="AM99" s="43"/>
      <c r="AN99" s="43"/>
      <c r="AO99" s="43"/>
      <c r="AP99" s="43"/>
      <c r="AQ99" s="43"/>
      <c r="AR99" s="43"/>
      <c r="AS99" s="43"/>
      <c r="AT99" s="43"/>
      <c r="AU99" s="43"/>
      <c r="AV99" s="43"/>
      <c r="AW99" s="43"/>
      <c r="AX99" s="43"/>
      <c r="AY99" s="145"/>
      <c r="AZ99" s="382"/>
      <c r="BA99" s="382"/>
      <c r="BB99" s="382"/>
      <c r="BC99" s="382"/>
      <c r="BD99" s="382"/>
      <c r="BE99" s="382"/>
      <c r="BF99" s="382"/>
      <c r="BG99" s="382"/>
      <c r="BH99" s="382"/>
      <c r="BI99" s="382"/>
      <c r="BJ99" s="382"/>
      <c r="BK99" s="382"/>
      <c r="BL99" s="382"/>
      <c r="BM99" s="382"/>
      <c r="BN99" s="382"/>
      <c r="BO99" s="630"/>
      <c r="BP99" s="630"/>
      <c r="BQ99" s="651"/>
      <c r="BR99" s="630"/>
      <c r="BS99" s="301"/>
      <c r="BT99" s="43"/>
      <c r="BU99" s="43"/>
      <c r="BV99" s="43"/>
      <c r="BW99" s="43"/>
      <c r="BX99" s="43"/>
      <c r="BY99" s="762"/>
      <c r="BZ99" s="762"/>
      <c r="CA99" s="762"/>
      <c r="CB99" s="762"/>
      <c r="CC99" s="762"/>
      <c r="CD99" s="770"/>
      <c r="CE99" s="770"/>
      <c r="CF99" s="770"/>
      <c r="CG99" s="770"/>
      <c r="CH99" s="775"/>
      <c r="CJ99" s="43"/>
      <c r="CL99" s="497"/>
      <c r="CM99" s="497"/>
      <c r="CN99" s="43"/>
      <c r="CO99" s="831"/>
      <c r="CP99" s="43"/>
      <c r="CQ99" s="43"/>
      <c r="CR99" s="497"/>
      <c r="CS99" s="43"/>
      <c r="CT99" s="43"/>
      <c r="CU99" s="43"/>
      <c r="CV99" s="43"/>
      <c r="CW99" s="43"/>
      <c r="CX99" s="43"/>
      <c r="CY99" s="43"/>
      <c r="CZ99" s="43"/>
      <c r="DA99" s="43"/>
      <c r="DB99" s="43"/>
      <c r="DC99" s="43"/>
      <c r="DD99" s="43"/>
      <c r="DE99" s="43"/>
      <c r="DF99" s="43"/>
      <c r="DG99" s="43"/>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c r="HH99"/>
      <c r="HI99"/>
      <c r="HJ99"/>
      <c r="HK99"/>
      <c r="HL99"/>
      <c r="HM99"/>
      <c r="HN99"/>
      <c r="HO99"/>
      <c r="HP99"/>
      <c r="HQ99"/>
      <c r="HR99"/>
    </row>
    <row r="100" spans="1:226" s="53" customFormat="1" x14ac:dyDescent="0.2">
      <c r="A100" s="18"/>
      <c r="B100" s="54"/>
      <c r="C100" s="54"/>
      <c r="D100" s="54"/>
      <c r="E100" s="54"/>
      <c r="F100" s="54"/>
      <c r="G100" s="54"/>
      <c r="H100" s="54"/>
      <c r="I100" s="54"/>
      <c r="J100" s="54"/>
      <c r="K100" s="54"/>
      <c r="L100" s="54"/>
      <c r="M100" s="54"/>
      <c r="N100" s="54"/>
      <c r="O100" s="54"/>
      <c r="P100" s="54"/>
      <c r="Q100" s="54"/>
      <c r="R100" s="54"/>
      <c r="S100" s="54"/>
      <c r="T100" s="54"/>
      <c r="U100" s="54"/>
      <c r="V100" s="54"/>
      <c r="W100" s="54"/>
      <c r="X100" s="54"/>
      <c r="Y100" s="54"/>
      <c r="Z100" s="54"/>
      <c r="AA100" s="54"/>
      <c r="AB100" s="54"/>
      <c r="AC100" s="54"/>
      <c r="AD100" s="54"/>
      <c r="AE100" s="54"/>
      <c r="AF100" s="54"/>
      <c r="AG100" s="54"/>
      <c r="AH100" s="54"/>
      <c r="AI100" s="54"/>
      <c r="AJ100" s="54"/>
      <c r="AK100" s="321"/>
      <c r="AL100" s="321"/>
      <c r="AM100" s="321"/>
      <c r="AN100" s="321"/>
      <c r="AO100" s="321"/>
      <c r="AP100" s="321"/>
      <c r="AQ100" s="321"/>
      <c r="AR100" s="321"/>
      <c r="AS100" s="321"/>
      <c r="AT100" s="321"/>
      <c r="AU100" s="37"/>
      <c r="AV100" s="37"/>
      <c r="AW100" s="54"/>
      <c r="AX100" s="54"/>
      <c r="AY100" s="54"/>
      <c r="AZ100" s="37"/>
      <c r="BA100" s="37"/>
      <c r="BB100" s="321"/>
      <c r="BC100" s="613"/>
      <c r="BD100" s="497"/>
      <c r="BI100" s="619"/>
      <c r="BJ100" s="619"/>
      <c r="BK100" s="619"/>
      <c r="BL100" s="619"/>
      <c r="BM100" s="619"/>
      <c r="BN100" s="631"/>
      <c r="BO100" s="619"/>
      <c r="BP100" s="619"/>
      <c r="BQ100" s="619"/>
      <c r="BR100" s="619"/>
      <c r="BS100" s="619"/>
      <c r="BT100" s="54"/>
      <c r="BU100" s="54"/>
      <c r="BV100" s="54"/>
      <c r="BW100" s="54"/>
      <c r="BX100" s="604"/>
      <c r="CD100" s="771"/>
      <c r="CE100" s="771"/>
      <c r="CF100" s="812"/>
      <c r="CG100" s="771"/>
      <c r="CH100" s="776"/>
      <c r="CM100" s="849"/>
      <c r="CN100" s="81"/>
      <c r="CO100" s="81"/>
      <c r="CP100" s="81"/>
      <c r="CQ100" s="81"/>
      <c r="CR100" s="81"/>
      <c r="CS100" s="81"/>
      <c r="CT100" s="81"/>
      <c r="CU100" s="81"/>
      <c r="CV100" s="81"/>
      <c r="CW100" s="81"/>
      <c r="CX100" s="81"/>
      <c r="CY100" s="81"/>
      <c r="CZ100" s="81"/>
      <c r="DA100" s="81"/>
      <c r="DB100" s="81"/>
      <c r="DC100" s="81"/>
      <c r="DD100" s="81"/>
      <c r="DE100" s="81"/>
      <c r="DF100" s="81"/>
      <c r="DG100" s="81"/>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c r="HH100"/>
      <c r="HI100"/>
      <c r="HJ100"/>
      <c r="HK100"/>
      <c r="HL100"/>
      <c r="HM100"/>
      <c r="HN100"/>
      <c r="HO100"/>
      <c r="HP100"/>
      <c r="HQ100"/>
      <c r="HR100"/>
    </row>
    <row r="101" spans="1:226" s="53" customFormat="1" hidden="1" outlineLevel="1" x14ac:dyDescent="0.2">
      <c r="A101" s="79" t="s">
        <v>136</v>
      </c>
      <c r="B101" s="54"/>
      <c r="C101" s="54"/>
      <c r="D101" s="54"/>
      <c r="E101" s="54"/>
      <c r="F101" s="54"/>
      <c r="G101" s="54"/>
      <c r="H101" s="54"/>
      <c r="I101" s="54"/>
      <c r="J101" s="54"/>
      <c r="K101" s="54"/>
      <c r="L101" s="54"/>
      <c r="M101" s="54"/>
      <c r="N101" s="54"/>
      <c r="O101" s="54"/>
      <c r="P101" s="54"/>
      <c r="Q101" s="54"/>
      <c r="R101" s="54"/>
      <c r="S101" s="54"/>
      <c r="T101" s="54"/>
      <c r="U101" s="54"/>
      <c r="V101" s="54"/>
      <c r="W101" s="54"/>
      <c r="X101" s="54"/>
      <c r="Y101" s="54"/>
      <c r="Z101" s="54"/>
      <c r="AA101" s="54"/>
      <c r="AB101" s="54"/>
      <c r="AC101" s="54"/>
      <c r="AD101" s="54"/>
      <c r="AE101" s="54"/>
      <c r="AF101" s="54"/>
      <c r="AG101" s="54"/>
      <c r="AH101" s="54"/>
      <c r="AI101" s="54"/>
      <c r="AJ101" s="54"/>
      <c r="AK101" s="26"/>
      <c r="AL101" s="26"/>
      <c r="AM101" s="26"/>
      <c r="AN101" s="26"/>
      <c r="AO101" s="26"/>
      <c r="AP101" s="501"/>
      <c r="AQ101" s="501"/>
      <c r="AR101" s="501"/>
      <c r="AS101" s="501"/>
      <c r="AT101" s="501"/>
      <c r="AU101" s="26"/>
      <c r="AV101" s="26"/>
      <c r="AW101" s="26"/>
      <c r="AX101" s="26"/>
      <c r="AY101" s="54"/>
      <c r="AZ101" s="27"/>
      <c r="BA101" s="585"/>
      <c r="BB101" s="47"/>
      <c r="BC101" s="81"/>
      <c r="BD101" s="81"/>
      <c r="BE101" s="23"/>
      <c r="BJ101" s="54"/>
      <c r="BK101" s="54"/>
      <c r="BL101" s="54"/>
      <c r="BM101" s="54"/>
      <c r="BN101" s="54"/>
      <c r="BO101" s="54"/>
      <c r="BP101" s="54"/>
      <c r="BQ101" s="54"/>
      <c r="BR101" s="54"/>
      <c r="BS101" s="47"/>
      <c r="BT101" s="54"/>
      <c r="BU101" s="54"/>
      <c r="BV101" s="54"/>
      <c r="BW101" s="54"/>
      <c r="BX101" s="47"/>
      <c r="BY101" s="81"/>
      <c r="BZ101" s="81"/>
      <c r="CA101" s="81"/>
      <c r="CB101" s="81"/>
      <c r="CC101" s="81"/>
      <c r="CD101" s="54"/>
      <c r="CE101" s="54"/>
      <c r="CF101" s="54"/>
      <c r="CG101" s="54"/>
      <c r="CH101" s="54"/>
      <c r="CI101" s="54"/>
      <c r="CJ101" s="54"/>
      <c r="CK101" s="54"/>
      <c r="CL101" s="54"/>
      <c r="CM101" s="54"/>
      <c r="CN101" s="54"/>
      <c r="CO101" s="54"/>
      <c r="CP101" s="54"/>
      <c r="CQ101" s="54"/>
      <c r="CR101" s="54"/>
      <c r="CS101" s="54"/>
      <c r="CT101" s="54"/>
      <c r="CU101" s="54"/>
      <c r="CV101" s="54"/>
      <c r="CW101" s="54"/>
      <c r="CX101" s="54"/>
      <c r="CY101" s="54"/>
      <c r="CZ101" s="54"/>
      <c r="DA101" s="54"/>
      <c r="DB101" s="54"/>
      <c r="DC101" s="54"/>
      <c r="DD101" s="54"/>
      <c r="DE101" s="54"/>
      <c r="DF101" s="54"/>
      <c r="DG101" s="54"/>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c r="HH101"/>
      <c r="HI101"/>
      <c r="HJ101"/>
      <c r="HK101"/>
      <c r="HL101"/>
      <c r="HM101"/>
      <c r="HN101"/>
      <c r="HO101"/>
      <c r="HP101"/>
      <c r="HQ101"/>
      <c r="HR101"/>
    </row>
    <row r="102" spans="1:226" s="53" customFormat="1" hidden="1" outlineLevel="1" x14ac:dyDescent="0.2">
      <c r="A102" s="80" t="s">
        <v>137</v>
      </c>
      <c r="B102" s="382"/>
      <c r="C102" s="382"/>
      <c r="D102" s="382"/>
      <c r="E102" s="382"/>
      <c r="F102" s="461"/>
      <c r="G102" s="382">
        <f>G48</f>
        <v>-12</v>
      </c>
      <c r="H102" s="382">
        <f t="shared" ref="H102:O102" si="220">H48</f>
        <v>-66</v>
      </c>
      <c r="I102" s="382">
        <f t="shared" si="220"/>
        <v>-100</v>
      </c>
      <c r="J102" s="382">
        <f t="shared" si="220"/>
        <v>-6</v>
      </c>
      <c r="K102" s="461">
        <f t="shared" ref="K102:K108" si="221">SUM(G102:J102)</f>
        <v>-184</v>
      </c>
      <c r="L102" s="382">
        <f>L48</f>
        <v>-3</v>
      </c>
      <c r="M102" s="382">
        <f t="shared" si="220"/>
        <v>-30</v>
      </c>
      <c r="N102" s="382">
        <f t="shared" si="220"/>
        <v>0</v>
      </c>
      <c r="O102" s="382">
        <f t="shared" si="220"/>
        <v>0</v>
      </c>
      <c r="P102" s="461">
        <f>SUM(L102:O102)</f>
        <v>-33</v>
      </c>
      <c r="Q102" s="382">
        <v>0</v>
      </c>
      <c r="R102" s="382">
        <v>0</v>
      </c>
      <c r="S102" s="382">
        <v>0</v>
      </c>
      <c r="T102" s="382">
        <v>0</v>
      </c>
      <c r="U102" s="461">
        <f>SUM(Q102:T102)</f>
        <v>0</v>
      </c>
      <c r="V102" s="382">
        <v>0</v>
      </c>
      <c r="W102" s="382">
        <v>0</v>
      </c>
      <c r="X102" s="382">
        <v>0</v>
      </c>
      <c r="Y102" s="382">
        <v>0</v>
      </c>
      <c r="Z102" s="461">
        <f>SUM(V102:Y102)</f>
        <v>0</v>
      </c>
      <c r="AA102" s="382">
        <v>0</v>
      </c>
      <c r="AB102" s="382">
        <v>0</v>
      </c>
      <c r="AC102" s="382">
        <v>0</v>
      </c>
      <c r="AD102" s="382">
        <v>-36</v>
      </c>
      <c r="AE102" s="461">
        <f>SUM(AA102:AD102)</f>
        <v>-36</v>
      </c>
      <c r="AF102" s="382">
        <v>-3</v>
      </c>
      <c r="AG102" s="382">
        <v>-5</v>
      </c>
      <c r="AH102" s="382">
        <v>-10</v>
      </c>
      <c r="AI102" s="382">
        <v>0</v>
      </c>
      <c r="AJ102" s="461">
        <f>SUM(AF102:AI102)</f>
        <v>-18</v>
      </c>
      <c r="AK102" s="382">
        <v>-27</v>
      </c>
      <c r="AL102" s="382">
        <v>-5</v>
      </c>
      <c r="AM102" s="382">
        <v>-17</v>
      </c>
      <c r="AN102" s="382">
        <v>-10</v>
      </c>
      <c r="AO102" s="461">
        <f>SUM(AK102:AN102)</f>
        <v>-59</v>
      </c>
      <c r="AP102" s="382">
        <v>-6</v>
      </c>
      <c r="AQ102" s="382">
        <v>-3</v>
      </c>
      <c r="AR102" s="382">
        <v>-19</v>
      </c>
      <c r="AS102" s="382">
        <v>-11</v>
      </c>
      <c r="AT102" s="461">
        <f>SUM(AP102:AS102)</f>
        <v>-39</v>
      </c>
      <c r="AU102" s="382">
        <v>-6</v>
      </c>
      <c r="AV102" s="382">
        <v>-6</v>
      </c>
      <c r="AW102" s="382">
        <v>-1</v>
      </c>
      <c r="AX102" s="382">
        <f>-17-AW102-AV102-AU102</f>
        <v>-4</v>
      </c>
      <c r="AY102" s="461">
        <f t="shared" ref="AY102:AY108" si="222">SUM(AU102:AX102)</f>
        <v>-17</v>
      </c>
      <c r="AZ102" s="382">
        <f t="shared" ref="AZ102:CV102" si="223">SUM(AZ15,AZ31,AZ48)</f>
        <v>-3.75</v>
      </c>
      <c r="BA102" s="42">
        <f t="shared" si="223"/>
        <v>-3.75</v>
      </c>
      <c r="BB102" s="376">
        <f t="shared" si="223"/>
        <v>-3.75</v>
      </c>
      <c r="BC102" s="376">
        <f t="shared" si="223"/>
        <v>-3.75</v>
      </c>
      <c r="BD102" s="461">
        <f t="shared" ref="BD102:BD108" si="224">SUM(AZ102:BC102)</f>
        <v>-15</v>
      </c>
      <c r="BE102" s="376">
        <f t="shared" si="223"/>
        <v>-2.5</v>
      </c>
      <c r="BF102" s="376">
        <f t="shared" si="223"/>
        <v>-2.5</v>
      </c>
      <c r="BG102" s="376">
        <f t="shared" si="223"/>
        <v>-2.5</v>
      </c>
      <c r="BH102" s="376">
        <v>-6</v>
      </c>
      <c r="BI102" s="461">
        <f t="shared" ref="BI102:BI107" si="225">SUM(BE102:BH102)</f>
        <v>-13.5</v>
      </c>
      <c r="BJ102" s="376">
        <f t="shared" si="223"/>
        <v>-2.5</v>
      </c>
      <c r="BK102" s="376">
        <f t="shared" si="223"/>
        <v>-2.5</v>
      </c>
      <c r="BL102" s="376">
        <f t="shared" si="223"/>
        <v>-2.5</v>
      </c>
      <c r="BM102" s="376">
        <f t="shared" si="223"/>
        <v>-2.5</v>
      </c>
      <c r="BN102" s="461">
        <f t="shared" ref="BN102:BN108" si="226">SUM(BJ102:BM102)</f>
        <v>-10</v>
      </c>
      <c r="BO102" s="376">
        <f t="shared" si="223"/>
        <v>0</v>
      </c>
      <c r="BP102" s="376">
        <f t="shared" si="223"/>
        <v>0</v>
      </c>
      <c r="BQ102" s="376">
        <f t="shared" si="223"/>
        <v>0</v>
      </c>
      <c r="BR102" s="376">
        <f t="shared" si="223"/>
        <v>0</v>
      </c>
      <c r="BS102" s="461">
        <f t="shared" ref="BS102:BS108" si="227">SUM(BO102:BR102)</f>
        <v>0</v>
      </c>
      <c r="BT102" s="376">
        <f>SUM(BT15,BT31,BT48)</f>
        <v>0</v>
      </c>
      <c r="BU102" s="376">
        <f>SUM(BU15,BU31,BU48)</f>
        <v>0</v>
      </c>
      <c r="BV102" s="376">
        <f>SUM(BV15,BV31,BV48)</f>
        <v>0</v>
      </c>
      <c r="BW102" s="376">
        <f>SUM(BW15,BW31,BW48)</f>
        <v>0</v>
      </c>
      <c r="BX102" s="461">
        <f t="shared" ref="BX102:BX108" si="228">SUM(BT102:BW102)</f>
        <v>0</v>
      </c>
      <c r="BY102" s="376">
        <f>SUM(BY15,BY31,BY48)</f>
        <v>0</v>
      </c>
      <c r="BZ102" s="376">
        <f>SUM(BZ15,BZ31,BZ48)</f>
        <v>0</v>
      </c>
      <c r="CA102" s="376">
        <f>SUM(CA15,CA31,CA48)</f>
        <v>0</v>
      </c>
      <c r="CB102" s="376">
        <f>SUM(CB15,CB31,CB48)</f>
        <v>0</v>
      </c>
      <c r="CC102" s="461">
        <f>SUM(BY102:CB102)</f>
        <v>0</v>
      </c>
      <c r="CD102" s="376">
        <f t="shared" si="223"/>
        <v>0</v>
      </c>
      <c r="CE102" s="376">
        <f t="shared" si="223"/>
        <v>0</v>
      </c>
      <c r="CF102" s="376">
        <f t="shared" si="223"/>
        <v>0</v>
      </c>
      <c r="CG102" s="376">
        <f t="shared" si="223"/>
        <v>0</v>
      </c>
      <c r="CH102" s="461">
        <f t="shared" ref="CH102:CH108" si="229">SUM(CD102:CG102)</f>
        <v>0</v>
      </c>
      <c r="CI102" s="376">
        <f t="shared" si="223"/>
        <v>0</v>
      </c>
      <c r="CJ102" s="376">
        <f t="shared" si="223"/>
        <v>0</v>
      </c>
      <c r="CK102" s="376">
        <f t="shared" si="223"/>
        <v>0</v>
      </c>
      <c r="CL102" s="376">
        <f t="shared" si="223"/>
        <v>0</v>
      </c>
      <c r="CM102" s="461">
        <f t="shared" ref="CM102:CM108" si="230">SUM(CI102:CL102)</f>
        <v>0</v>
      </c>
      <c r="CN102" s="376">
        <f t="shared" si="223"/>
        <v>0</v>
      </c>
      <c r="CO102" s="376">
        <f t="shared" si="223"/>
        <v>0</v>
      </c>
      <c r="CP102" s="376">
        <f t="shared" si="223"/>
        <v>0</v>
      </c>
      <c r="CQ102" s="376">
        <f t="shared" si="223"/>
        <v>0</v>
      </c>
      <c r="CR102" s="461">
        <f t="shared" ref="CR102:CR108" si="231">SUM(CN102:CQ102)</f>
        <v>0</v>
      </c>
      <c r="CS102" s="376">
        <f t="shared" si="223"/>
        <v>0</v>
      </c>
      <c r="CT102" s="376">
        <f t="shared" si="223"/>
        <v>0</v>
      </c>
      <c r="CU102" s="376">
        <f t="shared" si="223"/>
        <v>0</v>
      </c>
      <c r="CV102" s="376">
        <f t="shared" si="223"/>
        <v>0</v>
      </c>
      <c r="CW102" s="461">
        <f t="shared" ref="CW102:CW108" si="232">SUM(CS102:CV102)</f>
        <v>0</v>
      </c>
      <c r="CX102" s="376">
        <f>SUM(CX15,CX31,CX48)</f>
        <v>0</v>
      </c>
      <c r="CY102" s="376">
        <f>SUM(CY15,CY31,CY48)</f>
        <v>0</v>
      </c>
      <c r="CZ102" s="376">
        <f>SUM(CZ15,CZ31,CZ48)</f>
        <v>0</v>
      </c>
      <c r="DA102" s="376">
        <f>SUM(DA15,DA31,DA48)</f>
        <v>0</v>
      </c>
      <c r="DB102" s="461">
        <f t="shared" ref="DB102:DB108" si="233">SUM(CX102:DA102)</f>
        <v>0</v>
      </c>
      <c r="DC102" s="376">
        <f>SUM(DC15,DC31,DC48)</f>
        <v>0</v>
      </c>
      <c r="DD102" s="376">
        <f>SUM(DD15,DD31,DD48)</f>
        <v>0</v>
      </c>
      <c r="DE102" s="376">
        <f>SUM(DE15,DE31,DE48)</f>
        <v>0</v>
      </c>
      <c r="DF102" s="376">
        <f>SUM(DF15,DF31,DF48)</f>
        <v>0</v>
      </c>
      <c r="DG102" s="461">
        <f t="shared" ref="DG102:DG108" si="234">SUM(DC102:DF102)</f>
        <v>0</v>
      </c>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c r="HH102"/>
      <c r="HI102"/>
      <c r="HJ102"/>
      <c r="HK102"/>
      <c r="HL102"/>
      <c r="HM102"/>
      <c r="HN102"/>
      <c r="HO102"/>
      <c r="HP102"/>
      <c r="HQ102"/>
      <c r="HR102"/>
    </row>
    <row r="103" spans="1:226" s="53" customFormat="1" hidden="1" outlineLevel="1" x14ac:dyDescent="0.2">
      <c r="A103" s="80" t="s">
        <v>113</v>
      </c>
      <c r="B103" s="37"/>
      <c r="C103" s="37"/>
      <c r="D103" s="37"/>
      <c r="E103" s="37"/>
      <c r="F103" s="439"/>
      <c r="G103" s="37">
        <f>G102*(1-0.1)</f>
        <v>-10.8</v>
      </c>
      <c r="H103" s="37">
        <f>H102*(1-0.1)</f>
        <v>-59.4</v>
      </c>
      <c r="I103" s="37">
        <f>I102*(1-0.1)</f>
        <v>-90</v>
      </c>
      <c r="J103" s="37">
        <f>J102*(1-0.1)</f>
        <v>-5.4</v>
      </c>
      <c r="K103" s="439">
        <f t="shared" si="221"/>
        <v>-165.6</v>
      </c>
      <c r="L103" s="37">
        <f>L102*(1-0.1)</f>
        <v>-2.7</v>
      </c>
      <c r="M103" s="37">
        <f>M102*(1-0.1)</f>
        <v>-27</v>
      </c>
      <c r="N103" s="37">
        <f>N102*(1-0.1)</f>
        <v>0</v>
      </c>
      <c r="O103" s="37">
        <f>O102*(1-0.1)</f>
        <v>0</v>
      </c>
      <c r="P103" s="439">
        <f t="shared" ref="P103:P108" si="235">SUM(L103:O103)</f>
        <v>-29.7</v>
      </c>
      <c r="Q103" s="37">
        <f>Q102*(1-0.1)</f>
        <v>0</v>
      </c>
      <c r="R103" s="37">
        <f>R102*(1-0.1)</f>
        <v>0</v>
      </c>
      <c r="S103" s="37">
        <f>S102*(1-0.1)</f>
        <v>0</v>
      </c>
      <c r="T103" s="37">
        <f>T102*(1-0.1)</f>
        <v>0</v>
      </c>
      <c r="U103" s="439">
        <f t="shared" ref="U103:U108" si="236">SUM(Q103:T103)</f>
        <v>0</v>
      </c>
      <c r="V103" s="37">
        <f>V102*(1-0.1)</f>
        <v>0</v>
      </c>
      <c r="W103" s="37">
        <f>W102*(1-0.1)</f>
        <v>0</v>
      </c>
      <c r="X103" s="37">
        <f>X102*(1-0.1)</f>
        <v>0</v>
      </c>
      <c r="Y103" s="37">
        <f>Y102*(1-0.1)</f>
        <v>0</v>
      </c>
      <c r="Z103" s="439">
        <f t="shared" ref="Z103:Z108" si="237">SUM(V103:Y103)</f>
        <v>0</v>
      </c>
      <c r="AA103" s="37">
        <f>AA102*(1-0.1)</f>
        <v>0</v>
      </c>
      <c r="AB103" s="37">
        <f>AB102*(1-0.1)</f>
        <v>0</v>
      </c>
      <c r="AC103" s="37">
        <f>AC102*(1-0.1)</f>
        <v>0</v>
      </c>
      <c r="AD103" s="37">
        <f>AD102*(1-0.1)</f>
        <v>-32.4</v>
      </c>
      <c r="AE103" s="439">
        <f t="shared" ref="AE103:AE108" si="238">SUM(AA103:AD103)</f>
        <v>-32.4</v>
      </c>
      <c r="AF103" s="37">
        <f>AF102*(1-0.1)</f>
        <v>-2.7</v>
      </c>
      <c r="AG103" s="37">
        <f>AG102*(1-0.1)</f>
        <v>-4.5</v>
      </c>
      <c r="AH103" s="37">
        <f>AH102*(1-0.1)</f>
        <v>-9</v>
      </c>
      <c r="AI103" s="37">
        <f>AI102*(1-AI77)</f>
        <v>0</v>
      </c>
      <c r="AJ103" s="439">
        <f t="shared" ref="AJ103:AJ108" si="239">SUM(AF103:AI103)</f>
        <v>-16.2</v>
      </c>
      <c r="AK103" s="37">
        <f>AK102*(1-AK77)+0.35</f>
        <v>-16.874137931034483</v>
      </c>
      <c r="AL103" s="37">
        <f>AL102*(1-AL77)+0.35</f>
        <v>-3.2437499999999999</v>
      </c>
      <c r="AM103" s="37">
        <f>AM102*(1-AM77)+0.35</f>
        <v>-10.908278145695366</v>
      </c>
      <c r="AN103" s="37">
        <f>AN102*(1-AN77)+0.35</f>
        <v>-6.2333333333333334</v>
      </c>
      <c r="AO103" s="439">
        <f t="shared" ref="AO103:AO108" si="240">SUM(AK103:AN103)</f>
        <v>-37.259499410063178</v>
      </c>
      <c r="AP103" s="37">
        <f>AP102*(1-AP77)</f>
        <v>-4.129032258064516</v>
      </c>
      <c r="AQ103" s="37">
        <f>AQ102*(1-AQ77)</f>
        <v>-1.9694656488549618</v>
      </c>
      <c r="AR103" s="37">
        <f>AR102*(1-AR77)+0.25</f>
        <v>-12.226394849785407</v>
      </c>
      <c r="AS103" s="37">
        <f>AS102*(1-AS77)</f>
        <v>-7.1647509578544053</v>
      </c>
      <c r="AT103" s="439">
        <f t="shared" ref="AT103:AT108" si="241">SUM(AP103:AS103)</f>
        <v>-25.489643714559289</v>
      </c>
      <c r="AU103" s="37">
        <f>AU102*(1-AU77)</f>
        <v>-3.870967741935484</v>
      </c>
      <c r="AV103" s="37">
        <f>AV102*(1-AV77)</f>
        <v>-4.0729927007299267</v>
      </c>
      <c r="AW103" s="37">
        <f>AW102*(1-AW77)</f>
        <v>-0.68421052631578949</v>
      </c>
      <c r="AX103" s="37">
        <f>AX102*(1-AX77)</f>
        <v>-2.4793388429752063</v>
      </c>
      <c r="AY103" s="439">
        <f t="shared" si="222"/>
        <v>-11.107509811956406</v>
      </c>
      <c r="AZ103" s="37">
        <f>AZ102*(1-AZ77)</f>
        <v>-2.5990099009900987</v>
      </c>
      <c r="BA103" s="42">
        <f>BA102*(1-BA77)</f>
        <v>-2.415</v>
      </c>
      <c r="BB103" s="37">
        <f>BB102*(1-BB77)</f>
        <v>-2.4143835616438358</v>
      </c>
      <c r="BC103" s="37">
        <f>BC102*(1-BC77)</f>
        <v>-2.4950787401574801</v>
      </c>
      <c r="BD103" s="439">
        <f t="shared" si="224"/>
        <v>-9.9234722027914142</v>
      </c>
      <c r="BE103" s="37">
        <f>BE102*(1-BE77)</f>
        <v>-1.7379679144385027</v>
      </c>
      <c r="BF103" s="37">
        <f>BF102*(1-BF77)</f>
        <v>-1.6935483870967745</v>
      </c>
      <c r="BG103" s="37">
        <f>BG102*(1-BG77)</f>
        <v>-1.6919191919191916</v>
      </c>
      <c r="BH103" s="37">
        <f>BH102*(1-BH77)</f>
        <v>-4.1593625498007967</v>
      </c>
      <c r="BI103" s="439">
        <f t="shared" si="225"/>
        <v>-9.2827980432552657</v>
      </c>
      <c r="BJ103" s="37">
        <f>BJ102*(1-BJ77)</f>
        <v>-1.713917525773196</v>
      </c>
      <c r="BK103" s="37">
        <f>BK102*(1-BK77)</f>
        <v>-1.6356382978723405</v>
      </c>
      <c r="BL103" s="37">
        <f>BL102*(1-BL77)</f>
        <v>-1.6584158415841581</v>
      </c>
      <c r="BM103" s="37">
        <f>BM102*(1-BM77)</f>
        <v>-1.7100371747211895</v>
      </c>
      <c r="BN103" s="439">
        <f t="shared" si="226"/>
        <v>-6.7180088399508842</v>
      </c>
      <c r="BO103" s="37">
        <f>BO102*(1-BO77)</f>
        <v>0</v>
      </c>
      <c r="BP103" s="37">
        <f>BP102*(1-BP77)</f>
        <v>0</v>
      </c>
      <c r="BQ103" s="37">
        <f>BQ102*(1-BQ77)</f>
        <v>0</v>
      </c>
      <c r="BR103" s="37">
        <f>BR102*(1-BR77)</f>
        <v>0</v>
      </c>
      <c r="BS103" s="439">
        <f t="shared" si="227"/>
        <v>0</v>
      </c>
      <c r="BT103" s="37">
        <f>BT102*(1-BT77)</f>
        <v>0</v>
      </c>
      <c r="BU103" s="37">
        <f>BU102*(1-BU77)</f>
        <v>0</v>
      </c>
      <c r="BV103" s="37">
        <f>BV102*(1-BV77)</f>
        <v>0</v>
      </c>
      <c r="BW103" s="37">
        <f>BW102*(1-BW77)</f>
        <v>0</v>
      </c>
      <c r="BX103" s="439">
        <f t="shared" si="228"/>
        <v>0</v>
      </c>
      <c r="BY103" s="37">
        <f>BY102*(1-BY77)</f>
        <v>0</v>
      </c>
      <c r="BZ103" s="37">
        <f>BZ102*(1-BZ77)</f>
        <v>0</v>
      </c>
      <c r="CA103" s="37">
        <f>CA102*(1-CA77)</f>
        <v>0</v>
      </c>
      <c r="CB103" s="37">
        <f>CB102*(1-CB77)</f>
        <v>0</v>
      </c>
      <c r="CC103" s="439">
        <f t="shared" ref="CC103:CC108" si="242">SUM(BY103:CB103)</f>
        <v>0</v>
      </c>
      <c r="CD103" s="37">
        <f>CD102*(1-CD77)</f>
        <v>0</v>
      </c>
      <c r="CE103" s="37">
        <f>CE102*(1-CE77)</f>
        <v>0</v>
      </c>
      <c r="CF103" s="37">
        <f>CF102*(1-CF77)</f>
        <v>0</v>
      </c>
      <c r="CG103" s="37">
        <f>CG102*(1-CG77)</f>
        <v>0</v>
      </c>
      <c r="CH103" s="439">
        <f t="shared" si="229"/>
        <v>0</v>
      </c>
      <c r="CI103" s="37">
        <f>CI102*(1-CI77)</f>
        <v>0</v>
      </c>
      <c r="CJ103" s="37">
        <f>CJ102*(1-CJ77)</f>
        <v>0</v>
      </c>
      <c r="CK103" s="37">
        <f>CK102*(1-CK77)</f>
        <v>0</v>
      </c>
      <c r="CL103" s="37">
        <f ca="1">CL102*(1-CL77)</f>
        <v>0</v>
      </c>
      <c r="CM103" s="439">
        <f t="shared" ca="1" si="230"/>
        <v>0</v>
      </c>
      <c r="CN103" s="37">
        <f>CN102*(1-CN77)</f>
        <v>0</v>
      </c>
      <c r="CO103" s="37">
        <f>CO102*(1-CO77)</f>
        <v>0</v>
      </c>
      <c r="CP103" s="37">
        <f>CP102*(1-CP77)</f>
        <v>0</v>
      </c>
      <c r="CQ103" s="37">
        <f ca="1">CQ102*(1-CQ77)</f>
        <v>0</v>
      </c>
      <c r="CR103" s="439">
        <f t="shared" ca="1" si="231"/>
        <v>0</v>
      </c>
      <c r="CS103" s="37">
        <f>CS102*(1-CS77)</f>
        <v>0</v>
      </c>
      <c r="CT103" s="37">
        <f>CT102*(1-CT77)</f>
        <v>0</v>
      </c>
      <c r="CU103" s="37">
        <f>CU102*(1-CU77)</f>
        <v>0</v>
      </c>
      <c r="CV103" s="37">
        <f ca="1">CV102*(1-CV77)</f>
        <v>0</v>
      </c>
      <c r="CW103" s="439">
        <f ca="1">SUM(CS103:CV103)</f>
        <v>0</v>
      </c>
      <c r="CX103" s="37">
        <f>CX102*(1-CX77)</f>
        <v>0</v>
      </c>
      <c r="CY103" s="37">
        <f>CY102*(1-CY77)</f>
        <v>0</v>
      </c>
      <c r="CZ103" s="37">
        <f>CZ102*(1-CZ77)</f>
        <v>0</v>
      </c>
      <c r="DA103" s="37">
        <f ca="1">DA102*(1-DA77)</f>
        <v>0</v>
      </c>
      <c r="DB103" s="439">
        <f t="shared" ca="1" si="233"/>
        <v>0</v>
      </c>
      <c r="DC103" s="37">
        <f>DC102*(1-DC77)</f>
        <v>0</v>
      </c>
      <c r="DD103" s="37">
        <f>DD102*(1-DD77)</f>
        <v>0</v>
      </c>
      <c r="DE103" s="37">
        <f>DE102*(1-DE77)</f>
        <v>0</v>
      </c>
      <c r="DF103" s="37">
        <f ca="1">DF102*(1-DF77)</f>
        <v>0</v>
      </c>
      <c r="DG103" s="439">
        <f t="shared" ca="1" si="234"/>
        <v>0</v>
      </c>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c r="HB103"/>
      <c r="HC103"/>
      <c r="HD103"/>
      <c r="HE103"/>
      <c r="HF103"/>
      <c r="HG103"/>
      <c r="HH103"/>
      <c r="HI103"/>
      <c r="HJ103"/>
      <c r="HK103"/>
      <c r="HL103"/>
      <c r="HM103"/>
      <c r="HN103"/>
      <c r="HO103"/>
      <c r="HP103"/>
      <c r="HQ103"/>
      <c r="HR103"/>
    </row>
    <row r="104" spans="1:226" s="53" customFormat="1" hidden="1" outlineLevel="1" x14ac:dyDescent="0.2">
      <c r="A104" s="80" t="s">
        <v>114</v>
      </c>
      <c r="B104" s="382"/>
      <c r="C104" s="382"/>
      <c r="D104" s="382"/>
      <c r="E104" s="382"/>
      <c r="F104" s="439"/>
      <c r="G104" s="382">
        <v>0</v>
      </c>
      <c r="H104" s="382">
        <v>0</v>
      </c>
      <c r="I104" s="382">
        <v>0</v>
      </c>
      <c r="J104" s="382">
        <v>0</v>
      </c>
      <c r="K104" s="439">
        <f t="shared" si="221"/>
        <v>0</v>
      </c>
      <c r="L104" s="382">
        <v>0</v>
      </c>
      <c r="M104" s="382">
        <v>0</v>
      </c>
      <c r="N104" s="382">
        <v>0</v>
      </c>
      <c r="O104" s="382">
        <v>0</v>
      </c>
      <c r="P104" s="439">
        <f t="shared" si="235"/>
        <v>0</v>
      </c>
      <c r="Q104" s="382">
        <v>0</v>
      </c>
      <c r="R104" s="382">
        <v>0</v>
      </c>
      <c r="S104" s="382">
        <v>0</v>
      </c>
      <c r="T104" s="382">
        <v>0</v>
      </c>
      <c r="U104" s="439">
        <f t="shared" si="236"/>
        <v>0</v>
      </c>
      <c r="V104" s="382">
        <v>0</v>
      </c>
      <c r="W104" s="382">
        <v>0</v>
      </c>
      <c r="X104" s="382">
        <v>0</v>
      </c>
      <c r="Y104" s="382">
        <v>0</v>
      </c>
      <c r="Z104" s="439">
        <f t="shared" si="237"/>
        <v>0</v>
      </c>
      <c r="AA104" s="382">
        <v>0</v>
      </c>
      <c r="AB104" s="382">
        <v>0</v>
      </c>
      <c r="AC104" s="382">
        <v>0</v>
      </c>
      <c r="AD104" s="382">
        <v>0</v>
      </c>
      <c r="AE104" s="439">
        <f t="shared" si="238"/>
        <v>0</v>
      </c>
      <c r="AF104" s="382">
        <v>0</v>
      </c>
      <c r="AG104" s="382">
        <v>0</v>
      </c>
      <c r="AH104" s="382">
        <v>0</v>
      </c>
      <c r="AI104" s="382">
        <v>0</v>
      </c>
      <c r="AJ104" s="439">
        <f t="shared" si="239"/>
        <v>0</v>
      </c>
      <c r="AK104" s="382">
        <v>0</v>
      </c>
      <c r="AL104" s="382">
        <f>-5*(1-AL77)</f>
        <v>-3.59375</v>
      </c>
      <c r="AM104" s="382">
        <f>-11*(1-AM77)</f>
        <v>-7.2847682119205306</v>
      </c>
      <c r="AN104" s="382">
        <f>-3*(1-AN77)</f>
        <v>-1.9750000000000001</v>
      </c>
      <c r="AO104" s="439">
        <f t="shared" si="240"/>
        <v>-12.85351821192053</v>
      </c>
      <c r="AP104" s="382">
        <f>-3*(1-AP77)</f>
        <v>-2.064516129032258</v>
      </c>
      <c r="AQ104" s="382">
        <f>(0.01*AQ98)</f>
        <v>1.4034899999999999</v>
      </c>
      <c r="AR104" s="37">
        <v>0</v>
      </c>
      <c r="AS104" s="37">
        <v>0</v>
      </c>
      <c r="AT104" s="439">
        <f t="shared" si="241"/>
        <v>-0.6610261290322581</v>
      </c>
      <c r="AU104" s="37">
        <v>0</v>
      </c>
      <c r="AV104" s="37">
        <v>0</v>
      </c>
      <c r="AW104" s="37">
        <v>0</v>
      </c>
      <c r="AX104" s="37">
        <v>0</v>
      </c>
      <c r="AY104" s="439">
        <f t="shared" si="222"/>
        <v>0</v>
      </c>
      <c r="AZ104" s="37">
        <v>0</v>
      </c>
      <c r="BA104" s="42">
        <v>0</v>
      </c>
      <c r="BB104" s="37">
        <v>0</v>
      </c>
      <c r="BC104" s="37">
        <v>0</v>
      </c>
      <c r="BD104" s="439">
        <f t="shared" si="224"/>
        <v>0</v>
      </c>
      <c r="BE104" s="37">
        <v>0</v>
      </c>
      <c r="BF104" s="37">
        <v>0</v>
      </c>
      <c r="BG104" s="37">
        <v>0</v>
      </c>
      <c r="BH104" s="37">
        <v>0</v>
      </c>
      <c r="BI104" s="439">
        <f t="shared" si="225"/>
        <v>0</v>
      </c>
      <c r="BJ104" s="37">
        <v>0</v>
      </c>
      <c r="BK104" s="37">
        <v>0</v>
      </c>
      <c r="BL104" s="37">
        <v>0</v>
      </c>
      <c r="BM104" s="37">
        <v>0</v>
      </c>
      <c r="BN104" s="439">
        <f t="shared" si="226"/>
        <v>0</v>
      </c>
      <c r="BO104" s="37">
        <v>0</v>
      </c>
      <c r="BP104" s="37">
        <v>0</v>
      </c>
      <c r="BQ104" s="37">
        <v>0</v>
      </c>
      <c r="BR104" s="37">
        <v>0</v>
      </c>
      <c r="BS104" s="439">
        <f t="shared" si="227"/>
        <v>0</v>
      </c>
      <c r="BT104" s="37">
        <v>0</v>
      </c>
      <c r="BU104" s="37">
        <v>0</v>
      </c>
      <c r="BV104" s="37">
        <v>0</v>
      </c>
      <c r="BW104" s="37">
        <v>0</v>
      </c>
      <c r="BX104" s="439">
        <f t="shared" si="228"/>
        <v>0</v>
      </c>
      <c r="BY104" s="37">
        <v>0</v>
      </c>
      <c r="BZ104" s="37">
        <v>0</v>
      </c>
      <c r="CA104" s="37">
        <v>0</v>
      </c>
      <c r="CB104" s="37">
        <v>0</v>
      </c>
      <c r="CC104" s="439">
        <f t="shared" si="242"/>
        <v>0</v>
      </c>
      <c r="CD104" s="37">
        <v>0</v>
      </c>
      <c r="CE104" s="37">
        <v>0</v>
      </c>
      <c r="CF104" s="37">
        <v>0</v>
      </c>
      <c r="CG104" s="37">
        <v>0</v>
      </c>
      <c r="CH104" s="439">
        <f t="shared" si="229"/>
        <v>0</v>
      </c>
      <c r="CI104" s="37">
        <v>0</v>
      </c>
      <c r="CJ104" s="37">
        <v>0</v>
      </c>
      <c r="CK104" s="37">
        <v>0</v>
      </c>
      <c r="CL104" s="37">
        <v>0</v>
      </c>
      <c r="CM104" s="439">
        <f t="shared" si="230"/>
        <v>0</v>
      </c>
      <c r="CN104" s="37">
        <v>0</v>
      </c>
      <c r="CO104" s="37">
        <v>0</v>
      </c>
      <c r="CP104" s="37">
        <v>0</v>
      </c>
      <c r="CQ104" s="37">
        <v>0</v>
      </c>
      <c r="CR104" s="439">
        <f t="shared" si="231"/>
        <v>0</v>
      </c>
      <c r="CS104" s="37">
        <v>0</v>
      </c>
      <c r="CT104" s="37">
        <v>0</v>
      </c>
      <c r="CU104" s="37">
        <v>0</v>
      </c>
      <c r="CV104" s="37">
        <v>0</v>
      </c>
      <c r="CW104" s="439">
        <f t="shared" si="232"/>
        <v>0</v>
      </c>
      <c r="CX104" s="37">
        <v>0</v>
      </c>
      <c r="CY104" s="37">
        <v>0</v>
      </c>
      <c r="CZ104" s="37">
        <v>0</v>
      </c>
      <c r="DA104" s="37">
        <v>0</v>
      </c>
      <c r="DB104" s="439">
        <f t="shared" si="233"/>
        <v>0</v>
      </c>
      <c r="DC104" s="37">
        <v>0</v>
      </c>
      <c r="DD104" s="37">
        <v>0</v>
      </c>
      <c r="DE104" s="37">
        <v>0</v>
      </c>
      <c r="DF104" s="37">
        <v>0</v>
      </c>
      <c r="DG104" s="439">
        <f t="shared" si="234"/>
        <v>0</v>
      </c>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c r="HB104"/>
      <c r="HC104"/>
      <c r="HD104"/>
      <c r="HE104"/>
      <c r="HF104"/>
      <c r="HG104"/>
      <c r="HH104"/>
      <c r="HI104"/>
      <c r="HJ104"/>
      <c r="HK104"/>
      <c r="HL104"/>
      <c r="HM104"/>
      <c r="HN104"/>
      <c r="HO104"/>
      <c r="HP104"/>
      <c r="HQ104"/>
      <c r="HR104"/>
    </row>
    <row r="105" spans="1:226" s="53" customFormat="1" hidden="1" outlineLevel="1" x14ac:dyDescent="0.2">
      <c r="A105" s="90" t="s">
        <v>44</v>
      </c>
      <c r="B105" s="259"/>
      <c r="C105" s="259"/>
      <c r="D105" s="259"/>
      <c r="E105" s="259"/>
      <c r="F105" s="448"/>
      <c r="G105" s="259">
        <v>0</v>
      </c>
      <c r="H105" s="259">
        <v>0</v>
      </c>
      <c r="I105" s="259">
        <v>0</v>
      </c>
      <c r="J105" s="259">
        <v>0</v>
      </c>
      <c r="K105" s="448">
        <f t="shared" si="221"/>
        <v>0</v>
      </c>
      <c r="L105" s="259">
        <v>0</v>
      </c>
      <c r="M105" s="259">
        <v>0</v>
      </c>
      <c r="N105" s="259">
        <v>0</v>
      </c>
      <c r="O105" s="259">
        <v>0</v>
      </c>
      <c r="P105" s="448">
        <f t="shared" si="235"/>
        <v>0</v>
      </c>
      <c r="Q105" s="259">
        <v>0</v>
      </c>
      <c r="R105" s="259">
        <v>0</v>
      </c>
      <c r="S105" s="259">
        <v>0</v>
      </c>
      <c r="T105" s="259">
        <v>0</v>
      </c>
      <c r="U105" s="448">
        <f t="shared" si="236"/>
        <v>0</v>
      </c>
      <c r="V105" s="259">
        <v>0</v>
      </c>
      <c r="W105" s="259">
        <v>0</v>
      </c>
      <c r="X105" s="259">
        <v>0</v>
      </c>
      <c r="Y105" s="259">
        <v>0</v>
      </c>
      <c r="Z105" s="448">
        <f t="shared" si="237"/>
        <v>0</v>
      </c>
      <c r="AA105" s="259">
        <v>0</v>
      </c>
      <c r="AB105" s="259">
        <v>0</v>
      </c>
      <c r="AC105" s="259">
        <v>0</v>
      </c>
      <c r="AD105" s="259">
        <v>0</v>
      </c>
      <c r="AE105" s="448">
        <f t="shared" si="238"/>
        <v>0</v>
      </c>
      <c r="AF105" s="259">
        <v>0</v>
      </c>
      <c r="AG105" s="259">
        <v>0</v>
      </c>
      <c r="AH105" s="259">
        <v>0</v>
      </c>
      <c r="AI105" s="259">
        <v>0</v>
      </c>
      <c r="AJ105" s="448">
        <f t="shared" si="239"/>
        <v>0</v>
      </c>
      <c r="AK105" s="259">
        <v>-2.25</v>
      </c>
      <c r="AL105" s="259">
        <v>-2.25</v>
      </c>
      <c r="AM105" s="259">
        <v>-2.25</v>
      </c>
      <c r="AN105" s="259">
        <f>(9*(1-AN77))+0.1</f>
        <v>6.0249999999999995</v>
      </c>
      <c r="AO105" s="448">
        <f t="shared" si="240"/>
        <v>-0.72500000000000053</v>
      </c>
      <c r="AP105" s="259">
        <f>(-3*(1-AP77))-0.4</f>
        <v>-2.4645161290322579</v>
      </c>
      <c r="AQ105" s="259">
        <f>(0.01*AQ98)</f>
        <v>1.4034899999999999</v>
      </c>
      <c r="AR105" s="259">
        <f>-(0.02*AR98)</f>
        <v>-2.8144799999999996</v>
      </c>
      <c r="AS105" s="259">
        <f>-21*(1-AS77)-0.3</f>
        <v>-13.97816091954023</v>
      </c>
      <c r="AT105" s="448">
        <f t="shared" si="241"/>
        <v>-17.853667048572486</v>
      </c>
      <c r="AU105" s="259">
        <f>-9*(1-AU77)</f>
        <v>-5.806451612903226</v>
      </c>
      <c r="AV105" s="259">
        <f>-19*(1-AV77)</f>
        <v>-12.897810218978101</v>
      </c>
      <c r="AW105" s="259">
        <f>-16*(1-40%)</f>
        <v>-9.6</v>
      </c>
      <c r="AX105" s="259">
        <f>-0.05*AX98</f>
        <v>-7.0825500000000012</v>
      </c>
      <c r="AY105" s="448">
        <f t="shared" si="222"/>
        <v>-35.386811831881332</v>
      </c>
      <c r="AZ105" s="259">
        <f>-11*(1-AZ77)</f>
        <v>-7.6237623762376234</v>
      </c>
      <c r="BA105" s="259">
        <f>-15*(1-BA77)</f>
        <v>-9.66</v>
      </c>
      <c r="BB105" s="259">
        <v>0</v>
      </c>
      <c r="BC105" s="259">
        <v>0</v>
      </c>
      <c r="BD105" s="448">
        <f t="shared" si="224"/>
        <v>-17.283762376237625</v>
      </c>
      <c r="BE105" s="259">
        <v>0</v>
      </c>
      <c r="BF105" s="259">
        <v>0</v>
      </c>
      <c r="BG105" s="259">
        <v>0</v>
      </c>
      <c r="BH105" s="259">
        <v>0</v>
      </c>
      <c r="BI105" s="448">
        <f t="shared" si="225"/>
        <v>0</v>
      </c>
      <c r="BJ105" s="259">
        <v>0</v>
      </c>
      <c r="BK105" s="259">
        <v>0</v>
      </c>
      <c r="BL105" s="259">
        <v>0</v>
      </c>
      <c r="BM105" s="259">
        <v>0</v>
      </c>
      <c r="BN105" s="448">
        <f t="shared" si="226"/>
        <v>0</v>
      </c>
      <c r="BO105" s="259">
        <v>0</v>
      </c>
      <c r="BP105" s="259">
        <v>0</v>
      </c>
      <c r="BQ105" s="259">
        <v>0</v>
      </c>
      <c r="BR105" s="259">
        <v>0</v>
      </c>
      <c r="BS105" s="448">
        <f t="shared" si="227"/>
        <v>0</v>
      </c>
      <c r="BT105" s="259">
        <v>0</v>
      </c>
      <c r="BU105" s="259">
        <v>0</v>
      </c>
      <c r="BV105" s="259">
        <v>0</v>
      </c>
      <c r="BW105" s="259">
        <v>0</v>
      </c>
      <c r="BX105" s="448">
        <f t="shared" si="228"/>
        <v>0</v>
      </c>
      <c r="BY105" s="259">
        <v>0</v>
      </c>
      <c r="BZ105" s="259">
        <v>0</v>
      </c>
      <c r="CA105" s="259">
        <v>0</v>
      </c>
      <c r="CB105" s="259">
        <v>0</v>
      </c>
      <c r="CC105" s="448">
        <f t="shared" si="242"/>
        <v>0</v>
      </c>
      <c r="CD105" s="259">
        <v>0</v>
      </c>
      <c r="CE105" s="259">
        <v>0</v>
      </c>
      <c r="CF105" s="259">
        <v>0</v>
      </c>
      <c r="CG105" s="259">
        <v>0</v>
      </c>
      <c r="CH105" s="448">
        <f t="shared" si="229"/>
        <v>0</v>
      </c>
      <c r="CI105" s="259">
        <v>0</v>
      </c>
      <c r="CJ105" s="259">
        <v>0</v>
      </c>
      <c r="CK105" s="259">
        <v>0</v>
      </c>
      <c r="CL105" s="259">
        <v>0</v>
      </c>
      <c r="CM105" s="448">
        <f t="shared" si="230"/>
        <v>0</v>
      </c>
      <c r="CN105" s="259">
        <v>0</v>
      </c>
      <c r="CO105" s="259">
        <v>0</v>
      </c>
      <c r="CP105" s="259">
        <v>0</v>
      </c>
      <c r="CQ105" s="259">
        <v>0</v>
      </c>
      <c r="CR105" s="448">
        <f t="shared" si="231"/>
        <v>0</v>
      </c>
      <c r="CS105" s="259">
        <v>0</v>
      </c>
      <c r="CT105" s="259">
        <v>0</v>
      </c>
      <c r="CU105" s="259">
        <v>0</v>
      </c>
      <c r="CV105" s="259">
        <v>0</v>
      </c>
      <c r="CW105" s="448">
        <f t="shared" si="232"/>
        <v>0</v>
      </c>
      <c r="CX105" s="259">
        <v>0</v>
      </c>
      <c r="CY105" s="259">
        <v>0</v>
      </c>
      <c r="CZ105" s="259">
        <v>0</v>
      </c>
      <c r="DA105" s="259">
        <v>0</v>
      </c>
      <c r="DB105" s="448">
        <f t="shared" si="233"/>
        <v>0</v>
      </c>
      <c r="DC105" s="259">
        <v>0</v>
      </c>
      <c r="DD105" s="259">
        <v>0</v>
      </c>
      <c r="DE105" s="259">
        <v>0</v>
      </c>
      <c r="DF105" s="259">
        <v>0</v>
      </c>
      <c r="DG105" s="448">
        <f t="shared" si="234"/>
        <v>0</v>
      </c>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row>
    <row r="106" spans="1:226" s="83" customFormat="1" hidden="1" outlineLevel="1" x14ac:dyDescent="0.2">
      <c r="A106" s="79" t="s">
        <v>128</v>
      </c>
      <c r="B106" s="260"/>
      <c r="C106" s="260"/>
      <c r="D106" s="260"/>
      <c r="E106" s="260"/>
      <c r="F106" s="449"/>
      <c r="G106" s="260">
        <f>SUM(G103:G105)</f>
        <v>-10.8</v>
      </c>
      <c r="H106" s="260">
        <f>SUM(H103:H105)</f>
        <v>-59.4</v>
      </c>
      <c r="I106" s="260">
        <f>SUM(I103:I105)</f>
        <v>-90</v>
      </c>
      <c r="J106" s="260">
        <f>SUM(J103:J105)</f>
        <v>-5.4</v>
      </c>
      <c r="K106" s="449">
        <f t="shared" si="221"/>
        <v>-165.6</v>
      </c>
      <c r="L106" s="260">
        <f>SUM(L103:L105)</f>
        <v>-2.7</v>
      </c>
      <c r="M106" s="260">
        <f>SUM(M103:M105)</f>
        <v>-27</v>
      </c>
      <c r="N106" s="260">
        <f>SUM(N103:N105)</f>
        <v>0</v>
      </c>
      <c r="O106" s="260">
        <f>SUM(O103:O105)</f>
        <v>0</v>
      </c>
      <c r="P106" s="449">
        <f t="shared" si="235"/>
        <v>-29.7</v>
      </c>
      <c r="Q106" s="260">
        <f>SUM(Q103:Q105)</f>
        <v>0</v>
      </c>
      <c r="R106" s="260">
        <f>SUM(R103:R105)</f>
        <v>0</v>
      </c>
      <c r="S106" s="260">
        <f>SUM(S103:S105)</f>
        <v>0</v>
      </c>
      <c r="T106" s="260">
        <f>SUM(T103:T105)</f>
        <v>0</v>
      </c>
      <c r="U106" s="449">
        <f t="shared" si="236"/>
        <v>0</v>
      </c>
      <c r="V106" s="260">
        <f>SUM(V103:V105)</f>
        <v>0</v>
      </c>
      <c r="W106" s="260">
        <f>SUM(W103:W105)</f>
        <v>0</v>
      </c>
      <c r="X106" s="260">
        <f>SUM(X103:X105)</f>
        <v>0</v>
      </c>
      <c r="Y106" s="260">
        <f>SUM(Y103:Y105)</f>
        <v>0</v>
      </c>
      <c r="Z106" s="449">
        <f t="shared" si="237"/>
        <v>0</v>
      </c>
      <c r="AA106" s="260">
        <f>SUM(AA103:AA105)</f>
        <v>0</v>
      </c>
      <c r="AB106" s="260">
        <f>SUM(AB103:AB105)</f>
        <v>0</v>
      </c>
      <c r="AC106" s="260">
        <f>SUM(AC103:AC105)</f>
        <v>0</v>
      </c>
      <c r="AD106" s="260">
        <f>SUM(AD103:AD105)</f>
        <v>-32.4</v>
      </c>
      <c r="AE106" s="449">
        <f t="shared" si="238"/>
        <v>-32.4</v>
      </c>
      <c r="AF106" s="260">
        <f>SUM(AF103:AF105)</f>
        <v>-2.7</v>
      </c>
      <c r="AG106" s="260">
        <f>SUM(AG103:AG105)</f>
        <v>-4.5</v>
      </c>
      <c r="AH106" s="260">
        <f>SUM(AH103:AH105)</f>
        <v>-9</v>
      </c>
      <c r="AI106" s="260">
        <f>SUM(AI103:AI105)</f>
        <v>0</v>
      </c>
      <c r="AJ106" s="449">
        <f t="shared" si="239"/>
        <v>-16.2</v>
      </c>
      <c r="AK106" s="260">
        <f>SUM(AK103:AK105)</f>
        <v>-19.124137931034483</v>
      </c>
      <c r="AL106" s="260">
        <f>SUM(AL103:AL105)</f>
        <v>-9.0875000000000004</v>
      </c>
      <c r="AM106" s="260">
        <f>SUM(AM103:AM105)</f>
        <v>-20.443046357615899</v>
      </c>
      <c r="AN106" s="260">
        <f>SUM(AN103:AN105)</f>
        <v>-2.1833333333333345</v>
      </c>
      <c r="AO106" s="449">
        <f t="shared" si="240"/>
        <v>-50.838017621983717</v>
      </c>
      <c r="AP106" s="260">
        <f>SUM(AP103:AP105)</f>
        <v>-8.6580645161290324</v>
      </c>
      <c r="AQ106" s="260">
        <f>SUM(AQ103:AQ105)</f>
        <v>0.83751435114503803</v>
      </c>
      <c r="AR106" s="260">
        <f>SUM(AR103:AR105)</f>
        <v>-15.040874849785407</v>
      </c>
      <c r="AS106" s="260">
        <f>SUM(AS103:AS105)</f>
        <v>-21.142911877394635</v>
      </c>
      <c r="AT106" s="449">
        <f t="shared" si="241"/>
        <v>-44.004336892164034</v>
      </c>
      <c r="AU106" s="260">
        <f>SUM(AU103:AU105)</f>
        <v>-9.67741935483871</v>
      </c>
      <c r="AV106" s="260">
        <f>SUM(AV103:AV105)</f>
        <v>-16.970802919708028</v>
      </c>
      <c r="AW106" s="260">
        <f>SUM(AW103:AW105)</f>
        <v>-10.284210526315789</v>
      </c>
      <c r="AX106" s="260">
        <f>SUM(AX103:AX105)</f>
        <v>-9.5618888429752076</v>
      </c>
      <c r="AY106" s="449">
        <f t="shared" si="222"/>
        <v>-46.494321643837736</v>
      </c>
      <c r="AZ106" s="260">
        <f>SUM(AZ103:AZ105)</f>
        <v>-10.222772277227723</v>
      </c>
      <c r="BA106" s="595">
        <f>SUM(BA103:BA105)</f>
        <v>-12.074999999999999</v>
      </c>
      <c r="BB106" s="260">
        <f>SUM(BB103:BB105)</f>
        <v>-2.4143835616438358</v>
      </c>
      <c r="BC106" s="260">
        <f>SUM(BC103:BC105)</f>
        <v>-2.4950787401574801</v>
      </c>
      <c r="BD106" s="449">
        <f t="shared" si="224"/>
        <v>-27.207234579029038</v>
      </c>
      <c r="BE106" s="260">
        <f>SUM(BE103:BE105)</f>
        <v>-1.7379679144385027</v>
      </c>
      <c r="BF106" s="260">
        <f>SUM(BF103:BF105)</f>
        <v>-1.6935483870967745</v>
      </c>
      <c r="BG106" s="260">
        <f>SUM(BG103:BG105)</f>
        <v>-1.6919191919191916</v>
      </c>
      <c r="BH106" s="260">
        <f>SUM(BH103:BH105)</f>
        <v>-4.1593625498007967</v>
      </c>
      <c r="BI106" s="449">
        <f t="shared" si="225"/>
        <v>-9.2827980432552657</v>
      </c>
      <c r="BJ106" s="260">
        <f>SUM(BJ103:BJ105)</f>
        <v>-1.713917525773196</v>
      </c>
      <c r="BK106" s="260">
        <f>SUM(BK103:BK105)</f>
        <v>-1.6356382978723405</v>
      </c>
      <c r="BL106" s="260">
        <f>SUM(BL103:BL105)</f>
        <v>-1.6584158415841581</v>
      </c>
      <c r="BM106" s="260">
        <f>SUM(BM103:BM105)</f>
        <v>-1.7100371747211895</v>
      </c>
      <c r="BN106" s="449">
        <f t="shared" si="226"/>
        <v>-6.7180088399508842</v>
      </c>
      <c r="BO106" s="260">
        <f>SUM(BO103:BO105)</f>
        <v>0</v>
      </c>
      <c r="BP106" s="260">
        <f>SUM(BP103:BP105)</f>
        <v>0</v>
      </c>
      <c r="BQ106" s="260">
        <f>SUM(BQ103:BQ105)</f>
        <v>0</v>
      </c>
      <c r="BR106" s="260">
        <f>SUM(BR103:BR105)</f>
        <v>0</v>
      </c>
      <c r="BS106" s="449">
        <f t="shared" si="227"/>
        <v>0</v>
      </c>
      <c r="BT106" s="260">
        <f>SUM(BT103:BT105)</f>
        <v>0</v>
      </c>
      <c r="BU106" s="260">
        <f>SUM(BU103:BU105)</f>
        <v>0</v>
      </c>
      <c r="BV106" s="260">
        <f>SUM(BV103:BV105)</f>
        <v>0</v>
      </c>
      <c r="BW106" s="260">
        <f>SUM(BW103:BW105)</f>
        <v>0</v>
      </c>
      <c r="BX106" s="449">
        <f t="shared" si="228"/>
        <v>0</v>
      </c>
      <c r="BY106" s="260">
        <f>SUM(BY103:BY105)</f>
        <v>0</v>
      </c>
      <c r="BZ106" s="260">
        <f>SUM(BZ103:BZ105)</f>
        <v>0</v>
      </c>
      <c r="CA106" s="260">
        <f>SUM(CA103:CA105)</f>
        <v>0</v>
      </c>
      <c r="CB106" s="260">
        <f>SUM(CB103:CB105)</f>
        <v>0</v>
      </c>
      <c r="CC106" s="449">
        <f t="shared" si="242"/>
        <v>0</v>
      </c>
      <c r="CD106" s="260">
        <f>SUM(CD103:CD105)</f>
        <v>0</v>
      </c>
      <c r="CE106" s="260">
        <f>SUM(CE103:CE105)</f>
        <v>0</v>
      </c>
      <c r="CF106" s="260">
        <f>SUM(CF103:CF105)</f>
        <v>0</v>
      </c>
      <c r="CG106" s="260">
        <f>SUM(CG103:CG105)</f>
        <v>0</v>
      </c>
      <c r="CH106" s="449">
        <f t="shared" si="229"/>
        <v>0</v>
      </c>
      <c r="CI106" s="260">
        <f>SUM(CI103:CI105)</f>
        <v>0</v>
      </c>
      <c r="CJ106" s="260">
        <f>SUM(CJ103:CJ105)</f>
        <v>0</v>
      </c>
      <c r="CK106" s="260">
        <f>SUM(CK103:CK105)</f>
        <v>0</v>
      </c>
      <c r="CL106" s="260">
        <f ca="1">SUM(CL103:CL105)</f>
        <v>0</v>
      </c>
      <c r="CM106" s="449">
        <f t="shared" ca="1" si="230"/>
        <v>0</v>
      </c>
      <c r="CN106" s="260">
        <f>SUM(CN103:CN105)</f>
        <v>0</v>
      </c>
      <c r="CO106" s="260">
        <f>SUM(CO103:CO105)</f>
        <v>0</v>
      </c>
      <c r="CP106" s="260">
        <f>SUM(CP103:CP105)</f>
        <v>0</v>
      </c>
      <c r="CQ106" s="260">
        <f ca="1">SUM(CQ103:CQ105)</f>
        <v>0</v>
      </c>
      <c r="CR106" s="449">
        <f t="shared" ca="1" si="231"/>
        <v>0</v>
      </c>
      <c r="CS106" s="260">
        <f>SUM(CS103:CS105)</f>
        <v>0</v>
      </c>
      <c r="CT106" s="260">
        <f>SUM(CT103:CT105)</f>
        <v>0</v>
      </c>
      <c r="CU106" s="260">
        <f>SUM(CU103:CU105)</f>
        <v>0</v>
      </c>
      <c r="CV106" s="260">
        <f ca="1">SUM(CV103:CV105)</f>
        <v>0</v>
      </c>
      <c r="CW106" s="449">
        <f ca="1">SUM(CS106:CV106)</f>
        <v>0</v>
      </c>
      <c r="CX106" s="260">
        <f>SUM(CX103:CX105)</f>
        <v>0</v>
      </c>
      <c r="CY106" s="260">
        <f>SUM(CY103:CY105)</f>
        <v>0</v>
      </c>
      <c r="CZ106" s="260">
        <f>SUM(CZ103:CZ105)</f>
        <v>0</v>
      </c>
      <c r="DA106" s="260">
        <f ca="1">SUM(DA103:DA105)</f>
        <v>0</v>
      </c>
      <c r="DB106" s="449">
        <f t="shared" ca="1" si="233"/>
        <v>0</v>
      </c>
      <c r="DC106" s="260">
        <f>SUM(DC103:DC105)</f>
        <v>0</v>
      </c>
      <c r="DD106" s="260">
        <f>SUM(DD103:DD105)</f>
        <v>0</v>
      </c>
      <c r="DE106" s="260">
        <f>SUM(DE103:DE105)</f>
        <v>0</v>
      </c>
      <c r="DF106" s="260">
        <f ca="1">SUM(DF103:DF105)</f>
        <v>0</v>
      </c>
      <c r="DG106" s="449">
        <f t="shared" ca="1" si="234"/>
        <v>0</v>
      </c>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row>
    <row r="107" spans="1:226" s="83" customFormat="1" hidden="1" outlineLevel="1" x14ac:dyDescent="0.2">
      <c r="A107" s="79" t="s">
        <v>135</v>
      </c>
      <c r="B107" s="44"/>
      <c r="C107" s="44"/>
      <c r="D107" s="44"/>
      <c r="E107" s="44"/>
      <c r="F107" s="449"/>
      <c r="G107" s="44">
        <f>G79-(G106)</f>
        <v>121.8</v>
      </c>
      <c r="H107" s="44">
        <f>H79-(H106)</f>
        <v>101.4</v>
      </c>
      <c r="I107" s="44">
        <f>I79-(I106)</f>
        <v>140</v>
      </c>
      <c r="J107" s="44">
        <f>J79-(J106)</f>
        <v>159.4</v>
      </c>
      <c r="K107" s="449">
        <f t="shared" si="221"/>
        <v>522.6</v>
      </c>
      <c r="L107" s="44">
        <f>L79-(L106)</f>
        <v>160.69999999999999</v>
      </c>
      <c r="M107" s="44">
        <f>M79-(M106)</f>
        <v>114</v>
      </c>
      <c r="N107" s="44">
        <f>N79-(N106)</f>
        <v>112</v>
      </c>
      <c r="O107" s="44">
        <f>O79-(O106)</f>
        <v>157</v>
      </c>
      <c r="P107" s="449">
        <f t="shared" si="235"/>
        <v>543.70000000000005</v>
      </c>
      <c r="Q107" s="44">
        <f>Q79-(Q106)</f>
        <v>115</v>
      </c>
      <c r="R107" s="44">
        <f>R79-(R106)</f>
        <v>101</v>
      </c>
      <c r="S107" s="44">
        <f>S79-(S106)</f>
        <v>115</v>
      </c>
      <c r="T107" s="44">
        <f>T79-(T106)</f>
        <v>159</v>
      </c>
      <c r="U107" s="449">
        <f t="shared" si="236"/>
        <v>490</v>
      </c>
      <c r="V107" s="44">
        <f>V79-(V106)</f>
        <v>109</v>
      </c>
      <c r="W107" s="44">
        <f>W79-(W106)</f>
        <v>136</v>
      </c>
      <c r="X107" s="44">
        <f>X79-(X106)</f>
        <v>116</v>
      </c>
      <c r="Y107" s="44">
        <f>Y79-(Y106)</f>
        <v>156</v>
      </c>
      <c r="Z107" s="449">
        <f t="shared" si="237"/>
        <v>517</v>
      </c>
      <c r="AA107" s="44">
        <f>AA79-(AA106)</f>
        <v>108</v>
      </c>
      <c r="AB107" s="44">
        <f>AB79-(AB106)</f>
        <v>83</v>
      </c>
      <c r="AC107" s="44">
        <f>AC79-(AC106)</f>
        <v>110</v>
      </c>
      <c r="AD107" s="44">
        <f>AD79-(AD106)</f>
        <v>174.4</v>
      </c>
      <c r="AE107" s="449">
        <f t="shared" si="238"/>
        <v>475.4</v>
      </c>
      <c r="AF107" s="44">
        <f>AF79-(AF106)</f>
        <v>114.7</v>
      </c>
      <c r="AG107" s="44">
        <f>AG79-(AG106)</f>
        <v>95.5</v>
      </c>
      <c r="AH107" s="44">
        <f>AH79-(AH106)</f>
        <v>138</v>
      </c>
      <c r="AI107" s="44">
        <f>AI79-(AI106)</f>
        <v>164</v>
      </c>
      <c r="AJ107" s="449">
        <f t="shared" si="239"/>
        <v>512.20000000000005</v>
      </c>
      <c r="AK107" s="44">
        <f>AK79-(AK106)</f>
        <v>130.12413793103448</v>
      </c>
      <c r="AL107" s="44">
        <f>AL79-(AL106)</f>
        <v>101.08750000000001</v>
      </c>
      <c r="AM107" s="44">
        <f>AM79-(AM106)</f>
        <v>120.4430463576159</v>
      </c>
      <c r="AN107" s="44">
        <f>AN79-(AN106)</f>
        <v>160.18333333333334</v>
      </c>
      <c r="AO107" s="449">
        <f t="shared" si="240"/>
        <v>511.83801762198374</v>
      </c>
      <c r="AP107" s="44">
        <f>AP79-(AP106)</f>
        <v>136.65806451612903</v>
      </c>
      <c r="AQ107" s="44">
        <f>AQ79-(AQ106)</f>
        <v>85.162485648854968</v>
      </c>
      <c r="AR107" s="44">
        <f>AR79-(AR106)</f>
        <v>168.04087484978541</v>
      </c>
      <c r="AS107" s="44">
        <f>AS79-(AS106)</f>
        <v>191.14291187739462</v>
      </c>
      <c r="AT107" s="449">
        <f t="shared" si="241"/>
        <v>581.00433689216402</v>
      </c>
      <c r="AU107" s="44">
        <f>AU79-(AU106)</f>
        <v>149.67741935483872</v>
      </c>
      <c r="AV107" s="44">
        <f>AV79-(AV106)</f>
        <v>109.97080291970804</v>
      </c>
      <c r="AW107" s="44">
        <f>AW79-(AW106)</f>
        <v>153.2842105263158</v>
      </c>
      <c r="AX107" s="44">
        <f>AX79-(AX106)</f>
        <v>159.56188884297521</v>
      </c>
      <c r="AY107" s="449">
        <f>SUM(AU107:AX107)</f>
        <v>572.49432164383779</v>
      </c>
      <c r="AZ107" s="44">
        <f>AZ79-(AZ106)</f>
        <v>150.22277227722773</v>
      </c>
      <c r="BA107" s="382">
        <f>BA79-(BA106)</f>
        <v>106.099</v>
      </c>
      <c r="BB107" s="44">
        <f>BB79-(BB106)</f>
        <v>143.41438356164383</v>
      </c>
      <c r="BC107" s="44">
        <f>BC79-(BC106)</f>
        <v>171.49507874015748</v>
      </c>
      <c r="BD107" s="449">
        <f t="shared" si="224"/>
        <v>571.23123457902909</v>
      </c>
      <c r="BE107" s="44">
        <f>BE79-(BE106)</f>
        <v>131.73796791443851</v>
      </c>
      <c r="BF107" s="44">
        <f>BF79-(BF106)</f>
        <v>106.69354838709677</v>
      </c>
      <c r="BG107" s="44">
        <f>BG79-(BG106)</f>
        <v>135.6919191919192</v>
      </c>
      <c r="BH107" s="44">
        <f>BH79-(BH106)</f>
        <v>178.15936254980079</v>
      </c>
      <c r="BI107" s="449">
        <f t="shared" si="225"/>
        <v>552.2827980432553</v>
      </c>
      <c r="BJ107" s="44">
        <f>BJ79-(BJ106)</f>
        <v>134.71391752577318</v>
      </c>
      <c r="BK107" s="44">
        <f>BK79-(BK106)</f>
        <v>124.63563829787235</v>
      </c>
      <c r="BL107" s="44">
        <f>BL79-(BL106)</f>
        <v>135.65841584158414</v>
      </c>
      <c r="BM107" s="44">
        <f>BM79-(BM106)</f>
        <v>185.71003717472118</v>
      </c>
      <c r="BN107" s="449">
        <f t="shared" si="226"/>
        <v>580.71800883995081</v>
      </c>
      <c r="BO107" s="44">
        <f>BO79-(BO106)</f>
        <v>139</v>
      </c>
      <c r="BP107" s="44">
        <f>BP79-(BP106)</f>
        <v>118.4</v>
      </c>
      <c r="BQ107" s="44">
        <f>BQ79-(BQ106)</f>
        <v>150.6</v>
      </c>
      <c r="BR107" s="44">
        <f>BR79-(BR106)</f>
        <v>170.8</v>
      </c>
      <c r="BS107" s="449">
        <f t="shared" si="227"/>
        <v>578.79999999999995</v>
      </c>
      <c r="BT107" s="44">
        <f>BT79-(BT106)</f>
        <v>144.9</v>
      </c>
      <c r="BU107" s="44">
        <f>BU79-(BU106)</f>
        <v>128.19999999999999</v>
      </c>
      <c r="BV107" s="44">
        <f>BV79-(BV106)</f>
        <v>144.19999999999999</v>
      </c>
      <c r="BW107" s="44">
        <f>BW79-(BW106)</f>
        <v>189</v>
      </c>
      <c r="BX107" s="449">
        <f>SUM(BT107:BW107)</f>
        <v>606.29999999999995</v>
      </c>
      <c r="BY107" s="44">
        <f>BY79-(BY106)</f>
        <v>173</v>
      </c>
      <c r="BZ107" s="44">
        <f>BZ79-(BZ106)</f>
        <v>150.6</v>
      </c>
      <c r="CA107" s="44">
        <f>CA79-(CA106)</f>
        <v>159</v>
      </c>
      <c r="CB107" s="44">
        <f>CB79-(CB106)</f>
        <v>165</v>
      </c>
      <c r="CC107" s="449">
        <f>SUM(BY107:CB107)</f>
        <v>647.6</v>
      </c>
      <c r="CD107" s="44">
        <f>CD79-(CD106)</f>
        <v>179.39999999999998</v>
      </c>
      <c r="CE107" s="44">
        <f>CE79-(CE106)</f>
        <v>149.5</v>
      </c>
      <c r="CF107" s="44">
        <f>CF79-(CF106)</f>
        <v>172.5</v>
      </c>
      <c r="CG107" s="44">
        <f>CG79-(CG106)</f>
        <v>202.39999999999998</v>
      </c>
      <c r="CH107" s="449">
        <f t="shared" si="229"/>
        <v>703.8</v>
      </c>
      <c r="CI107" s="44">
        <f>CI79-(CI106)</f>
        <v>192</v>
      </c>
      <c r="CJ107" s="44">
        <f>CJ79-(CJ106)</f>
        <v>233</v>
      </c>
      <c r="CK107" s="44">
        <f ca="1">CK79-(CK106)</f>
        <v>168.17067585637449</v>
      </c>
      <c r="CL107" s="44">
        <f ca="1">CL79-(CL106)</f>
        <v>207.85788629290218</v>
      </c>
      <c r="CM107" s="449">
        <f t="shared" ca="1" si="230"/>
        <v>801.02856214927669</v>
      </c>
      <c r="CN107" s="44">
        <f ca="1">CN79-(CN106)</f>
        <v>215.18925082656898</v>
      </c>
      <c r="CO107" s="44">
        <f ca="1">CO79-(CO106)</f>
        <v>174.40671535472993</v>
      </c>
      <c r="CP107" s="44">
        <f ca="1">CP79-(CP106)</f>
        <v>190.70625728237673</v>
      </c>
      <c r="CQ107" s="44">
        <f ca="1">CQ79-(CQ106)</f>
        <v>226.5335496903954</v>
      </c>
      <c r="CR107" s="449">
        <f t="shared" ca="1" si="231"/>
        <v>806.83577315407092</v>
      </c>
      <c r="CS107" s="44">
        <f ca="1">CS79-(CS106)</f>
        <v>228.44942256658908</v>
      </c>
      <c r="CT107" s="44">
        <f ca="1">CT79-(CT106)</f>
        <v>179.84901314479629</v>
      </c>
      <c r="CU107" s="44">
        <f ca="1">CU79-(CU106)</f>
        <v>201.2909347376621</v>
      </c>
      <c r="CV107" s="44">
        <f ca="1">CV79-(CV106)</f>
        <v>238.73999827518935</v>
      </c>
      <c r="CW107" s="449">
        <f ca="1">SUM(CS107:CV107)</f>
        <v>848.32936872423682</v>
      </c>
      <c r="CX107" s="44">
        <f ca="1">CX79-(CX106)</f>
        <v>235.87578023488521</v>
      </c>
      <c r="CY107" s="44">
        <f ca="1">CY79-(CY106)</f>
        <v>186.20076870144493</v>
      </c>
      <c r="CZ107" s="44">
        <f ca="1">CZ79-(CZ106)</f>
        <v>207.7849923224021</v>
      </c>
      <c r="DA107" s="44">
        <f ca="1">DA79-(DA106)</f>
        <v>245.83073469775536</v>
      </c>
      <c r="DB107" s="449">
        <f t="shared" ca="1" si="233"/>
        <v>875.69227595648761</v>
      </c>
      <c r="DC107" s="44">
        <f ca="1">DC79-(DC106)</f>
        <v>243.00076435554433</v>
      </c>
      <c r="DD107" s="44">
        <f ca="1">DD79-(DD106)</f>
        <v>192.29230327785018</v>
      </c>
      <c r="DE107" s="44">
        <f ca="1">DE79-(DE106)</f>
        <v>213.97488182709878</v>
      </c>
      <c r="DF107" s="44">
        <f ca="1">DF79-(DF106)</f>
        <v>252.57064004165611</v>
      </c>
      <c r="DG107" s="449">
        <f t="shared" ca="1" si="234"/>
        <v>901.83858950214949</v>
      </c>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row>
    <row r="108" spans="1:226" s="53" customFormat="1" hidden="1" outlineLevel="1" x14ac:dyDescent="0.2">
      <c r="A108" s="80" t="s">
        <v>127</v>
      </c>
      <c r="B108" s="382"/>
      <c r="C108" s="382"/>
      <c r="D108" s="382"/>
      <c r="E108" s="382"/>
      <c r="F108" s="439"/>
      <c r="G108" s="382">
        <v>0</v>
      </c>
      <c r="H108" s="382">
        <v>0</v>
      </c>
      <c r="I108" s="382">
        <v>0</v>
      </c>
      <c r="J108" s="382">
        <v>0</v>
      </c>
      <c r="K108" s="439">
        <f t="shared" si="221"/>
        <v>0</v>
      </c>
      <c r="L108" s="382">
        <v>0</v>
      </c>
      <c r="M108" s="382">
        <v>0</v>
      </c>
      <c r="N108" s="382">
        <v>0</v>
      </c>
      <c r="O108" s="382">
        <v>0</v>
      </c>
      <c r="P108" s="439">
        <f t="shared" si="235"/>
        <v>0</v>
      </c>
      <c r="Q108" s="382">
        <v>0</v>
      </c>
      <c r="R108" s="382">
        <v>0</v>
      </c>
      <c r="S108" s="382">
        <v>0</v>
      </c>
      <c r="T108" s="382">
        <v>0</v>
      </c>
      <c r="U108" s="439">
        <f t="shared" si="236"/>
        <v>0</v>
      </c>
      <c r="V108" s="382">
        <v>0</v>
      </c>
      <c r="W108" s="382">
        <v>0</v>
      </c>
      <c r="X108" s="382">
        <v>0</v>
      </c>
      <c r="Y108" s="382">
        <v>0</v>
      </c>
      <c r="Z108" s="439">
        <f t="shared" si="237"/>
        <v>0</v>
      </c>
      <c r="AA108" s="382">
        <v>0</v>
      </c>
      <c r="AB108" s="382">
        <v>0</v>
      </c>
      <c r="AC108" s="382">
        <v>0</v>
      </c>
      <c r="AD108" s="382">
        <v>0</v>
      </c>
      <c r="AE108" s="439">
        <f t="shared" si="238"/>
        <v>0</v>
      </c>
      <c r="AF108" s="382">
        <v>0</v>
      </c>
      <c r="AG108" s="382">
        <v>0</v>
      </c>
      <c r="AH108" s="382">
        <v>0</v>
      </c>
      <c r="AI108" s="382">
        <v>0</v>
      </c>
      <c r="AJ108" s="439">
        <f t="shared" si="239"/>
        <v>0</v>
      </c>
      <c r="AK108" s="382">
        <v>0</v>
      </c>
      <c r="AL108" s="382">
        <v>0</v>
      </c>
      <c r="AM108" s="382">
        <v>0</v>
      </c>
      <c r="AN108" s="382">
        <v>0</v>
      </c>
      <c r="AO108" s="439">
        <f t="shared" si="240"/>
        <v>0</v>
      </c>
      <c r="AP108" s="25">
        <v>-1</v>
      </c>
      <c r="AQ108" s="25">
        <v>-1</v>
      </c>
      <c r="AR108" s="25">
        <v>-1</v>
      </c>
      <c r="AS108" s="25">
        <v>-1</v>
      </c>
      <c r="AT108" s="439">
        <f t="shared" si="241"/>
        <v>-4</v>
      </c>
      <c r="AU108" s="496">
        <v>-1</v>
      </c>
      <c r="AV108" s="25">
        <v>0</v>
      </c>
      <c r="AW108" s="496">
        <v>-1</v>
      </c>
      <c r="AX108" s="25">
        <v>-1.5</v>
      </c>
      <c r="AY108" s="439">
        <f t="shared" si="222"/>
        <v>-3.5</v>
      </c>
      <c r="AZ108" s="25">
        <v>-1.5</v>
      </c>
      <c r="BA108" s="144">
        <v>0</v>
      </c>
      <c r="BB108" s="144">
        <f>BA108</f>
        <v>0</v>
      </c>
      <c r="BC108" s="144">
        <f>BB108</f>
        <v>0</v>
      </c>
      <c r="BD108" s="439">
        <f t="shared" si="224"/>
        <v>-1.5</v>
      </c>
      <c r="BE108" s="144">
        <v>0.3</v>
      </c>
      <c r="BF108" s="144">
        <v>0</v>
      </c>
      <c r="BG108" s="144"/>
      <c r="BH108" s="144"/>
      <c r="BI108" s="439"/>
      <c r="BJ108" s="144">
        <v>0</v>
      </c>
      <c r="BK108" s="144">
        <v>0</v>
      </c>
      <c r="BL108" s="144">
        <v>0</v>
      </c>
      <c r="BM108" s="144">
        <v>0</v>
      </c>
      <c r="BN108" s="439">
        <f t="shared" si="226"/>
        <v>0</v>
      </c>
      <c r="BO108" s="144">
        <f>BM108</f>
        <v>0</v>
      </c>
      <c r="BP108" s="144">
        <f>BO108</f>
        <v>0</v>
      </c>
      <c r="BQ108" s="144">
        <f>BO108</f>
        <v>0</v>
      </c>
      <c r="BR108" s="144">
        <f>BP108</f>
        <v>0</v>
      </c>
      <c r="BS108" s="439">
        <f t="shared" si="227"/>
        <v>0</v>
      </c>
      <c r="BT108" s="144">
        <f>BR108</f>
        <v>0</v>
      </c>
      <c r="BU108" s="144">
        <f>BT108</f>
        <v>0</v>
      </c>
      <c r="BV108" s="144">
        <f>BT108</f>
        <v>0</v>
      </c>
      <c r="BW108" s="144">
        <f>BU108</f>
        <v>0</v>
      </c>
      <c r="BX108" s="439">
        <f t="shared" si="228"/>
        <v>0</v>
      </c>
      <c r="BY108" s="144">
        <f>BW108</f>
        <v>0</v>
      </c>
      <c r="BZ108" s="144">
        <f>BY108</f>
        <v>0</v>
      </c>
      <c r="CA108" s="144">
        <f>BY108</f>
        <v>0</v>
      </c>
      <c r="CB108" s="144">
        <f>BZ108</f>
        <v>0</v>
      </c>
      <c r="CC108" s="439">
        <f t="shared" si="242"/>
        <v>0</v>
      </c>
      <c r="CD108" s="144">
        <f>CB108</f>
        <v>0</v>
      </c>
      <c r="CE108" s="144">
        <f>CD108</f>
        <v>0</v>
      </c>
      <c r="CF108" s="144">
        <f>CD108</f>
        <v>0</v>
      </c>
      <c r="CG108" s="144">
        <f>CE108</f>
        <v>0</v>
      </c>
      <c r="CH108" s="439">
        <f t="shared" si="229"/>
        <v>0</v>
      </c>
      <c r="CI108" s="144">
        <f>CG108</f>
        <v>0</v>
      </c>
      <c r="CJ108" s="144">
        <f>CI108</f>
        <v>0</v>
      </c>
      <c r="CK108" s="144">
        <f>CI108</f>
        <v>0</v>
      </c>
      <c r="CL108" s="144">
        <f>CJ108</f>
        <v>0</v>
      </c>
      <c r="CM108" s="439">
        <f t="shared" si="230"/>
        <v>0</v>
      </c>
      <c r="CN108" s="144">
        <f>CL108</f>
        <v>0</v>
      </c>
      <c r="CO108" s="144">
        <f>CN108</f>
        <v>0</v>
      </c>
      <c r="CP108" s="144">
        <f>CN108</f>
        <v>0</v>
      </c>
      <c r="CQ108" s="144">
        <f>CO108</f>
        <v>0</v>
      </c>
      <c r="CR108" s="439">
        <f t="shared" si="231"/>
        <v>0</v>
      </c>
      <c r="CS108" s="144">
        <f>CQ108</f>
        <v>0</v>
      </c>
      <c r="CT108" s="144">
        <f>CS108</f>
        <v>0</v>
      </c>
      <c r="CU108" s="144">
        <f>CS108</f>
        <v>0</v>
      </c>
      <c r="CV108" s="144">
        <f>CT108</f>
        <v>0</v>
      </c>
      <c r="CW108" s="439">
        <f t="shared" si="232"/>
        <v>0</v>
      </c>
      <c r="CX108" s="144">
        <f>CV108</f>
        <v>0</v>
      </c>
      <c r="CY108" s="144">
        <f>CX108</f>
        <v>0</v>
      </c>
      <c r="CZ108" s="144">
        <f>CX108</f>
        <v>0</v>
      </c>
      <c r="DA108" s="144">
        <f>CY108</f>
        <v>0</v>
      </c>
      <c r="DB108" s="439">
        <f t="shared" si="233"/>
        <v>0</v>
      </c>
      <c r="DC108" s="144">
        <f>DA108</f>
        <v>0</v>
      </c>
      <c r="DD108" s="144">
        <f>DC108</f>
        <v>0</v>
      </c>
      <c r="DE108" s="144">
        <f>DC108</f>
        <v>0</v>
      </c>
      <c r="DF108" s="144">
        <f>DD108</f>
        <v>0</v>
      </c>
      <c r="DG108" s="439">
        <f t="shared" si="234"/>
        <v>0</v>
      </c>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c r="HB108"/>
      <c r="HC108"/>
      <c r="HD108"/>
      <c r="HE108"/>
      <c r="HF108"/>
      <c r="HG108"/>
      <c r="HH108"/>
      <c r="HI108"/>
      <c r="HJ108"/>
      <c r="HK108"/>
      <c r="HL108"/>
      <c r="HM108"/>
      <c r="HN108"/>
      <c r="HO108"/>
      <c r="HP108"/>
      <c r="HQ108"/>
      <c r="HR108"/>
    </row>
    <row r="109" spans="1:226" s="83" customFormat="1" hidden="1" outlineLevel="2" x14ac:dyDescent="0.2">
      <c r="A109" s="79" t="s">
        <v>337</v>
      </c>
      <c r="B109" s="85"/>
      <c r="C109" s="85"/>
      <c r="D109" s="85"/>
      <c r="E109" s="85"/>
      <c r="F109" s="445"/>
      <c r="G109" s="85">
        <f>(G107+G108)/G98</f>
        <v>0.5115497690046199</v>
      </c>
      <c r="H109" s="85">
        <f>(H107+H108)/H98</f>
        <v>0.42984315387876221</v>
      </c>
      <c r="I109" s="85">
        <f>(I107+I108)/I98</f>
        <v>0.5967604433077579</v>
      </c>
      <c r="J109" s="85">
        <f>(J107+J108)/J98</f>
        <v>0.68914829226113272</v>
      </c>
      <c r="K109" s="445">
        <f>(K107/K98)</f>
        <v>2.2266723476778867</v>
      </c>
      <c r="L109" s="85">
        <f>(L107+L108)/L98</f>
        <v>0.71709058456046404</v>
      </c>
      <c r="M109" s="85">
        <f>(M107+M108)/M98</f>
        <v>0.51630434782608692</v>
      </c>
      <c r="N109" s="85">
        <f>(N107+N108)/N98</f>
        <v>0.51211705532693186</v>
      </c>
      <c r="O109" s="85">
        <f>(O107+O108)/O98</f>
        <v>0.72117593017914561</v>
      </c>
      <c r="P109" s="445">
        <f>(P107/P98)</f>
        <v>2.4636144490964784</v>
      </c>
      <c r="Q109" s="85">
        <f>(Q107+Q108)/Q98</f>
        <v>0.53536430377036137</v>
      </c>
      <c r="R109" s="85">
        <f>(R107+R108)/R98</f>
        <v>0.47426969510563066</v>
      </c>
      <c r="S109" s="85">
        <f>(S107+S108)/S98</f>
        <v>0.53837439023248412</v>
      </c>
      <c r="T109" s="85">
        <f>(T107+T108)/T98</f>
        <v>0.74032686129347669</v>
      </c>
      <c r="U109" s="445">
        <f>(U107/U98)-0.001</f>
        <v>2.2847569354063748</v>
      </c>
      <c r="V109" s="85">
        <f>(V107+V108)/V98</f>
        <v>0.50670100456960632</v>
      </c>
      <c r="W109" s="85">
        <f>(W107+W108)/W98</f>
        <v>0.71652107941793197</v>
      </c>
      <c r="X109" s="85">
        <f>((X107+X108)/X98)+0.002</f>
        <v>0.74509434735817137</v>
      </c>
      <c r="Y109" s="85">
        <f>((Y107+Y108)/Y98)-0.002</f>
        <v>1.0040686577367326</v>
      </c>
      <c r="Z109" s="445">
        <f>(Z107/Z98)-0.001</f>
        <v>2.8844310845202488</v>
      </c>
      <c r="AA109" s="85">
        <f>((AA107+AA108)/AA98)-0.002</f>
        <v>0.70442717913161779</v>
      </c>
      <c r="AB109" s="85">
        <f>(AB107+AB108)/AB98</f>
        <v>0.54510586875426892</v>
      </c>
      <c r="AC109" s="85">
        <f>(AC107+AC108)/AC98</f>
        <v>0.71940093522121573</v>
      </c>
      <c r="AD109" s="85">
        <f>(AD107+AD108)/AD98</f>
        <v>1.1362377759969771</v>
      </c>
      <c r="AE109" s="445">
        <f>AE107/AE98</f>
        <v>3.1071692341880115</v>
      </c>
      <c r="AF109" s="85">
        <f>(AF107+AF108)/AF98</f>
        <v>0.74690039591581581</v>
      </c>
      <c r="AG109" s="85">
        <f>(AG107+AG108)/AG98</f>
        <v>0.62059330019170167</v>
      </c>
      <c r="AH109" s="85">
        <f>(AH107+AH108)/AH98</f>
        <v>0.89627849581087227</v>
      </c>
      <c r="AI109" s="85">
        <f>((AI107+AI108)/AI98)+0.003</f>
        <v>1.0658025585027444</v>
      </c>
      <c r="AJ109" s="445">
        <f t="shared" ref="AJ109:AO109" si="243">(AJ107+AJ108)/AJ98</f>
        <v>3.3273784389515058</v>
      </c>
      <c r="AK109" s="85">
        <f t="shared" si="243"/>
        <v>0.89048661733310386</v>
      </c>
      <c r="AL109" s="85">
        <f t="shared" si="243"/>
        <v>0.71680044814431376</v>
      </c>
      <c r="AM109" s="85">
        <f t="shared" si="243"/>
        <v>0.85846789991173122</v>
      </c>
      <c r="AN109" s="85">
        <f t="shared" si="243"/>
        <v>1.1424855807407197</v>
      </c>
      <c r="AO109" s="445">
        <f t="shared" si="243"/>
        <v>3.6043915496886267</v>
      </c>
      <c r="AP109" s="85">
        <f t="shared" ref="AP109:BU109" si="244">(AP107+AP108)/AP98</f>
        <v>0.96995613124645375</v>
      </c>
      <c r="AQ109" s="85">
        <f t="shared" si="244"/>
        <v>0.59966573077724084</v>
      </c>
      <c r="AR109" s="85">
        <f t="shared" si="244"/>
        <v>1.1870105657157657</v>
      </c>
      <c r="AS109" s="85">
        <f t="shared" si="244"/>
        <v>1.3458586627788407</v>
      </c>
      <c r="AT109" s="445">
        <f t="shared" si="244"/>
        <v>4.0904017133632777</v>
      </c>
      <c r="AU109" s="85">
        <f t="shared" si="244"/>
        <v>1.0554903014662591</v>
      </c>
      <c r="AV109" s="85">
        <f t="shared" si="244"/>
        <v>0.77702506161118678</v>
      </c>
      <c r="AW109" s="85">
        <f t="shared" si="244"/>
        <v>1.0723182962687889</v>
      </c>
      <c r="AX109" s="85">
        <f t="shared" si="244"/>
        <v>1.1158543804348378</v>
      </c>
      <c r="AY109" s="445">
        <f t="shared" si="244"/>
        <v>4.0201953003789752</v>
      </c>
      <c r="AZ109" s="85">
        <f>(AZ107+AZ108)/AZ98</f>
        <v>1.0552803641275774</v>
      </c>
      <c r="BA109" s="574">
        <f t="shared" si="244"/>
        <v>0.76507448910425591</v>
      </c>
      <c r="BB109" s="85">
        <f t="shared" si="244"/>
        <v>1.0415819968308568</v>
      </c>
      <c r="BC109" s="85">
        <f t="shared" si="244"/>
        <v>1.2830023771024821</v>
      </c>
      <c r="BD109" s="445">
        <f t="shared" si="244"/>
        <v>4.136235154830092</v>
      </c>
      <c r="BE109" s="85">
        <f t="shared" si="244"/>
        <v>0.98822677709498874</v>
      </c>
      <c r="BF109" s="85">
        <f t="shared" si="244"/>
        <v>0.80609822139271348</v>
      </c>
      <c r="BG109" s="85">
        <f t="shared" si="244"/>
        <v>1.0310387683931646</v>
      </c>
      <c r="BH109" s="85">
        <f t="shared" si="244"/>
        <v>1.3559067129632085</v>
      </c>
      <c r="BI109" s="445">
        <f t="shared" si="244"/>
        <v>4.1741576452517215</v>
      </c>
      <c r="BJ109" s="85">
        <f t="shared" si="244"/>
        <v>1.0228691859331915</v>
      </c>
      <c r="BK109" s="85">
        <f t="shared" si="244"/>
        <v>0.94104405105457667</v>
      </c>
      <c r="BL109" s="85">
        <f t="shared" si="244"/>
        <v>1.0163582381838108</v>
      </c>
      <c r="BM109" s="85">
        <f t="shared" si="244"/>
        <v>1.3899203452887554</v>
      </c>
      <c r="BN109" s="445">
        <f t="shared" si="244"/>
        <v>4.367318764824514</v>
      </c>
      <c r="BO109" s="85">
        <f t="shared" si="244"/>
        <v>1.0511430235108177</v>
      </c>
      <c r="BP109" s="85">
        <f t="shared" si="244"/>
        <v>0.89508459456598988</v>
      </c>
      <c r="BQ109" s="85">
        <f t="shared" si="244"/>
        <v>1.1447683478393067</v>
      </c>
      <c r="BR109" s="85">
        <f t="shared" si="244"/>
        <v>1.3015812535721092</v>
      </c>
      <c r="BS109" s="445">
        <f t="shared" si="244"/>
        <v>4.3907110820318795</v>
      </c>
      <c r="BT109" s="85">
        <f t="shared" si="244"/>
        <v>1.1029999467149785</v>
      </c>
      <c r="BU109" s="85">
        <f t="shared" si="244"/>
        <v>0.96522334906903384</v>
      </c>
      <c r="BV109" s="85">
        <f t="shared" ref="BV109:CW109" si="245">(BV107+BV108)/BV98</f>
        <v>1.0751966595831934</v>
      </c>
      <c r="BW109" s="85">
        <f t="shared" si="245"/>
        <v>1.4360174449526646</v>
      </c>
      <c r="BX109" s="445">
        <f t="shared" si="245"/>
        <v>4.5663372898716625</v>
      </c>
      <c r="BY109" s="85">
        <f t="shared" si="245"/>
        <v>1.3183965858862978</v>
      </c>
      <c r="BZ109" s="85">
        <f t="shared" si="245"/>
        <v>1.1448466696060693</v>
      </c>
      <c r="CA109" s="85">
        <f t="shared" si="245"/>
        <v>1.2077753385948788</v>
      </c>
      <c r="CB109" s="85">
        <f t="shared" si="245"/>
        <v>1.2546488542014389</v>
      </c>
      <c r="CC109" s="445">
        <f t="shared" si="245"/>
        <v>4.9166015017044113</v>
      </c>
      <c r="CD109" s="85">
        <f t="shared" si="245"/>
        <v>1.3571066546640136</v>
      </c>
      <c r="CE109" s="85">
        <f t="shared" si="245"/>
        <v>1.1431848594914931</v>
      </c>
      <c r="CF109" s="85">
        <f t="shared" si="245"/>
        <v>1.313165146693869</v>
      </c>
      <c r="CG109" s="85">
        <f t="shared" si="245"/>
        <v>1.5343329745136982</v>
      </c>
      <c r="CH109" s="445">
        <f t="shared" si="245"/>
        <v>5.349406381587948</v>
      </c>
      <c r="CI109" s="85">
        <f t="shared" si="245"/>
        <v>1.4599761233071502</v>
      </c>
      <c r="CJ109" s="85">
        <f t="shared" si="245"/>
        <v>1.7697770688542023</v>
      </c>
      <c r="CK109" s="85">
        <f t="shared" ca="1" si="245"/>
        <v>1.2778138298486028</v>
      </c>
      <c r="CL109" s="85">
        <f t="shared" ca="1" si="245"/>
        <v>1.5880698291237687</v>
      </c>
      <c r="CM109" s="445">
        <f t="shared" ca="1" si="245"/>
        <v>6.095420768399519</v>
      </c>
      <c r="CN109" s="85">
        <f t="shared" ca="1" si="245"/>
        <v>1.658630417923052</v>
      </c>
      <c r="CO109" s="85">
        <f t="shared" ca="1" si="245"/>
        <v>1.3520411884940293</v>
      </c>
      <c r="CP109" s="85">
        <f t="shared" ca="1" si="245"/>
        <v>1.481108734529847</v>
      </c>
      <c r="CQ109" s="85">
        <f t="shared" ca="1" si="245"/>
        <v>1.7642783331541703</v>
      </c>
      <c r="CR109" s="445">
        <f t="shared" ca="1" si="245"/>
        <v>6.2558322943261153</v>
      </c>
      <c r="CS109" s="85">
        <f t="shared" ca="1" si="245"/>
        <v>1.7868534074632787</v>
      </c>
      <c r="CT109" s="85">
        <f t="shared" ca="1" si="245"/>
        <v>1.412795315077443</v>
      </c>
      <c r="CU109" s="85">
        <f t="shared" ca="1" si="245"/>
        <v>1.5880926561462987</v>
      </c>
      <c r="CV109" s="85">
        <f t="shared" ca="1" si="245"/>
        <v>1.8917573000341787</v>
      </c>
      <c r="CW109" s="445">
        <f t="shared" ca="1" si="245"/>
        <v>6.6784378453981139</v>
      </c>
      <c r="CX109" s="85">
        <f t="shared" ref="CX109:DG109" ca="1" si="246">(CX107+CX108)/CX98</f>
        <v>1.8772427772841378</v>
      </c>
      <c r="CY109" s="85">
        <f t="shared" ca="1" si="246"/>
        <v>1.4884139895424955</v>
      </c>
      <c r="CZ109" s="85">
        <f t="shared" ca="1" si="246"/>
        <v>1.6682841600024316</v>
      </c>
      <c r="DA109" s="85">
        <f t="shared" ca="1" si="246"/>
        <v>1.9825040064296335</v>
      </c>
      <c r="DB109" s="445">
        <f t="shared" ca="1" si="246"/>
        <v>7.0153529670669448</v>
      </c>
      <c r="DC109" s="85">
        <f t="shared" ca="1" si="246"/>
        <v>1.968412540672656</v>
      </c>
      <c r="DD109" s="85">
        <f t="shared" ca="1" si="246"/>
        <v>1.5646225835894234</v>
      </c>
      <c r="DE109" s="85">
        <f t="shared" ca="1" si="246"/>
        <v>1.7488734937660766</v>
      </c>
      <c r="DF109" s="85">
        <f t="shared" ca="1" si="246"/>
        <v>2.0736485320511675</v>
      </c>
      <c r="DG109" s="445">
        <f t="shared" ca="1" si="246"/>
        <v>7.3544359385919416</v>
      </c>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c r="HI109"/>
      <c r="HJ109"/>
      <c r="HK109"/>
      <c r="HL109"/>
      <c r="HM109"/>
      <c r="HN109"/>
      <c r="HO109"/>
      <c r="HP109"/>
      <c r="HQ109"/>
      <c r="HR109"/>
    </row>
    <row r="110" spans="1:226" s="83" customFormat="1" hidden="1" outlineLevel="1" collapsed="1" x14ac:dyDescent="0.2">
      <c r="A110" s="79" t="s">
        <v>338</v>
      </c>
      <c r="B110" s="85"/>
      <c r="C110" s="85"/>
      <c r="D110" s="85"/>
      <c r="E110" s="85"/>
      <c r="F110" s="445"/>
      <c r="G110" s="85">
        <f t="shared" ref="G110:AE110" si="247">(G107+G105+G108)/G98</f>
        <v>0.5115497690046199</v>
      </c>
      <c r="H110" s="85">
        <f t="shared" si="247"/>
        <v>0.42984315387876221</v>
      </c>
      <c r="I110" s="85">
        <f t="shared" si="247"/>
        <v>0.5967604433077579</v>
      </c>
      <c r="J110" s="85">
        <f t="shared" si="247"/>
        <v>0.68914829226113272</v>
      </c>
      <c r="K110" s="445">
        <f t="shared" si="247"/>
        <v>2.2266723476778867</v>
      </c>
      <c r="L110" s="85">
        <f t="shared" si="247"/>
        <v>0.71709058456046404</v>
      </c>
      <c r="M110" s="85">
        <f t="shared" si="247"/>
        <v>0.51630434782608692</v>
      </c>
      <c r="N110" s="85">
        <f t="shared" si="247"/>
        <v>0.51211705532693186</v>
      </c>
      <c r="O110" s="85">
        <f t="shared" si="247"/>
        <v>0.72117593017914561</v>
      </c>
      <c r="P110" s="445">
        <f t="shared" si="247"/>
        <v>2.4636144490964784</v>
      </c>
      <c r="Q110" s="85">
        <f t="shared" si="247"/>
        <v>0.53536430377036137</v>
      </c>
      <c r="R110" s="85">
        <f t="shared" si="247"/>
        <v>0.47426969510563066</v>
      </c>
      <c r="S110" s="85">
        <f t="shared" si="247"/>
        <v>0.53837439023248412</v>
      </c>
      <c r="T110" s="85">
        <f t="shared" si="247"/>
        <v>0.74032686129347669</v>
      </c>
      <c r="U110" s="445">
        <f t="shared" si="247"/>
        <v>2.2857569354063747</v>
      </c>
      <c r="V110" s="85">
        <f t="shared" si="247"/>
        <v>0.50670100456960632</v>
      </c>
      <c r="W110" s="85">
        <f t="shared" si="247"/>
        <v>0.71652107941793197</v>
      </c>
      <c r="X110" s="85">
        <f t="shared" si="247"/>
        <v>0.74309434735817137</v>
      </c>
      <c r="Y110" s="85">
        <f t="shared" si="247"/>
        <v>1.0060686577367326</v>
      </c>
      <c r="Z110" s="445">
        <f t="shared" si="247"/>
        <v>2.8854310845202487</v>
      </c>
      <c r="AA110" s="85">
        <f t="shared" si="247"/>
        <v>0.70642717913161779</v>
      </c>
      <c r="AB110" s="85">
        <f t="shared" si="247"/>
        <v>0.54510586875426892</v>
      </c>
      <c r="AC110" s="85">
        <f t="shared" si="247"/>
        <v>0.71940093522121573</v>
      </c>
      <c r="AD110" s="85">
        <f t="shared" si="247"/>
        <v>1.1362377759969771</v>
      </c>
      <c r="AE110" s="445">
        <f t="shared" si="247"/>
        <v>3.1071692341880115</v>
      </c>
      <c r="AF110" s="85">
        <f t="shared" ref="AF110:BK110" si="248">(AF107+AF105+AF108)/AF98</f>
        <v>0.74690039591581581</v>
      </c>
      <c r="AG110" s="85">
        <f t="shared" si="248"/>
        <v>0.62059330019170167</v>
      </c>
      <c r="AH110" s="85">
        <f t="shared" si="248"/>
        <v>0.89627849581087227</v>
      </c>
      <c r="AI110" s="85">
        <f t="shared" si="248"/>
        <v>1.0628025585027445</v>
      </c>
      <c r="AJ110" s="445">
        <f t="shared" si="248"/>
        <v>3.3273784389515058</v>
      </c>
      <c r="AK110" s="85">
        <f t="shared" si="248"/>
        <v>0.87508905220140343</v>
      </c>
      <c r="AL110" s="85">
        <f t="shared" si="248"/>
        <v>0.70084594330123517</v>
      </c>
      <c r="AM110" s="85">
        <f t="shared" si="248"/>
        <v>0.84243083647623584</v>
      </c>
      <c r="AN110" s="85">
        <f t="shared" si="248"/>
        <v>1.1854580640866537</v>
      </c>
      <c r="AO110" s="445">
        <f t="shared" si="248"/>
        <v>3.599286059702429</v>
      </c>
      <c r="AP110" s="85">
        <f t="shared" si="248"/>
        <v>0.95233482330256514</v>
      </c>
      <c r="AQ110" s="85">
        <f t="shared" si="248"/>
        <v>0.60966573077724084</v>
      </c>
      <c r="AR110" s="85">
        <f t="shared" si="248"/>
        <v>1.1670105657157657</v>
      </c>
      <c r="AS110" s="85">
        <f t="shared" si="248"/>
        <v>1.246919245171676</v>
      </c>
      <c r="AT110" s="445">
        <f t="shared" si="248"/>
        <v>3.9638365116550167</v>
      </c>
      <c r="AU110" s="85">
        <f t="shared" si="248"/>
        <v>1.0142691571260711</v>
      </c>
      <c r="AV110" s="85">
        <f t="shared" si="248"/>
        <v>0.68589249265678842</v>
      </c>
      <c r="AW110" s="85">
        <f t="shared" si="248"/>
        <v>1.0047193271530681</v>
      </c>
      <c r="AX110" s="85">
        <f t="shared" si="248"/>
        <v>1.0658543804348377</v>
      </c>
      <c r="AY110" s="445">
        <f t="shared" si="248"/>
        <v>3.7701719008291752</v>
      </c>
      <c r="AZ110" s="85">
        <f t="shared" si="248"/>
        <v>1.0011850388910262</v>
      </c>
      <c r="BA110" s="574">
        <f t="shared" si="248"/>
        <v>0.69541672074878502</v>
      </c>
      <c r="BB110" s="85">
        <f t="shared" si="248"/>
        <v>1.0415819968308568</v>
      </c>
      <c r="BC110" s="85">
        <f t="shared" si="248"/>
        <v>1.2830023771024821</v>
      </c>
      <c r="BD110" s="445">
        <f t="shared" si="248"/>
        <v>4.0107554528068263</v>
      </c>
      <c r="BE110" s="85">
        <f t="shared" si="248"/>
        <v>0.98822677709498874</v>
      </c>
      <c r="BF110" s="85">
        <f t="shared" si="248"/>
        <v>0.80609822139271348</v>
      </c>
      <c r="BG110" s="85">
        <f t="shared" si="248"/>
        <v>1.0310387683931646</v>
      </c>
      <c r="BH110" s="85">
        <f t="shared" si="248"/>
        <v>1.3559067129632085</v>
      </c>
      <c r="BI110" s="445">
        <f t="shared" si="248"/>
        <v>4.1741576452517215</v>
      </c>
      <c r="BJ110" s="85">
        <f t="shared" si="248"/>
        <v>1.0228691859331915</v>
      </c>
      <c r="BK110" s="85">
        <f t="shared" si="248"/>
        <v>0.94104405105457667</v>
      </c>
      <c r="BL110" s="85">
        <f t="shared" ref="BL110:CQ110" si="249">(BL107+BL105+BL108)/BL98</f>
        <v>1.0163582381838108</v>
      </c>
      <c r="BM110" s="85">
        <f t="shared" si="249"/>
        <v>1.3899203452887554</v>
      </c>
      <c r="BN110" s="445">
        <f t="shared" si="249"/>
        <v>4.367318764824514</v>
      </c>
      <c r="BO110" s="85">
        <f t="shared" si="249"/>
        <v>1.0511430235108177</v>
      </c>
      <c r="BP110" s="85">
        <f t="shared" si="249"/>
        <v>0.89508459456598988</v>
      </c>
      <c r="BQ110" s="85">
        <f t="shared" si="249"/>
        <v>1.1447683478393067</v>
      </c>
      <c r="BR110" s="85">
        <f t="shared" si="249"/>
        <v>1.3015812535721092</v>
      </c>
      <c r="BS110" s="445">
        <f t="shared" si="249"/>
        <v>4.3907110820318795</v>
      </c>
      <c r="BT110" s="85">
        <f t="shared" si="249"/>
        <v>1.1029999467149785</v>
      </c>
      <c r="BU110" s="85">
        <f t="shared" si="249"/>
        <v>0.96522334906903384</v>
      </c>
      <c r="BV110" s="85">
        <f t="shared" si="249"/>
        <v>1.0751966595831934</v>
      </c>
      <c r="BW110" s="85">
        <f t="shared" si="249"/>
        <v>1.4360174449526646</v>
      </c>
      <c r="BX110" s="445">
        <f>(BX107+BX105+BX108)/BX98</f>
        <v>4.5663372898716625</v>
      </c>
      <c r="BY110" s="85">
        <f t="shared" si="249"/>
        <v>1.3183965858862978</v>
      </c>
      <c r="BZ110" s="85">
        <f t="shared" si="249"/>
        <v>1.1448466696060693</v>
      </c>
      <c r="CA110" s="85">
        <f t="shared" si="249"/>
        <v>1.2077753385948788</v>
      </c>
      <c r="CB110" s="85">
        <f t="shared" si="249"/>
        <v>1.2546488542014389</v>
      </c>
      <c r="CC110" s="445">
        <f>(CC107+CC105+CC108)/CC98</f>
        <v>4.9166015017044113</v>
      </c>
      <c r="CD110" s="85">
        <f t="shared" si="249"/>
        <v>1.3571066546640136</v>
      </c>
      <c r="CE110" s="85">
        <f t="shared" si="249"/>
        <v>1.1431848594914931</v>
      </c>
      <c r="CF110" s="85">
        <f t="shared" si="249"/>
        <v>1.313165146693869</v>
      </c>
      <c r="CG110" s="85">
        <f t="shared" si="249"/>
        <v>1.5343329745136982</v>
      </c>
      <c r="CH110" s="445">
        <f t="shared" si="249"/>
        <v>5.349406381587948</v>
      </c>
      <c r="CI110" s="85">
        <f t="shared" si="249"/>
        <v>1.4599761233071502</v>
      </c>
      <c r="CJ110" s="85">
        <f t="shared" si="249"/>
        <v>1.7697770688542023</v>
      </c>
      <c r="CK110" s="85">
        <f t="shared" ca="1" si="249"/>
        <v>1.2778138298486028</v>
      </c>
      <c r="CL110" s="85">
        <f t="shared" ca="1" si="249"/>
        <v>1.5880698291237687</v>
      </c>
      <c r="CM110" s="445">
        <f t="shared" ca="1" si="249"/>
        <v>6.095420768399519</v>
      </c>
      <c r="CN110" s="85">
        <f t="shared" ca="1" si="249"/>
        <v>1.658630417923052</v>
      </c>
      <c r="CO110" s="85">
        <f t="shared" ca="1" si="249"/>
        <v>1.3520411884940293</v>
      </c>
      <c r="CP110" s="85">
        <f t="shared" ca="1" si="249"/>
        <v>1.481108734529847</v>
      </c>
      <c r="CQ110" s="85">
        <f t="shared" ca="1" si="249"/>
        <v>1.7642783331541703</v>
      </c>
      <c r="CR110" s="445">
        <f t="shared" ref="CR110:CW110" ca="1" si="250">(CR107+CR105+CR108)/CR98</f>
        <v>6.2558322943261153</v>
      </c>
      <c r="CS110" s="85">
        <f t="shared" ca="1" si="250"/>
        <v>1.7868534074632787</v>
      </c>
      <c r="CT110" s="85">
        <f t="shared" ca="1" si="250"/>
        <v>1.412795315077443</v>
      </c>
      <c r="CU110" s="85">
        <f t="shared" ca="1" si="250"/>
        <v>1.5880926561462987</v>
      </c>
      <c r="CV110" s="85">
        <f t="shared" ca="1" si="250"/>
        <v>1.8917573000341787</v>
      </c>
      <c r="CW110" s="445">
        <f t="shared" ca="1" si="250"/>
        <v>6.6784378453981139</v>
      </c>
      <c r="CX110" s="85">
        <f t="shared" ref="CX110:DG110" ca="1" si="251">(CX107+CX105+CX108)/CX98</f>
        <v>1.8772427772841378</v>
      </c>
      <c r="CY110" s="85">
        <f t="shared" ca="1" si="251"/>
        <v>1.4884139895424955</v>
      </c>
      <c r="CZ110" s="85">
        <f t="shared" ca="1" si="251"/>
        <v>1.6682841600024316</v>
      </c>
      <c r="DA110" s="85">
        <f t="shared" ca="1" si="251"/>
        <v>1.9825040064296335</v>
      </c>
      <c r="DB110" s="445">
        <f t="shared" ca="1" si="251"/>
        <v>7.0153529670669448</v>
      </c>
      <c r="DC110" s="85">
        <f t="shared" ca="1" si="251"/>
        <v>1.968412540672656</v>
      </c>
      <c r="DD110" s="85">
        <f t="shared" ca="1" si="251"/>
        <v>1.5646225835894234</v>
      </c>
      <c r="DE110" s="85">
        <f t="shared" ca="1" si="251"/>
        <v>1.7488734937660766</v>
      </c>
      <c r="DF110" s="85">
        <f t="shared" ca="1" si="251"/>
        <v>2.0736485320511675</v>
      </c>
      <c r="DG110" s="445">
        <f t="shared" ca="1" si="251"/>
        <v>7.3544359385919416</v>
      </c>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c r="HI110"/>
      <c r="HJ110"/>
      <c r="HK110"/>
      <c r="HL110"/>
      <c r="HM110"/>
      <c r="HN110"/>
      <c r="HO110"/>
      <c r="HP110"/>
      <c r="HQ110"/>
      <c r="HR110"/>
    </row>
    <row r="111" spans="1:226" s="83" customFormat="1" hidden="1" outlineLevel="1" x14ac:dyDescent="0.2">
      <c r="A111" s="80" t="s">
        <v>191</v>
      </c>
      <c r="B111" s="85"/>
      <c r="C111" s="85"/>
      <c r="D111" s="85"/>
      <c r="E111" s="85"/>
      <c r="F111" s="445"/>
      <c r="G111" s="85"/>
      <c r="H111" s="85"/>
      <c r="I111" s="85"/>
      <c r="J111" s="85"/>
      <c r="K111" s="445"/>
      <c r="L111" s="85"/>
      <c r="M111" s="85"/>
      <c r="N111" s="85"/>
      <c r="O111" s="85"/>
      <c r="P111" s="445"/>
      <c r="Q111" s="85"/>
      <c r="R111" s="85"/>
      <c r="S111" s="85"/>
      <c r="T111" s="85"/>
      <c r="U111" s="445"/>
      <c r="V111" s="85"/>
      <c r="W111" s="85"/>
      <c r="X111" s="85"/>
      <c r="Y111" s="85"/>
      <c r="Z111" s="445"/>
      <c r="AA111" s="85"/>
      <c r="AB111" s="85"/>
      <c r="AC111" s="85"/>
      <c r="AD111" s="85"/>
      <c r="AE111" s="445"/>
      <c r="AF111" s="85"/>
      <c r="AG111" s="85"/>
      <c r="AH111" s="85"/>
      <c r="AI111" s="85"/>
      <c r="AJ111" s="445"/>
      <c r="AK111" s="316">
        <f t="shared" ref="AK111:BP111" si="252">AK110/AF110-1</f>
        <v>0.17162751149490085</v>
      </c>
      <c r="AL111" s="316">
        <f t="shared" si="252"/>
        <v>0.12931599984199549</v>
      </c>
      <c r="AM111" s="316">
        <f t="shared" si="252"/>
        <v>-6.00791602011157E-2</v>
      </c>
      <c r="AN111" s="316">
        <f t="shared" si="252"/>
        <v>0.11540761226309404</v>
      </c>
      <c r="AO111" s="446">
        <f t="shared" si="252"/>
        <v>8.1718273331302882E-2</v>
      </c>
      <c r="AP111" s="316">
        <f t="shared" si="252"/>
        <v>8.8271897479279104E-2</v>
      </c>
      <c r="AQ111" s="316">
        <f t="shared" si="252"/>
        <v>-0.13010022159007284</v>
      </c>
      <c r="AR111" s="316">
        <f t="shared" si="252"/>
        <v>0.38528946850663615</v>
      </c>
      <c r="AS111" s="316">
        <f t="shared" si="252"/>
        <v>5.1845934450980069E-2</v>
      </c>
      <c r="AT111" s="446">
        <f t="shared" si="252"/>
        <v>0.10128410076489636</v>
      </c>
      <c r="AU111" s="316">
        <f t="shared" si="252"/>
        <v>6.5034200480799775E-2</v>
      </c>
      <c r="AV111" s="316">
        <f t="shared" si="252"/>
        <v>0.12503041918129276</v>
      </c>
      <c r="AW111" s="316">
        <f t="shared" si="252"/>
        <v>-0.13906578340459075</v>
      </c>
      <c r="AX111" s="316">
        <f t="shared" si="252"/>
        <v>-0.14520977636519616</v>
      </c>
      <c r="AY111" s="446">
        <f t="shared" si="252"/>
        <v>-4.8857870463729358E-2</v>
      </c>
      <c r="AZ111" s="316">
        <f t="shared" si="252"/>
        <v>-1.290004545945056E-2</v>
      </c>
      <c r="BA111" s="596">
        <f t="shared" si="252"/>
        <v>1.388589056443057E-2</v>
      </c>
      <c r="BB111" s="316">
        <f t="shared" si="252"/>
        <v>3.6689519830618966E-2</v>
      </c>
      <c r="BC111" s="316">
        <f t="shared" si="252"/>
        <v>0.20373139206788671</v>
      </c>
      <c r="BD111" s="446">
        <f t="shared" si="252"/>
        <v>6.3812356122207481E-2</v>
      </c>
      <c r="BE111" s="316">
        <f t="shared" si="252"/>
        <v>-1.2942923927819372E-2</v>
      </c>
      <c r="BF111" s="316">
        <f t="shared" si="252"/>
        <v>0.15915852659503638</v>
      </c>
      <c r="BG111" s="316">
        <f t="shared" si="252"/>
        <v>-1.0122322073318646E-2</v>
      </c>
      <c r="BH111" s="316">
        <f t="shared" si="252"/>
        <v>5.6823227424857015E-2</v>
      </c>
      <c r="BI111" s="446">
        <f t="shared" si="252"/>
        <v>4.0741001132478027E-2</v>
      </c>
      <c r="BJ111" s="316">
        <f t="shared" si="252"/>
        <v>3.5055120586833688E-2</v>
      </c>
      <c r="BK111" s="316">
        <f t="shared" si="252"/>
        <v>0.16740618708811228</v>
      </c>
      <c r="BL111" s="316">
        <f t="shared" si="252"/>
        <v>-1.4238582155579715E-2</v>
      </c>
      <c r="BM111" s="316">
        <f t="shared" si="252"/>
        <v>2.5085525427640309E-2</v>
      </c>
      <c r="BN111" s="446">
        <f t="shared" si="252"/>
        <v>4.6275473038858816E-2</v>
      </c>
      <c r="BO111" s="316">
        <f t="shared" si="252"/>
        <v>2.7641694526002514E-2</v>
      </c>
      <c r="BP111" s="316">
        <f t="shared" si="252"/>
        <v>-4.8838793930084945E-2</v>
      </c>
      <c r="BQ111" s="316">
        <f t="shared" ref="BQ111:CV111" si="253">BQ110/BL110-1</f>
        <v>0.12634335496208449</v>
      </c>
      <c r="BR111" s="316">
        <f t="shared" si="253"/>
        <v>-6.3556945558843392E-2</v>
      </c>
      <c r="BS111" s="446">
        <f t="shared" si="253"/>
        <v>5.3562193343368314E-3</v>
      </c>
      <c r="BT111" s="316">
        <f t="shared" si="253"/>
        <v>4.9333841393874867E-2</v>
      </c>
      <c r="BU111" s="316">
        <f t="shared" si="253"/>
        <v>7.835991696075717E-2</v>
      </c>
      <c r="BV111" s="316">
        <f t="shared" si="253"/>
        <v>-6.077359527578341E-2</v>
      </c>
      <c r="BW111" s="316">
        <f t="shared" si="253"/>
        <v>0.10328682209551165</v>
      </c>
      <c r="BX111" s="446">
        <f>BX110/BS110-1</f>
        <v>3.9999490870282539E-2</v>
      </c>
      <c r="BY111" s="316">
        <f t="shared" si="253"/>
        <v>0.19528254721392035</v>
      </c>
      <c r="BZ111" s="316">
        <f t="shared" si="253"/>
        <v>0.18609508432455946</v>
      </c>
      <c r="CA111" s="316">
        <f t="shared" si="253"/>
        <v>0.12330644615570163</v>
      </c>
      <c r="CB111" s="316">
        <f t="shared" si="253"/>
        <v>-0.12629971271498319</v>
      </c>
      <c r="CC111" s="446">
        <f>CC110/BX110-1</f>
        <v>7.6705724872678571E-2</v>
      </c>
      <c r="CD111" s="316">
        <f t="shared" si="253"/>
        <v>2.9361475289085837E-2</v>
      </c>
      <c r="CE111" s="316">
        <f t="shared" si="253"/>
        <v>-1.4515569278356066E-3</v>
      </c>
      <c r="CF111" s="316">
        <f t="shared" si="253"/>
        <v>8.7259446961055032E-2</v>
      </c>
      <c r="CG111" s="316">
        <f t="shared" si="253"/>
        <v>0.22291824471499089</v>
      </c>
      <c r="CH111" s="446">
        <f t="shared" si="253"/>
        <v>8.8029277893174385E-2</v>
      </c>
      <c r="CI111" s="316">
        <f t="shared" si="253"/>
        <v>7.5800577861439011E-2</v>
      </c>
      <c r="CJ111" s="316">
        <f t="shared" si="253"/>
        <v>0.54811101123350037</v>
      </c>
      <c r="CK111" s="316">
        <f t="shared" ca="1" si="253"/>
        <v>-2.692069381697304E-2</v>
      </c>
      <c r="CL111" s="316">
        <f t="shared" ca="1" si="253"/>
        <v>3.5022941892454806E-2</v>
      </c>
      <c r="CM111" s="446">
        <f t="shared" ca="1" si="253"/>
        <v>0.13945741519643517</v>
      </c>
      <c r="CN111" s="316">
        <f t="shared" ca="1" si="253"/>
        <v>0.13606681057626369</v>
      </c>
      <c r="CO111" s="316">
        <f t="shared" ca="1" si="253"/>
        <v>-0.23603870098205393</v>
      </c>
      <c r="CP111" s="316">
        <f t="shared" ca="1" si="253"/>
        <v>0.15909587134874803</v>
      </c>
      <c r="CQ111" s="316">
        <f t="shared" ca="1" si="253"/>
        <v>0.11095765488324028</v>
      </c>
      <c r="CR111" s="446">
        <f t="shared" ca="1" si="253"/>
        <v>2.6316727264870332E-2</v>
      </c>
      <c r="CS111" s="316">
        <f t="shared" ca="1" si="253"/>
        <v>7.7306546506477503E-2</v>
      </c>
      <c r="CT111" s="316">
        <f t="shared" ca="1" si="253"/>
        <v>4.4935115217225485E-2</v>
      </c>
      <c r="CU111" s="316">
        <f t="shared" ca="1" si="253"/>
        <v>7.2232321045903491E-2</v>
      </c>
      <c r="CV111" s="316">
        <f t="shared" ca="1" si="253"/>
        <v>7.2255587162430412E-2</v>
      </c>
      <c r="CW111" s="446">
        <f t="shared" ref="CW111:DG111" ca="1" si="254">CW110/CR110-1</f>
        <v>6.7553849142550026E-2</v>
      </c>
      <c r="CX111" s="316">
        <f t="shared" ca="1" si="254"/>
        <v>5.0585778018120253E-2</v>
      </c>
      <c r="CY111" s="316">
        <f t="shared" ca="1" si="254"/>
        <v>5.352415431877855E-2</v>
      </c>
      <c r="CZ111" s="316">
        <f t="shared" ca="1" si="254"/>
        <v>5.0495481825806987E-2</v>
      </c>
      <c r="DA111" s="316">
        <f t="shared" ca="1" si="254"/>
        <v>4.7969528857541688E-2</v>
      </c>
      <c r="DB111" s="446">
        <f t="shared" ca="1" si="254"/>
        <v>5.0448193045771639E-2</v>
      </c>
      <c r="DC111" s="316">
        <f t="shared" ca="1" si="254"/>
        <v>4.8565781949853282E-2</v>
      </c>
      <c r="DD111" s="316">
        <f t="shared" ca="1" si="254"/>
        <v>5.1201207851017783E-2</v>
      </c>
      <c r="DE111" s="316">
        <f t="shared" ca="1" si="254"/>
        <v>4.8306718780766644E-2</v>
      </c>
      <c r="DF111" s="316">
        <f t="shared" ca="1" si="254"/>
        <v>4.5974447126429618E-2</v>
      </c>
      <c r="DG111" s="446">
        <f t="shared" ca="1" si="254"/>
        <v>4.8334413552218569E-2</v>
      </c>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c r="HI111"/>
      <c r="HJ111"/>
      <c r="HK111"/>
      <c r="HL111"/>
      <c r="HM111"/>
      <c r="HN111"/>
      <c r="HO111"/>
      <c r="HP111"/>
      <c r="HQ111"/>
      <c r="HR111"/>
    </row>
    <row r="112" spans="1:226" s="53" customFormat="1" hidden="1" outlineLevel="1" x14ac:dyDescent="0.2">
      <c r="A112" s="80"/>
      <c r="B112" s="54"/>
      <c r="C112" s="54"/>
      <c r="D112" s="54"/>
      <c r="E112" s="54"/>
      <c r="F112" s="447"/>
      <c r="G112" s="54"/>
      <c r="H112" s="54"/>
      <c r="I112" s="54"/>
      <c r="J112" s="54"/>
      <c r="K112" s="447"/>
      <c r="L112" s="54"/>
      <c r="M112" s="54"/>
      <c r="N112" s="54"/>
      <c r="O112" s="54"/>
      <c r="P112" s="447"/>
      <c r="Q112" s="54"/>
      <c r="R112" s="54"/>
      <c r="S112" s="54"/>
      <c r="T112" s="54"/>
      <c r="U112" s="447"/>
      <c r="V112" s="54"/>
      <c r="W112" s="54"/>
      <c r="X112" s="54"/>
      <c r="Y112" s="54"/>
      <c r="Z112" s="447"/>
      <c r="AA112" s="54"/>
      <c r="AB112" s="54"/>
      <c r="AC112" s="54"/>
      <c r="AD112" s="54"/>
      <c r="AE112" s="447"/>
      <c r="AF112" s="54"/>
      <c r="AG112" s="54"/>
      <c r="AH112" s="54"/>
      <c r="AI112" s="54"/>
      <c r="AJ112" s="447"/>
      <c r="AK112" s="54"/>
      <c r="AL112" s="54"/>
      <c r="AM112" s="54"/>
      <c r="AN112" s="54"/>
      <c r="AO112" s="447"/>
      <c r="AP112" s="44"/>
      <c r="AQ112" s="54"/>
      <c r="AR112" s="54"/>
      <c r="AS112" s="54"/>
      <c r="AT112" s="447"/>
      <c r="AU112" s="54"/>
      <c r="AV112" s="54"/>
      <c r="AW112" s="54"/>
      <c r="AX112" s="54"/>
      <c r="AY112" s="447"/>
      <c r="AZ112" s="54"/>
      <c r="BA112" s="54"/>
      <c r="BB112" s="54"/>
      <c r="BC112" s="54"/>
      <c r="BD112" s="447"/>
      <c r="BE112" s="54"/>
      <c r="BF112" s="54"/>
      <c r="BG112" s="54"/>
      <c r="BH112" s="54"/>
      <c r="BI112" s="447"/>
      <c r="BJ112" s="54"/>
      <c r="BK112" s="54"/>
      <c r="BL112" s="54"/>
      <c r="BM112" s="54"/>
      <c r="BN112" s="447"/>
      <c r="BO112" s="54"/>
      <c r="BP112" s="54"/>
      <c r="BQ112" s="54"/>
      <c r="BR112" s="54"/>
      <c r="BS112" s="447"/>
      <c r="BT112" s="54"/>
      <c r="BU112" s="54"/>
      <c r="BV112" s="54"/>
      <c r="BW112" s="54"/>
      <c r="BX112" s="447"/>
      <c r="BY112" s="54"/>
      <c r="BZ112" s="54"/>
      <c r="CA112" s="54"/>
      <c r="CB112" s="54"/>
      <c r="CC112" s="447"/>
      <c r="CD112" s="54"/>
      <c r="CE112" s="54"/>
      <c r="CF112" s="54"/>
      <c r="CG112" s="54"/>
      <c r="CH112" s="447"/>
      <c r="CI112" s="54"/>
      <c r="CJ112" s="54"/>
      <c r="CK112" s="54"/>
      <c r="CL112" s="54"/>
      <c r="CM112" s="447"/>
      <c r="CN112" s="54"/>
      <c r="CO112" s="54"/>
      <c r="CP112" s="54"/>
      <c r="CQ112" s="54"/>
      <c r="CR112" s="447"/>
      <c r="CS112" s="54"/>
      <c r="CT112" s="54"/>
      <c r="CU112" s="54"/>
      <c r="CV112" s="54"/>
      <c r="CW112" s="447"/>
      <c r="CX112" s="54"/>
      <c r="CY112" s="54"/>
      <c r="CZ112" s="54"/>
      <c r="DA112" s="54"/>
      <c r="DB112" s="447"/>
      <c r="DC112" s="54"/>
      <c r="DD112" s="54"/>
      <c r="DE112" s="54"/>
      <c r="DF112" s="54"/>
      <c r="DG112" s="447"/>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c r="HB112"/>
      <c r="HC112"/>
      <c r="HD112"/>
      <c r="HE112"/>
      <c r="HF112"/>
      <c r="HG112"/>
      <c r="HH112"/>
      <c r="HI112"/>
      <c r="HJ112"/>
      <c r="HK112"/>
      <c r="HL112"/>
      <c r="HM112"/>
      <c r="HN112"/>
      <c r="HO112"/>
      <c r="HP112"/>
      <c r="HQ112"/>
      <c r="HR112"/>
    </row>
    <row r="113" spans="1:226" s="53" customFormat="1" hidden="1" outlineLevel="1" x14ac:dyDescent="0.2">
      <c r="A113" s="79" t="s">
        <v>115</v>
      </c>
      <c r="B113" s="54"/>
      <c r="C113" s="54"/>
      <c r="D113" s="54"/>
      <c r="E113" s="54"/>
      <c r="F113" s="447"/>
      <c r="G113" s="54"/>
      <c r="H113" s="54"/>
      <c r="I113" s="54"/>
      <c r="J113" s="54"/>
      <c r="K113" s="447"/>
      <c r="L113" s="54"/>
      <c r="M113" s="54"/>
      <c r="N113" s="54"/>
      <c r="O113" s="54"/>
      <c r="P113" s="447"/>
      <c r="Q113" s="54"/>
      <c r="R113" s="54"/>
      <c r="S113" s="54"/>
      <c r="T113" s="54"/>
      <c r="U113" s="447"/>
      <c r="V113" s="54"/>
      <c r="W113" s="54"/>
      <c r="X113" s="54"/>
      <c r="Y113" s="54"/>
      <c r="Z113" s="447"/>
      <c r="AA113" s="54"/>
      <c r="AB113" s="54"/>
      <c r="AC113" s="54"/>
      <c r="AD113" s="54"/>
      <c r="AE113" s="447"/>
      <c r="AF113" s="54"/>
      <c r="AG113" s="54"/>
      <c r="AH113" s="54"/>
      <c r="AI113" s="54"/>
      <c r="AJ113" s="447"/>
      <c r="AK113" s="54"/>
      <c r="AL113" s="54"/>
      <c r="AM113" s="54"/>
      <c r="AN113" s="54"/>
      <c r="AO113" s="447"/>
      <c r="AP113" s="54"/>
      <c r="AQ113" s="54"/>
      <c r="AR113" s="54"/>
      <c r="AS113" s="54"/>
      <c r="AT113" s="447"/>
      <c r="AU113" s="54"/>
      <c r="AV113" s="54"/>
      <c r="AW113" s="54"/>
      <c r="AX113" s="54"/>
      <c r="AY113" s="447"/>
      <c r="AZ113" s="54"/>
      <c r="BA113" s="54"/>
      <c r="BB113" s="593"/>
      <c r="BC113" s="54"/>
      <c r="BD113" s="447"/>
      <c r="BE113" s="54"/>
      <c r="BF113" s="54"/>
      <c r="BG113" s="54"/>
      <c r="BH113" s="54"/>
      <c r="BI113" s="447"/>
      <c r="BJ113" s="54"/>
      <c r="BK113" s="54"/>
      <c r="BL113" s="54"/>
      <c r="BM113" s="54"/>
      <c r="BN113" s="447"/>
      <c r="BO113" s="54"/>
      <c r="BP113" s="54"/>
      <c r="BQ113" s="54"/>
      <c r="BR113" s="54"/>
      <c r="BS113" s="447"/>
      <c r="BT113" s="54"/>
      <c r="BU113" s="54"/>
      <c r="BV113" s="54"/>
      <c r="BW113" s="54"/>
      <c r="BX113" s="447"/>
      <c r="BY113" s="769"/>
      <c r="BZ113" s="54"/>
      <c r="CA113" s="54"/>
      <c r="CB113" s="54"/>
      <c r="CC113" s="447"/>
      <c r="CD113" s="54"/>
      <c r="CE113" s="54"/>
      <c r="CF113" s="54"/>
      <c r="CG113" s="54"/>
      <c r="CH113" s="447"/>
      <c r="CI113" s="54"/>
      <c r="CJ113" s="54"/>
      <c r="CK113" s="54"/>
      <c r="CL113" s="54"/>
      <c r="CM113" s="447"/>
      <c r="CN113" s="54"/>
      <c r="CO113" s="54"/>
      <c r="CP113" s="54"/>
      <c r="CQ113" s="54"/>
      <c r="CR113" s="447"/>
      <c r="CS113" s="54"/>
      <c r="CT113" s="54"/>
      <c r="CU113" s="54"/>
      <c r="CV113" s="54"/>
      <c r="CW113" s="447"/>
      <c r="CX113" s="54"/>
      <c r="CY113" s="54"/>
      <c r="CZ113" s="54"/>
      <c r="DA113" s="54"/>
      <c r="DB113" s="447"/>
      <c r="DC113" s="54"/>
      <c r="DD113" s="54"/>
      <c r="DE113" s="54"/>
      <c r="DF113" s="54"/>
      <c r="DG113" s="447"/>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row>
    <row r="114" spans="1:226" s="53" customFormat="1" hidden="1" outlineLevel="1" x14ac:dyDescent="0.2">
      <c r="A114" s="80" t="s">
        <v>116</v>
      </c>
      <c r="B114" s="52">
        <v>235.36099999999999</v>
      </c>
      <c r="C114" s="52">
        <f>+B117</f>
        <v>235.589</v>
      </c>
      <c r="D114" s="52">
        <f>+C117</f>
        <v>236.274</v>
      </c>
      <c r="E114" s="52">
        <f>+D117</f>
        <v>236.51300000000001</v>
      </c>
      <c r="F114" s="450">
        <f>+B114</f>
        <v>235.36099999999999</v>
      </c>
      <c r="G114" s="52">
        <f>E117</f>
        <v>236.691</v>
      </c>
      <c r="H114" s="52">
        <f>G117</f>
        <v>233.90899999999999</v>
      </c>
      <c r="I114" s="52">
        <f>H117</f>
        <v>233.87899999999999</v>
      </c>
      <c r="J114" s="52">
        <f>I117</f>
        <v>231.279</v>
      </c>
      <c r="K114" s="450">
        <f>F117</f>
        <v>236.7</v>
      </c>
      <c r="L114" s="52">
        <f>J117</f>
        <v>224.24799999999999</v>
      </c>
      <c r="M114" s="52">
        <f>L117</f>
        <v>221.04799999999997</v>
      </c>
      <c r="N114" s="52">
        <f>M117</f>
        <v>217.24799999999996</v>
      </c>
      <c r="O114" s="52">
        <f>N117</f>
        <v>217.44799999999995</v>
      </c>
      <c r="P114" s="450">
        <f>K117</f>
        <v>224.24799999999999</v>
      </c>
      <c r="Q114" s="52">
        <f>O117</f>
        <v>214.44799999999995</v>
      </c>
      <c r="R114" s="52">
        <f>Q117</f>
        <v>211.34799999999998</v>
      </c>
      <c r="S114" s="52">
        <f>R117</f>
        <v>209.99799999999999</v>
      </c>
      <c r="T114" s="52">
        <f>S117</f>
        <v>211.99799999999999</v>
      </c>
      <c r="U114" s="450">
        <f>P117</f>
        <v>214.44799999999995</v>
      </c>
      <c r="V114" s="52">
        <f>T117</f>
        <v>212.298</v>
      </c>
      <c r="W114" s="52">
        <f>V117</f>
        <v>212.94800000000001</v>
      </c>
      <c r="X114" s="52">
        <f>W117</f>
        <v>153.44800000000001</v>
      </c>
      <c r="Y114" s="52">
        <f>X117</f>
        <v>154.07300000000001</v>
      </c>
      <c r="Z114" s="450">
        <f>U117</f>
        <v>212.298</v>
      </c>
      <c r="AA114" s="52">
        <f>Y117</f>
        <v>151.19800000000001</v>
      </c>
      <c r="AB114" s="52">
        <f>AA117</f>
        <v>152.88200000000001</v>
      </c>
      <c r="AC114" s="52">
        <f>AB117</f>
        <v>150.109814</v>
      </c>
      <c r="AD114" s="52">
        <f>AC117</f>
        <v>150.359814</v>
      </c>
      <c r="AE114" s="450">
        <f>Z117</f>
        <v>151.19800000000001</v>
      </c>
      <c r="AF114" s="52">
        <f>AD117</f>
        <v>150.35729799999999</v>
      </c>
      <c r="AG114" s="52">
        <f>AF117</f>
        <v>151.81651400000001</v>
      </c>
      <c r="AH114" s="52">
        <f>AG117</f>
        <v>151.254683</v>
      </c>
      <c r="AI114" s="52">
        <f>AH117</f>
        <v>151.76068799999999</v>
      </c>
      <c r="AJ114" s="450">
        <f>AE117</f>
        <v>150.35729799999999</v>
      </c>
      <c r="AK114" s="52">
        <f>AI117</f>
        <v>150.75725399999999</v>
      </c>
      <c r="AL114" s="52">
        <f>AK117</f>
        <v>138.50511499999999</v>
      </c>
      <c r="AM114" s="52">
        <f>AL117</f>
        <v>138.85697200000001</v>
      </c>
      <c r="AN114" s="52">
        <f>AM117</f>
        <v>137.839516</v>
      </c>
      <c r="AO114" s="450">
        <f>AJ117</f>
        <v>150.75725399999999</v>
      </c>
      <c r="AP114" s="52">
        <f>AN117</f>
        <v>138.03805199999999</v>
      </c>
      <c r="AQ114" s="52">
        <f>AP117</f>
        <v>138.71257</v>
      </c>
      <c r="AR114" s="52">
        <f>AQ117</f>
        <v>139.021931</v>
      </c>
      <c r="AS114" s="52">
        <f>AR117</f>
        <v>139.05808400000001</v>
      </c>
      <c r="AT114" s="450">
        <f>AO117</f>
        <v>138.03805199999999</v>
      </c>
      <c r="AU114" s="52">
        <f>AS117</f>
        <v>139.15797599999999</v>
      </c>
      <c r="AV114" s="52">
        <f>AU117</f>
        <v>139.22193100000001</v>
      </c>
      <c r="AW114" s="52">
        <f>AV117</f>
        <v>140.239949</v>
      </c>
      <c r="AX114" s="52">
        <f>AW117</f>
        <v>140.84123500000001</v>
      </c>
      <c r="AY114" s="450">
        <f>AT117</f>
        <v>139.15797599999999</v>
      </c>
      <c r="AZ114" s="52">
        <f>AX117</f>
        <v>138.764511</v>
      </c>
      <c r="BA114" s="52">
        <f>AZ117</f>
        <v>139.443276</v>
      </c>
      <c r="BB114" s="52">
        <f>BA117</f>
        <v>137.61051499999999</v>
      </c>
      <c r="BC114" s="52">
        <f>BB117</f>
        <v>133.33480399999999</v>
      </c>
      <c r="BD114" s="450">
        <f>AY117</f>
        <v>138.764511</v>
      </c>
      <c r="BE114" s="52">
        <f>BC117</f>
        <v>131.47345000000001</v>
      </c>
      <c r="BF114" s="52">
        <f ca="1">BE117</f>
        <v>132.18309600000003</v>
      </c>
      <c r="BG114" s="52">
        <v>129.69404900000001</v>
      </c>
      <c r="BH114" s="52">
        <f>BG117</f>
        <v>129.946945</v>
      </c>
      <c r="BI114" s="450">
        <f>BD117</f>
        <v>131.47345000000001</v>
      </c>
      <c r="BJ114" s="52">
        <f>BH117</f>
        <v>129.562082</v>
      </c>
      <c r="BK114" s="52">
        <f>BJ117</f>
        <v>130.318916</v>
      </c>
      <c r="BL114" s="52">
        <f>BK117</f>
        <v>130.86224300000001</v>
      </c>
      <c r="BM114" s="52">
        <f>BL117</f>
        <v>131.5592</v>
      </c>
      <c r="BN114" s="450">
        <f>BI117</f>
        <v>129.562082</v>
      </c>
      <c r="BO114" s="662">
        <f>BN117</f>
        <v>130.42980499999999</v>
      </c>
      <c r="BP114" s="662">
        <f>BO117</f>
        <v>128.99602100000001</v>
      </c>
      <c r="BQ114" s="662">
        <f>BP117</f>
        <v>129.85747099999998</v>
      </c>
      <c r="BR114" s="662">
        <f>BQ117</f>
        <v>128.49719999999999</v>
      </c>
      <c r="BS114" s="450">
        <f>BN117</f>
        <v>130.42980499999999</v>
      </c>
      <c r="BT114" s="662">
        <f>BR117</f>
        <v>128.79622799999999</v>
      </c>
      <c r="BU114" s="52">
        <f>BT117</f>
        <v>129.36764299999999</v>
      </c>
      <c r="BV114" s="52">
        <f>BU117</f>
        <v>130.96865099999999</v>
      </c>
      <c r="BW114" s="52">
        <f>BV117</f>
        <v>131.013553</v>
      </c>
      <c r="BX114" s="450">
        <f>BS117</f>
        <v>128.79622799999999</v>
      </c>
      <c r="BY114" s="52">
        <f>BW117</f>
        <v>128.61430999999999</v>
      </c>
      <c r="BZ114" s="52">
        <f>BY117</f>
        <v>128.78768500000001</v>
      </c>
      <c r="CA114" s="52">
        <f>BZ117</f>
        <v>129.35719900000001</v>
      </c>
      <c r="CB114" s="52">
        <f>CA117</f>
        <v>129.29665299999999</v>
      </c>
      <c r="CC114" s="450">
        <f>BX117</f>
        <v>128.61430999999999</v>
      </c>
      <c r="CD114" s="52">
        <f>CB117</f>
        <v>129.35526300000001</v>
      </c>
      <c r="CE114" s="52">
        <f>CD117</f>
        <v>128.707796</v>
      </c>
      <c r="CF114" s="52">
        <f>CE117</f>
        <v>128.177367</v>
      </c>
      <c r="CG114" s="52">
        <f>CF117</f>
        <v>128.780607</v>
      </c>
      <c r="CH114" s="450">
        <f>CC117</f>
        <v>129.35526300000001</v>
      </c>
      <c r="CI114" s="52">
        <f>CG117</f>
        <v>129.014172</v>
      </c>
      <c r="CJ114" s="52">
        <f>CI117</f>
        <v>128.92367100000001</v>
      </c>
      <c r="CK114" s="52">
        <f>CJ117</f>
        <v>129.34811999999999</v>
      </c>
      <c r="CL114" s="52">
        <f>CK117</f>
        <v>128.64812000000001</v>
      </c>
      <c r="CM114" s="450">
        <f>CH117</f>
        <v>129.014172</v>
      </c>
      <c r="CN114" s="52">
        <f>CL117</f>
        <v>127.52412</v>
      </c>
      <c r="CO114" s="52">
        <f>CN117</f>
        <v>126.97412</v>
      </c>
      <c r="CP114" s="52">
        <f>CO117</f>
        <v>126.42412</v>
      </c>
      <c r="CQ114" s="52">
        <f>CP117</f>
        <v>125.87412</v>
      </c>
      <c r="CR114" s="450">
        <f>CM117</f>
        <v>127.52412</v>
      </c>
      <c r="CS114" s="52">
        <f>CQ117</f>
        <v>125.32412000000001</v>
      </c>
      <c r="CT114" s="52">
        <f>CS117</f>
        <v>124.77412000000001</v>
      </c>
      <c r="CU114" s="52">
        <f>CT117</f>
        <v>124.22412000000001</v>
      </c>
      <c r="CV114" s="52">
        <f>CU117</f>
        <v>123.67412000000002</v>
      </c>
      <c r="CW114" s="450">
        <f>CR117</f>
        <v>125.32412000000001</v>
      </c>
      <c r="CX114" s="52">
        <f>CV117</f>
        <v>123.12412000000002</v>
      </c>
      <c r="CY114" s="52">
        <f>CX117</f>
        <v>122.57412000000002</v>
      </c>
      <c r="CZ114" s="52">
        <f>CY117</f>
        <v>122.02412000000002</v>
      </c>
      <c r="DA114" s="52">
        <f>CZ117</f>
        <v>121.47412000000003</v>
      </c>
      <c r="DB114" s="450">
        <f>CW117</f>
        <v>123.12412000000002</v>
      </c>
      <c r="DC114" s="52">
        <f>DA117</f>
        <v>120.92412000000003</v>
      </c>
      <c r="DD114" s="52">
        <f>DC117</f>
        <v>120.37412000000003</v>
      </c>
      <c r="DE114" s="52">
        <f>DD117</f>
        <v>119.82412000000004</v>
      </c>
      <c r="DF114" s="52">
        <f>DE117</f>
        <v>119.27412000000004</v>
      </c>
      <c r="DG114" s="450">
        <f>DB117</f>
        <v>120.92412000000003</v>
      </c>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row>
    <row r="115" spans="1:226" s="53" customFormat="1" hidden="1" outlineLevel="1" x14ac:dyDescent="0.2">
      <c r="A115" s="80" t="s">
        <v>117</v>
      </c>
      <c r="B115" s="139"/>
      <c r="C115" s="139"/>
      <c r="D115" s="139"/>
      <c r="E115" s="139"/>
      <c r="F115" s="450"/>
      <c r="G115" s="139">
        <f t="shared" ref="G115:AS115" si="255">G117-G114-G116</f>
        <v>1.2179999999999893</v>
      </c>
      <c r="H115" s="139">
        <f t="shared" si="255"/>
        <v>4.9999999999998865E-2</v>
      </c>
      <c r="I115" s="139">
        <f t="shared" si="255"/>
        <v>0.8000000000000056</v>
      </c>
      <c r="J115" s="139">
        <f t="shared" si="255"/>
        <v>-4.5310000000000059</v>
      </c>
      <c r="K115" s="450">
        <f t="shared" si="255"/>
        <v>-2.4719999999999978</v>
      </c>
      <c r="L115" s="139">
        <f t="shared" si="255"/>
        <v>0.19999999999998286</v>
      </c>
      <c r="M115" s="139">
        <f t="shared" si="255"/>
        <v>-1.1546319456101628E-14</v>
      </c>
      <c r="N115" s="139">
        <f t="shared" si="255"/>
        <v>1.1999999999999886</v>
      </c>
      <c r="O115" s="139">
        <f t="shared" si="255"/>
        <v>0.5</v>
      </c>
      <c r="P115" s="450">
        <f t="shared" si="255"/>
        <v>1.8999999999999595</v>
      </c>
      <c r="Q115" s="139">
        <f t="shared" si="255"/>
        <v>0.20000000000003393</v>
      </c>
      <c r="R115" s="139">
        <f t="shared" si="255"/>
        <v>0.25000000000000577</v>
      </c>
      <c r="S115" s="139">
        <f t="shared" si="255"/>
        <v>2</v>
      </c>
      <c r="T115" s="139">
        <f t="shared" si="255"/>
        <v>0.30000000000001137</v>
      </c>
      <c r="U115" s="450">
        <f t="shared" si="255"/>
        <v>2.7500000000000515</v>
      </c>
      <c r="V115" s="139">
        <f t="shared" si="255"/>
        <v>0.65000000000000568</v>
      </c>
      <c r="W115" s="139">
        <f t="shared" si="255"/>
        <v>1.8999999999999986</v>
      </c>
      <c r="X115" s="139">
        <f t="shared" si="255"/>
        <v>0.625</v>
      </c>
      <c r="Y115" s="139">
        <f t="shared" si="255"/>
        <v>0.125</v>
      </c>
      <c r="Z115" s="450">
        <f t="shared" si="255"/>
        <v>3.3000000000000114</v>
      </c>
      <c r="AA115" s="139">
        <f t="shared" si="255"/>
        <v>3.2839999999999976</v>
      </c>
      <c r="AB115" s="139">
        <f t="shared" si="255"/>
        <v>-1.9381860000000048</v>
      </c>
      <c r="AC115" s="139">
        <f t="shared" si="255"/>
        <v>0.25</v>
      </c>
      <c r="AD115" s="139">
        <f t="shared" si="255"/>
        <v>-1.4173558160468502E-14</v>
      </c>
      <c r="AE115" s="450">
        <f t="shared" si="255"/>
        <v>1.5958139999999785</v>
      </c>
      <c r="AF115" s="139">
        <f t="shared" si="255"/>
        <v>1.7592160000000263</v>
      </c>
      <c r="AG115" s="139">
        <f t="shared" si="255"/>
        <v>0.53816899999998791</v>
      </c>
      <c r="AH115" s="139">
        <f t="shared" si="255"/>
        <v>0.54629899999998766</v>
      </c>
      <c r="AI115" s="139">
        <f t="shared" si="255"/>
        <v>-3.4339999999986048E-3</v>
      </c>
      <c r="AJ115" s="450">
        <f t="shared" si="255"/>
        <v>2.8402500000000033</v>
      </c>
      <c r="AK115" s="139">
        <f t="shared" si="255"/>
        <v>0.73570600000000042</v>
      </c>
      <c r="AL115" s="139">
        <f t="shared" si="255"/>
        <v>0.37574600000002384</v>
      </c>
      <c r="AM115" s="139">
        <f t="shared" si="255"/>
        <v>0.12058899999999029</v>
      </c>
      <c r="AN115" s="139">
        <f t="shared" si="255"/>
        <v>0.20382499999999004</v>
      </c>
      <c r="AO115" s="450">
        <f t="shared" si="255"/>
        <v>1.4358660000000043</v>
      </c>
      <c r="AP115" s="139">
        <f t="shared" si="255"/>
        <v>0.67451800000000617</v>
      </c>
      <c r="AQ115" s="139">
        <f t="shared" si="255"/>
        <v>0.32398999999999556</v>
      </c>
      <c r="AR115" s="139">
        <f t="shared" si="255"/>
        <v>5.0782000000012983E-2</v>
      </c>
      <c r="AS115" s="139">
        <f t="shared" si="255"/>
        <v>0.11452099999998278</v>
      </c>
      <c r="AT115" s="450">
        <f>SUM(AP115:AS115)</f>
        <v>1.1638109999999975</v>
      </c>
      <c r="AU115" s="139">
        <f>AU117-AU114-AU116</f>
        <v>6.39550000000213E-2</v>
      </c>
      <c r="AV115" s="139">
        <f>AV117-AV114-AV116</f>
        <v>1.0180179999999837</v>
      </c>
      <c r="AW115" s="139">
        <f>AW117-AW114-AW116</f>
        <v>0.60128600000001597</v>
      </c>
      <c r="AX115" s="139">
        <f>AX117-AX114-AX116</f>
        <v>0.32327599999998702</v>
      </c>
      <c r="AY115" s="450">
        <f>SUM(AU115:AX115)</f>
        <v>2.006535000000008</v>
      </c>
      <c r="AZ115" s="609">
        <f>AZ117-AZ114-AZ116</f>
        <v>0.73676499999999856</v>
      </c>
      <c r="BA115" s="609">
        <f>BA117-BA114-BA116</f>
        <v>0.26723899999999512</v>
      </c>
      <c r="BB115" s="609">
        <f>BB117-BB114-BB116</f>
        <v>0.72428899999999885</v>
      </c>
      <c r="BC115" s="609">
        <f>BC117-BC114-BC116</f>
        <v>0.83864600000002287</v>
      </c>
      <c r="BD115" s="450">
        <f>SUM(AZ115:BC115)</f>
        <v>2.5669390000000156</v>
      </c>
      <c r="BE115" s="609">
        <f ca="1">BE117-BE114-BE116</f>
        <v>0.83864600000002065</v>
      </c>
      <c r="BF115" s="140">
        <f ca="1">BE115</f>
        <v>0.83864600000002065</v>
      </c>
      <c r="BG115" s="609">
        <f>BG117-BG114-BG116</f>
        <v>0.25289599999999268</v>
      </c>
      <c r="BH115" s="609">
        <f>BH117-BH114-BH116</f>
        <v>0.61513700000000426</v>
      </c>
      <c r="BI115" s="450">
        <f ca="1">SUM(BE115:BH115)</f>
        <v>2.5453250000000383</v>
      </c>
      <c r="BJ115" s="609">
        <f>BJ117-BJ114-BJ116</f>
        <v>0.75683399999999779</v>
      </c>
      <c r="BK115" s="609">
        <f>BK117-BK114-BK116</f>
        <v>0.543327000000005</v>
      </c>
      <c r="BL115" s="609">
        <f>BL117-BL114-BL116</f>
        <v>0.69696179799999758</v>
      </c>
      <c r="BM115" s="609">
        <f>BM117-BM114-BM116</f>
        <v>0.3703799999999835</v>
      </c>
      <c r="BN115" s="450">
        <f>SUM(BJ115:BM115)</f>
        <v>2.3675027979999839</v>
      </c>
      <c r="BO115" s="663">
        <f>BO117-BO114-BO116</f>
        <v>0.16621600000002568</v>
      </c>
      <c r="BP115" s="663">
        <f>BP117-BP114-BP116</f>
        <v>0.8614499999999623</v>
      </c>
      <c r="BQ115" s="663">
        <f>BQ117-BQ114-BQ116</f>
        <v>-1.3602709999999831</v>
      </c>
      <c r="BR115" s="663">
        <f>BR117-BR114-BR116</f>
        <v>1.7450279999999925</v>
      </c>
      <c r="BS115" s="450">
        <f>SUM(BO115:BR115)</f>
        <v>1.4124229999999973</v>
      </c>
      <c r="BT115" s="663">
        <f>BT117-BT114-BT116</f>
        <v>0.65641500000000175</v>
      </c>
      <c r="BU115" s="663">
        <f>BU117-BU114-BU116</f>
        <v>1.6010080000000073</v>
      </c>
      <c r="BV115" s="663">
        <f>BV117-BV114-BV116</f>
        <v>1.4449020000000075</v>
      </c>
      <c r="BW115" s="663">
        <f>BW117-BW114-BW116</f>
        <v>0.13175699999998747</v>
      </c>
      <c r="BX115" s="450">
        <f>SUM(BT115:BW115)</f>
        <v>3.834082000000004</v>
      </c>
      <c r="BY115" s="663">
        <f>BY117-BY114-BY116</f>
        <v>1.1733750000000214</v>
      </c>
      <c r="BZ115" s="663">
        <f>BZ117-BZ114-BZ116</f>
        <v>0.86951399999999812</v>
      </c>
      <c r="CA115" s="663">
        <f>CA117-CA114-CA116</f>
        <v>0.5345869999999836</v>
      </c>
      <c r="CB115" s="663">
        <f>CB117-CB114-CB116</f>
        <v>0.31447700000001555</v>
      </c>
      <c r="CC115" s="450">
        <f>SUM(BY115:CB115)</f>
        <v>2.8919530000000186</v>
      </c>
      <c r="CD115" s="663">
        <f>CD117-CD114-CD116</f>
        <v>0.235532999999994</v>
      </c>
      <c r="CE115" s="663">
        <f>CE117-CE114-CE116</f>
        <v>4.1571000000001912E-2</v>
      </c>
      <c r="CF115" s="663">
        <f>CF117-CF114-CF116</f>
        <v>0.60323999999999955</v>
      </c>
      <c r="CG115" s="663">
        <f>CG117-CG114-CG116</f>
        <v>0.28356499999999862</v>
      </c>
      <c r="CH115" s="450">
        <f>SUM(CD115:CG115)</f>
        <v>1.1639089999999941</v>
      </c>
      <c r="CI115" s="663">
        <f>CI117-CI114-CI116</f>
        <v>0.35949900000001095</v>
      </c>
      <c r="CJ115" s="663">
        <f>CJ117-CJ114-CJ116</f>
        <v>0.45044899999998145</v>
      </c>
      <c r="CK115" s="140">
        <v>0.5</v>
      </c>
      <c r="CL115" s="140">
        <v>0.2</v>
      </c>
      <c r="CM115" s="450">
        <f>SUM(CI115:CL115)</f>
        <v>1.5099479999999923</v>
      </c>
      <c r="CN115" s="140">
        <f>CL115</f>
        <v>0.2</v>
      </c>
      <c r="CO115" s="140">
        <f>CN115</f>
        <v>0.2</v>
      </c>
      <c r="CP115" s="140">
        <f>CO115</f>
        <v>0.2</v>
      </c>
      <c r="CQ115" s="140">
        <f>CP115</f>
        <v>0.2</v>
      </c>
      <c r="CR115" s="450">
        <f>SUM(CN115:CQ115)</f>
        <v>0.8</v>
      </c>
      <c r="CS115" s="140">
        <f>CQ115</f>
        <v>0.2</v>
      </c>
      <c r="CT115" s="140">
        <f>CS115</f>
        <v>0.2</v>
      </c>
      <c r="CU115" s="140">
        <f>CT115</f>
        <v>0.2</v>
      </c>
      <c r="CV115" s="140">
        <f>CU115</f>
        <v>0.2</v>
      </c>
      <c r="CW115" s="450">
        <f>SUM(CS115:CV115)</f>
        <v>0.8</v>
      </c>
      <c r="CX115" s="140">
        <f>CV115</f>
        <v>0.2</v>
      </c>
      <c r="CY115" s="140">
        <f>CX115</f>
        <v>0.2</v>
      </c>
      <c r="CZ115" s="140">
        <f>CY115</f>
        <v>0.2</v>
      </c>
      <c r="DA115" s="140">
        <f>CZ115</f>
        <v>0.2</v>
      </c>
      <c r="DB115" s="450">
        <f>SUM(CX115:DA115)</f>
        <v>0.8</v>
      </c>
      <c r="DC115" s="140">
        <f>DA115</f>
        <v>0.2</v>
      </c>
      <c r="DD115" s="140">
        <f>DC115</f>
        <v>0.2</v>
      </c>
      <c r="DE115" s="140">
        <f>DD115</f>
        <v>0.2</v>
      </c>
      <c r="DF115" s="140">
        <f>DE115</f>
        <v>0.2</v>
      </c>
      <c r="DG115" s="450">
        <f>SUM(DC115:DF115)</f>
        <v>0.8</v>
      </c>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c r="HB115"/>
      <c r="HC115"/>
      <c r="HD115"/>
      <c r="HE115"/>
      <c r="HF115"/>
      <c r="HG115"/>
      <c r="HH115"/>
      <c r="HI115"/>
      <c r="HJ115"/>
      <c r="HK115"/>
      <c r="HL115"/>
      <c r="HM115"/>
      <c r="HN115"/>
      <c r="HO115"/>
      <c r="HP115"/>
      <c r="HQ115"/>
      <c r="HR115"/>
    </row>
    <row r="116" spans="1:226" s="53" customFormat="1" hidden="1" outlineLevel="1" x14ac:dyDescent="0.2">
      <c r="A116" s="90" t="s">
        <v>118</v>
      </c>
      <c r="B116" s="141"/>
      <c r="C116" s="141"/>
      <c r="D116" s="141"/>
      <c r="E116" s="141"/>
      <c r="F116" s="451"/>
      <c r="G116" s="141">
        <f t="shared" ref="G116:AL116" si="256">-G123</f>
        <v>-4</v>
      </c>
      <c r="H116" s="141">
        <f t="shared" si="256"/>
        <v>-0.08</v>
      </c>
      <c r="I116" s="141">
        <f t="shared" si="256"/>
        <v>-3.4</v>
      </c>
      <c r="J116" s="141">
        <f t="shared" si="256"/>
        <v>-2.5</v>
      </c>
      <c r="K116" s="451">
        <f t="shared" si="256"/>
        <v>-9.98</v>
      </c>
      <c r="L116" s="141">
        <f t="shared" si="256"/>
        <v>-3.4</v>
      </c>
      <c r="M116" s="141">
        <f t="shared" si="256"/>
        <v>-3.8</v>
      </c>
      <c r="N116" s="141">
        <f t="shared" si="256"/>
        <v>-1</v>
      </c>
      <c r="O116" s="141">
        <f t="shared" si="256"/>
        <v>-3.5</v>
      </c>
      <c r="P116" s="451">
        <f t="shared" si="256"/>
        <v>-11.7</v>
      </c>
      <c r="Q116" s="141">
        <f t="shared" si="256"/>
        <v>-3.3</v>
      </c>
      <c r="R116" s="141">
        <f t="shared" si="256"/>
        <v>-1.6</v>
      </c>
      <c r="S116" s="141">
        <f t="shared" si="256"/>
        <v>0</v>
      </c>
      <c r="T116" s="141">
        <f t="shared" si="256"/>
        <v>0</v>
      </c>
      <c r="U116" s="451">
        <f t="shared" si="256"/>
        <v>-4.9000000000000004</v>
      </c>
      <c r="V116" s="141">
        <f t="shared" si="256"/>
        <v>0</v>
      </c>
      <c r="W116" s="141">
        <f t="shared" si="256"/>
        <v>-61.4</v>
      </c>
      <c r="X116" s="141">
        <f t="shared" si="256"/>
        <v>0</v>
      </c>
      <c r="Y116" s="141">
        <f t="shared" si="256"/>
        <v>-3</v>
      </c>
      <c r="Z116" s="451">
        <f t="shared" si="256"/>
        <v>-64.400000000000006</v>
      </c>
      <c r="AA116" s="141">
        <f t="shared" si="256"/>
        <v>-1.6</v>
      </c>
      <c r="AB116" s="141">
        <f t="shared" si="256"/>
        <v>-0.83399999999999996</v>
      </c>
      <c r="AC116" s="141">
        <f t="shared" si="256"/>
        <v>0</v>
      </c>
      <c r="AD116" s="141">
        <f t="shared" si="256"/>
        <v>-2.516E-3</v>
      </c>
      <c r="AE116" s="451">
        <f t="shared" si="256"/>
        <v>-2.4365160000000001</v>
      </c>
      <c r="AF116" s="141">
        <f t="shared" si="256"/>
        <v>-0.3</v>
      </c>
      <c r="AG116" s="141">
        <f t="shared" si="256"/>
        <v>-1.1000000000000001</v>
      </c>
      <c r="AH116" s="141">
        <f t="shared" si="256"/>
        <v>-4.0293999999999996E-2</v>
      </c>
      <c r="AI116" s="141">
        <f t="shared" si="256"/>
        <v>-1</v>
      </c>
      <c r="AJ116" s="451">
        <f t="shared" si="256"/>
        <v>-2.4402940000000002</v>
      </c>
      <c r="AK116" s="141">
        <f t="shared" si="256"/>
        <v>-12.987845</v>
      </c>
      <c r="AL116" s="141">
        <f t="shared" si="256"/>
        <v>-2.3889000000000001E-2</v>
      </c>
      <c r="AM116" s="141">
        <f t="shared" ref="AM116:BD116" si="257">-AM123</f>
        <v>-1.1380450000000002</v>
      </c>
      <c r="AN116" s="141">
        <f t="shared" si="257"/>
        <v>-5.2890000000000003E-3</v>
      </c>
      <c r="AO116" s="451">
        <f t="shared" si="257"/>
        <v>-14.155068</v>
      </c>
      <c r="AP116" s="141">
        <f t="shared" si="257"/>
        <v>0</v>
      </c>
      <c r="AQ116" s="141">
        <f t="shared" si="257"/>
        <v>-1.4629E-2</v>
      </c>
      <c r="AR116" s="141">
        <f t="shared" si="257"/>
        <v>-1.4629E-2</v>
      </c>
      <c r="AS116" s="141">
        <f t="shared" si="257"/>
        <v>-1.4629E-2</v>
      </c>
      <c r="AT116" s="451">
        <f t="shared" si="257"/>
        <v>-4.3886999999999995E-2</v>
      </c>
      <c r="AU116" s="141">
        <f t="shared" si="257"/>
        <v>0</v>
      </c>
      <c r="AV116" s="141">
        <f t="shared" si="257"/>
        <v>0</v>
      </c>
      <c r="AW116" s="141">
        <f t="shared" si="257"/>
        <v>0</v>
      </c>
      <c r="AX116" s="141">
        <f t="shared" si="257"/>
        <v>-2.4</v>
      </c>
      <c r="AY116" s="451">
        <f t="shared" si="257"/>
        <v>-2.4</v>
      </c>
      <c r="AZ116" s="141">
        <f t="shared" si="257"/>
        <v>-5.8000000000000003E-2</v>
      </c>
      <c r="BA116" s="141">
        <f t="shared" si="257"/>
        <v>-2.1</v>
      </c>
      <c r="BB116" s="141">
        <f t="shared" si="257"/>
        <v>-5</v>
      </c>
      <c r="BC116" s="141">
        <f t="shared" si="257"/>
        <v>-2.7</v>
      </c>
      <c r="BD116" s="451">
        <f t="shared" si="257"/>
        <v>-9.8580000000000005</v>
      </c>
      <c r="BE116" s="141">
        <f t="shared" ref="BE116:CV116" si="258">-BE123</f>
        <v>-0.129</v>
      </c>
      <c r="BF116" s="142">
        <f t="shared" si="258"/>
        <v>-2.2999999999999998</v>
      </c>
      <c r="BG116" s="142">
        <f t="shared" si="258"/>
        <v>0</v>
      </c>
      <c r="BH116" s="142">
        <f t="shared" si="258"/>
        <v>-1</v>
      </c>
      <c r="BI116" s="451">
        <f t="shared" si="258"/>
        <v>-3.4289999999999998</v>
      </c>
      <c r="BJ116" s="142">
        <f t="shared" si="258"/>
        <v>0</v>
      </c>
      <c r="BK116" s="142">
        <f>-BK123</f>
        <v>0</v>
      </c>
      <c r="BL116" s="142">
        <f>-BL123</f>
        <v>-4.7979999999999996E-6</v>
      </c>
      <c r="BM116" s="142">
        <f>-BM123</f>
        <v>-1.4997750000000001</v>
      </c>
      <c r="BN116" s="451">
        <f t="shared" si="258"/>
        <v>-1.4997797980000001</v>
      </c>
      <c r="BO116" s="664">
        <f>-BO123</f>
        <v>-1.6</v>
      </c>
      <c r="BP116" s="664">
        <f>-BP123</f>
        <v>0</v>
      </c>
      <c r="BQ116" s="664">
        <f>-BQ123</f>
        <v>0</v>
      </c>
      <c r="BR116" s="664">
        <f>-BR123</f>
        <v>-1.4459999999999997</v>
      </c>
      <c r="BS116" s="451">
        <f t="shared" si="258"/>
        <v>-3.0459999999999998</v>
      </c>
      <c r="BT116" s="664">
        <f t="shared" ref="BT116:CA116" si="259">-BT123</f>
        <v>-8.5000000000000006E-2</v>
      </c>
      <c r="BU116" s="664">
        <f t="shared" si="259"/>
        <v>0</v>
      </c>
      <c r="BV116" s="664">
        <f t="shared" si="259"/>
        <v>-1.4</v>
      </c>
      <c r="BW116" s="664">
        <f t="shared" si="259"/>
        <v>-2.5310000000000001</v>
      </c>
      <c r="BX116" s="451">
        <f t="shared" si="259"/>
        <v>-4.016</v>
      </c>
      <c r="BY116" s="664">
        <f t="shared" si="259"/>
        <v>-1</v>
      </c>
      <c r="BZ116" s="664">
        <f t="shared" si="259"/>
        <v>-0.3</v>
      </c>
      <c r="CA116" s="664">
        <f t="shared" si="259"/>
        <v>-0.59513300000000002</v>
      </c>
      <c r="CB116" s="664">
        <f t="shared" si="258"/>
        <v>-0.25586699999999973</v>
      </c>
      <c r="CC116" s="451">
        <f t="shared" si="258"/>
        <v>-2.1509999999999998</v>
      </c>
      <c r="CD116" s="664">
        <f t="shared" si="258"/>
        <v>-0.88300000000000001</v>
      </c>
      <c r="CE116" s="664">
        <f t="shared" si="258"/>
        <v>-0.57199999999999995</v>
      </c>
      <c r="CF116" s="664">
        <f t="shared" si="258"/>
        <v>0</v>
      </c>
      <c r="CG116" s="664">
        <f t="shared" si="258"/>
        <v>-4.9999999999999933E-2</v>
      </c>
      <c r="CH116" s="451">
        <f t="shared" si="258"/>
        <v>-1.5049999999999999</v>
      </c>
      <c r="CI116" s="664">
        <f t="shared" si="258"/>
        <v>-0.45</v>
      </c>
      <c r="CJ116" s="664">
        <f t="shared" si="258"/>
        <v>-2.5999999999999999E-2</v>
      </c>
      <c r="CK116" s="142">
        <f t="shared" si="258"/>
        <v>-1.2</v>
      </c>
      <c r="CL116" s="142">
        <f t="shared" si="258"/>
        <v>-1.3240000000000001</v>
      </c>
      <c r="CM116" s="451">
        <f t="shared" si="258"/>
        <v>-3</v>
      </c>
      <c r="CN116" s="142">
        <f t="shared" si="258"/>
        <v>-0.75</v>
      </c>
      <c r="CO116" s="142">
        <f t="shared" si="258"/>
        <v>-0.75</v>
      </c>
      <c r="CP116" s="142">
        <f t="shared" si="258"/>
        <v>-0.75</v>
      </c>
      <c r="CQ116" s="142">
        <f t="shared" si="258"/>
        <v>-0.75</v>
      </c>
      <c r="CR116" s="451">
        <f t="shared" si="258"/>
        <v>-3</v>
      </c>
      <c r="CS116" s="142">
        <f t="shared" si="258"/>
        <v>-0.75</v>
      </c>
      <c r="CT116" s="142">
        <f t="shared" si="258"/>
        <v>-0.75</v>
      </c>
      <c r="CU116" s="142">
        <f t="shared" si="258"/>
        <v>-0.75</v>
      </c>
      <c r="CV116" s="142">
        <f t="shared" si="258"/>
        <v>-0.75</v>
      </c>
      <c r="CW116" s="451">
        <f t="shared" ref="CW116:DG116" si="260">-CW123</f>
        <v>-3</v>
      </c>
      <c r="CX116" s="142">
        <f t="shared" si="260"/>
        <v>-0.75</v>
      </c>
      <c r="CY116" s="142">
        <f t="shared" si="260"/>
        <v>-0.75</v>
      </c>
      <c r="CZ116" s="142">
        <f t="shared" si="260"/>
        <v>-0.75</v>
      </c>
      <c r="DA116" s="142">
        <f t="shared" si="260"/>
        <v>-0.75</v>
      </c>
      <c r="DB116" s="451">
        <f t="shared" si="260"/>
        <v>-3</v>
      </c>
      <c r="DC116" s="142">
        <f t="shared" si="260"/>
        <v>-0.75</v>
      </c>
      <c r="DD116" s="142">
        <f t="shared" si="260"/>
        <v>-0.75</v>
      </c>
      <c r="DE116" s="142">
        <f t="shared" si="260"/>
        <v>-0.75</v>
      </c>
      <c r="DF116" s="142">
        <f t="shared" si="260"/>
        <v>-0.75</v>
      </c>
      <c r="DG116" s="451">
        <f t="shared" si="260"/>
        <v>-3</v>
      </c>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row>
    <row r="117" spans="1:226" s="83" customFormat="1" hidden="1" outlineLevel="1" x14ac:dyDescent="0.2">
      <c r="A117" s="79" t="s">
        <v>119</v>
      </c>
      <c r="B117" s="35">
        <v>235.589</v>
      </c>
      <c r="C117" s="35">
        <v>236.274</v>
      </c>
      <c r="D117" s="35">
        <v>236.51300000000001</v>
      </c>
      <c r="E117" s="35">
        <v>236.691</v>
      </c>
      <c r="F117" s="435">
        <v>236.7</v>
      </c>
      <c r="G117" s="35">
        <v>233.90899999999999</v>
      </c>
      <c r="H117" s="35">
        <v>233.87899999999999</v>
      </c>
      <c r="I117" s="35">
        <v>231.279</v>
      </c>
      <c r="J117" s="35">
        <v>224.24799999999999</v>
      </c>
      <c r="K117" s="435">
        <f>J117</f>
        <v>224.24799999999999</v>
      </c>
      <c r="L117" s="35">
        <v>221.04799999999997</v>
      </c>
      <c r="M117" s="35">
        <v>217.24799999999996</v>
      </c>
      <c r="N117" s="35">
        <v>217.44799999999995</v>
      </c>
      <c r="O117" s="35">
        <v>214.44799999999995</v>
      </c>
      <c r="P117" s="435">
        <f>O117</f>
        <v>214.44799999999995</v>
      </c>
      <c r="Q117" s="35">
        <v>211.34799999999998</v>
      </c>
      <c r="R117" s="35">
        <v>209.99799999999999</v>
      </c>
      <c r="S117" s="35">
        <v>211.99799999999999</v>
      </c>
      <c r="T117" s="35">
        <v>212.298</v>
      </c>
      <c r="U117" s="435">
        <f>T117</f>
        <v>212.298</v>
      </c>
      <c r="V117" s="35">
        <v>212.94800000000001</v>
      </c>
      <c r="W117" s="35">
        <v>153.44800000000001</v>
      </c>
      <c r="X117" s="35">
        <v>154.07300000000001</v>
      </c>
      <c r="Y117" s="35">
        <v>151.19800000000001</v>
      </c>
      <c r="Z117" s="435">
        <f>Y117</f>
        <v>151.19800000000001</v>
      </c>
      <c r="AA117" s="35">
        <v>152.88200000000001</v>
      </c>
      <c r="AB117" s="35">
        <v>150.109814</v>
      </c>
      <c r="AC117" s="35">
        <v>150.359814</v>
      </c>
      <c r="AD117" s="35">
        <v>150.35729799999999</v>
      </c>
      <c r="AE117" s="435">
        <f>AD117</f>
        <v>150.35729799999999</v>
      </c>
      <c r="AF117" s="35">
        <v>151.81651400000001</v>
      </c>
      <c r="AG117" s="35">
        <v>151.254683</v>
      </c>
      <c r="AH117" s="35">
        <v>151.76068799999999</v>
      </c>
      <c r="AI117" s="35">
        <v>150.75725399999999</v>
      </c>
      <c r="AJ117" s="435">
        <f>AI117</f>
        <v>150.75725399999999</v>
      </c>
      <c r="AK117" s="35">
        <v>138.50511499999999</v>
      </c>
      <c r="AL117" s="35">
        <v>138.85697200000001</v>
      </c>
      <c r="AM117" s="35">
        <v>137.839516</v>
      </c>
      <c r="AN117" s="35">
        <v>138.03805199999999</v>
      </c>
      <c r="AO117" s="435">
        <f>AN117</f>
        <v>138.03805199999999</v>
      </c>
      <c r="AP117" s="35">
        <v>138.71257</v>
      </c>
      <c r="AQ117" s="35">
        <v>139.021931</v>
      </c>
      <c r="AR117" s="35">
        <v>139.05808400000001</v>
      </c>
      <c r="AS117" s="35">
        <v>139.15797599999999</v>
      </c>
      <c r="AT117" s="435">
        <f>AS117</f>
        <v>139.15797599999999</v>
      </c>
      <c r="AU117" s="35">
        <v>139.22193100000001</v>
      </c>
      <c r="AV117" s="35">
        <v>140.239949</v>
      </c>
      <c r="AW117" s="35">
        <v>140.84123500000001</v>
      </c>
      <c r="AX117" s="35">
        <v>138.764511</v>
      </c>
      <c r="AY117" s="435">
        <f>AX117</f>
        <v>138.764511</v>
      </c>
      <c r="AZ117" s="35">
        <v>139.443276</v>
      </c>
      <c r="BA117" s="35">
        <v>137.61051499999999</v>
      </c>
      <c r="BB117" s="35">
        <v>133.33480399999999</v>
      </c>
      <c r="BC117" s="624">
        <v>131.47345000000001</v>
      </c>
      <c r="BD117" s="435">
        <f>BC117</f>
        <v>131.47345000000001</v>
      </c>
      <c r="BE117" s="44">
        <f ca="1">BE114+BE115+BE116</f>
        <v>132.18309600000003</v>
      </c>
      <c r="BF117" s="44">
        <f ca="1">BF114+BF115+BF116</f>
        <v>130.72174200000003</v>
      </c>
      <c r="BG117" s="44">
        <v>129.946945</v>
      </c>
      <c r="BH117" s="44">
        <v>129.562082</v>
      </c>
      <c r="BI117" s="435">
        <f>BH117</f>
        <v>129.562082</v>
      </c>
      <c r="BJ117" s="35">
        <v>130.318916</v>
      </c>
      <c r="BK117" s="35">
        <v>130.86224300000001</v>
      </c>
      <c r="BL117" s="35">
        <v>131.5592</v>
      </c>
      <c r="BM117" s="35">
        <v>130.42980499999999</v>
      </c>
      <c r="BN117" s="435">
        <f>BM117</f>
        <v>130.42980499999999</v>
      </c>
      <c r="BO117" s="44">
        <v>128.99602100000001</v>
      </c>
      <c r="BP117" s="44">
        <f>158.741461-28.88399</f>
        <v>129.85747099999998</v>
      </c>
      <c r="BQ117" s="44">
        <f>158.741461-30.244261</f>
        <v>128.49719999999999</v>
      </c>
      <c r="BR117" s="44">
        <f>158.741461-29.945233</f>
        <v>128.79622799999999</v>
      </c>
      <c r="BS117" s="435">
        <f>BR117</f>
        <v>128.79622799999999</v>
      </c>
      <c r="BT117" s="44">
        <f>158.741461-29.373818</f>
        <v>129.36764299999999</v>
      </c>
      <c r="BU117" s="35">
        <v>130.96865099999999</v>
      </c>
      <c r="BV117" s="35">
        <v>131.013553</v>
      </c>
      <c r="BW117" s="35">
        <v>128.61430999999999</v>
      </c>
      <c r="BX117" s="435">
        <f>BW117</f>
        <v>128.61430999999999</v>
      </c>
      <c r="BY117" s="35">
        <v>128.78768500000001</v>
      </c>
      <c r="BZ117" s="35">
        <v>129.35719900000001</v>
      </c>
      <c r="CA117" s="35">
        <v>129.29665299999999</v>
      </c>
      <c r="CB117" s="35">
        <v>129.35526300000001</v>
      </c>
      <c r="CC117" s="435">
        <f>CB117</f>
        <v>129.35526300000001</v>
      </c>
      <c r="CD117" s="35">
        <v>128.707796</v>
      </c>
      <c r="CE117" s="35">
        <v>128.177367</v>
      </c>
      <c r="CF117" s="35">
        <v>128.780607</v>
      </c>
      <c r="CG117" s="35">
        <v>129.014172</v>
      </c>
      <c r="CH117" s="435">
        <f>CG117</f>
        <v>129.014172</v>
      </c>
      <c r="CI117" s="35">
        <v>128.92367100000001</v>
      </c>
      <c r="CJ117" s="35">
        <v>129.34811999999999</v>
      </c>
      <c r="CK117" s="35">
        <f>CK114+CK115+CK116</f>
        <v>128.64812000000001</v>
      </c>
      <c r="CL117" s="35">
        <f>CL114+CL115+CL116</f>
        <v>127.52412</v>
      </c>
      <c r="CM117" s="435">
        <f>CL117</f>
        <v>127.52412</v>
      </c>
      <c r="CN117" s="35">
        <f>CN114+CN115+CN116</f>
        <v>126.97412</v>
      </c>
      <c r="CO117" s="35">
        <f>CO114+CO115+CO116</f>
        <v>126.42412</v>
      </c>
      <c r="CP117" s="35">
        <f>CP114+CP115+CP116</f>
        <v>125.87412</v>
      </c>
      <c r="CQ117" s="35">
        <f>CQ114+CQ115+CQ116</f>
        <v>125.32412000000001</v>
      </c>
      <c r="CR117" s="435">
        <f>CQ117</f>
        <v>125.32412000000001</v>
      </c>
      <c r="CS117" s="35">
        <f>CS114+CS115+CS116</f>
        <v>124.77412000000001</v>
      </c>
      <c r="CT117" s="35">
        <f>CT114+CT115+CT116</f>
        <v>124.22412000000001</v>
      </c>
      <c r="CU117" s="35">
        <f>CU114+CU115+CU116</f>
        <v>123.67412000000002</v>
      </c>
      <c r="CV117" s="35">
        <f>CV114+CV115+CV116</f>
        <v>123.12412000000002</v>
      </c>
      <c r="CW117" s="435">
        <f>CV117</f>
        <v>123.12412000000002</v>
      </c>
      <c r="CX117" s="35">
        <f>CX114+CX115+CX116</f>
        <v>122.57412000000002</v>
      </c>
      <c r="CY117" s="35">
        <f>CY114+CY115+CY116</f>
        <v>122.02412000000002</v>
      </c>
      <c r="CZ117" s="35">
        <f>CZ114+CZ115+CZ116</f>
        <v>121.47412000000003</v>
      </c>
      <c r="DA117" s="35">
        <f>DA114+DA115+DA116</f>
        <v>120.92412000000003</v>
      </c>
      <c r="DB117" s="435">
        <f>DA117</f>
        <v>120.92412000000003</v>
      </c>
      <c r="DC117" s="35">
        <f>DC114+DC115+DC116</f>
        <v>120.37412000000003</v>
      </c>
      <c r="DD117" s="35">
        <f>DD114+DD115+DD116</f>
        <v>119.82412000000004</v>
      </c>
      <c r="DE117" s="35">
        <f>DE114+DE115+DE116</f>
        <v>119.27412000000004</v>
      </c>
      <c r="DF117" s="35">
        <f>DF114+DF115+DF116</f>
        <v>118.72412000000004</v>
      </c>
      <c r="DG117" s="435">
        <f>DF117</f>
        <v>118.72412000000004</v>
      </c>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row>
    <row r="118" spans="1:226" s="83" customFormat="1" hidden="1" outlineLevel="1" x14ac:dyDescent="0.2">
      <c r="A118" s="79" t="s">
        <v>120</v>
      </c>
      <c r="B118" s="35">
        <v>235.5</v>
      </c>
      <c r="C118" s="35">
        <v>236.1</v>
      </c>
      <c r="D118" s="35">
        <v>236.4</v>
      </c>
      <c r="E118" s="35">
        <v>236.6</v>
      </c>
      <c r="F118" s="435">
        <v>236.1</v>
      </c>
      <c r="G118" s="35">
        <f t="shared" ref="G118:AT118" si="261">G97</f>
        <v>235</v>
      </c>
      <c r="H118" s="35">
        <f t="shared" si="261"/>
        <v>232.8</v>
      </c>
      <c r="I118" s="35">
        <f t="shared" si="261"/>
        <v>231.5</v>
      </c>
      <c r="J118" s="35">
        <f t="shared" si="261"/>
        <v>228.1</v>
      </c>
      <c r="K118" s="435">
        <f t="shared" si="261"/>
        <v>231.8</v>
      </c>
      <c r="L118" s="35">
        <f t="shared" si="261"/>
        <v>221.9</v>
      </c>
      <c r="M118" s="35">
        <f t="shared" si="261"/>
        <v>218.3</v>
      </c>
      <c r="N118" s="35">
        <f t="shared" si="261"/>
        <v>216.1</v>
      </c>
      <c r="O118" s="35">
        <f t="shared" si="261"/>
        <v>215.1</v>
      </c>
      <c r="P118" s="435">
        <f t="shared" si="261"/>
        <v>218.17400000000001</v>
      </c>
      <c r="Q118" s="35">
        <f t="shared" si="261"/>
        <v>212.654</v>
      </c>
      <c r="R118" s="35">
        <f t="shared" si="261"/>
        <v>210.5</v>
      </c>
      <c r="S118" s="35">
        <f t="shared" si="261"/>
        <v>211.21299999999999</v>
      </c>
      <c r="T118" s="35">
        <f t="shared" si="261"/>
        <v>212.363</v>
      </c>
      <c r="U118" s="435">
        <f t="shared" si="261"/>
        <v>211.68299999999999</v>
      </c>
      <c r="V118" s="35">
        <f t="shared" si="261"/>
        <v>212.905</v>
      </c>
      <c r="W118" s="35">
        <f t="shared" si="261"/>
        <v>187.31</v>
      </c>
      <c r="X118" s="35">
        <f t="shared" si="261"/>
        <v>153.50200000000001</v>
      </c>
      <c r="Y118" s="35">
        <f t="shared" si="261"/>
        <v>152.62700000000001</v>
      </c>
      <c r="Z118" s="435">
        <f t="shared" si="261"/>
        <v>176.58600000000001</v>
      </c>
      <c r="AA118" s="35">
        <f t="shared" si="261"/>
        <v>150.83500000000001</v>
      </c>
      <c r="AB118" s="35">
        <f t="shared" si="261"/>
        <v>150.08000000000001</v>
      </c>
      <c r="AC118" s="35">
        <f t="shared" si="261"/>
        <v>150.364</v>
      </c>
      <c r="AD118" s="35">
        <f t="shared" si="261"/>
        <v>150.90299999999999</v>
      </c>
      <c r="AE118" s="435">
        <f t="shared" si="261"/>
        <v>150.54499999999999</v>
      </c>
      <c r="AF118" s="35">
        <f t="shared" si="261"/>
        <v>151.143</v>
      </c>
      <c r="AG118" s="35">
        <f t="shared" si="261"/>
        <v>151.41300000000001</v>
      </c>
      <c r="AH118" s="35">
        <f t="shared" si="261"/>
        <v>151.46899999999999</v>
      </c>
      <c r="AI118" s="35">
        <f t="shared" si="261"/>
        <v>151.75800000000001</v>
      </c>
      <c r="AJ118" s="435">
        <f t="shared" si="261"/>
        <v>151.44499999999999</v>
      </c>
      <c r="AK118" s="35">
        <f t="shared" si="261"/>
        <v>143.77799999999999</v>
      </c>
      <c r="AL118" s="35">
        <f t="shared" si="261"/>
        <v>138.75</v>
      </c>
      <c r="AM118" s="35">
        <f t="shared" si="261"/>
        <v>138.00800000000001</v>
      </c>
      <c r="AN118" s="35">
        <f t="shared" si="261"/>
        <v>137.99700000000001</v>
      </c>
      <c r="AO118" s="435">
        <f t="shared" si="261"/>
        <v>139.63300000000001</v>
      </c>
      <c r="AP118" s="35">
        <f t="shared" si="261"/>
        <v>138.45699999999999</v>
      </c>
      <c r="AQ118" s="35">
        <f t="shared" si="261"/>
        <v>139.08600000000001</v>
      </c>
      <c r="AR118" s="35">
        <f t="shared" si="261"/>
        <v>139.21299999999999</v>
      </c>
      <c r="AS118" s="35">
        <f t="shared" si="261"/>
        <v>139.303</v>
      </c>
      <c r="AT118" s="435">
        <f t="shared" si="261"/>
        <v>139.01499999999999</v>
      </c>
      <c r="AU118" s="35">
        <f>AU97</f>
        <v>139.74299999999999</v>
      </c>
      <c r="AV118" s="35">
        <f>AV97</f>
        <v>140.303</v>
      </c>
      <c r="AW118" s="35">
        <f>AW97</f>
        <v>140.76400000000001</v>
      </c>
      <c r="AX118" s="35">
        <f>AX97</f>
        <v>140.28</v>
      </c>
      <c r="AY118" s="435">
        <f>AVERAGE(AU118:AX118)</f>
        <v>140.27250000000001</v>
      </c>
      <c r="AZ118" s="35">
        <f>AZ97</f>
        <v>139.47499999999999</v>
      </c>
      <c r="BA118" s="35">
        <f>BA97</f>
        <v>138.678</v>
      </c>
      <c r="BB118" s="35">
        <f>BB97</f>
        <v>136.364</v>
      </c>
      <c r="BC118" s="35">
        <f>BC97</f>
        <v>132.279</v>
      </c>
      <c r="BD118" s="435">
        <f>AVERAGE(AZ118:BC118)</f>
        <v>136.69900000000001</v>
      </c>
      <c r="BE118" s="44">
        <f>BE97</f>
        <v>131.96799999999999</v>
      </c>
      <c r="BF118" s="44">
        <f>+BF97</f>
        <v>131.11199999999999</v>
      </c>
      <c r="BG118" s="44">
        <f>+BG97</f>
        <v>130.26599999999999</v>
      </c>
      <c r="BH118" s="44">
        <f>+BH97</f>
        <v>130.06100000000001</v>
      </c>
      <c r="BI118" s="435">
        <f>AVERAGE(BE118:BH118)</f>
        <v>130.85175000000001</v>
      </c>
      <c r="BJ118" s="44">
        <f>+BJ97</f>
        <v>130.268</v>
      </c>
      <c r="BK118" s="44">
        <f>+BK97</f>
        <v>130.99100000000001</v>
      </c>
      <c r="BL118" s="44">
        <f>+BL97</f>
        <v>131.619</v>
      </c>
      <c r="BM118" s="44">
        <f>+BM97</f>
        <v>131.422</v>
      </c>
      <c r="BN118" s="435">
        <f>AVERAGE(BJ118:BM118)</f>
        <v>131.07500000000002</v>
      </c>
      <c r="BO118" s="44">
        <f>+BO97</f>
        <v>130.07400000000001</v>
      </c>
      <c r="BP118" s="44">
        <f>+BP97</f>
        <v>129.83600000000001</v>
      </c>
      <c r="BQ118" s="44">
        <f>+BQ97</f>
        <v>129.31800000000001</v>
      </c>
      <c r="BR118" s="44">
        <f>+BR97</f>
        <v>129.005</v>
      </c>
      <c r="BS118" s="435">
        <f>AVERAGE(BO118:BR118)</f>
        <v>129.55825000000002</v>
      </c>
      <c r="BT118" s="44">
        <f>+BT97</f>
        <v>129.31200000000001</v>
      </c>
      <c r="BU118" s="44">
        <f>+BU97</f>
        <v>130.55500000000001</v>
      </c>
      <c r="BV118" s="44">
        <f>+BV97</f>
        <v>131.833</v>
      </c>
      <c r="BW118" s="44">
        <f>+BW97</f>
        <v>129.541</v>
      </c>
      <c r="BX118" s="435">
        <f>AVERAGE(BT118:BW118)</f>
        <v>130.31025</v>
      </c>
      <c r="BY118" s="44">
        <f t="shared" ref="BY118:CE118" si="262">+BY97</f>
        <v>129.155</v>
      </c>
      <c r="BZ118" s="44">
        <f t="shared" si="262"/>
        <v>129.54300000000001</v>
      </c>
      <c r="CA118" s="44">
        <f t="shared" si="262"/>
        <v>129.69</v>
      </c>
      <c r="CB118" s="44">
        <f t="shared" si="262"/>
        <v>129.50200000000001</v>
      </c>
      <c r="CC118" s="435">
        <f>AVERAGE(BY118:CB118)</f>
        <v>129.4725</v>
      </c>
      <c r="CD118" s="44">
        <f t="shared" si="262"/>
        <v>129.44900000000001</v>
      </c>
      <c r="CE118" s="44">
        <f t="shared" si="262"/>
        <v>128.49700000000001</v>
      </c>
      <c r="CF118" s="44">
        <f>+CF97</f>
        <v>128.75200000000001</v>
      </c>
      <c r="CG118" s="44">
        <f t="shared" ref="CG118" si="263">+CG97</f>
        <v>129.113</v>
      </c>
      <c r="CH118" s="435">
        <f>AVERAGE(CD118:CG118)</f>
        <v>128.95275000000001</v>
      </c>
      <c r="CI118" s="44">
        <f t="shared" ref="CI118:CJ118" si="264">+CI97</f>
        <v>129.01900000000001</v>
      </c>
      <c r="CJ118" s="44">
        <f t="shared" si="264"/>
        <v>129.35900000000001</v>
      </c>
      <c r="CK118" s="505">
        <f>AVERAGE(CK114,CK117)</f>
        <v>128.99812</v>
      </c>
      <c r="CL118" s="505">
        <f>AVERAGE(CL114,CL117)</f>
        <v>128.08611999999999</v>
      </c>
      <c r="CM118" s="435">
        <f>AVERAGE(CI118:CL118)</f>
        <v>128.86556000000002</v>
      </c>
      <c r="CN118" s="505">
        <f>AVERAGE(CN114,CN117)</f>
        <v>127.24912</v>
      </c>
      <c r="CO118" s="505">
        <f>AVERAGE(CO114,CO117)</f>
        <v>126.69911999999999</v>
      </c>
      <c r="CP118" s="505">
        <f>AVERAGE(CP114,CP117)</f>
        <v>126.14912000000001</v>
      </c>
      <c r="CQ118" s="505">
        <f>AVERAGE(CQ114,CQ117)</f>
        <v>125.59912</v>
      </c>
      <c r="CR118" s="435">
        <f>AVERAGE(CN118:CQ118)</f>
        <v>126.42411999999999</v>
      </c>
      <c r="CS118" s="505">
        <f>AVERAGE(CS114,CS117)</f>
        <v>125.04912000000002</v>
      </c>
      <c r="CT118" s="505">
        <f>AVERAGE(CT114,CT117)</f>
        <v>124.49912</v>
      </c>
      <c r="CU118" s="505">
        <f>AVERAGE(CU114,CU117)</f>
        <v>123.94912000000002</v>
      </c>
      <c r="CV118" s="505">
        <f>AVERAGE(CV114,CV117)</f>
        <v>123.39912000000001</v>
      </c>
      <c r="CW118" s="435">
        <f>AVERAGE(CS118:CV118)</f>
        <v>124.22412000000003</v>
      </c>
      <c r="CX118" s="505">
        <f>AVERAGE(CX114,CX117)</f>
        <v>122.84912000000003</v>
      </c>
      <c r="CY118" s="505">
        <f>AVERAGE(CY114,CY117)</f>
        <v>122.29912000000002</v>
      </c>
      <c r="CZ118" s="505">
        <f>AVERAGE(CZ114,CZ117)</f>
        <v>121.74912000000003</v>
      </c>
      <c r="DA118" s="505">
        <f>AVERAGE(DA114,DA117)</f>
        <v>121.19912000000002</v>
      </c>
      <c r="DB118" s="435">
        <f>AVERAGE(CX118:DA118)</f>
        <v>122.02412000000001</v>
      </c>
      <c r="DC118" s="505">
        <f>AVERAGE(DC114,DC117)</f>
        <v>120.64912000000004</v>
      </c>
      <c r="DD118" s="505">
        <f>AVERAGE(DD114,DD117)</f>
        <v>120.09912000000003</v>
      </c>
      <c r="DE118" s="505">
        <f>AVERAGE(DE114,DE117)</f>
        <v>119.54912000000004</v>
      </c>
      <c r="DF118" s="505">
        <f>AVERAGE(DF114,DF117)</f>
        <v>118.99912000000003</v>
      </c>
      <c r="DG118" s="435">
        <f>AVERAGE(DC118:DF118)</f>
        <v>119.82412000000005</v>
      </c>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row>
    <row r="119" spans="1:226" s="53" customFormat="1" hidden="1" outlineLevel="1" x14ac:dyDescent="0.2">
      <c r="A119" s="80" t="s">
        <v>121</v>
      </c>
      <c r="B119" s="80">
        <f t="shared" ref="B119:AV119" si="265">B120-B118</f>
        <v>3.0999999999999943</v>
      </c>
      <c r="C119" s="80">
        <f t="shared" si="265"/>
        <v>3</v>
      </c>
      <c r="D119" s="80">
        <f t="shared" si="265"/>
        <v>3.4000000000000057</v>
      </c>
      <c r="E119" s="80">
        <f t="shared" si="265"/>
        <v>3.5999999999999943</v>
      </c>
      <c r="F119" s="452">
        <f t="shared" si="265"/>
        <v>3.4000000000000057</v>
      </c>
      <c r="G119" s="80">
        <f t="shared" si="265"/>
        <v>3.0999999999999943</v>
      </c>
      <c r="H119" s="80">
        <f t="shared" si="265"/>
        <v>3.0999999999999943</v>
      </c>
      <c r="I119" s="80">
        <f t="shared" si="265"/>
        <v>3.0999999999999943</v>
      </c>
      <c r="J119" s="80">
        <f t="shared" si="265"/>
        <v>3.2000000000000171</v>
      </c>
      <c r="K119" s="452">
        <f t="shared" si="265"/>
        <v>2.8999999999999773</v>
      </c>
      <c r="L119" s="80">
        <f t="shared" si="265"/>
        <v>2.1999999999999886</v>
      </c>
      <c r="M119" s="80">
        <f t="shared" si="265"/>
        <v>2.5</v>
      </c>
      <c r="N119" s="80">
        <f t="shared" si="265"/>
        <v>2.5999999999999943</v>
      </c>
      <c r="O119" s="80">
        <f t="shared" si="265"/>
        <v>2.5999999999999943</v>
      </c>
      <c r="P119" s="452">
        <f t="shared" si="265"/>
        <v>2.5180000000000007</v>
      </c>
      <c r="Q119" s="80">
        <f t="shared" si="265"/>
        <v>2.1529999999999916</v>
      </c>
      <c r="R119" s="80">
        <f t="shared" si="265"/>
        <v>2.4590000000000032</v>
      </c>
      <c r="S119" s="80">
        <f t="shared" si="265"/>
        <v>2.3930000000000007</v>
      </c>
      <c r="T119" s="80">
        <f t="shared" si="265"/>
        <v>2.4070000000000107</v>
      </c>
      <c r="U119" s="452">
        <f t="shared" si="265"/>
        <v>2.6880000000000166</v>
      </c>
      <c r="V119" s="80">
        <f t="shared" si="265"/>
        <v>2.2119999999999891</v>
      </c>
      <c r="W119" s="80">
        <f t="shared" si="265"/>
        <v>2.4960000000000093</v>
      </c>
      <c r="X119" s="80">
        <f t="shared" si="265"/>
        <v>2.6020000000000039</v>
      </c>
      <c r="Y119" s="80">
        <f t="shared" si="265"/>
        <v>2.4319999999999879</v>
      </c>
      <c r="Z119" s="452">
        <f t="shared" si="265"/>
        <v>2.589999999999975</v>
      </c>
      <c r="AA119" s="80">
        <f t="shared" si="265"/>
        <v>2.046999999999997</v>
      </c>
      <c r="AB119" s="80">
        <f t="shared" si="265"/>
        <v>2.1839999999999975</v>
      </c>
      <c r="AC119" s="80">
        <f t="shared" si="265"/>
        <v>2.5409999999999968</v>
      </c>
      <c r="AD119" s="80">
        <f t="shared" si="265"/>
        <v>2.5860000000000127</v>
      </c>
      <c r="AE119" s="452">
        <f t="shared" si="265"/>
        <v>2.4560000000000173</v>
      </c>
      <c r="AF119" s="80">
        <f t="shared" si="265"/>
        <v>2.4250000000000114</v>
      </c>
      <c r="AG119" s="80">
        <f t="shared" si="265"/>
        <v>2.47199999999998</v>
      </c>
      <c r="AH119" s="80">
        <f t="shared" si="265"/>
        <v>2.5010000000000048</v>
      </c>
      <c r="AI119" s="80">
        <f t="shared" si="265"/>
        <v>2.5509999999999877</v>
      </c>
      <c r="AJ119" s="452">
        <f t="shared" si="265"/>
        <v>2.4900000000000091</v>
      </c>
      <c r="AK119" s="80">
        <f t="shared" si="265"/>
        <v>2.349000000000018</v>
      </c>
      <c r="AL119" s="80">
        <f t="shared" si="265"/>
        <v>2.2760000000000105</v>
      </c>
      <c r="AM119" s="80">
        <f t="shared" si="265"/>
        <v>2.2920000000000016</v>
      </c>
      <c r="AN119" s="80">
        <f t="shared" si="265"/>
        <v>2.2089999999999748</v>
      </c>
      <c r="AO119" s="452">
        <f t="shared" si="265"/>
        <v>2.3709999999999809</v>
      </c>
      <c r="AP119" s="80">
        <f t="shared" si="265"/>
        <v>1.40300000000002</v>
      </c>
      <c r="AQ119" s="80">
        <f t="shared" si="265"/>
        <v>1.2629999999999768</v>
      </c>
      <c r="AR119" s="80">
        <f t="shared" si="265"/>
        <v>1.5109999999999957</v>
      </c>
      <c r="AS119" s="80">
        <f t="shared" si="265"/>
        <v>1.9770000000000039</v>
      </c>
      <c r="AT119" s="452">
        <f t="shared" si="265"/>
        <v>2.0480000000000018</v>
      </c>
      <c r="AU119" s="80">
        <f t="shared" si="265"/>
        <v>1.117999999999995</v>
      </c>
      <c r="AV119" s="80">
        <f t="shared" si="265"/>
        <v>1.2249999999999943</v>
      </c>
      <c r="AW119" s="80">
        <f t="shared" ref="AW119:BC119" si="266">AW120-AW118</f>
        <v>1.25</v>
      </c>
      <c r="AX119" s="80">
        <f t="shared" si="266"/>
        <v>1.3710000000000093</v>
      </c>
      <c r="AY119" s="452">
        <f t="shared" si="266"/>
        <v>1.2410000000000139</v>
      </c>
      <c r="AZ119" s="80">
        <f t="shared" si="266"/>
        <v>1.4569999999999936</v>
      </c>
      <c r="BA119" s="80">
        <f t="shared" si="266"/>
        <v>0</v>
      </c>
      <c r="BB119" s="80">
        <f t="shared" si="266"/>
        <v>1.3249999999999886</v>
      </c>
      <c r="BC119" s="80">
        <f t="shared" si="266"/>
        <v>1.3880000000000052</v>
      </c>
      <c r="BD119" s="452">
        <f>BD120-BD118</f>
        <v>1.0424999999999898</v>
      </c>
      <c r="BE119" s="329">
        <f>BE120-BE118</f>
        <v>1.6430000000000007</v>
      </c>
      <c r="BF119" s="329">
        <f>+BF120-BF118</f>
        <v>1.2460000000000093</v>
      </c>
      <c r="BG119" s="329">
        <f>+BG120-BG118</f>
        <v>1.3410000000000082</v>
      </c>
      <c r="BH119" s="329">
        <f>+BH120-BH118</f>
        <v>1.3340000000000032</v>
      </c>
      <c r="BI119" s="452">
        <f>BI120-BI118</f>
        <v>1.3909999999999911</v>
      </c>
      <c r="BJ119" s="329">
        <f>+BJ120-BJ118</f>
        <v>1.4339999999999975</v>
      </c>
      <c r="BK119" s="329">
        <f>+BK120-BK118</f>
        <v>1.4529999999999745</v>
      </c>
      <c r="BL119" s="329">
        <f>+BL120-BL118</f>
        <v>1.8559999999999945</v>
      </c>
      <c r="BM119" s="329">
        <f>+BM120-BM118</f>
        <v>2.1899999999999977</v>
      </c>
      <c r="BN119" s="452">
        <f>BN120-BN118</f>
        <v>1.7332499999999698</v>
      </c>
      <c r="BO119" s="329">
        <f>+BO120-BO118</f>
        <v>2.1629999999999825</v>
      </c>
      <c r="BP119" s="329">
        <f>+BP120-BP118</f>
        <v>2.4419999999999789</v>
      </c>
      <c r="BQ119" s="329">
        <f>+BQ120-BQ118</f>
        <v>2.2369999999999948</v>
      </c>
      <c r="BR119" s="329">
        <f>+BR120-BR118</f>
        <v>2.2199999999999989</v>
      </c>
      <c r="BS119" s="452">
        <f>BS120-BS118</f>
        <v>2.2654999999999745</v>
      </c>
      <c r="BT119" s="683">
        <f>+BT120-BT118</f>
        <v>2.0569999999999879</v>
      </c>
      <c r="BU119" s="683">
        <f>+BU120-BU118</f>
        <v>2.2639999999999816</v>
      </c>
      <c r="BV119" s="683">
        <f>+BV120-BV118</f>
        <v>2.2820000000000107</v>
      </c>
      <c r="BW119" s="329">
        <f>+BW120-BW118</f>
        <v>2.0730000000000075</v>
      </c>
      <c r="BX119" s="452">
        <f>BX120-BX118</f>
        <v>2.1690000000000111</v>
      </c>
      <c r="BY119" s="329">
        <f t="shared" ref="BY119:CE119" si="267">+BY120-BY118</f>
        <v>2.0649999999999977</v>
      </c>
      <c r="BZ119" s="329">
        <f t="shared" si="267"/>
        <v>2.0029999999999859</v>
      </c>
      <c r="CA119" s="329">
        <f t="shared" si="267"/>
        <v>1.9569999999999936</v>
      </c>
      <c r="CB119" s="329">
        <f t="shared" si="267"/>
        <v>2.0088999999999828</v>
      </c>
      <c r="CC119" s="452">
        <f>CC120-CC118</f>
        <v>2.0084750000000042</v>
      </c>
      <c r="CD119" s="329">
        <f t="shared" si="267"/>
        <v>2.7439999999999998</v>
      </c>
      <c r="CE119" s="329">
        <f t="shared" si="267"/>
        <v>2.2779999999999916</v>
      </c>
      <c r="CF119" s="329">
        <f>+CF120-CF118</f>
        <v>2.6099999999999852</v>
      </c>
      <c r="CG119" s="329">
        <f t="shared" ref="CG119" si="268">+CG120-CG118</f>
        <v>2.8009999999999877</v>
      </c>
      <c r="CH119" s="452">
        <f>CH120-CH118</f>
        <v>2.6082499999999982</v>
      </c>
      <c r="CI119" s="329">
        <f t="shared" ref="CI119:CJ119" si="269">+CI120-CI118</f>
        <v>2.4899999999999807</v>
      </c>
      <c r="CJ119" s="329">
        <f t="shared" si="269"/>
        <v>2.2959999999999923</v>
      </c>
      <c r="CK119" s="84">
        <f>+CF119</f>
        <v>2.6099999999999852</v>
      </c>
      <c r="CL119" s="84">
        <f>+CG119</f>
        <v>2.8009999999999877</v>
      </c>
      <c r="CM119" s="452">
        <f>CM120-CM118</f>
        <v>2.5492499999999723</v>
      </c>
      <c r="CN119" s="84">
        <f>CI119</f>
        <v>2.4899999999999807</v>
      </c>
      <c r="CO119" s="84">
        <f>CJ119</f>
        <v>2.2959999999999923</v>
      </c>
      <c r="CP119" s="84">
        <f>CK119</f>
        <v>2.6099999999999852</v>
      </c>
      <c r="CQ119" s="84">
        <f>CL119</f>
        <v>2.8009999999999877</v>
      </c>
      <c r="CR119" s="452">
        <f>CR120-CR118</f>
        <v>2.5492500000000007</v>
      </c>
      <c r="CS119" s="84">
        <f>CQ119</f>
        <v>2.8009999999999877</v>
      </c>
      <c r="CT119" s="84">
        <f>CS119</f>
        <v>2.8009999999999877</v>
      </c>
      <c r="CU119" s="84">
        <f>CT119</f>
        <v>2.8009999999999877</v>
      </c>
      <c r="CV119" s="84">
        <f>CU119</f>
        <v>2.8009999999999877</v>
      </c>
      <c r="CW119" s="452">
        <f>CW120-CW118</f>
        <v>2.8009999999999593</v>
      </c>
      <c r="CX119" s="84">
        <f>CV119</f>
        <v>2.8009999999999877</v>
      </c>
      <c r="CY119" s="84">
        <f>CX119</f>
        <v>2.8009999999999877</v>
      </c>
      <c r="CZ119" s="84">
        <f>CY119</f>
        <v>2.8009999999999877</v>
      </c>
      <c r="DA119" s="84">
        <f>CZ119</f>
        <v>2.8009999999999877</v>
      </c>
      <c r="DB119" s="452">
        <f>DB120-DB118</f>
        <v>2.8010000000000161</v>
      </c>
      <c r="DC119" s="84">
        <f>DA119</f>
        <v>2.8009999999999877</v>
      </c>
      <c r="DD119" s="84">
        <f>DC119</f>
        <v>2.8009999999999877</v>
      </c>
      <c r="DE119" s="84">
        <f>DD119</f>
        <v>2.8009999999999877</v>
      </c>
      <c r="DF119" s="84">
        <f>DE119</f>
        <v>2.8009999999999877</v>
      </c>
      <c r="DG119" s="452">
        <f>DG120-DG118</f>
        <v>2.8009999999999593</v>
      </c>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row>
    <row r="120" spans="1:226" s="83" customFormat="1" hidden="1" outlineLevel="1" x14ac:dyDescent="0.2">
      <c r="A120" s="79" t="s">
        <v>122</v>
      </c>
      <c r="B120" s="82">
        <v>238.6</v>
      </c>
      <c r="C120" s="82">
        <v>239.1</v>
      </c>
      <c r="D120" s="82">
        <v>239.8</v>
      </c>
      <c r="E120" s="82">
        <v>240.2</v>
      </c>
      <c r="F120" s="463">
        <v>239.5</v>
      </c>
      <c r="G120" s="82">
        <f>G98</f>
        <v>238.1</v>
      </c>
      <c r="H120" s="82">
        <f t="shared" ref="H120:AX120" si="270">H98</f>
        <v>235.9</v>
      </c>
      <c r="I120" s="82">
        <f t="shared" si="270"/>
        <v>234.6</v>
      </c>
      <c r="J120" s="82">
        <f t="shared" si="270"/>
        <v>231.3</v>
      </c>
      <c r="K120" s="463">
        <f t="shared" si="270"/>
        <v>234.7</v>
      </c>
      <c r="L120" s="82">
        <f t="shared" si="270"/>
        <v>224.1</v>
      </c>
      <c r="M120" s="82">
        <f t="shared" si="270"/>
        <v>220.8</v>
      </c>
      <c r="N120" s="82">
        <f t="shared" si="270"/>
        <v>218.7</v>
      </c>
      <c r="O120" s="82">
        <f t="shared" si="270"/>
        <v>217.7</v>
      </c>
      <c r="P120" s="463">
        <f t="shared" si="270"/>
        <v>220.69200000000001</v>
      </c>
      <c r="Q120" s="82">
        <f t="shared" si="270"/>
        <v>214.80699999999999</v>
      </c>
      <c r="R120" s="82">
        <f t="shared" si="270"/>
        <v>212.959</v>
      </c>
      <c r="S120" s="82">
        <f t="shared" si="270"/>
        <v>213.60599999999999</v>
      </c>
      <c r="T120" s="82">
        <f t="shared" si="270"/>
        <v>214.77</v>
      </c>
      <c r="U120" s="463">
        <f t="shared" si="270"/>
        <v>214.37100000000001</v>
      </c>
      <c r="V120" s="82">
        <f t="shared" si="270"/>
        <v>215.11699999999999</v>
      </c>
      <c r="W120" s="82">
        <f t="shared" si="270"/>
        <v>189.80600000000001</v>
      </c>
      <c r="X120" s="82">
        <f t="shared" si="270"/>
        <v>156.10400000000001</v>
      </c>
      <c r="Y120" s="82">
        <f t="shared" si="270"/>
        <v>155.059</v>
      </c>
      <c r="Z120" s="463">
        <f t="shared" si="270"/>
        <v>179.17599999999999</v>
      </c>
      <c r="AA120" s="82">
        <f t="shared" si="270"/>
        <v>152.88200000000001</v>
      </c>
      <c r="AB120" s="82">
        <f t="shared" si="270"/>
        <v>152.26400000000001</v>
      </c>
      <c r="AC120" s="82">
        <f t="shared" si="270"/>
        <v>152.905</v>
      </c>
      <c r="AD120" s="82">
        <f t="shared" si="270"/>
        <v>153.489</v>
      </c>
      <c r="AE120" s="463">
        <f t="shared" si="270"/>
        <v>153.001</v>
      </c>
      <c r="AF120" s="82">
        <f t="shared" si="270"/>
        <v>153.56800000000001</v>
      </c>
      <c r="AG120" s="82">
        <f t="shared" si="270"/>
        <v>153.88499999999999</v>
      </c>
      <c r="AH120" s="82">
        <f t="shared" si="270"/>
        <v>153.97</v>
      </c>
      <c r="AI120" s="82">
        <f t="shared" si="270"/>
        <v>154.309</v>
      </c>
      <c r="AJ120" s="463">
        <f t="shared" si="270"/>
        <v>153.935</v>
      </c>
      <c r="AK120" s="82">
        <f t="shared" si="270"/>
        <v>146.12700000000001</v>
      </c>
      <c r="AL120" s="82">
        <f t="shared" si="270"/>
        <v>141.02600000000001</v>
      </c>
      <c r="AM120" s="82">
        <f t="shared" si="270"/>
        <v>140.30000000000001</v>
      </c>
      <c r="AN120" s="82">
        <f t="shared" si="270"/>
        <v>140.20599999999999</v>
      </c>
      <c r="AO120" s="463">
        <f t="shared" si="270"/>
        <v>142.00399999999999</v>
      </c>
      <c r="AP120" s="82">
        <f t="shared" si="270"/>
        <v>139.86000000000001</v>
      </c>
      <c r="AQ120" s="82">
        <f t="shared" si="270"/>
        <v>140.34899999999999</v>
      </c>
      <c r="AR120" s="82">
        <f t="shared" si="270"/>
        <v>140.72399999999999</v>
      </c>
      <c r="AS120" s="82">
        <f t="shared" si="270"/>
        <v>141.28</v>
      </c>
      <c r="AT120" s="453">
        <f t="shared" si="270"/>
        <v>141.06299999999999</v>
      </c>
      <c r="AU120" s="82">
        <f t="shared" si="270"/>
        <v>140.86099999999999</v>
      </c>
      <c r="AV120" s="82">
        <f t="shared" si="270"/>
        <v>141.52799999999999</v>
      </c>
      <c r="AW120" s="82">
        <f t="shared" si="270"/>
        <v>142.01400000000001</v>
      </c>
      <c r="AX120" s="82">
        <f t="shared" si="270"/>
        <v>141.65100000000001</v>
      </c>
      <c r="AY120" s="453">
        <f>AVERAGE(AU120:AX120)</f>
        <v>141.51350000000002</v>
      </c>
      <c r="AZ120" s="82">
        <f>AZ98</f>
        <v>140.93199999999999</v>
      </c>
      <c r="BA120" s="82">
        <f>BA98</f>
        <v>138.678</v>
      </c>
      <c r="BB120" s="82">
        <f>BB98</f>
        <v>137.68899999999999</v>
      </c>
      <c r="BC120" s="82">
        <f>BC98</f>
        <v>133.667</v>
      </c>
      <c r="BD120" s="453">
        <f>AVERAGE(AZ120:BC120)</f>
        <v>137.7415</v>
      </c>
      <c r="BE120" s="82">
        <f>BE98</f>
        <v>133.61099999999999</v>
      </c>
      <c r="BF120" s="82">
        <f>+BF98</f>
        <v>132.358</v>
      </c>
      <c r="BG120" s="82">
        <f>+BG98</f>
        <v>131.607</v>
      </c>
      <c r="BH120" s="82">
        <f>+BH98</f>
        <v>131.39500000000001</v>
      </c>
      <c r="BI120" s="453">
        <f>AVERAGE(BE120:BH120)</f>
        <v>132.24275</v>
      </c>
      <c r="BJ120" s="82">
        <f>+BJ98</f>
        <v>131.702</v>
      </c>
      <c r="BK120" s="82">
        <f>+BK98</f>
        <v>132.44399999999999</v>
      </c>
      <c r="BL120" s="82">
        <f>+BL98</f>
        <v>133.47499999999999</v>
      </c>
      <c r="BM120" s="82">
        <f>+BM98</f>
        <v>133.61199999999999</v>
      </c>
      <c r="BN120" s="453">
        <f>AVERAGE(BJ120:BM120)</f>
        <v>132.80824999999999</v>
      </c>
      <c r="BO120" s="82">
        <f>+BO98</f>
        <v>132.23699999999999</v>
      </c>
      <c r="BP120" s="82">
        <f>+BP98</f>
        <v>132.27799999999999</v>
      </c>
      <c r="BQ120" s="82">
        <f>+BQ98</f>
        <v>131.55500000000001</v>
      </c>
      <c r="BR120" s="82">
        <f>+BR98</f>
        <v>131.22499999999999</v>
      </c>
      <c r="BS120" s="453">
        <f>AVERAGE(BO120:BR120)</f>
        <v>131.82374999999999</v>
      </c>
      <c r="BT120" s="82">
        <f>+BT98</f>
        <v>131.369</v>
      </c>
      <c r="BU120" s="82">
        <f>+BU98</f>
        <v>132.81899999999999</v>
      </c>
      <c r="BV120" s="82">
        <f>+BV98</f>
        <v>134.11500000000001</v>
      </c>
      <c r="BW120" s="82">
        <f>+BW98</f>
        <v>131.614</v>
      </c>
      <c r="BX120" s="453">
        <f>AVERAGE(BT120:BW120)</f>
        <v>132.47925000000001</v>
      </c>
      <c r="BY120" s="82">
        <f t="shared" ref="BY120:CE120" si="271">+BY98</f>
        <v>131.22</v>
      </c>
      <c r="BZ120" s="82">
        <f t="shared" si="271"/>
        <v>131.54599999999999</v>
      </c>
      <c r="CA120" s="82">
        <f t="shared" si="271"/>
        <v>131.64699999999999</v>
      </c>
      <c r="CB120" s="82">
        <f t="shared" si="271"/>
        <v>131.51089999999999</v>
      </c>
      <c r="CC120" s="453">
        <f>AVERAGE(BY120:CB120)</f>
        <v>131.480975</v>
      </c>
      <c r="CD120" s="82">
        <f t="shared" si="271"/>
        <v>132.19300000000001</v>
      </c>
      <c r="CE120" s="82">
        <f t="shared" si="271"/>
        <v>130.77500000000001</v>
      </c>
      <c r="CF120" s="82">
        <f>+CF98</f>
        <v>131.36199999999999</v>
      </c>
      <c r="CG120" s="82">
        <f t="shared" ref="CG120" si="272">+CG98</f>
        <v>131.91399999999999</v>
      </c>
      <c r="CH120" s="453">
        <f>AVERAGE(CD120:CG120)</f>
        <v>131.56100000000001</v>
      </c>
      <c r="CI120" s="82">
        <f t="shared" ref="CI120:CJ120" si="273">+CI98</f>
        <v>131.50899999999999</v>
      </c>
      <c r="CJ120" s="82">
        <f t="shared" si="273"/>
        <v>131.655</v>
      </c>
      <c r="CK120" s="506">
        <f>CK118+CK119</f>
        <v>131.60811999999999</v>
      </c>
      <c r="CL120" s="506">
        <f>CL118+CL119</f>
        <v>130.88711999999998</v>
      </c>
      <c r="CM120" s="453">
        <f>AVERAGE(CI120:CL120)</f>
        <v>131.41480999999999</v>
      </c>
      <c r="CN120" s="506">
        <f>CN118+CN119</f>
        <v>129.73911999999999</v>
      </c>
      <c r="CO120" s="506">
        <f>CO118+CO119</f>
        <v>128.99511999999999</v>
      </c>
      <c r="CP120" s="506">
        <f>CP118+CP119</f>
        <v>128.75912</v>
      </c>
      <c r="CQ120" s="506">
        <f>CQ118+CQ119</f>
        <v>128.40011999999999</v>
      </c>
      <c r="CR120" s="453">
        <f>AVERAGE(CN120:CQ120)</f>
        <v>128.97336999999999</v>
      </c>
      <c r="CS120" s="506">
        <f>CS118+CS119</f>
        <v>127.85012</v>
      </c>
      <c r="CT120" s="506">
        <f>CT118+CT119</f>
        <v>127.30011999999999</v>
      </c>
      <c r="CU120" s="506">
        <f>CU118+CU119</f>
        <v>126.75012000000001</v>
      </c>
      <c r="CV120" s="506">
        <f>CV118+CV119</f>
        <v>126.20012</v>
      </c>
      <c r="CW120" s="453">
        <f>AVERAGE(CS120:CV120)</f>
        <v>127.02511999999999</v>
      </c>
      <c r="CX120" s="506">
        <f>CX118+CX119</f>
        <v>125.65012000000002</v>
      </c>
      <c r="CY120" s="506">
        <f>CY118+CY119</f>
        <v>125.10012</v>
      </c>
      <c r="CZ120" s="506">
        <f>CZ118+CZ119</f>
        <v>124.55012000000002</v>
      </c>
      <c r="DA120" s="506">
        <f>DA118+DA119</f>
        <v>124.00012000000001</v>
      </c>
      <c r="DB120" s="453">
        <f>AVERAGE(CX120:DA120)</f>
        <v>124.82512000000003</v>
      </c>
      <c r="DC120" s="506">
        <f>DC118+DC119</f>
        <v>123.45012000000003</v>
      </c>
      <c r="DD120" s="506">
        <f>DD118+DD119</f>
        <v>122.90012000000002</v>
      </c>
      <c r="DE120" s="506">
        <f>DE118+DE119</f>
        <v>122.35012000000003</v>
      </c>
      <c r="DF120" s="506">
        <f>DF118+DF119</f>
        <v>121.80012000000002</v>
      </c>
      <c r="DG120" s="453">
        <f>AVERAGE(DC120:DF120)</f>
        <v>122.62512000000001</v>
      </c>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c r="HB120"/>
      <c r="HC120"/>
      <c r="HD120"/>
      <c r="HE120"/>
      <c r="HF120"/>
      <c r="HG120"/>
      <c r="HH120"/>
      <c r="HI120"/>
      <c r="HJ120"/>
      <c r="HK120"/>
      <c r="HL120"/>
      <c r="HM120"/>
      <c r="HN120"/>
      <c r="HO120"/>
      <c r="HP120"/>
      <c r="HQ120"/>
      <c r="HR120"/>
    </row>
    <row r="121" spans="1:226" s="53" customFormat="1" hidden="1" outlineLevel="1" x14ac:dyDescent="0.2">
      <c r="A121" s="18"/>
      <c r="B121" s="47"/>
      <c r="C121" s="47"/>
      <c r="D121" s="47"/>
      <c r="E121" s="47"/>
      <c r="F121" s="454"/>
      <c r="G121" s="47"/>
      <c r="H121" s="47"/>
      <c r="I121" s="47"/>
      <c r="J121" s="47"/>
      <c r="K121" s="454"/>
      <c r="L121" s="47"/>
      <c r="M121" s="47"/>
      <c r="N121" s="47"/>
      <c r="O121" s="47"/>
      <c r="P121" s="454"/>
      <c r="Q121" s="47"/>
      <c r="R121" s="47"/>
      <c r="S121" s="47"/>
      <c r="T121" s="47"/>
      <c r="U121" s="454"/>
      <c r="V121" s="47"/>
      <c r="W121" s="47"/>
      <c r="X121" s="47"/>
      <c r="Y121" s="47"/>
      <c r="Z121" s="454"/>
      <c r="AA121" s="47"/>
      <c r="AB121" s="47"/>
      <c r="AC121" s="47"/>
      <c r="AD121" s="47"/>
      <c r="AE121" s="454"/>
      <c r="AF121" s="47"/>
      <c r="AG121" s="47"/>
      <c r="AH121" s="47"/>
      <c r="AI121" s="47"/>
      <c r="AJ121" s="454"/>
      <c r="AK121" s="81"/>
      <c r="AL121" s="81"/>
      <c r="AM121" s="81"/>
      <c r="AN121" s="81"/>
      <c r="AO121" s="454"/>
      <c r="AP121" s="81"/>
      <c r="AQ121" s="81"/>
      <c r="AR121" s="81"/>
      <c r="AS121" s="81"/>
      <c r="AT121" s="454"/>
      <c r="AU121" s="81"/>
      <c r="AV121" s="81"/>
      <c r="AW121" s="54"/>
      <c r="AX121" s="54"/>
      <c r="AY121" s="454"/>
      <c r="AZ121" s="54"/>
      <c r="BA121" s="54"/>
      <c r="BB121" s="54"/>
      <c r="BC121" s="54"/>
      <c r="BD121" s="454"/>
      <c r="BE121" s="54"/>
      <c r="BF121" s="54"/>
      <c r="BG121" s="54"/>
      <c r="BH121" s="54"/>
      <c r="BI121" s="454"/>
      <c r="BJ121" s="54"/>
      <c r="BK121" s="54"/>
      <c r="BL121" s="54"/>
      <c r="BM121" s="54"/>
      <c r="BN121" s="454"/>
      <c r="BO121" s="54"/>
      <c r="BP121" s="54"/>
      <c r="BQ121" s="54"/>
      <c r="BR121" s="54"/>
      <c r="BS121" s="454"/>
      <c r="BT121" s="684"/>
      <c r="BU121" s="54"/>
      <c r="BV121" s="54"/>
      <c r="BW121" s="54"/>
      <c r="BX121" s="454"/>
      <c r="BY121" s="54"/>
      <c r="BZ121" s="54"/>
      <c r="CA121" s="54"/>
      <c r="CB121" s="54"/>
      <c r="CC121" s="454"/>
      <c r="CD121" s="54"/>
      <c r="CE121" s="54"/>
      <c r="CF121" s="54"/>
      <c r="CG121" s="54"/>
      <c r="CH121" s="454"/>
      <c r="CI121" s="54"/>
      <c r="CJ121" s="54"/>
      <c r="CK121" s="54"/>
      <c r="CL121" s="54"/>
      <c r="CM121" s="454"/>
      <c r="CN121" s="54"/>
      <c r="CO121" s="54"/>
      <c r="CP121" s="54"/>
      <c r="CQ121" s="54"/>
      <c r="CR121" s="454"/>
      <c r="CS121" s="54"/>
      <c r="CT121" s="54"/>
      <c r="CU121" s="54"/>
      <c r="CV121" s="54"/>
      <c r="CW121" s="454"/>
      <c r="CX121" s="54"/>
      <c r="CY121" s="54"/>
      <c r="CZ121" s="54"/>
      <c r="DA121" s="54"/>
      <c r="DB121" s="454"/>
      <c r="DC121" s="54"/>
      <c r="DD121" s="54"/>
      <c r="DE121" s="54"/>
      <c r="DF121" s="54"/>
      <c r="DG121" s="454"/>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c r="HB121"/>
      <c r="HC121"/>
      <c r="HD121"/>
      <c r="HE121"/>
      <c r="HF121"/>
      <c r="HG121"/>
      <c r="HH121"/>
      <c r="HI121"/>
      <c r="HJ121"/>
      <c r="HK121"/>
      <c r="HL121"/>
      <c r="HM121"/>
      <c r="HN121"/>
      <c r="HO121"/>
      <c r="HP121"/>
      <c r="HQ121"/>
      <c r="HR121"/>
    </row>
    <row r="122" spans="1:226" s="19" customFormat="1" hidden="1" outlineLevel="1" x14ac:dyDescent="0.2">
      <c r="A122" s="128" t="s">
        <v>201</v>
      </c>
      <c r="F122" s="455"/>
      <c r="K122" s="455"/>
      <c r="P122" s="455"/>
      <c r="U122" s="455"/>
      <c r="Z122" s="455"/>
      <c r="AE122" s="455"/>
      <c r="AJ122" s="455"/>
      <c r="AO122" s="455"/>
      <c r="AT122" s="455"/>
      <c r="AY122" s="455"/>
      <c r="BD122" s="494"/>
      <c r="BI122" s="494"/>
      <c r="BN122" s="494"/>
      <c r="BS122" s="494"/>
      <c r="BT122" s="685"/>
      <c r="BX122" s="455"/>
      <c r="CC122" s="455"/>
      <c r="CH122" s="455"/>
      <c r="CM122" s="455"/>
      <c r="CR122" s="455"/>
      <c r="CW122" s="455"/>
      <c r="DB122" s="455"/>
      <c r="DG122" s="455"/>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c r="HB122"/>
      <c r="HC122"/>
      <c r="HD122"/>
      <c r="HE122"/>
      <c r="HF122"/>
      <c r="HG122"/>
      <c r="HH122"/>
      <c r="HI122"/>
      <c r="HJ122"/>
      <c r="HK122"/>
      <c r="HL122"/>
      <c r="HM122"/>
      <c r="HN122"/>
      <c r="HO122"/>
      <c r="HP122"/>
      <c r="HQ122"/>
      <c r="HR122"/>
    </row>
    <row r="123" spans="1:226" s="19" customFormat="1" hidden="1" outlineLevel="1" x14ac:dyDescent="0.2">
      <c r="A123" s="80" t="s">
        <v>200</v>
      </c>
      <c r="B123" s="130"/>
      <c r="C123" s="130"/>
      <c r="D123" s="130"/>
      <c r="E123" s="130"/>
      <c r="F123" s="462"/>
      <c r="G123" s="130">
        <v>4</v>
      </c>
      <c r="H123" s="130">
        <v>0.08</v>
      </c>
      <c r="I123" s="130">
        <v>3.4</v>
      </c>
      <c r="J123" s="130">
        <v>2.5</v>
      </c>
      <c r="K123" s="462">
        <f>SUM(G123:J123)</f>
        <v>9.98</v>
      </c>
      <c r="L123" s="130">
        <v>3.4</v>
      </c>
      <c r="M123" s="130">
        <v>3.8</v>
      </c>
      <c r="N123" s="130">
        <v>1</v>
      </c>
      <c r="O123" s="130">
        <v>3.5</v>
      </c>
      <c r="P123" s="462">
        <f>SUM(L123:O123)</f>
        <v>11.7</v>
      </c>
      <c r="Q123" s="130">
        <v>3.3</v>
      </c>
      <c r="R123" s="130">
        <v>1.6</v>
      </c>
      <c r="S123" s="130">
        <v>0</v>
      </c>
      <c r="T123" s="130">
        <v>0</v>
      </c>
      <c r="U123" s="462">
        <f>SUM(Q123:T123)</f>
        <v>4.9000000000000004</v>
      </c>
      <c r="V123" s="130">
        <v>0</v>
      </c>
      <c r="W123" s="130">
        <v>61.4</v>
      </c>
      <c r="X123" s="130">
        <v>0</v>
      </c>
      <c r="Y123" s="130">
        <v>3</v>
      </c>
      <c r="Z123" s="462">
        <f>SUM(V123:Y123)</f>
        <v>64.400000000000006</v>
      </c>
      <c r="AA123" s="130">
        <v>1.6</v>
      </c>
      <c r="AB123" s="130">
        <v>0.83399999999999996</v>
      </c>
      <c r="AC123" s="130">
        <v>0</v>
      </c>
      <c r="AD123" s="130">
        <v>2.516E-3</v>
      </c>
      <c r="AE123" s="462">
        <f>SUM(AA123:AD123)</f>
        <v>2.4365160000000001</v>
      </c>
      <c r="AF123" s="130">
        <v>0.3</v>
      </c>
      <c r="AG123" s="130">
        <v>1.1000000000000001</v>
      </c>
      <c r="AH123" s="130">
        <v>4.0293999999999996E-2</v>
      </c>
      <c r="AI123" s="130">
        <v>1</v>
      </c>
      <c r="AJ123" s="462">
        <f>SUM(AF123:AI123)</f>
        <v>2.4402940000000002</v>
      </c>
      <c r="AK123" s="130">
        <v>12.987845</v>
      </c>
      <c r="AL123" s="130">
        <v>2.3889000000000001E-2</v>
      </c>
      <c r="AM123" s="130">
        <v>1.1380450000000002</v>
      </c>
      <c r="AN123" s="130">
        <v>5.2890000000000003E-3</v>
      </c>
      <c r="AO123" s="462">
        <f>SUM(AK123:AN123)</f>
        <v>14.155068</v>
      </c>
      <c r="AP123" s="130">
        <v>0</v>
      </c>
      <c r="AQ123" s="130">
        <v>1.4629E-2</v>
      </c>
      <c r="AR123" s="130">
        <v>1.4629E-2</v>
      </c>
      <c r="AS123" s="130">
        <v>1.4629E-2</v>
      </c>
      <c r="AT123" s="462">
        <f>SUM(AP123:AS123)</f>
        <v>4.3886999999999995E-2</v>
      </c>
      <c r="AU123" s="19">
        <v>0</v>
      </c>
      <c r="AV123" s="19">
        <v>0</v>
      </c>
      <c r="AW123" s="19">
        <v>0</v>
      </c>
      <c r="AX123" s="577">
        <v>2.4</v>
      </c>
      <c r="AY123" s="462">
        <f>SUM(AU123:AX123)</f>
        <v>2.4</v>
      </c>
      <c r="AZ123" s="577">
        <v>5.8000000000000003E-2</v>
      </c>
      <c r="BA123" s="577">
        <v>2.1</v>
      </c>
      <c r="BB123" s="577">
        <v>5</v>
      </c>
      <c r="BC123" s="577">
        <v>2.7</v>
      </c>
      <c r="BD123" s="594">
        <f>SUM(AZ123:BC123)</f>
        <v>9.8580000000000005</v>
      </c>
      <c r="BE123" s="577">
        <v>0.129</v>
      </c>
      <c r="BF123" s="577">
        <v>2.2999999999999998</v>
      </c>
      <c r="BG123" s="577">
        <v>0</v>
      </c>
      <c r="BH123" s="577">
        <f>BI123-BE123-BF123-BG123</f>
        <v>1</v>
      </c>
      <c r="BI123" s="594">
        <v>3.4289999999999998</v>
      </c>
      <c r="BJ123" s="577">
        <v>0</v>
      </c>
      <c r="BK123" s="577">
        <v>0</v>
      </c>
      <c r="BL123" s="577">
        <f>4.798/1000000</f>
        <v>4.7979999999999996E-6</v>
      </c>
      <c r="BM123" s="577">
        <v>1.4997750000000001</v>
      </c>
      <c r="BN123" s="594">
        <f>SUM(BJ123:BM123)</f>
        <v>1.4997797980000001</v>
      </c>
      <c r="BO123" s="577">
        <v>1.6</v>
      </c>
      <c r="BP123" s="656">
        <v>0</v>
      </c>
      <c r="BQ123" s="656">
        <v>0</v>
      </c>
      <c r="BR123" s="656">
        <f>+BS123-SUM(BO123:BQ123)</f>
        <v>1.4459999999999997</v>
      </c>
      <c r="BS123" s="657">
        <v>3.0459999999999998</v>
      </c>
      <c r="BT123" s="656">
        <v>8.5000000000000006E-2</v>
      </c>
      <c r="BU123" s="656">
        <v>0</v>
      </c>
      <c r="BV123" s="656">
        <v>1.4</v>
      </c>
      <c r="BW123" s="656">
        <f>BX123-BT123-BU123-BV123</f>
        <v>2.5310000000000001</v>
      </c>
      <c r="BX123" s="657">
        <v>4.016</v>
      </c>
      <c r="BY123" s="656">
        <v>1</v>
      </c>
      <c r="BZ123" s="656">
        <v>0.3</v>
      </c>
      <c r="CA123" s="656">
        <v>0.59513300000000002</v>
      </c>
      <c r="CB123" s="656">
        <f>CC123-BY123-BZ123-CA123</f>
        <v>0.25586699999999973</v>
      </c>
      <c r="CC123" s="657">
        <v>2.1509999999999998</v>
      </c>
      <c r="CD123" s="656">
        <v>0.88300000000000001</v>
      </c>
      <c r="CE123" s="656">
        <v>0.57199999999999995</v>
      </c>
      <c r="CF123" s="656">
        <v>0</v>
      </c>
      <c r="CG123" s="656">
        <f>CH123-CD123-CE123-CF123</f>
        <v>4.9999999999999933E-2</v>
      </c>
      <c r="CH123" s="657">
        <v>1.5049999999999999</v>
      </c>
      <c r="CI123" s="656">
        <v>0.45</v>
      </c>
      <c r="CJ123" s="656">
        <v>2.5999999999999999E-2</v>
      </c>
      <c r="CK123" s="143">
        <v>1.2</v>
      </c>
      <c r="CL123" s="143">
        <f>CM123-CI123-CJ123-CK123</f>
        <v>1.3240000000000001</v>
      </c>
      <c r="CM123" s="456">
        <v>3</v>
      </c>
      <c r="CN123" s="143">
        <f>CR123/4</f>
        <v>0.75</v>
      </c>
      <c r="CO123" s="143">
        <f>CR123/4</f>
        <v>0.75</v>
      </c>
      <c r="CP123" s="143">
        <f>CR123/4</f>
        <v>0.75</v>
      </c>
      <c r="CQ123" s="143">
        <f>CR123-CN123-CO123-CP123</f>
        <v>0.75</v>
      </c>
      <c r="CR123" s="456">
        <f>CM123</f>
        <v>3</v>
      </c>
      <c r="CS123" s="143">
        <f>CW123/4</f>
        <v>0.75</v>
      </c>
      <c r="CT123" s="143">
        <f>CW123/4</f>
        <v>0.75</v>
      </c>
      <c r="CU123" s="143">
        <f>CW123/4</f>
        <v>0.75</v>
      </c>
      <c r="CV123" s="143">
        <f>CW123-CS123-CT123-CU123</f>
        <v>0.75</v>
      </c>
      <c r="CW123" s="456">
        <f>CR123</f>
        <v>3</v>
      </c>
      <c r="CX123" s="143">
        <f>DB123/4</f>
        <v>0.75</v>
      </c>
      <c r="CY123" s="143">
        <f>DB123/4</f>
        <v>0.75</v>
      </c>
      <c r="CZ123" s="143">
        <f>DB123/4</f>
        <v>0.75</v>
      </c>
      <c r="DA123" s="143">
        <f>DB123-CX123-CY123-CZ123</f>
        <v>0.75</v>
      </c>
      <c r="DB123" s="456">
        <f>CW123</f>
        <v>3</v>
      </c>
      <c r="DC123" s="143">
        <f>DG123/4</f>
        <v>0.75</v>
      </c>
      <c r="DD123" s="143">
        <f>DG123/4</f>
        <v>0.75</v>
      </c>
      <c r="DE123" s="143">
        <f>DG123/4</f>
        <v>0.75</v>
      </c>
      <c r="DF123" s="143">
        <f>DG123-DC123-DD123-DE123</f>
        <v>0.75</v>
      </c>
      <c r="DG123" s="456">
        <f>DB123</f>
        <v>3</v>
      </c>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c r="HB123"/>
      <c r="HC123"/>
      <c r="HD123"/>
      <c r="HE123"/>
      <c r="HF123"/>
      <c r="HG123"/>
      <c r="HH123"/>
      <c r="HI123"/>
      <c r="HJ123"/>
      <c r="HK123"/>
      <c r="HL123"/>
      <c r="HM123"/>
      <c r="HN123"/>
      <c r="HO123"/>
      <c r="HP123"/>
      <c r="HQ123"/>
      <c r="HR123"/>
    </row>
    <row r="124" spans="1:226" s="19" customFormat="1" hidden="1" outlineLevel="1" x14ac:dyDescent="0.2">
      <c r="A124" s="80" t="s">
        <v>181</v>
      </c>
      <c r="B124" s="129"/>
      <c r="C124" s="129"/>
      <c r="D124" s="136"/>
      <c r="E124" s="129"/>
      <c r="F124" s="464"/>
      <c r="G124" s="129">
        <f t="shared" ref="G124:R124" si="274">-G125/G123</f>
        <v>39.75</v>
      </c>
      <c r="H124" s="129">
        <f t="shared" si="274"/>
        <v>37.5</v>
      </c>
      <c r="I124" s="136">
        <f t="shared" si="274"/>
        <v>39.411764705882355</v>
      </c>
      <c r="J124" s="129">
        <f t="shared" si="274"/>
        <v>46.4</v>
      </c>
      <c r="K124" s="464">
        <f t="shared" si="274"/>
        <v>41.282565130260522</v>
      </c>
      <c r="L124" s="129">
        <f t="shared" si="274"/>
        <v>40.588235294117645</v>
      </c>
      <c r="M124" s="129">
        <f t="shared" si="274"/>
        <v>44.473684210526315</v>
      </c>
      <c r="N124" s="136">
        <f t="shared" si="274"/>
        <v>41</v>
      </c>
      <c r="O124" s="129">
        <f t="shared" si="274"/>
        <v>39.428571428571431</v>
      </c>
      <c r="P124" s="464">
        <f t="shared" si="274"/>
        <v>41.53846153846154</v>
      </c>
      <c r="Q124" s="129">
        <f t="shared" si="274"/>
        <v>44.545454545454547</v>
      </c>
      <c r="R124" s="129">
        <f t="shared" si="274"/>
        <v>45.625</v>
      </c>
      <c r="S124" s="136" t="str">
        <f>IF(S125=0,"NA",-S125/S123)</f>
        <v>NA</v>
      </c>
      <c r="T124" s="129" t="str">
        <f t="shared" ref="T124:AT124" si="275">IF(T125=0,"NA",-T125/T123)</f>
        <v>NA</v>
      </c>
      <c r="U124" s="464">
        <f t="shared" si="275"/>
        <v>44.897959183673464</v>
      </c>
      <c r="V124" s="129" t="str">
        <f t="shared" si="275"/>
        <v>NA</v>
      </c>
      <c r="W124" s="129">
        <v>46.25</v>
      </c>
      <c r="X124" s="136">
        <v>46.25</v>
      </c>
      <c r="Y124" s="129">
        <f t="shared" si="275"/>
        <v>53.333333333333336</v>
      </c>
      <c r="Z124" s="464">
        <v>46.75</v>
      </c>
      <c r="AA124" s="129">
        <f t="shared" si="275"/>
        <v>56.25</v>
      </c>
      <c r="AB124" s="129">
        <f t="shared" si="275"/>
        <v>53.956834532374103</v>
      </c>
      <c r="AC124" s="136" t="str">
        <f t="shared" si="275"/>
        <v>NA</v>
      </c>
      <c r="AD124" s="129" t="str">
        <f t="shared" si="275"/>
        <v>NA</v>
      </c>
      <c r="AE124" s="464">
        <f t="shared" si="275"/>
        <v>55.40698275734696</v>
      </c>
      <c r="AF124" s="129">
        <f t="shared" si="275"/>
        <v>66.666666666666671</v>
      </c>
      <c r="AG124" s="129">
        <f t="shared" si="275"/>
        <v>62.72727272727272</v>
      </c>
      <c r="AH124" s="136" t="str">
        <f t="shared" si="275"/>
        <v>NA</v>
      </c>
      <c r="AI124" s="129">
        <f t="shared" si="275"/>
        <v>66</v>
      </c>
      <c r="AJ124" s="464">
        <f t="shared" si="275"/>
        <v>63.516936893669367</v>
      </c>
      <c r="AK124" s="129">
        <f t="shared" si="275"/>
        <v>66.831718425959039</v>
      </c>
      <c r="AL124" s="136" t="str">
        <f t="shared" si="275"/>
        <v>NA</v>
      </c>
      <c r="AM124" s="136" t="str">
        <f t="shared" si="275"/>
        <v>NA</v>
      </c>
      <c r="AN124" s="136" t="str">
        <f t="shared" si="275"/>
        <v>NA</v>
      </c>
      <c r="AO124" s="464">
        <f t="shared" si="275"/>
        <v>61.320793372380834</v>
      </c>
      <c r="AP124" s="136" t="str">
        <f t="shared" si="275"/>
        <v>NA</v>
      </c>
      <c r="AQ124" s="136" t="str">
        <f t="shared" si="275"/>
        <v>NA</v>
      </c>
      <c r="AR124" s="136" t="str">
        <f t="shared" si="275"/>
        <v>NA</v>
      </c>
      <c r="AS124" s="136" t="str">
        <f t="shared" si="275"/>
        <v>NA</v>
      </c>
      <c r="AT124" s="457" t="str">
        <f t="shared" si="275"/>
        <v>NA</v>
      </c>
      <c r="AU124" s="136" t="str">
        <f>IF(AU125=0,"NA",-AU125/AU123)</f>
        <v>NA</v>
      </c>
      <c r="AV124" s="136" t="str">
        <f>IF(AV125=0,"NA",-AV125/AV123)</f>
        <v>NA</v>
      </c>
      <c r="AW124" s="136" t="str">
        <f ca="1">IF(AW125=0,"NA",-AW125/AW123)</f>
        <v>NA</v>
      </c>
      <c r="AX124" s="578">
        <f>-AX125/AX123</f>
        <v>62.5</v>
      </c>
      <c r="AY124" s="457">
        <f ca="1">IF(AY125=0,"NA",-AY125/AY123)</f>
        <v>62.5</v>
      </c>
      <c r="AZ124" s="578">
        <f>-AZ125/AZ123</f>
        <v>68.965517241379303</v>
      </c>
      <c r="BA124" s="578">
        <f>-BA125/BA123</f>
        <v>61.904761904761905</v>
      </c>
      <c r="BB124" s="578">
        <f>-BB125/BB123</f>
        <v>67.599999999999994</v>
      </c>
      <c r="BC124" s="578">
        <f>-BC125/BC123</f>
        <v>67.777777777777771</v>
      </c>
      <c r="BD124" s="457">
        <f>IF(BD125=0,"NA",-BD125/BD123)</f>
        <v>66.443497666869547</v>
      </c>
      <c r="BE124" s="578">
        <f>-BE125/BE123</f>
        <v>69.767441860465112</v>
      </c>
      <c r="BF124" s="578">
        <f>-BF125/BF123</f>
        <v>64.782608695652172</v>
      </c>
      <c r="BG124" s="578">
        <v>67</v>
      </c>
      <c r="BH124" s="578">
        <f>-BH125/BH123</f>
        <v>67</v>
      </c>
      <c r="BI124" s="628">
        <f>IF(BI125=0,"NA",-BI125/BI123)</f>
        <v>65.616797900262469</v>
      </c>
      <c r="BJ124" s="578">
        <v>72</v>
      </c>
      <c r="BK124" s="578">
        <v>75</v>
      </c>
      <c r="BL124" s="578">
        <v>81.8</v>
      </c>
      <c r="BM124" s="578">
        <f>+BM125/-BM123</f>
        <v>85.345873563434509</v>
      </c>
      <c r="BN124" s="457">
        <f>IF(BN125=0,"NA",-BN125/BN123)</f>
        <v>85.345862219701672</v>
      </c>
      <c r="BO124" s="578">
        <f>+BO125/-BO123</f>
        <v>81.25</v>
      </c>
      <c r="BP124" s="659"/>
      <c r="BQ124" s="659"/>
      <c r="BR124" s="578">
        <f ca="1">+BR125/-BR123</f>
        <v>89.903181189488265</v>
      </c>
      <c r="BS124" s="660">
        <f ca="1">IF(BS125=0,"NA",-BS125/BS123)</f>
        <v>85.357846355876561</v>
      </c>
      <c r="BT124" s="659">
        <f>+-BT125/BT123</f>
        <v>94.117647058823522</v>
      </c>
      <c r="BU124" s="659"/>
      <c r="BV124" s="659">
        <f>+-BV125/BV123</f>
        <v>97.142857142857153</v>
      </c>
      <c r="BW124" s="659">
        <v>107.9</v>
      </c>
      <c r="BX124" s="660">
        <f>IF(BX125=0,"NA",-BX125/BX123)</f>
        <v>103.85829183266934</v>
      </c>
      <c r="BY124" s="659">
        <f t="shared" ref="BY124:CB124" si="276">IF(BY125=0,"NA",-BY125/BY123)</f>
        <v>103</v>
      </c>
      <c r="BZ124" s="659">
        <f t="shared" si="276"/>
        <v>136.66666666666669</v>
      </c>
      <c r="CA124" s="659">
        <f t="shared" si="276"/>
        <v>120.9813604690044</v>
      </c>
      <c r="CB124" s="659">
        <f t="shared" si="276"/>
        <v>148.51465800591728</v>
      </c>
      <c r="CC124" s="457">
        <f>IF(CC125=0,"NA",-CC125/CC123)</f>
        <v>118.08461180846119</v>
      </c>
      <c r="CD124" s="659">
        <f t="shared" ref="CD124:CI124" si="277">IF(CD125=0,"NA",-CD125/CD123)</f>
        <v>124.57531143827859</v>
      </c>
      <c r="CE124" s="659">
        <f t="shared" si="277"/>
        <v>127.62237762237763</v>
      </c>
      <c r="CF124" s="829" t="str">
        <f t="shared" si="277"/>
        <v>NA</v>
      </c>
      <c r="CG124" s="829" t="str">
        <f t="shared" si="277"/>
        <v>NA</v>
      </c>
      <c r="CH124" s="457">
        <f>IF(CH125=0,"NA",-CH125/CH123)</f>
        <v>121.59468438538207</v>
      </c>
      <c r="CI124" s="659">
        <f t="shared" si="277"/>
        <v>146.66666666666666</v>
      </c>
      <c r="CJ124" s="659">
        <f t="shared" ref="CJ124" si="278">IF(CJ125=0,"NA",-CJ125/CJ123)</f>
        <v>153.84615384615384</v>
      </c>
      <c r="CK124" s="135">
        <v>126</v>
      </c>
      <c r="CL124" s="135">
        <f>CK124*1.025</f>
        <v>129.14999999999998</v>
      </c>
      <c r="CM124" s="457">
        <f>IF(CM125=0,"NA",-CM125/CM123)</f>
        <v>130.73153333333332</v>
      </c>
      <c r="CN124" s="135">
        <f>CL124*1.025</f>
        <v>132.37874999999997</v>
      </c>
      <c r="CO124" s="135">
        <f>CN124*1.025</f>
        <v>135.68821874999995</v>
      </c>
      <c r="CP124" s="135">
        <f>CO124*1.025</f>
        <v>139.08042421874993</v>
      </c>
      <c r="CQ124" s="135">
        <f>CP124*1.025</f>
        <v>142.55743482421866</v>
      </c>
      <c r="CR124" s="457">
        <f>IF(CR125=0,"NA",-CR125/CR123)</f>
        <v>137.42620694824211</v>
      </c>
      <c r="CS124" s="135">
        <f>CQ124*1.025</f>
        <v>146.12137069482412</v>
      </c>
      <c r="CT124" s="135">
        <f>CS124*1.025</f>
        <v>149.77440496219472</v>
      </c>
      <c r="CU124" s="135">
        <f>CT124*1.025</f>
        <v>153.51876508624957</v>
      </c>
      <c r="CV124" s="135">
        <f>CU124*1.025</f>
        <v>157.35673421340579</v>
      </c>
      <c r="CW124" s="457">
        <f>IF(CW125=0,"NA",-CW125/CW123)</f>
        <v>151.69281873916853</v>
      </c>
      <c r="CX124" s="135">
        <f>CV124*1.025</f>
        <v>161.29065256874091</v>
      </c>
      <c r="CY124" s="135">
        <f>CX124*1.025</f>
        <v>165.32291888295941</v>
      </c>
      <c r="CZ124" s="135">
        <f>CY124*1.025</f>
        <v>169.45599185503337</v>
      </c>
      <c r="DA124" s="135">
        <f>CZ124*1.025</f>
        <v>173.6923916514092</v>
      </c>
      <c r="DB124" s="457">
        <f>IF(DB125=0,"NA",-DB125/DB123)</f>
        <v>167.44048873953571</v>
      </c>
      <c r="DC124" s="135">
        <f>DA124*1.025</f>
        <v>178.0347014426944</v>
      </c>
      <c r="DD124" s="135">
        <f>DC124*1.025</f>
        <v>182.48556897876173</v>
      </c>
      <c r="DE124" s="135">
        <f>DD124*1.025</f>
        <v>187.04770820323077</v>
      </c>
      <c r="DF124" s="135">
        <f>DE124*1.025</f>
        <v>191.72390090831152</v>
      </c>
      <c r="DG124" s="457">
        <f>IF(DG125=0,"NA",-DG125/DG123)</f>
        <v>184.82296988324961</v>
      </c>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c r="HB124"/>
      <c r="HC124"/>
      <c r="HD124"/>
      <c r="HE124"/>
      <c r="HF124"/>
      <c r="HG124"/>
      <c r="HH124"/>
      <c r="HI124"/>
      <c r="HJ124"/>
      <c r="HK124"/>
      <c r="HL124"/>
      <c r="HM124"/>
      <c r="HN124"/>
      <c r="HO124"/>
      <c r="HP124"/>
      <c r="HQ124"/>
      <c r="HR124"/>
    </row>
    <row r="125" spans="1:226" s="19" customFormat="1" hidden="1" outlineLevel="1" x14ac:dyDescent="0.2">
      <c r="A125" s="80" t="s">
        <v>202</v>
      </c>
      <c r="B125" s="138"/>
      <c r="C125" s="138"/>
      <c r="D125" s="138"/>
      <c r="E125" s="138"/>
      <c r="F125" s="458"/>
      <c r="G125" s="138">
        <f t="shared" ref="G125:AV125" si="279">G190</f>
        <v>-159</v>
      </c>
      <c r="H125" s="138">
        <f t="shared" si="279"/>
        <v>-3</v>
      </c>
      <c r="I125" s="138">
        <f t="shared" si="279"/>
        <v>-134</v>
      </c>
      <c r="J125" s="138">
        <f t="shared" si="279"/>
        <v>-116</v>
      </c>
      <c r="K125" s="458">
        <f t="shared" si="279"/>
        <v>-412</v>
      </c>
      <c r="L125" s="138">
        <f t="shared" si="279"/>
        <v>-138</v>
      </c>
      <c r="M125" s="138">
        <f t="shared" si="279"/>
        <v>-169</v>
      </c>
      <c r="N125" s="138">
        <f t="shared" si="279"/>
        <v>-41</v>
      </c>
      <c r="O125" s="138">
        <f t="shared" si="279"/>
        <v>-138</v>
      </c>
      <c r="P125" s="458">
        <f t="shared" si="279"/>
        <v>-486</v>
      </c>
      <c r="Q125" s="138">
        <f t="shared" si="279"/>
        <v>-147</v>
      </c>
      <c r="R125" s="138">
        <f t="shared" si="279"/>
        <v>-73</v>
      </c>
      <c r="S125" s="138">
        <f t="shared" si="279"/>
        <v>0</v>
      </c>
      <c r="T125" s="138">
        <f t="shared" si="279"/>
        <v>0</v>
      </c>
      <c r="U125" s="458">
        <f t="shared" si="279"/>
        <v>-220</v>
      </c>
      <c r="V125" s="138">
        <f t="shared" si="279"/>
        <v>0</v>
      </c>
      <c r="W125" s="138">
        <f t="shared" si="279"/>
        <v>-2110</v>
      </c>
      <c r="X125" s="138">
        <f t="shared" si="279"/>
        <v>-9</v>
      </c>
      <c r="Y125" s="138">
        <f t="shared" si="279"/>
        <v>-160</v>
      </c>
      <c r="Z125" s="458">
        <f t="shared" si="279"/>
        <v>-2279</v>
      </c>
      <c r="AA125" s="138">
        <f t="shared" si="279"/>
        <v>-90</v>
      </c>
      <c r="AB125" s="138">
        <f t="shared" si="279"/>
        <v>-45</v>
      </c>
      <c r="AC125" s="138">
        <f t="shared" si="279"/>
        <v>0</v>
      </c>
      <c r="AD125" s="138">
        <f t="shared" si="279"/>
        <v>0</v>
      </c>
      <c r="AE125" s="458">
        <f t="shared" si="279"/>
        <v>-135</v>
      </c>
      <c r="AF125" s="138">
        <f t="shared" si="279"/>
        <v>-20</v>
      </c>
      <c r="AG125" s="138">
        <f t="shared" si="279"/>
        <v>-69</v>
      </c>
      <c r="AH125" s="138">
        <f t="shared" si="279"/>
        <v>0</v>
      </c>
      <c r="AI125" s="138">
        <f t="shared" si="279"/>
        <v>-66</v>
      </c>
      <c r="AJ125" s="458">
        <f t="shared" si="279"/>
        <v>-155</v>
      </c>
      <c r="AK125" s="138">
        <f t="shared" si="279"/>
        <v>-868</v>
      </c>
      <c r="AL125" s="138">
        <f t="shared" si="279"/>
        <v>0</v>
      </c>
      <c r="AM125" s="138">
        <f t="shared" si="279"/>
        <v>0</v>
      </c>
      <c r="AN125" s="138">
        <f t="shared" si="279"/>
        <v>0</v>
      </c>
      <c r="AO125" s="458">
        <f t="shared" si="279"/>
        <v>-868</v>
      </c>
      <c r="AP125" s="138">
        <f t="shared" si="279"/>
        <v>0</v>
      </c>
      <c r="AQ125" s="138">
        <f t="shared" si="279"/>
        <v>0</v>
      </c>
      <c r="AR125" s="138">
        <f>AR190</f>
        <v>0</v>
      </c>
      <c r="AS125" s="138">
        <f t="shared" si="279"/>
        <v>0</v>
      </c>
      <c r="AT125" s="458">
        <f t="shared" si="279"/>
        <v>0</v>
      </c>
      <c r="AU125" s="138">
        <f t="shared" si="279"/>
        <v>0</v>
      </c>
      <c r="AV125" s="138">
        <f t="shared" si="279"/>
        <v>0</v>
      </c>
      <c r="AW125" s="138">
        <f ca="1">AW190</f>
        <v>0</v>
      </c>
      <c r="AX125" s="579">
        <v>-150</v>
      </c>
      <c r="AY125" s="458">
        <f ca="1">SUM(AU125:AX125)</f>
        <v>-150</v>
      </c>
      <c r="AZ125" s="579">
        <v>-4</v>
      </c>
      <c r="BA125" s="138">
        <v>-130</v>
      </c>
      <c r="BB125" s="138">
        <v>-338</v>
      </c>
      <c r="BC125" s="579">
        <v>-183</v>
      </c>
      <c r="BD125" s="458">
        <f>SUM(AZ125:BC125)</f>
        <v>-655</v>
      </c>
      <c r="BE125" s="579">
        <v>-9</v>
      </c>
      <c r="BF125" s="579">
        <v>-149</v>
      </c>
      <c r="BG125" s="579">
        <f>-BG124*BG123</f>
        <v>0</v>
      </c>
      <c r="BH125" s="579">
        <f>+BI125-BE125-BF125-BG125</f>
        <v>-67</v>
      </c>
      <c r="BI125" s="629">
        <v>-225</v>
      </c>
      <c r="BJ125" s="579">
        <f>-BJ124*BJ123</f>
        <v>0</v>
      </c>
      <c r="BK125" s="138">
        <f>-BK124*BK123</f>
        <v>0</v>
      </c>
      <c r="BL125" s="138">
        <f>-BL124*BL123</f>
        <v>-3.9247639999999997E-4</v>
      </c>
      <c r="BM125" s="138">
        <f>+BM190</f>
        <v>-127.99960752360001</v>
      </c>
      <c r="BN125" s="458">
        <f>SUM(BJ125:BM125)</f>
        <v>-128</v>
      </c>
      <c r="BO125" s="138">
        <f>+BO190</f>
        <v>-130</v>
      </c>
      <c r="BP125" s="138">
        <f ca="1">+BP190</f>
        <v>0</v>
      </c>
      <c r="BQ125" s="138">
        <f ca="1">+BQ190</f>
        <v>0</v>
      </c>
      <c r="BR125" s="138">
        <f ca="1">+BR190</f>
        <v>-130</v>
      </c>
      <c r="BS125" s="661">
        <f ca="1">SUM(BO125:BR125)</f>
        <v>-260</v>
      </c>
      <c r="BT125" s="138">
        <f>+BT190</f>
        <v>-8</v>
      </c>
      <c r="BU125" s="138">
        <f>+BU190</f>
        <v>0</v>
      </c>
      <c r="BV125" s="138">
        <f>+BV190</f>
        <v>-136</v>
      </c>
      <c r="BW125" s="138">
        <f>-BW123*BW124</f>
        <v>-273.09490000000005</v>
      </c>
      <c r="BX125" s="661">
        <f>SUM(BT125:BW125)</f>
        <v>-417.09490000000005</v>
      </c>
      <c r="BY125" s="138">
        <f>+BY190</f>
        <v>-103</v>
      </c>
      <c r="BZ125" s="138">
        <f>+BZ190</f>
        <v>-41</v>
      </c>
      <c r="CA125" s="138">
        <f>+CA190</f>
        <v>-72</v>
      </c>
      <c r="CB125" s="138">
        <f>+CB190</f>
        <v>-38</v>
      </c>
      <c r="CC125" s="644">
        <f>SUM(BY125:CB125)</f>
        <v>-254</v>
      </c>
      <c r="CD125" s="138">
        <f>+CD190</f>
        <v>-110</v>
      </c>
      <c r="CE125" s="138">
        <f>+CE190</f>
        <v>-73</v>
      </c>
      <c r="CF125" s="138">
        <f>+CF190</f>
        <v>0</v>
      </c>
      <c r="CG125" s="138">
        <f>+CG190</f>
        <v>0</v>
      </c>
      <c r="CH125" s="458">
        <f>SUM(CD125:CG125)</f>
        <v>-183</v>
      </c>
      <c r="CI125" s="138">
        <f>+CI190</f>
        <v>-66</v>
      </c>
      <c r="CJ125" s="138">
        <f>+CJ190</f>
        <v>-4</v>
      </c>
      <c r="CK125" s="138">
        <f>-CK124*CK123</f>
        <v>-151.19999999999999</v>
      </c>
      <c r="CL125" s="138">
        <f>-CL124*CL123</f>
        <v>-170.99459999999999</v>
      </c>
      <c r="CM125" s="458">
        <f>SUM(CI125:CL125)</f>
        <v>-392.19459999999998</v>
      </c>
      <c r="CN125" s="138">
        <f>-CN124*CN123</f>
        <v>-99.284062499999976</v>
      </c>
      <c r="CO125" s="138">
        <f>-CO124*CO123</f>
        <v>-101.76616406249997</v>
      </c>
      <c r="CP125" s="138">
        <f>-CP124*CP123</f>
        <v>-104.31031816406244</v>
      </c>
      <c r="CQ125" s="138">
        <f>-CQ124*CQ123</f>
        <v>-106.918076118164</v>
      </c>
      <c r="CR125" s="458">
        <f>SUM(CN125:CQ125)</f>
        <v>-412.27862084472633</v>
      </c>
      <c r="CS125" s="138">
        <f>-CS124*CS123</f>
        <v>-109.59102802111809</v>
      </c>
      <c r="CT125" s="138">
        <f>-CT124*CT123</f>
        <v>-112.33080372164605</v>
      </c>
      <c r="CU125" s="138">
        <f>-CU124*CU123</f>
        <v>-115.13907381468718</v>
      </c>
      <c r="CV125" s="138">
        <f>-CV124*CV123</f>
        <v>-118.01755066005434</v>
      </c>
      <c r="CW125" s="458">
        <f>SUM(CS125:CV125)</f>
        <v>-455.07845621750562</v>
      </c>
      <c r="CX125" s="138">
        <f>-CX124*CX123</f>
        <v>-120.96798942655568</v>
      </c>
      <c r="CY125" s="138">
        <f>-CY124*CY123</f>
        <v>-123.99218916221956</v>
      </c>
      <c r="CZ125" s="138">
        <f>-CZ124*CZ123</f>
        <v>-127.09199389127502</v>
      </c>
      <c r="DA125" s="138">
        <f>-DA124*DA123</f>
        <v>-130.26929373855688</v>
      </c>
      <c r="DB125" s="458">
        <f>SUM(CX125:DA125)</f>
        <v>-502.32146621860716</v>
      </c>
      <c r="DC125" s="138">
        <f>-DC124*DC123</f>
        <v>-133.52602608202079</v>
      </c>
      <c r="DD125" s="138">
        <f>-DD124*DD123</f>
        <v>-136.86417673407129</v>
      </c>
      <c r="DE125" s="138">
        <f>-DE124*DE123</f>
        <v>-140.28578115242308</v>
      </c>
      <c r="DF125" s="138">
        <f>-DF124*DF123</f>
        <v>-143.79292568123364</v>
      </c>
      <c r="DG125" s="458">
        <f>SUM(DC125:DF125)</f>
        <v>-554.46890964974887</v>
      </c>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c r="HB125"/>
      <c r="HC125"/>
      <c r="HD125"/>
      <c r="HE125"/>
      <c r="HF125"/>
      <c r="HG125"/>
      <c r="HH125"/>
      <c r="HI125"/>
      <c r="HJ125"/>
      <c r="HK125"/>
      <c r="HL125"/>
      <c r="HM125"/>
      <c r="HN125"/>
      <c r="HO125"/>
      <c r="HP125"/>
      <c r="HQ125"/>
      <c r="HR125"/>
    </row>
    <row r="126" spans="1:226" s="53" customFormat="1" collapsed="1" x14ac:dyDescent="0.2">
      <c r="A126" s="18"/>
      <c r="B126" s="37"/>
      <c r="C126" s="37"/>
      <c r="D126" s="37"/>
      <c r="E126" s="37"/>
      <c r="F126" s="37"/>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c r="AI126" s="37"/>
      <c r="AJ126" s="37"/>
      <c r="AK126" s="37"/>
      <c r="AL126" s="37"/>
      <c r="AM126" s="37"/>
      <c r="AN126" s="37"/>
      <c r="AO126" s="37"/>
      <c r="AP126" s="37"/>
      <c r="AQ126" s="37"/>
      <c r="AR126" s="37"/>
      <c r="AS126" s="37"/>
      <c r="AT126" s="37"/>
      <c r="AU126" s="37"/>
      <c r="AV126" s="37"/>
      <c r="AW126" s="37"/>
      <c r="AX126" s="37"/>
      <c r="AY126" s="37"/>
      <c r="AZ126" s="37"/>
      <c r="BA126" s="37"/>
      <c r="BB126" s="37"/>
      <c r="BC126" s="620"/>
      <c r="BD126" s="620"/>
      <c r="BE126" s="618"/>
      <c r="BF126" s="618"/>
      <c r="BG126" s="618"/>
      <c r="BH126" s="618"/>
      <c r="BI126" s="619"/>
      <c r="BJ126" s="618"/>
      <c r="BK126" s="618"/>
      <c r="BL126" s="618"/>
      <c r="BM126" s="618"/>
      <c r="BN126" s="619"/>
      <c r="BO126" s="617"/>
      <c r="BP126" s="617"/>
      <c r="BQ126" s="617"/>
      <c r="BR126" s="617"/>
      <c r="BS126" s="617"/>
      <c r="BT126" s="617"/>
      <c r="BU126" s="617"/>
      <c r="BV126" s="617"/>
      <c r="BW126" s="617"/>
      <c r="BX126" s="617"/>
      <c r="BY126" s="617"/>
      <c r="BZ126" s="617"/>
      <c r="CA126" s="617"/>
      <c r="CB126" s="617"/>
      <c r="CC126" s="617"/>
      <c r="CD126" s="37"/>
      <c r="CE126" s="37"/>
      <c r="CF126" s="37"/>
      <c r="CG126" s="37"/>
      <c r="CH126" s="37"/>
      <c r="CI126" s="37"/>
      <c r="CJ126" s="37"/>
      <c r="CK126" s="37"/>
      <c r="CL126" s="37"/>
      <c r="CM126" s="782"/>
      <c r="CN126" s="37"/>
      <c r="CO126" s="37"/>
      <c r="CP126" s="37"/>
      <c r="CQ126" s="37"/>
      <c r="CR126" s="37"/>
      <c r="CS126" s="37"/>
      <c r="CT126" s="37"/>
      <c r="CU126" s="37"/>
      <c r="CV126" s="37"/>
      <c r="CW126" s="37"/>
      <c r="CX126" s="37"/>
      <c r="CY126" s="37"/>
      <c r="CZ126" s="37"/>
      <c r="DA126" s="37"/>
      <c r="DB126" s="37"/>
      <c r="DC126" s="37"/>
      <c r="DD126" s="37"/>
      <c r="DE126" s="37"/>
      <c r="DF126" s="37"/>
      <c r="DG126" s="37"/>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c r="HB126"/>
      <c r="HC126"/>
      <c r="HD126"/>
      <c r="HE126"/>
      <c r="HF126"/>
      <c r="HG126"/>
      <c r="HH126"/>
      <c r="HI126"/>
      <c r="HJ126"/>
      <c r="HK126"/>
      <c r="HL126"/>
      <c r="HM126"/>
      <c r="HN126"/>
      <c r="HO126"/>
      <c r="HP126"/>
      <c r="HQ126"/>
      <c r="HR126"/>
    </row>
    <row r="127" spans="1:226" s="53" customFormat="1" x14ac:dyDescent="0.2">
      <c r="A127" s="18"/>
      <c r="B127" s="54"/>
      <c r="C127" s="54"/>
      <c r="D127" s="54"/>
      <c r="E127" s="54"/>
      <c r="F127" s="54"/>
      <c r="G127" s="54"/>
      <c r="H127" s="54"/>
      <c r="I127" s="54"/>
      <c r="J127" s="54"/>
      <c r="K127" s="54"/>
      <c r="L127" s="54"/>
      <c r="M127" s="54"/>
      <c r="N127" s="54"/>
      <c r="O127" s="54"/>
      <c r="P127" s="54"/>
      <c r="Q127" s="54"/>
      <c r="R127" s="54"/>
      <c r="S127" s="54"/>
      <c r="T127" s="54"/>
      <c r="U127" s="54"/>
      <c r="V127" s="54"/>
      <c r="W127" s="54"/>
      <c r="X127" s="54"/>
      <c r="Y127" s="54"/>
      <c r="Z127" s="54"/>
      <c r="AA127" s="54"/>
      <c r="AB127" s="54"/>
      <c r="AC127" s="54"/>
      <c r="AD127" s="54"/>
      <c r="AE127" s="54"/>
      <c r="AF127" s="54"/>
      <c r="AG127" s="54"/>
      <c r="AH127" s="54"/>
      <c r="AI127" s="54"/>
      <c r="AJ127" s="54"/>
      <c r="AK127" s="54"/>
      <c r="AL127" s="54"/>
      <c r="AM127" s="54"/>
      <c r="AN127" s="54"/>
      <c r="AO127" s="54"/>
      <c r="AP127" s="54"/>
      <c r="AQ127" s="54"/>
      <c r="AR127" s="54"/>
      <c r="AS127" s="54"/>
      <c r="AT127" s="54"/>
      <c r="AU127" s="54"/>
      <c r="AV127" s="54"/>
      <c r="AW127" s="54"/>
      <c r="AX127" s="54"/>
      <c r="AY127" s="54"/>
      <c r="AZ127" s="54"/>
      <c r="BA127" s="54"/>
      <c r="BB127" s="54"/>
      <c r="BC127" s="54"/>
      <c r="BD127" s="54"/>
      <c r="BE127" s="54"/>
      <c r="BF127" s="54"/>
      <c r="BG127" s="54"/>
      <c r="BH127" s="54"/>
      <c r="BI127" s="54"/>
      <c r="BJ127" s="54"/>
      <c r="BK127" s="54"/>
      <c r="BL127" s="54"/>
      <c r="BM127" s="54"/>
      <c r="BN127" s="91"/>
      <c r="BO127" s="54"/>
      <c r="BP127" s="54"/>
      <c r="BQ127" s="81"/>
      <c r="BR127" s="81"/>
      <c r="BS127" s="81"/>
      <c r="BT127" s="81"/>
      <c r="BU127" s="81"/>
      <c r="BV127" s="81"/>
      <c r="BW127" s="81"/>
      <c r="BX127" s="81"/>
      <c r="BY127" s="81"/>
      <c r="BZ127" s="81"/>
      <c r="CA127" s="81"/>
      <c r="CB127" s="81"/>
      <c r="CC127" s="81"/>
      <c r="CD127" s="54"/>
      <c r="CE127" s="54"/>
      <c r="CF127" s="54"/>
      <c r="CG127" s="54"/>
      <c r="CH127" s="54"/>
      <c r="CI127" s="54"/>
      <c r="CJ127" s="54"/>
      <c r="CK127" s="54"/>
      <c r="CL127" s="54"/>
      <c r="CM127" s="54"/>
      <c r="CN127" s="54"/>
      <c r="CO127" s="54"/>
      <c r="CP127" s="54"/>
      <c r="CQ127" s="54"/>
      <c r="CR127" s="54"/>
      <c r="CS127" s="54"/>
      <c r="CT127" s="54"/>
      <c r="CU127" s="54"/>
      <c r="CV127" s="54"/>
      <c r="CW127" s="54"/>
      <c r="CX127" s="54"/>
      <c r="CY127" s="54"/>
      <c r="CZ127" s="54"/>
      <c r="DA127" s="54"/>
      <c r="DB127" s="54"/>
      <c r="DC127" s="54"/>
      <c r="DD127" s="54"/>
      <c r="DE127" s="54"/>
      <c r="DF127" s="54"/>
      <c r="DG127" s="54"/>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c r="HB127"/>
      <c r="HC127"/>
      <c r="HD127"/>
      <c r="HE127"/>
      <c r="HF127"/>
      <c r="HG127"/>
      <c r="HH127"/>
      <c r="HI127"/>
      <c r="HJ127"/>
      <c r="HK127"/>
      <c r="HL127"/>
      <c r="HM127"/>
      <c r="HN127"/>
      <c r="HO127"/>
      <c r="HP127"/>
      <c r="HQ127"/>
      <c r="HR127"/>
    </row>
    <row r="128" spans="1:226" s="36" customFormat="1" ht="12" customHeight="1" x14ac:dyDescent="0.2">
      <c r="A128" s="479" t="s">
        <v>111</v>
      </c>
      <c r="B128" s="385">
        <v>36799</v>
      </c>
      <c r="C128" s="385">
        <v>36891</v>
      </c>
      <c r="D128" s="385">
        <v>36981</v>
      </c>
      <c r="E128" s="385">
        <v>37072</v>
      </c>
      <c r="F128" s="459">
        <v>2001</v>
      </c>
      <c r="G128" s="385">
        <v>37164</v>
      </c>
      <c r="H128" s="385">
        <v>37256</v>
      </c>
      <c r="I128" s="385">
        <v>37346</v>
      </c>
      <c r="J128" s="385">
        <v>37437</v>
      </c>
      <c r="K128" s="459">
        <v>2002</v>
      </c>
      <c r="L128" s="385">
        <v>37529</v>
      </c>
      <c r="M128" s="385">
        <v>37621</v>
      </c>
      <c r="N128" s="385">
        <v>37711</v>
      </c>
      <c r="O128" s="385">
        <v>37802</v>
      </c>
      <c r="P128" s="459">
        <v>2003</v>
      </c>
      <c r="Q128" s="385">
        <v>37894</v>
      </c>
      <c r="R128" s="385">
        <v>37986</v>
      </c>
      <c r="S128" s="385">
        <v>38077</v>
      </c>
      <c r="T128" s="385">
        <v>38168</v>
      </c>
      <c r="U128" s="459">
        <v>2004</v>
      </c>
      <c r="V128" s="385" t="s">
        <v>1</v>
      </c>
      <c r="W128" s="385" t="s">
        <v>2</v>
      </c>
      <c r="X128" s="385" t="s">
        <v>3</v>
      </c>
      <c r="Y128" s="385" t="s">
        <v>4</v>
      </c>
      <c r="Z128" s="459" t="s">
        <v>5</v>
      </c>
      <c r="AA128" s="385" t="s">
        <v>6</v>
      </c>
      <c r="AB128" s="385" t="s">
        <v>7</v>
      </c>
      <c r="AC128" s="385" t="s">
        <v>8</v>
      </c>
      <c r="AD128" s="385" t="s">
        <v>9</v>
      </c>
      <c r="AE128" s="459">
        <v>2006</v>
      </c>
      <c r="AF128" s="385" t="s">
        <v>10</v>
      </c>
      <c r="AG128" s="385" t="s">
        <v>11</v>
      </c>
      <c r="AH128" s="385" t="s">
        <v>12</v>
      </c>
      <c r="AI128" s="385" t="s">
        <v>13</v>
      </c>
      <c r="AJ128" s="459">
        <v>2007</v>
      </c>
      <c r="AK128" s="385" t="str">
        <f t="shared" ref="AK128:BD128" si="280">AK5</f>
        <v>Sep-07</v>
      </c>
      <c r="AL128" s="385" t="str">
        <f t="shared" si="280"/>
        <v>Dec-07</v>
      </c>
      <c r="AM128" s="385" t="str">
        <f t="shared" si="280"/>
        <v>Mar-08</v>
      </c>
      <c r="AN128" s="385" t="str">
        <f t="shared" si="280"/>
        <v>Jun-08</v>
      </c>
      <c r="AO128" s="459">
        <f t="shared" si="280"/>
        <v>2008</v>
      </c>
      <c r="AP128" s="385" t="str">
        <f t="shared" si="280"/>
        <v>Sep-08</v>
      </c>
      <c r="AQ128" s="385" t="str">
        <f t="shared" si="280"/>
        <v>Dec-08</v>
      </c>
      <c r="AR128" s="385" t="str">
        <f t="shared" si="280"/>
        <v>Mar-09</v>
      </c>
      <c r="AS128" s="385" t="str">
        <f t="shared" si="280"/>
        <v>Jun-09</v>
      </c>
      <c r="AT128" s="459">
        <f t="shared" si="280"/>
        <v>2009</v>
      </c>
      <c r="AU128" s="385" t="str">
        <f t="shared" si="280"/>
        <v>Sep-09</v>
      </c>
      <c r="AV128" s="385" t="str">
        <f t="shared" si="280"/>
        <v>Dec-09</v>
      </c>
      <c r="AW128" s="385" t="str">
        <f t="shared" si="280"/>
        <v>Mar-10</v>
      </c>
      <c r="AX128" s="385" t="str">
        <f t="shared" si="280"/>
        <v>Jun-10</v>
      </c>
      <c r="AY128" s="459">
        <f t="shared" si="280"/>
        <v>2010</v>
      </c>
      <c r="AZ128" s="385" t="str">
        <f t="shared" si="280"/>
        <v>Sep-10</v>
      </c>
      <c r="BA128" s="385" t="str">
        <f t="shared" si="280"/>
        <v>Dec-10</v>
      </c>
      <c r="BB128" s="385">
        <f t="shared" si="280"/>
        <v>40613</v>
      </c>
      <c r="BC128" s="385" t="str">
        <f t="shared" si="280"/>
        <v>Jun-11</v>
      </c>
      <c r="BD128" s="459">
        <f t="shared" si="280"/>
        <v>2011</v>
      </c>
      <c r="BE128" s="385" t="str">
        <f t="shared" ref="BE128:CV128" si="281">BE5</f>
        <v>Sep-11</v>
      </c>
      <c r="BF128" s="385" t="str">
        <f t="shared" si="281"/>
        <v>Dec-11</v>
      </c>
      <c r="BG128" s="385" t="str">
        <f t="shared" si="281"/>
        <v>Mar-12</v>
      </c>
      <c r="BH128" s="385" t="str">
        <f t="shared" si="281"/>
        <v>Jun-12</v>
      </c>
      <c r="BI128" s="459">
        <f t="shared" si="281"/>
        <v>2012</v>
      </c>
      <c r="BJ128" s="385" t="str">
        <f t="shared" si="281"/>
        <v>Sep-12</v>
      </c>
      <c r="BK128" s="385" t="str">
        <f t="shared" si="281"/>
        <v>Dec-12</v>
      </c>
      <c r="BL128" s="385" t="str">
        <f t="shared" si="281"/>
        <v>Mar-13</v>
      </c>
      <c r="BM128" s="385" t="str">
        <f t="shared" si="281"/>
        <v>Jun-13</v>
      </c>
      <c r="BN128" s="459">
        <f t="shared" si="281"/>
        <v>2013</v>
      </c>
      <c r="BO128" s="385" t="str">
        <f t="shared" si="281"/>
        <v>Sep-13</v>
      </c>
      <c r="BP128" s="385" t="str">
        <f t="shared" si="281"/>
        <v>Dec-13</v>
      </c>
      <c r="BQ128" s="385" t="str">
        <f t="shared" si="281"/>
        <v>Mar-14</v>
      </c>
      <c r="BR128" s="385" t="str">
        <f t="shared" si="281"/>
        <v>Jun-14</v>
      </c>
      <c r="BS128" s="459">
        <f t="shared" si="281"/>
        <v>2014</v>
      </c>
      <c r="BT128" s="385" t="str">
        <f t="shared" si="281"/>
        <v>Sep-14</v>
      </c>
      <c r="BU128" s="385" t="str">
        <f t="shared" si="281"/>
        <v>Dec-14</v>
      </c>
      <c r="BV128" s="385" t="str">
        <f t="shared" si="281"/>
        <v>Mar-15</v>
      </c>
      <c r="BW128" s="385" t="str">
        <f t="shared" si="281"/>
        <v>Jun-15</v>
      </c>
      <c r="BX128" s="459">
        <f t="shared" si="281"/>
        <v>2015</v>
      </c>
      <c r="BY128" s="385" t="str">
        <f t="shared" si="281"/>
        <v>Sep-15</v>
      </c>
      <c r="BZ128" s="385" t="str">
        <f t="shared" si="281"/>
        <v>Dec-15</v>
      </c>
      <c r="CA128" s="385" t="str">
        <f t="shared" si="281"/>
        <v>Mar-16</v>
      </c>
      <c r="CB128" s="385" t="str">
        <f t="shared" si="281"/>
        <v>Jun-16</v>
      </c>
      <c r="CC128" s="459">
        <f t="shared" si="281"/>
        <v>2016</v>
      </c>
      <c r="CD128" s="385" t="str">
        <f t="shared" si="281"/>
        <v>Sep-16</v>
      </c>
      <c r="CE128" s="385" t="str">
        <f t="shared" si="281"/>
        <v>Dec-16</v>
      </c>
      <c r="CF128" s="385" t="str">
        <f t="shared" si="281"/>
        <v>Mar-17</v>
      </c>
      <c r="CG128" s="385" t="str">
        <f t="shared" si="281"/>
        <v>Jun-17</v>
      </c>
      <c r="CH128" s="459">
        <f t="shared" si="281"/>
        <v>2017</v>
      </c>
      <c r="CI128" s="385" t="str">
        <f t="shared" si="281"/>
        <v>Sep-17</v>
      </c>
      <c r="CJ128" s="385" t="str">
        <f t="shared" si="281"/>
        <v>Dec-17</v>
      </c>
      <c r="CK128" s="385" t="str">
        <f t="shared" si="281"/>
        <v>Mar-18e</v>
      </c>
      <c r="CL128" s="385" t="str">
        <f t="shared" si="281"/>
        <v>Jun-18e</v>
      </c>
      <c r="CM128" s="459" t="str">
        <f t="shared" si="281"/>
        <v>2018e</v>
      </c>
      <c r="CN128" s="385" t="str">
        <f t="shared" si="281"/>
        <v>Sep-18e</v>
      </c>
      <c r="CO128" s="385" t="str">
        <f t="shared" si="281"/>
        <v>Dec-18e</v>
      </c>
      <c r="CP128" s="385" t="str">
        <f t="shared" si="281"/>
        <v>Mar-19e</v>
      </c>
      <c r="CQ128" s="385" t="str">
        <f t="shared" si="281"/>
        <v>Jun-19e</v>
      </c>
      <c r="CR128" s="459" t="str">
        <f t="shared" si="281"/>
        <v>2019e</v>
      </c>
      <c r="CS128" s="385" t="str">
        <f t="shared" si="281"/>
        <v>Sep-19e</v>
      </c>
      <c r="CT128" s="385" t="str">
        <f t="shared" si="281"/>
        <v>Dec-19e</v>
      </c>
      <c r="CU128" s="385" t="str">
        <f t="shared" si="281"/>
        <v>Mar-20e</v>
      </c>
      <c r="CV128" s="385" t="str">
        <f t="shared" si="281"/>
        <v>Jun-20e</v>
      </c>
      <c r="CW128" s="459" t="str">
        <f t="shared" ref="CW128:DG128" si="282">CW5</f>
        <v>2020e</v>
      </c>
      <c r="CX128" s="385" t="str">
        <f t="shared" si="282"/>
        <v>Sep-20e</v>
      </c>
      <c r="CY128" s="385" t="str">
        <f t="shared" si="282"/>
        <v>Dec-20e</v>
      </c>
      <c r="CZ128" s="385" t="str">
        <f t="shared" si="282"/>
        <v>Mar-21e</v>
      </c>
      <c r="DA128" s="385" t="str">
        <f t="shared" si="282"/>
        <v>Jun-21e</v>
      </c>
      <c r="DB128" s="459" t="str">
        <f t="shared" si="282"/>
        <v>2021e</v>
      </c>
      <c r="DC128" s="385" t="str">
        <f t="shared" si="282"/>
        <v>Sep-21e</v>
      </c>
      <c r="DD128" s="385" t="str">
        <f t="shared" si="282"/>
        <v>Dec-21e</v>
      </c>
      <c r="DE128" s="385" t="str">
        <f t="shared" si="282"/>
        <v>Mar-22e</v>
      </c>
      <c r="DF128" s="385" t="str">
        <f t="shared" si="282"/>
        <v>Jun-22e</v>
      </c>
      <c r="DG128" s="459" t="str">
        <f t="shared" si="282"/>
        <v>2022e</v>
      </c>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c r="HB128"/>
      <c r="HC128"/>
      <c r="HD128"/>
      <c r="HE128"/>
      <c r="HF128"/>
      <c r="HG128"/>
      <c r="HH128"/>
      <c r="HI128"/>
      <c r="HJ128"/>
      <c r="HK128"/>
      <c r="HL128"/>
      <c r="HM128"/>
      <c r="HN128"/>
      <c r="HO128"/>
      <c r="HP128"/>
      <c r="HQ128"/>
      <c r="HR128"/>
    </row>
    <row r="129" spans="1:226" s="36" customFormat="1" ht="12" customHeight="1" x14ac:dyDescent="0.2">
      <c r="A129" s="356"/>
      <c r="B129" s="56"/>
      <c r="C129" s="56"/>
      <c r="D129" s="56"/>
      <c r="E129" s="56"/>
      <c r="F129" s="467"/>
      <c r="G129" s="56"/>
      <c r="H129" s="56"/>
      <c r="I129" s="56"/>
      <c r="J129" s="56"/>
      <c r="K129" s="467"/>
      <c r="L129" s="56"/>
      <c r="M129" s="56"/>
      <c r="N129" s="56"/>
      <c r="O129" s="56"/>
      <c r="P129" s="467"/>
      <c r="Q129" s="56"/>
      <c r="R129" s="56"/>
      <c r="S129" s="56"/>
      <c r="T129" s="56"/>
      <c r="U129" s="467"/>
      <c r="V129" s="56"/>
      <c r="W129" s="56"/>
      <c r="X129" s="56"/>
      <c r="Y129" s="56"/>
      <c r="Z129" s="467"/>
      <c r="AA129" s="56"/>
      <c r="AB129" s="56"/>
      <c r="AC129" s="56"/>
      <c r="AD129" s="56"/>
      <c r="AE129" s="467"/>
      <c r="AF129" s="56"/>
      <c r="AG129" s="56"/>
      <c r="AH129" s="56"/>
      <c r="AI129" s="56"/>
      <c r="AJ129" s="467"/>
      <c r="AK129" s="56"/>
      <c r="AL129" s="56"/>
      <c r="AM129" s="56"/>
      <c r="AN129" s="56"/>
      <c r="AO129" s="467"/>
      <c r="AP129" s="56"/>
      <c r="AQ129" s="56"/>
      <c r="AR129" s="56"/>
      <c r="AS129" s="56"/>
      <c r="AT129" s="467"/>
      <c r="AU129" s="56"/>
      <c r="AV129" s="56"/>
      <c r="AW129" s="56"/>
      <c r="AX129" s="576"/>
      <c r="AY129" s="467"/>
      <c r="AZ129" s="56"/>
      <c r="BA129" s="56"/>
      <c r="BB129" s="55"/>
      <c r="BC129" s="55"/>
      <c r="BD129" s="465"/>
      <c r="BE129" s="56"/>
      <c r="BF129" s="55"/>
      <c r="BG129" s="55"/>
      <c r="BH129" s="55"/>
      <c r="BI129" s="465"/>
      <c r="BJ129" s="56"/>
      <c r="BK129" s="55"/>
      <c r="BL129" s="55"/>
      <c r="BM129" s="55"/>
      <c r="BN129" s="465"/>
      <c r="BO129" s="56"/>
      <c r="BP129" s="55"/>
      <c r="BQ129" s="615"/>
      <c r="BR129" s="55"/>
      <c r="BS129" s="465"/>
      <c r="BT129" s="56"/>
      <c r="BU129" s="55"/>
      <c r="BV129" s="55"/>
      <c r="BW129" s="55"/>
      <c r="BX129" s="465"/>
      <c r="BY129" s="56"/>
      <c r="BZ129" s="55"/>
      <c r="CA129" s="55"/>
      <c r="CB129" s="55"/>
      <c r="CC129" s="465"/>
      <c r="CD129" s="56"/>
      <c r="CE129" s="55"/>
      <c r="CF129" s="55"/>
      <c r="CG129" s="55"/>
      <c r="CH129" s="465"/>
      <c r="CI129" s="56"/>
      <c r="CJ129" s="55"/>
      <c r="CK129" s="55"/>
      <c r="CL129" s="55"/>
      <c r="CM129" s="465"/>
      <c r="CN129" s="56"/>
      <c r="CO129" s="55"/>
      <c r="CP129" s="55"/>
      <c r="CQ129" s="55"/>
      <c r="CR129" s="465"/>
      <c r="CS129" s="56"/>
      <c r="CT129" s="55"/>
      <c r="CU129" s="55"/>
      <c r="CV129" s="55"/>
      <c r="CW129" s="465"/>
      <c r="CX129" s="56"/>
      <c r="CY129" s="55"/>
      <c r="CZ129" s="55"/>
      <c r="DA129" s="55"/>
      <c r="DB129" s="465"/>
      <c r="DC129" s="56"/>
      <c r="DD129" s="55"/>
      <c r="DE129" s="55"/>
      <c r="DF129" s="55"/>
      <c r="DG129" s="465"/>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c r="HB129"/>
      <c r="HC129"/>
      <c r="HD129"/>
      <c r="HE129"/>
      <c r="HF129"/>
      <c r="HG129"/>
      <c r="HH129"/>
      <c r="HI129"/>
      <c r="HJ129"/>
      <c r="HK129"/>
      <c r="HL129"/>
      <c r="HM129"/>
      <c r="HN129"/>
      <c r="HO129"/>
      <c r="HP129"/>
      <c r="HQ129"/>
      <c r="HR129"/>
    </row>
    <row r="130" spans="1:226" s="19" customFormat="1" x14ac:dyDescent="0.2">
      <c r="A130" s="356" t="s">
        <v>35</v>
      </c>
      <c r="F130" s="455"/>
      <c r="K130" s="455"/>
      <c r="P130" s="455"/>
      <c r="U130" s="455"/>
      <c r="Z130" s="455"/>
      <c r="AE130" s="455"/>
      <c r="AJ130" s="455"/>
      <c r="AK130" s="57"/>
      <c r="AL130" s="57"/>
      <c r="AM130" s="57"/>
      <c r="AN130" s="57"/>
      <c r="AO130" s="455"/>
      <c r="AT130" s="455"/>
      <c r="AX130" s="576"/>
      <c r="AY130" s="455"/>
      <c r="BD130" s="494"/>
      <c r="BI130" s="455"/>
      <c r="BN130" s="455"/>
      <c r="BQ130" s="18"/>
      <c r="BS130" s="455"/>
      <c r="BX130" s="455"/>
      <c r="CC130" s="455"/>
      <c r="CH130" s="455"/>
      <c r="CM130" s="455"/>
      <c r="CR130" s="455"/>
      <c r="CW130" s="455"/>
      <c r="DB130" s="455"/>
      <c r="DG130" s="455"/>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c r="HB130"/>
      <c r="HC130"/>
      <c r="HD130"/>
      <c r="HE130"/>
      <c r="HF130"/>
      <c r="HG130"/>
      <c r="HH130"/>
      <c r="HI130"/>
      <c r="HJ130"/>
      <c r="HK130"/>
      <c r="HL130"/>
      <c r="HM130"/>
      <c r="HN130"/>
      <c r="HO130"/>
      <c r="HP130"/>
      <c r="HQ130"/>
      <c r="HR130"/>
    </row>
    <row r="131" spans="1:226" s="19" customFormat="1" x14ac:dyDescent="0.2">
      <c r="A131" s="357" t="s">
        <v>36</v>
      </c>
      <c r="B131" s="46"/>
      <c r="C131" s="46"/>
      <c r="D131" s="46"/>
      <c r="E131" s="46"/>
      <c r="F131" s="466"/>
      <c r="G131" s="46">
        <v>0</v>
      </c>
      <c r="H131" s="46">
        <v>0</v>
      </c>
      <c r="I131" s="46">
        <v>0</v>
      </c>
      <c r="J131" s="46">
        <v>0</v>
      </c>
      <c r="K131" s="466">
        <f>SUM(G131:J131)</f>
        <v>0</v>
      </c>
      <c r="L131" s="46">
        <v>0</v>
      </c>
      <c r="M131" s="46">
        <v>0</v>
      </c>
      <c r="N131" s="46">
        <v>0</v>
      </c>
      <c r="O131" s="46">
        <v>0</v>
      </c>
      <c r="P131" s="466">
        <f>SUM(L131:O131)</f>
        <v>0</v>
      </c>
      <c r="Q131" s="46">
        <v>0</v>
      </c>
      <c r="R131" s="46">
        <v>0</v>
      </c>
      <c r="S131" s="46">
        <v>0</v>
      </c>
      <c r="T131" s="46">
        <v>0</v>
      </c>
      <c r="U131" s="466">
        <f>SUM(Q131:T131)</f>
        <v>0</v>
      </c>
      <c r="V131" s="46">
        <v>0</v>
      </c>
      <c r="W131" s="46">
        <v>0</v>
      </c>
      <c r="X131" s="46">
        <v>0</v>
      </c>
      <c r="Y131" s="46">
        <v>0</v>
      </c>
      <c r="Z131" s="466">
        <f>SUM(V131:Y131)</f>
        <v>0</v>
      </c>
      <c r="AA131" s="46">
        <v>0</v>
      </c>
      <c r="AB131" s="46">
        <v>0</v>
      </c>
      <c r="AC131" s="46">
        <v>0</v>
      </c>
      <c r="AD131" s="46">
        <v>0</v>
      </c>
      <c r="AE131" s="466">
        <f>SUM(AA131:AD131)</f>
        <v>0</v>
      </c>
      <c r="AF131" s="46">
        <v>0</v>
      </c>
      <c r="AG131" s="46">
        <v>0</v>
      </c>
      <c r="AH131" s="46">
        <v>0</v>
      </c>
      <c r="AI131" s="46">
        <v>0</v>
      </c>
      <c r="AJ131" s="466">
        <f>SUM(AF131:AI131)</f>
        <v>0</v>
      </c>
      <c r="AK131" s="46">
        <v>0</v>
      </c>
      <c r="AL131" s="46">
        <v>0</v>
      </c>
      <c r="AM131" s="46">
        <v>0</v>
      </c>
      <c r="AN131" s="46">
        <v>0</v>
      </c>
      <c r="AO131" s="466">
        <f t="shared" ref="AO131:AO136" si="283">AN131</f>
        <v>0</v>
      </c>
      <c r="AP131" s="81">
        <v>0</v>
      </c>
      <c r="AQ131" s="81">
        <v>0</v>
      </c>
      <c r="AR131" s="81">
        <v>0</v>
      </c>
      <c r="AS131" s="81">
        <v>0</v>
      </c>
      <c r="AT131" s="466">
        <f t="shared" ref="AT131:AT136" si="284">AS131</f>
        <v>0</v>
      </c>
      <c r="AU131" s="81">
        <v>0</v>
      </c>
      <c r="AV131" s="81">
        <v>0</v>
      </c>
      <c r="AW131" s="81">
        <v>0</v>
      </c>
      <c r="AX131" s="81">
        <v>0</v>
      </c>
      <c r="AY131" s="466">
        <f t="shared" ref="AY131:AY136" si="285">AX131</f>
        <v>0</v>
      </c>
      <c r="AZ131" s="81">
        <v>0</v>
      </c>
      <c r="BA131" s="81">
        <v>0</v>
      </c>
      <c r="BB131" s="81">
        <v>0</v>
      </c>
      <c r="BC131" s="46">
        <v>0</v>
      </c>
      <c r="BD131" s="466">
        <f t="shared" ref="BD131:BD136" si="286">BC131</f>
        <v>0</v>
      </c>
      <c r="BE131" s="46">
        <v>0</v>
      </c>
      <c r="BF131" s="46">
        <v>0</v>
      </c>
      <c r="BG131" s="46">
        <v>0</v>
      </c>
      <c r="BH131" s="46">
        <v>0</v>
      </c>
      <c r="BI131" s="466">
        <f t="shared" ref="BI131:BI136" si="287">BH131</f>
        <v>0</v>
      </c>
      <c r="BJ131" s="46">
        <v>0</v>
      </c>
      <c r="BK131" s="46">
        <v>0</v>
      </c>
      <c r="BL131" s="46">
        <v>0</v>
      </c>
      <c r="BM131" s="46">
        <v>0</v>
      </c>
      <c r="BN131" s="466">
        <f t="shared" ref="BN131:BN136" si="288">BM131</f>
        <v>0</v>
      </c>
      <c r="BO131" s="46">
        <v>0</v>
      </c>
      <c r="BP131" s="46">
        <f>MAX((BP146+BP147+BP148+BP149+BP152+BP153+BP154+BP158+BP159+BP160+BP161)-(BP132+BP133+BP134+BP135+BP139+BP140+BP141),0)</f>
        <v>0</v>
      </c>
      <c r="BQ131" s="46">
        <f>MAX((BQ146+BQ147+BQ148+BQ149+BQ152+BQ153+BQ154+BQ158+BQ159+BQ160+BQ161)-(BQ132+BQ133+BQ134+BQ135+BQ139+BQ140+BQ141),0)</f>
        <v>0</v>
      </c>
      <c r="BR131" s="46">
        <f>MAX((BR146+BR147+BR148+BR149+BR152+BR153+BR154+BR158+BR159+BR160+BR161)-(BR132+BR133+BR134+BR135+BR139+BR140+BR141),0)</f>
        <v>0</v>
      </c>
      <c r="BS131" s="466">
        <f t="shared" ref="BS131:BS136" si="289">BR131</f>
        <v>0</v>
      </c>
      <c r="BT131" s="46">
        <f>MAX((BT146+BT147+BT148+BT149+BT152+BT153+BT154+BT158+BT159+BT160+BT161)-(BT132+BT133+BT134+BT135+BT139+BT140+BT141),0)</f>
        <v>0</v>
      </c>
      <c r="BU131" s="679">
        <f>MAX((BU146+BU147+BU148+BU149+BU152+BU153+BU154+BU158+BU159+BU160+BU161)-(BU132+BU133+BU134+BU135+BU139+BU140+BU141),0)</f>
        <v>0</v>
      </c>
      <c r="BV131" s="46">
        <f>MAX((BV146+BV147+BV148+BV149+BV152+BV153+BV154+BV158+BV159+BV160+BV161)-(BV132+BV133+BV134+BV135+BV139+BV140+BV141),0)</f>
        <v>0</v>
      </c>
      <c r="BW131" s="46">
        <f>MAX((BW146+BW147+BW148+BW149+BW152+BW153+BW154+BW158+BW159+BW160+BW161)-(BW132+BW133+BW134+BW135+BW139+BW140+BW141),0)</f>
        <v>0</v>
      </c>
      <c r="BX131" s="415">
        <v>0</v>
      </c>
      <c r="BY131" s="46">
        <f>MAX((BY146+BY147+BY148+BY149+BY152+BY153+BY154+BY158+BY159+BY160+BY161)-(BY132+BY133+BY134+BY135+BY139+BY140+BY141),0)</f>
        <v>0</v>
      </c>
      <c r="BZ131" s="46">
        <f>MAX((BZ146+BZ147+BZ148+BZ149+BZ152+BZ153+BZ154+BZ158+BZ159+BZ160+BZ161)-(BZ132+BZ133+BZ134+BZ135+BZ139+BZ140+BZ141),0)</f>
        <v>0</v>
      </c>
      <c r="CA131" s="46">
        <f>MAX((CA146+CA147+CA148+CA149+CA152+CA153+CA154+CA158+CA159+CA160+CA161)-(CA132+CA133+CA134+CA135+CA139+CA140+CA141),0)</f>
        <v>0</v>
      </c>
      <c r="CB131" s="679">
        <f>MAX((CB146+CB147+CB148+CB149+CB152+CB153+CB154+CB158+CB159+CB160+CB161)-(CB132+CB133+CB134+CB135+CB139+CB140+CB141),0)</f>
        <v>0</v>
      </c>
      <c r="CC131" s="415">
        <v>0</v>
      </c>
      <c r="CD131" s="46">
        <f ca="1">MAX((CD146+CD147+CD148+CD149+CD152+CD153+CD154+CD158+CD159+CD160+CD161)-(CD132+CD133+CD134+CD135+CD139+CD140+CD141),0)</f>
        <v>0</v>
      </c>
      <c r="CE131" s="46">
        <f ca="1">MAX((CE146+CE147+CE148+CE149+CE152+CE153+CE154+CE158+CE159+CE160+CE161)-(CE132+CE133+CE134+CE135+CE139+CE140+CE141),0)</f>
        <v>0</v>
      </c>
      <c r="CF131" s="46">
        <f ca="1">MAX((CF146+CF147+CF148+CF149+CF152+CF153+CF154+CF158+CF159+CF160+CF161)-(CF132+CF133+CF134+CF135+CF139+CF140+CF141),0)</f>
        <v>0</v>
      </c>
      <c r="CG131" s="679">
        <f ca="1">MAX((CG146+CG147+CG148+CG149+CG152+CG153+CG154+CG158+CG159+CG160+CG161)-(CG132+CG133+CG134+CG135+CG139+CG140+CG141),0)</f>
        <v>0</v>
      </c>
      <c r="CH131" s="415">
        <v>0</v>
      </c>
      <c r="CI131" s="679">
        <v>0</v>
      </c>
      <c r="CJ131" s="679">
        <v>0</v>
      </c>
      <c r="CK131" s="46">
        <f ca="1">MAX((CK146+CK147+CK148+CK149+CK152+CK153+CK154+CK158+CK159+CK160+CK161)-(CK132+CK133+CK134+CK135+CK139+CK140+CK141),0)</f>
        <v>0</v>
      </c>
      <c r="CL131" s="46">
        <f ca="1">MAX((CL146+CL147+CL148+CL149+CL152+CL153+CL154+CL158+CL159+CL160+CL161)-(CL132+CL133+CL134+CL135+CL139+CL140+CL141),0)</f>
        <v>0</v>
      </c>
      <c r="CM131" s="415">
        <f t="shared" ref="CM131:CM136" ca="1" si="290">CL131</f>
        <v>0</v>
      </c>
      <c r="CN131" s="46">
        <f ca="1">MAX((CN146+CN147+CN148+CN149+CN152+CN153+CN154+CN158+CN159+CN160+CN161)-(CN132+CN133+CN134+CN135+CN139+CN140+CN141),0)</f>
        <v>0</v>
      </c>
      <c r="CO131" s="46">
        <f ca="1">MAX((CO146+CO147+CO148+CO149+CO152+CO153+CO154+CO158+CO159+CO160+CO161)-(CO132+CO133+CO134+CO135+CO139+CO140+CO141),0)</f>
        <v>0</v>
      </c>
      <c r="CP131" s="46">
        <f ca="1">MAX((CP146+CP147+CP148+CP149+CP152+CP153+CP154+CP158+CP159+CP160+CP161)-(CP132+CP133+CP134+CP135+CP139+CP140+CP141),0)</f>
        <v>0</v>
      </c>
      <c r="CQ131" s="46">
        <f ca="1">MAX((CQ146+CQ147+CQ148+CQ149+CQ152+CQ153+CQ154+CQ158+CQ159+CQ160+CQ161)-(CQ132+CQ133+CQ134+CQ135+CQ139+CQ140+CQ141),0)</f>
        <v>0</v>
      </c>
      <c r="CR131" s="415">
        <f t="shared" ref="CR131:CR136" ca="1" si="291">CQ131</f>
        <v>0</v>
      </c>
      <c r="CS131" s="46">
        <f ca="1">MAX((CS146+CS147+CS148+CS149+CS152+CS153+CS154+CS158+CS159+CS160+CS161)-(CS132+CS133+CS134+CS135+CS139+CS140+CS141),0)</f>
        <v>0</v>
      </c>
      <c r="CT131" s="46">
        <f ca="1">MAX((CT146+CT147+CT148+CT149+CT152+CT153+CT154+CT158+CT159+CT160+CT161)-(CT132+CT133+CT134+CT135+CT139+CT140+CT141),0)</f>
        <v>0</v>
      </c>
      <c r="CU131" s="46">
        <f ca="1">MAX((CU146+CU147+CU148+CU149+CU152+CU153+CU154+CU158+CU159+CU160+CU161)-(CU132+CU133+CU134+CU135+CU139+CU140+CU141),0)</f>
        <v>0</v>
      </c>
      <c r="CV131" s="46">
        <f ca="1">MAX((CV146+CV147+CV148+CV149+CV152+CV153+CV154+CV158+CV159+CV160+CV161)-(CV132+CV133+CV134+CV135+CV139+CV140+CV141),0)</f>
        <v>0</v>
      </c>
      <c r="CW131" s="415">
        <f t="shared" ref="CW131:CW136" ca="1" si="292">CV131</f>
        <v>0</v>
      </c>
      <c r="CX131" s="46">
        <f ca="1">MAX((CX146+CX147+CX148+CX149+CX152+CX153+CX154+CX158+CX159+CX160+CX161)-(CX132+CX133+CX134+CX135+CX139+CX140+CX141),0)</f>
        <v>0</v>
      </c>
      <c r="CY131" s="46">
        <f ca="1">MAX((CY146+CY147+CY148+CY149+CY152+CY153+CY154+CY158+CY159+CY160+CY161)-(CY132+CY133+CY134+CY135+CY139+CY140+CY141),0)</f>
        <v>0</v>
      </c>
      <c r="CZ131" s="46">
        <f ca="1">MAX((CZ146+CZ147+CZ148+CZ149+CZ152+CZ153+CZ154+CZ158+CZ159+CZ160+CZ161)-(CZ132+CZ133+CZ134+CZ135+CZ139+CZ140+CZ141),0)</f>
        <v>0</v>
      </c>
      <c r="DA131" s="46">
        <f ca="1">MAX((DA146+DA147+DA148+DA149+DA152+DA153+DA154+DA158+DA159+DA160+DA161)-(DA132+DA133+DA134+DA135+DA139+DA140+DA141),0)</f>
        <v>0</v>
      </c>
      <c r="DB131" s="415">
        <f t="shared" ref="DB131:DB136" ca="1" si="293">DA131</f>
        <v>0</v>
      </c>
      <c r="DC131" s="46">
        <f ca="1">MAX((DC146+DC147+DC148+DC149+DC152+DC153+DC154+DC158+DC159+DC160+DC161)-(DC132+DC133+DC134+DC135+DC139+DC140+DC141),0)</f>
        <v>0</v>
      </c>
      <c r="DD131" s="46">
        <f ca="1">MAX((DD146+DD147+DD148+DD149+DD152+DD153+DD154+DD158+DD159+DD160+DD161)-(DD132+DD133+DD134+DD135+DD139+DD140+DD141),0)</f>
        <v>0</v>
      </c>
      <c r="DE131" s="46">
        <f ca="1">MAX((DE146+DE147+DE148+DE149+DE152+DE153+DE154+DE158+DE159+DE160+DE161)-(DE132+DE133+DE134+DE135+DE139+DE140+DE141),0)</f>
        <v>0</v>
      </c>
      <c r="DF131" s="46">
        <f ca="1">MAX((DF146+DF147+DF148+DF149+DF152+DF153+DF154+DF158+DF159+DF160+DF161)-(DF132+DF133+DF134+DF135+DF139+DF140+DF141),0)</f>
        <v>0</v>
      </c>
      <c r="DG131" s="415">
        <f t="shared" ref="DG131:DG136" ca="1" si="294">DF131</f>
        <v>0</v>
      </c>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c r="HB131"/>
      <c r="HC131"/>
      <c r="HD131"/>
      <c r="HE131"/>
      <c r="HF131"/>
      <c r="HG131"/>
      <c r="HH131"/>
      <c r="HI131"/>
      <c r="HJ131"/>
      <c r="HK131"/>
      <c r="HL131"/>
      <c r="HM131"/>
      <c r="HN131"/>
      <c r="HO131"/>
      <c r="HP131"/>
      <c r="HQ131"/>
      <c r="HR131"/>
    </row>
    <row r="132" spans="1:226" s="19" customFormat="1" x14ac:dyDescent="0.2">
      <c r="A132" s="18" t="s">
        <v>37</v>
      </c>
      <c r="B132" s="37">
        <v>189</v>
      </c>
      <c r="C132" s="37">
        <v>196</v>
      </c>
      <c r="D132" s="37">
        <v>152</v>
      </c>
      <c r="E132" s="37">
        <v>251</v>
      </c>
      <c r="F132" s="439">
        <f>E132</f>
        <v>251</v>
      </c>
      <c r="G132" s="37">
        <v>189</v>
      </c>
      <c r="H132" s="37">
        <v>182</v>
      </c>
      <c r="I132" s="37">
        <v>190</v>
      </c>
      <c r="J132" s="37">
        <v>177</v>
      </c>
      <c r="K132" s="439">
        <f>J132</f>
        <v>177</v>
      </c>
      <c r="L132" s="37">
        <v>143</v>
      </c>
      <c r="M132" s="37">
        <v>149</v>
      </c>
      <c r="N132" s="37">
        <v>179</v>
      </c>
      <c r="O132" s="37">
        <v>172</v>
      </c>
      <c r="P132" s="439">
        <f>O132</f>
        <v>172</v>
      </c>
      <c r="Q132" s="37">
        <v>187</v>
      </c>
      <c r="R132" s="37">
        <v>201</v>
      </c>
      <c r="S132" s="37">
        <v>199</v>
      </c>
      <c r="T132" s="37">
        <v>232</v>
      </c>
      <c r="U132" s="439">
        <f>T132</f>
        <v>232</v>
      </c>
      <c r="V132" s="37">
        <v>255</v>
      </c>
      <c r="W132" s="37">
        <v>300</v>
      </c>
      <c r="X132" s="37">
        <v>293</v>
      </c>
      <c r="Y132" s="37">
        <v>293</v>
      </c>
      <c r="Z132" s="439">
        <f>Y132</f>
        <v>293</v>
      </c>
      <c r="AA132" s="37">
        <v>273</v>
      </c>
      <c r="AB132" s="37">
        <v>273</v>
      </c>
      <c r="AC132" s="37">
        <v>289</v>
      </c>
      <c r="AD132" s="37">
        <v>192</v>
      </c>
      <c r="AE132" s="439">
        <f>AD132</f>
        <v>192</v>
      </c>
      <c r="AF132" s="37">
        <v>174</v>
      </c>
      <c r="AG132" s="37">
        <v>179</v>
      </c>
      <c r="AH132" s="37">
        <v>171</v>
      </c>
      <c r="AI132" s="37">
        <v>182</v>
      </c>
      <c r="AJ132" s="439">
        <f>AI132</f>
        <v>182</v>
      </c>
      <c r="AK132" s="37">
        <v>209</v>
      </c>
      <c r="AL132" s="37">
        <v>280</v>
      </c>
      <c r="AM132" s="37">
        <v>282</v>
      </c>
      <c r="AN132" s="59">
        <v>214</v>
      </c>
      <c r="AO132" s="439">
        <f t="shared" si="283"/>
        <v>214</v>
      </c>
      <c r="AP132" s="37">
        <v>184</v>
      </c>
      <c r="AQ132" s="37">
        <v>97</v>
      </c>
      <c r="AR132" s="37">
        <v>117</v>
      </c>
      <c r="AS132" s="37">
        <v>206</v>
      </c>
      <c r="AT132" s="439">
        <f t="shared" si="284"/>
        <v>206</v>
      </c>
      <c r="AU132" s="37">
        <v>237</v>
      </c>
      <c r="AV132" s="37">
        <v>154</v>
      </c>
      <c r="AW132" s="37">
        <v>241</v>
      </c>
      <c r="AX132" s="37">
        <v>87</v>
      </c>
      <c r="AY132" s="468">
        <f t="shared" si="285"/>
        <v>87</v>
      </c>
      <c r="AZ132" s="37">
        <v>286</v>
      </c>
      <c r="BA132" s="37">
        <v>379</v>
      </c>
      <c r="BB132" s="37">
        <v>153</v>
      </c>
      <c r="BC132" s="37">
        <v>259</v>
      </c>
      <c r="BD132" s="439">
        <f t="shared" si="286"/>
        <v>259</v>
      </c>
      <c r="BE132" s="37">
        <v>270</v>
      </c>
      <c r="BF132" s="37">
        <v>297</v>
      </c>
      <c r="BG132" s="37">
        <v>303</v>
      </c>
      <c r="BH132" s="37">
        <v>267</v>
      </c>
      <c r="BI132" s="439">
        <f t="shared" si="287"/>
        <v>267</v>
      </c>
      <c r="BJ132" s="37">
        <v>667</v>
      </c>
      <c r="BK132" s="37">
        <v>445</v>
      </c>
      <c r="BL132" s="37">
        <v>423</v>
      </c>
      <c r="BM132" s="37">
        <v>299</v>
      </c>
      <c r="BN132" s="439">
        <f>BM132</f>
        <v>299</v>
      </c>
      <c r="BO132" s="37">
        <v>323</v>
      </c>
      <c r="BP132" s="37">
        <v>341</v>
      </c>
      <c r="BQ132" s="37">
        <v>364</v>
      </c>
      <c r="BR132" s="37">
        <v>329</v>
      </c>
      <c r="BS132" s="439">
        <f t="shared" si="289"/>
        <v>329</v>
      </c>
      <c r="BT132" s="655">
        <v>355</v>
      </c>
      <c r="BU132" s="655">
        <v>819</v>
      </c>
      <c r="BV132" s="655">
        <v>378</v>
      </c>
      <c r="BW132" s="655">
        <v>382</v>
      </c>
      <c r="BX132" s="439">
        <f t="shared" ref="BX132:BX136" si="295">BW132</f>
        <v>382</v>
      </c>
      <c r="BY132" s="655">
        <v>383</v>
      </c>
      <c r="BZ132" s="655">
        <v>390</v>
      </c>
      <c r="CA132" s="655">
        <v>414</v>
      </c>
      <c r="CB132" s="655">
        <v>401</v>
      </c>
      <c r="CC132" s="439">
        <f t="shared" ref="CC132:CC136" si="296">CB132</f>
        <v>401</v>
      </c>
      <c r="CD132" s="655">
        <v>408</v>
      </c>
      <c r="CE132" s="655">
        <v>414</v>
      </c>
      <c r="CF132" s="655">
        <v>431</v>
      </c>
      <c r="CG132" s="655">
        <v>418</v>
      </c>
      <c r="CH132" s="439">
        <f t="shared" ref="CH132:CH136" si="297">CG132</f>
        <v>418</v>
      </c>
      <c r="CI132" s="655">
        <v>468</v>
      </c>
      <c r="CJ132" s="655">
        <v>489</v>
      </c>
      <c r="CK132" s="42">
        <f>CJ132</f>
        <v>489</v>
      </c>
      <c r="CL132" s="42">
        <f>CK132</f>
        <v>489</v>
      </c>
      <c r="CM132" s="439">
        <f t="shared" si="290"/>
        <v>489</v>
      </c>
      <c r="CN132" s="42">
        <f>CL132</f>
        <v>489</v>
      </c>
      <c r="CO132" s="42">
        <f>CN132</f>
        <v>489</v>
      </c>
      <c r="CP132" s="42">
        <f>CO132</f>
        <v>489</v>
      </c>
      <c r="CQ132" s="42">
        <f>CP132</f>
        <v>489</v>
      </c>
      <c r="CR132" s="439">
        <f t="shared" si="291"/>
        <v>489</v>
      </c>
      <c r="CS132" s="42">
        <f>CQ132</f>
        <v>489</v>
      </c>
      <c r="CT132" s="42">
        <f>CS132</f>
        <v>489</v>
      </c>
      <c r="CU132" s="42">
        <f>CT132</f>
        <v>489</v>
      </c>
      <c r="CV132" s="42">
        <f>CU132</f>
        <v>489</v>
      </c>
      <c r="CW132" s="439">
        <f t="shared" si="292"/>
        <v>489</v>
      </c>
      <c r="CX132" s="42">
        <f>CV132</f>
        <v>489</v>
      </c>
      <c r="CY132" s="42">
        <f>CX132</f>
        <v>489</v>
      </c>
      <c r="CZ132" s="42">
        <f>CY132</f>
        <v>489</v>
      </c>
      <c r="DA132" s="42">
        <f>CZ132</f>
        <v>489</v>
      </c>
      <c r="DB132" s="439">
        <f t="shared" si="293"/>
        <v>489</v>
      </c>
      <c r="DC132" s="42">
        <f>DA132</f>
        <v>489</v>
      </c>
      <c r="DD132" s="42">
        <f>DC132</f>
        <v>489</v>
      </c>
      <c r="DE132" s="42">
        <f>DD132</f>
        <v>489</v>
      </c>
      <c r="DF132" s="42">
        <f>DE132</f>
        <v>489</v>
      </c>
      <c r="DG132" s="439">
        <f t="shared" si="294"/>
        <v>489</v>
      </c>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c r="HB132"/>
      <c r="HC132"/>
      <c r="HD132"/>
      <c r="HE132"/>
      <c r="HF132"/>
      <c r="HG132"/>
      <c r="HH132"/>
      <c r="HI132"/>
      <c r="HJ132"/>
      <c r="HK132"/>
      <c r="HL132"/>
      <c r="HM132"/>
      <c r="HN132"/>
      <c r="HO132"/>
      <c r="HP132"/>
      <c r="HQ132"/>
      <c r="HR132"/>
    </row>
    <row r="133" spans="1:226" s="19" customFormat="1" x14ac:dyDescent="0.2">
      <c r="A133" s="18" t="s">
        <v>38</v>
      </c>
      <c r="B133" s="37">
        <v>516</v>
      </c>
      <c r="C133" s="37">
        <v>486</v>
      </c>
      <c r="D133" s="37">
        <v>577</v>
      </c>
      <c r="E133" s="37">
        <v>514</v>
      </c>
      <c r="F133" s="439">
        <f>E133</f>
        <v>514</v>
      </c>
      <c r="G133" s="37">
        <v>450</v>
      </c>
      <c r="H133" s="37">
        <v>401</v>
      </c>
      <c r="I133" s="37">
        <v>497</v>
      </c>
      <c r="J133" s="37">
        <v>481</v>
      </c>
      <c r="K133" s="439">
        <f>J133</f>
        <v>481</v>
      </c>
      <c r="L133" s="37">
        <v>370</v>
      </c>
      <c r="M133" s="37">
        <v>327</v>
      </c>
      <c r="N133" s="37">
        <v>458</v>
      </c>
      <c r="O133" s="37">
        <v>463</v>
      </c>
      <c r="P133" s="439">
        <f>O133</f>
        <v>463</v>
      </c>
      <c r="Q133" s="37">
        <v>379</v>
      </c>
      <c r="R133" s="37">
        <v>345</v>
      </c>
      <c r="S133" s="37">
        <v>444</v>
      </c>
      <c r="T133" s="37">
        <v>460</v>
      </c>
      <c r="U133" s="439">
        <f>T133</f>
        <v>460</v>
      </c>
      <c r="V133" s="37">
        <v>385</v>
      </c>
      <c r="W133" s="37">
        <v>354</v>
      </c>
      <c r="X133" s="37">
        <v>401</v>
      </c>
      <c r="Y133" s="37">
        <v>411</v>
      </c>
      <c r="Z133" s="439">
        <f>Y133</f>
        <v>411</v>
      </c>
      <c r="AA133" s="37">
        <v>362</v>
      </c>
      <c r="AB133" s="37">
        <v>377</v>
      </c>
      <c r="AC133" s="37">
        <v>386</v>
      </c>
      <c r="AD133" s="37">
        <v>435</v>
      </c>
      <c r="AE133" s="439">
        <f>AD133</f>
        <v>435</v>
      </c>
      <c r="AF133" s="37">
        <v>374</v>
      </c>
      <c r="AG133" s="37">
        <v>393</v>
      </c>
      <c r="AH133" s="37">
        <v>426</v>
      </c>
      <c r="AI133" s="37">
        <v>460</v>
      </c>
      <c r="AJ133" s="439">
        <f>AI133</f>
        <v>460</v>
      </c>
      <c r="AK133" s="37">
        <v>408</v>
      </c>
      <c r="AL133" s="37">
        <v>397</v>
      </c>
      <c r="AM133" s="37">
        <v>456</v>
      </c>
      <c r="AN133" s="37">
        <v>505</v>
      </c>
      <c r="AO133" s="439">
        <f t="shared" si="283"/>
        <v>505</v>
      </c>
      <c r="AP133" s="37">
        <v>455</v>
      </c>
      <c r="AQ133" s="37">
        <v>409</v>
      </c>
      <c r="AR133" s="37">
        <v>457</v>
      </c>
      <c r="AS133" s="37">
        <v>486</v>
      </c>
      <c r="AT133" s="439">
        <f t="shared" si="284"/>
        <v>486</v>
      </c>
      <c r="AU133" s="37">
        <v>458</v>
      </c>
      <c r="AV133" s="37">
        <v>423</v>
      </c>
      <c r="AW133" s="37">
        <v>556</v>
      </c>
      <c r="AX133" s="58">
        <v>544</v>
      </c>
      <c r="AY133" s="439">
        <f t="shared" si="285"/>
        <v>544</v>
      </c>
      <c r="AZ133" s="58">
        <v>480</v>
      </c>
      <c r="BA133" s="58">
        <v>440</v>
      </c>
      <c r="BB133" s="58">
        <v>499</v>
      </c>
      <c r="BC133" s="58">
        <v>525</v>
      </c>
      <c r="BD133" s="439">
        <f t="shared" si="286"/>
        <v>525</v>
      </c>
      <c r="BE133" s="58">
        <v>439</v>
      </c>
      <c r="BF133" s="58">
        <v>489</v>
      </c>
      <c r="BG133" s="58">
        <v>557</v>
      </c>
      <c r="BH133" s="58">
        <v>576</v>
      </c>
      <c r="BI133" s="439">
        <f t="shared" si="287"/>
        <v>576</v>
      </c>
      <c r="BJ133" s="58">
        <v>503</v>
      </c>
      <c r="BK133" s="58">
        <v>511</v>
      </c>
      <c r="BL133" s="58">
        <v>562</v>
      </c>
      <c r="BM133" s="58">
        <v>580</v>
      </c>
      <c r="BN133" s="439">
        <f t="shared" si="288"/>
        <v>580</v>
      </c>
      <c r="BO133" s="58">
        <v>506</v>
      </c>
      <c r="BP133" s="58">
        <v>499</v>
      </c>
      <c r="BQ133" s="58">
        <v>551</v>
      </c>
      <c r="BR133" s="58">
        <v>546</v>
      </c>
      <c r="BS133" s="439">
        <f t="shared" si="289"/>
        <v>546</v>
      </c>
      <c r="BT133" s="677">
        <v>455</v>
      </c>
      <c r="BU133" s="677">
        <v>473</v>
      </c>
      <c r="BV133" s="58">
        <v>528</v>
      </c>
      <c r="BW133" s="58">
        <v>519</v>
      </c>
      <c r="BX133" s="439">
        <f t="shared" si="295"/>
        <v>519</v>
      </c>
      <c r="BY133" s="58">
        <v>472</v>
      </c>
      <c r="BZ133" s="58">
        <v>474</v>
      </c>
      <c r="CA133" s="58">
        <v>530</v>
      </c>
      <c r="CB133" s="677">
        <v>569</v>
      </c>
      <c r="CC133" s="439">
        <f t="shared" si="296"/>
        <v>569</v>
      </c>
      <c r="CD133" s="58">
        <v>494</v>
      </c>
      <c r="CE133" s="58">
        <v>514</v>
      </c>
      <c r="CF133" s="58">
        <v>568</v>
      </c>
      <c r="CG133" s="677">
        <v>565</v>
      </c>
      <c r="CH133" s="439">
        <f t="shared" si="297"/>
        <v>565</v>
      </c>
      <c r="CI133" s="677">
        <v>531</v>
      </c>
      <c r="CJ133" s="677">
        <v>536</v>
      </c>
      <c r="CK133" s="58">
        <f>+CK214*CK7*4</f>
        <v>642.45564683596228</v>
      </c>
      <c r="CL133" s="58">
        <f ca="1">+CL214*CL7*4</f>
        <v>662.44384438229565</v>
      </c>
      <c r="CM133" s="439">
        <f t="shared" ca="1" si="290"/>
        <v>662.44384438229565</v>
      </c>
      <c r="CN133" s="58">
        <f>+CN214*CN7*4</f>
        <v>592.20508751157547</v>
      </c>
      <c r="CO133" s="58">
        <f>+CO214*CO7*4</f>
        <v>603.16803174680535</v>
      </c>
      <c r="CP133" s="58">
        <f>+CP214*CP7*4</f>
        <v>719.29383177129466</v>
      </c>
      <c r="CQ133" s="58">
        <f ca="1">+CQ214*CQ7*4</f>
        <v>717.40556584239437</v>
      </c>
      <c r="CR133" s="439">
        <f t="shared" ca="1" si="291"/>
        <v>717.40556584239437</v>
      </c>
      <c r="CS133" s="58">
        <f>+CS214*CS7*4</f>
        <v>638.53313936347854</v>
      </c>
      <c r="CT133" s="58">
        <f>+CT214*CT7*4</f>
        <v>648.6602426494585</v>
      </c>
      <c r="CU133" s="58">
        <f>+CU214*CU7*4</f>
        <v>769.33727750688718</v>
      </c>
      <c r="CV133" s="58">
        <f ca="1">+CV214*CV7*4</f>
        <v>770.20219311583742</v>
      </c>
      <c r="CW133" s="439">
        <f t="shared" ca="1" si="292"/>
        <v>770.20219311583742</v>
      </c>
      <c r="CX133" s="58">
        <f>+CX214*CX7*4</f>
        <v>686.78057594084203</v>
      </c>
      <c r="CY133" s="58">
        <f>+CY214*CY7*4</f>
        <v>696.06581326409116</v>
      </c>
      <c r="CZ133" s="58">
        <f>+CZ214*CZ7*4</f>
        <v>821.42364862875934</v>
      </c>
      <c r="DA133" s="58">
        <f ca="1">+DA214*DA7*4</f>
        <v>825.12058178584562</v>
      </c>
      <c r="DB133" s="439">
        <f t="shared" ca="1" si="293"/>
        <v>825.12058178584562</v>
      </c>
      <c r="DC133" s="58">
        <f>+DC214*DC7*4</f>
        <v>737.02492607930697</v>
      </c>
      <c r="DD133" s="58">
        <f>+DD214*DD7*4</f>
        <v>745.46380116815328</v>
      </c>
      <c r="DE133" s="58">
        <f>+DE214*DE7*4</f>
        <v>875.63558843295255</v>
      </c>
      <c r="DF133" s="58">
        <f ca="1">+DF214*DF7*4</f>
        <v>882.24501314338761</v>
      </c>
      <c r="DG133" s="439">
        <f t="shared" ca="1" si="294"/>
        <v>882.24501314338761</v>
      </c>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c r="HB133"/>
      <c r="HC133"/>
      <c r="HD133"/>
      <c r="HE133"/>
      <c r="HF133"/>
      <c r="HG133"/>
      <c r="HH133"/>
      <c r="HI133"/>
      <c r="HJ133"/>
      <c r="HK133"/>
      <c r="HL133"/>
      <c r="HM133"/>
      <c r="HN133"/>
      <c r="HO133"/>
      <c r="HP133"/>
      <c r="HQ133"/>
      <c r="HR133"/>
    </row>
    <row r="134" spans="1:226" s="19" customFormat="1" x14ac:dyDescent="0.2">
      <c r="A134" s="18" t="s">
        <v>39</v>
      </c>
      <c r="B134" s="37">
        <v>378</v>
      </c>
      <c r="C134" s="37">
        <v>379</v>
      </c>
      <c r="D134" s="37">
        <v>359</v>
      </c>
      <c r="E134" s="37">
        <v>281</v>
      </c>
      <c r="F134" s="439">
        <f>E134</f>
        <v>281</v>
      </c>
      <c r="G134" s="37">
        <v>300</v>
      </c>
      <c r="H134" s="37">
        <v>357</v>
      </c>
      <c r="I134" s="37">
        <v>320</v>
      </c>
      <c r="J134" s="37">
        <v>252</v>
      </c>
      <c r="K134" s="439">
        <f>J134</f>
        <v>252</v>
      </c>
      <c r="L134" s="37">
        <v>249</v>
      </c>
      <c r="M134" s="37">
        <v>274</v>
      </c>
      <c r="N134" s="37">
        <v>303</v>
      </c>
      <c r="O134" s="37">
        <v>264</v>
      </c>
      <c r="P134" s="439">
        <f>O134</f>
        <v>264</v>
      </c>
      <c r="Q134" s="37">
        <v>273</v>
      </c>
      <c r="R134" s="37">
        <v>305</v>
      </c>
      <c r="S134" s="37">
        <v>342</v>
      </c>
      <c r="T134" s="37">
        <v>301</v>
      </c>
      <c r="U134" s="439">
        <f>T134</f>
        <v>301</v>
      </c>
      <c r="V134" s="37">
        <v>305</v>
      </c>
      <c r="W134" s="37">
        <v>342</v>
      </c>
      <c r="X134" s="37">
        <v>374</v>
      </c>
      <c r="Y134" s="37">
        <v>323</v>
      </c>
      <c r="Z134" s="439">
        <f>Y134</f>
        <v>323</v>
      </c>
      <c r="AA134" s="37">
        <v>344</v>
      </c>
      <c r="AB134" s="37">
        <v>359</v>
      </c>
      <c r="AC134" s="37">
        <v>377</v>
      </c>
      <c r="AD134" s="37">
        <v>292</v>
      </c>
      <c r="AE134" s="439">
        <f>AD134</f>
        <v>292</v>
      </c>
      <c r="AF134" s="37">
        <v>325</v>
      </c>
      <c r="AG134" s="37">
        <v>340</v>
      </c>
      <c r="AH134" s="37">
        <v>346</v>
      </c>
      <c r="AI134" s="37">
        <v>309</v>
      </c>
      <c r="AJ134" s="439">
        <f>AI134</f>
        <v>309</v>
      </c>
      <c r="AK134" s="37">
        <v>332</v>
      </c>
      <c r="AL134" s="37">
        <v>421</v>
      </c>
      <c r="AM134" s="37">
        <v>423</v>
      </c>
      <c r="AN134" s="37">
        <v>384</v>
      </c>
      <c r="AO134" s="439">
        <f t="shared" si="283"/>
        <v>384</v>
      </c>
      <c r="AP134" s="37">
        <v>421</v>
      </c>
      <c r="AQ134" s="37">
        <v>405</v>
      </c>
      <c r="AR134" s="37">
        <v>406</v>
      </c>
      <c r="AS134" s="37">
        <v>366</v>
      </c>
      <c r="AT134" s="439">
        <f t="shared" si="284"/>
        <v>366</v>
      </c>
      <c r="AU134" s="37">
        <v>392</v>
      </c>
      <c r="AV134" s="37">
        <v>409</v>
      </c>
      <c r="AW134" s="37">
        <v>423</v>
      </c>
      <c r="AX134" s="58">
        <v>367</v>
      </c>
      <c r="AY134" s="439">
        <f t="shared" si="285"/>
        <v>367</v>
      </c>
      <c r="AZ134" s="58">
        <v>370</v>
      </c>
      <c r="BA134" s="58">
        <v>412</v>
      </c>
      <c r="BB134" s="58">
        <v>435</v>
      </c>
      <c r="BC134" s="58">
        <v>382</v>
      </c>
      <c r="BD134" s="439">
        <f t="shared" si="286"/>
        <v>382</v>
      </c>
      <c r="BE134" s="58">
        <v>407</v>
      </c>
      <c r="BF134" s="58">
        <v>451</v>
      </c>
      <c r="BG134" s="58">
        <v>454</v>
      </c>
      <c r="BH134" s="58">
        <v>384</v>
      </c>
      <c r="BI134" s="439">
        <f t="shared" si="287"/>
        <v>384</v>
      </c>
      <c r="BJ134" s="58">
        <v>421</v>
      </c>
      <c r="BK134" s="58">
        <v>444</v>
      </c>
      <c r="BL134" s="58">
        <v>454</v>
      </c>
      <c r="BM134" s="58">
        <v>394</v>
      </c>
      <c r="BN134" s="439">
        <f t="shared" si="288"/>
        <v>394</v>
      </c>
      <c r="BO134" s="58">
        <v>439</v>
      </c>
      <c r="BP134" s="58">
        <v>466</v>
      </c>
      <c r="BQ134" s="58">
        <v>447</v>
      </c>
      <c r="BR134" s="58">
        <v>386</v>
      </c>
      <c r="BS134" s="439">
        <f t="shared" si="289"/>
        <v>386</v>
      </c>
      <c r="BT134" s="677">
        <v>397</v>
      </c>
      <c r="BU134" s="677">
        <v>446</v>
      </c>
      <c r="BV134" s="58">
        <v>440</v>
      </c>
      <c r="BW134" s="58">
        <v>385</v>
      </c>
      <c r="BX134" s="439">
        <f t="shared" si="295"/>
        <v>385</v>
      </c>
      <c r="BY134" s="58">
        <v>408</v>
      </c>
      <c r="BZ134" s="58">
        <v>450</v>
      </c>
      <c r="CA134" s="58">
        <v>460</v>
      </c>
      <c r="CB134" s="677">
        <v>443</v>
      </c>
      <c r="CC134" s="439">
        <f t="shared" si="296"/>
        <v>443</v>
      </c>
      <c r="CD134" s="58">
        <v>465</v>
      </c>
      <c r="CE134" s="58">
        <v>501</v>
      </c>
      <c r="CF134" s="58">
        <v>510</v>
      </c>
      <c r="CG134" s="677">
        <v>459</v>
      </c>
      <c r="CH134" s="439">
        <f t="shared" si="297"/>
        <v>459</v>
      </c>
      <c r="CI134" s="677">
        <v>462</v>
      </c>
      <c r="CJ134" s="677">
        <v>494</v>
      </c>
      <c r="CK134" s="58">
        <f>-CK215*CK11*4</f>
        <v>568.32051612167811</v>
      </c>
      <c r="CL134" s="58">
        <f ca="1">-CL215*CL11*4</f>
        <v>524.25975692861732</v>
      </c>
      <c r="CM134" s="439">
        <f t="shared" ca="1" si="290"/>
        <v>524.25975692861732</v>
      </c>
      <c r="CN134" s="58">
        <f>-CN215*CN11*4</f>
        <v>509.73957141907408</v>
      </c>
      <c r="CO134" s="58">
        <f>-CO215*CO11*4</f>
        <v>541.43131450924329</v>
      </c>
      <c r="CP134" s="58">
        <f>-CP215*CP11*4</f>
        <v>619.60445063703992</v>
      </c>
      <c r="CQ134" s="58">
        <f ca="1">-CQ215*CQ11*4</f>
        <v>555.60485367109391</v>
      </c>
      <c r="CR134" s="439">
        <f t="shared" ca="1" si="291"/>
        <v>555.60485367109391</v>
      </c>
      <c r="CS134" s="58">
        <f>-CS215*CS11*4</f>
        <v>538.77921721396751</v>
      </c>
      <c r="CT134" s="58">
        <f>-CT215*CT11*4</f>
        <v>570.97383385774526</v>
      </c>
      <c r="CU134" s="58">
        <f>-CU215*CU11*4</f>
        <v>651.77164341618766</v>
      </c>
      <c r="CV134" s="58">
        <f ca="1">-CV215*CV11*4</f>
        <v>587.04265683053688</v>
      </c>
      <c r="CW134" s="439">
        <f t="shared" ca="1" si="292"/>
        <v>587.04265683053688</v>
      </c>
      <c r="CX134" s="58">
        <f>-CX215*CX11*4</f>
        <v>568.89309277185396</v>
      </c>
      <c r="CY134" s="58">
        <f>-CY215*CY11*4</f>
        <v>601.6250828891923</v>
      </c>
      <c r="CZ134" s="58">
        <f>-CZ215*CZ11*4</f>
        <v>685.11367449330078</v>
      </c>
      <c r="DA134" s="58">
        <f ca="1">-DA215*DA11*4</f>
        <v>619.61451748509432</v>
      </c>
      <c r="DB134" s="439">
        <f t="shared" ca="1" si="293"/>
        <v>619.61451748509432</v>
      </c>
      <c r="DC134" s="58">
        <f>-DC215*DC11*4</f>
        <v>600.12162576629169</v>
      </c>
      <c r="DD134" s="58">
        <f>-DD215*DD11*4</f>
        <v>633.42777372345529</v>
      </c>
      <c r="DE134" s="58">
        <f>-DE215*DE11*4</f>
        <v>719.67490675310057</v>
      </c>
      <c r="DF134" s="58">
        <f ca="1">-DF215*DF11*4</f>
        <v>653.36247974762307</v>
      </c>
      <c r="DG134" s="439">
        <f t="shared" ca="1" si="294"/>
        <v>653.36247974762307</v>
      </c>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c r="HB134"/>
      <c r="HC134"/>
      <c r="HD134"/>
      <c r="HE134"/>
      <c r="HF134"/>
      <c r="HG134"/>
      <c r="HH134"/>
      <c r="HI134"/>
      <c r="HJ134"/>
      <c r="HK134"/>
      <c r="HL134"/>
      <c r="HM134"/>
      <c r="HN134"/>
      <c r="HO134"/>
      <c r="HP134"/>
      <c r="HQ134"/>
      <c r="HR134"/>
    </row>
    <row r="135" spans="1:226" s="19" customFormat="1" x14ac:dyDescent="0.2">
      <c r="A135" s="18" t="s">
        <v>40</v>
      </c>
      <c r="B135" s="37">
        <f>170+24</f>
        <v>194</v>
      </c>
      <c r="C135" s="37">
        <f>172+23</f>
        <v>195</v>
      </c>
      <c r="D135" s="37">
        <v>49</v>
      </c>
      <c r="E135" s="37">
        <v>57</v>
      </c>
      <c r="F135" s="439">
        <f>E135</f>
        <v>57</v>
      </c>
      <c r="G135" s="37">
        <v>51</v>
      </c>
      <c r="H135" s="37">
        <v>56</v>
      </c>
      <c r="I135" s="37">
        <v>48</v>
      </c>
      <c r="J135" s="37">
        <v>83</v>
      </c>
      <c r="K135" s="439">
        <f>J135</f>
        <v>83</v>
      </c>
      <c r="L135" s="37">
        <v>76</v>
      </c>
      <c r="M135" s="37">
        <v>83</v>
      </c>
      <c r="N135" s="37">
        <v>89</v>
      </c>
      <c r="O135" s="37">
        <v>46</v>
      </c>
      <c r="P135" s="439">
        <f>O135</f>
        <v>46</v>
      </c>
      <c r="Q135" s="37">
        <v>44</v>
      </c>
      <c r="R135" s="37">
        <v>43</v>
      </c>
      <c r="S135" s="37">
        <v>42</v>
      </c>
      <c r="T135" s="37">
        <v>45</v>
      </c>
      <c r="U135" s="439">
        <f>T135</f>
        <v>45</v>
      </c>
      <c r="V135" s="37">
        <v>53</v>
      </c>
      <c r="W135" s="37">
        <f>8+43</f>
        <v>51</v>
      </c>
      <c r="X135" s="37">
        <v>60</v>
      </c>
      <c r="Y135" s="37">
        <v>63</v>
      </c>
      <c r="Z135" s="439">
        <f>Y135</f>
        <v>63</v>
      </c>
      <c r="AA135" s="37">
        <v>64</v>
      </c>
      <c r="AB135" s="37">
        <v>58</v>
      </c>
      <c r="AC135" s="37">
        <v>67</v>
      </c>
      <c r="AD135" s="37">
        <v>88</v>
      </c>
      <c r="AE135" s="439">
        <f>AD135</f>
        <v>88</v>
      </c>
      <c r="AF135" s="37">
        <v>67</v>
      </c>
      <c r="AG135" s="37">
        <v>67</v>
      </c>
      <c r="AH135" s="37">
        <v>75</v>
      </c>
      <c r="AI135" s="37">
        <v>81</v>
      </c>
      <c r="AJ135" s="439">
        <f>AI135</f>
        <v>81</v>
      </c>
      <c r="AK135" s="37">
        <v>115</v>
      </c>
      <c r="AL135" s="37">
        <v>117</v>
      </c>
      <c r="AM135" s="37">
        <v>108</v>
      </c>
      <c r="AN135" s="37">
        <v>146</v>
      </c>
      <c r="AO135" s="439">
        <f t="shared" si="283"/>
        <v>146</v>
      </c>
      <c r="AP135" s="37">
        <v>106</v>
      </c>
      <c r="AQ135" s="37">
        <v>130</v>
      </c>
      <c r="AR135" s="37">
        <v>132</v>
      </c>
      <c r="AS135" s="37">
        <v>122</v>
      </c>
      <c r="AT135" s="439">
        <f t="shared" si="284"/>
        <v>122</v>
      </c>
      <c r="AU135" s="37">
        <v>114</v>
      </c>
      <c r="AV135" s="37">
        <v>117</v>
      </c>
      <c r="AW135" s="37">
        <v>118</v>
      </c>
      <c r="AX135" s="58">
        <v>126</v>
      </c>
      <c r="AY135" s="439">
        <f t="shared" si="285"/>
        <v>126</v>
      </c>
      <c r="AZ135" s="58">
        <v>113</v>
      </c>
      <c r="BA135" s="58">
        <v>113</v>
      </c>
      <c r="BB135" s="58">
        <v>117</v>
      </c>
      <c r="BC135" s="58">
        <v>113</v>
      </c>
      <c r="BD135" s="439">
        <f t="shared" si="286"/>
        <v>113</v>
      </c>
      <c r="BE135" s="58">
        <v>122</v>
      </c>
      <c r="BF135" s="58">
        <v>111</v>
      </c>
      <c r="BG135" s="58">
        <v>128</v>
      </c>
      <c r="BH135" s="58">
        <v>149</v>
      </c>
      <c r="BI135" s="439">
        <f t="shared" si="287"/>
        <v>149</v>
      </c>
      <c r="BJ135" s="58">
        <v>154</v>
      </c>
      <c r="BK135" s="58">
        <v>152</v>
      </c>
      <c r="BL135" s="58">
        <v>149</v>
      </c>
      <c r="BM135" s="58">
        <v>147</v>
      </c>
      <c r="BN135" s="439">
        <f t="shared" si="288"/>
        <v>147</v>
      </c>
      <c r="BO135" s="58">
        <v>152</v>
      </c>
      <c r="BP135" s="58">
        <v>194</v>
      </c>
      <c r="BQ135" s="58">
        <v>158</v>
      </c>
      <c r="BR135" s="58">
        <v>134</v>
      </c>
      <c r="BS135" s="439">
        <f t="shared" si="289"/>
        <v>134</v>
      </c>
      <c r="BT135" s="677">
        <v>144</v>
      </c>
      <c r="BU135" s="677">
        <v>167</v>
      </c>
      <c r="BV135" s="58">
        <v>149</v>
      </c>
      <c r="BW135" s="58">
        <v>143</v>
      </c>
      <c r="BX135" s="439">
        <f t="shared" si="295"/>
        <v>143</v>
      </c>
      <c r="BY135" s="58">
        <v>147</v>
      </c>
      <c r="BZ135" s="58">
        <v>176</v>
      </c>
      <c r="CA135" s="58">
        <v>186</v>
      </c>
      <c r="CB135" s="677">
        <v>72</v>
      </c>
      <c r="CC135" s="439">
        <f t="shared" si="296"/>
        <v>72</v>
      </c>
      <c r="CD135" s="58">
        <v>49</v>
      </c>
      <c r="CE135" s="58">
        <v>120</v>
      </c>
      <c r="CF135" s="58">
        <v>94</v>
      </c>
      <c r="CG135" s="677">
        <v>72</v>
      </c>
      <c r="CH135" s="439">
        <f t="shared" si="297"/>
        <v>72</v>
      </c>
      <c r="CI135" s="677">
        <v>59</v>
      </c>
      <c r="CJ135" s="677">
        <v>161</v>
      </c>
      <c r="CK135" s="58">
        <f>+CK217*CK7*4</f>
        <v>87.225535594055245</v>
      </c>
      <c r="CL135" s="58">
        <f ca="1">+CL217*CL7*4</f>
        <v>65.225853926799786</v>
      </c>
      <c r="CM135" s="439">
        <f t="shared" ca="1" si="290"/>
        <v>65.225853926799786</v>
      </c>
      <c r="CN135" s="58">
        <f>+CN217*CN7*4</f>
        <v>62.281818472696884</v>
      </c>
      <c r="CO135" s="58">
        <f>+CO217*CO7*4</f>
        <v>172.08330931251001</v>
      </c>
      <c r="CP135" s="58">
        <f>+CP217*CP7*4</f>
        <v>93.264351145783678</v>
      </c>
      <c r="CQ135" s="58">
        <f ca="1">+CQ217*CQ7*4</f>
        <v>67.13235355819026</v>
      </c>
      <c r="CR135" s="439">
        <f t="shared" ca="1" si="291"/>
        <v>67.13235355819026</v>
      </c>
      <c r="CS135" s="58">
        <f>+CS217*CS7*4</f>
        <v>63.745271103968243</v>
      </c>
      <c r="CT135" s="58">
        <f>+CT217*CT7*4</f>
        <v>176.21878217225094</v>
      </c>
      <c r="CU135" s="58">
        <f>+CU217*CU7*4</f>
        <v>95.458547762010838</v>
      </c>
      <c r="CV135" s="58">
        <f ca="1">+CV217*CV7*4</f>
        <v>68.665566094450867</v>
      </c>
      <c r="CW135" s="439">
        <f t="shared" ca="1" si="292"/>
        <v>68.665566094450867</v>
      </c>
      <c r="CX135" s="58">
        <f>+CX217*CX7*4</f>
        <v>65.249684348646809</v>
      </c>
      <c r="CY135" s="58">
        <f>+CY217*CY7*4</f>
        <v>180.47313182092029</v>
      </c>
      <c r="CZ135" s="58">
        <f>+CZ217*CZ7*4</f>
        <v>97.714638251998466</v>
      </c>
      <c r="DA135" s="58">
        <f ca="1">+DA217*DA7*4</f>
        <v>70.240976153725029</v>
      </c>
      <c r="DB135" s="439">
        <f t="shared" ca="1" si="293"/>
        <v>70.240976153725029</v>
      </c>
      <c r="DC135" s="58">
        <f>+DC217*DC7*4</f>
        <v>66.79642187201091</v>
      </c>
      <c r="DD135" s="58">
        <f>+DD217*DD7*4</f>
        <v>184.85040658586843</v>
      </c>
      <c r="DE135" s="58">
        <f>+DE217*DE7*4</f>
        <v>100.03470389137019</v>
      </c>
      <c r="DF135" s="58">
        <f ca="1">+DF217*DF7*4</f>
        <v>71.859980759520809</v>
      </c>
      <c r="DG135" s="439">
        <f t="shared" ca="1" si="294"/>
        <v>71.859980759520809</v>
      </c>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c r="HB135"/>
      <c r="HC135"/>
      <c r="HD135"/>
      <c r="HE135"/>
      <c r="HF135"/>
      <c r="HG135"/>
      <c r="HH135"/>
      <c r="HI135"/>
      <c r="HJ135"/>
      <c r="HK135"/>
      <c r="HL135"/>
      <c r="HM135"/>
      <c r="HN135"/>
      <c r="HO135"/>
      <c r="HP135"/>
      <c r="HQ135"/>
      <c r="HR135"/>
    </row>
    <row r="136" spans="1:226" s="19" customFormat="1" x14ac:dyDescent="0.2">
      <c r="A136" s="18" t="s">
        <v>41</v>
      </c>
      <c r="B136" s="40">
        <v>0</v>
      </c>
      <c r="C136" s="40">
        <v>0</v>
      </c>
      <c r="D136" s="40">
        <v>0</v>
      </c>
      <c r="E136" s="40">
        <v>0</v>
      </c>
      <c r="F136" s="448">
        <f>E136</f>
        <v>0</v>
      </c>
      <c r="G136" s="40">
        <v>0</v>
      </c>
      <c r="H136" s="40">
        <v>0</v>
      </c>
      <c r="I136" s="40">
        <v>0</v>
      </c>
      <c r="J136" s="40">
        <v>51</v>
      </c>
      <c r="K136" s="448">
        <f>J136</f>
        <v>51</v>
      </c>
      <c r="L136" s="40">
        <v>32</v>
      </c>
      <c r="M136" s="40">
        <v>29</v>
      </c>
      <c r="N136" s="40">
        <v>23</v>
      </c>
      <c r="O136" s="40">
        <v>6</v>
      </c>
      <c r="P136" s="448">
        <f>O136</f>
        <v>6</v>
      </c>
      <c r="Q136" s="40">
        <v>8</v>
      </c>
      <c r="R136" s="40">
        <v>9</v>
      </c>
      <c r="S136" s="40">
        <v>6</v>
      </c>
      <c r="T136" s="40">
        <v>5</v>
      </c>
      <c r="U136" s="448">
        <f>T136</f>
        <v>5</v>
      </c>
      <c r="V136" s="40">
        <v>132</v>
      </c>
      <c r="W136" s="40">
        <v>0</v>
      </c>
      <c r="X136" s="40">
        <f>W136</f>
        <v>0</v>
      </c>
      <c r="Y136" s="40">
        <f>X136</f>
        <v>0</v>
      </c>
      <c r="Z136" s="448">
        <f>Y136</f>
        <v>0</v>
      </c>
      <c r="AA136" s="40">
        <v>0</v>
      </c>
      <c r="AB136" s="40">
        <v>0</v>
      </c>
      <c r="AC136" s="40">
        <v>0</v>
      </c>
      <c r="AD136" s="40">
        <v>0</v>
      </c>
      <c r="AE136" s="448">
        <f>AD136</f>
        <v>0</v>
      </c>
      <c r="AF136" s="40">
        <v>0</v>
      </c>
      <c r="AG136" s="40">
        <v>0</v>
      </c>
      <c r="AH136" s="40">
        <v>0</v>
      </c>
      <c r="AI136" s="40">
        <v>0</v>
      </c>
      <c r="AJ136" s="448">
        <f>AI136</f>
        <v>0</v>
      </c>
      <c r="AK136" s="40">
        <v>0</v>
      </c>
      <c r="AL136" s="40">
        <v>0</v>
      </c>
      <c r="AM136" s="40">
        <v>0</v>
      </c>
      <c r="AN136" s="40">
        <v>0</v>
      </c>
      <c r="AO136" s="448">
        <f t="shared" si="283"/>
        <v>0</v>
      </c>
      <c r="AP136" s="40">
        <v>0</v>
      </c>
      <c r="AQ136" s="40">
        <v>0</v>
      </c>
      <c r="AR136" s="40">
        <v>0</v>
      </c>
      <c r="AS136" s="40">
        <v>0</v>
      </c>
      <c r="AT136" s="448">
        <f t="shared" si="284"/>
        <v>0</v>
      </c>
      <c r="AU136" s="40">
        <v>0</v>
      </c>
      <c r="AV136" s="40">
        <v>0</v>
      </c>
      <c r="AW136" s="40">
        <v>0</v>
      </c>
      <c r="AX136" s="40">
        <v>0</v>
      </c>
      <c r="AY136" s="448">
        <f t="shared" si="285"/>
        <v>0</v>
      </c>
      <c r="AZ136" s="40">
        <v>472</v>
      </c>
      <c r="BA136" s="40">
        <v>0</v>
      </c>
      <c r="BB136" s="40">
        <f>BA136</f>
        <v>0</v>
      </c>
      <c r="BC136" s="40">
        <f>BB136</f>
        <v>0</v>
      </c>
      <c r="BD136" s="448">
        <f t="shared" si="286"/>
        <v>0</v>
      </c>
      <c r="BE136" s="40">
        <f>BD136</f>
        <v>0</v>
      </c>
      <c r="BF136" s="40">
        <f>BE136</f>
        <v>0</v>
      </c>
      <c r="BG136" s="40">
        <f>BF136</f>
        <v>0</v>
      </c>
      <c r="BH136" s="40">
        <f>BG136</f>
        <v>0</v>
      </c>
      <c r="BI136" s="448">
        <f t="shared" si="287"/>
        <v>0</v>
      </c>
      <c r="BJ136" s="40">
        <f>BI136</f>
        <v>0</v>
      </c>
      <c r="BK136" s="40">
        <v>0</v>
      </c>
      <c r="BL136" s="40">
        <f>BK136</f>
        <v>0</v>
      </c>
      <c r="BM136" s="40">
        <f>BL136</f>
        <v>0</v>
      </c>
      <c r="BN136" s="448">
        <f t="shared" si="288"/>
        <v>0</v>
      </c>
      <c r="BO136" s="40">
        <v>0</v>
      </c>
      <c r="BP136" s="40">
        <v>0</v>
      </c>
      <c r="BQ136" s="40">
        <f>BP136</f>
        <v>0</v>
      </c>
      <c r="BR136" s="40">
        <f>BQ136</f>
        <v>0</v>
      </c>
      <c r="BS136" s="448">
        <f t="shared" si="289"/>
        <v>0</v>
      </c>
      <c r="BT136" s="678">
        <f>BS136</f>
        <v>0</v>
      </c>
      <c r="BU136" s="678">
        <f>BT136</f>
        <v>0</v>
      </c>
      <c r="BV136" s="40">
        <f>BU136</f>
        <v>0</v>
      </c>
      <c r="BW136" s="40">
        <f>BV136</f>
        <v>0</v>
      </c>
      <c r="BX136" s="448">
        <f t="shared" si="295"/>
        <v>0</v>
      </c>
      <c r="BY136" s="40">
        <f>BX136</f>
        <v>0</v>
      </c>
      <c r="BZ136" s="40">
        <f>BY136</f>
        <v>0</v>
      </c>
      <c r="CA136" s="40">
        <f>BZ136</f>
        <v>0</v>
      </c>
      <c r="CB136" s="678">
        <f>CA136</f>
        <v>0</v>
      </c>
      <c r="CC136" s="448">
        <f t="shared" si="296"/>
        <v>0</v>
      </c>
      <c r="CD136" s="40">
        <f>CC136</f>
        <v>0</v>
      </c>
      <c r="CE136" s="40">
        <f>CD136</f>
        <v>0</v>
      </c>
      <c r="CF136" s="40">
        <f>CE136</f>
        <v>0</v>
      </c>
      <c r="CG136" s="678">
        <f>CF136</f>
        <v>0</v>
      </c>
      <c r="CH136" s="448">
        <f t="shared" si="297"/>
        <v>0</v>
      </c>
      <c r="CI136" s="678">
        <v>0</v>
      </c>
      <c r="CJ136" s="678">
        <v>0</v>
      </c>
      <c r="CK136" s="40">
        <f>CJ136</f>
        <v>0</v>
      </c>
      <c r="CL136" s="40">
        <f>CK136</f>
        <v>0</v>
      </c>
      <c r="CM136" s="448">
        <f t="shared" si="290"/>
        <v>0</v>
      </c>
      <c r="CN136" s="40">
        <f>CM136</f>
        <v>0</v>
      </c>
      <c r="CO136" s="40">
        <f>CN136</f>
        <v>0</v>
      </c>
      <c r="CP136" s="40">
        <f>CO136</f>
        <v>0</v>
      </c>
      <c r="CQ136" s="40">
        <f>CP136</f>
        <v>0</v>
      </c>
      <c r="CR136" s="448">
        <f t="shared" si="291"/>
        <v>0</v>
      </c>
      <c r="CS136" s="40">
        <f>CR136</f>
        <v>0</v>
      </c>
      <c r="CT136" s="40">
        <f>CS136</f>
        <v>0</v>
      </c>
      <c r="CU136" s="40">
        <f>CT136</f>
        <v>0</v>
      </c>
      <c r="CV136" s="40">
        <f>CU136</f>
        <v>0</v>
      </c>
      <c r="CW136" s="448">
        <f t="shared" si="292"/>
        <v>0</v>
      </c>
      <c r="CX136" s="40">
        <f>CW136</f>
        <v>0</v>
      </c>
      <c r="CY136" s="40">
        <f>CX136</f>
        <v>0</v>
      </c>
      <c r="CZ136" s="40">
        <f>CY136</f>
        <v>0</v>
      </c>
      <c r="DA136" s="40">
        <f>CZ136</f>
        <v>0</v>
      </c>
      <c r="DB136" s="448">
        <f t="shared" si="293"/>
        <v>0</v>
      </c>
      <c r="DC136" s="40">
        <f>DB136</f>
        <v>0</v>
      </c>
      <c r="DD136" s="40">
        <f>DC136</f>
        <v>0</v>
      </c>
      <c r="DE136" s="40">
        <f>DD136</f>
        <v>0</v>
      </c>
      <c r="DF136" s="40">
        <f>DE136</f>
        <v>0</v>
      </c>
      <c r="DG136" s="448">
        <f t="shared" si="294"/>
        <v>0</v>
      </c>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c r="HB136"/>
      <c r="HC136"/>
      <c r="HD136"/>
      <c r="HE136"/>
      <c r="HF136"/>
      <c r="HG136"/>
      <c r="HH136"/>
      <c r="HI136"/>
      <c r="HJ136"/>
      <c r="HK136"/>
      <c r="HL136"/>
      <c r="HM136"/>
      <c r="HN136"/>
      <c r="HO136"/>
      <c r="HP136"/>
      <c r="HQ136"/>
      <c r="HR136"/>
    </row>
    <row r="137" spans="1:226" s="45" customFormat="1" x14ac:dyDescent="0.2">
      <c r="A137" s="358" t="s">
        <v>42</v>
      </c>
      <c r="B137" s="44">
        <f>SUM(B132:B136)</f>
        <v>1277</v>
      </c>
      <c r="C137" s="44">
        <f>SUM(C132:C136)</f>
        <v>1256</v>
      </c>
      <c r="D137" s="44">
        <f>SUM(D132:D136)</f>
        <v>1137</v>
      </c>
      <c r="E137" s="44">
        <f>SUM(E132:E136)</f>
        <v>1103</v>
      </c>
      <c r="F137" s="449">
        <f>SUM(F132:F136)</f>
        <v>1103</v>
      </c>
      <c r="G137" s="44">
        <f>SUM(G131:G136)</f>
        <v>990</v>
      </c>
      <c r="H137" s="44">
        <f t="shared" ref="H137:AW137" si="298">SUM(H131:H136)</f>
        <v>996</v>
      </c>
      <c r="I137" s="44">
        <f t="shared" si="298"/>
        <v>1055</v>
      </c>
      <c r="J137" s="44">
        <f t="shared" si="298"/>
        <v>1044</v>
      </c>
      <c r="K137" s="449">
        <f t="shared" si="298"/>
        <v>1044</v>
      </c>
      <c r="L137" s="44">
        <f t="shared" si="298"/>
        <v>870</v>
      </c>
      <c r="M137" s="44">
        <f t="shared" si="298"/>
        <v>862</v>
      </c>
      <c r="N137" s="44">
        <f t="shared" si="298"/>
        <v>1052</v>
      </c>
      <c r="O137" s="44">
        <f t="shared" si="298"/>
        <v>951</v>
      </c>
      <c r="P137" s="449">
        <f t="shared" si="298"/>
        <v>951</v>
      </c>
      <c r="Q137" s="44">
        <f t="shared" si="298"/>
        <v>891</v>
      </c>
      <c r="R137" s="44">
        <f t="shared" si="298"/>
        <v>903</v>
      </c>
      <c r="S137" s="44">
        <f t="shared" si="298"/>
        <v>1033</v>
      </c>
      <c r="T137" s="44">
        <f t="shared" si="298"/>
        <v>1043</v>
      </c>
      <c r="U137" s="449">
        <f t="shared" si="298"/>
        <v>1043</v>
      </c>
      <c r="V137" s="44">
        <f t="shared" si="298"/>
        <v>1130</v>
      </c>
      <c r="W137" s="44">
        <f t="shared" si="298"/>
        <v>1047</v>
      </c>
      <c r="X137" s="44">
        <f t="shared" si="298"/>
        <v>1128</v>
      </c>
      <c r="Y137" s="44">
        <f t="shared" si="298"/>
        <v>1090</v>
      </c>
      <c r="Z137" s="449">
        <f t="shared" si="298"/>
        <v>1090</v>
      </c>
      <c r="AA137" s="44">
        <f t="shared" si="298"/>
        <v>1043</v>
      </c>
      <c r="AB137" s="44">
        <f t="shared" si="298"/>
        <v>1067</v>
      </c>
      <c r="AC137" s="44">
        <f t="shared" si="298"/>
        <v>1119</v>
      </c>
      <c r="AD137" s="44">
        <f t="shared" si="298"/>
        <v>1007</v>
      </c>
      <c r="AE137" s="449">
        <f t="shared" si="298"/>
        <v>1007</v>
      </c>
      <c r="AF137" s="44">
        <f t="shared" si="298"/>
        <v>940</v>
      </c>
      <c r="AG137" s="44">
        <f t="shared" si="298"/>
        <v>979</v>
      </c>
      <c r="AH137" s="44">
        <f t="shared" si="298"/>
        <v>1018</v>
      </c>
      <c r="AI137" s="44">
        <f t="shared" si="298"/>
        <v>1032</v>
      </c>
      <c r="AJ137" s="449">
        <f t="shared" si="298"/>
        <v>1032</v>
      </c>
      <c r="AK137" s="44">
        <f t="shared" si="298"/>
        <v>1064</v>
      </c>
      <c r="AL137" s="44">
        <f t="shared" si="298"/>
        <v>1215</v>
      </c>
      <c r="AM137" s="44">
        <f t="shared" si="298"/>
        <v>1269</v>
      </c>
      <c r="AN137" s="44">
        <f t="shared" si="298"/>
        <v>1249</v>
      </c>
      <c r="AO137" s="449">
        <f t="shared" si="298"/>
        <v>1249</v>
      </c>
      <c r="AP137" s="44">
        <f t="shared" si="298"/>
        <v>1166</v>
      </c>
      <c r="AQ137" s="44">
        <f t="shared" si="298"/>
        <v>1041</v>
      </c>
      <c r="AR137" s="44">
        <f t="shared" si="298"/>
        <v>1112</v>
      </c>
      <c r="AS137" s="44">
        <f t="shared" si="298"/>
        <v>1180</v>
      </c>
      <c r="AT137" s="449">
        <f t="shared" si="298"/>
        <v>1180</v>
      </c>
      <c r="AU137" s="44">
        <f t="shared" si="298"/>
        <v>1201</v>
      </c>
      <c r="AV137" s="44">
        <f t="shared" si="298"/>
        <v>1103</v>
      </c>
      <c r="AW137" s="44">
        <f t="shared" si="298"/>
        <v>1338</v>
      </c>
      <c r="AX137" s="44">
        <f t="shared" ref="AX137:CC137" si="299">SUM(AX131:AX136)</f>
        <v>1124</v>
      </c>
      <c r="AY137" s="449">
        <f t="shared" si="299"/>
        <v>1124</v>
      </c>
      <c r="AZ137" s="44">
        <f t="shared" si="299"/>
        <v>1721</v>
      </c>
      <c r="BA137" s="44">
        <f t="shared" si="299"/>
        <v>1344</v>
      </c>
      <c r="BB137" s="44">
        <f t="shared" si="299"/>
        <v>1204</v>
      </c>
      <c r="BC137" s="44">
        <f t="shared" si="299"/>
        <v>1279</v>
      </c>
      <c r="BD137" s="449">
        <f t="shared" si="299"/>
        <v>1279</v>
      </c>
      <c r="BE137" s="44">
        <f t="shared" si="299"/>
        <v>1238</v>
      </c>
      <c r="BF137" s="44">
        <f t="shared" si="299"/>
        <v>1348</v>
      </c>
      <c r="BG137" s="44">
        <f t="shared" si="299"/>
        <v>1442</v>
      </c>
      <c r="BH137" s="44">
        <f t="shared" si="299"/>
        <v>1376</v>
      </c>
      <c r="BI137" s="449">
        <f t="shared" si="299"/>
        <v>1376</v>
      </c>
      <c r="BJ137" s="44">
        <f t="shared" si="299"/>
        <v>1745</v>
      </c>
      <c r="BK137" s="44">
        <f t="shared" si="299"/>
        <v>1552</v>
      </c>
      <c r="BL137" s="44">
        <f t="shared" si="299"/>
        <v>1588</v>
      </c>
      <c r="BM137" s="44">
        <f>SUM(BM131:BM136)</f>
        <v>1420</v>
      </c>
      <c r="BN137" s="449">
        <f>SUM(BN131:BN136)</f>
        <v>1420</v>
      </c>
      <c r="BO137" s="44">
        <f t="shared" si="299"/>
        <v>1420</v>
      </c>
      <c r="BP137" s="44">
        <f t="shared" si="299"/>
        <v>1500</v>
      </c>
      <c r="BQ137" s="44">
        <f>SUM(BQ131:BQ136)</f>
        <v>1520</v>
      </c>
      <c r="BR137" s="44">
        <f>SUM(BR131:BR136)</f>
        <v>1395</v>
      </c>
      <c r="BS137" s="449">
        <f t="shared" si="299"/>
        <v>1395</v>
      </c>
      <c r="BT137" s="44">
        <f t="shared" si="299"/>
        <v>1351</v>
      </c>
      <c r="BU137" s="44">
        <f>SUM(BU131:BU136)</f>
        <v>1905</v>
      </c>
      <c r="BV137" s="44">
        <f t="shared" si="299"/>
        <v>1495</v>
      </c>
      <c r="BW137" s="44">
        <f t="shared" si="299"/>
        <v>1429</v>
      </c>
      <c r="BX137" s="449">
        <f t="shared" si="299"/>
        <v>1429</v>
      </c>
      <c r="BY137" s="44">
        <f>SUM(BY131:BY136)</f>
        <v>1410</v>
      </c>
      <c r="BZ137" s="44">
        <f>SUM(BZ131:BZ136)</f>
        <v>1490</v>
      </c>
      <c r="CA137" s="44">
        <f>SUM(CA131:CA136)</f>
        <v>1590</v>
      </c>
      <c r="CB137" s="44">
        <f>SUM(CB131:CB136)</f>
        <v>1485</v>
      </c>
      <c r="CC137" s="449">
        <f t="shared" si="299"/>
        <v>1485</v>
      </c>
      <c r="CD137" s="44">
        <f t="shared" ref="CD137:CW137" ca="1" si="300">SUM(CD131:CD136)</f>
        <v>1416</v>
      </c>
      <c r="CE137" s="44">
        <f t="shared" ca="1" si="300"/>
        <v>1549</v>
      </c>
      <c r="CF137" s="44">
        <f t="shared" ca="1" si="300"/>
        <v>1603</v>
      </c>
      <c r="CG137" s="44">
        <f t="shared" ca="1" si="300"/>
        <v>1514</v>
      </c>
      <c r="CH137" s="449">
        <f t="shared" si="300"/>
        <v>1514</v>
      </c>
      <c r="CI137" s="44">
        <f t="shared" si="300"/>
        <v>1520</v>
      </c>
      <c r="CJ137" s="44">
        <f t="shared" si="300"/>
        <v>1680</v>
      </c>
      <c r="CK137" s="44">
        <f t="shared" ca="1" si="300"/>
        <v>1787.0016985516957</v>
      </c>
      <c r="CL137" s="44">
        <f t="shared" ca="1" si="300"/>
        <v>1740.9294552377125</v>
      </c>
      <c r="CM137" s="449">
        <f t="shared" ca="1" si="300"/>
        <v>1740.9294552377125</v>
      </c>
      <c r="CN137" s="44">
        <f t="shared" ca="1" si="300"/>
        <v>1653.2264774033465</v>
      </c>
      <c r="CO137" s="44">
        <f t="shared" ca="1" si="300"/>
        <v>1805.6826555685586</v>
      </c>
      <c r="CP137" s="44">
        <f t="shared" ca="1" si="300"/>
        <v>1921.1626335541182</v>
      </c>
      <c r="CQ137" s="44">
        <f t="shared" ca="1" si="300"/>
        <v>1829.1427730716787</v>
      </c>
      <c r="CR137" s="449">
        <f t="shared" ca="1" si="300"/>
        <v>1829.1427730716787</v>
      </c>
      <c r="CS137" s="44">
        <f t="shared" ca="1" si="300"/>
        <v>1730.0576276814143</v>
      </c>
      <c r="CT137" s="44">
        <f t="shared" ca="1" si="300"/>
        <v>1884.8528586794546</v>
      </c>
      <c r="CU137" s="44">
        <f t="shared" ca="1" si="300"/>
        <v>2005.5674686850857</v>
      </c>
      <c r="CV137" s="44">
        <f t="shared" ca="1" si="300"/>
        <v>1914.9104160408253</v>
      </c>
      <c r="CW137" s="449">
        <f t="shared" ca="1" si="300"/>
        <v>1914.9104160408253</v>
      </c>
      <c r="CX137" s="44">
        <f t="shared" ref="CX137:DG137" ca="1" si="301">SUM(CX131:CX136)</f>
        <v>1809.9233530613426</v>
      </c>
      <c r="CY137" s="44">
        <f t="shared" ca="1" si="301"/>
        <v>1967.1640279742037</v>
      </c>
      <c r="CZ137" s="44">
        <f t="shared" ca="1" si="301"/>
        <v>2093.2519613740587</v>
      </c>
      <c r="DA137" s="44">
        <f t="shared" ca="1" si="301"/>
        <v>2003.9760754246649</v>
      </c>
      <c r="DB137" s="449">
        <f t="shared" ca="1" si="301"/>
        <v>2003.9760754246649</v>
      </c>
      <c r="DC137" s="44">
        <f t="shared" ca="1" si="301"/>
        <v>1892.9429737176097</v>
      </c>
      <c r="DD137" s="44">
        <f t="shared" ca="1" si="301"/>
        <v>2052.7419814774767</v>
      </c>
      <c r="DE137" s="44">
        <f t="shared" ca="1" si="301"/>
        <v>2184.3451990774233</v>
      </c>
      <c r="DF137" s="44">
        <f t="shared" ca="1" si="301"/>
        <v>2096.4674736505317</v>
      </c>
      <c r="DG137" s="449">
        <f t="shared" ca="1" si="301"/>
        <v>2096.4674736505317</v>
      </c>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c r="HB137"/>
      <c r="HC137"/>
      <c r="HD137"/>
      <c r="HE137"/>
      <c r="HF137"/>
      <c r="HG137"/>
      <c r="HH137"/>
      <c r="HI137"/>
      <c r="HJ137"/>
      <c r="HK137"/>
      <c r="HL137"/>
      <c r="HM137"/>
      <c r="HN137"/>
      <c r="HO137"/>
      <c r="HP137"/>
      <c r="HQ137"/>
      <c r="HR137"/>
    </row>
    <row r="138" spans="1:226" s="19" customFormat="1" x14ac:dyDescent="0.2">
      <c r="A138" s="18"/>
      <c r="B138" s="37"/>
      <c r="C138" s="37"/>
      <c r="D138" s="37"/>
      <c r="E138" s="37"/>
      <c r="F138" s="439"/>
      <c r="G138" s="37"/>
      <c r="H138" s="37"/>
      <c r="I138" s="37"/>
      <c r="J138" s="37"/>
      <c r="K138" s="439"/>
      <c r="L138" s="37"/>
      <c r="M138" s="37"/>
      <c r="N138" s="37"/>
      <c r="O138" s="37">
        <v>0</v>
      </c>
      <c r="P138" s="439">
        <v>0</v>
      </c>
      <c r="Q138" s="37"/>
      <c r="R138" s="37"/>
      <c r="S138" s="37"/>
      <c r="T138" s="37"/>
      <c r="U138" s="439"/>
      <c r="V138" s="37"/>
      <c r="W138" s="37"/>
      <c r="X138" s="37"/>
      <c r="Y138" s="37"/>
      <c r="Z138" s="439"/>
      <c r="AA138" s="37"/>
      <c r="AB138" s="37"/>
      <c r="AC138" s="37"/>
      <c r="AD138" s="37"/>
      <c r="AE138" s="439"/>
      <c r="AF138" s="37"/>
      <c r="AG138" s="37"/>
      <c r="AH138" s="37"/>
      <c r="AI138" s="37"/>
      <c r="AJ138" s="439"/>
      <c r="AK138" s="37"/>
      <c r="AL138" s="37"/>
      <c r="AM138" s="37"/>
      <c r="AN138" s="37"/>
      <c r="AO138" s="439"/>
      <c r="AP138" s="37"/>
      <c r="AQ138" s="37"/>
      <c r="AR138" s="37"/>
      <c r="AS138" s="37"/>
      <c r="AT138" s="439"/>
      <c r="AU138" s="37"/>
      <c r="AV138" s="37"/>
      <c r="AW138" s="37"/>
      <c r="AX138" s="37"/>
      <c r="AY138" s="439"/>
      <c r="AZ138" s="37"/>
      <c r="BA138" s="37"/>
      <c r="BB138" s="37"/>
      <c r="BC138" s="37"/>
      <c r="BD138" s="439"/>
      <c r="BE138" s="37"/>
      <c r="BF138" s="37"/>
      <c r="BG138" s="37"/>
      <c r="BH138" s="37"/>
      <c r="BI138" s="439"/>
      <c r="BJ138" s="37"/>
      <c r="BK138" s="37"/>
      <c r="BL138" s="37"/>
      <c r="BM138" s="37"/>
      <c r="BN138" s="439"/>
      <c r="BO138" s="37"/>
      <c r="BP138" s="37"/>
      <c r="BQ138" s="37"/>
      <c r="BR138" s="37"/>
      <c r="BS138" s="439"/>
      <c r="BT138" s="655"/>
      <c r="BU138" s="655"/>
      <c r="BV138" s="37"/>
      <c r="BW138" s="37"/>
      <c r="BX138" s="439"/>
      <c r="BY138" s="37"/>
      <c r="BZ138" s="37"/>
      <c r="CA138" s="37"/>
      <c r="CB138" s="655"/>
      <c r="CC138" s="439"/>
      <c r="CD138" s="37"/>
      <c r="CE138" s="37"/>
      <c r="CF138" s="37"/>
      <c r="CG138" s="655"/>
      <c r="CH138" s="439"/>
      <c r="CI138" s="37"/>
      <c r="CJ138" s="37"/>
      <c r="CK138" s="37"/>
      <c r="CL138" s="37"/>
      <c r="CM138" s="439"/>
      <c r="CN138" s="37"/>
      <c r="CO138" s="37"/>
      <c r="CP138" s="37"/>
      <c r="CQ138" s="37"/>
      <c r="CR138" s="439"/>
      <c r="CS138" s="37"/>
      <c r="CT138" s="37"/>
      <c r="CU138" s="37"/>
      <c r="CV138" s="37"/>
      <c r="CW138" s="439"/>
      <c r="CX138" s="37"/>
      <c r="CY138" s="37"/>
      <c r="CZ138" s="37"/>
      <c r="DA138" s="37"/>
      <c r="DB138" s="439"/>
      <c r="DC138" s="37"/>
      <c r="DD138" s="37"/>
      <c r="DE138" s="37"/>
      <c r="DF138" s="37"/>
      <c r="DG138" s="439"/>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c r="HB138"/>
      <c r="HC138"/>
      <c r="HD138"/>
      <c r="HE138"/>
      <c r="HF138"/>
      <c r="HG138"/>
      <c r="HH138"/>
      <c r="HI138"/>
      <c r="HJ138"/>
      <c r="HK138"/>
      <c r="HL138"/>
      <c r="HM138"/>
      <c r="HN138"/>
      <c r="HO138"/>
      <c r="HP138"/>
      <c r="HQ138"/>
      <c r="HR138"/>
    </row>
    <row r="139" spans="1:226" s="19" customFormat="1" x14ac:dyDescent="0.2">
      <c r="A139" s="18" t="s">
        <v>43</v>
      </c>
      <c r="B139" s="37">
        <v>1063</v>
      </c>
      <c r="C139" s="37">
        <v>1058</v>
      </c>
      <c r="D139" s="37">
        <v>1016</v>
      </c>
      <c r="E139" s="37">
        <v>1046</v>
      </c>
      <c r="F139" s="439">
        <f>E139</f>
        <v>1046</v>
      </c>
      <c r="G139" s="37">
        <v>1013</v>
      </c>
      <c r="H139" s="37">
        <v>992</v>
      </c>
      <c r="I139" s="37">
        <v>935</v>
      </c>
      <c r="J139" s="37">
        <v>984</v>
      </c>
      <c r="K139" s="439">
        <f>J139</f>
        <v>984</v>
      </c>
      <c r="L139" s="37">
        <v>989</v>
      </c>
      <c r="M139" s="37">
        <v>1007</v>
      </c>
      <c r="N139" s="37">
        <v>1040</v>
      </c>
      <c r="O139" s="37">
        <v>1072</v>
      </c>
      <c r="P139" s="439">
        <f>O139</f>
        <v>1072</v>
      </c>
      <c r="Q139" s="37">
        <v>1066</v>
      </c>
      <c r="R139" s="37">
        <v>1069</v>
      </c>
      <c r="S139" s="37">
        <v>1061</v>
      </c>
      <c r="T139" s="37">
        <v>1052</v>
      </c>
      <c r="U139" s="439">
        <f>T139</f>
        <v>1052</v>
      </c>
      <c r="V139" s="37">
        <v>995</v>
      </c>
      <c r="W139" s="37">
        <v>991</v>
      </c>
      <c r="X139" s="37">
        <v>979</v>
      </c>
      <c r="Y139" s="37">
        <v>999</v>
      </c>
      <c r="Z139" s="439">
        <f>Y139</f>
        <v>999</v>
      </c>
      <c r="AA139" s="37">
        <v>993</v>
      </c>
      <c r="AB139" s="37">
        <v>993</v>
      </c>
      <c r="AC139" s="37">
        <v>992</v>
      </c>
      <c r="AD139" s="37">
        <v>1004</v>
      </c>
      <c r="AE139" s="439">
        <f>AD139</f>
        <v>1004</v>
      </c>
      <c r="AF139" s="37">
        <v>990</v>
      </c>
      <c r="AG139" s="37">
        <v>985</v>
      </c>
      <c r="AH139" s="37">
        <v>965</v>
      </c>
      <c r="AI139" s="37">
        <v>976</v>
      </c>
      <c r="AJ139" s="439">
        <f>AI139</f>
        <v>976</v>
      </c>
      <c r="AK139" s="37">
        <v>966</v>
      </c>
      <c r="AL139" s="37">
        <v>967</v>
      </c>
      <c r="AM139" s="37">
        <v>943</v>
      </c>
      <c r="AN139" s="37">
        <v>960</v>
      </c>
      <c r="AO139" s="439">
        <f>AN139</f>
        <v>960</v>
      </c>
      <c r="AP139" s="37">
        <v>942</v>
      </c>
      <c r="AQ139" s="37">
        <v>929</v>
      </c>
      <c r="AR139" s="37">
        <v>931</v>
      </c>
      <c r="AS139" s="37">
        <v>955</v>
      </c>
      <c r="AT139" s="439">
        <f>AS139</f>
        <v>955</v>
      </c>
      <c r="AU139" s="37">
        <v>947</v>
      </c>
      <c r="AV139" s="37">
        <v>937</v>
      </c>
      <c r="AW139" s="37">
        <v>935</v>
      </c>
      <c r="AX139" s="37">
        <v>979</v>
      </c>
      <c r="AY139" s="439">
        <f>AX139</f>
        <v>979</v>
      </c>
      <c r="AZ139" s="37">
        <v>965</v>
      </c>
      <c r="BA139" s="37">
        <v>973</v>
      </c>
      <c r="BB139" s="37">
        <v>1006</v>
      </c>
      <c r="BC139" s="37">
        <v>1039</v>
      </c>
      <c r="BD139" s="439">
        <f>BC139</f>
        <v>1039</v>
      </c>
      <c r="BE139" s="37">
        <v>1028</v>
      </c>
      <c r="BF139" s="37">
        <v>1041</v>
      </c>
      <c r="BG139" s="37">
        <v>1039</v>
      </c>
      <c r="BH139" s="37">
        <v>1081</v>
      </c>
      <c r="BI139" s="439">
        <f>BH139</f>
        <v>1081</v>
      </c>
      <c r="BJ139" s="37">
        <v>1098</v>
      </c>
      <c r="BK139" s="37">
        <v>1051</v>
      </c>
      <c r="BL139" s="37">
        <v>1041</v>
      </c>
      <c r="BM139" s="37">
        <v>1021</v>
      </c>
      <c r="BN139" s="439">
        <f>BM139</f>
        <v>1021</v>
      </c>
      <c r="BO139" s="37">
        <v>1007</v>
      </c>
      <c r="BP139" s="37">
        <v>992</v>
      </c>
      <c r="BQ139" s="37">
        <v>970</v>
      </c>
      <c r="BR139" s="37">
        <v>977</v>
      </c>
      <c r="BS139" s="439">
        <f>BR139</f>
        <v>977</v>
      </c>
      <c r="BT139" s="655">
        <v>947</v>
      </c>
      <c r="BU139" s="655">
        <v>933</v>
      </c>
      <c r="BV139" s="37">
        <v>917</v>
      </c>
      <c r="BW139" s="37">
        <v>918</v>
      </c>
      <c r="BX139" s="439">
        <f>BW139</f>
        <v>918</v>
      </c>
      <c r="BY139" s="37">
        <v>885</v>
      </c>
      <c r="BZ139" s="37">
        <v>878</v>
      </c>
      <c r="CA139" s="37">
        <v>887</v>
      </c>
      <c r="CB139" s="655">
        <v>906</v>
      </c>
      <c r="CC139" s="439">
        <f>CB139</f>
        <v>906</v>
      </c>
      <c r="CD139" s="37">
        <v>917</v>
      </c>
      <c r="CE139" s="37">
        <v>904</v>
      </c>
      <c r="CF139" s="37">
        <v>903</v>
      </c>
      <c r="CG139" s="655">
        <v>931</v>
      </c>
      <c r="CH139" s="439">
        <f>CG139</f>
        <v>931</v>
      </c>
      <c r="CI139" s="37">
        <v>934</v>
      </c>
      <c r="CJ139" s="37">
        <v>935</v>
      </c>
      <c r="CK139" s="37">
        <f>CJ139-CK172-CK184</f>
        <v>939.69679530678968</v>
      </c>
      <c r="CL139" s="37">
        <f ca="1">CK139-CL172-CL184</f>
        <v>970.80666053216635</v>
      </c>
      <c r="CM139" s="439">
        <f ca="1">CL139</f>
        <v>970.80666053216635</v>
      </c>
      <c r="CN139" s="37">
        <f ca="1">CM139-CN172-CN184</f>
        <v>979.37250014464564</v>
      </c>
      <c r="CO139" s="37">
        <f ca="1">CN139-CO172-CO184</f>
        <v>977.66689331989176</v>
      </c>
      <c r="CP139" s="37">
        <f ca="1">CO139-CP172-CP184</f>
        <v>982.02386224055999</v>
      </c>
      <c r="CQ139" s="37">
        <f ca="1">CP139-CQ172-CQ184</f>
        <v>1011.5926955572528</v>
      </c>
      <c r="CR139" s="439">
        <f ca="1">CQ139</f>
        <v>1011.5926955572528</v>
      </c>
      <c r="CS139" s="37">
        <f ca="1">CR139-CS172-CS184</f>
        <v>1016.3487283191864</v>
      </c>
      <c r="CT139" s="37">
        <f ca="1">CS139-CT172-CT184</f>
        <v>1010.9130797396064</v>
      </c>
      <c r="CU139" s="37">
        <f ca="1">CT139-CU172-CU184</f>
        <v>1011.6179916171911</v>
      </c>
      <c r="CV139" s="37">
        <f ca="1">CU139-CV172-CV184</f>
        <v>1037.8976528058058</v>
      </c>
      <c r="CW139" s="439">
        <f ca="1">CV139</f>
        <v>1037.8976528058058</v>
      </c>
      <c r="CX139" s="37">
        <f ca="1">CW139-CX172-CX184</f>
        <v>1039.3440389419109</v>
      </c>
      <c r="CY139" s="37">
        <f ca="1">CX139-CY172-CY184</f>
        <v>1030.6702361121286</v>
      </c>
      <c r="CZ139" s="37">
        <f ca="1">CY139-CZ172-CZ184</f>
        <v>1028.180029750707</v>
      </c>
      <c r="DA139" s="37">
        <f ca="1">CZ139-DA172-DA184</f>
        <v>1051.6377837083828</v>
      </c>
      <c r="DB139" s="439">
        <f ca="1">DA139</f>
        <v>1051.6377837083828</v>
      </c>
      <c r="DC139" s="37">
        <f ca="1">DB139-DC172-DC184</f>
        <v>1050.1872586211664</v>
      </c>
      <c r="DD139" s="37">
        <f ca="1">DC139-DD172-DD184</f>
        <v>1038.681477919198</v>
      </c>
      <c r="DE139" s="37">
        <f ca="1">DD139-DE172-DE184</f>
        <v>1033.3721884163322</v>
      </c>
      <c r="DF139" s="37">
        <f ca="1">DE139-DF172-DF184</f>
        <v>1054.3949150815158</v>
      </c>
      <c r="DG139" s="439">
        <f ca="1">DF139</f>
        <v>1054.3949150815158</v>
      </c>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c r="HB139"/>
      <c r="HC139"/>
      <c r="HD139"/>
      <c r="HE139"/>
      <c r="HF139"/>
      <c r="HG139"/>
      <c r="HH139"/>
      <c r="HI139"/>
      <c r="HJ139"/>
      <c r="HK139"/>
      <c r="HL139"/>
      <c r="HM139"/>
      <c r="HN139"/>
      <c r="HO139"/>
      <c r="HP139"/>
      <c r="HQ139"/>
      <c r="HR139"/>
    </row>
    <row r="140" spans="1:226" s="19" customFormat="1" x14ac:dyDescent="0.2">
      <c r="A140" s="18" t="s">
        <v>348</v>
      </c>
      <c r="B140" s="37">
        <f>1513</f>
        <v>1513</v>
      </c>
      <c r="C140" s="37">
        <v>1605</v>
      </c>
      <c r="D140" s="37">
        <v>1585</v>
      </c>
      <c r="E140" s="37">
        <f>1230+344</f>
        <v>1574</v>
      </c>
      <c r="F140" s="439">
        <f>E140</f>
        <v>1574</v>
      </c>
      <c r="G140" s="37">
        <f>1196+338</f>
        <v>1534</v>
      </c>
      <c r="H140" s="37">
        <f>1121+342</f>
        <v>1463</v>
      </c>
      <c r="I140" s="37">
        <f>1022+313</f>
        <v>1335</v>
      </c>
      <c r="J140" s="37">
        <f>728+573</f>
        <v>1301</v>
      </c>
      <c r="K140" s="439">
        <f>J140</f>
        <v>1301</v>
      </c>
      <c r="L140" s="37">
        <f>720+566</f>
        <v>1286</v>
      </c>
      <c r="M140" s="37">
        <f>717+566</f>
        <v>1283</v>
      </c>
      <c r="N140" s="37">
        <f>721+658</f>
        <v>1379</v>
      </c>
      <c r="O140" s="37">
        <f>730+651</f>
        <v>1381</v>
      </c>
      <c r="P140" s="439">
        <f>O140</f>
        <v>1381</v>
      </c>
      <c r="Q140" s="37">
        <f>732+640</f>
        <v>1372</v>
      </c>
      <c r="R140" s="37">
        <f>752+643</f>
        <v>1395</v>
      </c>
      <c r="S140" s="37">
        <f>750+642</f>
        <v>1392</v>
      </c>
      <c r="T140" s="37">
        <f>742+633</f>
        <v>1375</v>
      </c>
      <c r="U140" s="439">
        <f>T140</f>
        <v>1375</v>
      </c>
      <c r="V140" s="37">
        <f>736+602</f>
        <v>1338</v>
      </c>
      <c r="W140" s="37">
        <f>748+606</f>
        <v>1354</v>
      </c>
      <c r="X140" s="37">
        <f>744+601</f>
        <v>1345</v>
      </c>
      <c r="Y140" s="37">
        <f>743+599</f>
        <v>1342</v>
      </c>
      <c r="Z140" s="439">
        <f>Y140</f>
        <v>1342</v>
      </c>
      <c r="AA140" s="37">
        <f>748+597</f>
        <v>1345</v>
      </c>
      <c r="AB140" s="37">
        <f>747+595</f>
        <v>1342</v>
      </c>
      <c r="AC140" s="37">
        <f>743+608</f>
        <v>1351</v>
      </c>
      <c r="AD140" s="37">
        <f>744+604</f>
        <v>1348</v>
      </c>
      <c r="AE140" s="439">
        <f>AD140</f>
        <v>1348</v>
      </c>
      <c r="AF140" s="37">
        <f>748+604</f>
        <v>1352</v>
      </c>
      <c r="AG140" s="37">
        <f>801+608</f>
        <v>1409</v>
      </c>
      <c r="AH140" s="37">
        <f>837+621</f>
        <v>1458</v>
      </c>
      <c r="AI140" s="37">
        <f>1025+254+94</f>
        <v>1373</v>
      </c>
      <c r="AJ140" s="439">
        <f>AI140</f>
        <v>1373</v>
      </c>
      <c r="AK140" s="37">
        <f>869+585</f>
        <v>1454</v>
      </c>
      <c r="AL140" s="37">
        <f>1425+1059</f>
        <v>2484</v>
      </c>
      <c r="AM140" s="37">
        <f>1664+563+125</f>
        <v>2352</v>
      </c>
      <c r="AN140" s="37">
        <f>1658+560+123</f>
        <v>2341</v>
      </c>
      <c r="AO140" s="439">
        <f>AN140</f>
        <v>2341</v>
      </c>
      <c r="AP140" s="37">
        <f>1643+558+118</f>
        <v>2319</v>
      </c>
      <c r="AQ140" s="37">
        <f>1611+555+112</f>
        <v>2278</v>
      </c>
      <c r="AR140" s="37">
        <f>1609+555+108</f>
        <v>2272</v>
      </c>
      <c r="AS140" s="37">
        <f>1630+557+105</f>
        <v>2292</v>
      </c>
      <c r="AT140" s="439">
        <f>AS140</f>
        <v>2292</v>
      </c>
      <c r="AU140" s="37">
        <f>1640+558+101</f>
        <v>2299</v>
      </c>
      <c r="AV140" s="37">
        <f>1646+559+98</f>
        <v>2303</v>
      </c>
      <c r="AW140" s="37">
        <f>1658+565+100</f>
        <v>2323</v>
      </c>
      <c r="AX140" s="37">
        <f>1650+562+96</f>
        <v>2308</v>
      </c>
      <c r="AY140" s="439">
        <f>AX140</f>
        <v>2308</v>
      </c>
      <c r="AZ140" s="37">
        <f>1317+552+93</f>
        <v>1962</v>
      </c>
      <c r="BA140" s="37">
        <f>1063+551+90</f>
        <v>1704</v>
      </c>
      <c r="BB140" s="37">
        <f>1066+550+86</f>
        <v>1702</v>
      </c>
      <c r="BC140" s="37">
        <f>1070+550+83</f>
        <v>1703</v>
      </c>
      <c r="BD140" s="439">
        <f>BC140</f>
        <v>1703</v>
      </c>
      <c r="BE140" s="37">
        <f>1053+547+79</f>
        <v>1679</v>
      </c>
      <c r="BF140" s="37">
        <f>1093+566+103</f>
        <v>1762</v>
      </c>
      <c r="BG140" s="37">
        <f>1120+558+90</f>
        <v>1768</v>
      </c>
      <c r="BH140" s="37">
        <f>1112+86+556</f>
        <v>1754</v>
      </c>
      <c r="BI140" s="439">
        <f>BH140</f>
        <v>1754</v>
      </c>
      <c r="BJ140" s="37">
        <f>1123+556+83</f>
        <v>1762</v>
      </c>
      <c r="BK140" s="37">
        <f>1119+556+79</f>
        <v>1754</v>
      </c>
      <c r="BL140" s="37">
        <f>1118+555+78</f>
        <v>1751</v>
      </c>
      <c r="BM140" s="37">
        <f>1105+553+74</f>
        <v>1732</v>
      </c>
      <c r="BN140" s="439">
        <f>BM140</f>
        <v>1732</v>
      </c>
      <c r="BO140" s="37">
        <f>1108+553+70</f>
        <v>1731</v>
      </c>
      <c r="BP140" s="37">
        <f>1100+552+67</f>
        <v>1719</v>
      </c>
      <c r="BQ140" s="37">
        <f>1096+547+67</f>
        <v>1710</v>
      </c>
      <c r="BR140" s="37">
        <f>1101+547+64</f>
        <v>1712</v>
      </c>
      <c r="BS140" s="439">
        <f>BR140</f>
        <v>1712</v>
      </c>
      <c r="BT140" s="655">
        <f>1087+539+60</f>
        <v>1686</v>
      </c>
      <c r="BU140" s="655">
        <f>1080+537+55</f>
        <v>1672</v>
      </c>
      <c r="BV140" s="655">
        <f>1067+535+52</f>
        <v>1654</v>
      </c>
      <c r="BW140" s="655">
        <f>1067+535+50</f>
        <v>1652</v>
      </c>
      <c r="BX140" s="439">
        <f>BW140</f>
        <v>1652</v>
      </c>
      <c r="BY140" s="655">
        <f>1052+533+49</f>
        <v>1634</v>
      </c>
      <c r="BZ140" s="655">
        <f>1051+532+47</f>
        <v>1630</v>
      </c>
      <c r="CA140" s="655">
        <f>1059+528+45</f>
        <v>1632</v>
      </c>
      <c r="CB140" s="655">
        <f>1197+657+78</f>
        <v>1932</v>
      </c>
      <c r="CC140" s="439">
        <f>CB140</f>
        <v>1932</v>
      </c>
      <c r="CD140" s="655">
        <f>1196+657+76</f>
        <v>1929</v>
      </c>
      <c r="CE140" s="655">
        <f>1190+655+72</f>
        <v>1917</v>
      </c>
      <c r="CF140" s="655">
        <f>1193+655+70</f>
        <v>1918</v>
      </c>
      <c r="CG140" s="655">
        <f>1196+654+68</f>
        <v>1918</v>
      </c>
      <c r="CH140" s="439">
        <f>CG140</f>
        <v>1918</v>
      </c>
      <c r="CI140" s="655">
        <f>1203+654+66</f>
        <v>1923</v>
      </c>
      <c r="CJ140" s="655">
        <f>1202+655+65</f>
        <v>1922</v>
      </c>
      <c r="CK140" s="42">
        <f>CJ140</f>
        <v>1922</v>
      </c>
      <c r="CL140" s="42">
        <f>CK140</f>
        <v>1922</v>
      </c>
      <c r="CM140" s="439">
        <f>CL140</f>
        <v>1922</v>
      </c>
      <c r="CN140" s="42">
        <f>CL140</f>
        <v>1922</v>
      </c>
      <c r="CO140" s="42">
        <f>CN140</f>
        <v>1922</v>
      </c>
      <c r="CP140" s="42">
        <f>CO140</f>
        <v>1922</v>
      </c>
      <c r="CQ140" s="42">
        <f>CP140</f>
        <v>1922</v>
      </c>
      <c r="CR140" s="439">
        <f>CQ140</f>
        <v>1922</v>
      </c>
      <c r="CS140" s="42">
        <f>CQ140</f>
        <v>1922</v>
      </c>
      <c r="CT140" s="42">
        <f>CS140</f>
        <v>1922</v>
      </c>
      <c r="CU140" s="42">
        <f>CT140</f>
        <v>1922</v>
      </c>
      <c r="CV140" s="42">
        <f>CU140</f>
        <v>1922</v>
      </c>
      <c r="CW140" s="439">
        <f>CV140</f>
        <v>1922</v>
      </c>
      <c r="CX140" s="42">
        <f>CV140</f>
        <v>1922</v>
      </c>
      <c r="CY140" s="42">
        <f>CX140</f>
        <v>1922</v>
      </c>
      <c r="CZ140" s="42">
        <f>CY140</f>
        <v>1922</v>
      </c>
      <c r="DA140" s="42">
        <f>CZ140</f>
        <v>1922</v>
      </c>
      <c r="DB140" s="439">
        <f>DA140</f>
        <v>1922</v>
      </c>
      <c r="DC140" s="42">
        <f>DA140</f>
        <v>1922</v>
      </c>
      <c r="DD140" s="42">
        <f>DC140</f>
        <v>1922</v>
      </c>
      <c r="DE140" s="42">
        <f>DD140</f>
        <v>1922</v>
      </c>
      <c r="DF140" s="42">
        <f>DE140</f>
        <v>1922</v>
      </c>
      <c r="DG140" s="439">
        <f>DF140</f>
        <v>1922</v>
      </c>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c r="HB140"/>
      <c r="HC140"/>
      <c r="HD140"/>
      <c r="HE140"/>
      <c r="HF140"/>
      <c r="HG140"/>
      <c r="HH140"/>
      <c r="HI140"/>
      <c r="HJ140"/>
      <c r="HK140"/>
      <c r="HL140"/>
      <c r="HM140"/>
      <c r="HN140"/>
      <c r="HO140"/>
      <c r="HP140"/>
      <c r="HQ140"/>
      <c r="HR140"/>
    </row>
    <row r="141" spans="1:226" s="19" customFormat="1" x14ac:dyDescent="0.2">
      <c r="A141" s="18" t="s">
        <v>45</v>
      </c>
      <c r="B141" s="40">
        <f>175+110</f>
        <v>285</v>
      </c>
      <c r="C141" s="40">
        <f>101+178</f>
        <v>279</v>
      </c>
      <c r="D141" s="40">
        <f>103+176</f>
        <v>279</v>
      </c>
      <c r="E141" s="40">
        <v>272</v>
      </c>
      <c r="F141" s="448">
        <f>E141</f>
        <v>272</v>
      </c>
      <c r="G141" s="40">
        <v>295</v>
      </c>
      <c r="H141" s="40">
        <v>302</v>
      </c>
      <c r="I141" s="40">
        <v>382</v>
      </c>
      <c r="J141" s="40">
        <v>314</v>
      </c>
      <c r="K141" s="448">
        <f>J141</f>
        <v>314</v>
      </c>
      <c r="L141" s="40">
        <v>329</v>
      </c>
      <c r="M141" s="40">
        <v>325</v>
      </c>
      <c r="N141" s="40">
        <v>360</v>
      </c>
      <c r="O141" s="40">
        <v>248</v>
      </c>
      <c r="P141" s="448">
        <f>O141</f>
        <v>248</v>
      </c>
      <c r="Q141" s="40">
        <v>229</v>
      </c>
      <c r="R141" s="40">
        <v>230</v>
      </c>
      <c r="S141" s="40">
        <v>224</v>
      </c>
      <c r="T141" s="40">
        <v>364</v>
      </c>
      <c r="U141" s="448">
        <f>T141</f>
        <v>364</v>
      </c>
      <c r="V141" s="40">
        <v>309</v>
      </c>
      <c r="W141" s="40">
        <v>318</v>
      </c>
      <c r="X141" s="40">
        <v>304</v>
      </c>
      <c r="Y141" s="40">
        <v>186</v>
      </c>
      <c r="Z141" s="448">
        <f>Y141</f>
        <v>186</v>
      </c>
      <c r="AA141" s="40">
        <v>189</v>
      </c>
      <c r="AB141" s="40">
        <v>165</v>
      </c>
      <c r="AC141" s="40">
        <v>160</v>
      </c>
      <c r="AD141" s="40">
        <v>257</v>
      </c>
      <c r="AE141" s="448">
        <f>AD141</f>
        <v>257</v>
      </c>
      <c r="AF141" s="40">
        <v>257</v>
      </c>
      <c r="AG141" s="40">
        <v>251</v>
      </c>
      <c r="AH141" s="40">
        <v>250</v>
      </c>
      <c r="AI141" s="40">
        <v>200</v>
      </c>
      <c r="AJ141" s="448">
        <f>AI141</f>
        <v>200</v>
      </c>
      <c r="AK141" s="40">
        <v>189</v>
      </c>
      <c r="AL141" s="40">
        <v>187</v>
      </c>
      <c r="AM141" s="40">
        <v>186</v>
      </c>
      <c r="AN141" s="40">
        <v>158</v>
      </c>
      <c r="AO141" s="448">
        <f>AN141</f>
        <v>158</v>
      </c>
      <c r="AP141" s="40">
        <v>160</v>
      </c>
      <c r="AQ141" s="40">
        <v>150</v>
      </c>
      <c r="AR141" s="40">
        <v>150</v>
      </c>
      <c r="AS141" s="40">
        <v>149</v>
      </c>
      <c r="AT141" s="448">
        <f>AS141</f>
        <v>149</v>
      </c>
      <c r="AU141" s="40">
        <v>151</v>
      </c>
      <c r="AV141" s="40">
        <v>146</v>
      </c>
      <c r="AW141" s="40">
        <v>147</v>
      </c>
      <c r="AX141" s="40">
        <v>144</v>
      </c>
      <c r="AY141" s="448">
        <f>AX141</f>
        <v>144</v>
      </c>
      <c r="AZ141" s="40">
        <v>145</v>
      </c>
      <c r="BA141" s="40">
        <v>137</v>
      </c>
      <c r="BB141" s="40">
        <v>139</v>
      </c>
      <c r="BC141" s="243">
        <f>142</f>
        <v>142</v>
      </c>
      <c r="BD141" s="448">
        <f>BC141</f>
        <v>142</v>
      </c>
      <c r="BE141" s="243">
        <v>132</v>
      </c>
      <c r="BF141" s="243">
        <v>139</v>
      </c>
      <c r="BG141" s="243">
        <v>137</v>
      </c>
      <c r="BH141" s="243">
        <v>144</v>
      </c>
      <c r="BI141" s="448">
        <f>BH141</f>
        <v>144</v>
      </c>
      <c r="BJ141" s="243">
        <v>142</v>
      </c>
      <c r="BK141" s="243">
        <v>145</v>
      </c>
      <c r="BL141" s="243">
        <v>143</v>
      </c>
      <c r="BM141" s="243">
        <v>138</v>
      </c>
      <c r="BN141" s="448">
        <f>BM141</f>
        <v>138</v>
      </c>
      <c r="BO141" s="243">
        <v>143</v>
      </c>
      <c r="BP141" s="243">
        <v>177</v>
      </c>
      <c r="BQ141" s="243">
        <f>174</f>
        <v>174</v>
      </c>
      <c r="BR141" s="243">
        <v>174</v>
      </c>
      <c r="BS141" s="448">
        <f>BR141</f>
        <v>174</v>
      </c>
      <c r="BT141" s="658">
        <v>166</v>
      </c>
      <c r="BU141" s="658">
        <v>164</v>
      </c>
      <c r="BV141" s="243">
        <v>162</v>
      </c>
      <c r="BW141" s="243">
        <v>165</v>
      </c>
      <c r="BX141" s="448">
        <f>BW141</f>
        <v>165</v>
      </c>
      <c r="BY141" s="243">
        <v>166</v>
      </c>
      <c r="BZ141" s="243">
        <v>177</v>
      </c>
      <c r="CA141" s="243">
        <v>175</v>
      </c>
      <c r="CB141" s="658">
        <v>195</v>
      </c>
      <c r="CC141" s="448">
        <f>CB141</f>
        <v>195</v>
      </c>
      <c r="CD141" s="243">
        <v>204</v>
      </c>
      <c r="CE141" s="243">
        <v>198</v>
      </c>
      <c r="CF141" s="243">
        <v>205</v>
      </c>
      <c r="CG141" s="658">
        <v>210</v>
      </c>
      <c r="CH141" s="448">
        <f>CG141</f>
        <v>210</v>
      </c>
      <c r="CI141" s="243">
        <v>223</v>
      </c>
      <c r="CJ141" s="243">
        <v>221</v>
      </c>
      <c r="CK141" s="243">
        <f>+CK221*CK7*4</f>
        <v>210.02648402336587</v>
      </c>
      <c r="CL141" s="243">
        <f ca="1">+CL221*CL7*4</f>
        <v>220.50660556727445</v>
      </c>
      <c r="CM141" s="448">
        <f ca="1">CL141</f>
        <v>220.50660556727445</v>
      </c>
      <c r="CN141" s="243">
        <f>+CN221*CN7*4</f>
        <v>235.40416134595603</v>
      </c>
      <c r="CO141" s="243">
        <f>+CO221*CO7*4</f>
        <v>236.2137351432591</v>
      </c>
      <c r="CP141" s="243">
        <f>+CP221*CP7*4</f>
        <v>224.56707915250129</v>
      </c>
      <c r="CQ141" s="243">
        <f ca="1">+CQ221*CQ7*4</f>
        <v>226.9518375868501</v>
      </c>
      <c r="CR141" s="448">
        <f ca="1">CQ141</f>
        <v>226.9518375868501</v>
      </c>
      <c r="CS141" s="243">
        <f>+CS221*CS7*4</f>
        <v>240.93551620652406</v>
      </c>
      <c r="CT141" s="243">
        <f>+CT221*CT7*4</f>
        <v>241.89037801284135</v>
      </c>
      <c r="CU141" s="243">
        <f>+CU221*CU7*4</f>
        <v>229.8503875027863</v>
      </c>
      <c r="CV141" s="243">
        <f ca="1">+CV221*CV7*4</f>
        <v>232.13511188117266</v>
      </c>
      <c r="CW141" s="448">
        <f ca="1">CV141</f>
        <v>232.13511188117266</v>
      </c>
      <c r="CX141" s="243">
        <f>+CX221*CX7*4</f>
        <v>246.62168830081765</v>
      </c>
      <c r="CY141" s="243">
        <f>+CY221*CY7*4</f>
        <v>247.73019958026947</v>
      </c>
      <c r="CZ141" s="243">
        <f>+CZ221*CZ7*4</f>
        <v>235.28272735628846</v>
      </c>
      <c r="DA141" s="243">
        <f ca="1">+DA221*DA7*4</f>
        <v>237.46104176377634</v>
      </c>
      <c r="DB141" s="448">
        <f ca="1">DA141</f>
        <v>237.46104176377634</v>
      </c>
      <c r="DC141" s="243">
        <f>+DC221*DC7*4</f>
        <v>252.46783182132938</v>
      </c>
      <c r="DD141" s="243">
        <f>+DD221*DD7*4</f>
        <v>253.73875686631629</v>
      </c>
      <c r="DE141" s="243">
        <f>+DE221*DE7*4</f>
        <v>240.86911012392687</v>
      </c>
      <c r="DF141" s="243">
        <f ca="1">+DF221*DF7*4</f>
        <v>242.9343500997999</v>
      </c>
      <c r="DG141" s="448">
        <f ca="1">DF141</f>
        <v>242.9343500997999</v>
      </c>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c r="HB141"/>
      <c r="HC141"/>
      <c r="HD141"/>
      <c r="HE141"/>
      <c r="HF141"/>
      <c r="HG141"/>
      <c r="HH141"/>
      <c r="HI141"/>
      <c r="HJ141"/>
      <c r="HK141"/>
      <c r="HL141"/>
      <c r="HM141"/>
      <c r="HN141"/>
      <c r="HO141"/>
      <c r="HP141"/>
      <c r="HQ141"/>
      <c r="HR141"/>
    </row>
    <row r="142" spans="1:226" s="45" customFormat="1" x14ac:dyDescent="0.2">
      <c r="A142" s="359" t="s">
        <v>46</v>
      </c>
      <c r="B142" s="44">
        <f>B141+B140+B139+B137</f>
        <v>4138</v>
      </c>
      <c r="C142" s="44">
        <f>C141+C140+C139+C137</f>
        <v>4198</v>
      </c>
      <c r="D142" s="44">
        <f>D141+D140+D139+D137</f>
        <v>4017</v>
      </c>
      <c r="E142" s="44">
        <f>E141+E140+E139+E137</f>
        <v>3995</v>
      </c>
      <c r="F142" s="449">
        <f>F141+F140+F139+F137</f>
        <v>3995</v>
      </c>
      <c r="G142" s="44">
        <f>SUM(G137,G139:G141)</f>
        <v>3832</v>
      </c>
      <c r="H142" s="44">
        <f t="shared" ref="H142:AW142" si="302">SUM(H137,H139:H141)</f>
        <v>3753</v>
      </c>
      <c r="I142" s="44">
        <f t="shared" si="302"/>
        <v>3707</v>
      </c>
      <c r="J142" s="44">
        <f t="shared" si="302"/>
        <v>3643</v>
      </c>
      <c r="K142" s="449">
        <f t="shared" si="302"/>
        <v>3643</v>
      </c>
      <c r="L142" s="44">
        <f t="shared" si="302"/>
        <v>3474</v>
      </c>
      <c r="M142" s="44">
        <f t="shared" si="302"/>
        <v>3477</v>
      </c>
      <c r="N142" s="44">
        <f t="shared" si="302"/>
        <v>3831</v>
      </c>
      <c r="O142" s="44">
        <f t="shared" si="302"/>
        <v>3652</v>
      </c>
      <c r="P142" s="449">
        <f t="shared" si="302"/>
        <v>3652</v>
      </c>
      <c r="Q142" s="44">
        <f t="shared" si="302"/>
        <v>3558</v>
      </c>
      <c r="R142" s="44">
        <f t="shared" si="302"/>
        <v>3597</v>
      </c>
      <c r="S142" s="44">
        <f t="shared" si="302"/>
        <v>3710</v>
      </c>
      <c r="T142" s="44">
        <f t="shared" si="302"/>
        <v>3834</v>
      </c>
      <c r="U142" s="449">
        <f t="shared" si="302"/>
        <v>3834</v>
      </c>
      <c r="V142" s="44">
        <f t="shared" si="302"/>
        <v>3772</v>
      </c>
      <c r="W142" s="44">
        <f t="shared" si="302"/>
        <v>3710</v>
      </c>
      <c r="X142" s="44">
        <f t="shared" si="302"/>
        <v>3756</v>
      </c>
      <c r="Y142" s="44">
        <f t="shared" si="302"/>
        <v>3617</v>
      </c>
      <c r="Z142" s="449">
        <f t="shared" si="302"/>
        <v>3617</v>
      </c>
      <c r="AA142" s="44">
        <f t="shared" si="302"/>
        <v>3570</v>
      </c>
      <c r="AB142" s="44">
        <f t="shared" si="302"/>
        <v>3567</v>
      </c>
      <c r="AC142" s="44">
        <f t="shared" si="302"/>
        <v>3622</v>
      </c>
      <c r="AD142" s="44">
        <f t="shared" si="302"/>
        <v>3616</v>
      </c>
      <c r="AE142" s="449">
        <f t="shared" si="302"/>
        <v>3616</v>
      </c>
      <c r="AF142" s="44">
        <f t="shared" si="302"/>
        <v>3539</v>
      </c>
      <c r="AG142" s="44">
        <f t="shared" si="302"/>
        <v>3624</v>
      </c>
      <c r="AH142" s="44">
        <f t="shared" si="302"/>
        <v>3691</v>
      </c>
      <c r="AI142" s="44">
        <f t="shared" si="302"/>
        <v>3581</v>
      </c>
      <c r="AJ142" s="449">
        <f t="shared" si="302"/>
        <v>3581</v>
      </c>
      <c r="AK142" s="44">
        <f t="shared" si="302"/>
        <v>3673</v>
      </c>
      <c r="AL142" s="44">
        <f t="shared" si="302"/>
        <v>4853</v>
      </c>
      <c r="AM142" s="44">
        <f t="shared" si="302"/>
        <v>4750</v>
      </c>
      <c r="AN142" s="44">
        <f t="shared" si="302"/>
        <v>4708</v>
      </c>
      <c r="AO142" s="449">
        <f t="shared" si="302"/>
        <v>4708</v>
      </c>
      <c r="AP142" s="44">
        <f t="shared" si="302"/>
        <v>4587</v>
      </c>
      <c r="AQ142" s="44">
        <f t="shared" si="302"/>
        <v>4398</v>
      </c>
      <c r="AR142" s="44">
        <f t="shared" si="302"/>
        <v>4465</v>
      </c>
      <c r="AS142" s="44">
        <f t="shared" si="302"/>
        <v>4576</v>
      </c>
      <c r="AT142" s="449">
        <f t="shared" si="302"/>
        <v>4576</v>
      </c>
      <c r="AU142" s="44">
        <f t="shared" si="302"/>
        <v>4598</v>
      </c>
      <c r="AV142" s="44">
        <f t="shared" si="302"/>
        <v>4489</v>
      </c>
      <c r="AW142" s="44">
        <f t="shared" si="302"/>
        <v>4743</v>
      </c>
      <c r="AX142" s="44">
        <f t="shared" ref="AX142:CC142" si="303">SUM(AX137,AX139:AX141)</f>
        <v>4555</v>
      </c>
      <c r="AY142" s="449">
        <f t="shared" si="303"/>
        <v>4555</v>
      </c>
      <c r="AZ142" s="44">
        <f t="shared" si="303"/>
        <v>4793</v>
      </c>
      <c r="BA142" s="44">
        <f t="shared" si="303"/>
        <v>4158</v>
      </c>
      <c r="BB142" s="44">
        <f t="shared" si="303"/>
        <v>4051</v>
      </c>
      <c r="BC142" s="44">
        <f t="shared" si="303"/>
        <v>4163</v>
      </c>
      <c r="BD142" s="449">
        <f t="shared" si="303"/>
        <v>4163</v>
      </c>
      <c r="BE142" s="44">
        <f t="shared" si="303"/>
        <v>4077</v>
      </c>
      <c r="BF142" s="44">
        <f t="shared" si="303"/>
        <v>4290</v>
      </c>
      <c r="BG142" s="44">
        <f t="shared" si="303"/>
        <v>4386</v>
      </c>
      <c r="BH142" s="44">
        <f t="shared" si="303"/>
        <v>4355</v>
      </c>
      <c r="BI142" s="449">
        <f t="shared" si="303"/>
        <v>4355</v>
      </c>
      <c r="BJ142" s="44">
        <f t="shared" si="303"/>
        <v>4747</v>
      </c>
      <c r="BK142" s="44">
        <f t="shared" si="303"/>
        <v>4502</v>
      </c>
      <c r="BL142" s="44">
        <f t="shared" si="303"/>
        <v>4523</v>
      </c>
      <c r="BM142" s="44">
        <f>SUM(BM137,BM139:BM141)</f>
        <v>4311</v>
      </c>
      <c r="BN142" s="449">
        <f>SUM(BN137,BN139:BN141)</f>
        <v>4311</v>
      </c>
      <c r="BO142" s="44">
        <f t="shared" si="303"/>
        <v>4301</v>
      </c>
      <c r="BP142" s="44">
        <f t="shared" si="303"/>
        <v>4388</v>
      </c>
      <c r="BQ142" s="44">
        <f>SUM(BQ137,BQ139:BQ141)</f>
        <v>4374</v>
      </c>
      <c r="BR142" s="44">
        <f>SUM(BR137,BR139:BR141)</f>
        <v>4258</v>
      </c>
      <c r="BS142" s="449">
        <f t="shared" si="303"/>
        <v>4258</v>
      </c>
      <c r="BT142" s="44">
        <f t="shared" si="303"/>
        <v>4150</v>
      </c>
      <c r="BU142" s="44">
        <f t="shared" si="303"/>
        <v>4674</v>
      </c>
      <c r="BV142" s="44">
        <f t="shared" si="303"/>
        <v>4228</v>
      </c>
      <c r="BW142" s="44">
        <f t="shared" si="303"/>
        <v>4164</v>
      </c>
      <c r="BX142" s="449">
        <f t="shared" si="303"/>
        <v>4164</v>
      </c>
      <c r="BY142" s="44">
        <f t="shared" si="303"/>
        <v>4095</v>
      </c>
      <c r="BZ142" s="44">
        <f t="shared" si="303"/>
        <v>4175</v>
      </c>
      <c r="CA142" s="44">
        <f t="shared" si="303"/>
        <v>4284</v>
      </c>
      <c r="CB142" s="44">
        <f t="shared" si="303"/>
        <v>4518</v>
      </c>
      <c r="CC142" s="449">
        <f t="shared" si="303"/>
        <v>4518</v>
      </c>
      <c r="CD142" s="44">
        <f t="shared" ref="CD142:CW142" ca="1" si="304">SUM(CD137,CD139:CD141)</f>
        <v>4466</v>
      </c>
      <c r="CE142" s="44">
        <f t="shared" ca="1" si="304"/>
        <v>4568</v>
      </c>
      <c r="CF142" s="44">
        <f t="shared" ca="1" si="304"/>
        <v>4629</v>
      </c>
      <c r="CG142" s="44">
        <f t="shared" ca="1" si="304"/>
        <v>4573</v>
      </c>
      <c r="CH142" s="449">
        <f t="shared" si="304"/>
        <v>4573</v>
      </c>
      <c r="CI142" s="44">
        <f t="shared" si="304"/>
        <v>4600</v>
      </c>
      <c r="CJ142" s="44">
        <f t="shared" si="304"/>
        <v>4758</v>
      </c>
      <c r="CK142" s="44">
        <f t="shared" ca="1" si="304"/>
        <v>4858.7249778818514</v>
      </c>
      <c r="CL142" s="44">
        <f t="shared" ca="1" si="304"/>
        <v>4854.2427213371529</v>
      </c>
      <c r="CM142" s="449">
        <f t="shared" ca="1" si="304"/>
        <v>4854.2427213371529</v>
      </c>
      <c r="CN142" s="44">
        <f t="shared" ca="1" si="304"/>
        <v>4790.0031388939478</v>
      </c>
      <c r="CO142" s="44">
        <f t="shared" ca="1" si="304"/>
        <v>4941.5632840317103</v>
      </c>
      <c r="CP142" s="44">
        <f t="shared" ca="1" si="304"/>
        <v>5049.7535749471799</v>
      </c>
      <c r="CQ142" s="44">
        <f t="shared" ca="1" si="304"/>
        <v>4989.6873062157811</v>
      </c>
      <c r="CR142" s="449">
        <f t="shared" ca="1" si="304"/>
        <v>4989.6873062157811</v>
      </c>
      <c r="CS142" s="44">
        <f t="shared" ca="1" si="304"/>
        <v>4909.3418722071247</v>
      </c>
      <c r="CT142" s="44">
        <f t="shared" ca="1" si="304"/>
        <v>5059.6563164319023</v>
      </c>
      <c r="CU142" s="44">
        <f t="shared" ca="1" si="304"/>
        <v>5169.035847805063</v>
      </c>
      <c r="CV142" s="44">
        <f t="shared" ca="1" si="304"/>
        <v>5106.9431807278033</v>
      </c>
      <c r="CW142" s="449">
        <f t="shared" ca="1" si="304"/>
        <v>5106.9431807278033</v>
      </c>
      <c r="CX142" s="44">
        <f t="shared" ref="CX142:DG142" ca="1" si="305">SUM(CX137,CX139:CX141)</f>
        <v>5017.8890803040713</v>
      </c>
      <c r="CY142" s="44">
        <f t="shared" ca="1" si="305"/>
        <v>5167.5644636666011</v>
      </c>
      <c r="CZ142" s="44">
        <f t="shared" ca="1" si="305"/>
        <v>5278.7147184810547</v>
      </c>
      <c r="DA142" s="44">
        <f t="shared" ca="1" si="305"/>
        <v>5215.0749008968232</v>
      </c>
      <c r="DB142" s="449">
        <f t="shared" ca="1" si="305"/>
        <v>5215.0749008968232</v>
      </c>
      <c r="DC142" s="44">
        <f t="shared" ca="1" si="305"/>
        <v>5117.5980641601054</v>
      </c>
      <c r="DD142" s="44">
        <f t="shared" ca="1" si="305"/>
        <v>5267.162216262991</v>
      </c>
      <c r="DE142" s="44">
        <f t="shared" ca="1" si="305"/>
        <v>5380.5864976176817</v>
      </c>
      <c r="DF142" s="44">
        <f t="shared" ca="1" si="305"/>
        <v>5315.7967388318475</v>
      </c>
      <c r="DG142" s="449">
        <f t="shared" ca="1" si="305"/>
        <v>5315.7967388318475</v>
      </c>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c r="HB142"/>
      <c r="HC142"/>
      <c r="HD142"/>
      <c r="HE142"/>
      <c r="HF142"/>
      <c r="HG142"/>
      <c r="HH142"/>
      <c r="HI142"/>
      <c r="HJ142"/>
      <c r="HK142"/>
      <c r="HL142"/>
      <c r="HM142"/>
      <c r="HN142"/>
      <c r="HO142"/>
      <c r="HP142"/>
      <c r="HQ142"/>
      <c r="HR142"/>
    </row>
    <row r="143" spans="1:226" s="19" customFormat="1" x14ac:dyDescent="0.2">
      <c r="A143" s="18"/>
      <c r="B143" s="37"/>
      <c r="C143" s="37"/>
      <c r="D143" s="37"/>
      <c r="E143" s="37"/>
      <c r="F143" s="439"/>
      <c r="G143" s="37"/>
      <c r="H143" s="37"/>
      <c r="I143" s="37"/>
      <c r="J143" s="37"/>
      <c r="K143" s="439"/>
      <c r="L143" s="37"/>
      <c r="M143" s="37"/>
      <c r="N143" s="37"/>
      <c r="O143" s="37"/>
      <c r="P143" s="439"/>
      <c r="Q143" s="37"/>
      <c r="R143" s="37"/>
      <c r="S143" s="37"/>
      <c r="T143" s="37"/>
      <c r="U143" s="439"/>
      <c r="V143" s="37"/>
      <c r="W143" s="37"/>
      <c r="X143" s="37"/>
      <c r="Y143" s="37"/>
      <c r="Z143" s="439"/>
      <c r="AA143" s="37"/>
      <c r="AB143" s="37"/>
      <c r="AC143" s="37"/>
      <c r="AD143" s="37"/>
      <c r="AE143" s="439"/>
      <c r="AF143" s="37"/>
      <c r="AG143" s="37"/>
      <c r="AH143" s="37"/>
      <c r="AI143" s="37"/>
      <c r="AJ143" s="439"/>
      <c r="AK143" s="37"/>
      <c r="AL143" s="37"/>
      <c r="AM143" s="37"/>
      <c r="AN143" s="37"/>
      <c r="AO143" s="439"/>
      <c r="AP143" s="37"/>
      <c r="AQ143" s="37"/>
      <c r="AR143" s="37"/>
      <c r="AS143" s="37"/>
      <c r="AT143" s="439"/>
      <c r="AU143" s="37"/>
      <c r="AV143" s="37"/>
      <c r="AW143" s="37"/>
      <c r="AX143" s="37"/>
      <c r="AY143" s="439"/>
      <c r="AZ143" s="37"/>
      <c r="BA143" s="37"/>
      <c r="BB143" s="37"/>
      <c r="BC143" s="37"/>
      <c r="BD143" s="439"/>
      <c r="BE143" s="37"/>
      <c r="BF143" s="37"/>
      <c r="BG143" s="37"/>
      <c r="BH143" s="37"/>
      <c r="BI143" s="439"/>
      <c r="BJ143" s="37"/>
      <c r="BK143" s="37"/>
      <c r="BL143" s="37"/>
      <c r="BM143" s="37"/>
      <c r="BN143" s="439"/>
      <c r="BO143" s="37"/>
      <c r="BP143" s="37"/>
      <c r="BQ143" s="37"/>
      <c r="BR143" s="37"/>
      <c r="BS143" s="439"/>
      <c r="BT143" s="655"/>
      <c r="BU143" s="655"/>
      <c r="BV143" s="37"/>
      <c r="BW143" s="37"/>
      <c r="BX143" s="439"/>
      <c r="BY143" s="37"/>
      <c r="BZ143" s="37"/>
      <c r="CA143" s="37"/>
      <c r="CB143" s="655"/>
      <c r="CC143" s="439"/>
      <c r="CD143" s="37"/>
      <c r="CE143" s="37"/>
      <c r="CF143" s="37"/>
      <c r="CG143" s="655"/>
      <c r="CH143" s="439"/>
      <c r="CI143" s="37"/>
      <c r="CJ143" s="37"/>
      <c r="CK143" s="37"/>
      <c r="CL143" s="37"/>
      <c r="CM143" s="439"/>
      <c r="CN143" s="37"/>
      <c r="CO143" s="37"/>
      <c r="CP143" s="37"/>
      <c r="CQ143" s="37"/>
      <c r="CR143" s="439"/>
      <c r="CS143" s="37"/>
      <c r="CT143" s="37"/>
      <c r="CU143" s="37"/>
      <c r="CV143" s="37"/>
      <c r="CW143" s="439"/>
      <c r="CX143" s="37"/>
      <c r="CY143" s="37"/>
      <c r="CZ143" s="37"/>
      <c r="DA143" s="37"/>
      <c r="DB143" s="439"/>
      <c r="DC143" s="37"/>
      <c r="DD143" s="37"/>
      <c r="DE143" s="37"/>
      <c r="DF143" s="37"/>
      <c r="DG143" s="439"/>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c r="HB143"/>
      <c r="HC143"/>
      <c r="HD143"/>
      <c r="HE143"/>
      <c r="HF143"/>
      <c r="HG143"/>
      <c r="HH143"/>
      <c r="HI143"/>
      <c r="HJ143"/>
      <c r="HK143"/>
      <c r="HL143"/>
      <c r="HM143"/>
      <c r="HN143"/>
      <c r="HO143"/>
      <c r="HP143"/>
      <c r="HQ143"/>
      <c r="HR143"/>
    </row>
    <row r="144" spans="1:226" s="19" customFormat="1" x14ac:dyDescent="0.2">
      <c r="A144" s="356" t="s">
        <v>47</v>
      </c>
      <c r="B144" s="37"/>
      <c r="C144" s="37"/>
      <c r="D144" s="37"/>
      <c r="E144" s="37"/>
      <c r="F144" s="439"/>
      <c r="G144" s="37"/>
      <c r="H144" s="37"/>
      <c r="I144" s="37"/>
      <c r="J144" s="37"/>
      <c r="K144" s="439"/>
      <c r="L144" s="37"/>
      <c r="M144" s="37"/>
      <c r="N144" s="37"/>
      <c r="O144" s="37"/>
      <c r="P144" s="439"/>
      <c r="Q144" s="37"/>
      <c r="R144" s="37"/>
      <c r="S144" s="37"/>
      <c r="T144" s="37"/>
      <c r="U144" s="439"/>
      <c r="V144" s="37"/>
      <c r="W144" s="37"/>
      <c r="X144" s="37"/>
      <c r="Y144" s="37"/>
      <c r="Z144" s="439"/>
      <c r="AA144" s="37"/>
      <c r="AB144" s="37"/>
      <c r="AC144" s="37"/>
      <c r="AD144" s="37"/>
      <c r="AE144" s="439"/>
      <c r="AF144" s="37"/>
      <c r="AG144" s="37"/>
      <c r="AH144" s="37"/>
      <c r="AI144" s="37"/>
      <c r="AJ144" s="439"/>
      <c r="AK144" s="37"/>
      <c r="AL144" s="37"/>
      <c r="AM144" s="37"/>
      <c r="AN144" s="37"/>
      <c r="AO144" s="439"/>
      <c r="AP144" s="37"/>
      <c r="AQ144" s="37"/>
      <c r="AR144" s="37"/>
      <c r="AS144" s="37"/>
      <c r="AT144" s="439"/>
      <c r="AU144" s="37"/>
      <c r="AV144" s="37"/>
      <c r="AW144" s="37"/>
      <c r="AX144" s="37"/>
      <c r="AY144" s="439"/>
      <c r="AZ144" s="37"/>
      <c r="BA144" s="37"/>
      <c r="BB144" s="37"/>
      <c r="BC144" s="37"/>
      <c r="BD144" s="438"/>
      <c r="BE144" s="37"/>
      <c r="BF144" s="37"/>
      <c r="BG144" s="37"/>
      <c r="BH144" s="37"/>
      <c r="BI144" s="438"/>
      <c r="BJ144" s="37"/>
      <c r="BK144" s="37"/>
      <c r="BL144" s="37"/>
      <c r="BM144" s="37"/>
      <c r="BN144" s="438"/>
      <c r="BO144" s="37"/>
      <c r="BP144" s="37"/>
      <c r="BQ144" s="37"/>
      <c r="BR144" s="37"/>
      <c r="BS144" s="438"/>
      <c r="BT144" s="655"/>
      <c r="BU144" s="655"/>
      <c r="BV144" s="37"/>
      <c r="BW144" s="37"/>
      <c r="BX144" s="438"/>
      <c r="BY144" s="37"/>
      <c r="BZ144" s="37"/>
      <c r="CA144" s="37"/>
      <c r="CB144" s="655"/>
      <c r="CC144" s="438"/>
      <c r="CD144" s="37"/>
      <c r="CE144" s="37"/>
      <c r="CF144" s="37"/>
      <c r="CG144" s="655"/>
      <c r="CH144" s="438"/>
      <c r="CI144" s="37"/>
      <c r="CJ144" s="37"/>
      <c r="CK144" s="37"/>
      <c r="CL144" s="37"/>
      <c r="CM144" s="438"/>
      <c r="CN144" s="37"/>
      <c r="CO144" s="37"/>
      <c r="CP144" s="37"/>
      <c r="CQ144" s="37"/>
      <c r="CR144" s="438"/>
      <c r="CS144" s="37"/>
      <c r="CT144" s="37"/>
      <c r="CU144" s="37"/>
      <c r="CV144" s="37"/>
      <c r="CW144" s="438"/>
      <c r="CX144" s="37"/>
      <c r="CY144" s="37"/>
      <c r="CZ144" s="37"/>
      <c r="DA144" s="37"/>
      <c r="DB144" s="438"/>
      <c r="DC144" s="37"/>
      <c r="DD144" s="37"/>
      <c r="DE144" s="37"/>
      <c r="DF144" s="37"/>
      <c r="DG144" s="438"/>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c r="HB144"/>
      <c r="HC144"/>
      <c r="HD144"/>
      <c r="HE144"/>
      <c r="HF144"/>
      <c r="HG144"/>
      <c r="HH144"/>
      <c r="HI144"/>
      <c r="HJ144"/>
      <c r="HK144"/>
      <c r="HL144"/>
      <c r="HM144"/>
      <c r="HN144"/>
      <c r="HO144"/>
      <c r="HP144"/>
      <c r="HQ144"/>
      <c r="HR144"/>
    </row>
    <row r="145" spans="1:226" s="19" customFormat="1" x14ac:dyDescent="0.2">
      <c r="A145" s="360" t="s">
        <v>184</v>
      </c>
      <c r="B145" s="46">
        <v>647</v>
      </c>
      <c r="C145" s="46">
        <v>718</v>
      </c>
      <c r="D145" s="46">
        <v>236</v>
      </c>
      <c r="E145" s="46">
        <v>117</v>
      </c>
      <c r="F145" s="439">
        <f>E145</f>
        <v>117</v>
      </c>
      <c r="G145" s="46">
        <v>285</v>
      </c>
      <c r="H145" s="46">
        <v>201</v>
      </c>
      <c r="I145" s="46">
        <v>247</v>
      </c>
      <c r="J145" s="46">
        <v>330</v>
      </c>
      <c r="K145" s="439">
        <f>J145</f>
        <v>330</v>
      </c>
      <c r="L145" s="46">
        <v>316</v>
      </c>
      <c r="M145" s="46">
        <v>361</v>
      </c>
      <c r="N145" s="46">
        <v>416</v>
      </c>
      <c r="O145" s="46">
        <v>361</v>
      </c>
      <c r="P145" s="439">
        <f>O145</f>
        <v>361</v>
      </c>
      <c r="Q145" s="46">
        <v>653</v>
      </c>
      <c r="R145" s="46">
        <v>662</v>
      </c>
      <c r="S145" s="46">
        <v>490</v>
      </c>
      <c r="T145" s="46">
        <v>289</v>
      </c>
      <c r="U145" s="439">
        <f>T145</f>
        <v>289</v>
      </c>
      <c r="V145" s="46">
        <f>170</f>
        <v>170</v>
      </c>
      <c r="W145" s="46">
        <v>545</v>
      </c>
      <c r="X145" s="46">
        <v>407</v>
      </c>
      <c r="Y145" s="46">
        <v>359</v>
      </c>
      <c r="Z145" s="439">
        <f>Y145</f>
        <v>359</v>
      </c>
      <c r="AA145" s="46">
        <v>556</v>
      </c>
      <c r="AB145" s="46">
        <v>521</v>
      </c>
      <c r="AC145" s="46">
        <v>466</v>
      </c>
      <c r="AD145" s="46">
        <v>156</v>
      </c>
      <c r="AE145" s="439">
        <f>AD145</f>
        <v>156</v>
      </c>
      <c r="AF145" s="46">
        <v>68</v>
      </c>
      <c r="AG145" s="46">
        <v>126</v>
      </c>
      <c r="AH145" s="46">
        <v>206</v>
      </c>
      <c r="AI145" s="46">
        <v>74</v>
      </c>
      <c r="AJ145" s="439">
        <f>AI145</f>
        <v>74</v>
      </c>
      <c r="AK145" s="46">
        <v>872</v>
      </c>
      <c r="AL145" s="46">
        <v>1540</v>
      </c>
      <c r="AM145" s="46">
        <v>959</v>
      </c>
      <c r="AN145" s="46">
        <v>755</v>
      </c>
      <c r="AO145" s="439">
        <f>AN145</f>
        <v>755</v>
      </c>
      <c r="AP145" s="46">
        <v>727</v>
      </c>
      <c r="AQ145" s="46">
        <v>637</v>
      </c>
      <c r="AR145" s="46">
        <v>543</v>
      </c>
      <c r="AS145" s="46">
        <v>421</v>
      </c>
      <c r="AT145" s="439">
        <f>AS145</f>
        <v>421</v>
      </c>
      <c r="AU145" s="46">
        <v>457</v>
      </c>
      <c r="AV145" s="46">
        <v>25</v>
      </c>
      <c r="AW145" s="46">
        <v>586</v>
      </c>
      <c r="AX145" s="46">
        <v>371</v>
      </c>
      <c r="AY145" s="439">
        <f>AX145</f>
        <v>371</v>
      </c>
      <c r="AZ145" s="46">
        <v>506</v>
      </c>
      <c r="BA145" s="46">
        <v>3</v>
      </c>
      <c r="BB145" s="46">
        <v>343</v>
      </c>
      <c r="BC145" s="46">
        <v>459</v>
      </c>
      <c r="BD145" s="439">
        <f>BC145</f>
        <v>459</v>
      </c>
      <c r="BE145" s="46">
        <v>440</v>
      </c>
      <c r="BF145" s="46">
        <v>476</v>
      </c>
      <c r="BG145" s="46">
        <v>430</v>
      </c>
      <c r="BH145" s="46">
        <v>300</v>
      </c>
      <c r="BI145" s="439">
        <f>BH145</f>
        <v>300</v>
      </c>
      <c r="BJ145" s="46">
        <v>2</v>
      </c>
      <c r="BK145" s="46">
        <v>5</v>
      </c>
      <c r="BL145" s="46">
        <v>392</v>
      </c>
      <c r="BM145" s="46">
        <v>202</v>
      </c>
      <c r="BN145" s="439">
        <f>BM145</f>
        <v>202</v>
      </c>
      <c r="BO145" s="46">
        <v>286</v>
      </c>
      <c r="BP145" s="46">
        <v>342</v>
      </c>
      <c r="BQ145" s="46">
        <v>394</v>
      </c>
      <c r="BR145" s="46">
        <v>143</v>
      </c>
      <c r="BS145" s="439">
        <f>BR145</f>
        <v>143</v>
      </c>
      <c r="BT145" s="679">
        <v>53</v>
      </c>
      <c r="BU145" s="679">
        <v>2</v>
      </c>
      <c r="BV145" s="46">
        <v>70</v>
      </c>
      <c r="BW145" s="46">
        <v>95</v>
      </c>
      <c r="BX145" s="439">
        <f>BW145</f>
        <v>95</v>
      </c>
      <c r="BY145" s="46">
        <v>131</v>
      </c>
      <c r="BZ145" s="46">
        <v>500</v>
      </c>
      <c r="CA145" s="46">
        <v>432</v>
      </c>
      <c r="CB145" s="679">
        <v>523</v>
      </c>
      <c r="CC145" s="439">
        <f>CB145</f>
        <v>523</v>
      </c>
      <c r="CD145" s="46">
        <v>618</v>
      </c>
      <c r="CE145" s="46">
        <v>759</v>
      </c>
      <c r="CF145" s="46">
        <v>650</v>
      </c>
      <c r="CG145" s="679">
        <v>404</v>
      </c>
      <c r="CH145" s="439">
        <f>CG145</f>
        <v>404</v>
      </c>
      <c r="CI145" s="679">
        <v>13</v>
      </c>
      <c r="CJ145" s="679">
        <v>495</v>
      </c>
      <c r="CK145" s="46">
        <f ca="1">MAX((CK141+CK140+CK139+CK136+CK135+CK134+CK133+CK132)-(SUM(CK146,CK147,CK148,CK149,CK152,CK153,CK154,CK158,CK159,CK160,CK161)),0)</f>
        <v>580.56158501096343</v>
      </c>
      <c r="CL145" s="46">
        <f ca="1">MAX((CL141+CL140+CL139+CL136+CL135+CL134+CL133+CL132)-(SUM(CL146,CL147,CL148,CL149,CL152,CL153,CL154,CL158,CL159,CL160,CL161)),0)</f>
        <v>576.99999059896345</v>
      </c>
      <c r="CM145" s="439">
        <f ca="1">CL145</f>
        <v>576.99999059896345</v>
      </c>
      <c r="CN145" s="46">
        <f ca="1">MAX((CN141+CN140+CN139+CN136+CN135+CN134+CN133+CN132)-(SUM(CN146,CN147,CN148,CN149,CN152,CN153,CN154,CN158,CN159,CN160,CN161)),0)</f>
        <v>508.78255057370734</v>
      </c>
      <c r="CO145" s="46">
        <f ca="1">MAX((CO141+CO140+CO139+CO136+CO135+CO134+CO133+CO132)-(SUM(CO146,CO147,CO148,CO149,CO152,CO153,CO154,CO158,CO159,CO160,CO161)),0)</f>
        <v>800.21019486326168</v>
      </c>
      <c r="CP145" s="46">
        <f ca="1">MAX((CP141+CP140+CP139+CP136+CP135+CP134+CP133+CP132)-(SUM(CP146,CP147,CP148,CP149,CP152,CP153,CP154,CP158,CP159,CP160,CP161)),0)</f>
        <v>832.325599537171</v>
      </c>
      <c r="CQ145" s="46">
        <f ca="1">MAX((CQ141+CQ140+CQ139+CQ136+CQ135+CQ134+CQ133+CQ132)-(SUM(CQ146,CQ147,CQ148,CQ149,CQ152,CQ153,CQ154,CQ158,CQ159,CQ160,CQ161)),0)</f>
        <v>754.27672378407715</v>
      </c>
      <c r="CR145" s="439">
        <f ca="1">CQ145</f>
        <v>754.27672378407715</v>
      </c>
      <c r="CS145" s="46">
        <f ca="1">MAX((CS141+CS140+CS139+CS136+CS135+CS134+CS133+CS132)-(SUM(CS146,CS147,CS148,CS149,CS152,CS153,CS154,CS158,CS159,CS160,CS161)),0)</f>
        <v>675.70543056500264</v>
      </c>
      <c r="CT145" s="46">
        <f ca="1">MAX((CT141+CT140+CT139+CT136+CT135+CT134+CT133+CT132)-(SUM(CT146,CT147,CT148,CT149,CT152,CT153,CT154,CT158,CT159,CT160,CT161)),0)</f>
        <v>974.94918248324848</v>
      </c>
      <c r="CU145" s="46">
        <f ca="1">MAX((CU141+CU140+CU139+CU136+CU135+CU134+CU133+CU132)-(SUM(CU146,CU147,CU148,CU149,CU152,CU153,CU154,CU158,CU159,CU160,CU161)),0)</f>
        <v>1009.8058925745481</v>
      </c>
      <c r="CV145" s="46">
        <f ca="1">MAX((CV141+CV140+CV139+CV136+CV135+CV134+CV133+CV132)-(SUM(CV146,CV147,CV148,CV149,CV152,CV153,CV154,CV158,CV159,CV160,CV161)),0)</f>
        <v>932.51260094808822</v>
      </c>
      <c r="CW145" s="439">
        <f ca="1">CV145</f>
        <v>932.51260094808822</v>
      </c>
      <c r="CX145" s="46">
        <f ca="1">MAX((CX141+CX140+CX139+CX136+CX135+CX134+CX133+CX132)-(SUM(CX146,CX147,CX148,CX149,CX152,CX153,CX154,CX158,CX159,CX160,CX161)),0)</f>
        <v>864.83536120956069</v>
      </c>
      <c r="CY145" s="46">
        <f ca="1">MAX((CY141+CY140+CY139+CY136+CY135+CY134+CY133+CY132)-(SUM(CY146,CY147,CY148,CY149,CY152,CY153,CY154,CY158,CY159,CY160,CY161)),0)</f>
        <v>1172.1181826956408</v>
      </c>
      <c r="CZ145" s="46">
        <f ca="1">MAX((CZ141+CZ140+CZ139+CZ136+CZ135+CZ134+CZ133+CZ132)-(SUM(CZ146,CZ147,CZ148,CZ149,CZ152,CZ153,CZ154,CZ158,CZ159,CZ160,CZ161)),0)</f>
        <v>1216.291517923115</v>
      </c>
      <c r="DA145" s="46">
        <f ca="1">MAX((DA141+DA140+DA139+DA136+DA135+DA134+DA133+DA132)-(SUM(DA146,DA147,DA148,DA149,DA152,DA153,DA154,DA158,DA159,DA160,DA161)),0)</f>
        <v>1147.267727023519</v>
      </c>
      <c r="DB145" s="439">
        <f ca="1">DA145</f>
        <v>1147.267727023519</v>
      </c>
      <c r="DC145" s="46">
        <f ca="1">MAX((DC141+DC140+DC139+DC136+DC135+DC134+DC133+DC132)-(SUM(DC146,DC147,DC148,DC149,DC152,DC153,DC154,DC158,DC159,DC160,DC161)),0)</f>
        <v>1076.4656844865649</v>
      </c>
      <c r="DD145" s="46">
        <f ca="1">MAX((DD141+DD140+DD139+DD136+DD135+DD134+DD133+DD132)-(SUM(DD146,DD147,DD148,DD149,DD152,DD153,DD154,DD158,DD159,DD160,DD161)),0)</f>
        <v>1393.6056569881011</v>
      </c>
      <c r="DE145" s="46">
        <f ca="1">MAX((DE141+DE140+DE139+DE136+DE135+DE134+DE133+DE132)-(SUM(DE146,DE147,DE148,DE149,DE152,DE153,DE154,DE158,DE159,DE160,DE161)),0)</f>
        <v>1448.977202079197</v>
      </c>
      <c r="DF145" s="46">
        <f ca="1">MAX((DF141+DF140+DF139+DF136+DF135+DF134+DF133+DF132)-(SUM(DF146,DF147,DF148,DF149,DF152,DF153,DF154,DF158,DF159,DF160,DF161)),0)</f>
        <v>1390.1439061335168</v>
      </c>
      <c r="DG145" s="439">
        <f ca="1">DF145</f>
        <v>1390.1439061335168</v>
      </c>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c r="HB145"/>
      <c r="HC145"/>
      <c r="HD145"/>
      <c r="HE145"/>
      <c r="HF145"/>
      <c r="HG145"/>
      <c r="HH145"/>
      <c r="HI145"/>
      <c r="HJ145"/>
      <c r="HK145"/>
      <c r="HL145"/>
      <c r="HM145"/>
      <c r="HN145"/>
      <c r="HO145"/>
      <c r="HP145"/>
      <c r="HQ145"/>
      <c r="HR145"/>
    </row>
    <row r="146" spans="1:226" s="18" customFormat="1" x14ac:dyDescent="0.2">
      <c r="A146" s="18" t="s">
        <v>185</v>
      </c>
      <c r="B146" s="37">
        <v>206</v>
      </c>
      <c r="C146" s="37">
        <v>208</v>
      </c>
      <c r="D146" s="37">
        <v>204</v>
      </c>
      <c r="E146" s="37">
        <v>202</v>
      </c>
      <c r="F146" s="439">
        <f>E146</f>
        <v>202</v>
      </c>
      <c r="G146" s="37">
        <v>3</v>
      </c>
      <c r="H146" s="37">
        <v>2</v>
      </c>
      <c r="I146" s="37">
        <v>3</v>
      </c>
      <c r="J146" s="37">
        <v>2</v>
      </c>
      <c r="K146" s="439">
        <f>J146</f>
        <v>2</v>
      </c>
      <c r="L146" s="37">
        <v>195</v>
      </c>
      <c r="M146" s="37">
        <v>208</v>
      </c>
      <c r="N146" s="37">
        <v>211</v>
      </c>
      <c r="O146" s="37">
        <v>213</v>
      </c>
      <c r="P146" s="439">
        <f>O146</f>
        <v>213</v>
      </c>
      <c r="Q146" s="37">
        <v>16</v>
      </c>
      <c r="R146" s="37">
        <v>5</v>
      </c>
      <c r="S146" s="37">
        <v>6</v>
      </c>
      <c r="T146" s="37">
        <v>2</v>
      </c>
      <c r="U146" s="439">
        <f>T146</f>
        <v>2</v>
      </c>
      <c r="V146" s="37">
        <v>3</v>
      </c>
      <c r="W146" s="37">
        <v>2</v>
      </c>
      <c r="X146" s="37">
        <v>3</v>
      </c>
      <c r="Y146" s="37">
        <v>2</v>
      </c>
      <c r="Z146" s="439">
        <f>Y146</f>
        <v>2</v>
      </c>
      <c r="AA146" s="37">
        <v>3</v>
      </c>
      <c r="AB146" s="37">
        <v>3</v>
      </c>
      <c r="AC146" s="37">
        <v>153</v>
      </c>
      <c r="AD146" s="37">
        <v>152</v>
      </c>
      <c r="AE146" s="439">
        <f>AD146</f>
        <v>152</v>
      </c>
      <c r="AF146" s="37">
        <v>152</v>
      </c>
      <c r="AG146" s="37">
        <v>651</v>
      </c>
      <c r="AH146" s="37">
        <v>501</v>
      </c>
      <c r="AI146" s="37">
        <v>500</v>
      </c>
      <c r="AJ146" s="439">
        <f>AI146</f>
        <v>500</v>
      </c>
      <c r="AK146" s="37">
        <v>500</v>
      </c>
      <c r="AL146" s="37">
        <v>0</v>
      </c>
      <c r="AM146" s="37">
        <v>0</v>
      </c>
      <c r="AN146" s="37">
        <v>0</v>
      </c>
      <c r="AO146" s="439">
        <f>AN146</f>
        <v>0</v>
      </c>
      <c r="AP146" s="37">
        <v>1</v>
      </c>
      <c r="AQ146" s="37">
        <v>1</v>
      </c>
      <c r="AR146" s="37">
        <v>577</v>
      </c>
      <c r="AS146" s="37">
        <v>577</v>
      </c>
      <c r="AT146" s="439">
        <f>AS146</f>
        <v>577</v>
      </c>
      <c r="AU146" s="37">
        <v>575</v>
      </c>
      <c r="AV146" s="37">
        <v>575</v>
      </c>
      <c r="AW146" s="37">
        <v>300</v>
      </c>
      <c r="AX146" s="37">
        <v>300</v>
      </c>
      <c r="AY146" s="439">
        <f>AX146</f>
        <v>300</v>
      </c>
      <c r="AZ146" s="37">
        <v>300</v>
      </c>
      <c r="BA146" s="37">
        <v>300</v>
      </c>
      <c r="BB146" s="42">
        <v>0</v>
      </c>
      <c r="BC146" s="42">
        <f>+BB146</f>
        <v>0</v>
      </c>
      <c r="BD146" s="439">
        <f>BC146</f>
        <v>0</v>
      </c>
      <c r="BE146" s="42">
        <f>+BD146</f>
        <v>0</v>
      </c>
      <c r="BF146" s="37">
        <v>350</v>
      </c>
      <c r="BG146" s="37">
        <v>850</v>
      </c>
      <c r="BH146" s="37">
        <v>850</v>
      </c>
      <c r="BI146" s="439">
        <f>BH146</f>
        <v>850</v>
      </c>
      <c r="BJ146" s="37">
        <v>850</v>
      </c>
      <c r="BK146" s="37">
        <v>500</v>
      </c>
      <c r="BL146" s="37">
        <v>0</v>
      </c>
      <c r="BM146" s="37">
        <v>0</v>
      </c>
      <c r="BN146" s="439">
        <f>BM146</f>
        <v>0</v>
      </c>
      <c r="BO146" s="42">
        <v>0</v>
      </c>
      <c r="BP146" s="42">
        <v>0</v>
      </c>
      <c r="BQ146" s="37">
        <v>575</v>
      </c>
      <c r="BR146" s="37">
        <v>575</v>
      </c>
      <c r="BS146" s="439">
        <f>BR146</f>
        <v>575</v>
      </c>
      <c r="BT146" s="655">
        <v>575</v>
      </c>
      <c r="BU146" s="655">
        <v>875</v>
      </c>
      <c r="BV146" s="655">
        <v>300</v>
      </c>
      <c r="BW146" s="655">
        <v>300</v>
      </c>
      <c r="BX146" s="439">
        <f>BW146</f>
        <v>300</v>
      </c>
      <c r="BY146" s="655">
        <v>300</v>
      </c>
      <c r="BZ146" s="42">
        <v>0</v>
      </c>
      <c r="CA146" s="42">
        <v>0</v>
      </c>
      <c r="CB146" s="655">
        <f t="shared" ref="CB146:CV146" si="306">+CA146</f>
        <v>0</v>
      </c>
      <c r="CC146" s="439">
        <f>CB146</f>
        <v>0</v>
      </c>
      <c r="CD146" s="655">
        <f t="shared" si="306"/>
        <v>0</v>
      </c>
      <c r="CE146" s="655">
        <v>400</v>
      </c>
      <c r="CF146" s="655">
        <v>400</v>
      </c>
      <c r="CG146" s="655">
        <v>400</v>
      </c>
      <c r="CH146" s="439">
        <f>CG146</f>
        <v>400</v>
      </c>
      <c r="CI146" s="655">
        <v>400</v>
      </c>
      <c r="CJ146" s="655">
        <v>0</v>
      </c>
      <c r="CK146" s="42">
        <f t="shared" si="306"/>
        <v>0</v>
      </c>
      <c r="CL146" s="42">
        <f t="shared" si="306"/>
        <v>0</v>
      </c>
      <c r="CM146" s="439">
        <f>CL146</f>
        <v>0</v>
      </c>
      <c r="CN146" s="42">
        <f t="shared" si="306"/>
        <v>0</v>
      </c>
      <c r="CO146" s="42">
        <f t="shared" si="306"/>
        <v>0</v>
      </c>
      <c r="CP146" s="42">
        <f t="shared" si="306"/>
        <v>0</v>
      </c>
      <c r="CQ146" s="42">
        <f t="shared" si="306"/>
        <v>0</v>
      </c>
      <c r="CR146" s="439">
        <f>CQ146</f>
        <v>0</v>
      </c>
      <c r="CS146" s="42">
        <f t="shared" si="306"/>
        <v>0</v>
      </c>
      <c r="CT146" s="42">
        <f t="shared" si="306"/>
        <v>0</v>
      </c>
      <c r="CU146" s="42">
        <f t="shared" si="306"/>
        <v>0</v>
      </c>
      <c r="CV146" s="42">
        <f t="shared" si="306"/>
        <v>0</v>
      </c>
      <c r="CW146" s="439">
        <f>CV146</f>
        <v>0</v>
      </c>
      <c r="CX146" s="42">
        <f>+CW146</f>
        <v>0</v>
      </c>
      <c r="CY146" s="42">
        <f>+CX146</f>
        <v>0</v>
      </c>
      <c r="CZ146" s="42">
        <f>+CY146</f>
        <v>0</v>
      </c>
      <c r="DA146" s="42">
        <f>+CZ146</f>
        <v>0</v>
      </c>
      <c r="DB146" s="439">
        <f>DA146</f>
        <v>0</v>
      </c>
      <c r="DC146" s="42">
        <f>+DB146</f>
        <v>0</v>
      </c>
      <c r="DD146" s="42">
        <f>+DC146</f>
        <v>0</v>
      </c>
      <c r="DE146" s="42">
        <f>+DD146</f>
        <v>0</v>
      </c>
      <c r="DF146" s="42">
        <f>+DE146</f>
        <v>0</v>
      </c>
      <c r="DG146" s="439">
        <f>DF146</f>
        <v>0</v>
      </c>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c r="HB146"/>
      <c r="HC146"/>
      <c r="HD146"/>
      <c r="HE146"/>
      <c r="HF146"/>
      <c r="HG146"/>
      <c r="HH146"/>
      <c r="HI146"/>
      <c r="HJ146"/>
      <c r="HK146"/>
      <c r="HL146"/>
      <c r="HM146"/>
      <c r="HN146"/>
      <c r="HO146"/>
      <c r="HP146"/>
      <c r="HQ146"/>
      <c r="HR146"/>
    </row>
    <row r="147" spans="1:226" s="19" customFormat="1" x14ac:dyDescent="0.2">
      <c r="A147" s="18" t="s">
        <v>48</v>
      </c>
      <c r="B147" s="37">
        <v>219</v>
      </c>
      <c r="C147" s="37">
        <v>193</v>
      </c>
      <c r="D147" s="37">
        <v>209</v>
      </c>
      <c r="E147" s="37">
        <v>314</v>
      </c>
      <c r="F147" s="439">
        <f>E147</f>
        <v>314</v>
      </c>
      <c r="G147" s="37">
        <v>300</v>
      </c>
      <c r="H147" s="37">
        <v>312</v>
      </c>
      <c r="I147" s="37">
        <v>303</v>
      </c>
      <c r="J147" s="37">
        <v>330</v>
      </c>
      <c r="K147" s="439">
        <f>J147</f>
        <v>330</v>
      </c>
      <c r="L147" s="37">
        <v>279</v>
      </c>
      <c r="M147" s="37">
        <v>260</v>
      </c>
      <c r="N147" s="37">
        <v>308</v>
      </c>
      <c r="O147" s="37">
        <v>312</v>
      </c>
      <c r="P147" s="439">
        <f>O147</f>
        <v>312</v>
      </c>
      <c r="Q147" s="37">
        <v>282</v>
      </c>
      <c r="R147" s="37">
        <v>235</v>
      </c>
      <c r="S147" s="37">
        <v>304</v>
      </c>
      <c r="T147" s="37">
        <v>310</v>
      </c>
      <c r="U147" s="439">
        <f>T147</f>
        <v>310</v>
      </c>
      <c r="V147" s="37">
        <v>287</v>
      </c>
      <c r="W147" s="37">
        <v>293</v>
      </c>
      <c r="X147" s="37">
        <v>312</v>
      </c>
      <c r="Y147" s="37">
        <v>347</v>
      </c>
      <c r="Z147" s="439">
        <f>Y147</f>
        <v>347</v>
      </c>
      <c r="AA147" s="37">
        <v>309</v>
      </c>
      <c r="AB147" s="37">
        <v>274</v>
      </c>
      <c r="AC147" s="37">
        <v>285</v>
      </c>
      <c r="AD147" s="37">
        <v>329</v>
      </c>
      <c r="AE147" s="439">
        <f>AD147</f>
        <v>329</v>
      </c>
      <c r="AF147" s="37">
        <v>299</v>
      </c>
      <c r="AG147" s="37">
        <v>283</v>
      </c>
      <c r="AH147" s="37">
        <v>292</v>
      </c>
      <c r="AI147" s="37">
        <v>329</v>
      </c>
      <c r="AJ147" s="439">
        <f>AI147</f>
        <v>329</v>
      </c>
      <c r="AK147" s="37">
        <v>318</v>
      </c>
      <c r="AL147" s="37">
        <v>312</v>
      </c>
      <c r="AM147" s="37">
        <v>340</v>
      </c>
      <c r="AN147" s="37">
        <v>418</v>
      </c>
      <c r="AO147" s="439">
        <f>AN147</f>
        <v>418</v>
      </c>
      <c r="AP147" s="37">
        <v>392</v>
      </c>
      <c r="AQ147" s="37">
        <v>330</v>
      </c>
      <c r="AR147" s="37">
        <v>333</v>
      </c>
      <c r="AS147" s="37">
        <v>381</v>
      </c>
      <c r="AT147" s="439">
        <f>AS147</f>
        <v>381</v>
      </c>
      <c r="AU147" s="37">
        <v>330</v>
      </c>
      <c r="AV147" s="37">
        <v>301</v>
      </c>
      <c r="AW147" s="37">
        <v>342</v>
      </c>
      <c r="AX147" s="37">
        <v>410</v>
      </c>
      <c r="AY147" s="439">
        <f>AX147</f>
        <v>410</v>
      </c>
      <c r="AZ147" s="58">
        <v>379</v>
      </c>
      <c r="BA147" s="58">
        <v>326</v>
      </c>
      <c r="BB147" s="58">
        <v>360</v>
      </c>
      <c r="BC147" s="58">
        <v>423</v>
      </c>
      <c r="BD147" s="439">
        <f>BC147</f>
        <v>423</v>
      </c>
      <c r="BE147" s="58">
        <v>357</v>
      </c>
      <c r="BF147" s="58">
        <v>345</v>
      </c>
      <c r="BG147" s="58">
        <v>364</v>
      </c>
      <c r="BH147" s="58">
        <v>412</v>
      </c>
      <c r="BI147" s="439">
        <f>BH147</f>
        <v>412</v>
      </c>
      <c r="BJ147" s="58">
        <v>388</v>
      </c>
      <c r="BK147" s="58">
        <v>365</v>
      </c>
      <c r="BL147" s="58">
        <v>390</v>
      </c>
      <c r="BM147" s="58">
        <v>413</v>
      </c>
      <c r="BN147" s="439">
        <f>BM147</f>
        <v>413</v>
      </c>
      <c r="BO147" s="58">
        <v>374</v>
      </c>
      <c r="BP147" s="58">
        <v>359</v>
      </c>
      <c r="BQ147" s="58">
        <v>388</v>
      </c>
      <c r="BR147" s="58">
        <v>440</v>
      </c>
      <c r="BS147" s="439">
        <f>BR147</f>
        <v>440</v>
      </c>
      <c r="BT147" s="677">
        <v>385</v>
      </c>
      <c r="BU147" s="677">
        <v>375</v>
      </c>
      <c r="BV147" s="58">
        <v>397</v>
      </c>
      <c r="BW147" s="58">
        <v>431</v>
      </c>
      <c r="BX147" s="439">
        <f>BW147</f>
        <v>431</v>
      </c>
      <c r="BY147" s="58">
        <v>419</v>
      </c>
      <c r="BZ147" s="58">
        <v>366</v>
      </c>
      <c r="CA147" s="58">
        <v>436</v>
      </c>
      <c r="CB147" s="677">
        <f>1035-CB148</f>
        <v>470.17827626918529</v>
      </c>
      <c r="CC147" s="439">
        <f>CB147</f>
        <v>470.17827626918529</v>
      </c>
      <c r="CD147" s="58">
        <f ca="1">874-CD148</f>
        <v>378.09043927648577</v>
      </c>
      <c r="CE147" s="58">
        <f ca="1">878-CE148</f>
        <v>383.45407503234151</v>
      </c>
      <c r="CF147" s="58">
        <f ca="1">948-CF148</f>
        <v>394.2424623115578</v>
      </c>
      <c r="CG147" s="677">
        <f ca="1">1005-CG148</f>
        <v>425.94451003541906</v>
      </c>
      <c r="CH147" s="439">
        <f ca="1">CG147</f>
        <v>425.94451003541906</v>
      </c>
      <c r="CI147" s="677">
        <f ca="1">912-CI148</f>
        <v>401.26873385012919</v>
      </c>
      <c r="CJ147" s="677">
        <v>885</v>
      </c>
      <c r="CK147" s="58">
        <f ca="1">-CK223*CK11*4</f>
        <v>384.87155763302212</v>
      </c>
      <c r="CL147" s="58">
        <f ca="1">-CL223*CL11*4</f>
        <v>420.95951062613619</v>
      </c>
      <c r="CM147" s="439">
        <f ca="1">CL147</f>
        <v>420.95951062613619</v>
      </c>
      <c r="CN147" s="58">
        <f ca="1">-CN223*CN11*4</f>
        <v>427.43041839060345</v>
      </c>
      <c r="CO147" s="58">
        <f>-CO223*CO11*4</f>
        <v>939.28473231011151</v>
      </c>
      <c r="CP147" s="58">
        <f ca="1">-CP223*CP11*4</f>
        <v>407.19983577550494</v>
      </c>
      <c r="CQ147" s="58">
        <f ca="1">-CQ223*CQ11*4</f>
        <v>430.55259247336585</v>
      </c>
      <c r="CR147" s="439">
        <f ca="1">CQ147</f>
        <v>430.55259247336585</v>
      </c>
      <c r="CS147" s="58">
        <f ca="1">-CS223*CS11*4</f>
        <v>436.68751376790107</v>
      </c>
      <c r="CT147" s="58">
        <f>-CT223*CT11*4</f>
        <v>960.15779236167918</v>
      </c>
      <c r="CU147" s="58">
        <f ca="1">-CU223*CU11*4</f>
        <v>416.04341293023202</v>
      </c>
      <c r="CV147" s="58">
        <f ca="1">-CV223*CV11*4</f>
        <v>439.56783856379025</v>
      </c>
      <c r="CW147" s="439">
        <f ca="1">CV147</f>
        <v>439.56783856379025</v>
      </c>
      <c r="CX147" s="58">
        <f ca="1">-CX223*CX11*4</f>
        <v>431.47534816678149</v>
      </c>
      <c r="CY147" s="58">
        <f>-CY223*CY11*4</f>
        <v>967.27630855549182</v>
      </c>
      <c r="CZ147" s="58">
        <f ca="1">-CZ223*CZ11*4</f>
        <v>409.82728120950219</v>
      </c>
      <c r="DA147" s="58">
        <f ca="1">-DA223*DA11*4</f>
        <v>432.63949387394968</v>
      </c>
      <c r="DB147" s="439">
        <f ca="1">DA147</f>
        <v>432.63949387394968</v>
      </c>
      <c r="DC147" s="58">
        <f ca="1">-DC223*DC11*4</f>
        <v>425.87175519358101</v>
      </c>
      <c r="DD147" s="58">
        <f>-DD223*DD11*4</f>
        <v>974.33747657659592</v>
      </c>
      <c r="DE147" s="58">
        <f ca="1">-DE223*DE11*4</f>
        <v>403.18339872226869</v>
      </c>
      <c r="DF147" s="58">
        <f ca="1">-DF223*DF11*4</f>
        <v>425.26758204746437</v>
      </c>
      <c r="DG147" s="439">
        <f ca="1">DF147</f>
        <v>425.26758204746437</v>
      </c>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c r="HB147"/>
      <c r="HC147"/>
      <c r="HD147"/>
      <c r="HE147"/>
      <c r="HF147"/>
      <c r="HG147"/>
      <c r="HH147"/>
      <c r="HI147"/>
      <c r="HJ147"/>
      <c r="HK147"/>
      <c r="HL147"/>
      <c r="HM147"/>
      <c r="HN147"/>
      <c r="HO147"/>
      <c r="HP147"/>
      <c r="HQ147"/>
      <c r="HR147"/>
    </row>
    <row r="148" spans="1:226" s="19" customFormat="1" x14ac:dyDescent="0.2">
      <c r="A148" s="18" t="s">
        <v>49</v>
      </c>
      <c r="B148" s="37">
        <f>359+11</f>
        <v>370</v>
      </c>
      <c r="C148" s="37">
        <f>358+8</f>
        <v>366</v>
      </c>
      <c r="D148" s="37">
        <v>414</v>
      </c>
      <c r="E148" s="37">
        <v>436</v>
      </c>
      <c r="F148" s="439">
        <f>E148</f>
        <v>436</v>
      </c>
      <c r="G148" s="37">
        <v>420</v>
      </c>
      <c r="H148" s="37">
        <v>439</v>
      </c>
      <c r="I148" s="37">
        <v>455</v>
      </c>
      <c r="J148" s="37">
        <v>510</v>
      </c>
      <c r="K148" s="439">
        <f>J148</f>
        <v>510</v>
      </c>
      <c r="L148" s="37">
        <v>450</v>
      </c>
      <c r="M148" s="37">
        <v>460</v>
      </c>
      <c r="N148" s="37">
        <v>509</v>
      </c>
      <c r="O148" s="37">
        <v>537</v>
      </c>
      <c r="P148" s="439">
        <f>O148</f>
        <v>537</v>
      </c>
      <c r="Q148" s="37">
        <v>490</v>
      </c>
      <c r="R148" s="37">
        <v>522</v>
      </c>
      <c r="S148" s="37">
        <v>580</v>
      </c>
      <c r="T148" s="37">
        <v>643</v>
      </c>
      <c r="U148" s="439">
        <f>T148</f>
        <v>643</v>
      </c>
      <c r="V148" s="37">
        <v>617</v>
      </c>
      <c r="W148" s="37">
        <v>629</v>
      </c>
      <c r="X148" s="37">
        <v>531</v>
      </c>
      <c r="Y148" s="37">
        <v>614</v>
      </c>
      <c r="Z148" s="439">
        <f>Y148</f>
        <v>614</v>
      </c>
      <c r="AA148" s="37">
        <v>404</v>
      </c>
      <c r="AB148" s="37">
        <v>450</v>
      </c>
      <c r="AC148" s="37">
        <v>437</v>
      </c>
      <c r="AD148" s="37">
        <v>474</v>
      </c>
      <c r="AE148" s="439">
        <f>AD148</f>
        <v>474</v>
      </c>
      <c r="AF148" s="37">
        <v>415</v>
      </c>
      <c r="AG148" s="37">
        <v>435</v>
      </c>
      <c r="AH148" s="37">
        <v>460</v>
      </c>
      <c r="AI148" s="37">
        <v>507</v>
      </c>
      <c r="AJ148" s="439">
        <f>AI148</f>
        <v>507</v>
      </c>
      <c r="AK148" s="37">
        <v>347</v>
      </c>
      <c r="AL148" s="37">
        <v>389</v>
      </c>
      <c r="AM148" s="37">
        <v>406</v>
      </c>
      <c r="AN148" s="37">
        <v>440</v>
      </c>
      <c r="AO148" s="439">
        <f>AN148</f>
        <v>440</v>
      </c>
      <c r="AP148" s="37">
        <f>367</f>
        <v>367</v>
      </c>
      <c r="AQ148" s="37">
        <v>430</v>
      </c>
      <c r="AR148" s="37">
        <v>460</v>
      </c>
      <c r="AS148" s="37">
        <v>472</v>
      </c>
      <c r="AT148" s="439">
        <f>AS148</f>
        <v>472</v>
      </c>
      <c r="AU148" s="37">
        <v>405</v>
      </c>
      <c r="AV148" s="37">
        <v>436</v>
      </c>
      <c r="AW148" s="37">
        <v>478</v>
      </c>
      <c r="AX148" s="37">
        <v>492</v>
      </c>
      <c r="AY148" s="439">
        <f>AX148</f>
        <v>492</v>
      </c>
      <c r="AZ148" s="58">
        <v>425</v>
      </c>
      <c r="BA148" s="58">
        <v>443</v>
      </c>
      <c r="BB148" s="58">
        <v>452</v>
      </c>
      <c r="BC148" s="58">
        <v>442</v>
      </c>
      <c r="BD148" s="439">
        <f>BC148</f>
        <v>442</v>
      </c>
      <c r="BE148" s="58">
        <v>434</v>
      </c>
      <c r="BF148" s="58">
        <v>438</v>
      </c>
      <c r="BG148" s="58">
        <v>472</v>
      </c>
      <c r="BH148" s="58">
        <v>494</v>
      </c>
      <c r="BI148" s="439">
        <f>BH148</f>
        <v>494</v>
      </c>
      <c r="BJ148" s="58">
        <v>458</v>
      </c>
      <c r="BK148" s="58">
        <v>493</v>
      </c>
      <c r="BL148" s="58">
        <v>503</v>
      </c>
      <c r="BM148" s="58">
        <v>490</v>
      </c>
      <c r="BN148" s="439">
        <f>BM148</f>
        <v>490</v>
      </c>
      <c r="BO148" s="58">
        <v>468</v>
      </c>
      <c r="BP148" s="58">
        <v>480</v>
      </c>
      <c r="BQ148" s="58">
        <v>481</v>
      </c>
      <c r="BR148" s="58">
        <v>472</v>
      </c>
      <c r="BS148" s="439">
        <f>BR148</f>
        <v>472</v>
      </c>
      <c r="BT148" s="677">
        <v>478</v>
      </c>
      <c r="BU148" s="677">
        <v>492</v>
      </c>
      <c r="BV148" s="58">
        <v>533</v>
      </c>
      <c r="BW148" s="58">
        <v>548</v>
      </c>
      <c r="BX148" s="439">
        <f>BW148</f>
        <v>548</v>
      </c>
      <c r="BY148" s="58">
        <v>464</v>
      </c>
      <c r="BZ148" s="58">
        <v>492</v>
      </c>
      <c r="CA148" s="58">
        <v>519</v>
      </c>
      <c r="CB148" s="677">
        <f>-CB225*CB11*4</f>
        <v>564.82172373081471</v>
      </c>
      <c r="CC148" s="439">
        <f>CB148</f>
        <v>564.82172373081471</v>
      </c>
      <c r="CD148" s="58">
        <f ca="1">-CD225*CD11*4</f>
        <v>495.90956072351423</v>
      </c>
      <c r="CE148" s="58">
        <f ca="1">-CE225*CE11*4</f>
        <v>494.54592496765849</v>
      </c>
      <c r="CF148" s="58">
        <f ca="1">-CF225*CF11*4</f>
        <v>553.7575376884422</v>
      </c>
      <c r="CG148" s="677">
        <f ca="1">-CG225*CG11*4</f>
        <v>579.05548996458094</v>
      </c>
      <c r="CH148" s="439">
        <f ca="1">CG148</f>
        <v>579.05548996458094</v>
      </c>
      <c r="CI148" s="677">
        <f ca="1">-CI225*CI11*4</f>
        <v>510.73126614987081</v>
      </c>
      <c r="CJ148" s="677">
        <v>0</v>
      </c>
      <c r="CK148" s="58">
        <f ca="1">-CK225*CK11*4</f>
        <v>579.49430954070317</v>
      </c>
      <c r="CL148" s="58">
        <f ca="1">-CL225*CL11*4</f>
        <v>613.5317106245202</v>
      </c>
      <c r="CM148" s="439">
        <f ca="1">CL148</f>
        <v>613.5317106245202</v>
      </c>
      <c r="CN148" s="58">
        <f ca="1">-CN225*CN11*4</f>
        <v>544.02962493742677</v>
      </c>
      <c r="CO148" s="58">
        <f>-CO225*CO11*4</f>
        <v>0</v>
      </c>
      <c r="CP148" s="58">
        <f ca="1">-CP225*CP11*4</f>
        <v>613.11360374105141</v>
      </c>
      <c r="CQ148" s="58">
        <f ca="1">-CQ225*CQ11*4</f>
        <v>627.51324511256985</v>
      </c>
      <c r="CR148" s="439">
        <f ca="1">CQ148</f>
        <v>627.51324511256985</v>
      </c>
      <c r="CS148" s="58">
        <f ca="1">-CS225*CS11*4</f>
        <v>555.81197338394986</v>
      </c>
      <c r="CT148" s="58">
        <f>-CT225*CT11*4</f>
        <v>0</v>
      </c>
      <c r="CU148" s="58">
        <f ca="1">-CU225*CU11*4</f>
        <v>626.42922173232682</v>
      </c>
      <c r="CV148" s="58">
        <f ca="1">-CV225*CV11*4</f>
        <v>640.65260701303407</v>
      </c>
      <c r="CW148" s="439">
        <f ca="1">CV148</f>
        <v>640.65260701303407</v>
      </c>
      <c r="CX148" s="58">
        <f ca="1">-CX225*CX11*4</f>
        <v>567.90486997241101</v>
      </c>
      <c r="CY148" s="58">
        <f>-CY225*CY11*4</f>
        <v>0</v>
      </c>
      <c r="CZ148" s="58">
        <f ca="1">-CZ225*CZ11*4</f>
        <v>640.09931065309786</v>
      </c>
      <c r="DA148" s="58">
        <f ca="1">-DA225*DA11*4</f>
        <v>654.13160986599564</v>
      </c>
      <c r="DB148" s="439">
        <f ca="1">DA148</f>
        <v>654.13160986599564</v>
      </c>
      <c r="DC148" s="58">
        <f ca="1">-DC225*DC11*4</f>
        <v>580.31823267861455</v>
      </c>
      <c r="DD148" s="58">
        <f>-DD225*DD11*4</f>
        <v>0</v>
      </c>
      <c r="DE148" s="58">
        <f ca="1">-DE225*DE11*4</f>
        <v>654.13532318914736</v>
      </c>
      <c r="DF148" s="58">
        <f ca="1">-DF225*DF11*4</f>
        <v>667.96103607827229</v>
      </c>
      <c r="DG148" s="439">
        <f ca="1">DF148</f>
        <v>667.96103607827229</v>
      </c>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c r="HB148"/>
      <c r="HC148"/>
      <c r="HD148"/>
      <c r="HE148"/>
      <c r="HF148"/>
      <c r="HG148"/>
      <c r="HH148"/>
      <c r="HI148"/>
      <c r="HJ148"/>
      <c r="HK148"/>
      <c r="HL148"/>
      <c r="HM148"/>
      <c r="HN148"/>
      <c r="HO148"/>
      <c r="HP148"/>
      <c r="HQ148"/>
      <c r="HR148"/>
    </row>
    <row r="149" spans="1:226" s="19" customFormat="1" x14ac:dyDescent="0.2">
      <c r="A149" s="18" t="s">
        <v>50</v>
      </c>
      <c r="B149" s="40">
        <v>63</v>
      </c>
      <c r="C149" s="40">
        <v>60</v>
      </c>
      <c r="D149" s="40">
        <v>40</v>
      </c>
      <c r="E149" s="40">
        <v>0</v>
      </c>
      <c r="F149" s="448">
        <f>E149</f>
        <v>0</v>
      </c>
      <c r="G149" s="40">
        <v>41</v>
      </c>
      <c r="H149" s="40">
        <v>49</v>
      </c>
      <c r="I149" s="40">
        <v>69</v>
      </c>
      <c r="J149" s="40">
        <v>54</v>
      </c>
      <c r="K149" s="448">
        <f>J149</f>
        <v>54</v>
      </c>
      <c r="L149" s="40">
        <v>58</v>
      </c>
      <c r="M149" s="40">
        <v>84</v>
      </c>
      <c r="N149" s="40">
        <v>117</v>
      </c>
      <c r="O149" s="40">
        <v>28</v>
      </c>
      <c r="P149" s="448">
        <f>O149</f>
        <v>28</v>
      </c>
      <c r="Q149" s="40">
        <v>2</v>
      </c>
      <c r="R149" s="40">
        <v>22</v>
      </c>
      <c r="S149" s="40">
        <v>41</v>
      </c>
      <c r="T149" s="40">
        <v>24</v>
      </c>
      <c r="U149" s="448">
        <f>T149</f>
        <v>24</v>
      </c>
      <c r="V149" s="40">
        <v>18</v>
      </c>
      <c r="W149" s="40">
        <v>0</v>
      </c>
      <c r="X149" s="40">
        <v>33</v>
      </c>
      <c r="Y149" s="40">
        <v>26</v>
      </c>
      <c r="Z149" s="448">
        <f>Y149</f>
        <v>26</v>
      </c>
      <c r="AA149" s="40">
        <v>0</v>
      </c>
      <c r="AB149" s="40">
        <v>24</v>
      </c>
      <c r="AC149" s="40">
        <v>36</v>
      </c>
      <c r="AD149" s="40">
        <v>19</v>
      </c>
      <c r="AE149" s="448">
        <f>AD149</f>
        <v>19</v>
      </c>
      <c r="AF149" s="40">
        <v>26</v>
      </c>
      <c r="AG149" s="40">
        <v>24</v>
      </c>
      <c r="AH149" s="40">
        <v>24</v>
      </c>
      <c r="AI149" s="40">
        <v>17</v>
      </c>
      <c r="AJ149" s="448">
        <f>AI149</f>
        <v>17</v>
      </c>
      <c r="AK149" s="40">
        <v>116</v>
      </c>
      <c r="AL149" s="40">
        <v>90</v>
      </c>
      <c r="AM149" s="40">
        <v>70</v>
      </c>
      <c r="AN149" s="40">
        <v>48</v>
      </c>
      <c r="AO149" s="448">
        <f>AN149</f>
        <v>48</v>
      </c>
      <c r="AP149" s="40">
        <v>75</v>
      </c>
      <c r="AQ149" s="40">
        <v>32</v>
      </c>
      <c r="AR149" s="40">
        <v>65</v>
      </c>
      <c r="AS149" s="40">
        <v>86</v>
      </c>
      <c r="AT149" s="448">
        <f>AS149</f>
        <v>86</v>
      </c>
      <c r="AU149" s="40">
        <v>99</v>
      </c>
      <c r="AV149" s="40">
        <v>35</v>
      </c>
      <c r="AW149" s="40">
        <v>66</v>
      </c>
      <c r="AX149" s="40">
        <v>74</v>
      </c>
      <c r="AY149" s="448">
        <f>AX149</f>
        <v>74</v>
      </c>
      <c r="AZ149" s="243">
        <v>87</v>
      </c>
      <c r="BA149" s="243">
        <v>104</v>
      </c>
      <c r="BB149" s="243">
        <v>77</v>
      </c>
      <c r="BC149" s="243">
        <v>41</v>
      </c>
      <c r="BD149" s="448">
        <f>BC149</f>
        <v>41</v>
      </c>
      <c r="BE149" s="243">
        <v>37</v>
      </c>
      <c r="BF149" s="243">
        <v>28</v>
      </c>
      <c r="BG149" s="243">
        <v>15</v>
      </c>
      <c r="BH149" s="243">
        <v>5</v>
      </c>
      <c r="BI149" s="448">
        <f>BH149</f>
        <v>5</v>
      </c>
      <c r="BJ149" s="243">
        <v>27</v>
      </c>
      <c r="BK149" s="243">
        <v>10</v>
      </c>
      <c r="BL149" s="243">
        <v>23</v>
      </c>
      <c r="BM149" s="243">
        <v>29</v>
      </c>
      <c r="BN149" s="448">
        <f>BM149</f>
        <v>29</v>
      </c>
      <c r="BO149" s="243">
        <v>42</v>
      </c>
      <c r="BP149" s="243">
        <v>0</v>
      </c>
      <c r="BQ149" s="243">
        <v>0</v>
      </c>
      <c r="BR149" s="243">
        <v>8</v>
      </c>
      <c r="BS149" s="448">
        <f>BR149</f>
        <v>8</v>
      </c>
      <c r="BT149" s="658">
        <v>42</v>
      </c>
      <c r="BU149" s="658">
        <v>0</v>
      </c>
      <c r="BV149" s="243">
        <v>0</v>
      </c>
      <c r="BW149" s="243">
        <v>31</v>
      </c>
      <c r="BX149" s="448">
        <f>BW149</f>
        <v>31</v>
      </c>
      <c r="BY149" s="243">
        <v>37</v>
      </c>
      <c r="BZ149" s="243">
        <v>0</v>
      </c>
      <c r="CA149" s="243">
        <v>0</v>
      </c>
      <c r="CB149" s="658">
        <f>1558-CB148-CB147-CB145</f>
        <v>0</v>
      </c>
      <c r="CC149" s="448">
        <f>CB149</f>
        <v>0</v>
      </c>
      <c r="CD149" s="243">
        <v>30</v>
      </c>
      <c r="CE149" s="243">
        <f ca="1">+CE226*CE7*4</f>
        <v>0</v>
      </c>
      <c r="CF149" s="243">
        <f ca="1">+CF226*CF7*4</f>
        <v>0</v>
      </c>
      <c r="CG149" s="658">
        <v>0</v>
      </c>
      <c r="CH149" s="448">
        <f>CG149</f>
        <v>0</v>
      </c>
      <c r="CI149" s="658">
        <v>51</v>
      </c>
      <c r="CJ149" s="658">
        <v>0</v>
      </c>
      <c r="CK149" s="243">
        <f ca="1">+CK226*CK7*4</f>
        <v>0</v>
      </c>
      <c r="CL149" s="243">
        <f ca="1">+CL226*CL7*4</f>
        <v>0</v>
      </c>
      <c r="CM149" s="448">
        <f ca="1">CL149</f>
        <v>0</v>
      </c>
      <c r="CN149" s="243">
        <f>+CN226*CN7*4</f>
        <v>53.836826137415954</v>
      </c>
      <c r="CO149" s="243">
        <f>+CO226*CO7*4</f>
        <v>0</v>
      </c>
      <c r="CP149" s="243">
        <f ca="1">+CP226*CP7*4</f>
        <v>0</v>
      </c>
      <c r="CQ149" s="243">
        <f ca="1">+CQ226*CQ7*4</f>
        <v>0</v>
      </c>
      <c r="CR149" s="448">
        <f ca="1">CQ149</f>
        <v>0</v>
      </c>
      <c r="CS149" s="243">
        <f>+CS226*CS7*4</f>
        <v>55.10184451359968</v>
      </c>
      <c r="CT149" s="243">
        <f>+CT226*CT7*4</f>
        <v>0</v>
      </c>
      <c r="CU149" s="243">
        <f ca="1">+CU226*CU7*4</f>
        <v>0</v>
      </c>
      <c r="CV149" s="243">
        <f ca="1">+CV226*CV7*4</f>
        <v>0</v>
      </c>
      <c r="CW149" s="448">
        <f ca="1">CV149</f>
        <v>0</v>
      </c>
      <c r="CX149" s="243">
        <f>+CX226*CX7*4</f>
        <v>56.402269521711659</v>
      </c>
      <c r="CY149" s="243">
        <f>+CY226*CY7*4</f>
        <v>0</v>
      </c>
      <c r="CZ149" s="243">
        <f ca="1">+CZ226*CZ7*4</f>
        <v>0</v>
      </c>
      <c r="DA149" s="243">
        <f ca="1">+DA226*DA7*4</f>
        <v>0</v>
      </c>
      <c r="DB149" s="448">
        <f ca="1">DA149</f>
        <v>0</v>
      </c>
      <c r="DC149" s="243">
        <f>+DC226*DC7*4</f>
        <v>57.739279923263673</v>
      </c>
      <c r="DD149" s="243">
        <f>+DD226*DD7*4</f>
        <v>0</v>
      </c>
      <c r="DE149" s="243">
        <f ca="1">+DE226*DE7*4</f>
        <v>0</v>
      </c>
      <c r="DF149" s="243">
        <f ca="1">+DF226*DF7*4</f>
        <v>0</v>
      </c>
      <c r="DG149" s="448">
        <f ca="1">DF149</f>
        <v>0</v>
      </c>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c r="HB149"/>
      <c r="HC149"/>
      <c r="HD149"/>
      <c r="HE149"/>
      <c r="HF149"/>
      <c r="HG149"/>
      <c r="HH149"/>
      <c r="HI149"/>
      <c r="HJ149"/>
      <c r="HK149"/>
      <c r="HL149"/>
      <c r="HM149"/>
      <c r="HN149"/>
      <c r="HO149"/>
      <c r="HP149"/>
      <c r="HQ149"/>
      <c r="HR149"/>
    </row>
    <row r="150" spans="1:226" s="45" customFormat="1" x14ac:dyDescent="0.2">
      <c r="A150" s="358" t="s">
        <v>51</v>
      </c>
      <c r="B150" s="44">
        <f t="shared" ref="B150:AF150" si="307">SUM(B145:B149)</f>
        <v>1505</v>
      </c>
      <c r="C150" s="44">
        <f t="shared" si="307"/>
        <v>1545</v>
      </c>
      <c r="D150" s="44">
        <f t="shared" si="307"/>
        <v>1103</v>
      </c>
      <c r="E150" s="44">
        <f t="shared" si="307"/>
        <v>1069</v>
      </c>
      <c r="F150" s="449">
        <f t="shared" si="307"/>
        <v>1069</v>
      </c>
      <c r="G150" s="44">
        <f t="shared" si="307"/>
        <v>1049</v>
      </c>
      <c r="H150" s="44">
        <f t="shared" si="307"/>
        <v>1003</v>
      </c>
      <c r="I150" s="44">
        <f t="shared" si="307"/>
        <v>1077</v>
      </c>
      <c r="J150" s="44">
        <f t="shared" si="307"/>
        <v>1226</v>
      </c>
      <c r="K150" s="449">
        <f t="shared" si="307"/>
        <v>1226</v>
      </c>
      <c r="L150" s="44">
        <f t="shared" si="307"/>
        <v>1298</v>
      </c>
      <c r="M150" s="44">
        <f t="shared" si="307"/>
        <v>1373</v>
      </c>
      <c r="N150" s="44">
        <f t="shared" si="307"/>
        <v>1561</v>
      </c>
      <c r="O150" s="44">
        <f t="shared" si="307"/>
        <v>1451</v>
      </c>
      <c r="P150" s="449">
        <f t="shared" si="307"/>
        <v>1451</v>
      </c>
      <c r="Q150" s="44">
        <f t="shared" si="307"/>
        <v>1443</v>
      </c>
      <c r="R150" s="44">
        <f t="shared" si="307"/>
        <v>1446</v>
      </c>
      <c r="S150" s="44">
        <f t="shared" si="307"/>
        <v>1421</v>
      </c>
      <c r="T150" s="44">
        <f t="shared" si="307"/>
        <v>1268</v>
      </c>
      <c r="U150" s="449">
        <f t="shared" si="307"/>
        <v>1268</v>
      </c>
      <c r="V150" s="44">
        <f t="shared" si="307"/>
        <v>1095</v>
      </c>
      <c r="W150" s="44">
        <f t="shared" si="307"/>
        <v>1469</v>
      </c>
      <c r="X150" s="44">
        <f t="shared" si="307"/>
        <v>1286</v>
      </c>
      <c r="Y150" s="44">
        <f t="shared" si="307"/>
        <v>1348</v>
      </c>
      <c r="Z150" s="449">
        <f t="shared" si="307"/>
        <v>1348</v>
      </c>
      <c r="AA150" s="44">
        <f t="shared" si="307"/>
        <v>1272</v>
      </c>
      <c r="AB150" s="44">
        <f t="shared" si="307"/>
        <v>1272</v>
      </c>
      <c r="AC150" s="44">
        <f t="shared" si="307"/>
        <v>1377</v>
      </c>
      <c r="AD150" s="44">
        <f t="shared" si="307"/>
        <v>1130</v>
      </c>
      <c r="AE150" s="449">
        <f t="shared" si="307"/>
        <v>1130</v>
      </c>
      <c r="AF150" s="44">
        <f t="shared" si="307"/>
        <v>960</v>
      </c>
      <c r="AG150" s="44">
        <f t="shared" ref="AG150:AW150" si="308">SUM(AG145:AG149)</f>
        <v>1519</v>
      </c>
      <c r="AH150" s="44">
        <f t="shared" si="308"/>
        <v>1483</v>
      </c>
      <c r="AI150" s="44">
        <f t="shared" si="308"/>
        <v>1427</v>
      </c>
      <c r="AJ150" s="449">
        <f t="shared" si="308"/>
        <v>1427</v>
      </c>
      <c r="AK150" s="44">
        <f t="shared" si="308"/>
        <v>2153</v>
      </c>
      <c r="AL150" s="44">
        <f t="shared" si="308"/>
        <v>2331</v>
      </c>
      <c r="AM150" s="44">
        <f t="shared" si="308"/>
        <v>1775</v>
      </c>
      <c r="AN150" s="44">
        <f t="shared" si="308"/>
        <v>1661</v>
      </c>
      <c r="AO150" s="449">
        <f t="shared" si="308"/>
        <v>1661</v>
      </c>
      <c r="AP150" s="44">
        <f t="shared" si="308"/>
        <v>1562</v>
      </c>
      <c r="AQ150" s="44">
        <f t="shared" si="308"/>
        <v>1430</v>
      </c>
      <c r="AR150" s="44">
        <f t="shared" si="308"/>
        <v>1978</v>
      </c>
      <c r="AS150" s="44">
        <f t="shared" si="308"/>
        <v>1937</v>
      </c>
      <c r="AT150" s="449">
        <f t="shared" si="308"/>
        <v>1937</v>
      </c>
      <c r="AU150" s="44">
        <f t="shared" si="308"/>
        <v>1866</v>
      </c>
      <c r="AV150" s="44">
        <f t="shared" si="308"/>
        <v>1372</v>
      </c>
      <c r="AW150" s="44">
        <f t="shared" si="308"/>
        <v>1772</v>
      </c>
      <c r="AX150" s="44">
        <f t="shared" ref="AX150:CC150" si="309">SUM(AX145:AX149)</f>
        <v>1647</v>
      </c>
      <c r="AY150" s="449">
        <f t="shared" si="309"/>
        <v>1647</v>
      </c>
      <c r="AZ150" s="44">
        <f t="shared" si="309"/>
        <v>1697</v>
      </c>
      <c r="BA150" s="44">
        <f t="shared" si="309"/>
        <v>1176</v>
      </c>
      <c r="BB150" s="44">
        <f t="shared" si="309"/>
        <v>1232</v>
      </c>
      <c r="BC150" s="44">
        <f t="shared" si="309"/>
        <v>1365</v>
      </c>
      <c r="BD150" s="449">
        <f t="shared" si="309"/>
        <v>1365</v>
      </c>
      <c r="BE150" s="44">
        <f t="shared" si="309"/>
        <v>1268</v>
      </c>
      <c r="BF150" s="44">
        <f t="shared" si="309"/>
        <v>1637</v>
      </c>
      <c r="BG150" s="44">
        <f t="shared" si="309"/>
        <v>2131</v>
      </c>
      <c r="BH150" s="44">
        <f t="shared" si="309"/>
        <v>2061</v>
      </c>
      <c r="BI150" s="449">
        <f t="shared" si="309"/>
        <v>2061</v>
      </c>
      <c r="BJ150" s="44">
        <f t="shared" si="309"/>
        <v>1725</v>
      </c>
      <c r="BK150" s="44">
        <f t="shared" si="309"/>
        <v>1373</v>
      </c>
      <c r="BL150" s="44">
        <f t="shared" si="309"/>
        <v>1308</v>
      </c>
      <c r="BM150" s="44">
        <f>SUM(BM145:BM149)</f>
        <v>1134</v>
      </c>
      <c r="BN150" s="449">
        <f>SUM(BN145:BN149)</f>
        <v>1134</v>
      </c>
      <c r="BO150" s="44">
        <f t="shared" si="309"/>
        <v>1170</v>
      </c>
      <c r="BP150" s="44">
        <f t="shared" si="309"/>
        <v>1181</v>
      </c>
      <c r="BQ150" s="44">
        <f>SUM(BQ145:BQ149)</f>
        <v>1838</v>
      </c>
      <c r="BR150" s="44">
        <f t="shared" si="309"/>
        <v>1638</v>
      </c>
      <c r="BS150" s="449">
        <f t="shared" si="309"/>
        <v>1638</v>
      </c>
      <c r="BT150" s="44">
        <f t="shared" si="309"/>
        <v>1533</v>
      </c>
      <c r="BU150" s="44">
        <f t="shared" si="309"/>
        <v>1744</v>
      </c>
      <c r="BV150" s="44">
        <f t="shared" si="309"/>
        <v>1300</v>
      </c>
      <c r="BW150" s="44">
        <f t="shared" si="309"/>
        <v>1405</v>
      </c>
      <c r="BX150" s="449">
        <f t="shared" si="309"/>
        <v>1405</v>
      </c>
      <c r="BY150" s="44">
        <f>SUM(BY145:BY149)</f>
        <v>1351</v>
      </c>
      <c r="BZ150" s="44">
        <f>SUM(BZ145:BZ149)</f>
        <v>1358</v>
      </c>
      <c r="CA150" s="44">
        <f>SUM(CA145:CA149)</f>
        <v>1387</v>
      </c>
      <c r="CB150" s="44">
        <f>SUM(CB145:CB149)</f>
        <v>1558</v>
      </c>
      <c r="CC150" s="449">
        <f t="shared" si="309"/>
        <v>1558</v>
      </c>
      <c r="CD150" s="44">
        <f t="shared" ref="CD150:CW150" ca="1" si="310">SUM(CD145:CD149)</f>
        <v>1522</v>
      </c>
      <c r="CE150" s="44">
        <f t="shared" ca="1" si="310"/>
        <v>2037</v>
      </c>
      <c r="CF150" s="44">
        <f t="shared" ca="1" si="310"/>
        <v>1998</v>
      </c>
      <c r="CG150" s="44">
        <f t="shared" ca="1" si="310"/>
        <v>1809</v>
      </c>
      <c r="CH150" s="449">
        <f t="shared" ca="1" si="310"/>
        <v>1809</v>
      </c>
      <c r="CI150" s="44">
        <f t="shared" ca="1" si="310"/>
        <v>1376</v>
      </c>
      <c r="CJ150" s="44">
        <f t="shared" si="310"/>
        <v>1380</v>
      </c>
      <c r="CK150" s="44">
        <f t="shared" ca="1" si="310"/>
        <v>1544.9274521846887</v>
      </c>
      <c r="CL150" s="44">
        <f t="shared" ca="1" si="310"/>
        <v>1611.49121184962</v>
      </c>
      <c r="CM150" s="449">
        <f t="shared" ca="1" si="310"/>
        <v>1611.49121184962</v>
      </c>
      <c r="CN150" s="44">
        <f t="shared" ca="1" si="310"/>
        <v>1534.0794200391535</v>
      </c>
      <c r="CO150" s="44">
        <f t="shared" ca="1" si="310"/>
        <v>1739.4949271733731</v>
      </c>
      <c r="CP150" s="44">
        <f t="shared" ca="1" si="310"/>
        <v>1852.6390390537272</v>
      </c>
      <c r="CQ150" s="44">
        <f t="shared" ca="1" si="310"/>
        <v>1812.3425613700128</v>
      </c>
      <c r="CR150" s="449">
        <f t="shared" ca="1" si="310"/>
        <v>1812.3425613700128</v>
      </c>
      <c r="CS150" s="44">
        <f t="shared" ca="1" si="310"/>
        <v>1723.3067622304532</v>
      </c>
      <c r="CT150" s="44">
        <f t="shared" ca="1" si="310"/>
        <v>1935.1069748449277</v>
      </c>
      <c r="CU150" s="44">
        <f t="shared" ca="1" si="310"/>
        <v>2052.278527237107</v>
      </c>
      <c r="CV150" s="44">
        <f t="shared" ca="1" si="310"/>
        <v>2012.7330465249124</v>
      </c>
      <c r="CW150" s="449">
        <f t="shared" ca="1" si="310"/>
        <v>2012.7330465249124</v>
      </c>
      <c r="CX150" s="44">
        <f t="shared" ref="CX150:DG150" ca="1" si="311">SUM(CX145:CX149)</f>
        <v>1920.6178488704647</v>
      </c>
      <c r="CY150" s="44">
        <f t="shared" ca="1" si="311"/>
        <v>2139.3944912511324</v>
      </c>
      <c r="CZ150" s="44">
        <f t="shared" ca="1" si="311"/>
        <v>2266.2181097857151</v>
      </c>
      <c r="DA150" s="44">
        <f t="shared" ca="1" si="311"/>
        <v>2234.0388307634644</v>
      </c>
      <c r="DB150" s="449">
        <f t="shared" ca="1" si="311"/>
        <v>2234.0388307634644</v>
      </c>
      <c r="DC150" s="44">
        <f t="shared" ca="1" si="311"/>
        <v>2140.3949522820244</v>
      </c>
      <c r="DD150" s="44">
        <f t="shared" ca="1" si="311"/>
        <v>2367.9431335646968</v>
      </c>
      <c r="DE150" s="44">
        <f t="shared" ca="1" si="311"/>
        <v>2506.2959239906131</v>
      </c>
      <c r="DF150" s="44">
        <f t="shared" ca="1" si="311"/>
        <v>2483.3725242592536</v>
      </c>
      <c r="DG150" s="449">
        <f t="shared" ca="1" si="311"/>
        <v>2483.3725242592536</v>
      </c>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c r="HB150"/>
      <c r="HC150"/>
      <c r="HD150"/>
      <c r="HE150"/>
      <c r="HF150"/>
      <c r="HG150"/>
      <c r="HH150"/>
      <c r="HI150"/>
      <c r="HJ150"/>
      <c r="HK150"/>
      <c r="HL150"/>
      <c r="HM150"/>
      <c r="HN150"/>
      <c r="HO150"/>
      <c r="HP150"/>
      <c r="HQ150"/>
      <c r="HR150"/>
    </row>
    <row r="151" spans="1:226" s="19" customFormat="1" x14ac:dyDescent="0.2">
      <c r="A151" s="18"/>
      <c r="B151" s="37"/>
      <c r="C151" s="37"/>
      <c r="D151" s="37"/>
      <c r="E151" s="37"/>
      <c r="F151" s="439"/>
      <c r="G151" s="37"/>
      <c r="H151" s="37"/>
      <c r="I151" s="37"/>
      <c r="J151" s="37"/>
      <c r="K151" s="439"/>
      <c r="L151" s="37"/>
      <c r="M151" s="37"/>
      <c r="N151" s="37"/>
      <c r="O151" s="37"/>
      <c r="P151" s="439"/>
      <c r="Q151" s="37"/>
      <c r="R151" s="37"/>
      <c r="S151" s="37"/>
      <c r="T151" s="37"/>
      <c r="U151" s="439"/>
      <c r="V151" s="37"/>
      <c r="W151" s="37"/>
      <c r="X151" s="37"/>
      <c r="Y151" s="37"/>
      <c r="Z151" s="439"/>
      <c r="AA151" s="37"/>
      <c r="AB151" s="37"/>
      <c r="AC151" s="37"/>
      <c r="AD151" s="37"/>
      <c r="AE151" s="439"/>
      <c r="AF151" s="37"/>
      <c r="AG151" s="37"/>
      <c r="AH151" s="37"/>
      <c r="AI151" s="37"/>
      <c r="AJ151" s="439"/>
      <c r="AK151" s="37"/>
      <c r="AL151" s="37"/>
      <c r="AM151" s="37"/>
      <c r="AN151" s="37"/>
      <c r="AO151" s="439"/>
      <c r="AP151" s="37"/>
      <c r="AQ151" s="37"/>
      <c r="AR151" s="37"/>
      <c r="AS151" s="37"/>
      <c r="AT151" s="439"/>
      <c r="AU151" s="37"/>
      <c r="AV151" s="37"/>
      <c r="AW151" s="37"/>
      <c r="AX151" s="37"/>
      <c r="AY151" s="439"/>
      <c r="AZ151" s="37"/>
      <c r="BA151" s="37"/>
      <c r="BB151" s="37"/>
      <c r="BC151" s="37"/>
      <c r="BD151" s="438"/>
      <c r="BE151" s="37"/>
      <c r="BF151" s="37"/>
      <c r="BG151" s="37"/>
      <c r="BH151" s="37"/>
      <c r="BI151" s="438"/>
      <c r="BJ151" s="37"/>
      <c r="BK151" s="37"/>
      <c r="BL151" s="37"/>
      <c r="BM151" s="37"/>
      <c r="BN151" s="438"/>
      <c r="BO151" s="37"/>
      <c r="BP151" s="37"/>
      <c r="BQ151" s="37"/>
      <c r="BR151" s="37"/>
      <c r="BS151" s="438"/>
      <c r="BT151" s="655"/>
      <c r="BU151" s="655"/>
      <c r="BV151" s="37"/>
      <c r="BW151" s="37"/>
      <c r="BX151" s="438"/>
      <c r="BY151" s="37"/>
      <c r="BZ151" s="37"/>
      <c r="CA151" s="37"/>
      <c r="CB151" s="655"/>
      <c r="CC151" s="438"/>
      <c r="CD151" s="37"/>
      <c r="CE151" s="37"/>
      <c r="CF151" s="37"/>
      <c r="CG151" s="655"/>
      <c r="CH151" s="438"/>
      <c r="CI151" s="37"/>
      <c r="CJ151" s="37"/>
      <c r="CK151" s="37"/>
      <c r="CL151" s="37"/>
      <c r="CM151" s="438"/>
      <c r="CN151" s="37"/>
      <c r="CO151" s="37"/>
      <c r="CP151" s="37"/>
      <c r="CQ151" s="37"/>
      <c r="CR151" s="438"/>
      <c r="CS151" s="37"/>
      <c r="CT151" s="37"/>
      <c r="CU151" s="37"/>
      <c r="CV151" s="37"/>
      <c r="CW151" s="438"/>
      <c r="CX151" s="37"/>
      <c r="CY151" s="37"/>
      <c r="CZ151" s="37"/>
      <c r="DA151" s="37"/>
      <c r="DB151" s="438"/>
      <c r="DC151" s="37"/>
      <c r="DD151" s="37"/>
      <c r="DE151" s="37"/>
      <c r="DF151" s="37"/>
      <c r="DG151" s="438"/>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c r="HB151"/>
      <c r="HC151"/>
      <c r="HD151"/>
      <c r="HE151"/>
      <c r="HF151"/>
      <c r="HG151"/>
      <c r="HH151"/>
      <c r="HI151"/>
      <c r="HJ151"/>
      <c r="HK151"/>
      <c r="HL151"/>
      <c r="HM151"/>
      <c r="HN151"/>
      <c r="HO151"/>
      <c r="HP151"/>
      <c r="HQ151"/>
      <c r="HR151"/>
    </row>
    <row r="152" spans="1:226" s="18" customFormat="1" x14ac:dyDescent="0.2">
      <c r="A152" s="360" t="s">
        <v>52</v>
      </c>
      <c r="B152" s="37">
        <v>389</v>
      </c>
      <c r="C152" s="37">
        <v>389</v>
      </c>
      <c r="D152" s="37">
        <v>684</v>
      </c>
      <c r="E152" s="37">
        <v>685</v>
      </c>
      <c r="F152" s="439">
        <f>E152</f>
        <v>685</v>
      </c>
      <c r="G152" s="37">
        <v>686</v>
      </c>
      <c r="H152" s="37">
        <v>678</v>
      </c>
      <c r="I152" s="37">
        <v>675</v>
      </c>
      <c r="J152" s="37">
        <v>678</v>
      </c>
      <c r="K152" s="439">
        <f>J152</f>
        <v>678</v>
      </c>
      <c r="L152" s="37">
        <v>501</v>
      </c>
      <c r="M152" s="37">
        <v>490</v>
      </c>
      <c r="N152" s="37">
        <v>488</v>
      </c>
      <c r="O152" s="37">
        <v>495</v>
      </c>
      <c r="P152" s="439">
        <f>O152</f>
        <v>495</v>
      </c>
      <c r="Q152" s="37">
        <v>479</v>
      </c>
      <c r="R152" s="37">
        <v>475</v>
      </c>
      <c r="S152" s="37">
        <v>473</v>
      </c>
      <c r="T152" s="37">
        <v>475</v>
      </c>
      <c r="U152" s="439">
        <f>T152</f>
        <v>475</v>
      </c>
      <c r="V152" s="37">
        <v>474</v>
      </c>
      <c r="W152" s="37">
        <v>2124</v>
      </c>
      <c r="X152" s="37">
        <v>2123</v>
      </c>
      <c r="Y152" s="37">
        <v>2122</v>
      </c>
      <c r="Z152" s="439">
        <f>Y152</f>
        <v>2122</v>
      </c>
      <c r="AA152" s="37">
        <v>2120</v>
      </c>
      <c r="AB152" s="37">
        <v>2119</v>
      </c>
      <c r="AC152" s="37">
        <v>1967</v>
      </c>
      <c r="AD152" s="37">
        <v>1966</v>
      </c>
      <c r="AE152" s="439">
        <f>AD152</f>
        <v>1966</v>
      </c>
      <c r="AF152" s="37">
        <v>1965</v>
      </c>
      <c r="AG152" s="37">
        <v>1464</v>
      </c>
      <c r="AH152" s="37">
        <v>1463</v>
      </c>
      <c r="AI152" s="37">
        <v>1462</v>
      </c>
      <c r="AJ152" s="439">
        <f>AI152</f>
        <v>1462</v>
      </c>
      <c r="AK152" s="37">
        <v>1477</v>
      </c>
      <c r="AL152" s="37">
        <v>2223</v>
      </c>
      <c r="AM152" s="37">
        <v>2721</v>
      </c>
      <c r="AN152" s="37">
        <v>2720</v>
      </c>
      <c r="AO152" s="439">
        <f>AN152</f>
        <v>2720</v>
      </c>
      <c r="AP152" s="37">
        <v>2719</v>
      </c>
      <c r="AQ152" s="37">
        <v>2718</v>
      </c>
      <c r="AR152" s="37">
        <v>2141</v>
      </c>
      <c r="AS152" s="37">
        <v>2151</v>
      </c>
      <c r="AT152" s="439">
        <f>AS152</f>
        <v>2151</v>
      </c>
      <c r="AU152" s="37">
        <v>2137</v>
      </c>
      <c r="AV152" s="37">
        <v>2435</v>
      </c>
      <c r="AW152" s="37">
        <v>2132</v>
      </c>
      <c r="AX152" s="37">
        <v>2124</v>
      </c>
      <c r="AY152" s="439">
        <f>AX152</f>
        <v>2124</v>
      </c>
      <c r="AZ152" s="37">
        <v>2124</v>
      </c>
      <c r="BA152" s="37">
        <v>2125</v>
      </c>
      <c r="BB152" s="37">
        <v>2125</v>
      </c>
      <c r="BC152" s="37">
        <v>2125</v>
      </c>
      <c r="BD152" s="439">
        <f>BC152</f>
        <v>2125</v>
      </c>
      <c r="BE152" s="37">
        <v>2122</v>
      </c>
      <c r="BF152" s="37">
        <v>2070</v>
      </c>
      <c r="BG152" s="37">
        <v>1570</v>
      </c>
      <c r="BH152" s="37">
        <v>1571</v>
      </c>
      <c r="BI152" s="439">
        <f>BH152</f>
        <v>1571</v>
      </c>
      <c r="BJ152" s="37">
        <v>2169</v>
      </c>
      <c r="BK152" s="37">
        <v>2169</v>
      </c>
      <c r="BL152" s="37">
        <v>2169</v>
      </c>
      <c r="BM152" s="37">
        <v>2170</v>
      </c>
      <c r="BN152" s="439">
        <f>BM152</f>
        <v>2170</v>
      </c>
      <c r="BO152" s="37">
        <v>2170</v>
      </c>
      <c r="BP152" s="37">
        <v>2170</v>
      </c>
      <c r="BQ152" s="37">
        <v>1595</v>
      </c>
      <c r="BR152" s="37">
        <v>1595</v>
      </c>
      <c r="BS152" s="439">
        <f>BR152</f>
        <v>1595</v>
      </c>
      <c r="BT152" s="655">
        <v>1596</v>
      </c>
      <c r="BU152" s="655">
        <v>1795</v>
      </c>
      <c r="BV152" s="655">
        <v>1796</v>
      </c>
      <c r="BW152" s="655">
        <v>1796</v>
      </c>
      <c r="BX152" s="439">
        <f>BW152</f>
        <v>1796</v>
      </c>
      <c r="BY152" s="655">
        <v>1796</v>
      </c>
      <c r="BZ152" s="655">
        <v>1796</v>
      </c>
      <c r="CA152" s="655">
        <v>1796</v>
      </c>
      <c r="CB152" s="655">
        <v>1797</v>
      </c>
      <c r="CC152" s="439">
        <f>CB152</f>
        <v>1797</v>
      </c>
      <c r="CD152" s="655">
        <v>1789</v>
      </c>
      <c r="CE152" s="655">
        <v>1390</v>
      </c>
      <c r="CF152" s="655">
        <v>1390</v>
      </c>
      <c r="CG152" s="655">
        <v>1391</v>
      </c>
      <c r="CH152" s="439">
        <f>CG152</f>
        <v>1391</v>
      </c>
      <c r="CI152" s="655">
        <v>1787</v>
      </c>
      <c r="CJ152" s="655">
        <v>1788</v>
      </c>
      <c r="CK152" s="42">
        <v>1788</v>
      </c>
      <c r="CL152" s="42">
        <f>CK152</f>
        <v>1788</v>
      </c>
      <c r="CM152" s="439">
        <f>CL152</f>
        <v>1788</v>
      </c>
      <c r="CN152" s="42">
        <f>CM152</f>
        <v>1788</v>
      </c>
      <c r="CO152" s="42">
        <v>1788</v>
      </c>
      <c r="CP152" s="42">
        <v>1788</v>
      </c>
      <c r="CQ152" s="42">
        <f>CP152</f>
        <v>1788</v>
      </c>
      <c r="CR152" s="439">
        <f>CQ152</f>
        <v>1788</v>
      </c>
      <c r="CS152" s="42">
        <f>CR152</f>
        <v>1788</v>
      </c>
      <c r="CT152" s="42">
        <v>1788</v>
      </c>
      <c r="CU152" s="42">
        <v>1788</v>
      </c>
      <c r="CV152" s="42">
        <f>CU152</f>
        <v>1788</v>
      </c>
      <c r="CW152" s="439">
        <f>CV152</f>
        <v>1788</v>
      </c>
      <c r="CX152" s="42">
        <f>CW152</f>
        <v>1788</v>
      </c>
      <c r="CY152" s="42">
        <v>1788</v>
      </c>
      <c r="CZ152" s="42">
        <v>1788</v>
      </c>
      <c r="DA152" s="42">
        <f>CZ152</f>
        <v>1788</v>
      </c>
      <c r="DB152" s="439">
        <f>DA152</f>
        <v>1788</v>
      </c>
      <c r="DC152" s="42">
        <f>DB152</f>
        <v>1788</v>
      </c>
      <c r="DD152" s="42">
        <v>1788</v>
      </c>
      <c r="DE152" s="42">
        <v>1788</v>
      </c>
      <c r="DF152" s="42">
        <f>DE152</f>
        <v>1788</v>
      </c>
      <c r="DG152" s="439">
        <f>DF152</f>
        <v>1788</v>
      </c>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c r="HB152"/>
      <c r="HC152"/>
      <c r="HD152"/>
      <c r="HE152"/>
      <c r="HF152"/>
      <c r="HG152"/>
      <c r="HH152"/>
      <c r="HI152"/>
      <c r="HJ152"/>
      <c r="HK152"/>
      <c r="HL152"/>
      <c r="HM152"/>
      <c r="HN152"/>
      <c r="HO152"/>
      <c r="HP152"/>
      <c r="HQ152"/>
      <c r="HR152"/>
    </row>
    <row r="153" spans="1:226" s="19" customFormat="1" x14ac:dyDescent="0.2">
      <c r="A153" s="18" t="s">
        <v>53</v>
      </c>
      <c r="B153" s="37">
        <v>197</v>
      </c>
      <c r="C153" s="37">
        <v>193</v>
      </c>
      <c r="D153" s="37">
        <v>195</v>
      </c>
      <c r="E153" s="37">
        <v>194</v>
      </c>
      <c r="F153" s="439">
        <f>E153</f>
        <v>194</v>
      </c>
      <c r="G153" s="37">
        <v>212</v>
      </c>
      <c r="H153" s="37">
        <v>232</v>
      </c>
      <c r="I153" s="37">
        <v>240</v>
      </c>
      <c r="J153" s="37">
        <v>231</v>
      </c>
      <c r="K153" s="439">
        <f>J153</f>
        <v>231</v>
      </c>
      <c r="L153" s="37">
        <v>232</v>
      </c>
      <c r="M153" s="37">
        <v>235</v>
      </c>
      <c r="N153" s="37">
        <v>335</v>
      </c>
      <c r="O153" s="37">
        <v>376</v>
      </c>
      <c r="P153" s="439">
        <f>O153</f>
        <v>376</v>
      </c>
      <c r="Q153" s="37">
        <v>361</v>
      </c>
      <c r="R153" s="37">
        <v>373</v>
      </c>
      <c r="S153" s="37">
        <v>372</v>
      </c>
      <c r="T153" s="37">
        <v>377</v>
      </c>
      <c r="U153" s="439">
        <f>T153</f>
        <v>377</v>
      </c>
      <c r="V153" s="37">
        <v>385</v>
      </c>
      <c r="W153" s="37">
        <v>390</v>
      </c>
      <c r="X153" s="37">
        <v>531</v>
      </c>
      <c r="Y153" s="37">
        <v>618</v>
      </c>
      <c r="Z153" s="439">
        <f>Y153</f>
        <v>618</v>
      </c>
      <c r="AA153" s="37">
        <v>624</v>
      </c>
      <c r="AB153" s="37">
        <v>631</v>
      </c>
      <c r="AC153" s="37">
        <v>638</v>
      </c>
      <c r="AD153" s="37">
        <v>547</v>
      </c>
      <c r="AE153" s="439">
        <f>AD153</f>
        <v>547</v>
      </c>
      <c r="AF153" s="37">
        <v>549</v>
      </c>
      <c r="AG153" s="37">
        <v>562</v>
      </c>
      <c r="AH153" s="37">
        <v>556</v>
      </c>
      <c r="AI153" s="37">
        <v>516</v>
      </c>
      <c r="AJ153" s="439">
        <f>AI153</f>
        <v>516</v>
      </c>
      <c r="AK153" s="37">
        <v>592</v>
      </c>
      <c r="AL153" s="37">
        <v>596</v>
      </c>
      <c r="AM153" s="37">
        <v>596</v>
      </c>
      <c r="AN153" s="37">
        <v>600</v>
      </c>
      <c r="AO153" s="439">
        <f>AN153</f>
        <v>600</v>
      </c>
      <c r="AP153" s="37">
        <v>595</v>
      </c>
      <c r="AQ153" s="37">
        <v>587</v>
      </c>
      <c r="AR153" s="37">
        <v>581</v>
      </c>
      <c r="AS153" s="37">
        <v>640</v>
      </c>
      <c r="AT153" s="439">
        <f>AS153</f>
        <v>640</v>
      </c>
      <c r="AU153" s="37">
        <v>617</v>
      </c>
      <c r="AV153" s="37">
        <v>626</v>
      </c>
      <c r="AW153" s="37">
        <v>610</v>
      </c>
      <c r="AX153" s="58">
        <v>677</v>
      </c>
      <c r="AY153" s="439">
        <f>AX153</f>
        <v>677</v>
      </c>
      <c r="AZ153" s="58">
        <v>669</v>
      </c>
      <c r="BA153" s="58">
        <v>704</v>
      </c>
      <c r="BB153" s="58">
        <v>715</v>
      </c>
      <c r="BC153" s="58">
        <v>619</v>
      </c>
      <c r="BD153" s="439">
        <f>BC153</f>
        <v>619</v>
      </c>
      <c r="BE153" s="58">
        <v>626</v>
      </c>
      <c r="BF153" s="58">
        <v>641</v>
      </c>
      <c r="BG153" s="58">
        <v>634</v>
      </c>
      <c r="BH153" s="58">
        <v>739</v>
      </c>
      <c r="BI153" s="439">
        <f>BH153</f>
        <v>739</v>
      </c>
      <c r="BJ153" s="58">
        <v>738</v>
      </c>
      <c r="BK153" s="58">
        <v>788</v>
      </c>
      <c r="BL153" s="58">
        <v>787</v>
      </c>
      <c r="BM153" s="58">
        <v>742</v>
      </c>
      <c r="BN153" s="439">
        <f>BM153</f>
        <v>742</v>
      </c>
      <c r="BO153" s="58">
        <v>762</v>
      </c>
      <c r="BP153" s="58">
        <v>765</v>
      </c>
      <c r="BQ153" s="58">
        <v>764</v>
      </c>
      <c r="BR153" s="58">
        <v>768</v>
      </c>
      <c r="BS153" s="439">
        <f>BR153</f>
        <v>768</v>
      </c>
      <c r="BT153" s="677">
        <v>762</v>
      </c>
      <c r="BU153" s="677">
        <v>773</v>
      </c>
      <c r="BV153" s="677">
        <v>733</v>
      </c>
      <c r="BW153" s="677">
        <v>750</v>
      </c>
      <c r="BX153" s="439">
        <f>BW153</f>
        <v>750</v>
      </c>
      <c r="BY153" s="677">
        <v>741</v>
      </c>
      <c r="BZ153" s="58">
        <v>740</v>
      </c>
      <c r="CA153" s="58">
        <v>735</v>
      </c>
      <c r="CB153" s="677">
        <v>784</v>
      </c>
      <c r="CC153" s="439">
        <f>CB153</f>
        <v>784</v>
      </c>
      <c r="CD153" s="677">
        <v>783</v>
      </c>
      <c r="CE153" s="58">
        <v>794</v>
      </c>
      <c r="CF153" s="58">
        <v>788</v>
      </c>
      <c r="CG153" s="677">
        <v>770</v>
      </c>
      <c r="CH153" s="439">
        <f>CG153</f>
        <v>770</v>
      </c>
      <c r="CI153" s="677">
        <v>783</v>
      </c>
      <c r="CJ153" s="677">
        <v>791</v>
      </c>
      <c r="CK153" s="58">
        <f>CK227*CK7*4</f>
        <v>807.32131419713323</v>
      </c>
      <c r="CL153" s="58">
        <f ca="1">CL227*CL7*4</f>
        <v>808.52422041333955</v>
      </c>
      <c r="CM153" s="439">
        <f ca="1">CL153</f>
        <v>808.52422041333955</v>
      </c>
      <c r="CN153" s="58">
        <f>CN227*CN7*4</f>
        <v>826.55362481562133</v>
      </c>
      <c r="CO153" s="58">
        <f>CO227*CO7*4</f>
        <v>845.45278053537538</v>
      </c>
      <c r="CP153" s="58">
        <f>CP227*CP7*4</f>
        <v>863.21394327888311</v>
      </c>
      <c r="CQ153" s="58">
        <f ca="1">CQ227*CQ7*4</f>
        <v>832.15673781845021</v>
      </c>
      <c r="CR153" s="439">
        <f ca="1">CQ153</f>
        <v>832.15673781845021</v>
      </c>
      <c r="CS153" s="58">
        <f>CS227*CS7*4</f>
        <v>845.97537753232439</v>
      </c>
      <c r="CT153" s="58">
        <f>CT227*CT7*4</f>
        <v>865.77053849845038</v>
      </c>
      <c r="CU153" s="58">
        <f>CU227*CU7*4</f>
        <v>883.52246513266164</v>
      </c>
      <c r="CV153" s="58">
        <f ca="1">CV227*CV7*4</f>
        <v>851.16207689763291</v>
      </c>
      <c r="CW153" s="439">
        <f ca="1">CV153</f>
        <v>851.16207689763291</v>
      </c>
      <c r="CX153" s="58">
        <f>CX227*CX7*4</f>
        <v>865.94072618627899</v>
      </c>
      <c r="CY153" s="58">
        <f>CY227*CY7*4</f>
        <v>886.67234329408666</v>
      </c>
      <c r="CZ153" s="58">
        <f>CZ227*CZ7*4</f>
        <v>904.40384954514786</v>
      </c>
      <c r="DA153" s="58">
        <f ca="1">DA227*DA7*4</f>
        <v>870.69048646717977</v>
      </c>
      <c r="DB153" s="439">
        <f ca="1">DA153</f>
        <v>870.69048646717977</v>
      </c>
      <c r="DC153" s="58">
        <f>DC227*DC7*4</f>
        <v>886.46776823363643</v>
      </c>
      <c r="DD153" s="58">
        <f>DD227*DD7*4</f>
        <v>908.17808453057103</v>
      </c>
      <c r="DE153" s="58">
        <f>DE227*DE7*4</f>
        <v>925.87735989099701</v>
      </c>
      <c r="DF153" s="58">
        <f ca="1">DF227*DF7*4</f>
        <v>890.75928369926623</v>
      </c>
      <c r="DG153" s="439">
        <f ca="1">DF153</f>
        <v>890.75928369926623</v>
      </c>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c r="HB153"/>
      <c r="HC153"/>
      <c r="HD153"/>
      <c r="HE153"/>
      <c r="HF153"/>
      <c r="HG153"/>
      <c r="HH153"/>
      <c r="HI153"/>
      <c r="HJ153"/>
      <c r="HK153"/>
      <c r="HL153"/>
      <c r="HM153"/>
      <c r="HN153"/>
      <c r="HO153"/>
      <c r="HP153"/>
      <c r="HQ153"/>
      <c r="HR153"/>
    </row>
    <row r="154" spans="1:226" s="19" customFormat="1" x14ac:dyDescent="0.2">
      <c r="A154" s="18" t="s">
        <v>54</v>
      </c>
      <c r="B154" s="40">
        <v>221</v>
      </c>
      <c r="C154" s="40">
        <v>209</v>
      </c>
      <c r="D154" s="40">
        <v>155</v>
      </c>
      <c r="E154" s="40">
        <v>147</v>
      </c>
      <c r="F154" s="448">
        <f>E154</f>
        <v>147</v>
      </c>
      <c r="G154" s="40">
        <v>125</v>
      </c>
      <c r="H154" s="40">
        <v>128</v>
      </c>
      <c r="I154" s="40">
        <v>116</v>
      </c>
      <c r="J154" s="40">
        <v>142</v>
      </c>
      <c r="K154" s="448">
        <f>J154</f>
        <v>142</v>
      </c>
      <c r="L154" s="40">
        <v>141</v>
      </c>
      <c r="M154" s="40">
        <v>123</v>
      </c>
      <c r="N154" s="40">
        <v>122</v>
      </c>
      <c r="O154" s="40">
        <v>115</v>
      </c>
      <c r="P154" s="448">
        <f>O154</f>
        <v>115</v>
      </c>
      <c r="Q154" s="40">
        <v>118</v>
      </c>
      <c r="R154" s="40">
        <v>118</v>
      </c>
      <c r="S154" s="40">
        <v>111</v>
      </c>
      <c r="T154" s="40">
        <v>174</v>
      </c>
      <c r="U154" s="448">
        <f>T154</f>
        <v>174</v>
      </c>
      <c r="V154" s="40">
        <v>174</v>
      </c>
      <c r="W154" s="40">
        <v>184</v>
      </c>
      <c r="X154" s="40">
        <v>162</v>
      </c>
      <c r="Y154" s="40">
        <v>82</v>
      </c>
      <c r="Z154" s="448">
        <f>Y154</f>
        <v>82</v>
      </c>
      <c r="AA154" s="40">
        <v>86</v>
      </c>
      <c r="AB154" s="40">
        <v>73</v>
      </c>
      <c r="AC154" s="40">
        <v>67</v>
      </c>
      <c r="AD154" s="40">
        <v>129</v>
      </c>
      <c r="AE154" s="448">
        <f>AD154</f>
        <v>129</v>
      </c>
      <c r="AF154" s="40">
        <v>120</v>
      </c>
      <c r="AG154" s="40">
        <v>112</v>
      </c>
      <c r="AH154" s="40">
        <v>97</v>
      </c>
      <c r="AI154" s="40">
        <v>5</v>
      </c>
      <c r="AJ154" s="448">
        <f>AI154</f>
        <v>5</v>
      </c>
      <c r="AK154" s="40">
        <v>88</v>
      </c>
      <c r="AL154" s="40">
        <v>257</v>
      </c>
      <c r="AM154" s="40">
        <v>130</v>
      </c>
      <c r="AN154" s="40">
        <v>97</v>
      </c>
      <c r="AO154" s="448">
        <f>AN154</f>
        <v>97</v>
      </c>
      <c r="AP154" s="40">
        <v>75</v>
      </c>
      <c r="AQ154" s="40">
        <v>66</v>
      </c>
      <c r="AR154" s="40">
        <v>74</v>
      </c>
      <c r="AS154" s="40">
        <v>23</v>
      </c>
      <c r="AT154" s="448">
        <f>AS154</f>
        <v>23</v>
      </c>
      <c r="AU154" s="40">
        <v>25</v>
      </c>
      <c r="AV154" s="40">
        <v>29</v>
      </c>
      <c r="AW154" s="40">
        <v>49</v>
      </c>
      <c r="AX154" s="243">
        <v>24</v>
      </c>
      <c r="AY154" s="448">
        <f>AX154</f>
        <v>24</v>
      </c>
      <c r="AZ154" s="243">
        <v>24</v>
      </c>
      <c r="BA154" s="243">
        <v>29</v>
      </c>
      <c r="BB154" s="243">
        <v>61</v>
      </c>
      <c r="BC154" s="243">
        <v>140</v>
      </c>
      <c r="BD154" s="448">
        <f>BC154</f>
        <v>140</v>
      </c>
      <c r="BE154" s="243">
        <v>137</v>
      </c>
      <c r="BF154" s="243">
        <v>141</v>
      </c>
      <c r="BG154" s="243">
        <v>157</v>
      </c>
      <c r="BH154" s="243">
        <v>119</v>
      </c>
      <c r="BI154" s="448">
        <f>BH154</f>
        <v>119</v>
      </c>
      <c r="BJ154" s="243">
        <v>135</v>
      </c>
      <c r="BK154" s="243">
        <v>116</v>
      </c>
      <c r="BL154" s="243">
        <v>107</v>
      </c>
      <c r="BM154" s="243">
        <v>119</v>
      </c>
      <c r="BN154" s="448">
        <f>BM154</f>
        <v>119</v>
      </c>
      <c r="BO154" s="243">
        <v>118</v>
      </c>
      <c r="BP154" s="243">
        <v>116</v>
      </c>
      <c r="BQ154" s="243">
        <v>124</v>
      </c>
      <c r="BR154" s="243">
        <v>103</v>
      </c>
      <c r="BS154" s="448">
        <f>BR154</f>
        <v>103</v>
      </c>
      <c r="BT154" s="658">
        <v>90</v>
      </c>
      <c r="BU154" s="658">
        <v>81</v>
      </c>
      <c r="BV154" s="658">
        <v>97</v>
      </c>
      <c r="BW154" s="658">
        <v>95</v>
      </c>
      <c r="BX154" s="448">
        <f>BW154</f>
        <v>95</v>
      </c>
      <c r="BY154" s="658">
        <v>88</v>
      </c>
      <c r="BZ154" s="243">
        <v>83</v>
      </c>
      <c r="CA154" s="243">
        <v>107</v>
      </c>
      <c r="CB154" s="658">
        <v>82</v>
      </c>
      <c r="CC154" s="448">
        <f>CB154</f>
        <v>82</v>
      </c>
      <c r="CD154" s="658">
        <v>83</v>
      </c>
      <c r="CE154" s="243">
        <v>77</v>
      </c>
      <c r="CF154" s="243">
        <v>49</v>
      </c>
      <c r="CG154" s="658">
        <v>61</v>
      </c>
      <c r="CH154" s="448">
        <f>CG154</f>
        <v>61</v>
      </c>
      <c r="CI154" s="658">
        <v>62</v>
      </c>
      <c r="CJ154" s="658">
        <v>39</v>
      </c>
      <c r="CK154" s="243">
        <f>CK228*CK7*4</f>
        <v>50.201452278755752</v>
      </c>
      <c r="CL154" s="243">
        <f ca="1">CL228*CL7*4</f>
        <v>64.051918760017813</v>
      </c>
      <c r="CM154" s="448">
        <f ca="1">CL154</f>
        <v>64.051918760017813</v>
      </c>
      <c r="CN154" s="243">
        <f>CN228*CN7*4</f>
        <v>65.448690598427234</v>
      </c>
      <c r="CO154" s="243">
        <f>CO228*CO7*4</f>
        <v>41.684776789986898</v>
      </c>
      <c r="CP154" s="243">
        <f>CP228*CP7*4</f>
        <v>53.6770091632808</v>
      </c>
      <c r="CQ154" s="243">
        <f ca="1">CQ228*CQ7*4</f>
        <v>65.9241052037993</v>
      </c>
      <c r="CR154" s="448">
        <f ca="1">CQ154</f>
        <v>65.9241052037993</v>
      </c>
      <c r="CS154" s="243">
        <f>CS228*CS7*4</f>
        <v>66.986556075356461</v>
      </c>
      <c r="CT154" s="243">
        <f>CT228*CT7*4</f>
        <v>42.686537296383769</v>
      </c>
      <c r="CU154" s="243">
        <f>CU228*CU7*4</f>
        <v>54.939848720178198</v>
      </c>
      <c r="CV154" s="243">
        <f ca="1">CV228*CV7*4</f>
        <v>67.42972297500728</v>
      </c>
      <c r="CW154" s="448">
        <f ca="1">CV154</f>
        <v>67.42972297500728</v>
      </c>
      <c r="CX154" s="243">
        <f>CX228*CX7*4</f>
        <v>68.56746490874751</v>
      </c>
      <c r="CY154" s="243">
        <f>CY228*CY7*4</f>
        <v>43.717094043576964</v>
      </c>
      <c r="CZ154" s="243">
        <f>CZ228*CZ7*4</f>
        <v>56.238310441259195</v>
      </c>
      <c r="DA154" s="243">
        <f ca="1">DA228*DA7*4</f>
        <v>68.97677879804931</v>
      </c>
      <c r="DB154" s="448">
        <f ca="1">DA154</f>
        <v>68.97677879804931</v>
      </c>
      <c r="DC154" s="243">
        <f>DC228*DC7*4</f>
        <v>70.192850102791127</v>
      </c>
      <c r="DD154" s="243">
        <f>DD228*DD7*4</f>
        <v>44.777427682291112</v>
      </c>
      <c r="DE154" s="243">
        <f>DE228*DE7*4</f>
        <v>57.573592175963014</v>
      </c>
      <c r="DF154" s="243">
        <f ca="1">DF228*DF7*4</f>
        <v>70.566644552799005</v>
      </c>
      <c r="DG154" s="448">
        <f ca="1">DF154</f>
        <v>70.566644552799005</v>
      </c>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c r="HB154"/>
      <c r="HC154"/>
      <c r="HD154"/>
      <c r="HE154"/>
      <c r="HF154"/>
      <c r="HG154"/>
      <c r="HH154"/>
      <c r="HI154"/>
      <c r="HJ154"/>
      <c r="HK154"/>
      <c r="HL154"/>
      <c r="HM154"/>
      <c r="HN154"/>
      <c r="HO154"/>
      <c r="HP154"/>
      <c r="HQ154"/>
      <c r="HR154"/>
    </row>
    <row r="155" spans="1:226" s="45" customFormat="1" x14ac:dyDescent="0.2">
      <c r="A155" s="358" t="s">
        <v>55</v>
      </c>
      <c r="B155" s="93">
        <f>B153+B152+B150+B154</f>
        <v>2312</v>
      </c>
      <c r="C155" s="44">
        <f>C153+C152+C150+C154</f>
        <v>2336</v>
      </c>
      <c r="D155" s="44">
        <f>D153+D152+D150+D154</f>
        <v>2137</v>
      </c>
      <c r="E155" s="44">
        <f>E153+E152+E150+E154</f>
        <v>2095</v>
      </c>
      <c r="F155" s="449">
        <f>F153+F152+F150+F154</f>
        <v>2095</v>
      </c>
      <c r="G155" s="93">
        <f>SUM(G150,G152:G154)</f>
        <v>2072</v>
      </c>
      <c r="H155" s="44">
        <f t="shared" ref="H155:AW155" si="312">SUM(H150,H152:H154)</f>
        <v>2041</v>
      </c>
      <c r="I155" s="44">
        <f t="shared" si="312"/>
        <v>2108</v>
      </c>
      <c r="J155" s="44">
        <f t="shared" si="312"/>
        <v>2277</v>
      </c>
      <c r="K155" s="449">
        <f t="shared" si="312"/>
        <v>2277</v>
      </c>
      <c r="L155" s="93">
        <f t="shared" si="312"/>
        <v>2172</v>
      </c>
      <c r="M155" s="44">
        <f t="shared" si="312"/>
        <v>2221</v>
      </c>
      <c r="N155" s="44">
        <f t="shared" si="312"/>
        <v>2506</v>
      </c>
      <c r="O155" s="44">
        <f t="shared" si="312"/>
        <v>2437</v>
      </c>
      <c r="P155" s="449">
        <f t="shared" si="312"/>
        <v>2437</v>
      </c>
      <c r="Q155" s="93">
        <f t="shared" si="312"/>
        <v>2401</v>
      </c>
      <c r="R155" s="44">
        <f t="shared" si="312"/>
        <v>2412</v>
      </c>
      <c r="S155" s="44">
        <f t="shared" si="312"/>
        <v>2377</v>
      </c>
      <c r="T155" s="44">
        <f t="shared" si="312"/>
        <v>2294</v>
      </c>
      <c r="U155" s="449">
        <f t="shared" si="312"/>
        <v>2294</v>
      </c>
      <c r="V155" s="93">
        <f t="shared" si="312"/>
        <v>2128</v>
      </c>
      <c r="W155" s="44">
        <f t="shared" si="312"/>
        <v>4167</v>
      </c>
      <c r="X155" s="44">
        <f t="shared" si="312"/>
        <v>4102</v>
      </c>
      <c r="Y155" s="44">
        <f t="shared" si="312"/>
        <v>4170</v>
      </c>
      <c r="Z155" s="449">
        <f t="shared" si="312"/>
        <v>4170</v>
      </c>
      <c r="AA155" s="93">
        <f t="shared" si="312"/>
        <v>4102</v>
      </c>
      <c r="AB155" s="44">
        <f t="shared" si="312"/>
        <v>4095</v>
      </c>
      <c r="AC155" s="44">
        <f t="shared" si="312"/>
        <v>4049</v>
      </c>
      <c r="AD155" s="44">
        <f t="shared" si="312"/>
        <v>3772</v>
      </c>
      <c r="AE155" s="449">
        <f t="shared" si="312"/>
        <v>3772</v>
      </c>
      <c r="AF155" s="93">
        <f t="shared" si="312"/>
        <v>3594</v>
      </c>
      <c r="AG155" s="44">
        <f t="shared" si="312"/>
        <v>3657</v>
      </c>
      <c r="AH155" s="44">
        <f t="shared" si="312"/>
        <v>3599</v>
      </c>
      <c r="AI155" s="44">
        <f t="shared" si="312"/>
        <v>3410</v>
      </c>
      <c r="AJ155" s="449">
        <f t="shared" si="312"/>
        <v>3410</v>
      </c>
      <c r="AK155" s="44">
        <f t="shared" si="312"/>
        <v>4310</v>
      </c>
      <c r="AL155" s="44">
        <f t="shared" si="312"/>
        <v>5407</v>
      </c>
      <c r="AM155" s="44">
        <f t="shared" si="312"/>
        <v>5222</v>
      </c>
      <c r="AN155" s="44">
        <f t="shared" si="312"/>
        <v>5078</v>
      </c>
      <c r="AO155" s="449">
        <f t="shared" si="312"/>
        <v>5078</v>
      </c>
      <c r="AP155" s="44">
        <f t="shared" si="312"/>
        <v>4951</v>
      </c>
      <c r="AQ155" s="44">
        <f t="shared" si="312"/>
        <v>4801</v>
      </c>
      <c r="AR155" s="44">
        <f t="shared" si="312"/>
        <v>4774</v>
      </c>
      <c r="AS155" s="44">
        <f t="shared" si="312"/>
        <v>4751</v>
      </c>
      <c r="AT155" s="449">
        <f t="shared" si="312"/>
        <v>4751</v>
      </c>
      <c r="AU155" s="44">
        <f t="shared" si="312"/>
        <v>4645</v>
      </c>
      <c r="AV155" s="44">
        <f t="shared" si="312"/>
        <v>4462</v>
      </c>
      <c r="AW155" s="44">
        <f t="shared" si="312"/>
        <v>4563</v>
      </c>
      <c r="AX155" s="44">
        <f t="shared" ref="AX155:CC155" si="313">SUM(AX150,AX152:AX154)</f>
        <v>4472</v>
      </c>
      <c r="AY155" s="449">
        <f t="shared" si="313"/>
        <v>4472</v>
      </c>
      <c r="AZ155" s="44">
        <f t="shared" si="313"/>
        <v>4514</v>
      </c>
      <c r="BA155" s="44">
        <f t="shared" si="313"/>
        <v>4034</v>
      </c>
      <c r="BB155" s="44">
        <f t="shared" si="313"/>
        <v>4133</v>
      </c>
      <c r="BC155" s="44">
        <f t="shared" si="313"/>
        <v>4249</v>
      </c>
      <c r="BD155" s="449">
        <f t="shared" si="313"/>
        <v>4249</v>
      </c>
      <c r="BE155" s="44">
        <f t="shared" si="313"/>
        <v>4153</v>
      </c>
      <c r="BF155" s="44">
        <f t="shared" si="313"/>
        <v>4489</v>
      </c>
      <c r="BG155" s="44">
        <f t="shared" si="313"/>
        <v>4492</v>
      </c>
      <c r="BH155" s="44">
        <f t="shared" si="313"/>
        <v>4490</v>
      </c>
      <c r="BI155" s="449">
        <f t="shared" si="313"/>
        <v>4490</v>
      </c>
      <c r="BJ155" s="44">
        <f t="shared" si="313"/>
        <v>4767</v>
      </c>
      <c r="BK155" s="44">
        <f t="shared" si="313"/>
        <v>4446</v>
      </c>
      <c r="BL155" s="44">
        <f t="shared" si="313"/>
        <v>4371</v>
      </c>
      <c r="BM155" s="44">
        <f>SUM(BM150,BM152:BM154)</f>
        <v>4165</v>
      </c>
      <c r="BN155" s="449">
        <f>SUM(BN150,BN152:BN154)</f>
        <v>4165</v>
      </c>
      <c r="BO155" s="44">
        <f t="shared" si="313"/>
        <v>4220</v>
      </c>
      <c r="BP155" s="44">
        <f t="shared" si="313"/>
        <v>4232</v>
      </c>
      <c r="BQ155" s="44">
        <f t="shared" si="313"/>
        <v>4321</v>
      </c>
      <c r="BR155" s="44">
        <f t="shared" si="313"/>
        <v>4104</v>
      </c>
      <c r="BS155" s="449">
        <f t="shared" si="313"/>
        <v>4104</v>
      </c>
      <c r="BT155" s="44">
        <f t="shared" si="313"/>
        <v>3981</v>
      </c>
      <c r="BU155" s="44">
        <f>SUM(BU150,BU152:BU154)</f>
        <v>4393</v>
      </c>
      <c r="BV155" s="44">
        <f t="shared" si="313"/>
        <v>3926</v>
      </c>
      <c r="BW155" s="44">
        <f t="shared" si="313"/>
        <v>4046</v>
      </c>
      <c r="BX155" s="449">
        <f t="shared" si="313"/>
        <v>4046</v>
      </c>
      <c r="BY155" s="44">
        <f t="shared" si="313"/>
        <v>3976</v>
      </c>
      <c r="BZ155" s="44">
        <f t="shared" si="313"/>
        <v>3977</v>
      </c>
      <c r="CA155" s="44">
        <f t="shared" si="313"/>
        <v>4025</v>
      </c>
      <c r="CB155" s="44">
        <f t="shared" si="313"/>
        <v>4221</v>
      </c>
      <c r="CC155" s="449">
        <f t="shared" si="313"/>
        <v>4221</v>
      </c>
      <c r="CD155" s="44">
        <f t="shared" ref="CD155:CW155" ca="1" si="314">SUM(CD150,CD152:CD154)</f>
        <v>4177</v>
      </c>
      <c r="CE155" s="44">
        <f t="shared" ca="1" si="314"/>
        <v>4298</v>
      </c>
      <c r="CF155" s="44">
        <f t="shared" ca="1" si="314"/>
        <v>4225</v>
      </c>
      <c r="CG155" s="44">
        <f t="shared" ca="1" si="314"/>
        <v>4031</v>
      </c>
      <c r="CH155" s="449">
        <f t="shared" ca="1" si="314"/>
        <v>4031</v>
      </c>
      <c r="CI155" s="44">
        <f t="shared" ca="1" si="314"/>
        <v>4008</v>
      </c>
      <c r="CJ155" s="44">
        <f t="shared" si="314"/>
        <v>3998</v>
      </c>
      <c r="CK155" s="44">
        <f t="shared" ca="1" si="314"/>
        <v>4190.4502186605778</v>
      </c>
      <c r="CL155" s="44">
        <f t="shared" ca="1" si="314"/>
        <v>4272.0673510229772</v>
      </c>
      <c r="CM155" s="449">
        <f t="shared" ca="1" si="314"/>
        <v>4272.0673510229772</v>
      </c>
      <c r="CN155" s="44">
        <f t="shared" ca="1" si="314"/>
        <v>4214.0817354532028</v>
      </c>
      <c r="CO155" s="44">
        <f t="shared" ca="1" si="314"/>
        <v>4414.6324844987357</v>
      </c>
      <c r="CP155" s="44">
        <f t="shared" ca="1" si="314"/>
        <v>4557.5299914958905</v>
      </c>
      <c r="CQ155" s="44">
        <f t="shared" ca="1" si="314"/>
        <v>4498.4234043922625</v>
      </c>
      <c r="CR155" s="449">
        <f t="shared" ca="1" si="314"/>
        <v>4498.4234043922625</v>
      </c>
      <c r="CS155" s="44">
        <f t="shared" ca="1" si="314"/>
        <v>4424.2686958381337</v>
      </c>
      <c r="CT155" s="44">
        <f t="shared" ca="1" si="314"/>
        <v>4631.5640506397622</v>
      </c>
      <c r="CU155" s="44">
        <f t="shared" ca="1" si="314"/>
        <v>4778.7408410899461</v>
      </c>
      <c r="CV155" s="44">
        <f t="shared" ca="1" si="314"/>
        <v>4719.3248463975524</v>
      </c>
      <c r="CW155" s="449">
        <f t="shared" ca="1" si="314"/>
        <v>4719.3248463975524</v>
      </c>
      <c r="CX155" s="44">
        <f t="shared" ref="CX155:DG155" ca="1" si="315">SUM(CX150,CX152:CX154)</f>
        <v>4643.1260399654911</v>
      </c>
      <c r="CY155" s="44">
        <f t="shared" ca="1" si="315"/>
        <v>4857.7839285887967</v>
      </c>
      <c r="CZ155" s="44">
        <f t="shared" ca="1" si="315"/>
        <v>5014.8602697721226</v>
      </c>
      <c r="DA155" s="44">
        <f t="shared" ca="1" si="315"/>
        <v>4961.7060960286935</v>
      </c>
      <c r="DB155" s="449">
        <f t="shared" ca="1" si="315"/>
        <v>4961.7060960286935</v>
      </c>
      <c r="DC155" s="44">
        <f t="shared" ca="1" si="315"/>
        <v>4885.0555706184523</v>
      </c>
      <c r="DD155" s="44">
        <f t="shared" ca="1" si="315"/>
        <v>5108.8986457775591</v>
      </c>
      <c r="DE155" s="44">
        <f t="shared" ca="1" si="315"/>
        <v>5277.746876057573</v>
      </c>
      <c r="DF155" s="44">
        <f t="shared" ca="1" si="315"/>
        <v>5232.6984525113185</v>
      </c>
      <c r="DG155" s="449">
        <f t="shared" ca="1" si="315"/>
        <v>5232.6984525113185</v>
      </c>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c r="HB155"/>
      <c r="HC155"/>
      <c r="HD155"/>
      <c r="HE155"/>
      <c r="HF155"/>
      <c r="HG155"/>
      <c r="HH155"/>
      <c r="HI155"/>
      <c r="HJ155"/>
      <c r="HK155"/>
      <c r="HL155"/>
      <c r="HM155"/>
      <c r="HN155"/>
      <c r="HO155"/>
      <c r="HP155"/>
      <c r="HQ155"/>
      <c r="HR155"/>
    </row>
    <row r="156" spans="1:226" s="19" customFormat="1" x14ac:dyDescent="0.2">
      <c r="A156" s="18"/>
      <c r="B156" s="37"/>
      <c r="C156" s="37"/>
      <c r="D156" s="37"/>
      <c r="E156" s="37"/>
      <c r="F156" s="439"/>
      <c r="G156" s="37"/>
      <c r="H156" s="37"/>
      <c r="I156" s="37"/>
      <c r="J156" s="37"/>
      <c r="K156" s="439"/>
      <c r="L156" s="37"/>
      <c r="M156" s="37"/>
      <c r="N156" s="37"/>
      <c r="O156" s="37"/>
      <c r="P156" s="439"/>
      <c r="Q156" s="37"/>
      <c r="R156" s="37"/>
      <c r="S156" s="37"/>
      <c r="T156" s="37"/>
      <c r="U156" s="439"/>
      <c r="V156" s="37"/>
      <c r="W156" s="37"/>
      <c r="X156" s="37"/>
      <c r="Y156" s="37"/>
      <c r="Z156" s="439"/>
      <c r="AA156" s="37"/>
      <c r="AB156" s="37"/>
      <c r="AC156" s="37"/>
      <c r="AD156" s="37"/>
      <c r="AE156" s="439"/>
      <c r="AF156" s="37"/>
      <c r="AG156" s="37"/>
      <c r="AH156" s="37"/>
      <c r="AI156" s="37"/>
      <c r="AJ156" s="439"/>
      <c r="AK156" s="37"/>
      <c r="AL156" s="37"/>
      <c r="AM156" s="37"/>
      <c r="AN156" s="37"/>
      <c r="AO156" s="439"/>
      <c r="AP156" s="37"/>
      <c r="AQ156" s="37"/>
      <c r="AR156" s="37"/>
      <c r="AS156" s="37"/>
      <c r="AT156" s="439"/>
      <c r="AU156" s="37"/>
      <c r="AV156" s="37"/>
      <c r="AW156" s="37"/>
      <c r="AX156" s="37"/>
      <c r="AY156" s="438"/>
      <c r="AZ156" s="37"/>
      <c r="BA156" s="37"/>
      <c r="BB156" s="37"/>
      <c r="BC156" s="37"/>
      <c r="BD156" s="438"/>
      <c r="BE156" s="37"/>
      <c r="BF156" s="37"/>
      <c r="BG156" s="37"/>
      <c r="BH156" s="37"/>
      <c r="BI156" s="438"/>
      <c r="BJ156" s="37"/>
      <c r="BK156" s="37"/>
      <c r="BL156" s="37"/>
      <c r="BM156" s="37"/>
      <c r="BN156" s="438"/>
      <c r="BO156" s="37"/>
      <c r="BP156" s="37"/>
      <c r="BQ156" s="37"/>
      <c r="BR156" s="37"/>
      <c r="BS156" s="438"/>
      <c r="BT156" s="655"/>
      <c r="BU156" s="655"/>
      <c r="BV156" s="37"/>
      <c r="BW156" s="37"/>
      <c r="BX156" s="438"/>
      <c r="BY156" s="37"/>
      <c r="BZ156" s="37"/>
      <c r="CA156" s="37"/>
      <c r="CB156" s="655"/>
      <c r="CC156" s="438"/>
      <c r="CD156" s="37"/>
      <c r="CE156" s="37"/>
      <c r="CF156" s="37"/>
      <c r="CG156" s="655"/>
      <c r="CH156" s="438"/>
      <c r="CI156" s="37"/>
      <c r="CJ156" s="37"/>
      <c r="CK156" s="37"/>
      <c r="CL156" s="37"/>
      <c r="CM156" s="438"/>
      <c r="CN156" s="37"/>
      <c r="CO156" s="37"/>
      <c r="CP156" s="37"/>
      <c r="CQ156" s="37"/>
      <c r="CR156" s="438"/>
      <c r="CS156" s="37"/>
      <c r="CT156" s="37"/>
      <c r="CU156" s="37"/>
      <c r="CV156" s="37"/>
      <c r="CW156" s="438"/>
      <c r="CX156" s="37"/>
      <c r="CY156" s="37"/>
      <c r="CZ156" s="37"/>
      <c r="DA156" s="37"/>
      <c r="DB156" s="438"/>
      <c r="DC156" s="37"/>
      <c r="DD156" s="37"/>
      <c r="DE156" s="37"/>
      <c r="DF156" s="37"/>
      <c r="DG156" s="438"/>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c r="HB156"/>
      <c r="HC156"/>
      <c r="HD156"/>
      <c r="HE156"/>
      <c r="HF156"/>
      <c r="HG156"/>
      <c r="HH156"/>
      <c r="HI156"/>
      <c r="HJ156"/>
      <c r="HK156"/>
      <c r="HL156"/>
      <c r="HM156"/>
      <c r="HN156"/>
      <c r="HO156"/>
      <c r="HP156"/>
      <c r="HQ156"/>
      <c r="HR156"/>
    </row>
    <row r="157" spans="1:226" s="19" customFormat="1" x14ac:dyDescent="0.2">
      <c r="A157" s="356" t="s">
        <v>56</v>
      </c>
      <c r="B157" s="37"/>
      <c r="C157" s="37"/>
      <c r="D157" s="37"/>
      <c r="E157" s="37"/>
      <c r="F157" s="439"/>
      <c r="G157" s="37"/>
      <c r="H157" s="37"/>
      <c r="I157" s="37"/>
      <c r="J157" s="37"/>
      <c r="K157" s="439"/>
      <c r="L157" s="37"/>
      <c r="M157" s="37"/>
      <c r="N157" s="37"/>
      <c r="O157" s="37"/>
      <c r="P157" s="439"/>
      <c r="Q157" s="37"/>
      <c r="R157" s="37"/>
      <c r="S157" s="37"/>
      <c r="T157" s="37"/>
      <c r="U157" s="439"/>
      <c r="V157" s="37"/>
      <c r="W157" s="37"/>
      <c r="X157" s="37"/>
      <c r="Y157" s="37"/>
      <c r="Z157" s="439"/>
      <c r="AA157" s="37"/>
      <c r="AB157" s="37"/>
      <c r="AC157" s="37"/>
      <c r="AD157" s="37"/>
      <c r="AE157" s="439"/>
      <c r="AF157" s="37"/>
      <c r="AG157" s="37"/>
      <c r="AH157" s="37"/>
      <c r="AI157" s="37"/>
      <c r="AJ157" s="439"/>
      <c r="AK157" s="37"/>
      <c r="AL157" s="37"/>
      <c r="AM157" s="37"/>
      <c r="AN157" s="37"/>
      <c r="AO157" s="439"/>
      <c r="AP157" s="37"/>
      <c r="AQ157" s="37"/>
      <c r="AR157" s="37"/>
      <c r="AS157" s="37"/>
      <c r="AT157" s="439"/>
      <c r="AU157" s="37"/>
      <c r="AV157" s="37"/>
      <c r="AW157" s="37"/>
      <c r="AX157" s="37"/>
      <c r="AY157" s="438"/>
      <c r="AZ157" s="37"/>
      <c r="BA157" s="37"/>
      <c r="BB157" s="37"/>
      <c r="BC157" s="37"/>
      <c r="BD157" s="438"/>
      <c r="BE157" s="37"/>
      <c r="BF157" s="37"/>
      <c r="BG157" s="37"/>
      <c r="BH157" s="37"/>
      <c r="BI157" s="438"/>
      <c r="BJ157" s="37"/>
      <c r="BK157" s="37"/>
      <c r="BL157" s="37"/>
      <c r="BM157" s="37"/>
      <c r="BN157" s="438"/>
      <c r="BO157" s="37"/>
      <c r="BP157" s="37"/>
      <c r="BQ157" s="37"/>
      <c r="BR157" s="37"/>
      <c r="BS157" s="438"/>
      <c r="BT157" s="655"/>
      <c r="BU157" s="655"/>
      <c r="BV157" s="37"/>
      <c r="BW157" s="37"/>
      <c r="BX157" s="438"/>
      <c r="BY157" s="37"/>
      <c r="BZ157" s="37"/>
      <c r="CA157" s="37"/>
      <c r="CB157" s="655"/>
      <c r="CC157" s="438"/>
      <c r="CD157" s="37"/>
      <c r="CE157" s="37"/>
      <c r="CF157" s="37"/>
      <c r="CG157" s="655"/>
      <c r="CH157" s="438"/>
      <c r="CI157" s="37"/>
      <c r="CJ157" s="37"/>
      <c r="CK157" s="37"/>
      <c r="CL157" s="37"/>
      <c r="CM157" s="438"/>
      <c r="CN157" s="37"/>
      <c r="CO157" s="37"/>
      <c r="CP157" s="37"/>
      <c r="CQ157" s="37"/>
      <c r="CR157" s="438"/>
      <c r="CS157" s="37"/>
      <c r="CT157" s="37"/>
      <c r="CU157" s="37"/>
      <c r="CV157" s="37"/>
      <c r="CW157" s="438"/>
      <c r="CX157" s="37"/>
      <c r="CY157" s="37"/>
      <c r="CZ157" s="37"/>
      <c r="DA157" s="37"/>
      <c r="DB157" s="438"/>
      <c r="DC157" s="37"/>
      <c r="DD157" s="37"/>
      <c r="DE157" s="37"/>
      <c r="DF157" s="37"/>
      <c r="DG157" s="438"/>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c r="HB157"/>
      <c r="HC157"/>
      <c r="HD157"/>
      <c r="HE157"/>
      <c r="HF157"/>
      <c r="HG157"/>
      <c r="HH157"/>
      <c r="HI157"/>
      <c r="HJ157"/>
      <c r="HK157"/>
      <c r="HL157"/>
      <c r="HM157"/>
      <c r="HN157"/>
      <c r="HO157"/>
      <c r="HP157"/>
      <c r="HQ157"/>
      <c r="HR157"/>
    </row>
    <row r="158" spans="1:226" s="19" customFormat="1" x14ac:dyDescent="0.2">
      <c r="A158" s="18" t="s">
        <v>57</v>
      </c>
      <c r="B158" s="37">
        <f>250+128</f>
        <v>378</v>
      </c>
      <c r="C158" s="37">
        <f>250+132</f>
        <v>382</v>
      </c>
      <c r="D158" s="37">
        <f>250+133</f>
        <v>383</v>
      </c>
      <c r="E158" s="37">
        <f>250+195</f>
        <v>445</v>
      </c>
      <c r="F158" s="439">
        <f>E158</f>
        <v>445</v>
      </c>
      <c r="G158" s="37">
        <f>250+197</f>
        <v>447</v>
      </c>
      <c r="H158" s="37">
        <f>250+203</f>
        <v>453</v>
      </c>
      <c r="I158" s="37">
        <f>250+212</f>
        <v>462</v>
      </c>
      <c r="J158" s="37">
        <f>250+222</f>
        <v>472</v>
      </c>
      <c r="K158" s="439">
        <f>J158</f>
        <v>472</v>
      </c>
      <c r="L158" s="37">
        <f>250+228</f>
        <v>478</v>
      </c>
      <c r="M158" s="37">
        <f>250+240</f>
        <v>490</v>
      </c>
      <c r="N158" s="37">
        <f>250+249</f>
        <v>499</v>
      </c>
      <c r="O158" s="37">
        <f>250+255</f>
        <v>505</v>
      </c>
      <c r="P158" s="439">
        <f>O158</f>
        <v>505</v>
      </c>
      <c r="Q158" s="37">
        <f>250+263</f>
        <v>513</v>
      </c>
      <c r="R158" s="37">
        <f>250+271</f>
        <v>521</v>
      </c>
      <c r="S158" s="37">
        <f>250+291</f>
        <v>541</v>
      </c>
      <c r="T158" s="37">
        <f>250+301</f>
        <v>551</v>
      </c>
      <c r="U158" s="439">
        <f>T158</f>
        <v>551</v>
      </c>
      <c r="V158" s="37">
        <f>250+304</f>
        <v>554</v>
      </c>
      <c r="W158" s="37">
        <f>250+314</f>
        <v>564</v>
      </c>
      <c r="X158" s="37">
        <f>250+325</f>
        <v>575</v>
      </c>
      <c r="Y158" s="37">
        <f>250+328</f>
        <v>578</v>
      </c>
      <c r="Z158" s="439">
        <f>Y158</f>
        <v>578</v>
      </c>
      <c r="AA158" s="37">
        <f>250+330</f>
        <v>580</v>
      </c>
      <c r="AB158" s="37">
        <f>250+342</f>
        <v>592</v>
      </c>
      <c r="AC158" s="37">
        <f>250+359</f>
        <v>609</v>
      </c>
      <c r="AD158" s="37">
        <f>250+397</f>
        <v>647</v>
      </c>
      <c r="AE158" s="439">
        <f>AD158</f>
        <v>647</v>
      </c>
      <c r="AF158" s="37">
        <f>250+414</f>
        <v>664</v>
      </c>
      <c r="AG158" s="37">
        <f>159+437</f>
        <v>596</v>
      </c>
      <c r="AH158" s="37">
        <f>159+452</f>
        <v>611</v>
      </c>
      <c r="AI158" s="37">
        <f>159+481</f>
        <v>640</v>
      </c>
      <c r="AJ158" s="439">
        <f>AI158</f>
        <v>640</v>
      </c>
      <c r="AK158" s="37">
        <f>159+491</f>
        <v>650</v>
      </c>
      <c r="AL158" s="37">
        <f>159+506</f>
        <v>665</v>
      </c>
      <c r="AM158" s="37">
        <f>159+518</f>
        <v>677</v>
      </c>
      <c r="AN158" s="37">
        <f>159+534</f>
        <v>693</v>
      </c>
      <c r="AO158" s="439">
        <f>AN158</f>
        <v>693</v>
      </c>
      <c r="AP158" s="37">
        <f>159+527</f>
        <v>686</v>
      </c>
      <c r="AQ158" s="37">
        <f>159+548</f>
        <v>707</v>
      </c>
      <c r="AR158" s="37">
        <f>159+560</f>
        <v>719</v>
      </c>
      <c r="AS158" s="37">
        <f>159+579</f>
        <v>738</v>
      </c>
      <c r="AT158" s="439">
        <f>AS158</f>
        <v>738</v>
      </c>
      <c r="AU158" s="37">
        <f>159+564</f>
        <v>723</v>
      </c>
      <c r="AV158" s="37">
        <f>159+576</f>
        <v>735</v>
      </c>
      <c r="AW158" s="37">
        <f>159+599</f>
        <v>758</v>
      </c>
      <c r="AX158" s="37">
        <f>159+617</f>
        <v>776</v>
      </c>
      <c r="AY158" s="439">
        <f>AX158</f>
        <v>776</v>
      </c>
      <c r="AZ158" s="37">
        <f>159+608</f>
        <v>767</v>
      </c>
      <c r="BA158" s="37">
        <f>159+610</f>
        <v>769</v>
      </c>
      <c r="BB158" s="37">
        <f>159+623</f>
        <v>782</v>
      </c>
      <c r="BC158" s="37">
        <f>159+632</f>
        <v>791</v>
      </c>
      <c r="BD158" s="439">
        <f>BC158</f>
        <v>791</v>
      </c>
      <c r="BE158" s="37">
        <f>159+611</f>
        <v>770</v>
      </c>
      <c r="BF158" s="37">
        <f>159+616</f>
        <v>775</v>
      </c>
      <c r="BG158" s="37">
        <f>159+624</f>
        <v>783</v>
      </c>
      <c r="BH158" s="37">
        <f>159+633</f>
        <v>792</v>
      </c>
      <c r="BI158" s="439">
        <f>BH158</f>
        <v>792</v>
      </c>
      <c r="BJ158" s="37">
        <f>159+631</f>
        <v>790</v>
      </c>
      <c r="BK158" s="37">
        <f>159+644</f>
        <v>803</v>
      </c>
      <c r="BL158" s="37">
        <f>159+655</f>
        <v>814</v>
      </c>
      <c r="BM158" s="37">
        <f>159+661</f>
        <v>820</v>
      </c>
      <c r="BN158" s="439">
        <f>BM158</f>
        <v>820</v>
      </c>
      <c r="BO158" s="37">
        <f>159+673</f>
        <v>832</v>
      </c>
      <c r="BP158" s="37">
        <f>159+693</f>
        <v>852</v>
      </c>
      <c r="BQ158" s="37">
        <f>159+699</f>
        <v>858</v>
      </c>
      <c r="BR158" s="655">
        <f>159+709</f>
        <v>868</v>
      </c>
      <c r="BS158" s="439">
        <f>BR158</f>
        <v>868</v>
      </c>
      <c r="BT158" s="655">
        <f>159+702</f>
        <v>861</v>
      </c>
      <c r="BU158" s="655">
        <f>159+726</f>
        <v>885</v>
      </c>
      <c r="BV158" s="655">
        <f>159+762</f>
        <v>921</v>
      </c>
      <c r="BW158" s="655">
        <f>159+775</f>
        <v>934</v>
      </c>
      <c r="BX158" s="439">
        <f>BW158</f>
        <v>934</v>
      </c>
      <c r="BY158" s="655">
        <f>159+790</f>
        <v>949</v>
      </c>
      <c r="BZ158" s="655">
        <f>159+823</f>
        <v>982</v>
      </c>
      <c r="CA158" s="655">
        <f>159+846</f>
        <v>1005</v>
      </c>
      <c r="CB158" s="655">
        <f>159+868</f>
        <v>1027</v>
      </c>
      <c r="CC158" s="439">
        <f>CB158</f>
        <v>1027</v>
      </c>
      <c r="CD158" s="655">
        <f>159+881</f>
        <v>1040</v>
      </c>
      <c r="CE158" s="655">
        <f>159+895</f>
        <v>1054</v>
      </c>
      <c r="CF158" s="655">
        <f>159+912</f>
        <v>1071</v>
      </c>
      <c r="CG158" s="655">
        <f>159+928</f>
        <v>1087</v>
      </c>
      <c r="CH158" s="439">
        <f t="shared" ref="CH158:CV158" si="316">CG158</f>
        <v>1087</v>
      </c>
      <c r="CI158" s="655">
        <f>159+922</f>
        <v>1081</v>
      </c>
      <c r="CJ158" s="655">
        <f>159+941</f>
        <v>1100</v>
      </c>
      <c r="CK158" s="42">
        <f t="shared" si="316"/>
        <v>1100</v>
      </c>
      <c r="CL158" s="42">
        <f t="shared" si="316"/>
        <v>1100</v>
      </c>
      <c r="CM158" s="439">
        <f t="shared" si="316"/>
        <v>1100</v>
      </c>
      <c r="CN158" s="42">
        <f t="shared" si="316"/>
        <v>1100</v>
      </c>
      <c r="CO158" s="42">
        <f t="shared" si="316"/>
        <v>1100</v>
      </c>
      <c r="CP158" s="42">
        <f t="shared" si="316"/>
        <v>1100</v>
      </c>
      <c r="CQ158" s="42">
        <f t="shared" si="316"/>
        <v>1100</v>
      </c>
      <c r="CR158" s="439">
        <f t="shared" si="316"/>
        <v>1100</v>
      </c>
      <c r="CS158" s="42">
        <f t="shared" si="316"/>
        <v>1100</v>
      </c>
      <c r="CT158" s="42">
        <f t="shared" si="316"/>
        <v>1100</v>
      </c>
      <c r="CU158" s="42">
        <f t="shared" si="316"/>
        <v>1100</v>
      </c>
      <c r="CV158" s="42">
        <f t="shared" si="316"/>
        <v>1100</v>
      </c>
      <c r="CW158" s="439">
        <f t="shared" ref="CW158:DG158" si="317">CV158</f>
        <v>1100</v>
      </c>
      <c r="CX158" s="42">
        <f t="shared" si="317"/>
        <v>1100</v>
      </c>
      <c r="CY158" s="42">
        <f t="shared" si="317"/>
        <v>1100</v>
      </c>
      <c r="CZ158" s="42">
        <f t="shared" si="317"/>
        <v>1100</v>
      </c>
      <c r="DA158" s="42">
        <f t="shared" si="317"/>
        <v>1100</v>
      </c>
      <c r="DB158" s="439">
        <f t="shared" si="317"/>
        <v>1100</v>
      </c>
      <c r="DC158" s="42">
        <f t="shared" si="317"/>
        <v>1100</v>
      </c>
      <c r="DD158" s="42">
        <f t="shared" si="317"/>
        <v>1100</v>
      </c>
      <c r="DE158" s="42">
        <f t="shared" si="317"/>
        <v>1100</v>
      </c>
      <c r="DF158" s="42">
        <f t="shared" si="317"/>
        <v>1100</v>
      </c>
      <c r="DG158" s="439">
        <f t="shared" si="317"/>
        <v>1100</v>
      </c>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c r="HB158"/>
      <c r="HC158"/>
      <c r="HD158"/>
      <c r="HE158"/>
      <c r="HF158"/>
      <c r="HG158"/>
      <c r="HH158"/>
      <c r="HI158"/>
      <c r="HJ158"/>
      <c r="HK158"/>
      <c r="HL158"/>
      <c r="HM158"/>
      <c r="HN158"/>
      <c r="HO158"/>
      <c r="HP158"/>
      <c r="HQ158"/>
      <c r="HR158"/>
    </row>
    <row r="159" spans="1:226" s="19" customFormat="1" x14ac:dyDescent="0.2">
      <c r="A159" s="18" t="s">
        <v>58</v>
      </c>
      <c r="B159" s="62">
        <v>2120</v>
      </c>
      <c r="C159" s="62">
        <v>2139</v>
      </c>
      <c r="D159" s="37">
        <v>2171</v>
      </c>
      <c r="E159" s="37">
        <v>2142</v>
      </c>
      <c r="F159" s="439">
        <f>E159</f>
        <v>2142</v>
      </c>
      <c r="G159" s="62">
        <v>2173</v>
      </c>
      <c r="H159" s="62">
        <v>2176</v>
      </c>
      <c r="I159" s="37">
        <v>2174</v>
      </c>
      <c r="J159" s="37">
        <v>2270</v>
      </c>
      <c r="K159" s="439">
        <f>J159</f>
        <v>2270</v>
      </c>
      <c r="L159" s="62">
        <v>2365</v>
      </c>
      <c r="M159" s="62">
        <v>2404</v>
      </c>
      <c r="N159" s="37">
        <v>2466</v>
      </c>
      <c r="O159" s="37">
        <v>2565</v>
      </c>
      <c r="P159" s="439">
        <f>O159</f>
        <v>2565</v>
      </c>
      <c r="Q159" s="62">
        <v>2633</v>
      </c>
      <c r="R159" s="62">
        <v>2682</v>
      </c>
      <c r="S159" s="37">
        <v>2727</v>
      </c>
      <c r="T159" s="37">
        <v>2846</v>
      </c>
      <c r="U159" s="439">
        <f>T159</f>
        <v>2846</v>
      </c>
      <c r="V159" s="62">
        <v>2906</v>
      </c>
      <c r="W159" s="62">
        <v>3542</v>
      </c>
      <c r="X159" s="37">
        <v>3614</v>
      </c>
      <c r="Y159" s="37">
        <v>3684</v>
      </c>
      <c r="Z159" s="439">
        <f>Y159</f>
        <v>3684</v>
      </c>
      <c r="AA159" s="62">
        <v>3742</v>
      </c>
      <c r="AB159" s="62">
        <v>3781</v>
      </c>
      <c r="AC159" s="37">
        <v>3843</v>
      </c>
      <c r="AD159" s="37">
        <v>3939</v>
      </c>
      <c r="AE159" s="439">
        <f>AD159</f>
        <v>3939</v>
      </c>
      <c r="AF159" s="62">
        <v>4005</v>
      </c>
      <c r="AG159" s="62">
        <v>7</v>
      </c>
      <c r="AH159" s="37">
        <v>85</v>
      </c>
      <c r="AI159" s="37">
        <v>185</v>
      </c>
      <c r="AJ159" s="439">
        <f>AI159</f>
        <v>185</v>
      </c>
      <c r="AK159" s="37">
        <v>219</v>
      </c>
      <c r="AL159" s="37">
        <v>248</v>
      </c>
      <c r="AM159" s="37">
        <v>295</v>
      </c>
      <c r="AN159" s="37">
        <v>386</v>
      </c>
      <c r="AO159" s="439">
        <f>AN159</f>
        <v>386</v>
      </c>
      <c r="AP159" s="37">
        <v>440</v>
      </c>
      <c r="AQ159" s="37">
        <v>457</v>
      </c>
      <c r="AR159" s="37">
        <v>542</v>
      </c>
      <c r="AS159" s="37">
        <v>640</v>
      </c>
      <c r="AT159" s="439">
        <f>AS159</f>
        <v>640</v>
      </c>
      <c r="AU159" s="37">
        <v>720</v>
      </c>
      <c r="AV159" s="37">
        <v>753</v>
      </c>
      <c r="AW159" s="37">
        <v>838</v>
      </c>
      <c r="AX159" s="37">
        <v>920</v>
      </c>
      <c r="AY159" s="439">
        <f>AX159</f>
        <v>920</v>
      </c>
      <c r="AZ159" s="37">
        <v>1053</v>
      </c>
      <c r="BA159" s="37">
        <v>994</v>
      </c>
      <c r="BB159" s="37">
        <v>1059</v>
      </c>
      <c r="BC159" s="37">
        <v>1143</v>
      </c>
      <c r="BD159" s="439">
        <f>BC159</f>
        <v>1143</v>
      </c>
      <c r="BE159" s="37">
        <v>1185</v>
      </c>
      <c r="BF159" s="37">
        <v>1210</v>
      </c>
      <c r="BG159" s="37">
        <v>1263</v>
      </c>
      <c r="BH159" s="37">
        <v>1350</v>
      </c>
      <c r="BI159" s="439">
        <f>BH159</f>
        <v>1350</v>
      </c>
      <c r="BJ159" s="37">
        <v>1395</v>
      </c>
      <c r="BK159" s="37">
        <v>1430</v>
      </c>
      <c r="BL159" s="37">
        <v>1474</v>
      </c>
      <c r="BM159" s="37">
        <v>1561</v>
      </c>
      <c r="BN159" s="439">
        <f>BM159</f>
        <v>1561</v>
      </c>
      <c r="BO159" s="37">
        <v>1603</v>
      </c>
      <c r="BP159" s="37">
        <v>1623</v>
      </c>
      <c r="BQ159" s="37">
        <v>1667</v>
      </c>
      <c r="BR159" s="37">
        <v>1739</v>
      </c>
      <c r="BS159" s="439">
        <f>BR159</f>
        <v>1739</v>
      </c>
      <c r="BT159" s="655">
        <v>1731</v>
      </c>
      <c r="BU159" s="655">
        <v>1757</v>
      </c>
      <c r="BV159" s="37">
        <v>1832</v>
      </c>
      <c r="BW159" s="37">
        <v>1923</v>
      </c>
      <c r="BX159" s="439">
        <f>BW159</f>
        <v>1923</v>
      </c>
      <c r="BY159" s="37">
        <v>1993</v>
      </c>
      <c r="BZ159" s="37">
        <v>2042</v>
      </c>
      <c r="CA159" s="37">
        <v>2103</v>
      </c>
      <c r="CB159" s="655">
        <v>2163</v>
      </c>
      <c r="CC159" s="439">
        <f>CB159</f>
        <v>2163</v>
      </c>
      <c r="CD159" s="37">
        <v>2238</v>
      </c>
      <c r="CE159" s="37">
        <v>2284</v>
      </c>
      <c r="CF159" s="37">
        <v>2351</v>
      </c>
      <c r="CG159" s="655">
        <v>2440</v>
      </c>
      <c r="CH159" s="439">
        <f>CG159</f>
        <v>2440</v>
      </c>
      <c r="CI159" s="655">
        <v>2524</v>
      </c>
      <c r="CJ159" s="37">
        <v>2649</v>
      </c>
      <c r="CK159" s="37">
        <f ca="1">CJ159+CK86+CK188</f>
        <v>2708.4747592212739</v>
      </c>
      <c r="CL159" s="37">
        <f ca="1">CK159+CL86+CL188</f>
        <v>2793.369970314176</v>
      </c>
      <c r="CM159" s="439">
        <f ca="1">CL159</f>
        <v>2793.369970314176</v>
      </c>
      <c r="CN159" s="37">
        <f ca="1">CM159+CN86+CN188</f>
        <v>2886.4000659407452</v>
      </c>
      <c r="CO159" s="37">
        <f ca="1">CN159+CO86+CO188</f>
        <v>2939.1756260954749</v>
      </c>
      <c r="CP159" s="37">
        <f ca="1">CO159+CP86+CP188</f>
        <v>3008.7787281778515</v>
      </c>
      <c r="CQ159" s="37">
        <f ca="1">CP159+CQ86+CQ188</f>
        <v>3114.7371226682467</v>
      </c>
      <c r="CR159" s="439">
        <f ca="1">CQ159</f>
        <v>3114.7371226682467</v>
      </c>
      <c r="CS159" s="37">
        <f ca="1">CR159+CS86+CS188</f>
        <v>3218.1374252348355</v>
      </c>
      <c r="CT159" s="37">
        <f ca="1">CS159+CT86+CT188</f>
        <v>3273.4873183796317</v>
      </c>
      <c r="CU159" s="37">
        <f ca="1">CT159+CU86+CU188</f>
        <v>3350.8291331172936</v>
      </c>
      <c r="CV159" s="37">
        <f ca="1">CU159+CV86+CV188</f>
        <v>3466.170011392483</v>
      </c>
      <c r="CW159" s="439">
        <f ca="1">CV159</f>
        <v>3466.170011392483</v>
      </c>
      <c r="CX159" s="37">
        <f ca="1">CW159+CX86+CX188</f>
        <v>3574.2827068273682</v>
      </c>
      <c r="CY159" s="37">
        <f ca="1">CX159+CY86+CY188</f>
        <v>3633.2923907288127</v>
      </c>
      <c r="CZ159" s="37">
        <f ca="1">CY159+CZ86+CZ188</f>
        <v>3714.4582982512147</v>
      </c>
      <c r="DA159" s="37">
        <f ca="1">CZ159+DA86+DA188</f>
        <v>3834.2419481489701</v>
      </c>
      <c r="DB159" s="439">
        <f ca="1">DA159</f>
        <v>3834.2419481489701</v>
      </c>
      <c r="DC159" s="37">
        <f ca="1">DB159+DC86+DC188</f>
        <v>3946.941662904514</v>
      </c>
      <c r="DD159" s="37">
        <f ca="1">DC159+DD86+DD188</f>
        <v>4009.5269165823643</v>
      </c>
      <c r="DE159" s="37">
        <f ca="1">DD159+DE86+DE188</f>
        <v>4094.3887488094629</v>
      </c>
      <c r="DF159" s="37">
        <f ca="1">DE159+DF86+DF188</f>
        <v>4218.4403392511185</v>
      </c>
      <c r="DG159" s="439">
        <f ca="1">DF159</f>
        <v>4218.4403392511185</v>
      </c>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c r="HB159"/>
      <c r="HC159"/>
      <c r="HD159"/>
      <c r="HE159"/>
      <c r="HF159"/>
      <c r="HG159"/>
      <c r="HH159"/>
      <c r="HI159"/>
      <c r="HJ159"/>
      <c r="HK159"/>
      <c r="HL159"/>
      <c r="HM159"/>
      <c r="HN159"/>
      <c r="HO159"/>
      <c r="HP159"/>
      <c r="HQ159"/>
      <c r="HR159"/>
    </row>
    <row r="160" spans="1:226" s="19" customFormat="1" x14ac:dyDescent="0.2">
      <c r="A160" s="18" t="s">
        <v>59</v>
      </c>
      <c r="B160" s="37">
        <v>-451</v>
      </c>
      <c r="C160" s="37">
        <f>-684+241</f>
        <v>-443</v>
      </c>
      <c r="D160" s="37">
        <f>-683+241</f>
        <v>-442</v>
      </c>
      <c r="E160" s="37">
        <v>-441</v>
      </c>
      <c r="F160" s="439">
        <f>E160</f>
        <v>-441</v>
      </c>
      <c r="G160" s="37">
        <v>-615</v>
      </c>
      <c r="H160" s="37">
        <v>-614</v>
      </c>
      <c r="I160" s="37">
        <v>-734</v>
      </c>
      <c r="J160" s="37">
        <v>-1070</v>
      </c>
      <c r="K160" s="439">
        <f>J160</f>
        <v>-1070</v>
      </c>
      <c r="L160" s="37">
        <v>-1207</v>
      </c>
      <c r="M160" s="37">
        <v>-1349</v>
      </c>
      <c r="N160" s="37">
        <v>-1379</v>
      </c>
      <c r="O160" s="37">
        <v>-1507</v>
      </c>
      <c r="P160" s="439">
        <f>O160</f>
        <v>-1507</v>
      </c>
      <c r="Q160" s="37">
        <v>-1634</v>
      </c>
      <c r="R160" s="37">
        <v>-1685</v>
      </c>
      <c r="S160" s="37">
        <v>-1603</v>
      </c>
      <c r="T160" s="37">
        <v>-1570</v>
      </c>
      <c r="U160" s="439">
        <f>T160</f>
        <v>-1570</v>
      </c>
      <c r="V160" s="37">
        <v>-1552</v>
      </c>
      <c r="W160" s="37">
        <v>-4339</v>
      </c>
      <c r="X160" s="37">
        <v>-4313</v>
      </c>
      <c r="Y160" s="37">
        <v>-4463</v>
      </c>
      <c r="Z160" s="439">
        <f>Y160</f>
        <v>-4463</v>
      </c>
      <c r="AA160" s="37">
        <v>-4534</v>
      </c>
      <c r="AB160" s="37">
        <v>-4570</v>
      </c>
      <c r="AC160" s="37">
        <v>-4542</v>
      </c>
      <c r="AD160" s="37">
        <f>-4527</f>
        <v>-4527</v>
      </c>
      <c r="AE160" s="439">
        <f>AD160</f>
        <v>-4527</v>
      </c>
      <c r="AF160" s="37">
        <v>-4514</v>
      </c>
      <c r="AG160" s="37">
        <v>-428</v>
      </c>
      <c r="AH160" s="37">
        <v>-404</v>
      </c>
      <c r="AI160" s="37">
        <v>-445</v>
      </c>
      <c r="AJ160" s="439">
        <f>AI160</f>
        <v>-445</v>
      </c>
      <c r="AK160" s="37">
        <v>-1309</v>
      </c>
      <c r="AL160" s="37">
        <v>-1289</v>
      </c>
      <c r="AM160" s="37">
        <v>-1282</v>
      </c>
      <c r="AN160" s="37">
        <v>-1270</v>
      </c>
      <c r="AO160" s="439">
        <f>AN160</f>
        <v>-1270</v>
      </c>
      <c r="AP160" s="37">
        <v>-1232</v>
      </c>
      <c r="AQ160" s="37">
        <v>-1214</v>
      </c>
      <c r="AR160" s="37">
        <v>-1211</v>
      </c>
      <c r="AS160" s="37">
        <v>-1206</v>
      </c>
      <c r="AT160" s="439">
        <f>AS160</f>
        <v>-1206</v>
      </c>
      <c r="AU160" s="37">
        <v>-1169</v>
      </c>
      <c r="AV160" s="37">
        <v>-1144</v>
      </c>
      <c r="AW160" s="37">
        <v>-1109</v>
      </c>
      <c r="AX160" s="37">
        <v>-1242</v>
      </c>
      <c r="AY160" s="439">
        <f>AX160</f>
        <v>-1242</v>
      </c>
      <c r="AZ160" s="37">
        <v>-1204</v>
      </c>
      <c r="BA160" s="37">
        <v>-1321</v>
      </c>
      <c r="BB160" s="37">
        <v>-1616</v>
      </c>
      <c r="BC160" s="37">
        <v>-1770</v>
      </c>
      <c r="BD160" s="439">
        <f>BC160</f>
        <v>-1770</v>
      </c>
      <c r="BE160" s="37">
        <v>-1717</v>
      </c>
      <c r="BF160" s="37">
        <v>-1861</v>
      </c>
      <c r="BG160" s="37">
        <v>-1848</v>
      </c>
      <c r="BH160" s="37">
        <v>-1881</v>
      </c>
      <c r="BI160" s="439">
        <f>BH160</f>
        <v>-1881</v>
      </c>
      <c r="BJ160" s="37">
        <v>-1836</v>
      </c>
      <c r="BK160" s="37">
        <v>-1801</v>
      </c>
      <c r="BL160" s="37">
        <v>-1758</v>
      </c>
      <c r="BM160" s="37">
        <v>-1868</v>
      </c>
      <c r="BN160" s="439">
        <f>BM160</f>
        <v>-1868</v>
      </c>
      <c r="BO160" s="37">
        <v>-1986</v>
      </c>
      <c r="BP160" s="37">
        <v>-1932</v>
      </c>
      <c r="BQ160" s="37">
        <v>-2054</v>
      </c>
      <c r="BR160" s="37">
        <v>-2036</v>
      </c>
      <c r="BS160" s="439">
        <f>BR160</f>
        <v>-2036</v>
      </c>
      <c r="BT160" s="655">
        <v>-2007</v>
      </c>
      <c r="BU160" s="655">
        <v>-1908</v>
      </c>
      <c r="BV160" s="37">
        <v>-1970</v>
      </c>
      <c r="BW160" s="37">
        <v>-2237</v>
      </c>
      <c r="BX160" s="439">
        <f>BW160</f>
        <v>-2237</v>
      </c>
      <c r="BY160" s="37">
        <v>-2282</v>
      </c>
      <c r="BZ160" s="37">
        <v>-2265</v>
      </c>
      <c r="CA160" s="37">
        <v>-2307</v>
      </c>
      <c r="CB160" s="655">
        <v>-2323</v>
      </c>
      <c r="CC160" s="439">
        <f>CB160</f>
        <v>-2323</v>
      </c>
      <c r="CD160" s="37">
        <v>-2422</v>
      </c>
      <c r="CE160" s="37">
        <v>-2489</v>
      </c>
      <c r="CF160" s="37">
        <v>-2453</v>
      </c>
      <c r="CG160" s="655">
        <v>-2442</v>
      </c>
      <c r="CH160" s="439">
        <f>CG160</f>
        <v>-2442</v>
      </c>
      <c r="CI160" s="655">
        <v>-2489</v>
      </c>
      <c r="CJ160" s="37">
        <v>-2465</v>
      </c>
      <c r="CK160" s="37">
        <f>CJ160+CK125</f>
        <v>-2616.1999999999998</v>
      </c>
      <c r="CL160" s="37">
        <f>CK160+CL125</f>
        <v>-2787.1945999999998</v>
      </c>
      <c r="CM160" s="439">
        <f>CL160</f>
        <v>-2787.1945999999998</v>
      </c>
      <c r="CN160" s="37">
        <f>CM160+CN125</f>
        <v>-2886.4786624999997</v>
      </c>
      <c r="CO160" s="37">
        <f>CN160+CO125</f>
        <v>-2988.2448265624998</v>
      </c>
      <c r="CP160" s="37">
        <f>CO160+CP125</f>
        <v>-3092.5551447265625</v>
      </c>
      <c r="CQ160" s="37">
        <f>CP160+CQ125</f>
        <v>-3199.4732208447267</v>
      </c>
      <c r="CR160" s="439">
        <f>CQ160</f>
        <v>-3199.4732208447267</v>
      </c>
      <c r="CS160" s="37">
        <f>CR160+CS125</f>
        <v>-3309.064248865845</v>
      </c>
      <c r="CT160" s="37">
        <f>CS160+CT125</f>
        <v>-3421.3950525874911</v>
      </c>
      <c r="CU160" s="37">
        <f>CT160+CU125</f>
        <v>-3536.5341264021781</v>
      </c>
      <c r="CV160" s="37">
        <f>CU160+CV125</f>
        <v>-3654.5516770622326</v>
      </c>
      <c r="CW160" s="439">
        <f>CV160</f>
        <v>-3654.5516770622326</v>
      </c>
      <c r="CX160" s="37">
        <f>CW160+CX125</f>
        <v>-3775.5196664887881</v>
      </c>
      <c r="CY160" s="37">
        <f>CX160+CY125</f>
        <v>-3899.5118556510074</v>
      </c>
      <c r="CZ160" s="37">
        <f>CY160+CZ125</f>
        <v>-4026.6038495422827</v>
      </c>
      <c r="DA160" s="37">
        <f>CZ160+DA125</f>
        <v>-4156.8731432808399</v>
      </c>
      <c r="DB160" s="439">
        <f>DA160</f>
        <v>-4156.8731432808399</v>
      </c>
      <c r="DC160" s="37">
        <f>DB160+DC125</f>
        <v>-4290.3991693628604</v>
      </c>
      <c r="DD160" s="37">
        <f>DC160+DD125</f>
        <v>-4427.2633460969319</v>
      </c>
      <c r="DE160" s="37">
        <f>DD160+DE125</f>
        <v>-4567.5491272493546</v>
      </c>
      <c r="DF160" s="37">
        <f>DE160+DF125</f>
        <v>-4711.3420529305886</v>
      </c>
      <c r="DG160" s="439">
        <f>DF160</f>
        <v>-4711.3420529305886</v>
      </c>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c r="HB160"/>
      <c r="HC160"/>
      <c r="HD160"/>
      <c r="HE160"/>
      <c r="HF160"/>
      <c r="HG160"/>
      <c r="HH160"/>
      <c r="HI160"/>
      <c r="HJ160"/>
      <c r="HK160"/>
      <c r="HL160"/>
      <c r="HM160"/>
      <c r="HN160"/>
      <c r="HO160"/>
      <c r="HP160"/>
      <c r="HQ160"/>
      <c r="HR160"/>
    </row>
    <row r="161" spans="1:226" s="19" customFormat="1" x14ac:dyDescent="0.2">
      <c r="A161" s="18" t="s">
        <v>60</v>
      </c>
      <c r="B161" s="37">
        <v>-204</v>
      </c>
      <c r="C161" s="37">
        <v>-201</v>
      </c>
      <c r="D161" s="37">
        <v>-220</v>
      </c>
      <c r="E161" s="37">
        <v>-235</v>
      </c>
      <c r="F161" s="439">
        <f>E161</f>
        <v>-235</v>
      </c>
      <c r="G161" s="37">
        <v>-234</v>
      </c>
      <c r="H161" s="37">
        <v>-287</v>
      </c>
      <c r="I161" s="37">
        <v>-286</v>
      </c>
      <c r="J161" s="37">
        <v>-296</v>
      </c>
      <c r="K161" s="439">
        <f>J161</f>
        <v>-296</v>
      </c>
      <c r="L161" s="37">
        <f>-325</f>
        <v>-325</v>
      </c>
      <c r="M161" s="37">
        <v>-277</v>
      </c>
      <c r="N161" s="37">
        <v>-250</v>
      </c>
      <c r="O161" s="37">
        <v>-339</v>
      </c>
      <c r="P161" s="439">
        <f>O161</f>
        <v>-339</v>
      </c>
      <c r="Q161" s="37">
        <v>-344</v>
      </c>
      <c r="R161" s="37">
        <v>-319</v>
      </c>
      <c r="S161" s="37">
        <v>-317</v>
      </c>
      <c r="T161" s="37">
        <v>-274</v>
      </c>
      <c r="U161" s="439">
        <f>T161</f>
        <v>-274</v>
      </c>
      <c r="V161" s="37">
        <v>-252</v>
      </c>
      <c r="W161" s="37">
        <v>-207</v>
      </c>
      <c r="X161" s="37">
        <v>-206</v>
      </c>
      <c r="Y161" s="37">
        <v>-336</v>
      </c>
      <c r="Z161" s="439">
        <f>Y161</f>
        <v>-336</v>
      </c>
      <c r="AA161" s="37">
        <v>-320</v>
      </c>
      <c r="AB161" s="37">
        <v>-331</v>
      </c>
      <c r="AC161" s="37">
        <v>-337</v>
      </c>
      <c r="AD161" s="37">
        <v>-215</v>
      </c>
      <c r="AE161" s="439">
        <f>AD161</f>
        <v>-215</v>
      </c>
      <c r="AF161" s="37">
        <v>-210</v>
      </c>
      <c r="AG161" s="37">
        <v>-208</v>
      </c>
      <c r="AH161" s="37">
        <v>-200</v>
      </c>
      <c r="AI161" s="37">
        <v>-209</v>
      </c>
      <c r="AJ161" s="439">
        <f>AI161</f>
        <v>-209</v>
      </c>
      <c r="AK161" s="37">
        <v>-197</v>
      </c>
      <c r="AL161" s="37">
        <v>-178</v>
      </c>
      <c r="AM161" s="37">
        <v>-162</v>
      </c>
      <c r="AN161" s="37">
        <v>-179</v>
      </c>
      <c r="AO161" s="439">
        <f>AN161</f>
        <v>-179</v>
      </c>
      <c r="AP161" s="37">
        <v>-258</v>
      </c>
      <c r="AQ161" s="37">
        <v>-353</v>
      </c>
      <c r="AR161" s="37">
        <v>-359</v>
      </c>
      <c r="AS161" s="37">
        <v>-347</v>
      </c>
      <c r="AT161" s="439">
        <f>AS161</f>
        <v>-347</v>
      </c>
      <c r="AU161" s="37">
        <v>-321</v>
      </c>
      <c r="AV161" s="37">
        <v>-317</v>
      </c>
      <c r="AW161" s="37">
        <v>-307</v>
      </c>
      <c r="AX161" s="37">
        <v>-371</v>
      </c>
      <c r="AY161" s="439">
        <f>AX161</f>
        <v>-371</v>
      </c>
      <c r="AZ161" s="37">
        <v>-337</v>
      </c>
      <c r="BA161" s="37">
        <v>-318</v>
      </c>
      <c r="BB161" s="37">
        <v>-307</v>
      </c>
      <c r="BC161" s="37">
        <f>-250</f>
        <v>-250</v>
      </c>
      <c r="BD161" s="439">
        <f>BC161</f>
        <v>-250</v>
      </c>
      <c r="BE161" s="37">
        <v>-314</v>
      </c>
      <c r="BF161" s="37">
        <v>-323</v>
      </c>
      <c r="BG161" s="37">
        <v>-304</v>
      </c>
      <c r="BH161" s="37">
        <v>-396</v>
      </c>
      <c r="BI161" s="439">
        <f>BH161</f>
        <v>-396</v>
      </c>
      <c r="BJ161" s="37">
        <v>-369</v>
      </c>
      <c r="BK161" s="37">
        <v>-376</v>
      </c>
      <c r="BL161" s="37">
        <v>-378</v>
      </c>
      <c r="BM161" s="37">
        <v>-367</v>
      </c>
      <c r="BN161" s="439">
        <f>BM161</f>
        <v>-367</v>
      </c>
      <c r="BO161" s="37">
        <v>-368</v>
      </c>
      <c r="BP161" s="37">
        <v>-387</v>
      </c>
      <c r="BQ161" s="37">
        <v>-418</v>
      </c>
      <c r="BR161" s="37">
        <v>-417</v>
      </c>
      <c r="BS161" s="439">
        <f>BR161</f>
        <v>-417</v>
      </c>
      <c r="BT161" s="655">
        <v>-416</v>
      </c>
      <c r="BU161" s="655">
        <v>-453</v>
      </c>
      <c r="BV161" s="37">
        <v>-481</v>
      </c>
      <c r="BW161" s="37">
        <v>-502</v>
      </c>
      <c r="BX161" s="439">
        <f>BW161</f>
        <v>-502</v>
      </c>
      <c r="BY161" s="37">
        <v>-541</v>
      </c>
      <c r="BZ161" s="37">
        <v>-561</v>
      </c>
      <c r="CA161" s="37">
        <v>-542</v>
      </c>
      <c r="CB161" s="655">
        <v>-570</v>
      </c>
      <c r="CC161" s="439">
        <f>CB161</f>
        <v>-570</v>
      </c>
      <c r="CD161" s="37">
        <v>-567</v>
      </c>
      <c r="CE161" s="37">
        <v>-579</v>
      </c>
      <c r="CF161" s="37">
        <v>-565</v>
      </c>
      <c r="CG161" s="655">
        <v>-543</v>
      </c>
      <c r="CH161" s="439">
        <f>CG161</f>
        <v>-543</v>
      </c>
      <c r="CI161" s="655">
        <v>-524</v>
      </c>
      <c r="CJ161" s="37">
        <v>-524</v>
      </c>
      <c r="CK161" s="37">
        <f t="shared" ref="CK161:CL162" si="318">CJ161</f>
        <v>-524</v>
      </c>
      <c r="CL161" s="37">
        <f t="shared" si="318"/>
        <v>-524</v>
      </c>
      <c r="CM161" s="439">
        <f>CL161</f>
        <v>-524</v>
      </c>
      <c r="CN161" s="37">
        <f t="shared" ref="CN161:CQ162" si="319">CM161</f>
        <v>-524</v>
      </c>
      <c r="CO161" s="37">
        <f t="shared" si="319"/>
        <v>-524</v>
      </c>
      <c r="CP161" s="37">
        <f t="shared" si="319"/>
        <v>-524</v>
      </c>
      <c r="CQ161" s="37">
        <f t="shared" si="319"/>
        <v>-524</v>
      </c>
      <c r="CR161" s="439">
        <f>CQ161</f>
        <v>-524</v>
      </c>
      <c r="CS161" s="37">
        <f t="shared" ref="CS161:CV162" si="320">CR161</f>
        <v>-524</v>
      </c>
      <c r="CT161" s="37">
        <f t="shared" si="320"/>
        <v>-524</v>
      </c>
      <c r="CU161" s="37">
        <f t="shared" si="320"/>
        <v>-524</v>
      </c>
      <c r="CV161" s="37">
        <f t="shared" si="320"/>
        <v>-524</v>
      </c>
      <c r="CW161" s="439">
        <f>CV161</f>
        <v>-524</v>
      </c>
      <c r="CX161" s="37">
        <f t="shared" ref="CX161:DA162" si="321">CW161</f>
        <v>-524</v>
      </c>
      <c r="CY161" s="37">
        <f t="shared" si="321"/>
        <v>-524</v>
      </c>
      <c r="CZ161" s="37">
        <f t="shared" si="321"/>
        <v>-524</v>
      </c>
      <c r="DA161" s="37">
        <f t="shared" si="321"/>
        <v>-524</v>
      </c>
      <c r="DB161" s="439">
        <f>DA161</f>
        <v>-524</v>
      </c>
      <c r="DC161" s="37">
        <f t="shared" ref="DC161:DF162" si="322">DB161</f>
        <v>-524</v>
      </c>
      <c r="DD161" s="37">
        <f t="shared" si="322"/>
        <v>-524</v>
      </c>
      <c r="DE161" s="37">
        <f t="shared" si="322"/>
        <v>-524</v>
      </c>
      <c r="DF161" s="37">
        <f t="shared" si="322"/>
        <v>-524</v>
      </c>
      <c r="DG161" s="439">
        <f>DF161</f>
        <v>-524</v>
      </c>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c r="HB161"/>
      <c r="HC161"/>
      <c r="HD161"/>
      <c r="HE161"/>
      <c r="HF161"/>
      <c r="HG161"/>
      <c r="HH161"/>
      <c r="HI161"/>
      <c r="HJ161"/>
      <c r="HK161"/>
      <c r="HL161"/>
      <c r="HM161"/>
      <c r="HN161"/>
      <c r="HO161"/>
      <c r="HP161"/>
      <c r="HQ161"/>
      <c r="HR161"/>
    </row>
    <row r="162" spans="1:226" s="19" customFormat="1" x14ac:dyDescent="0.2">
      <c r="A162" s="18" t="s">
        <v>61</v>
      </c>
      <c r="B162" s="40">
        <v>-17</v>
      </c>
      <c r="C162" s="40">
        <v>-15</v>
      </c>
      <c r="D162" s="40">
        <v>-12</v>
      </c>
      <c r="E162" s="40">
        <v>-11</v>
      </c>
      <c r="F162" s="448">
        <f>E162</f>
        <v>-11</v>
      </c>
      <c r="G162" s="40">
        <v>-11</v>
      </c>
      <c r="H162" s="40">
        <v>-16</v>
      </c>
      <c r="I162" s="40">
        <v>-17</v>
      </c>
      <c r="J162" s="40">
        <v>-10</v>
      </c>
      <c r="K162" s="448">
        <f>J162</f>
        <v>-10</v>
      </c>
      <c r="L162" s="40">
        <v>-9</v>
      </c>
      <c r="M162" s="40">
        <v>-12</v>
      </c>
      <c r="N162" s="40">
        <v>-11</v>
      </c>
      <c r="O162" s="40">
        <v>-9</v>
      </c>
      <c r="P162" s="448">
        <f>O162</f>
        <v>-9</v>
      </c>
      <c r="Q162" s="40">
        <v>-11</v>
      </c>
      <c r="R162" s="40">
        <v>-14</v>
      </c>
      <c r="S162" s="40">
        <v>-15</v>
      </c>
      <c r="T162" s="40">
        <v>-13</v>
      </c>
      <c r="U162" s="448">
        <f>T162</f>
        <v>-13</v>
      </c>
      <c r="V162" s="40">
        <v>-12</v>
      </c>
      <c r="W162" s="40">
        <v>-17</v>
      </c>
      <c r="X162" s="40">
        <v>-16</v>
      </c>
      <c r="Y162" s="40">
        <v>-16</v>
      </c>
      <c r="Z162" s="448">
        <f>Y162</f>
        <v>-16</v>
      </c>
      <c r="AA162" s="40">
        <v>0</v>
      </c>
      <c r="AB162" s="40">
        <f>AA162</f>
        <v>0</v>
      </c>
      <c r="AC162" s="40">
        <f>AB162</f>
        <v>0</v>
      </c>
      <c r="AD162" s="40">
        <f>AC162</f>
        <v>0</v>
      </c>
      <c r="AE162" s="448">
        <f>AD162</f>
        <v>0</v>
      </c>
      <c r="AF162" s="40">
        <f>AE162</f>
        <v>0</v>
      </c>
      <c r="AG162" s="40">
        <f>AF162</f>
        <v>0</v>
      </c>
      <c r="AH162" s="40">
        <f>AG162</f>
        <v>0</v>
      </c>
      <c r="AI162" s="40">
        <f>AH162</f>
        <v>0</v>
      </c>
      <c r="AJ162" s="448">
        <f>AI162</f>
        <v>0</v>
      </c>
      <c r="AK162" s="40">
        <f>AJ162</f>
        <v>0</v>
      </c>
      <c r="AL162" s="40">
        <f>AK162</f>
        <v>0</v>
      </c>
      <c r="AM162" s="40">
        <f>AL162</f>
        <v>0</v>
      </c>
      <c r="AN162" s="40">
        <f>AM162</f>
        <v>0</v>
      </c>
      <c r="AO162" s="448">
        <f>AN162</f>
        <v>0</v>
      </c>
      <c r="AP162" s="40">
        <f>AO162</f>
        <v>0</v>
      </c>
      <c r="AQ162" s="40">
        <f>AP162</f>
        <v>0</v>
      </c>
      <c r="AR162" s="40">
        <f>AQ162</f>
        <v>0</v>
      </c>
      <c r="AS162" s="40">
        <f>AR162</f>
        <v>0</v>
      </c>
      <c r="AT162" s="448">
        <f>AS162</f>
        <v>0</v>
      </c>
      <c r="AU162" s="40">
        <f>AT162</f>
        <v>0</v>
      </c>
      <c r="AV162" s="40">
        <f>AU162</f>
        <v>0</v>
      </c>
      <c r="AW162" s="40">
        <f>AV162</f>
        <v>0</v>
      </c>
      <c r="AX162" s="40">
        <f>AW162</f>
        <v>0</v>
      </c>
      <c r="AY162" s="448">
        <f>AX162</f>
        <v>0</v>
      </c>
      <c r="AZ162" s="40">
        <f>AY162</f>
        <v>0</v>
      </c>
      <c r="BA162" s="40">
        <v>0</v>
      </c>
      <c r="BB162" s="40">
        <f>BA162</f>
        <v>0</v>
      </c>
      <c r="BC162" s="40">
        <f>BB162</f>
        <v>0</v>
      </c>
      <c r="BD162" s="448">
        <f>BC162</f>
        <v>0</v>
      </c>
      <c r="BE162" s="40">
        <f>BD162</f>
        <v>0</v>
      </c>
      <c r="BF162" s="40">
        <f>BE162</f>
        <v>0</v>
      </c>
      <c r="BG162" s="40">
        <f>BF162</f>
        <v>0</v>
      </c>
      <c r="BH162" s="40">
        <f>BG162</f>
        <v>0</v>
      </c>
      <c r="BI162" s="448">
        <f>BH162</f>
        <v>0</v>
      </c>
      <c r="BJ162" s="40">
        <f>BI162</f>
        <v>0</v>
      </c>
      <c r="BK162" s="40">
        <f>BJ162</f>
        <v>0</v>
      </c>
      <c r="BL162" s="40">
        <f>BK162</f>
        <v>0</v>
      </c>
      <c r="BM162" s="40">
        <f>BL162</f>
        <v>0</v>
      </c>
      <c r="BN162" s="448">
        <f>BM162</f>
        <v>0</v>
      </c>
      <c r="BO162" s="40">
        <f>BN162</f>
        <v>0</v>
      </c>
      <c r="BP162" s="40">
        <f>BO162</f>
        <v>0</v>
      </c>
      <c r="BQ162" s="40">
        <f>BP162</f>
        <v>0</v>
      </c>
      <c r="BR162" s="40">
        <f>BQ162</f>
        <v>0</v>
      </c>
      <c r="BS162" s="448">
        <f>BR162</f>
        <v>0</v>
      </c>
      <c r="BT162" s="678">
        <f>BS162</f>
        <v>0</v>
      </c>
      <c r="BU162" s="40">
        <f>BT162</f>
        <v>0</v>
      </c>
      <c r="BV162" s="40">
        <f>BU162</f>
        <v>0</v>
      </c>
      <c r="BW162" s="40">
        <f>BV162</f>
        <v>0</v>
      </c>
      <c r="BX162" s="448">
        <f>BW162</f>
        <v>0</v>
      </c>
      <c r="BY162" s="40">
        <f>BX162</f>
        <v>0</v>
      </c>
      <c r="BZ162" s="40">
        <f>BY162</f>
        <v>0</v>
      </c>
      <c r="CA162" s="40">
        <f>BZ162</f>
        <v>0</v>
      </c>
      <c r="CB162" s="678">
        <f>CA162</f>
        <v>0</v>
      </c>
      <c r="CC162" s="448">
        <f>CB162</f>
        <v>0</v>
      </c>
      <c r="CD162" s="40">
        <f>CC162</f>
        <v>0</v>
      </c>
      <c r="CE162" s="40">
        <f>CD162</f>
        <v>0</v>
      </c>
      <c r="CF162" s="40">
        <f>CE162</f>
        <v>0</v>
      </c>
      <c r="CG162" s="678">
        <f>CF162</f>
        <v>0</v>
      </c>
      <c r="CH162" s="448">
        <f>CG162</f>
        <v>0</v>
      </c>
      <c r="CI162" s="678">
        <v>0</v>
      </c>
      <c r="CJ162" s="40">
        <v>0</v>
      </c>
      <c r="CK162" s="40">
        <f t="shared" si="318"/>
        <v>0</v>
      </c>
      <c r="CL162" s="40">
        <f t="shared" si="318"/>
        <v>0</v>
      </c>
      <c r="CM162" s="448">
        <f>CL162</f>
        <v>0</v>
      </c>
      <c r="CN162" s="40">
        <f t="shared" si="319"/>
        <v>0</v>
      </c>
      <c r="CO162" s="40">
        <f t="shared" si="319"/>
        <v>0</v>
      </c>
      <c r="CP162" s="40">
        <f t="shared" si="319"/>
        <v>0</v>
      </c>
      <c r="CQ162" s="40">
        <f t="shared" si="319"/>
        <v>0</v>
      </c>
      <c r="CR162" s="448">
        <f>CQ162</f>
        <v>0</v>
      </c>
      <c r="CS162" s="40">
        <f t="shared" si="320"/>
        <v>0</v>
      </c>
      <c r="CT162" s="40">
        <f t="shared" si="320"/>
        <v>0</v>
      </c>
      <c r="CU162" s="40">
        <f t="shared" si="320"/>
        <v>0</v>
      </c>
      <c r="CV162" s="40">
        <f t="shared" si="320"/>
        <v>0</v>
      </c>
      <c r="CW162" s="448">
        <f>CV162</f>
        <v>0</v>
      </c>
      <c r="CX162" s="40">
        <f t="shared" si="321"/>
        <v>0</v>
      </c>
      <c r="CY162" s="40">
        <f t="shared" si="321"/>
        <v>0</v>
      </c>
      <c r="CZ162" s="40">
        <f t="shared" si="321"/>
        <v>0</v>
      </c>
      <c r="DA162" s="40">
        <f t="shared" si="321"/>
        <v>0</v>
      </c>
      <c r="DB162" s="448">
        <f>DA162</f>
        <v>0</v>
      </c>
      <c r="DC162" s="40">
        <f t="shared" si="322"/>
        <v>0</v>
      </c>
      <c r="DD162" s="40">
        <f t="shared" si="322"/>
        <v>0</v>
      </c>
      <c r="DE162" s="40">
        <f t="shared" si="322"/>
        <v>0</v>
      </c>
      <c r="DF162" s="40">
        <f t="shared" si="322"/>
        <v>0</v>
      </c>
      <c r="DG162" s="448">
        <f>DF162</f>
        <v>0</v>
      </c>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c r="HB162"/>
      <c r="HC162"/>
      <c r="HD162"/>
      <c r="HE162"/>
      <c r="HF162"/>
      <c r="HG162"/>
      <c r="HH162"/>
      <c r="HI162"/>
      <c r="HJ162"/>
      <c r="HK162"/>
      <c r="HL162"/>
      <c r="HM162"/>
      <c r="HN162"/>
      <c r="HO162"/>
      <c r="HP162"/>
      <c r="HQ162"/>
      <c r="HR162"/>
    </row>
    <row r="163" spans="1:226" s="45" customFormat="1" x14ac:dyDescent="0.2">
      <c r="A163" s="358" t="s">
        <v>62</v>
      </c>
      <c r="B163" s="44">
        <f t="shared" ref="B163:AF163" si="323">SUM(B158:B162)</f>
        <v>1826</v>
      </c>
      <c r="C163" s="44">
        <f t="shared" si="323"/>
        <v>1862</v>
      </c>
      <c r="D163" s="44">
        <f t="shared" si="323"/>
        <v>1880</v>
      </c>
      <c r="E163" s="44">
        <f t="shared" si="323"/>
        <v>1900</v>
      </c>
      <c r="F163" s="449">
        <f t="shared" si="323"/>
        <v>1900</v>
      </c>
      <c r="G163" s="44">
        <f t="shared" si="323"/>
        <v>1760</v>
      </c>
      <c r="H163" s="44">
        <f t="shared" si="323"/>
        <v>1712</v>
      </c>
      <c r="I163" s="44">
        <f t="shared" si="323"/>
        <v>1599</v>
      </c>
      <c r="J163" s="44">
        <f t="shared" si="323"/>
        <v>1366</v>
      </c>
      <c r="K163" s="449">
        <f t="shared" si="323"/>
        <v>1366</v>
      </c>
      <c r="L163" s="44">
        <f t="shared" si="323"/>
        <v>1302</v>
      </c>
      <c r="M163" s="44">
        <f t="shared" si="323"/>
        <v>1256</v>
      </c>
      <c r="N163" s="44">
        <f t="shared" si="323"/>
        <v>1325</v>
      </c>
      <c r="O163" s="44">
        <f t="shared" si="323"/>
        <v>1215</v>
      </c>
      <c r="P163" s="449">
        <f t="shared" si="323"/>
        <v>1215</v>
      </c>
      <c r="Q163" s="44">
        <f t="shared" si="323"/>
        <v>1157</v>
      </c>
      <c r="R163" s="44">
        <f t="shared" si="323"/>
        <v>1185</v>
      </c>
      <c r="S163" s="44">
        <f t="shared" si="323"/>
        <v>1333</v>
      </c>
      <c r="T163" s="44">
        <f t="shared" si="323"/>
        <v>1540</v>
      </c>
      <c r="U163" s="449">
        <f t="shared" si="323"/>
        <v>1540</v>
      </c>
      <c r="V163" s="44">
        <f t="shared" si="323"/>
        <v>1644</v>
      </c>
      <c r="W163" s="44">
        <f t="shared" si="323"/>
        <v>-457</v>
      </c>
      <c r="X163" s="44">
        <f t="shared" si="323"/>
        <v>-346</v>
      </c>
      <c r="Y163" s="44">
        <f t="shared" si="323"/>
        <v>-553</v>
      </c>
      <c r="Z163" s="449">
        <f t="shared" si="323"/>
        <v>-553</v>
      </c>
      <c r="AA163" s="44">
        <f t="shared" si="323"/>
        <v>-532</v>
      </c>
      <c r="AB163" s="44">
        <f t="shared" si="323"/>
        <v>-528</v>
      </c>
      <c r="AC163" s="44">
        <f t="shared" si="323"/>
        <v>-427</v>
      </c>
      <c r="AD163" s="44">
        <f t="shared" si="323"/>
        <v>-156</v>
      </c>
      <c r="AE163" s="449">
        <f t="shared" si="323"/>
        <v>-156</v>
      </c>
      <c r="AF163" s="44">
        <f t="shared" si="323"/>
        <v>-55</v>
      </c>
      <c r="AG163" s="44">
        <f t="shared" ref="AG163:AW163" si="324">SUM(AG158:AG162)</f>
        <v>-33</v>
      </c>
      <c r="AH163" s="44">
        <f t="shared" si="324"/>
        <v>92</v>
      </c>
      <c r="AI163" s="44">
        <f t="shared" si="324"/>
        <v>171</v>
      </c>
      <c r="AJ163" s="449">
        <f t="shared" si="324"/>
        <v>171</v>
      </c>
      <c r="AK163" s="44">
        <f t="shared" si="324"/>
        <v>-637</v>
      </c>
      <c r="AL163" s="44">
        <f t="shared" si="324"/>
        <v>-554</v>
      </c>
      <c r="AM163" s="44">
        <f t="shared" si="324"/>
        <v>-472</v>
      </c>
      <c r="AN163" s="44">
        <f t="shared" si="324"/>
        <v>-370</v>
      </c>
      <c r="AO163" s="449">
        <f t="shared" si="324"/>
        <v>-370</v>
      </c>
      <c r="AP163" s="44">
        <f t="shared" si="324"/>
        <v>-364</v>
      </c>
      <c r="AQ163" s="44">
        <f t="shared" si="324"/>
        <v>-403</v>
      </c>
      <c r="AR163" s="44">
        <f t="shared" si="324"/>
        <v>-309</v>
      </c>
      <c r="AS163" s="44">
        <f t="shared" si="324"/>
        <v>-175</v>
      </c>
      <c r="AT163" s="449">
        <f t="shared" si="324"/>
        <v>-175</v>
      </c>
      <c r="AU163" s="44">
        <f t="shared" si="324"/>
        <v>-47</v>
      </c>
      <c r="AV163" s="44">
        <f t="shared" si="324"/>
        <v>27</v>
      </c>
      <c r="AW163" s="44">
        <f t="shared" si="324"/>
        <v>180</v>
      </c>
      <c r="AX163" s="44">
        <f t="shared" ref="AX163:CC163" si="325">SUM(AX158:AX162)</f>
        <v>83</v>
      </c>
      <c r="AY163" s="449">
        <f t="shared" si="325"/>
        <v>83</v>
      </c>
      <c r="AZ163" s="44">
        <f t="shared" si="325"/>
        <v>279</v>
      </c>
      <c r="BA163" s="44">
        <f t="shared" si="325"/>
        <v>124</v>
      </c>
      <c r="BB163" s="44">
        <f t="shared" si="325"/>
        <v>-82</v>
      </c>
      <c r="BC163" s="44">
        <f t="shared" si="325"/>
        <v>-86</v>
      </c>
      <c r="BD163" s="449">
        <f t="shared" si="325"/>
        <v>-86</v>
      </c>
      <c r="BE163" s="44">
        <f t="shared" si="325"/>
        <v>-76</v>
      </c>
      <c r="BF163" s="44">
        <f t="shared" si="325"/>
        <v>-199</v>
      </c>
      <c r="BG163" s="44">
        <f t="shared" si="325"/>
        <v>-106</v>
      </c>
      <c r="BH163" s="44">
        <f t="shared" si="325"/>
        <v>-135</v>
      </c>
      <c r="BI163" s="449">
        <f t="shared" si="325"/>
        <v>-135</v>
      </c>
      <c r="BJ163" s="44">
        <f t="shared" si="325"/>
        <v>-20</v>
      </c>
      <c r="BK163" s="44">
        <f t="shared" si="325"/>
        <v>56</v>
      </c>
      <c r="BL163" s="44">
        <f t="shared" si="325"/>
        <v>152</v>
      </c>
      <c r="BM163" s="44">
        <f>SUM(BM158:BM162)</f>
        <v>146</v>
      </c>
      <c r="BN163" s="449">
        <f>SUM(BN158:BN162)</f>
        <v>146</v>
      </c>
      <c r="BO163" s="44">
        <f t="shared" si="325"/>
        <v>81</v>
      </c>
      <c r="BP163" s="44">
        <f t="shared" si="325"/>
        <v>156</v>
      </c>
      <c r="BQ163" s="44">
        <f t="shared" si="325"/>
        <v>53</v>
      </c>
      <c r="BR163" s="44">
        <f t="shared" si="325"/>
        <v>154</v>
      </c>
      <c r="BS163" s="449">
        <f t="shared" si="325"/>
        <v>154</v>
      </c>
      <c r="BT163" s="44">
        <f t="shared" si="325"/>
        <v>169</v>
      </c>
      <c r="BU163" s="44">
        <f>SUM(BU158:BU162)</f>
        <v>281</v>
      </c>
      <c r="BV163" s="44">
        <f t="shared" si="325"/>
        <v>302</v>
      </c>
      <c r="BW163" s="44">
        <f t="shared" si="325"/>
        <v>118</v>
      </c>
      <c r="BX163" s="449">
        <f t="shared" si="325"/>
        <v>118</v>
      </c>
      <c r="BY163" s="44">
        <f t="shared" si="325"/>
        <v>119</v>
      </c>
      <c r="BZ163" s="44">
        <f t="shared" si="325"/>
        <v>198</v>
      </c>
      <c r="CA163" s="44">
        <f t="shared" si="325"/>
        <v>259</v>
      </c>
      <c r="CB163" s="44">
        <f>SUM(CB158:CB162)</f>
        <v>297</v>
      </c>
      <c r="CC163" s="449">
        <f t="shared" si="325"/>
        <v>297</v>
      </c>
      <c r="CD163" s="44">
        <f t="shared" ref="CD163:CW163" si="326">SUM(CD158:CD162)</f>
        <v>289</v>
      </c>
      <c r="CE163" s="44">
        <f t="shared" si="326"/>
        <v>270</v>
      </c>
      <c r="CF163" s="44">
        <f t="shared" si="326"/>
        <v>404</v>
      </c>
      <c r="CG163" s="44">
        <f t="shared" si="326"/>
        <v>542</v>
      </c>
      <c r="CH163" s="449">
        <f t="shared" si="326"/>
        <v>542</v>
      </c>
      <c r="CI163" s="44">
        <f t="shared" si="326"/>
        <v>592</v>
      </c>
      <c r="CJ163" s="44">
        <f t="shared" si="326"/>
        <v>760</v>
      </c>
      <c r="CK163" s="44">
        <f t="shared" ca="1" si="326"/>
        <v>668.27475922127405</v>
      </c>
      <c r="CL163" s="44">
        <f t="shared" ca="1" si="326"/>
        <v>582.17537031417623</v>
      </c>
      <c r="CM163" s="449">
        <f t="shared" ca="1" si="326"/>
        <v>582.17537031417623</v>
      </c>
      <c r="CN163" s="44">
        <f t="shared" ca="1" si="326"/>
        <v>575.92140344074551</v>
      </c>
      <c r="CO163" s="44">
        <f t="shared" ca="1" si="326"/>
        <v>526.93079953297502</v>
      </c>
      <c r="CP163" s="44">
        <f t="shared" ca="1" si="326"/>
        <v>492.2235834512885</v>
      </c>
      <c r="CQ163" s="44">
        <f t="shared" ca="1" si="326"/>
        <v>491.26390182351952</v>
      </c>
      <c r="CR163" s="449">
        <f t="shared" ca="1" si="326"/>
        <v>491.26390182351952</v>
      </c>
      <c r="CS163" s="44">
        <f t="shared" ca="1" si="326"/>
        <v>485.07317636899097</v>
      </c>
      <c r="CT163" s="44">
        <f t="shared" ca="1" si="326"/>
        <v>428.09226579214055</v>
      </c>
      <c r="CU163" s="44">
        <f t="shared" ca="1" si="326"/>
        <v>390.29500671511505</v>
      </c>
      <c r="CV163" s="44">
        <f t="shared" ca="1" si="326"/>
        <v>387.61833433025095</v>
      </c>
      <c r="CW163" s="449">
        <f t="shared" ca="1" si="326"/>
        <v>387.61833433025095</v>
      </c>
      <c r="CX163" s="44">
        <f t="shared" ref="CX163:DG163" ca="1" si="327">SUM(CX158:CX162)</f>
        <v>374.76304033858014</v>
      </c>
      <c r="CY163" s="44">
        <f t="shared" ca="1" si="327"/>
        <v>309.78053507780578</v>
      </c>
      <c r="CZ163" s="44">
        <f t="shared" ca="1" si="327"/>
        <v>263.85444870893207</v>
      </c>
      <c r="DA163" s="44">
        <f t="shared" ca="1" si="327"/>
        <v>253.36880486813061</v>
      </c>
      <c r="DB163" s="449">
        <f t="shared" ca="1" si="327"/>
        <v>253.36880486813061</v>
      </c>
      <c r="DC163" s="44">
        <f t="shared" ca="1" si="327"/>
        <v>232.54249354165313</v>
      </c>
      <c r="DD163" s="44">
        <f t="shared" ca="1" si="327"/>
        <v>158.26357048543287</v>
      </c>
      <c r="DE163" s="44">
        <f t="shared" ca="1" si="327"/>
        <v>102.83962156010784</v>
      </c>
      <c r="DF163" s="44">
        <f t="shared" ca="1" si="327"/>
        <v>83.098286320529951</v>
      </c>
      <c r="DG163" s="449">
        <f t="shared" ca="1" si="327"/>
        <v>83.098286320529951</v>
      </c>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c r="HB163"/>
      <c r="HC163"/>
      <c r="HD163"/>
      <c r="HE163"/>
      <c r="HF163"/>
      <c r="HG163"/>
      <c r="HH163"/>
      <c r="HI163"/>
      <c r="HJ163"/>
      <c r="HK163"/>
      <c r="HL163"/>
      <c r="HM163"/>
      <c r="HN163"/>
      <c r="HO163"/>
      <c r="HP163"/>
      <c r="HQ163"/>
      <c r="HR163"/>
    </row>
    <row r="164" spans="1:226" s="19" customFormat="1" x14ac:dyDescent="0.2">
      <c r="A164" s="358"/>
      <c r="B164" s="37"/>
      <c r="C164" s="37"/>
      <c r="D164" s="37"/>
      <c r="E164" s="37"/>
      <c r="F164" s="439"/>
      <c r="G164" s="37"/>
      <c r="H164" s="37"/>
      <c r="I164" s="37"/>
      <c r="J164" s="37"/>
      <c r="K164" s="439"/>
      <c r="L164" s="37"/>
      <c r="M164" s="37"/>
      <c r="N164" s="37"/>
      <c r="O164" s="37"/>
      <c r="P164" s="439"/>
      <c r="Q164" s="37"/>
      <c r="R164" s="37"/>
      <c r="S164" s="37"/>
      <c r="T164" s="37"/>
      <c r="U164" s="439"/>
      <c r="V164" s="37"/>
      <c r="W164" s="37"/>
      <c r="X164" s="37"/>
      <c r="Y164" s="37"/>
      <c r="Z164" s="439"/>
      <c r="AA164" s="37"/>
      <c r="AB164" s="37"/>
      <c r="AC164" s="37"/>
      <c r="AD164" s="37"/>
      <c r="AE164" s="439"/>
      <c r="AF164" s="37"/>
      <c r="AG164" s="37"/>
      <c r="AH164" s="37"/>
      <c r="AI164" s="37"/>
      <c r="AJ164" s="439"/>
      <c r="AK164" s="37"/>
      <c r="AL164" s="37"/>
      <c r="AM164" s="37"/>
      <c r="AN164" s="37"/>
      <c r="AO164" s="439"/>
      <c r="AP164" s="37"/>
      <c r="AQ164" s="37"/>
      <c r="AR164" s="37"/>
      <c r="AS164" s="37"/>
      <c r="AT164" s="439"/>
      <c r="AU164" s="37"/>
      <c r="AV164" s="37"/>
      <c r="AW164" s="37"/>
      <c r="AX164" s="37"/>
      <c r="AY164" s="439"/>
      <c r="AZ164" s="37"/>
      <c r="BA164" s="37"/>
      <c r="BB164" s="37"/>
      <c r="BC164" s="37"/>
      <c r="BD164" s="439"/>
      <c r="BE164" s="37"/>
      <c r="BF164" s="37"/>
      <c r="BG164" s="37"/>
      <c r="BH164" s="37"/>
      <c r="BI164" s="439"/>
      <c r="BJ164" s="37"/>
      <c r="BK164" s="37"/>
      <c r="BL164" s="37"/>
      <c r="BM164" s="37"/>
      <c r="BN164" s="439"/>
      <c r="BO164" s="37"/>
      <c r="BP164" s="37"/>
      <c r="BQ164" s="37"/>
      <c r="BR164" s="37"/>
      <c r="BS164" s="439"/>
      <c r="BT164" s="37"/>
      <c r="BU164" s="37"/>
      <c r="BV164" s="37"/>
      <c r="BW164" s="37"/>
      <c r="BX164" s="439"/>
      <c r="BY164" s="37"/>
      <c r="BZ164" s="37"/>
      <c r="CA164" s="37"/>
      <c r="CB164" s="655"/>
      <c r="CC164" s="439"/>
      <c r="CD164" s="37"/>
      <c r="CE164" s="37"/>
      <c r="CF164" s="37"/>
      <c r="CG164" s="655"/>
      <c r="CH164" s="439"/>
      <c r="CI164" s="37"/>
      <c r="CJ164" s="37"/>
      <c r="CK164" s="37"/>
      <c r="CL164" s="37"/>
      <c r="CM164" s="439"/>
      <c r="CN164" s="37"/>
      <c r="CO164" s="37"/>
      <c r="CP164" s="37"/>
      <c r="CQ164" s="37"/>
      <c r="CR164" s="439"/>
      <c r="CS164" s="37"/>
      <c r="CT164" s="37"/>
      <c r="CU164" s="37"/>
      <c r="CV164" s="37"/>
      <c r="CW164" s="439"/>
      <c r="CX164" s="37"/>
      <c r="CY164" s="37"/>
      <c r="CZ164" s="37"/>
      <c r="DA164" s="37"/>
      <c r="DB164" s="439"/>
      <c r="DC164" s="37"/>
      <c r="DD164" s="37"/>
      <c r="DE164" s="37"/>
      <c r="DF164" s="37"/>
      <c r="DG164" s="439"/>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c r="HB164"/>
      <c r="HC164"/>
      <c r="HD164"/>
      <c r="HE164"/>
      <c r="HF164"/>
      <c r="HG164"/>
      <c r="HH164"/>
      <c r="HI164"/>
      <c r="HJ164"/>
      <c r="HK164"/>
      <c r="HL164"/>
      <c r="HM164"/>
      <c r="HN164"/>
      <c r="HO164"/>
      <c r="HP164"/>
      <c r="HQ164"/>
      <c r="HR164"/>
    </row>
    <row r="165" spans="1:226" s="45" customFormat="1" x14ac:dyDescent="0.2">
      <c r="A165" s="359" t="s">
        <v>186</v>
      </c>
      <c r="B165" s="44">
        <f t="shared" ref="B165:AF165" si="328">B163+B155</f>
        <v>4138</v>
      </c>
      <c r="C165" s="44">
        <f t="shared" si="328"/>
        <v>4198</v>
      </c>
      <c r="D165" s="44">
        <f t="shared" si="328"/>
        <v>4017</v>
      </c>
      <c r="E165" s="44">
        <f t="shared" si="328"/>
        <v>3995</v>
      </c>
      <c r="F165" s="425">
        <f t="shared" si="328"/>
        <v>3995</v>
      </c>
      <c r="G165" s="44">
        <f t="shared" si="328"/>
        <v>3832</v>
      </c>
      <c r="H165" s="44">
        <f t="shared" si="328"/>
        <v>3753</v>
      </c>
      <c r="I165" s="44">
        <f t="shared" si="328"/>
        <v>3707</v>
      </c>
      <c r="J165" s="44">
        <f t="shared" si="328"/>
        <v>3643</v>
      </c>
      <c r="K165" s="425">
        <f t="shared" si="328"/>
        <v>3643</v>
      </c>
      <c r="L165" s="44">
        <f t="shared" si="328"/>
        <v>3474</v>
      </c>
      <c r="M165" s="44">
        <f t="shared" si="328"/>
        <v>3477</v>
      </c>
      <c r="N165" s="44">
        <f t="shared" si="328"/>
        <v>3831</v>
      </c>
      <c r="O165" s="44">
        <f t="shared" si="328"/>
        <v>3652</v>
      </c>
      <c r="P165" s="425">
        <f t="shared" si="328"/>
        <v>3652</v>
      </c>
      <c r="Q165" s="44">
        <f t="shared" si="328"/>
        <v>3558</v>
      </c>
      <c r="R165" s="44">
        <f t="shared" si="328"/>
        <v>3597</v>
      </c>
      <c r="S165" s="44">
        <f t="shared" si="328"/>
        <v>3710</v>
      </c>
      <c r="T165" s="44">
        <f t="shared" si="328"/>
        <v>3834</v>
      </c>
      <c r="U165" s="425">
        <f t="shared" si="328"/>
        <v>3834</v>
      </c>
      <c r="V165" s="44">
        <f t="shared" si="328"/>
        <v>3772</v>
      </c>
      <c r="W165" s="44">
        <f t="shared" si="328"/>
        <v>3710</v>
      </c>
      <c r="X165" s="44">
        <f t="shared" si="328"/>
        <v>3756</v>
      </c>
      <c r="Y165" s="44">
        <f t="shared" si="328"/>
        <v>3617</v>
      </c>
      <c r="Z165" s="425">
        <f t="shared" si="328"/>
        <v>3617</v>
      </c>
      <c r="AA165" s="44">
        <f t="shared" si="328"/>
        <v>3570</v>
      </c>
      <c r="AB165" s="44">
        <f t="shared" si="328"/>
        <v>3567</v>
      </c>
      <c r="AC165" s="44">
        <f t="shared" si="328"/>
        <v>3622</v>
      </c>
      <c r="AD165" s="44">
        <f t="shared" si="328"/>
        <v>3616</v>
      </c>
      <c r="AE165" s="425">
        <f t="shared" si="328"/>
        <v>3616</v>
      </c>
      <c r="AF165" s="44">
        <f t="shared" si="328"/>
        <v>3539</v>
      </c>
      <c r="AG165" s="44">
        <f t="shared" ref="AG165:AW165" si="329">AG163+AG155</f>
        <v>3624</v>
      </c>
      <c r="AH165" s="44">
        <f t="shared" si="329"/>
        <v>3691</v>
      </c>
      <c r="AI165" s="44">
        <f t="shared" si="329"/>
        <v>3581</v>
      </c>
      <c r="AJ165" s="425">
        <f t="shared" si="329"/>
        <v>3581</v>
      </c>
      <c r="AK165" s="44">
        <f t="shared" si="329"/>
        <v>3673</v>
      </c>
      <c r="AL165" s="44">
        <f t="shared" si="329"/>
        <v>4853</v>
      </c>
      <c r="AM165" s="44">
        <f t="shared" si="329"/>
        <v>4750</v>
      </c>
      <c r="AN165" s="44">
        <f t="shared" si="329"/>
        <v>4708</v>
      </c>
      <c r="AO165" s="425">
        <f t="shared" si="329"/>
        <v>4708</v>
      </c>
      <c r="AP165" s="44">
        <f t="shared" si="329"/>
        <v>4587</v>
      </c>
      <c r="AQ165" s="44">
        <f t="shared" si="329"/>
        <v>4398</v>
      </c>
      <c r="AR165" s="44">
        <f t="shared" si="329"/>
        <v>4465</v>
      </c>
      <c r="AS165" s="44">
        <f t="shared" si="329"/>
        <v>4576</v>
      </c>
      <c r="AT165" s="425">
        <f t="shared" si="329"/>
        <v>4576</v>
      </c>
      <c r="AU165" s="44">
        <f t="shared" si="329"/>
        <v>4598</v>
      </c>
      <c r="AV165" s="44">
        <f t="shared" si="329"/>
        <v>4489</v>
      </c>
      <c r="AW165" s="44">
        <f t="shared" si="329"/>
        <v>4743</v>
      </c>
      <c r="AX165" s="44">
        <f t="shared" ref="AX165:CC165" si="330">AX163+AX155</f>
        <v>4555</v>
      </c>
      <c r="AY165" s="425">
        <f t="shared" si="330"/>
        <v>4555</v>
      </c>
      <c r="AZ165" s="44">
        <f t="shared" si="330"/>
        <v>4793</v>
      </c>
      <c r="BA165" s="44">
        <f t="shared" si="330"/>
        <v>4158</v>
      </c>
      <c r="BB165" s="44">
        <f t="shared" si="330"/>
        <v>4051</v>
      </c>
      <c r="BC165" s="44">
        <f t="shared" si="330"/>
        <v>4163</v>
      </c>
      <c r="BD165" s="425">
        <f t="shared" si="330"/>
        <v>4163</v>
      </c>
      <c r="BE165" s="44">
        <f t="shared" si="330"/>
        <v>4077</v>
      </c>
      <c r="BF165" s="44">
        <f t="shared" si="330"/>
        <v>4290</v>
      </c>
      <c r="BG165" s="44">
        <f t="shared" si="330"/>
        <v>4386</v>
      </c>
      <c r="BH165" s="44">
        <f t="shared" si="330"/>
        <v>4355</v>
      </c>
      <c r="BI165" s="425">
        <f t="shared" si="330"/>
        <v>4355</v>
      </c>
      <c r="BJ165" s="44">
        <f t="shared" si="330"/>
        <v>4747</v>
      </c>
      <c r="BK165" s="44">
        <f t="shared" si="330"/>
        <v>4502</v>
      </c>
      <c r="BL165" s="44">
        <f t="shared" si="330"/>
        <v>4523</v>
      </c>
      <c r="BM165" s="44">
        <f>BM163+BM155</f>
        <v>4311</v>
      </c>
      <c r="BN165" s="425">
        <f>BN163+BN155</f>
        <v>4311</v>
      </c>
      <c r="BO165" s="44">
        <f t="shared" si="330"/>
        <v>4301</v>
      </c>
      <c r="BP165" s="44">
        <f t="shared" si="330"/>
        <v>4388</v>
      </c>
      <c r="BQ165" s="44">
        <f t="shared" si="330"/>
        <v>4374</v>
      </c>
      <c r="BR165" s="44">
        <f t="shared" si="330"/>
        <v>4258</v>
      </c>
      <c r="BS165" s="425">
        <f t="shared" si="330"/>
        <v>4258</v>
      </c>
      <c r="BT165" s="44">
        <f t="shared" si="330"/>
        <v>4150</v>
      </c>
      <c r="BU165" s="44">
        <f t="shared" si="330"/>
        <v>4674</v>
      </c>
      <c r="BV165" s="44">
        <f t="shared" si="330"/>
        <v>4228</v>
      </c>
      <c r="BW165" s="44">
        <f t="shared" si="330"/>
        <v>4164</v>
      </c>
      <c r="BX165" s="425">
        <f t="shared" si="330"/>
        <v>4164</v>
      </c>
      <c r="BY165" s="44">
        <f>BY163+BY155</f>
        <v>4095</v>
      </c>
      <c r="BZ165" s="44">
        <f>BZ163+BZ155</f>
        <v>4175</v>
      </c>
      <c r="CA165" s="44">
        <f>CA163+CA155</f>
        <v>4284</v>
      </c>
      <c r="CB165" s="44">
        <f>CB163+CB155</f>
        <v>4518</v>
      </c>
      <c r="CC165" s="425">
        <f t="shared" si="330"/>
        <v>4518</v>
      </c>
      <c r="CD165" s="44">
        <f t="shared" ref="CD165:CW165" ca="1" si="331">CD163+CD155</f>
        <v>4466</v>
      </c>
      <c r="CE165" s="44">
        <f t="shared" ca="1" si="331"/>
        <v>4568</v>
      </c>
      <c r="CF165" s="44">
        <f t="shared" ca="1" si="331"/>
        <v>4629</v>
      </c>
      <c r="CG165" s="44">
        <f t="shared" ca="1" si="331"/>
        <v>4573</v>
      </c>
      <c r="CH165" s="425">
        <f t="shared" ca="1" si="331"/>
        <v>4573</v>
      </c>
      <c r="CI165" s="44">
        <f t="shared" ca="1" si="331"/>
        <v>4600</v>
      </c>
      <c r="CJ165" s="44">
        <f t="shared" si="331"/>
        <v>4758</v>
      </c>
      <c r="CK165" s="44">
        <f t="shared" ca="1" si="331"/>
        <v>4858.7249778818514</v>
      </c>
      <c r="CL165" s="44">
        <f t="shared" ca="1" si="331"/>
        <v>4854.2427213371539</v>
      </c>
      <c r="CM165" s="425">
        <f t="shared" ca="1" si="331"/>
        <v>4854.2427213371539</v>
      </c>
      <c r="CN165" s="44">
        <f t="shared" ca="1" si="331"/>
        <v>4790.0031388939478</v>
      </c>
      <c r="CO165" s="44">
        <f t="shared" ca="1" si="331"/>
        <v>4941.5632840317103</v>
      </c>
      <c r="CP165" s="44">
        <f t="shared" ca="1" si="331"/>
        <v>5049.753574947179</v>
      </c>
      <c r="CQ165" s="44">
        <f t="shared" ca="1" si="331"/>
        <v>4989.687306215782</v>
      </c>
      <c r="CR165" s="425">
        <f t="shared" ca="1" si="331"/>
        <v>4989.687306215782</v>
      </c>
      <c r="CS165" s="44">
        <f t="shared" ca="1" si="331"/>
        <v>4909.3418722071247</v>
      </c>
      <c r="CT165" s="44">
        <f t="shared" ca="1" si="331"/>
        <v>5059.6563164319032</v>
      </c>
      <c r="CU165" s="44">
        <f t="shared" ca="1" si="331"/>
        <v>5169.0358478050612</v>
      </c>
      <c r="CV165" s="44">
        <f t="shared" ca="1" si="331"/>
        <v>5106.9431807278033</v>
      </c>
      <c r="CW165" s="425">
        <f t="shared" ca="1" si="331"/>
        <v>5106.9431807278033</v>
      </c>
      <c r="CX165" s="44">
        <f t="shared" ref="CX165:DG165" ca="1" si="332">CX163+CX155</f>
        <v>5017.8890803040713</v>
      </c>
      <c r="CY165" s="44">
        <f t="shared" ca="1" si="332"/>
        <v>5167.564463666602</v>
      </c>
      <c r="CZ165" s="44">
        <f t="shared" ca="1" si="332"/>
        <v>5278.7147184810547</v>
      </c>
      <c r="DA165" s="44">
        <f t="shared" ca="1" si="332"/>
        <v>5215.0749008968241</v>
      </c>
      <c r="DB165" s="425">
        <f t="shared" ca="1" si="332"/>
        <v>5215.0749008968241</v>
      </c>
      <c r="DC165" s="44">
        <f t="shared" ca="1" si="332"/>
        <v>5117.5980641601054</v>
      </c>
      <c r="DD165" s="44">
        <f t="shared" ca="1" si="332"/>
        <v>5267.1622162629919</v>
      </c>
      <c r="DE165" s="44">
        <f t="shared" ca="1" si="332"/>
        <v>5380.5864976176808</v>
      </c>
      <c r="DF165" s="44">
        <f t="shared" ca="1" si="332"/>
        <v>5315.7967388318484</v>
      </c>
      <c r="DG165" s="425">
        <f t="shared" ca="1" si="332"/>
        <v>5315.7967388318484</v>
      </c>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c r="HB165"/>
      <c r="HC165"/>
      <c r="HD165"/>
      <c r="HE165"/>
      <c r="HF165"/>
      <c r="HG165"/>
      <c r="HH165"/>
      <c r="HI165"/>
      <c r="HJ165"/>
      <c r="HK165"/>
      <c r="HL165"/>
      <c r="HM165"/>
      <c r="HN165"/>
      <c r="HO165"/>
      <c r="HP165"/>
      <c r="HQ165"/>
      <c r="HR165"/>
    </row>
    <row r="166" spans="1:226" s="45" customFormat="1" x14ac:dyDescent="0.2">
      <c r="A166" s="359" t="s">
        <v>98</v>
      </c>
      <c r="B166" s="131" t="str">
        <f t="shared" ref="B166:G166" si="333">+IF(ABS(B165-B142)&lt;0.5,"OK","Nope")</f>
        <v>OK</v>
      </c>
      <c r="C166" s="131" t="str">
        <f t="shared" si="333"/>
        <v>OK</v>
      </c>
      <c r="D166" s="131" t="str">
        <f t="shared" si="333"/>
        <v>OK</v>
      </c>
      <c r="E166" s="131" t="str">
        <f t="shared" si="333"/>
        <v>OK</v>
      </c>
      <c r="F166" s="131" t="str">
        <f t="shared" si="333"/>
        <v>OK</v>
      </c>
      <c r="G166" s="131" t="str">
        <f t="shared" si="333"/>
        <v>OK</v>
      </c>
      <c r="H166" s="131" t="str">
        <f t="shared" ref="H166:AW166" si="334">+IF(ABS(H165-H142)&lt;0.5,"OK","Nope")</f>
        <v>OK</v>
      </c>
      <c r="I166" s="131" t="str">
        <f t="shared" si="334"/>
        <v>OK</v>
      </c>
      <c r="J166" s="131" t="str">
        <f t="shared" si="334"/>
        <v>OK</v>
      </c>
      <c r="K166" s="131" t="str">
        <f t="shared" si="334"/>
        <v>OK</v>
      </c>
      <c r="L166" s="131" t="str">
        <f t="shared" si="334"/>
        <v>OK</v>
      </c>
      <c r="M166" s="131" t="str">
        <f t="shared" si="334"/>
        <v>OK</v>
      </c>
      <c r="N166" s="131" t="str">
        <f t="shared" si="334"/>
        <v>OK</v>
      </c>
      <c r="O166" s="131" t="str">
        <f t="shared" si="334"/>
        <v>OK</v>
      </c>
      <c r="P166" s="131" t="str">
        <f t="shared" si="334"/>
        <v>OK</v>
      </c>
      <c r="Q166" s="131" t="str">
        <f t="shared" si="334"/>
        <v>OK</v>
      </c>
      <c r="R166" s="131" t="str">
        <f t="shared" si="334"/>
        <v>OK</v>
      </c>
      <c r="S166" s="131" t="str">
        <f t="shared" si="334"/>
        <v>OK</v>
      </c>
      <c r="T166" s="131" t="str">
        <f t="shared" si="334"/>
        <v>OK</v>
      </c>
      <c r="U166" s="131" t="str">
        <f t="shared" si="334"/>
        <v>OK</v>
      </c>
      <c r="V166" s="131" t="str">
        <f t="shared" si="334"/>
        <v>OK</v>
      </c>
      <c r="W166" s="131" t="str">
        <f t="shared" si="334"/>
        <v>OK</v>
      </c>
      <c r="X166" s="131" t="str">
        <f t="shared" si="334"/>
        <v>OK</v>
      </c>
      <c r="Y166" s="131" t="str">
        <f t="shared" si="334"/>
        <v>OK</v>
      </c>
      <c r="Z166" s="131" t="str">
        <f t="shared" si="334"/>
        <v>OK</v>
      </c>
      <c r="AA166" s="131" t="str">
        <f t="shared" si="334"/>
        <v>OK</v>
      </c>
      <c r="AB166" s="131" t="str">
        <f t="shared" si="334"/>
        <v>OK</v>
      </c>
      <c r="AC166" s="131" t="str">
        <f t="shared" si="334"/>
        <v>OK</v>
      </c>
      <c r="AD166" s="131" t="str">
        <f t="shared" si="334"/>
        <v>OK</v>
      </c>
      <c r="AE166" s="131" t="str">
        <f t="shared" si="334"/>
        <v>OK</v>
      </c>
      <c r="AF166" s="131" t="str">
        <f t="shared" si="334"/>
        <v>OK</v>
      </c>
      <c r="AG166" s="131" t="str">
        <f t="shared" si="334"/>
        <v>OK</v>
      </c>
      <c r="AH166" s="131" t="str">
        <f t="shared" si="334"/>
        <v>OK</v>
      </c>
      <c r="AI166" s="131" t="str">
        <f t="shared" si="334"/>
        <v>OK</v>
      </c>
      <c r="AJ166" s="131" t="str">
        <f t="shared" si="334"/>
        <v>OK</v>
      </c>
      <c r="AK166" s="131" t="str">
        <f t="shared" si="334"/>
        <v>OK</v>
      </c>
      <c r="AL166" s="131" t="str">
        <f t="shared" si="334"/>
        <v>OK</v>
      </c>
      <c r="AM166" s="131" t="str">
        <f t="shared" si="334"/>
        <v>OK</v>
      </c>
      <c r="AN166" s="131" t="str">
        <f t="shared" si="334"/>
        <v>OK</v>
      </c>
      <c r="AO166" s="131" t="str">
        <f t="shared" si="334"/>
        <v>OK</v>
      </c>
      <c r="AP166" s="131" t="str">
        <f t="shared" si="334"/>
        <v>OK</v>
      </c>
      <c r="AQ166" s="131" t="str">
        <f t="shared" si="334"/>
        <v>OK</v>
      </c>
      <c r="AR166" s="131" t="str">
        <f t="shared" si="334"/>
        <v>OK</v>
      </c>
      <c r="AS166" s="131" t="str">
        <f t="shared" si="334"/>
        <v>OK</v>
      </c>
      <c r="AT166" s="131" t="str">
        <f t="shared" si="334"/>
        <v>OK</v>
      </c>
      <c r="AU166" s="131" t="str">
        <f t="shared" si="334"/>
        <v>OK</v>
      </c>
      <c r="AV166" s="131" t="str">
        <f t="shared" si="334"/>
        <v>OK</v>
      </c>
      <c r="AW166" s="131" t="str">
        <f t="shared" si="334"/>
        <v>OK</v>
      </c>
      <c r="AX166" s="131" t="str">
        <f t="shared" ref="AX166:CC166" si="335">+IF(ABS(AX165-AX142)&lt;0.5,"OK","Nope")</f>
        <v>OK</v>
      </c>
      <c r="AY166" s="131" t="str">
        <f t="shared" si="335"/>
        <v>OK</v>
      </c>
      <c r="AZ166" s="131" t="str">
        <f t="shared" si="335"/>
        <v>OK</v>
      </c>
      <c r="BA166" s="131" t="str">
        <f t="shared" si="335"/>
        <v>OK</v>
      </c>
      <c r="BB166" s="131" t="str">
        <f t="shared" si="335"/>
        <v>OK</v>
      </c>
      <c r="BC166" s="131" t="str">
        <f t="shared" si="335"/>
        <v>OK</v>
      </c>
      <c r="BD166" s="131" t="str">
        <f t="shared" si="335"/>
        <v>OK</v>
      </c>
      <c r="BE166" s="131" t="str">
        <f t="shared" si="335"/>
        <v>OK</v>
      </c>
      <c r="BF166" s="131" t="str">
        <f t="shared" si="335"/>
        <v>OK</v>
      </c>
      <c r="BG166" s="131" t="str">
        <f t="shared" si="335"/>
        <v>OK</v>
      </c>
      <c r="BH166" s="131" t="str">
        <f t="shared" si="335"/>
        <v>OK</v>
      </c>
      <c r="BI166" s="131" t="str">
        <f t="shared" si="335"/>
        <v>OK</v>
      </c>
      <c r="BJ166" s="131" t="str">
        <f t="shared" si="335"/>
        <v>OK</v>
      </c>
      <c r="BK166" s="131" t="str">
        <f t="shared" si="335"/>
        <v>OK</v>
      </c>
      <c r="BL166" s="131" t="str">
        <f t="shared" si="335"/>
        <v>OK</v>
      </c>
      <c r="BM166" s="131" t="str">
        <f>+IF(ABS(BM165-BM142)&lt;0.5,"OK","Nope")</f>
        <v>OK</v>
      </c>
      <c r="BN166" s="131" t="str">
        <f>+IF(ABS(BN165-BN142)&lt;0.5,"OK","Nope")</f>
        <v>OK</v>
      </c>
      <c r="BO166" s="131" t="str">
        <f t="shared" si="335"/>
        <v>OK</v>
      </c>
      <c r="BP166" s="131" t="str">
        <f t="shared" si="335"/>
        <v>OK</v>
      </c>
      <c r="BQ166" s="131" t="str">
        <f t="shared" si="335"/>
        <v>OK</v>
      </c>
      <c r="BR166" s="131" t="str">
        <f t="shared" si="335"/>
        <v>OK</v>
      </c>
      <c r="BS166" s="131" t="str">
        <f t="shared" si="335"/>
        <v>OK</v>
      </c>
      <c r="BT166" s="131" t="str">
        <f t="shared" si="335"/>
        <v>OK</v>
      </c>
      <c r="BU166" s="131" t="str">
        <f t="shared" si="335"/>
        <v>OK</v>
      </c>
      <c r="BV166" s="131" t="str">
        <f t="shared" si="335"/>
        <v>OK</v>
      </c>
      <c r="BW166" s="131" t="str">
        <f t="shared" si="335"/>
        <v>OK</v>
      </c>
      <c r="BX166" s="131" t="str">
        <f t="shared" si="335"/>
        <v>OK</v>
      </c>
      <c r="BY166" s="131" t="str">
        <f t="shared" si="335"/>
        <v>OK</v>
      </c>
      <c r="BZ166" s="131" t="str">
        <f t="shared" si="335"/>
        <v>OK</v>
      </c>
      <c r="CA166" s="131" t="str">
        <f t="shared" si="335"/>
        <v>OK</v>
      </c>
      <c r="CB166" s="131" t="str">
        <f>+IF(ABS(CB165-CB142)&lt;0.5,"OK","Nope")</f>
        <v>OK</v>
      </c>
      <c r="CC166" s="131" t="str">
        <f t="shared" si="335"/>
        <v>OK</v>
      </c>
      <c r="CD166" s="131" t="str">
        <f t="shared" ref="CD166:CW166" ca="1" si="336">+IF(ABS(CD165-CD142)&lt;0.5,"OK","Nope")</f>
        <v>OK</v>
      </c>
      <c r="CE166" s="131" t="str">
        <f t="shared" ca="1" si="336"/>
        <v>OK</v>
      </c>
      <c r="CF166" s="131" t="str">
        <f t="shared" ca="1" si="336"/>
        <v>OK</v>
      </c>
      <c r="CG166" s="131" t="str">
        <f t="shared" ca="1" si="336"/>
        <v>OK</v>
      </c>
      <c r="CH166" s="131" t="str">
        <f t="shared" ca="1" si="336"/>
        <v>OK</v>
      </c>
      <c r="CI166" s="131" t="str">
        <f t="shared" ca="1" si="336"/>
        <v>OK</v>
      </c>
      <c r="CJ166" s="131" t="str">
        <f t="shared" si="336"/>
        <v>OK</v>
      </c>
      <c r="CK166" s="131" t="str">
        <f t="shared" ca="1" si="336"/>
        <v>OK</v>
      </c>
      <c r="CL166" s="131" t="str">
        <f t="shared" ca="1" si="336"/>
        <v>OK</v>
      </c>
      <c r="CM166" s="131" t="str">
        <f t="shared" ca="1" si="336"/>
        <v>OK</v>
      </c>
      <c r="CN166" s="131" t="str">
        <f t="shared" ca="1" si="336"/>
        <v>OK</v>
      </c>
      <c r="CO166" s="131" t="str">
        <f t="shared" ca="1" si="336"/>
        <v>OK</v>
      </c>
      <c r="CP166" s="131" t="str">
        <f t="shared" ca="1" si="336"/>
        <v>OK</v>
      </c>
      <c r="CQ166" s="131" t="str">
        <f t="shared" ca="1" si="336"/>
        <v>OK</v>
      </c>
      <c r="CR166" s="131" t="str">
        <f t="shared" ca="1" si="336"/>
        <v>OK</v>
      </c>
      <c r="CS166" s="131" t="str">
        <f t="shared" ca="1" si="336"/>
        <v>OK</v>
      </c>
      <c r="CT166" s="131" t="str">
        <f t="shared" ca="1" si="336"/>
        <v>OK</v>
      </c>
      <c r="CU166" s="131" t="str">
        <f t="shared" ca="1" si="336"/>
        <v>OK</v>
      </c>
      <c r="CV166" s="131" t="str">
        <f t="shared" ca="1" si="336"/>
        <v>OK</v>
      </c>
      <c r="CW166" s="131" t="str">
        <f t="shared" ca="1" si="336"/>
        <v>OK</v>
      </c>
      <c r="CX166" s="131" t="str">
        <f t="shared" ref="CX166:DG166" ca="1" si="337">+IF(ABS(CX165-CX142)&lt;0.5,"OK","Nope")</f>
        <v>OK</v>
      </c>
      <c r="CY166" s="131" t="str">
        <f t="shared" ca="1" si="337"/>
        <v>OK</v>
      </c>
      <c r="CZ166" s="131" t="str">
        <f t="shared" ca="1" si="337"/>
        <v>OK</v>
      </c>
      <c r="DA166" s="131" t="str">
        <f t="shared" ca="1" si="337"/>
        <v>OK</v>
      </c>
      <c r="DB166" s="131" t="str">
        <f t="shared" ca="1" si="337"/>
        <v>OK</v>
      </c>
      <c r="DC166" s="131" t="str">
        <f t="shared" ca="1" si="337"/>
        <v>OK</v>
      </c>
      <c r="DD166" s="131" t="str">
        <f t="shared" ca="1" si="337"/>
        <v>OK</v>
      </c>
      <c r="DE166" s="131" t="str">
        <f t="shared" ca="1" si="337"/>
        <v>OK</v>
      </c>
      <c r="DF166" s="131" t="str">
        <f t="shared" ca="1" si="337"/>
        <v>OK</v>
      </c>
      <c r="DG166" s="131" t="str">
        <f t="shared" ca="1" si="337"/>
        <v>OK</v>
      </c>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c r="HB166"/>
      <c r="HC166"/>
      <c r="HD166"/>
      <c r="HE166"/>
      <c r="HF166"/>
      <c r="HG166"/>
      <c r="HH166"/>
      <c r="HI166"/>
      <c r="HJ166"/>
      <c r="HK166"/>
      <c r="HL166"/>
      <c r="HM166"/>
      <c r="HN166"/>
      <c r="HO166"/>
      <c r="HP166"/>
      <c r="HQ166"/>
      <c r="HR166"/>
    </row>
    <row r="167" spans="1:226" s="65" customFormat="1" x14ac:dyDescent="0.2">
      <c r="A167" s="534"/>
      <c r="B167" s="353"/>
      <c r="C167" s="353"/>
      <c r="D167" s="353"/>
      <c r="E167" s="64"/>
      <c r="F167" s="353"/>
      <c r="G167" s="353"/>
      <c r="H167" s="353"/>
      <c r="I167" s="353"/>
      <c r="J167" s="64"/>
      <c r="K167" s="353"/>
      <c r="L167" s="353"/>
      <c r="M167" s="353"/>
      <c r="N167" s="353"/>
      <c r="O167" s="64"/>
      <c r="P167" s="353"/>
      <c r="Q167" s="353"/>
      <c r="R167" s="353"/>
      <c r="S167" s="353"/>
      <c r="T167" s="64"/>
      <c r="U167" s="353"/>
      <c r="V167" s="353"/>
      <c r="W167" s="353"/>
      <c r="X167" s="353"/>
      <c r="Y167" s="64"/>
      <c r="Z167" s="353"/>
      <c r="AA167" s="353"/>
      <c r="AB167" s="353"/>
      <c r="AC167" s="353"/>
      <c r="AD167" s="64"/>
      <c r="AE167" s="353"/>
      <c r="AF167" s="353"/>
      <c r="AG167" s="353"/>
      <c r="AH167" s="353"/>
      <c r="AI167" s="64"/>
      <c r="AJ167" s="353"/>
      <c r="AK167" s="353"/>
      <c r="AL167" s="64"/>
      <c r="AM167" s="64"/>
      <c r="AN167" s="64"/>
      <c r="AO167" s="353"/>
      <c r="AP167" s="64"/>
      <c r="AQ167" s="64"/>
      <c r="AR167" s="64"/>
      <c r="AS167" s="64"/>
      <c r="AT167" s="353"/>
      <c r="AU167" s="64"/>
      <c r="AV167" s="64"/>
      <c r="AW167" s="64"/>
      <c r="AX167" s="64"/>
      <c r="AY167" s="64"/>
      <c r="AZ167" s="64"/>
      <c r="BA167" s="64"/>
      <c r="BB167" s="64"/>
      <c r="BC167" s="64"/>
      <c r="BD167" s="64"/>
      <c r="BE167" s="64"/>
      <c r="BF167" s="64"/>
      <c r="BG167" s="64"/>
      <c r="BH167" s="64"/>
      <c r="BI167" s="64"/>
      <c r="BJ167" s="64"/>
      <c r="BK167" s="64"/>
      <c r="BL167" s="64"/>
      <c r="BM167" s="64"/>
      <c r="BN167" s="533"/>
      <c r="BO167" s="64"/>
      <c r="BP167" s="64"/>
      <c r="BQ167" s="64"/>
      <c r="BR167" s="64"/>
      <c r="BS167" s="533"/>
      <c r="BT167" s="64"/>
      <c r="BU167" s="64"/>
      <c r="BV167" s="64"/>
      <c r="BW167" s="64"/>
      <c r="BX167" s="64"/>
      <c r="BY167" s="64"/>
      <c r="BZ167" s="64"/>
      <c r="CA167" s="64"/>
      <c r="CB167" s="64"/>
      <c r="CC167" s="64"/>
      <c r="CD167" s="64"/>
      <c r="CE167" s="64"/>
      <c r="CF167" s="64"/>
      <c r="CG167" s="64"/>
      <c r="CH167" s="64"/>
      <c r="CI167" s="64"/>
      <c r="CJ167" s="64"/>
      <c r="CK167" s="64"/>
      <c r="CL167" s="64"/>
      <c r="CM167" s="64"/>
      <c r="CN167" s="64"/>
      <c r="CO167" s="64"/>
      <c r="CP167" s="64"/>
      <c r="CQ167" s="64"/>
      <c r="CR167" s="64"/>
      <c r="CS167" s="64"/>
      <c r="CT167" s="64"/>
      <c r="CU167" s="64"/>
      <c r="CV167" s="64"/>
      <c r="CW167" s="64"/>
      <c r="CX167" s="64"/>
      <c r="CY167" s="64"/>
      <c r="CZ167" s="64"/>
      <c r="DA167" s="64"/>
      <c r="DB167" s="64"/>
      <c r="DC167" s="64"/>
      <c r="DD167" s="64"/>
      <c r="DE167" s="64"/>
      <c r="DF167" s="64"/>
      <c r="DG167" s="64"/>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c r="HB167"/>
      <c r="HC167"/>
      <c r="HD167"/>
      <c r="HE167"/>
      <c r="HF167"/>
      <c r="HG167"/>
      <c r="HH167"/>
      <c r="HI167"/>
      <c r="HJ167"/>
      <c r="HK167"/>
      <c r="HL167"/>
      <c r="HM167"/>
      <c r="HN167"/>
      <c r="HO167"/>
      <c r="HP167"/>
      <c r="HQ167"/>
      <c r="HR167"/>
    </row>
    <row r="168" spans="1:226" s="19" customFormat="1" x14ac:dyDescent="0.2">
      <c r="A168" s="479" t="s">
        <v>68</v>
      </c>
      <c r="B168" s="385">
        <v>36799</v>
      </c>
      <c r="C168" s="385">
        <v>36891</v>
      </c>
      <c r="D168" s="385">
        <v>36981</v>
      </c>
      <c r="E168" s="385">
        <v>37072</v>
      </c>
      <c r="F168" s="459">
        <v>2001</v>
      </c>
      <c r="G168" s="385">
        <v>37164</v>
      </c>
      <c r="H168" s="385">
        <v>37256</v>
      </c>
      <c r="I168" s="385">
        <v>37346</v>
      </c>
      <c r="J168" s="385">
        <v>37437</v>
      </c>
      <c r="K168" s="459">
        <v>2002</v>
      </c>
      <c r="L168" s="385">
        <v>37529</v>
      </c>
      <c r="M168" s="385">
        <v>37621</v>
      </c>
      <c r="N168" s="385">
        <v>37711</v>
      </c>
      <c r="O168" s="385">
        <v>37802</v>
      </c>
      <c r="P168" s="459">
        <v>2003</v>
      </c>
      <c r="Q168" s="385">
        <v>37894</v>
      </c>
      <c r="R168" s="385">
        <v>37986</v>
      </c>
      <c r="S168" s="385">
        <v>38077</v>
      </c>
      <c r="T168" s="385">
        <v>38168</v>
      </c>
      <c r="U168" s="459">
        <v>2004</v>
      </c>
      <c r="V168" s="385" t="s">
        <v>1</v>
      </c>
      <c r="W168" s="385" t="s">
        <v>2</v>
      </c>
      <c r="X168" s="385" t="s">
        <v>3</v>
      </c>
      <c r="Y168" s="385" t="s">
        <v>4</v>
      </c>
      <c r="Z168" s="459" t="s">
        <v>5</v>
      </c>
      <c r="AA168" s="385" t="s">
        <v>6</v>
      </c>
      <c r="AB168" s="385" t="s">
        <v>7</v>
      </c>
      <c r="AC168" s="385" t="s">
        <v>8</v>
      </c>
      <c r="AD168" s="385" t="s">
        <v>9</v>
      </c>
      <c r="AE168" s="459">
        <v>2006</v>
      </c>
      <c r="AF168" s="385" t="s">
        <v>10</v>
      </c>
      <c r="AG168" s="385" t="s">
        <v>11</v>
      </c>
      <c r="AH168" s="385" t="s">
        <v>12</v>
      </c>
      <c r="AI168" s="385" t="s">
        <v>13</v>
      </c>
      <c r="AJ168" s="459">
        <v>2007</v>
      </c>
      <c r="AK168" s="385" t="str">
        <f t="shared" ref="AK168:BD168" si="338">AK5</f>
        <v>Sep-07</v>
      </c>
      <c r="AL168" s="385" t="str">
        <f t="shared" si="338"/>
        <v>Dec-07</v>
      </c>
      <c r="AM168" s="385" t="str">
        <f t="shared" si="338"/>
        <v>Mar-08</v>
      </c>
      <c r="AN168" s="385" t="str">
        <f t="shared" si="338"/>
        <v>Jun-08</v>
      </c>
      <c r="AO168" s="459">
        <f t="shared" si="338"/>
        <v>2008</v>
      </c>
      <c r="AP168" s="385" t="str">
        <f t="shared" si="338"/>
        <v>Sep-08</v>
      </c>
      <c r="AQ168" s="385" t="str">
        <f t="shared" si="338"/>
        <v>Dec-08</v>
      </c>
      <c r="AR168" s="385" t="str">
        <f t="shared" si="338"/>
        <v>Mar-09</v>
      </c>
      <c r="AS168" s="385" t="str">
        <f t="shared" si="338"/>
        <v>Jun-09</v>
      </c>
      <c r="AT168" s="459">
        <f t="shared" si="338"/>
        <v>2009</v>
      </c>
      <c r="AU168" s="385" t="str">
        <f t="shared" si="338"/>
        <v>Sep-09</v>
      </c>
      <c r="AV168" s="385" t="str">
        <f t="shared" si="338"/>
        <v>Dec-09</v>
      </c>
      <c r="AW168" s="385" t="str">
        <f t="shared" si="338"/>
        <v>Mar-10</v>
      </c>
      <c r="AX168" s="385" t="str">
        <f t="shared" si="338"/>
        <v>Jun-10</v>
      </c>
      <c r="AY168" s="459">
        <f t="shared" si="338"/>
        <v>2010</v>
      </c>
      <c r="AZ168" s="385" t="str">
        <f t="shared" si="338"/>
        <v>Sep-10</v>
      </c>
      <c r="BA168" s="385" t="str">
        <f t="shared" si="338"/>
        <v>Dec-10</v>
      </c>
      <c r="BB168" s="385">
        <f t="shared" si="338"/>
        <v>40613</v>
      </c>
      <c r="BC168" s="385" t="str">
        <f t="shared" si="338"/>
        <v>Jun-11</v>
      </c>
      <c r="BD168" s="459">
        <f t="shared" si="338"/>
        <v>2011</v>
      </c>
      <c r="BE168" s="385" t="str">
        <f t="shared" ref="BE168:CV168" si="339">BE5</f>
        <v>Sep-11</v>
      </c>
      <c r="BF168" s="385" t="str">
        <f t="shared" si="339"/>
        <v>Dec-11</v>
      </c>
      <c r="BG168" s="385" t="str">
        <f t="shared" si="339"/>
        <v>Mar-12</v>
      </c>
      <c r="BH168" s="385" t="str">
        <f t="shared" si="339"/>
        <v>Jun-12</v>
      </c>
      <c r="BI168" s="459">
        <f t="shared" si="339"/>
        <v>2012</v>
      </c>
      <c r="BJ168" s="385" t="str">
        <f t="shared" si="339"/>
        <v>Sep-12</v>
      </c>
      <c r="BK168" s="385" t="str">
        <f t="shared" si="339"/>
        <v>Dec-12</v>
      </c>
      <c r="BL168" s="385" t="str">
        <f t="shared" si="339"/>
        <v>Mar-13</v>
      </c>
      <c r="BM168" s="385" t="str">
        <f t="shared" si="339"/>
        <v>Jun-13</v>
      </c>
      <c r="BN168" s="459">
        <f t="shared" si="339"/>
        <v>2013</v>
      </c>
      <c r="BO168" s="385" t="str">
        <f t="shared" si="339"/>
        <v>Sep-13</v>
      </c>
      <c r="BP168" s="385" t="str">
        <f t="shared" si="339"/>
        <v>Dec-13</v>
      </c>
      <c r="BQ168" s="385" t="str">
        <f t="shared" si="339"/>
        <v>Mar-14</v>
      </c>
      <c r="BR168" s="385" t="str">
        <f t="shared" si="339"/>
        <v>Jun-14</v>
      </c>
      <c r="BS168" s="459">
        <f t="shared" si="339"/>
        <v>2014</v>
      </c>
      <c r="BT168" s="385" t="str">
        <f t="shared" si="339"/>
        <v>Sep-14</v>
      </c>
      <c r="BU168" s="385" t="str">
        <f t="shared" si="339"/>
        <v>Dec-14</v>
      </c>
      <c r="BV168" s="385" t="str">
        <f t="shared" si="339"/>
        <v>Mar-15</v>
      </c>
      <c r="BW168" s="385" t="str">
        <f t="shared" si="339"/>
        <v>Jun-15</v>
      </c>
      <c r="BX168" s="459">
        <f t="shared" si="339"/>
        <v>2015</v>
      </c>
      <c r="BY168" s="385" t="str">
        <f t="shared" si="339"/>
        <v>Sep-15</v>
      </c>
      <c r="BZ168" s="385" t="str">
        <f t="shared" si="339"/>
        <v>Dec-15</v>
      </c>
      <c r="CA168" s="385" t="str">
        <f t="shared" si="339"/>
        <v>Mar-16</v>
      </c>
      <c r="CB168" s="385" t="str">
        <f t="shared" si="339"/>
        <v>Jun-16</v>
      </c>
      <c r="CC168" s="459">
        <f t="shared" si="339"/>
        <v>2016</v>
      </c>
      <c r="CD168" s="385" t="str">
        <f t="shared" si="339"/>
        <v>Sep-16</v>
      </c>
      <c r="CE168" s="385" t="str">
        <f t="shared" si="339"/>
        <v>Dec-16</v>
      </c>
      <c r="CF168" s="385" t="str">
        <f t="shared" si="339"/>
        <v>Mar-17</v>
      </c>
      <c r="CG168" s="385" t="str">
        <f t="shared" si="339"/>
        <v>Jun-17</v>
      </c>
      <c r="CH168" s="459">
        <f t="shared" si="339"/>
        <v>2017</v>
      </c>
      <c r="CI168" s="385" t="str">
        <f t="shared" si="339"/>
        <v>Sep-17</v>
      </c>
      <c r="CJ168" s="385" t="str">
        <f t="shared" si="339"/>
        <v>Dec-17</v>
      </c>
      <c r="CK168" s="385" t="str">
        <f t="shared" si="339"/>
        <v>Mar-18e</v>
      </c>
      <c r="CL168" s="385" t="str">
        <f t="shared" si="339"/>
        <v>Jun-18e</v>
      </c>
      <c r="CM168" s="459" t="str">
        <f t="shared" si="339"/>
        <v>2018e</v>
      </c>
      <c r="CN168" s="385" t="str">
        <f t="shared" si="339"/>
        <v>Sep-18e</v>
      </c>
      <c r="CO168" s="385" t="str">
        <f t="shared" si="339"/>
        <v>Dec-18e</v>
      </c>
      <c r="CP168" s="385" t="str">
        <f t="shared" si="339"/>
        <v>Mar-19e</v>
      </c>
      <c r="CQ168" s="385" t="str">
        <f t="shared" si="339"/>
        <v>Jun-19e</v>
      </c>
      <c r="CR168" s="459" t="str">
        <f t="shared" si="339"/>
        <v>2019e</v>
      </c>
      <c r="CS168" s="385" t="str">
        <f t="shared" si="339"/>
        <v>Sep-19e</v>
      </c>
      <c r="CT168" s="385" t="str">
        <f t="shared" si="339"/>
        <v>Dec-19e</v>
      </c>
      <c r="CU168" s="385" t="str">
        <f t="shared" si="339"/>
        <v>Mar-20e</v>
      </c>
      <c r="CV168" s="385" t="str">
        <f t="shared" si="339"/>
        <v>Jun-20e</v>
      </c>
      <c r="CW168" s="459" t="str">
        <f t="shared" ref="CW168:DG168" si="340">CW5</f>
        <v>2020e</v>
      </c>
      <c r="CX168" s="385" t="str">
        <f t="shared" si="340"/>
        <v>Sep-20e</v>
      </c>
      <c r="CY168" s="385" t="str">
        <f t="shared" si="340"/>
        <v>Dec-20e</v>
      </c>
      <c r="CZ168" s="385" t="str">
        <f t="shared" si="340"/>
        <v>Mar-21e</v>
      </c>
      <c r="DA168" s="385" t="str">
        <f t="shared" si="340"/>
        <v>Jun-21e</v>
      </c>
      <c r="DB168" s="459" t="str">
        <f t="shared" si="340"/>
        <v>2021e</v>
      </c>
      <c r="DC168" s="385" t="str">
        <f t="shared" si="340"/>
        <v>Sep-21e</v>
      </c>
      <c r="DD168" s="385" t="str">
        <f t="shared" si="340"/>
        <v>Dec-21e</v>
      </c>
      <c r="DE168" s="385" t="str">
        <f t="shared" si="340"/>
        <v>Mar-22e</v>
      </c>
      <c r="DF168" s="385" t="str">
        <f t="shared" si="340"/>
        <v>Jun-22e</v>
      </c>
      <c r="DG168" s="459" t="str">
        <f t="shared" si="340"/>
        <v>2022e</v>
      </c>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c r="HB168"/>
      <c r="HC168"/>
      <c r="HD168"/>
      <c r="HE168"/>
      <c r="HF168"/>
      <c r="HG168"/>
      <c r="HH168"/>
      <c r="HI168"/>
      <c r="HJ168"/>
      <c r="HK168"/>
      <c r="HL168"/>
      <c r="HM168"/>
      <c r="HN168"/>
      <c r="HO168"/>
      <c r="HP168"/>
      <c r="HQ168"/>
      <c r="HR168"/>
    </row>
    <row r="169" spans="1:226" s="45" customFormat="1" x14ac:dyDescent="0.2">
      <c r="A169" s="351"/>
      <c r="B169" s="94"/>
      <c r="C169" s="94"/>
      <c r="D169" s="94"/>
      <c r="E169" s="94"/>
      <c r="F169" s="478"/>
      <c r="G169" s="94"/>
      <c r="H169" s="94"/>
      <c r="I169" s="94"/>
      <c r="J169" s="94"/>
      <c r="K169" s="478"/>
      <c r="L169" s="94"/>
      <c r="M169" s="94"/>
      <c r="N169" s="94"/>
      <c r="O169" s="94"/>
      <c r="P169" s="478"/>
      <c r="Q169" s="94"/>
      <c r="R169" s="94"/>
      <c r="S169" s="94"/>
      <c r="T169" s="94"/>
      <c r="U169" s="478"/>
      <c r="V169" s="94"/>
      <c r="W169" s="94"/>
      <c r="X169" s="94"/>
      <c r="Y169" s="94"/>
      <c r="Z169" s="478"/>
      <c r="AA169" s="94"/>
      <c r="AB169" s="94"/>
      <c r="AC169" s="94"/>
      <c r="AD169" s="94"/>
      <c r="AE169" s="478"/>
      <c r="AF169" s="94"/>
      <c r="AG169" s="94"/>
      <c r="AH169" s="94"/>
      <c r="AI169" s="94"/>
      <c r="AJ169" s="478"/>
      <c r="AK169" s="95"/>
      <c r="AL169" s="94"/>
      <c r="AM169" s="94"/>
      <c r="AN169" s="94"/>
      <c r="AO169" s="478"/>
      <c r="AP169" s="95"/>
      <c r="AQ169" s="94"/>
      <c r="AR169" s="94"/>
      <c r="AS169" s="94"/>
      <c r="AT169" s="478"/>
      <c r="AU169" s="95"/>
      <c r="AV169" s="94"/>
      <c r="AW169" s="33"/>
      <c r="AX169" s="33"/>
      <c r="AY169" s="469"/>
      <c r="AZ169" s="30"/>
      <c r="BA169" s="33"/>
      <c r="BB169" s="33"/>
      <c r="BC169" s="33"/>
      <c r="BD169" s="469"/>
      <c r="BE169" s="30"/>
      <c r="BF169" s="33"/>
      <c r="BG169" s="33"/>
      <c r="BH169" s="33"/>
      <c r="BI169" s="469"/>
      <c r="BJ169" s="30"/>
      <c r="BK169" s="33"/>
      <c r="BL169" s="33"/>
      <c r="BM169" s="33"/>
      <c r="BN169" s="469"/>
      <c r="BO169" s="30"/>
      <c r="BP169" s="33"/>
      <c r="BQ169" s="33"/>
      <c r="BR169" s="33"/>
      <c r="BS169" s="469"/>
      <c r="BT169" s="30"/>
      <c r="BU169" s="33"/>
      <c r="BV169" s="33"/>
      <c r="BW169" s="33"/>
      <c r="BX169" s="469"/>
      <c r="BY169" s="30"/>
      <c r="BZ169" s="33"/>
      <c r="CA169" s="33"/>
      <c r="CB169" s="33"/>
      <c r="CC169" s="469"/>
      <c r="CD169" s="30"/>
      <c r="CE169" s="33"/>
      <c r="CF169" s="33"/>
      <c r="CG169" s="33"/>
      <c r="CH169" s="469"/>
      <c r="CI169" s="30"/>
      <c r="CJ169" s="33"/>
      <c r="CK169" s="33"/>
      <c r="CL169" s="33"/>
      <c r="CM169" s="469"/>
      <c r="CN169" s="30"/>
      <c r="CO169" s="33"/>
      <c r="CP169" s="33"/>
      <c r="CQ169" s="33"/>
      <c r="CR169" s="469"/>
      <c r="CS169" s="30"/>
      <c r="CT169" s="33"/>
      <c r="CU169" s="33"/>
      <c r="CV169" s="33"/>
      <c r="CW169" s="469"/>
      <c r="CX169" s="30"/>
      <c r="CY169" s="33"/>
      <c r="CZ169" s="33"/>
      <c r="DA169" s="33"/>
      <c r="DB169" s="469"/>
      <c r="DC169" s="30"/>
      <c r="DD169" s="33"/>
      <c r="DE169" s="33"/>
      <c r="DF169" s="33"/>
      <c r="DG169" s="4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c r="HB169"/>
      <c r="HC169"/>
      <c r="HD169"/>
      <c r="HE169"/>
      <c r="HF169"/>
      <c r="HG169"/>
      <c r="HH169"/>
      <c r="HI169"/>
      <c r="HJ169"/>
      <c r="HK169"/>
      <c r="HL169"/>
      <c r="HM169"/>
      <c r="HN169"/>
      <c r="HO169"/>
      <c r="HP169"/>
      <c r="HQ169"/>
      <c r="HR169"/>
    </row>
    <row r="170" spans="1:226" s="45" customFormat="1" x14ac:dyDescent="0.2">
      <c r="A170" s="361" t="s">
        <v>34</v>
      </c>
      <c r="B170" s="37"/>
      <c r="C170" s="37"/>
      <c r="D170" s="37"/>
      <c r="E170" s="37"/>
      <c r="F170" s="439"/>
      <c r="G170" s="37">
        <f>G79</f>
        <v>111</v>
      </c>
      <c r="H170" s="37">
        <f t="shared" ref="H170:AV170" si="341">H79</f>
        <v>42</v>
      </c>
      <c r="I170" s="37">
        <f t="shared" si="341"/>
        <v>50</v>
      </c>
      <c r="J170" s="37">
        <f t="shared" si="341"/>
        <v>154</v>
      </c>
      <c r="K170" s="439">
        <f t="shared" si="341"/>
        <v>357</v>
      </c>
      <c r="L170" s="37">
        <f t="shared" si="341"/>
        <v>158</v>
      </c>
      <c r="M170" s="37">
        <f t="shared" si="341"/>
        <v>87</v>
      </c>
      <c r="N170" s="37">
        <f t="shared" si="341"/>
        <v>112</v>
      </c>
      <c r="O170" s="37">
        <f t="shared" si="341"/>
        <v>157</v>
      </c>
      <c r="P170" s="439">
        <f t="shared" si="341"/>
        <v>514</v>
      </c>
      <c r="Q170" s="37">
        <f t="shared" si="341"/>
        <v>115</v>
      </c>
      <c r="R170" s="37">
        <f t="shared" si="341"/>
        <v>101</v>
      </c>
      <c r="S170" s="37">
        <f t="shared" si="341"/>
        <v>115</v>
      </c>
      <c r="T170" s="37">
        <f t="shared" si="341"/>
        <v>159</v>
      </c>
      <c r="U170" s="439">
        <f t="shared" si="341"/>
        <v>490</v>
      </c>
      <c r="V170" s="37">
        <f t="shared" si="341"/>
        <v>109</v>
      </c>
      <c r="W170" s="37">
        <f t="shared" si="341"/>
        <v>136</v>
      </c>
      <c r="X170" s="37">
        <f t="shared" si="341"/>
        <v>116</v>
      </c>
      <c r="Y170" s="37">
        <f t="shared" si="341"/>
        <v>156</v>
      </c>
      <c r="Z170" s="439">
        <f t="shared" si="341"/>
        <v>517</v>
      </c>
      <c r="AA170" s="37">
        <f t="shared" si="341"/>
        <v>108</v>
      </c>
      <c r="AB170" s="37">
        <f t="shared" si="341"/>
        <v>83</v>
      </c>
      <c r="AC170" s="37">
        <f t="shared" si="341"/>
        <v>110</v>
      </c>
      <c r="AD170" s="37">
        <f t="shared" si="341"/>
        <v>142</v>
      </c>
      <c r="AE170" s="439">
        <f t="shared" si="341"/>
        <v>443</v>
      </c>
      <c r="AF170" s="37">
        <f t="shared" si="341"/>
        <v>112</v>
      </c>
      <c r="AG170" s="37">
        <f t="shared" si="341"/>
        <v>91</v>
      </c>
      <c r="AH170" s="37">
        <f t="shared" si="341"/>
        <v>129</v>
      </c>
      <c r="AI170" s="37">
        <f t="shared" si="341"/>
        <v>164</v>
      </c>
      <c r="AJ170" s="439">
        <f t="shared" si="341"/>
        <v>496</v>
      </c>
      <c r="AK170" s="37">
        <f t="shared" si="341"/>
        <v>111</v>
      </c>
      <c r="AL170" s="37">
        <f t="shared" si="341"/>
        <v>92</v>
      </c>
      <c r="AM170" s="37">
        <f t="shared" si="341"/>
        <v>100</v>
      </c>
      <c r="AN170" s="37">
        <f t="shared" si="341"/>
        <v>158</v>
      </c>
      <c r="AO170" s="439">
        <f t="shared" si="341"/>
        <v>461</v>
      </c>
      <c r="AP170" s="37">
        <f t="shared" si="341"/>
        <v>128</v>
      </c>
      <c r="AQ170" s="37">
        <f t="shared" si="341"/>
        <v>86</v>
      </c>
      <c r="AR170" s="37">
        <f t="shared" si="341"/>
        <v>153</v>
      </c>
      <c r="AS170" s="37">
        <f t="shared" si="341"/>
        <v>170</v>
      </c>
      <c r="AT170" s="439">
        <f t="shared" si="341"/>
        <v>537</v>
      </c>
      <c r="AU170" s="37">
        <f>AU79</f>
        <v>140</v>
      </c>
      <c r="AV170" s="37">
        <f t="shared" si="341"/>
        <v>93</v>
      </c>
      <c r="AW170" s="37">
        <f t="shared" ref="AW170:CA170" si="342">AW79</f>
        <v>143</v>
      </c>
      <c r="AX170" s="37">
        <f t="shared" si="342"/>
        <v>150</v>
      </c>
      <c r="AY170" s="439">
        <f t="shared" si="342"/>
        <v>526</v>
      </c>
      <c r="AZ170" s="37">
        <f t="shared" si="342"/>
        <v>140</v>
      </c>
      <c r="BA170" s="37">
        <f>BA86</f>
        <v>94.024000000000001</v>
      </c>
      <c r="BB170" s="37">
        <f t="shared" si="342"/>
        <v>141</v>
      </c>
      <c r="BC170" s="37">
        <f t="shared" si="342"/>
        <v>169</v>
      </c>
      <c r="BD170" s="439">
        <f>SUM(AZ170:BC170)</f>
        <v>544.024</v>
      </c>
      <c r="BE170" s="37">
        <f t="shared" si="342"/>
        <v>130</v>
      </c>
      <c r="BF170" s="37">
        <f t="shared" si="342"/>
        <v>105</v>
      </c>
      <c r="BG170" s="37">
        <f t="shared" si="342"/>
        <v>134</v>
      </c>
      <c r="BH170" s="37">
        <f t="shared" si="342"/>
        <v>174</v>
      </c>
      <c r="BI170" s="439">
        <f t="shared" si="342"/>
        <v>543</v>
      </c>
      <c r="BJ170" s="37">
        <f t="shared" si="342"/>
        <v>133</v>
      </c>
      <c r="BK170" s="37">
        <f t="shared" si="342"/>
        <v>123</v>
      </c>
      <c r="BL170" s="37">
        <f t="shared" si="342"/>
        <v>134</v>
      </c>
      <c r="BM170" s="37">
        <f t="shared" si="342"/>
        <v>184</v>
      </c>
      <c r="BN170" s="439">
        <f t="shared" ref="BN170:BV170" si="343">BN79</f>
        <v>574</v>
      </c>
      <c r="BO170" s="37">
        <f t="shared" si="343"/>
        <v>139</v>
      </c>
      <c r="BP170" s="37">
        <f t="shared" si="343"/>
        <v>118.4</v>
      </c>
      <c r="BQ170" s="37">
        <f t="shared" si="343"/>
        <v>150.6</v>
      </c>
      <c r="BR170" s="37">
        <f t="shared" si="343"/>
        <v>170.8</v>
      </c>
      <c r="BS170" s="439">
        <f t="shared" si="343"/>
        <v>578.79999999999995</v>
      </c>
      <c r="BT170" s="37">
        <f t="shared" si="343"/>
        <v>144.9</v>
      </c>
      <c r="BU170" s="37">
        <f t="shared" si="343"/>
        <v>128.19999999999999</v>
      </c>
      <c r="BV170" s="37">
        <f t="shared" si="343"/>
        <v>144.19999999999999</v>
      </c>
      <c r="BW170" s="37">
        <f>BW79</f>
        <v>189</v>
      </c>
      <c r="BX170" s="439">
        <f>BX79</f>
        <v>606.29999999999995</v>
      </c>
      <c r="BY170" s="37">
        <f t="shared" si="342"/>
        <v>173</v>
      </c>
      <c r="BZ170" s="37">
        <f t="shared" si="342"/>
        <v>150.6</v>
      </c>
      <c r="CA170" s="37">
        <f t="shared" si="342"/>
        <v>159</v>
      </c>
      <c r="CB170" s="37">
        <f>CB79</f>
        <v>165</v>
      </c>
      <c r="CC170" s="439">
        <f t="shared" ref="CC170:CW170" si="344">CC79</f>
        <v>647.6</v>
      </c>
      <c r="CD170" s="37">
        <f t="shared" si="344"/>
        <v>179.39999999999998</v>
      </c>
      <c r="CE170" s="37">
        <f t="shared" si="344"/>
        <v>149.5</v>
      </c>
      <c r="CF170" s="37">
        <f t="shared" si="344"/>
        <v>172.5</v>
      </c>
      <c r="CG170" s="37">
        <f t="shared" si="344"/>
        <v>202.39999999999998</v>
      </c>
      <c r="CH170" s="439">
        <f t="shared" si="344"/>
        <v>703.8</v>
      </c>
      <c r="CI170" s="37">
        <f t="shared" si="344"/>
        <v>192</v>
      </c>
      <c r="CJ170" s="37">
        <f t="shared" si="344"/>
        <v>233</v>
      </c>
      <c r="CK170" s="37">
        <f t="shared" ca="1" si="344"/>
        <v>168.17067585637449</v>
      </c>
      <c r="CL170" s="37">
        <f t="shared" ca="1" si="344"/>
        <v>207.85788629290218</v>
      </c>
      <c r="CM170" s="439">
        <f t="shared" ca="1" si="344"/>
        <v>801.02856214927681</v>
      </c>
      <c r="CN170" s="37">
        <f t="shared" ca="1" si="344"/>
        <v>215.18925082656898</v>
      </c>
      <c r="CO170" s="37">
        <f t="shared" ca="1" si="344"/>
        <v>174.40671535472993</v>
      </c>
      <c r="CP170" s="37">
        <f t="shared" ca="1" si="344"/>
        <v>190.70625728237673</v>
      </c>
      <c r="CQ170" s="37">
        <f t="shared" ca="1" si="344"/>
        <v>226.5335496903954</v>
      </c>
      <c r="CR170" s="439">
        <f t="shared" ca="1" si="344"/>
        <v>806.83577315407092</v>
      </c>
      <c r="CS170" s="37">
        <f t="shared" ca="1" si="344"/>
        <v>228.44942256658908</v>
      </c>
      <c r="CT170" s="37">
        <f t="shared" ca="1" si="344"/>
        <v>179.84901314479629</v>
      </c>
      <c r="CU170" s="37">
        <f t="shared" ca="1" si="344"/>
        <v>201.2909347376621</v>
      </c>
      <c r="CV170" s="37">
        <f t="shared" ca="1" si="344"/>
        <v>238.73999827518935</v>
      </c>
      <c r="CW170" s="439">
        <f t="shared" ca="1" si="344"/>
        <v>848.32936872423693</v>
      </c>
      <c r="CX170" s="37">
        <f t="shared" ref="CX170:DG170" ca="1" si="345">CX79</f>
        <v>235.87578023488521</v>
      </c>
      <c r="CY170" s="37">
        <f t="shared" ca="1" si="345"/>
        <v>186.20076870144493</v>
      </c>
      <c r="CZ170" s="37">
        <f t="shared" ca="1" si="345"/>
        <v>207.7849923224021</v>
      </c>
      <c r="DA170" s="37">
        <f t="shared" ca="1" si="345"/>
        <v>245.83073469775536</v>
      </c>
      <c r="DB170" s="439">
        <f t="shared" ca="1" si="345"/>
        <v>875.69227595648749</v>
      </c>
      <c r="DC170" s="37">
        <f t="shared" ca="1" si="345"/>
        <v>243.00076435554433</v>
      </c>
      <c r="DD170" s="37">
        <f t="shared" ca="1" si="345"/>
        <v>192.29230327785018</v>
      </c>
      <c r="DE170" s="37">
        <f t="shared" ca="1" si="345"/>
        <v>213.97488182709878</v>
      </c>
      <c r="DF170" s="37">
        <f t="shared" ca="1" si="345"/>
        <v>252.57064004165611</v>
      </c>
      <c r="DG170" s="439">
        <f t="shared" ca="1" si="345"/>
        <v>901.83858950214938</v>
      </c>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c r="HB170"/>
      <c r="HC170"/>
      <c r="HD170"/>
      <c r="HE170"/>
      <c r="HF170"/>
      <c r="HG170"/>
      <c r="HH170"/>
      <c r="HI170"/>
      <c r="HJ170"/>
      <c r="HK170"/>
      <c r="HL170"/>
      <c r="HM170"/>
      <c r="HN170"/>
      <c r="HO170"/>
      <c r="HP170"/>
      <c r="HQ170"/>
      <c r="HR170"/>
    </row>
    <row r="171" spans="1:226" s="45" customFormat="1" x14ac:dyDescent="0.2">
      <c r="A171" s="360" t="s">
        <v>187</v>
      </c>
      <c r="B171" s="63"/>
      <c r="C171" s="63"/>
      <c r="D171" s="63"/>
      <c r="E171" s="63"/>
      <c r="F171" s="439"/>
      <c r="G171" s="63"/>
      <c r="H171" s="63"/>
      <c r="I171" s="63"/>
      <c r="J171" s="63"/>
      <c r="K171" s="439"/>
      <c r="L171" s="63"/>
      <c r="M171" s="63"/>
      <c r="N171" s="63"/>
      <c r="O171" s="63"/>
      <c r="P171" s="439"/>
      <c r="Q171" s="63"/>
      <c r="R171" s="63"/>
      <c r="S171" s="63"/>
      <c r="T171" s="63"/>
      <c r="U171" s="439"/>
      <c r="V171" s="63"/>
      <c r="W171" s="63"/>
      <c r="X171" s="63"/>
      <c r="Y171" s="63"/>
      <c r="Z171" s="439"/>
      <c r="AA171" s="63"/>
      <c r="AB171" s="63"/>
      <c r="AC171" s="63"/>
      <c r="AD171" s="63"/>
      <c r="AE171" s="439"/>
      <c r="AF171" s="63"/>
      <c r="AG171" s="63"/>
      <c r="AH171" s="63"/>
      <c r="AI171" s="63"/>
      <c r="AJ171" s="439"/>
      <c r="AK171" s="63"/>
      <c r="AL171" s="63"/>
      <c r="AM171" s="63"/>
      <c r="AN171" s="63"/>
      <c r="AO171" s="439"/>
      <c r="AP171" s="63"/>
      <c r="AQ171" s="63"/>
      <c r="AR171" s="63"/>
      <c r="AS171" s="63"/>
      <c r="AT171" s="439"/>
      <c r="AU171" s="63"/>
      <c r="AV171" s="63"/>
      <c r="AW171" s="63"/>
      <c r="AX171" s="63"/>
      <c r="AY171" s="470"/>
      <c r="AZ171" s="63"/>
      <c r="BA171" s="63"/>
      <c r="BB171" s="63"/>
      <c r="BC171" s="63"/>
      <c r="BD171" s="470"/>
      <c r="BE171" s="63"/>
      <c r="BF171" s="63"/>
      <c r="BG171" s="63"/>
      <c r="BH171" s="63"/>
      <c r="BI171" s="470"/>
      <c r="BJ171" s="63"/>
      <c r="BK171" s="63"/>
      <c r="BL171" s="63"/>
      <c r="BM171" s="63"/>
      <c r="BN171" s="470"/>
      <c r="BO171" s="63"/>
      <c r="BP171" s="63"/>
      <c r="BQ171" s="63"/>
      <c r="BR171" s="63"/>
      <c r="BS171" s="642"/>
      <c r="BT171" s="63"/>
      <c r="BU171" s="63"/>
      <c r="BV171" s="63"/>
      <c r="BW171" s="63"/>
      <c r="BX171" s="642"/>
      <c r="BY171" s="63"/>
      <c r="BZ171" s="63"/>
      <c r="CA171" s="63"/>
      <c r="CB171" s="63"/>
      <c r="CC171" s="470"/>
      <c r="CD171" s="63"/>
      <c r="CE171" s="63"/>
      <c r="CF171" s="63"/>
      <c r="CG171" s="63"/>
      <c r="CH171" s="755"/>
      <c r="CI171" s="63"/>
      <c r="CJ171" s="63"/>
      <c r="CK171" s="63"/>
      <c r="CL171" s="63"/>
      <c r="CM171" s="470"/>
      <c r="CN171" s="63"/>
      <c r="CO171" s="63"/>
      <c r="CP171" s="63"/>
      <c r="CQ171" s="63"/>
      <c r="CR171" s="470"/>
      <c r="CS171" s="63"/>
      <c r="CT171" s="63"/>
      <c r="CU171" s="63"/>
      <c r="CV171" s="63"/>
      <c r="CW171" s="470"/>
      <c r="CX171" s="63"/>
      <c r="CY171" s="63"/>
      <c r="CZ171" s="63"/>
      <c r="DA171" s="63"/>
      <c r="DB171" s="470"/>
      <c r="DC171" s="63"/>
      <c r="DD171" s="63"/>
      <c r="DE171" s="63"/>
      <c r="DF171" s="63"/>
      <c r="DG171" s="470"/>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c r="HB171"/>
      <c r="HC171"/>
      <c r="HD171"/>
      <c r="HE171"/>
      <c r="HF171"/>
      <c r="HG171"/>
      <c r="HH171"/>
      <c r="HI171"/>
      <c r="HJ171"/>
      <c r="HK171"/>
      <c r="HL171"/>
      <c r="HM171"/>
      <c r="HN171"/>
      <c r="HO171"/>
      <c r="HP171"/>
      <c r="HQ171"/>
      <c r="HR171"/>
    </row>
    <row r="172" spans="1:226" s="45" customFormat="1" x14ac:dyDescent="0.2">
      <c r="A172" s="18" t="s">
        <v>188</v>
      </c>
      <c r="B172" s="63"/>
      <c r="C172" s="63"/>
      <c r="D172" s="63"/>
      <c r="E172" s="63"/>
      <c r="F172" s="439"/>
      <c r="G172" s="63">
        <v>49</v>
      </c>
      <c r="H172" s="63">
        <f>85-G172</f>
        <v>36</v>
      </c>
      <c r="I172" s="63">
        <f>135-H172-G172</f>
        <v>50</v>
      </c>
      <c r="J172" s="63">
        <f>K172-I172-H172-G172</f>
        <v>55</v>
      </c>
      <c r="K172" s="439">
        <v>190</v>
      </c>
      <c r="L172" s="63">
        <v>43</v>
      </c>
      <c r="M172" s="63">
        <f>88-L172</f>
        <v>45</v>
      </c>
      <c r="N172" s="63">
        <f>142-M172-L172</f>
        <v>54</v>
      </c>
      <c r="O172" s="63">
        <f>P172-N172-M172-L172</f>
        <v>49</v>
      </c>
      <c r="P172" s="439">
        <v>191</v>
      </c>
      <c r="Q172" s="63">
        <v>47</v>
      </c>
      <c r="R172" s="63">
        <f>95-Q172</f>
        <v>48</v>
      </c>
      <c r="S172" s="63">
        <f>141-R172-Q172</f>
        <v>46</v>
      </c>
      <c r="T172" s="63">
        <f>U172-S172-R172-Q172</f>
        <v>54</v>
      </c>
      <c r="U172" s="439">
        <v>195</v>
      </c>
      <c r="V172" s="63">
        <v>47</v>
      </c>
      <c r="W172" s="63">
        <f>94-V172</f>
        <v>47</v>
      </c>
      <c r="X172" s="63">
        <f>142-W172-V172</f>
        <v>48</v>
      </c>
      <c r="Y172" s="63">
        <f>Z172-X172-W172-V172</f>
        <v>48</v>
      </c>
      <c r="Z172" s="439">
        <v>190</v>
      </c>
      <c r="AA172" s="63">
        <v>54</v>
      </c>
      <c r="AB172" s="63">
        <f>92-AA172</f>
        <v>38</v>
      </c>
      <c r="AC172" s="63">
        <f>138-AB172-AA172</f>
        <v>46</v>
      </c>
      <c r="AD172" s="63">
        <f>AE172-AC172-AB172-AA172</f>
        <v>50</v>
      </c>
      <c r="AE172" s="439">
        <v>188</v>
      </c>
      <c r="AF172" s="63">
        <v>46</v>
      </c>
      <c r="AG172" s="63">
        <f>95-AF172</f>
        <v>49</v>
      </c>
      <c r="AH172" s="63">
        <f>143-AG172-AF172</f>
        <v>48</v>
      </c>
      <c r="AI172" s="63">
        <v>49</v>
      </c>
      <c r="AJ172" s="439">
        <f>SUM(AF172:AI172)</f>
        <v>192</v>
      </c>
      <c r="AK172" s="63">
        <v>48</v>
      </c>
      <c r="AL172" s="63">
        <f>98-AK172</f>
        <v>50</v>
      </c>
      <c r="AM172" s="63">
        <v>56</v>
      </c>
      <c r="AN172" s="63">
        <f>AO172-AM172-AL172-AK172</f>
        <v>51</v>
      </c>
      <c r="AO172" s="439">
        <v>205</v>
      </c>
      <c r="AP172" s="63">
        <v>47</v>
      </c>
      <c r="AQ172" s="63">
        <v>46</v>
      </c>
      <c r="AR172" s="63">
        <f>142-AQ172-AP172</f>
        <v>49</v>
      </c>
      <c r="AS172" s="63">
        <f>190-AR172-AQ172-AP172</f>
        <v>48</v>
      </c>
      <c r="AT172" s="439">
        <f>SUM(AP172:AS172)</f>
        <v>190</v>
      </c>
      <c r="AU172" s="63">
        <v>48</v>
      </c>
      <c r="AV172" s="63">
        <f>95-AU172</f>
        <v>47</v>
      </c>
      <c r="AW172" s="63">
        <v>44</v>
      </c>
      <c r="AX172" s="63">
        <v>46</v>
      </c>
      <c r="AY172" s="470">
        <f>SUM(AU172:AX172)</f>
        <v>185</v>
      </c>
      <c r="AZ172" s="63">
        <v>45</v>
      </c>
      <c r="BA172" s="63">
        <v>43</v>
      </c>
      <c r="BB172" s="63">
        <v>42</v>
      </c>
      <c r="BC172" s="625">
        <v>43</v>
      </c>
      <c r="BD172" s="470">
        <f>SUM(AZ172:BC172)</f>
        <v>173</v>
      </c>
      <c r="BE172" s="63">
        <v>46</v>
      </c>
      <c r="BF172" s="63">
        <v>43</v>
      </c>
      <c r="BG172" s="63">
        <v>46</v>
      </c>
      <c r="BH172" s="63">
        <v>45</v>
      </c>
      <c r="BI172" s="470">
        <f>SUM(BE172:BH172)</f>
        <v>180</v>
      </c>
      <c r="BJ172" s="63">
        <v>44</v>
      </c>
      <c r="BK172" s="63">
        <v>46</v>
      </c>
      <c r="BL172" s="63">
        <f>136-BK172-BJ172</f>
        <v>46</v>
      </c>
      <c r="BM172" s="63">
        <f>BN172-SUM(BJ172:BL172)</f>
        <v>46</v>
      </c>
      <c r="BN172" s="470">
        <v>182</v>
      </c>
      <c r="BO172" s="63">
        <v>44</v>
      </c>
      <c r="BP172" s="63">
        <f>89-BO172</f>
        <v>45</v>
      </c>
      <c r="BQ172" s="63">
        <f>133-BP172-BO172</f>
        <v>44</v>
      </c>
      <c r="BR172" s="63">
        <v>47</v>
      </c>
      <c r="BS172" s="470">
        <f>SUM(BO172:BR172)</f>
        <v>180</v>
      </c>
      <c r="BT172" s="63">
        <v>43</v>
      </c>
      <c r="BU172" s="63">
        <f>85-BT172</f>
        <v>42</v>
      </c>
      <c r="BV172" s="63">
        <f>126-BU172-BT172</f>
        <v>41</v>
      </c>
      <c r="BW172" s="63">
        <v>43</v>
      </c>
      <c r="BX172" s="470">
        <f>SUM(BT172:BW172)</f>
        <v>169</v>
      </c>
      <c r="BY172" s="63">
        <v>41</v>
      </c>
      <c r="BZ172" s="63">
        <f>82-BY172</f>
        <v>41</v>
      </c>
      <c r="CA172" s="63">
        <f>122-BZ172-BY172</f>
        <v>40</v>
      </c>
      <c r="CB172" s="63">
        <f>165-CA172-BZ172-BY172</f>
        <v>43</v>
      </c>
      <c r="CC172" s="470">
        <f>SUM(BY172:CB172)</f>
        <v>165</v>
      </c>
      <c r="CD172" s="63">
        <v>41</v>
      </c>
      <c r="CE172" s="63">
        <f>82-CD172</f>
        <v>41</v>
      </c>
      <c r="CF172" s="63">
        <f>121-CE172-CD172</f>
        <v>39</v>
      </c>
      <c r="CG172" s="63">
        <f>163-CF172-CE172-CD172</f>
        <v>42</v>
      </c>
      <c r="CH172" s="470">
        <f>SUM(CD172:CG172)</f>
        <v>163</v>
      </c>
      <c r="CI172" s="63">
        <v>40</v>
      </c>
      <c r="CJ172" s="63">
        <f>81-CI172</f>
        <v>41</v>
      </c>
      <c r="CK172" s="63">
        <f>CK219*CJ139/4</f>
        <v>40.38205980066445</v>
      </c>
      <c r="CL172" s="63">
        <f>CL219*CK139/4</f>
        <v>42.392336630381486</v>
      </c>
      <c r="CM172" s="470">
        <f>SUM(CI172:CL172)</f>
        <v>163.77439643104594</v>
      </c>
      <c r="CN172" s="63">
        <f ca="1">CN219*CM139/4</f>
        <v>41.576302378251235</v>
      </c>
      <c r="CO172" s="63">
        <f ca="1">CO219*CN139/4</f>
        <v>42.945745995647563</v>
      </c>
      <c r="CP172" s="63">
        <f ca="1">CP219*CO139/4</f>
        <v>42.22481599056011</v>
      </c>
      <c r="CQ172" s="63">
        <f ca="1">CQ219*CP139/4</f>
        <v>44.301828371754581</v>
      </c>
      <c r="CR172" s="470">
        <f ca="1">SUM(CN172:CQ172)</f>
        <v>171.04869273621347</v>
      </c>
      <c r="CS172" s="63">
        <f ca="1">CS219*CR139/4</f>
        <v>43.323027646991548</v>
      </c>
      <c r="CT172" s="63">
        <f ca="1">CT219*CS139/4</f>
        <v>44.567163487793202</v>
      </c>
      <c r="CU172" s="63">
        <f ca="1">CU219*CT139/4</f>
        <v>43.660697796062735</v>
      </c>
      <c r="CV172" s="63">
        <f ca="1">CV219*CU139/4</f>
        <v>45.636901877467267</v>
      </c>
      <c r="CW172" s="470">
        <f ca="1">SUM(CS172:CV172)</f>
        <v>177.18779080831473</v>
      </c>
      <c r="CX172" s="63">
        <f ca="1">CX219*CW139/4</f>
        <v>44.449578278621232</v>
      </c>
      <c r="CY172" s="63">
        <f ca="1">CY219*CX139/4</f>
        <v>45.575514007078446</v>
      </c>
      <c r="CZ172" s="63">
        <f ca="1">CZ219*CY139/4</f>
        <v>44.513996908497248</v>
      </c>
      <c r="DA172" s="63">
        <f ca="1">DA219*CZ139/4</f>
        <v>46.384061492513098</v>
      </c>
      <c r="DB172" s="470">
        <f ca="1">SUM(CX172:DA172)</f>
        <v>180.92315068671004</v>
      </c>
      <c r="DC172" s="63">
        <f ca="1">DC219*DB139/4</f>
        <v>45.038020715562432</v>
      </c>
      <c r="DD172" s="63">
        <f ca="1">DD219*DC139/4</f>
        <v>46.050992089270402</v>
      </c>
      <c r="DE172" s="63">
        <f ca="1">DE219*DD139/4</f>
        <v>44.859997385214527</v>
      </c>
      <c r="DF172" s="63">
        <f ca="1">DF219*DE139/4</f>
        <v>46.61829421427062</v>
      </c>
      <c r="DG172" s="470">
        <f ca="1">SUM(DC172:DF172)</f>
        <v>182.56730440431801</v>
      </c>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c r="HB172"/>
      <c r="HC172"/>
      <c r="HD172"/>
      <c r="HE172"/>
      <c r="HF172"/>
      <c r="HG172"/>
      <c r="HH172"/>
      <c r="HI172"/>
      <c r="HJ172"/>
      <c r="HK172"/>
      <c r="HL172"/>
      <c r="HM172"/>
      <c r="HN172"/>
      <c r="HO172"/>
      <c r="HP172"/>
      <c r="HQ172"/>
      <c r="HR172"/>
    </row>
    <row r="173" spans="1:226" s="45" customFormat="1" x14ac:dyDescent="0.2">
      <c r="A173" s="18" t="s">
        <v>189</v>
      </c>
      <c r="B173" s="37"/>
      <c r="C173" s="37"/>
      <c r="D173" s="37"/>
      <c r="E173" s="37"/>
      <c r="F173" s="439"/>
      <c r="G173" s="37">
        <f>G182-SUM(G170:G172,G175:G180,G181)</f>
        <v>2</v>
      </c>
      <c r="H173" s="37">
        <f>H182-SUM(H170:H172,H175:H180,H181)</f>
        <v>70</v>
      </c>
      <c r="I173" s="37">
        <f>I182-SUM(I170:I172,I175:I180,I181)</f>
        <v>72</v>
      </c>
      <c r="J173" s="37">
        <f>J182-SUM(J170:J172,J175:J180,J181)</f>
        <v>5</v>
      </c>
      <c r="K173" s="439">
        <f>SUM(G173:J173)</f>
        <v>149</v>
      </c>
      <c r="L173" s="37">
        <f>L182-SUM(L170:L172,L175:L180,L181)</f>
        <v>1</v>
      </c>
      <c r="M173" s="37">
        <f>M182-SUM(M170:M172,M175:M180,M181)</f>
        <v>33</v>
      </c>
      <c r="N173" s="37">
        <f>N182-SUM(N170:N172,N175:N180,N181)</f>
        <v>5</v>
      </c>
      <c r="O173" s="37">
        <f>O182-SUM(O170:O172,O175:O180,O181)</f>
        <v>37</v>
      </c>
      <c r="P173" s="439">
        <f>SUM(L173:O173)</f>
        <v>76</v>
      </c>
      <c r="Q173" s="37">
        <f>Q182-SUM(Q170:Q172,Q175:Q180,Q181)</f>
        <v>41</v>
      </c>
      <c r="R173" s="37">
        <f>R182-SUM(R170:R172,R175:R180,R181)</f>
        <v>-40</v>
      </c>
      <c r="S173" s="37">
        <f>S182-SUM(S170:S172,S175:S180,S181)</f>
        <v>21</v>
      </c>
      <c r="T173" s="37">
        <f>T182-SUM(T170:T172,T175:T180,T181)</f>
        <v>111</v>
      </c>
      <c r="U173" s="439">
        <f>SUM(Q173:T173)</f>
        <v>133</v>
      </c>
      <c r="V173" s="37">
        <f>V182-SUM(V170:V172,V175:V180,V181)</f>
        <v>52</v>
      </c>
      <c r="W173" s="37">
        <f>W182-SUM(W170:W172,W175:W180,W181)</f>
        <v>-25</v>
      </c>
      <c r="X173" s="37">
        <f>X182-SUM(X170:X172,X175:X180,X181)</f>
        <v>22</v>
      </c>
      <c r="Y173" s="37">
        <f>Y182-SUM(Y170:Y172,Y175:Y180,Y181)</f>
        <v>-47</v>
      </c>
      <c r="Z173" s="439">
        <f>SUM(V173:Y173)</f>
        <v>2</v>
      </c>
      <c r="AA173" s="37">
        <f>AA182-SUM(AA170:AA172,AA175:AA180,AA181)</f>
        <v>32</v>
      </c>
      <c r="AB173" s="37">
        <f>AB182-SUM(AB170:AB172,AB175:AB180,AB181)</f>
        <v>-2</v>
      </c>
      <c r="AC173" s="37">
        <f>AC182-SUM(AC170:AC172,AC175:AC180,AC181)</f>
        <v>6</v>
      </c>
      <c r="AD173" s="37">
        <f>AD182-SUM(AD170:AD172,AD175:AD180,AD181)</f>
        <v>31</v>
      </c>
      <c r="AE173" s="439">
        <f>SUM(AA173:AD173)</f>
        <v>67</v>
      </c>
      <c r="AF173" s="37">
        <f>AF182-SUM(AF170:AF172,AF175:AF180,AF181)</f>
        <v>8</v>
      </c>
      <c r="AG173" s="37">
        <f>AG182-SUM(AG170:AG172,AG175:AG180,AG181)</f>
        <v>14</v>
      </c>
      <c r="AH173" s="37">
        <f>AH182-SUM(AH170:AH172,AH175:AH180,AH181)</f>
        <v>13</v>
      </c>
      <c r="AI173" s="37">
        <f>AI182-SUM(AI170:AI172,AI175:AI180,AI181)</f>
        <v>-5</v>
      </c>
      <c r="AJ173" s="439">
        <f>SUM(AF173:AI173)</f>
        <v>30</v>
      </c>
      <c r="AK173" s="37">
        <f>AK182-SUM(AK170:AK172,AK175:AK180,AK181)</f>
        <v>81</v>
      </c>
      <c r="AL173" s="37">
        <f>AL182-SUM(AL170:AL172,AL175:AL180,AL181)</f>
        <v>76</v>
      </c>
      <c r="AM173" s="37">
        <f>AM182-SUM(AM170:AM172,AM175:AM180,AM181)</f>
        <v>36</v>
      </c>
      <c r="AN173" s="37">
        <f>AN182-SUM(AN170:AN172,AN175:AN180,AN181)</f>
        <v>3</v>
      </c>
      <c r="AO173" s="439">
        <f>SUM(AK173:AN173)</f>
        <v>196</v>
      </c>
      <c r="AP173" s="37">
        <f>AP182-SUM(AP170:AP172,AP175:AP180,AP181)</f>
        <v>-63</v>
      </c>
      <c r="AQ173" s="37">
        <f>AQ182-SUM(AQ170:AQ172,AQ175:AQ180,AQ181)</f>
        <v>-30</v>
      </c>
      <c r="AR173" s="37">
        <f>AR182-SUM(AR170:AR172,AR175:AR180,AR181)</f>
        <v>15</v>
      </c>
      <c r="AS173" s="37">
        <f>AS182-SUM(AS170:AS172,AS175:AS180,AS181)</f>
        <v>-5</v>
      </c>
      <c r="AT173" s="439">
        <f t="shared" ref="AT173:AT181" si="346">SUM(AP173:AS173)</f>
        <v>-83</v>
      </c>
      <c r="AU173" s="37">
        <f>AU182-SUM(AU170:AU172,AU175:AU180,AU181)</f>
        <v>1</v>
      </c>
      <c r="AV173" s="37">
        <f>AV182-SUM(AV170:AV172,AV175:AV180,AV181)</f>
        <v>59</v>
      </c>
      <c r="AW173" s="383">
        <f>AW182-SUM(AW170:AW172,AW175:AW181)</f>
        <v>44</v>
      </c>
      <c r="AX173" s="383">
        <f>AX182-SUM(AX170:AX172,AX175:AX181)</f>
        <v>30</v>
      </c>
      <c r="AY173" s="470">
        <f>SUM(AU173:AX173)</f>
        <v>134</v>
      </c>
      <c r="AZ173" s="383">
        <f>AZ182-SUM(AZ170:AZ172,AZ175:AZ181)</f>
        <v>-26</v>
      </c>
      <c r="BA173" s="383">
        <f>BA182-SUM(BA170:BA172,BA175:BA181)</f>
        <v>-73.024000000000001</v>
      </c>
      <c r="BB173" s="383">
        <f>BB182-SUM(BB170:BB172,BB175:BB181)</f>
        <v>104</v>
      </c>
      <c r="BC173" s="63">
        <f ca="1">BC182-SUM(BC170:BC172,BC175:BC181)</f>
        <v>71.922614723926358</v>
      </c>
      <c r="BD173" s="470">
        <f ca="1">SUM(AZ173:BC173)</f>
        <v>76.898614723926357</v>
      </c>
      <c r="BE173" s="63">
        <f>BE182-SUM(BE170:BE172,BE175:BE181)</f>
        <v>-19</v>
      </c>
      <c r="BF173" s="63">
        <f>BF182-SUM(BF170:BF172,BF175:BF181)</f>
        <v>-11</v>
      </c>
      <c r="BG173" s="63">
        <f>BG182-SUM(BG170:BG172,BG175:BG181)</f>
        <v>33</v>
      </c>
      <c r="BH173" s="63">
        <f>BH182-SUM(BH170:BH172,BH175:BH181)</f>
        <v>-12</v>
      </c>
      <c r="BI173" s="470">
        <f>SUM(BE173:BH173)</f>
        <v>-9</v>
      </c>
      <c r="BJ173" s="37">
        <f>BJ182-SUM(BJ170:BJ172,BJ175:BJ181)</f>
        <v>38</v>
      </c>
      <c r="BK173" s="37">
        <f>BK182-SUM(BK170:BK172,BK175:BK181)</f>
        <v>-18</v>
      </c>
      <c r="BL173" s="37">
        <f>BL182-SUM(BL170:BL172,BL175:BL181)</f>
        <v>-10</v>
      </c>
      <c r="BM173" s="37">
        <f>BM182-SUM(BM170:BM172,BM175:BM181)</f>
        <v>0</v>
      </c>
      <c r="BN173" s="470">
        <f>SUM(BJ173:BM173)</f>
        <v>10</v>
      </c>
      <c r="BO173" s="37">
        <f>BO182-SUM(BO170:BO172,BO175:BO181)</f>
        <v>20</v>
      </c>
      <c r="BP173" s="37">
        <f>BP182-SUM(BP170:BP172,BP175:BP181)</f>
        <v>-22.400000000000006</v>
      </c>
      <c r="BQ173" s="37">
        <f>BQ182-SUM(BQ170:BQ172,BQ175:BQ181)</f>
        <v>-3.5999999999999943</v>
      </c>
      <c r="BR173" s="37">
        <f>BR182-SUM(BR170:BR172,BR175:BR181)</f>
        <v>-12.800000000000011</v>
      </c>
      <c r="BS173" s="470">
        <f>SUM(BO173:BR173)</f>
        <v>-18.800000000000011</v>
      </c>
      <c r="BT173" s="37">
        <f>BT182-SUM(BT170:BT172,BT175:BT181)</f>
        <v>-8.8999999999999773</v>
      </c>
      <c r="BU173" s="37">
        <f>BU182-SUM(BU170:BU172,BU175:BU181)</f>
        <v>-9.1999999999999886</v>
      </c>
      <c r="BV173" s="37">
        <f>BV182-SUM(BV170:BV172,BV175:BV181)</f>
        <v>-3.1999999999999886</v>
      </c>
      <c r="BW173" s="37">
        <f>BW182-SUM(BW170:BW172,BW175:BW181)</f>
        <v>-3</v>
      </c>
      <c r="BX173" s="470">
        <f>SUM(BT173:BW173)</f>
        <v>-24.299999999999955</v>
      </c>
      <c r="BY173" s="37">
        <f t="shared" ref="BY173:CJ173" si="347">BY182-SUM(BY170:BY172,BY175:BY181)</f>
        <v>-21</v>
      </c>
      <c r="BZ173" s="37">
        <f t="shared" si="347"/>
        <v>0.40000000000000568</v>
      </c>
      <c r="CA173" s="37">
        <f t="shared" si="347"/>
        <v>24</v>
      </c>
      <c r="CB173" s="37">
        <f t="shared" si="347"/>
        <v>-49</v>
      </c>
      <c r="CC173" s="470">
        <f t="shared" si="347"/>
        <v>-45.600000000000023</v>
      </c>
      <c r="CD173" s="37">
        <f t="shared" ca="1" si="347"/>
        <v>-27.399999999999977</v>
      </c>
      <c r="CE173" s="37">
        <f t="shared" ca="1" si="347"/>
        <v>63.5</v>
      </c>
      <c r="CF173" s="37">
        <f t="shared" ca="1" si="347"/>
        <v>-32.5</v>
      </c>
      <c r="CG173" s="37">
        <f t="shared" ca="1" si="347"/>
        <v>9.6000000000000227</v>
      </c>
      <c r="CH173" s="470">
        <f t="shared" ca="1" si="347"/>
        <v>13.200000000000045</v>
      </c>
      <c r="CI173" s="37">
        <f t="shared" si="347"/>
        <v>26</v>
      </c>
      <c r="CJ173" s="37">
        <f t="shared" si="347"/>
        <v>-11</v>
      </c>
      <c r="CK173" s="383">
        <f>CJ141-CK141+CK153-CJ153+CK154-CJ154</f>
        <v>38.496282452523175</v>
      </c>
      <c r="CL173" s="63">
        <f ca="1">CK141-CL141+CL153-CK153+CL154-CK154</f>
        <v>4.5732511535597951</v>
      </c>
      <c r="CM173" s="470">
        <f ca="1">SUM(CI173:CL173)</f>
        <v>58.06953360608297</v>
      </c>
      <c r="CN173" s="37">
        <f ca="1">CM141-CN141+CN153-CM153+CN154-CM154</f>
        <v>4.5286204620095702</v>
      </c>
      <c r="CO173" s="37">
        <f>CN141-CO141+CO153-CN153+CO154-CN154</f>
        <v>-5.6743318859893606</v>
      </c>
      <c r="CP173" s="383">
        <f>CO141-CP141+CP153-CO153+CP154-CO154</f>
        <v>41.400051107559463</v>
      </c>
      <c r="CQ173" s="63">
        <f ca="1">CP141-CQ141+CQ153-CP153+CQ154-CP154</f>
        <v>-21.19486785426318</v>
      </c>
      <c r="CR173" s="470">
        <f ca="1">SUM(CN173:CQ173)</f>
        <v>19.059471829316493</v>
      </c>
      <c r="CS173" s="37">
        <f ca="1">CR141-CS141+CS153-CR153+CS154-CR154</f>
        <v>0.89741196575741355</v>
      </c>
      <c r="CT173" s="37">
        <f>CS141-CT141+CT153-CS153+CT154-CS154</f>
        <v>-5.4597196191639412</v>
      </c>
      <c r="CU173" s="383">
        <f>CT141-CU141+CU153-CT153+CU154-CT154</f>
        <v>42.045228568060757</v>
      </c>
      <c r="CV173" s="63">
        <f ca="1">CU141-CV141+CV153-CU153+CV154-CU154</f>
        <v>-22.155238358586026</v>
      </c>
      <c r="CW173" s="470">
        <f ca="1">SUM(CS173:CV173)</f>
        <v>15.327682556068204</v>
      </c>
      <c r="CX173" s="37">
        <f ca="1">CW141-CX141+CX153-CW153+CX154-CW154</f>
        <v>1.4298148027413475</v>
      </c>
      <c r="CY173" s="37">
        <f>CX141-CY141+CY153-CX153+CY154-CX154</f>
        <v>-5.2272650368146998</v>
      </c>
      <c r="CZ173" s="383">
        <f>CY141-CZ141+CZ153-CY153+CZ154-CY154</f>
        <v>42.70019487272441</v>
      </c>
      <c r="DA173" s="63">
        <f ca="1">CZ141-DA141+DA153-CZ153+DA154-CZ154</f>
        <v>-23.153209128665829</v>
      </c>
      <c r="DB173" s="470">
        <f ca="1">SUM(CX173:DA173)</f>
        <v>15.749535509985229</v>
      </c>
      <c r="DC173" s="37">
        <f ca="1">DB141-DC141+DC153-DB153+DC154-DB154</f>
        <v>1.9865630136454087</v>
      </c>
      <c r="DD173" s="37">
        <f>DC141-DD141+DD153-DC153+DD154-DC154</f>
        <v>-4.9760311685523533</v>
      </c>
      <c r="DE173" s="383">
        <f>DD141-DE141+DE153-DD153+DE154-DD154</f>
        <v>43.365086596487366</v>
      </c>
      <c r="DF173" s="63">
        <f ca="1">DE141-DF141+DF153-DE153+DF154-DE154</f>
        <v>-24.190263790767844</v>
      </c>
      <c r="DG173" s="470">
        <f ca="1">SUM(DC173:DF173)</f>
        <v>16.185354650812577</v>
      </c>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c r="HB173"/>
      <c r="HC173"/>
      <c r="HD173"/>
      <c r="HE173"/>
      <c r="HF173"/>
      <c r="HG173"/>
      <c r="HH173"/>
      <c r="HI173"/>
      <c r="HJ173"/>
      <c r="HK173"/>
      <c r="HL173"/>
      <c r="HM173"/>
      <c r="HN173"/>
      <c r="HO173"/>
      <c r="HP173"/>
      <c r="HQ173"/>
      <c r="HR173"/>
    </row>
    <row r="174" spans="1:226" s="45" customFormat="1" x14ac:dyDescent="0.2">
      <c r="A174" s="18" t="s">
        <v>190</v>
      </c>
      <c r="B174" s="37"/>
      <c r="C174" s="37"/>
      <c r="D174" s="37"/>
      <c r="E174" s="37"/>
      <c r="F174" s="439"/>
      <c r="G174" s="37"/>
      <c r="H174" s="37"/>
      <c r="I174" s="37"/>
      <c r="J174" s="37"/>
      <c r="K174" s="439"/>
      <c r="L174" s="37"/>
      <c r="M174" s="37"/>
      <c r="N174" s="37"/>
      <c r="O174" s="37"/>
      <c r="P174" s="439"/>
      <c r="Q174" s="37"/>
      <c r="R174" s="37"/>
      <c r="S174" s="37"/>
      <c r="T174" s="37"/>
      <c r="U174" s="439"/>
      <c r="V174" s="37"/>
      <c r="W174" s="37"/>
      <c r="X174" s="37"/>
      <c r="Y174" s="37"/>
      <c r="Z174" s="439"/>
      <c r="AA174" s="37"/>
      <c r="AB174" s="37"/>
      <c r="AC174" s="37"/>
      <c r="AD174" s="37"/>
      <c r="AE174" s="439"/>
      <c r="AF174" s="37"/>
      <c r="AG174" s="37"/>
      <c r="AH174" s="37"/>
      <c r="AI174" s="37"/>
      <c r="AJ174" s="439"/>
      <c r="AK174" s="37"/>
      <c r="AL174" s="37"/>
      <c r="AM174" s="37"/>
      <c r="AN174" s="37"/>
      <c r="AO174" s="439"/>
      <c r="AP174" s="37"/>
      <c r="AQ174" s="37"/>
      <c r="AR174" s="63"/>
      <c r="AS174" s="63"/>
      <c r="AT174" s="439"/>
      <c r="AU174" s="63"/>
      <c r="AV174" s="63"/>
      <c r="AW174" s="63"/>
      <c r="AX174" s="63"/>
      <c r="AY174" s="470"/>
      <c r="AZ174" s="63"/>
      <c r="BA174" s="63"/>
      <c r="BB174" s="63"/>
      <c r="BC174" s="63"/>
      <c r="BD174" s="470"/>
      <c r="BE174" s="63"/>
      <c r="BF174" s="63"/>
      <c r="BG174" s="63"/>
      <c r="BH174" s="63"/>
      <c r="BI174" s="470"/>
      <c r="BJ174" s="63"/>
      <c r="BK174" s="63"/>
      <c r="BL174" s="63"/>
      <c r="BM174" s="63"/>
      <c r="BN174" s="470"/>
      <c r="BO174" s="63"/>
      <c r="BP174" s="63"/>
      <c r="BQ174" s="63"/>
      <c r="BR174" s="63"/>
      <c r="BS174" s="470"/>
      <c r="BT174" s="63"/>
      <c r="BU174" s="63"/>
      <c r="BV174" s="63"/>
      <c r="BW174" s="63"/>
      <c r="BX174" s="470"/>
      <c r="BY174" s="63"/>
      <c r="BZ174" s="63"/>
      <c r="CA174" s="63"/>
      <c r="CB174" s="63"/>
      <c r="CC174" s="470"/>
      <c r="CD174" s="63"/>
      <c r="CE174" s="63"/>
      <c r="CF174" s="63"/>
      <c r="CG174" s="63"/>
      <c r="CH174" s="470"/>
      <c r="CI174" s="63"/>
      <c r="CJ174" s="63"/>
      <c r="CK174" s="63"/>
      <c r="CL174" s="63"/>
      <c r="CM174" s="470"/>
      <c r="CN174" s="63"/>
      <c r="CO174" s="63"/>
      <c r="CP174" s="63"/>
      <c r="CQ174" s="63"/>
      <c r="CR174" s="470"/>
      <c r="CS174" s="63"/>
      <c r="CT174" s="63"/>
      <c r="CU174" s="63"/>
      <c r="CV174" s="63"/>
      <c r="CW174" s="470"/>
      <c r="CX174" s="63"/>
      <c r="CY174" s="63"/>
      <c r="CZ174" s="63"/>
      <c r="DA174" s="63"/>
      <c r="DB174" s="470"/>
      <c r="DC174" s="63"/>
      <c r="DD174" s="63"/>
      <c r="DE174" s="63"/>
      <c r="DF174" s="63"/>
      <c r="DG174" s="470"/>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c r="HB174"/>
      <c r="HC174"/>
      <c r="HD174"/>
      <c r="HE174"/>
      <c r="HF174"/>
      <c r="HG174"/>
      <c r="HH174"/>
      <c r="HI174"/>
      <c r="HJ174"/>
      <c r="HK174"/>
      <c r="HL174"/>
      <c r="HM174"/>
      <c r="HN174"/>
      <c r="HO174"/>
      <c r="HP174"/>
      <c r="HQ174"/>
      <c r="HR174"/>
    </row>
    <row r="175" spans="1:226" s="45" customFormat="1" x14ac:dyDescent="0.2">
      <c r="A175" s="18" t="s">
        <v>38</v>
      </c>
      <c r="B175" s="37"/>
      <c r="C175" s="37"/>
      <c r="D175" s="37"/>
      <c r="E175" s="37"/>
      <c r="F175" s="439"/>
      <c r="G175" s="37">
        <f t="shared" ref="G175:J177" si="348">F133-G133</f>
        <v>64</v>
      </c>
      <c r="H175" s="37">
        <f t="shared" si="348"/>
        <v>49</v>
      </c>
      <c r="I175" s="37">
        <f t="shared" si="348"/>
        <v>-96</v>
      </c>
      <c r="J175" s="37">
        <f t="shared" si="348"/>
        <v>16</v>
      </c>
      <c r="K175" s="439">
        <f t="shared" ref="K175:K180" si="349">SUM(G175:J175)</f>
        <v>33</v>
      </c>
      <c r="L175" s="37">
        <f t="shared" ref="L175:O177" si="350">K133-L133</f>
        <v>111</v>
      </c>
      <c r="M175" s="37">
        <f t="shared" si="350"/>
        <v>43</v>
      </c>
      <c r="N175" s="37">
        <f t="shared" si="350"/>
        <v>-131</v>
      </c>
      <c r="O175" s="37">
        <f t="shared" si="350"/>
        <v>-5</v>
      </c>
      <c r="P175" s="439">
        <f t="shared" ref="P175:P180" si="351">SUM(L175:O175)</f>
        <v>18</v>
      </c>
      <c r="Q175" s="37">
        <f t="shared" ref="Q175:T177" si="352">P133-Q133</f>
        <v>84</v>
      </c>
      <c r="R175" s="37">
        <f t="shared" si="352"/>
        <v>34</v>
      </c>
      <c r="S175" s="37">
        <f t="shared" si="352"/>
        <v>-99</v>
      </c>
      <c r="T175" s="37">
        <f t="shared" si="352"/>
        <v>-16</v>
      </c>
      <c r="U175" s="439">
        <f t="shared" ref="U175:U180" si="353">SUM(Q175:T175)</f>
        <v>3</v>
      </c>
      <c r="V175" s="37">
        <f t="shared" ref="V175:Y177" si="354">U133-V133</f>
        <v>75</v>
      </c>
      <c r="W175" s="37">
        <f t="shared" si="354"/>
        <v>31</v>
      </c>
      <c r="X175" s="37">
        <f t="shared" si="354"/>
        <v>-47</v>
      </c>
      <c r="Y175" s="37">
        <f t="shared" si="354"/>
        <v>-10</v>
      </c>
      <c r="Z175" s="439">
        <f t="shared" ref="Z175:Z180" si="355">SUM(V175:Y175)</f>
        <v>49</v>
      </c>
      <c r="AA175" s="37">
        <f t="shared" ref="AA175:AD177" si="356">Z133-AA133</f>
        <v>49</v>
      </c>
      <c r="AB175" s="37">
        <f t="shared" si="356"/>
        <v>-15</v>
      </c>
      <c r="AC175" s="37">
        <f t="shared" si="356"/>
        <v>-9</v>
      </c>
      <c r="AD175" s="37">
        <f t="shared" si="356"/>
        <v>-49</v>
      </c>
      <c r="AE175" s="439">
        <f t="shared" ref="AE175:AE180" si="357">SUM(AA175:AD175)</f>
        <v>-24</v>
      </c>
      <c r="AF175" s="37">
        <f t="shared" ref="AF175:AI177" si="358">AE133-AF133</f>
        <v>61</v>
      </c>
      <c r="AG175" s="37">
        <f t="shared" si="358"/>
        <v>-19</v>
      </c>
      <c r="AH175" s="37">
        <f t="shared" si="358"/>
        <v>-33</v>
      </c>
      <c r="AI175" s="37">
        <f t="shared" si="358"/>
        <v>-34</v>
      </c>
      <c r="AJ175" s="439">
        <f t="shared" ref="AJ175:AJ181" si="359">SUM(AF175:AI175)</f>
        <v>-25</v>
      </c>
      <c r="AK175" s="37">
        <f t="shared" ref="AK175:AN177" si="360">AJ133-AK133</f>
        <v>52</v>
      </c>
      <c r="AL175" s="37">
        <f t="shared" si="360"/>
        <v>11</v>
      </c>
      <c r="AM175" s="37">
        <f t="shared" si="360"/>
        <v>-59</v>
      </c>
      <c r="AN175" s="37">
        <f t="shared" si="360"/>
        <v>-49</v>
      </c>
      <c r="AO175" s="439">
        <f t="shared" ref="AO175:AO180" si="361">SUM(AK175:AN175)</f>
        <v>-45</v>
      </c>
      <c r="AP175" s="37">
        <f t="shared" ref="AP175:AQ177" si="362">AO133-AP133</f>
        <v>50</v>
      </c>
      <c r="AQ175" s="37">
        <f t="shared" si="362"/>
        <v>46</v>
      </c>
      <c r="AR175" s="37">
        <f t="shared" ref="AR175:AS177" si="363">AQ133-AR133</f>
        <v>-48</v>
      </c>
      <c r="AS175" s="37">
        <f t="shared" si="363"/>
        <v>-29</v>
      </c>
      <c r="AT175" s="439">
        <f t="shared" si="346"/>
        <v>19</v>
      </c>
      <c r="AU175" s="37">
        <f t="shared" ref="AU175:AX177" si="364">AT133-AU133</f>
        <v>28</v>
      </c>
      <c r="AV175" s="37">
        <f t="shared" si="364"/>
        <v>35</v>
      </c>
      <c r="AW175" s="37">
        <f t="shared" si="364"/>
        <v>-133</v>
      </c>
      <c r="AX175" s="37">
        <f t="shared" si="364"/>
        <v>12</v>
      </c>
      <c r="AY175" s="439">
        <f t="shared" ref="AY175:AY181" si="365">SUM(AU175:AX175)</f>
        <v>-58</v>
      </c>
      <c r="AZ175" s="37">
        <f t="shared" ref="AZ175:BC177" si="366">AY133-AZ133</f>
        <v>64</v>
      </c>
      <c r="BA175" s="37">
        <f t="shared" si="366"/>
        <v>40</v>
      </c>
      <c r="BB175" s="37">
        <f t="shared" si="366"/>
        <v>-59</v>
      </c>
      <c r="BC175" s="37">
        <f t="shared" si="366"/>
        <v>-26</v>
      </c>
      <c r="BD175" s="439">
        <f t="shared" ref="BD175:BD181" si="367">SUM(AZ175:BC175)</f>
        <v>19</v>
      </c>
      <c r="BE175" s="37">
        <f t="shared" ref="BE175:BJ177" si="368">BD133-BE133</f>
        <v>86</v>
      </c>
      <c r="BF175" s="37">
        <f t="shared" si="368"/>
        <v>-50</v>
      </c>
      <c r="BG175" s="37">
        <f t="shared" si="368"/>
        <v>-68</v>
      </c>
      <c r="BH175" s="37">
        <f t="shared" si="368"/>
        <v>-19</v>
      </c>
      <c r="BI175" s="439">
        <f t="shared" ref="BI175:BI181" si="369">SUM(BE175:BH175)</f>
        <v>-51</v>
      </c>
      <c r="BJ175" s="37">
        <f t="shared" si="368"/>
        <v>73</v>
      </c>
      <c r="BK175" s="37">
        <f t="shared" ref="BK175:BL177" si="370">BJ133-BK133</f>
        <v>-8</v>
      </c>
      <c r="BL175" s="37">
        <f t="shared" si="370"/>
        <v>-51</v>
      </c>
      <c r="BM175" s="37">
        <f>BL133-BM133</f>
        <v>-18</v>
      </c>
      <c r="BN175" s="439">
        <f t="shared" ref="BN175:BN181" si="371">SUM(BJ175:BM175)</f>
        <v>-4</v>
      </c>
      <c r="BO175" s="37">
        <f t="shared" ref="BO175:BR177" si="372">BN133-BO133</f>
        <v>74</v>
      </c>
      <c r="BP175" s="37">
        <f t="shared" si="372"/>
        <v>7</v>
      </c>
      <c r="BQ175" s="37">
        <f t="shared" si="372"/>
        <v>-52</v>
      </c>
      <c r="BR175" s="37">
        <f>BQ133-BR133</f>
        <v>5</v>
      </c>
      <c r="BS175" s="439">
        <f t="shared" ref="BS175:BS180" si="373">SUM(BO175:BR175)</f>
        <v>34</v>
      </c>
      <c r="BT175" s="37">
        <f t="shared" ref="BT175:BU177" si="374">BS133-BT133</f>
        <v>91</v>
      </c>
      <c r="BU175" s="37">
        <f t="shared" si="374"/>
        <v>-18</v>
      </c>
      <c r="BV175" s="37">
        <f t="shared" ref="BV175:BW177" si="375">BU133-BV133</f>
        <v>-55</v>
      </c>
      <c r="BW175" s="37">
        <f t="shared" si="375"/>
        <v>9</v>
      </c>
      <c r="BX175" s="439">
        <f t="shared" ref="BX175:BX181" si="376">SUM(BT175:BW175)</f>
        <v>27</v>
      </c>
      <c r="BY175" s="37">
        <f>BX133-BY133</f>
        <v>47</v>
      </c>
      <c r="BZ175" s="37">
        <f t="shared" ref="BY175:CA177" si="377">BY133-BZ133</f>
        <v>-2</v>
      </c>
      <c r="CA175" s="37">
        <f t="shared" si="377"/>
        <v>-56</v>
      </c>
      <c r="CB175" s="37">
        <f>CA133-CB133</f>
        <v>-39</v>
      </c>
      <c r="CC175" s="439">
        <f t="shared" ref="CC175:CC181" si="378">SUM(BY175:CB175)</f>
        <v>-50</v>
      </c>
      <c r="CD175" s="37">
        <f t="shared" ref="CD175:CG177" si="379">CC133-CD133</f>
        <v>75</v>
      </c>
      <c r="CE175" s="37">
        <f t="shared" si="379"/>
        <v>-20</v>
      </c>
      <c r="CF175" s="37">
        <f t="shared" si="379"/>
        <v>-54</v>
      </c>
      <c r="CG175" s="37">
        <f t="shared" si="379"/>
        <v>3</v>
      </c>
      <c r="CH175" s="439">
        <f t="shared" ref="CH175:CH181" si="380">SUM(CD175:CG175)</f>
        <v>4</v>
      </c>
      <c r="CI175" s="37">
        <v>35</v>
      </c>
      <c r="CJ175" s="37">
        <f>31-CI175</f>
        <v>-4</v>
      </c>
      <c r="CK175" s="37">
        <f t="shared" ref="CK175:CL177" si="381">CJ133-CK133</f>
        <v>-106.45564683596228</v>
      </c>
      <c r="CL175" s="37">
        <f t="shared" ca="1" si="381"/>
        <v>-19.988197546333367</v>
      </c>
      <c r="CM175" s="439">
        <f t="shared" ref="CM175:CM181" ca="1" si="382">SUM(CI175:CL175)</f>
        <v>-95.443844382295651</v>
      </c>
      <c r="CN175" s="37">
        <f t="shared" ref="CN175:CQ177" ca="1" si="383">CM133-CN133</f>
        <v>70.238756870720181</v>
      </c>
      <c r="CO175" s="37">
        <f t="shared" si="383"/>
        <v>-10.962944235229884</v>
      </c>
      <c r="CP175" s="37">
        <f t="shared" si="383"/>
        <v>-116.12580002448931</v>
      </c>
      <c r="CQ175" s="37">
        <f t="shared" ca="1" si="383"/>
        <v>1.8882659289002959</v>
      </c>
      <c r="CR175" s="439">
        <f t="shared" ref="CR175:CR181" ca="1" si="384">SUM(CN175:CQ175)</f>
        <v>-54.961721460098715</v>
      </c>
      <c r="CS175" s="37">
        <f t="shared" ref="CS175:CV177" ca="1" si="385">CR133-CS133</f>
        <v>78.872426478915827</v>
      </c>
      <c r="CT175" s="37">
        <f t="shared" si="385"/>
        <v>-10.127103285979956</v>
      </c>
      <c r="CU175" s="37">
        <f t="shared" si="385"/>
        <v>-120.67703485742868</v>
      </c>
      <c r="CV175" s="37">
        <f t="shared" ca="1" si="385"/>
        <v>-0.86491560895024122</v>
      </c>
      <c r="CW175" s="439">
        <f t="shared" ref="CW175:CW181" ca="1" si="386">SUM(CS175:CV175)</f>
        <v>-52.79662727344305</v>
      </c>
      <c r="CX175" s="37">
        <f t="shared" ref="CX175:DA177" ca="1" si="387">CW133-CX133</f>
        <v>83.42161717499539</v>
      </c>
      <c r="CY175" s="37">
        <f t="shared" si="387"/>
        <v>-9.2852373232491345</v>
      </c>
      <c r="CZ175" s="37">
        <f t="shared" si="387"/>
        <v>-125.35783536466818</v>
      </c>
      <c r="DA175" s="37">
        <f t="shared" ca="1" si="387"/>
        <v>-3.6969331570862778</v>
      </c>
      <c r="DB175" s="439">
        <f t="shared" ref="DB175:DB181" ca="1" si="388">SUM(CX175:DA175)</f>
        <v>-54.918388670008198</v>
      </c>
      <c r="DC175" s="37">
        <f t="shared" ref="DC175:DF177" ca="1" si="389">DB133-DC133</f>
        <v>88.095655706538651</v>
      </c>
      <c r="DD175" s="37">
        <f t="shared" si="389"/>
        <v>-8.4388750888463164</v>
      </c>
      <c r="DE175" s="37">
        <f t="shared" si="389"/>
        <v>-130.17178726479926</v>
      </c>
      <c r="DF175" s="37">
        <f t="shared" ca="1" si="389"/>
        <v>-6.6094247104350643</v>
      </c>
      <c r="DG175" s="439">
        <f t="shared" ref="DG175:DG181" ca="1" si="390">SUM(DC175:DF175)</f>
        <v>-57.124431357541994</v>
      </c>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c r="HB175"/>
      <c r="HC175"/>
      <c r="HD175"/>
      <c r="HE175"/>
      <c r="HF175"/>
      <c r="HG175"/>
      <c r="HH175"/>
      <c r="HI175"/>
      <c r="HJ175"/>
      <c r="HK175"/>
      <c r="HL175"/>
      <c r="HM175"/>
      <c r="HN175"/>
      <c r="HO175"/>
      <c r="HP175"/>
      <c r="HQ175"/>
      <c r="HR175"/>
    </row>
    <row r="176" spans="1:226" s="45" customFormat="1" x14ac:dyDescent="0.2">
      <c r="A176" s="18" t="s">
        <v>39</v>
      </c>
      <c r="B176" s="37"/>
      <c r="C176" s="37"/>
      <c r="D176" s="37"/>
      <c r="E176" s="37"/>
      <c r="F176" s="439"/>
      <c r="G176" s="37">
        <f t="shared" si="348"/>
        <v>-19</v>
      </c>
      <c r="H176" s="37">
        <f t="shared" si="348"/>
        <v>-57</v>
      </c>
      <c r="I176" s="37">
        <f t="shared" si="348"/>
        <v>37</v>
      </c>
      <c r="J176" s="37">
        <f t="shared" si="348"/>
        <v>68</v>
      </c>
      <c r="K176" s="439">
        <f t="shared" si="349"/>
        <v>29</v>
      </c>
      <c r="L176" s="37">
        <f t="shared" si="350"/>
        <v>3</v>
      </c>
      <c r="M176" s="37">
        <f t="shared" si="350"/>
        <v>-25</v>
      </c>
      <c r="N176" s="37">
        <f t="shared" si="350"/>
        <v>-29</v>
      </c>
      <c r="O176" s="37">
        <f t="shared" si="350"/>
        <v>39</v>
      </c>
      <c r="P176" s="439">
        <f t="shared" si="351"/>
        <v>-12</v>
      </c>
      <c r="Q176" s="37">
        <f t="shared" si="352"/>
        <v>-9</v>
      </c>
      <c r="R176" s="37">
        <f t="shared" si="352"/>
        <v>-32</v>
      </c>
      <c r="S176" s="37">
        <f t="shared" si="352"/>
        <v>-37</v>
      </c>
      <c r="T176" s="37">
        <f t="shared" si="352"/>
        <v>41</v>
      </c>
      <c r="U176" s="439">
        <f t="shared" si="353"/>
        <v>-37</v>
      </c>
      <c r="V176" s="37">
        <f t="shared" si="354"/>
        <v>-4</v>
      </c>
      <c r="W176" s="37">
        <f t="shared" si="354"/>
        <v>-37</v>
      </c>
      <c r="X176" s="37">
        <f t="shared" si="354"/>
        <v>-32</v>
      </c>
      <c r="Y176" s="37">
        <f t="shared" si="354"/>
        <v>51</v>
      </c>
      <c r="Z176" s="439">
        <f t="shared" si="355"/>
        <v>-22</v>
      </c>
      <c r="AA176" s="37">
        <f t="shared" si="356"/>
        <v>-21</v>
      </c>
      <c r="AB176" s="37">
        <f t="shared" si="356"/>
        <v>-15</v>
      </c>
      <c r="AC176" s="37">
        <f t="shared" si="356"/>
        <v>-18</v>
      </c>
      <c r="AD176" s="37">
        <f t="shared" si="356"/>
        <v>85</v>
      </c>
      <c r="AE176" s="439">
        <f t="shared" si="357"/>
        <v>31</v>
      </c>
      <c r="AF176" s="37">
        <f t="shared" si="358"/>
        <v>-33</v>
      </c>
      <c r="AG176" s="37">
        <f t="shared" si="358"/>
        <v>-15</v>
      </c>
      <c r="AH176" s="37">
        <f t="shared" si="358"/>
        <v>-6</v>
      </c>
      <c r="AI176" s="37">
        <f t="shared" si="358"/>
        <v>37</v>
      </c>
      <c r="AJ176" s="439">
        <f t="shared" si="359"/>
        <v>-17</v>
      </c>
      <c r="AK176" s="37">
        <f t="shared" si="360"/>
        <v>-23</v>
      </c>
      <c r="AL176" s="37">
        <f t="shared" si="360"/>
        <v>-89</v>
      </c>
      <c r="AM176" s="37">
        <f t="shared" si="360"/>
        <v>-2</v>
      </c>
      <c r="AN176" s="37">
        <f t="shared" si="360"/>
        <v>39</v>
      </c>
      <c r="AO176" s="439">
        <f t="shared" si="361"/>
        <v>-75</v>
      </c>
      <c r="AP176" s="37">
        <f t="shared" si="362"/>
        <v>-37</v>
      </c>
      <c r="AQ176" s="37">
        <f t="shared" si="362"/>
        <v>16</v>
      </c>
      <c r="AR176" s="37">
        <f t="shared" si="363"/>
        <v>-1</v>
      </c>
      <c r="AS176" s="37">
        <f t="shared" si="363"/>
        <v>40</v>
      </c>
      <c r="AT176" s="439">
        <f t="shared" si="346"/>
        <v>18</v>
      </c>
      <c r="AU176" s="37">
        <f t="shared" si="364"/>
        <v>-26</v>
      </c>
      <c r="AV176" s="37">
        <f t="shared" si="364"/>
        <v>-17</v>
      </c>
      <c r="AW176" s="37">
        <f t="shared" si="364"/>
        <v>-14</v>
      </c>
      <c r="AX176" s="37">
        <f t="shared" si="364"/>
        <v>56</v>
      </c>
      <c r="AY176" s="439">
        <f t="shared" si="365"/>
        <v>-1</v>
      </c>
      <c r="AZ176" s="37">
        <f t="shared" si="366"/>
        <v>-3</v>
      </c>
      <c r="BA176" s="37">
        <f t="shared" si="366"/>
        <v>-42</v>
      </c>
      <c r="BB176" s="37">
        <f t="shared" si="366"/>
        <v>-23</v>
      </c>
      <c r="BC176" s="37">
        <f t="shared" si="366"/>
        <v>53</v>
      </c>
      <c r="BD176" s="439">
        <f t="shared" si="367"/>
        <v>-15</v>
      </c>
      <c r="BE176" s="37">
        <f t="shared" si="368"/>
        <v>-25</v>
      </c>
      <c r="BF176" s="37">
        <f t="shared" si="368"/>
        <v>-44</v>
      </c>
      <c r="BG176" s="37">
        <f t="shared" si="368"/>
        <v>-3</v>
      </c>
      <c r="BH176" s="37">
        <f t="shared" si="368"/>
        <v>70</v>
      </c>
      <c r="BI176" s="439">
        <f t="shared" si="369"/>
        <v>-2</v>
      </c>
      <c r="BJ176" s="37">
        <f t="shared" si="368"/>
        <v>-37</v>
      </c>
      <c r="BK176" s="37">
        <f t="shared" si="370"/>
        <v>-23</v>
      </c>
      <c r="BL176" s="37">
        <f t="shared" si="370"/>
        <v>-10</v>
      </c>
      <c r="BM176" s="37">
        <f>BL134-BM134</f>
        <v>60</v>
      </c>
      <c r="BN176" s="439">
        <f t="shared" si="371"/>
        <v>-10</v>
      </c>
      <c r="BO176" s="37">
        <f t="shared" si="372"/>
        <v>-45</v>
      </c>
      <c r="BP176" s="37">
        <f t="shared" si="372"/>
        <v>-27</v>
      </c>
      <c r="BQ176" s="37">
        <f t="shared" si="372"/>
        <v>19</v>
      </c>
      <c r="BR176" s="37">
        <f t="shared" si="372"/>
        <v>61</v>
      </c>
      <c r="BS176" s="439">
        <f t="shared" si="373"/>
        <v>8</v>
      </c>
      <c r="BT176" s="37">
        <f t="shared" si="374"/>
        <v>-11</v>
      </c>
      <c r="BU176" s="37">
        <f t="shared" si="374"/>
        <v>-49</v>
      </c>
      <c r="BV176" s="37">
        <f t="shared" si="375"/>
        <v>6</v>
      </c>
      <c r="BW176" s="37">
        <f t="shared" si="375"/>
        <v>55</v>
      </c>
      <c r="BX176" s="439">
        <f t="shared" si="376"/>
        <v>1</v>
      </c>
      <c r="BY176" s="37">
        <f t="shared" si="377"/>
        <v>-23</v>
      </c>
      <c r="BZ176" s="37">
        <f t="shared" si="377"/>
        <v>-42</v>
      </c>
      <c r="CA176" s="37">
        <f t="shared" si="377"/>
        <v>-10</v>
      </c>
      <c r="CB176" s="37">
        <f>CA134-CB134</f>
        <v>17</v>
      </c>
      <c r="CC176" s="439">
        <f t="shared" si="378"/>
        <v>-58</v>
      </c>
      <c r="CD176" s="37">
        <f t="shared" si="379"/>
        <v>-22</v>
      </c>
      <c r="CE176" s="37">
        <f t="shared" si="379"/>
        <v>-36</v>
      </c>
      <c r="CF176" s="37">
        <f t="shared" si="379"/>
        <v>-9</v>
      </c>
      <c r="CG176" s="37">
        <f t="shared" si="379"/>
        <v>51</v>
      </c>
      <c r="CH176" s="439">
        <f t="shared" si="380"/>
        <v>-16</v>
      </c>
      <c r="CI176" s="37">
        <v>-10</v>
      </c>
      <c r="CJ176" s="37">
        <f>-40-CI176</f>
        <v>-30</v>
      </c>
      <c r="CK176" s="37">
        <f t="shared" si="381"/>
        <v>-74.320516121678111</v>
      </c>
      <c r="CL176" s="37">
        <f t="shared" ca="1" si="381"/>
        <v>44.06075919306079</v>
      </c>
      <c r="CM176" s="439">
        <f t="shared" ca="1" si="382"/>
        <v>-70.259756928617321</v>
      </c>
      <c r="CN176" s="37">
        <f t="shared" ca="1" si="383"/>
        <v>14.520185509543239</v>
      </c>
      <c r="CO176" s="37">
        <f t="shared" si="383"/>
        <v>-31.691743090169211</v>
      </c>
      <c r="CP176" s="37">
        <f t="shared" si="383"/>
        <v>-78.173136127796624</v>
      </c>
      <c r="CQ176" s="37">
        <f t="shared" ca="1" si="383"/>
        <v>63.999596965946012</v>
      </c>
      <c r="CR176" s="439">
        <f t="shared" ca="1" si="384"/>
        <v>-31.345096742476585</v>
      </c>
      <c r="CS176" s="37">
        <f t="shared" ca="1" si="385"/>
        <v>16.825636457126393</v>
      </c>
      <c r="CT176" s="37">
        <f t="shared" si="385"/>
        <v>-32.194616643777749</v>
      </c>
      <c r="CU176" s="37">
        <f t="shared" si="385"/>
        <v>-80.797809558442395</v>
      </c>
      <c r="CV176" s="37">
        <f t="shared" ca="1" si="385"/>
        <v>64.728986585650773</v>
      </c>
      <c r="CW176" s="439">
        <f t="shared" ca="1" si="386"/>
        <v>-31.437803159442979</v>
      </c>
      <c r="CX176" s="37">
        <f t="shared" ca="1" si="387"/>
        <v>18.149564058682927</v>
      </c>
      <c r="CY176" s="37">
        <f t="shared" si="387"/>
        <v>-32.731990117338341</v>
      </c>
      <c r="CZ176" s="37">
        <f t="shared" si="387"/>
        <v>-83.488591604108478</v>
      </c>
      <c r="DA176" s="37">
        <f t="shared" ca="1" si="387"/>
        <v>65.499157008206453</v>
      </c>
      <c r="DB176" s="439">
        <f t="shared" ca="1" si="388"/>
        <v>-32.57186065455744</v>
      </c>
      <c r="DC176" s="37">
        <f t="shared" ca="1" si="389"/>
        <v>19.492891718802639</v>
      </c>
      <c r="DD176" s="37">
        <f t="shared" si="389"/>
        <v>-33.306147957163603</v>
      </c>
      <c r="DE176" s="37">
        <f t="shared" si="389"/>
        <v>-86.247133029645283</v>
      </c>
      <c r="DF176" s="37">
        <f t="shared" ca="1" si="389"/>
        <v>66.312427005477502</v>
      </c>
      <c r="DG176" s="439">
        <f t="shared" ca="1" si="390"/>
        <v>-33.747962262528745</v>
      </c>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c r="HB176"/>
      <c r="HC176"/>
      <c r="HD176"/>
      <c r="HE176"/>
      <c r="HF176"/>
      <c r="HG176"/>
      <c r="HH176"/>
      <c r="HI176"/>
      <c r="HJ176"/>
      <c r="HK176"/>
      <c r="HL176"/>
      <c r="HM176"/>
      <c r="HN176"/>
      <c r="HO176"/>
      <c r="HP176"/>
      <c r="HQ176"/>
      <c r="HR176"/>
    </row>
    <row r="177" spans="1:226" s="45" customFormat="1" x14ac:dyDescent="0.2">
      <c r="A177" s="18" t="s">
        <v>40</v>
      </c>
      <c r="B177" s="37"/>
      <c r="C177" s="37"/>
      <c r="D177" s="37"/>
      <c r="E177" s="37"/>
      <c r="F177" s="439"/>
      <c r="G177" s="37">
        <f t="shared" si="348"/>
        <v>6</v>
      </c>
      <c r="H177" s="37">
        <f t="shared" si="348"/>
        <v>-5</v>
      </c>
      <c r="I177" s="37">
        <f t="shared" si="348"/>
        <v>8</v>
      </c>
      <c r="J177" s="37">
        <f t="shared" si="348"/>
        <v>-35</v>
      </c>
      <c r="K177" s="439">
        <f t="shared" si="349"/>
        <v>-26</v>
      </c>
      <c r="L177" s="37">
        <f t="shared" si="350"/>
        <v>7</v>
      </c>
      <c r="M177" s="37">
        <f t="shared" si="350"/>
        <v>-7</v>
      </c>
      <c r="N177" s="37">
        <f t="shared" si="350"/>
        <v>-6</v>
      </c>
      <c r="O177" s="37">
        <f t="shared" si="350"/>
        <v>43</v>
      </c>
      <c r="P177" s="439">
        <f t="shared" si="351"/>
        <v>37</v>
      </c>
      <c r="Q177" s="37">
        <f t="shared" si="352"/>
        <v>2</v>
      </c>
      <c r="R177" s="37">
        <f t="shared" si="352"/>
        <v>1</v>
      </c>
      <c r="S177" s="37">
        <f t="shared" si="352"/>
        <v>1</v>
      </c>
      <c r="T177" s="37">
        <f t="shared" si="352"/>
        <v>-3</v>
      </c>
      <c r="U177" s="439">
        <f t="shared" si="353"/>
        <v>1</v>
      </c>
      <c r="V177" s="37">
        <f t="shared" si="354"/>
        <v>-8</v>
      </c>
      <c r="W177" s="37">
        <f t="shared" si="354"/>
        <v>2</v>
      </c>
      <c r="X177" s="37">
        <f t="shared" si="354"/>
        <v>-9</v>
      </c>
      <c r="Y177" s="37">
        <f t="shared" si="354"/>
        <v>-3</v>
      </c>
      <c r="Z177" s="439">
        <f t="shared" si="355"/>
        <v>-18</v>
      </c>
      <c r="AA177" s="37">
        <f t="shared" si="356"/>
        <v>-1</v>
      </c>
      <c r="AB177" s="37">
        <f t="shared" si="356"/>
        <v>6</v>
      </c>
      <c r="AC177" s="37">
        <f t="shared" si="356"/>
        <v>-9</v>
      </c>
      <c r="AD177" s="37">
        <f t="shared" si="356"/>
        <v>-21</v>
      </c>
      <c r="AE177" s="439">
        <f t="shared" si="357"/>
        <v>-25</v>
      </c>
      <c r="AF177" s="37">
        <f t="shared" si="358"/>
        <v>21</v>
      </c>
      <c r="AG177" s="37">
        <f t="shared" si="358"/>
        <v>0</v>
      </c>
      <c r="AH177" s="37">
        <f t="shared" si="358"/>
        <v>-8</v>
      </c>
      <c r="AI177" s="37">
        <f t="shared" si="358"/>
        <v>-6</v>
      </c>
      <c r="AJ177" s="439">
        <f t="shared" si="359"/>
        <v>7</v>
      </c>
      <c r="AK177" s="37">
        <f t="shared" si="360"/>
        <v>-34</v>
      </c>
      <c r="AL177" s="37">
        <f t="shared" si="360"/>
        <v>-2</v>
      </c>
      <c r="AM177" s="37">
        <f t="shared" si="360"/>
        <v>9</v>
      </c>
      <c r="AN177" s="37">
        <f t="shared" si="360"/>
        <v>-38</v>
      </c>
      <c r="AO177" s="439">
        <f t="shared" si="361"/>
        <v>-65</v>
      </c>
      <c r="AP177" s="37">
        <f t="shared" si="362"/>
        <v>40</v>
      </c>
      <c r="AQ177" s="37">
        <f t="shared" si="362"/>
        <v>-24</v>
      </c>
      <c r="AR177" s="37">
        <f t="shared" si="363"/>
        <v>-2</v>
      </c>
      <c r="AS177" s="37">
        <f t="shared" si="363"/>
        <v>10</v>
      </c>
      <c r="AT177" s="439">
        <f t="shared" si="346"/>
        <v>24</v>
      </c>
      <c r="AU177" s="37">
        <f t="shared" si="364"/>
        <v>8</v>
      </c>
      <c r="AV177" s="37">
        <f t="shared" si="364"/>
        <v>-3</v>
      </c>
      <c r="AW177" s="37">
        <f t="shared" si="364"/>
        <v>-1</v>
      </c>
      <c r="AX177" s="37">
        <f t="shared" si="364"/>
        <v>-8</v>
      </c>
      <c r="AY177" s="439">
        <f t="shared" si="365"/>
        <v>-4</v>
      </c>
      <c r="AZ177" s="37">
        <f t="shared" si="366"/>
        <v>13</v>
      </c>
      <c r="BA177" s="37">
        <f t="shared" si="366"/>
        <v>0</v>
      </c>
      <c r="BB177" s="37">
        <f t="shared" si="366"/>
        <v>-4</v>
      </c>
      <c r="BC177" s="37">
        <f t="shared" si="366"/>
        <v>4</v>
      </c>
      <c r="BD177" s="439">
        <f t="shared" si="367"/>
        <v>13</v>
      </c>
      <c r="BE177" s="37">
        <f t="shared" si="368"/>
        <v>-9</v>
      </c>
      <c r="BF177" s="37">
        <f t="shared" si="368"/>
        <v>11</v>
      </c>
      <c r="BG177" s="37">
        <f t="shared" si="368"/>
        <v>-17</v>
      </c>
      <c r="BH177" s="37">
        <f t="shared" si="368"/>
        <v>-21</v>
      </c>
      <c r="BI177" s="439">
        <f t="shared" si="369"/>
        <v>-36</v>
      </c>
      <c r="BJ177" s="37">
        <f t="shared" si="368"/>
        <v>-5</v>
      </c>
      <c r="BK177" s="37">
        <f t="shared" si="370"/>
        <v>2</v>
      </c>
      <c r="BL177" s="37">
        <f t="shared" si="370"/>
        <v>3</v>
      </c>
      <c r="BM177" s="37">
        <f>BL135-BM135</f>
        <v>2</v>
      </c>
      <c r="BN177" s="439">
        <f t="shared" si="371"/>
        <v>2</v>
      </c>
      <c r="BO177" s="37">
        <f t="shared" si="372"/>
        <v>-5</v>
      </c>
      <c r="BP177" s="37">
        <f t="shared" si="372"/>
        <v>-42</v>
      </c>
      <c r="BQ177" s="37">
        <f>BP135-BQ135</f>
        <v>36</v>
      </c>
      <c r="BR177" s="37">
        <f t="shared" si="372"/>
        <v>24</v>
      </c>
      <c r="BS177" s="439">
        <f t="shared" si="373"/>
        <v>13</v>
      </c>
      <c r="BT177" s="37">
        <f t="shared" si="374"/>
        <v>-10</v>
      </c>
      <c r="BU177" s="37">
        <f t="shared" si="374"/>
        <v>-23</v>
      </c>
      <c r="BV177" s="37">
        <f>BU135-BV135</f>
        <v>18</v>
      </c>
      <c r="BW177" s="37">
        <f t="shared" si="375"/>
        <v>6</v>
      </c>
      <c r="BX177" s="439">
        <f t="shared" si="376"/>
        <v>-9</v>
      </c>
      <c r="BY177" s="37">
        <f t="shared" si="377"/>
        <v>-4</v>
      </c>
      <c r="BZ177" s="37">
        <f t="shared" si="377"/>
        <v>-29</v>
      </c>
      <c r="CA177" s="37">
        <f t="shared" si="377"/>
        <v>-10</v>
      </c>
      <c r="CB177" s="37">
        <f>CA135-CB135</f>
        <v>114</v>
      </c>
      <c r="CC177" s="439">
        <f t="shared" si="378"/>
        <v>71</v>
      </c>
      <c r="CD177" s="37">
        <f t="shared" si="379"/>
        <v>23</v>
      </c>
      <c r="CE177" s="37">
        <f t="shared" si="379"/>
        <v>-71</v>
      </c>
      <c r="CF177" s="37">
        <f t="shared" si="379"/>
        <v>26</v>
      </c>
      <c r="CG177" s="37">
        <f t="shared" si="379"/>
        <v>22</v>
      </c>
      <c r="CH177" s="439">
        <f t="shared" si="380"/>
        <v>0</v>
      </c>
      <c r="CI177" s="37">
        <v>-7</v>
      </c>
      <c r="CJ177" s="37">
        <f>-6-CI177</f>
        <v>1</v>
      </c>
      <c r="CK177" s="37">
        <f t="shared" si="381"/>
        <v>73.774464405944755</v>
      </c>
      <c r="CL177" s="37">
        <f t="shared" ca="1" si="381"/>
        <v>21.999681667255459</v>
      </c>
      <c r="CM177" s="439">
        <f t="shared" ca="1" si="382"/>
        <v>89.774146073200214</v>
      </c>
      <c r="CN177" s="37">
        <f t="shared" ca="1" si="383"/>
        <v>2.9440354541029023</v>
      </c>
      <c r="CO177" s="37">
        <f t="shared" si="383"/>
        <v>-109.80149083981313</v>
      </c>
      <c r="CP177" s="37">
        <f t="shared" si="383"/>
        <v>78.818958166726333</v>
      </c>
      <c r="CQ177" s="37">
        <f t="shared" ca="1" si="383"/>
        <v>26.131997587593418</v>
      </c>
      <c r="CR177" s="439">
        <f t="shared" ca="1" si="384"/>
        <v>-1.9064996313904743</v>
      </c>
      <c r="CS177" s="37">
        <f t="shared" ca="1" si="385"/>
        <v>3.3870824542220177</v>
      </c>
      <c r="CT177" s="37">
        <f t="shared" si="385"/>
        <v>-112.4735110682827</v>
      </c>
      <c r="CU177" s="37">
        <f t="shared" si="385"/>
        <v>80.760234410240102</v>
      </c>
      <c r="CV177" s="37">
        <f t="shared" ca="1" si="385"/>
        <v>26.792981667559971</v>
      </c>
      <c r="CW177" s="439">
        <f t="shared" ca="1" si="386"/>
        <v>-1.5332125362606064</v>
      </c>
      <c r="CX177" s="37">
        <f t="shared" ca="1" si="387"/>
        <v>3.4158817458040573</v>
      </c>
      <c r="CY177" s="37">
        <f t="shared" si="387"/>
        <v>-115.22344747227348</v>
      </c>
      <c r="CZ177" s="37">
        <f t="shared" si="387"/>
        <v>82.758493568921821</v>
      </c>
      <c r="DA177" s="37">
        <f t="shared" ca="1" si="387"/>
        <v>27.473662098273437</v>
      </c>
      <c r="DB177" s="439">
        <f t="shared" ca="1" si="388"/>
        <v>-1.5754100592741622</v>
      </c>
      <c r="DC177" s="37">
        <f t="shared" ca="1" si="389"/>
        <v>3.4445542817141188</v>
      </c>
      <c r="DD177" s="37">
        <f t="shared" si="389"/>
        <v>-118.05398471385752</v>
      </c>
      <c r="DE177" s="37">
        <f t="shared" si="389"/>
        <v>84.815702694498242</v>
      </c>
      <c r="DF177" s="37">
        <f t="shared" ca="1" si="389"/>
        <v>28.174723131849376</v>
      </c>
      <c r="DG177" s="439">
        <f t="shared" ca="1" si="390"/>
        <v>-1.6190046057957801</v>
      </c>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c r="HB177"/>
      <c r="HC177"/>
      <c r="HD177"/>
      <c r="HE177"/>
      <c r="HF177"/>
      <c r="HG177"/>
      <c r="HH177"/>
      <c r="HI177"/>
      <c r="HJ177"/>
      <c r="HK177"/>
      <c r="HL177"/>
      <c r="HM177"/>
      <c r="HN177"/>
      <c r="HO177"/>
      <c r="HP177"/>
      <c r="HQ177"/>
      <c r="HR177"/>
    </row>
    <row r="178" spans="1:226" s="45" customFormat="1" x14ac:dyDescent="0.2">
      <c r="A178" s="18" t="s">
        <v>48</v>
      </c>
      <c r="B178" s="37"/>
      <c r="C178" s="37"/>
      <c r="D178" s="37"/>
      <c r="E178" s="37"/>
      <c r="F178" s="439"/>
      <c r="G178" s="37">
        <f t="shared" ref="G178:J180" si="391">G147-F147</f>
        <v>-14</v>
      </c>
      <c r="H178" s="37">
        <f t="shared" si="391"/>
        <v>12</v>
      </c>
      <c r="I178" s="37">
        <f t="shared" si="391"/>
        <v>-9</v>
      </c>
      <c r="J178" s="37">
        <f t="shared" si="391"/>
        <v>27</v>
      </c>
      <c r="K178" s="439">
        <f t="shared" si="349"/>
        <v>16</v>
      </c>
      <c r="L178" s="37">
        <f t="shared" ref="L178:O180" si="392">L147-K147</f>
        <v>-51</v>
      </c>
      <c r="M178" s="37">
        <f t="shared" si="392"/>
        <v>-19</v>
      </c>
      <c r="N178" s="37">
        <f t="shared" si="392"/>
        <v>48</v>
      </c>
      <c r="O178" s="37">
        <f t="shared" si="392"/>
        <v>4</v>
      </c>
      <c r="P178" s="439">
        <f t="shared" si="351"/>
        <v>-18</v>
      </c>
      <c r="Q178" s="37">
        <f t="shared" ref="Q178:T180" si="393">Q147-P147</f>
        <v>-30</v>
      </c>
      <c r="R178" s="37">
        <f t="shared" si="393"/>
        <v>-47</v>
      </c>
      <c r="S178" s="37">
        <f t="shared" si="393"/>
        <v>69</v>
      </c>
      <c r="T178" s="37">
        <f t="shared" si="393"/>
        <v>6</v>
      </c>
      <c r="U178" s="439">
        <f t="shared" si="353"/>
        <v>-2</v>
      </c>
      <c r="V178" s="37">
        <f t="shared" ref="V178:Y180" si="394">V147-U147</f>
        <v>-23</v>
      </c>
      <c r="W178" s="37">
        <f t="shared" si="394"/>
        <v>6</v>
      </c>
      <c r="X178" s="37">
        <f t="shared" si="394"/>
        <v>19</v>
      </c>
      <c r="Y178" s="37">
        <f t="shared" si="394"/>
        <v>35</v>
      </c>
      <c r="Z178" s="439">
        <f t="shared" si="355"/>
        <v>37</v>
      </c>
      <c r="AA178" s="37">
        <f t="shared" ref="AA178:AD180" si="395">AA147-Z147</f>
        <v>-38</v>
      </c>
      <c r="AB178" s="37">
        <f t="shared" si="395"/>
        <v>-35</v>
      </c>
      <c r="AC178" s="37">
        <f t="shared" si="395"/>
        <v>11</v>
      </c>
      <c r="AD178" s="37">
        <f t="shared" si="395"/>
        <v>44</v>
      </c>
      <c r="AE178" s="439">
        <f t="shared" si="357"/>
        <v>-18</v>
      </c>
      <c r="AF178" s="37">
        <f t="shared" ref="AF178:AI180" si="396">AF147-AE147</f>
        <v>-30</v>
      </c>
      <c r="AG178" s="37">
        <f t="shared" si="396"/>
        <v>-16</v>
      </c>
      <c r="AH178" s="37">
        <f t="shared" si="396"/>
        <v>9</v>
      </c>
      <c r="AI178" s="37">
        <f t="shared" si="396"/>
        <v>37</v>
      </c>
      <c r="AJ178" s="439">
        <f t="shared" si="359"/>
        <v>0</v>
      </c>
      <c r="AK178" s="37">
        <f t="shared" ref="AK178:AN180" si="397">AK147-AJ147</f>
        <v>-11</v>
      </c>
      <c r="AL178" s="37">
        <f t="shared" si="397"/>
        <v>-6</v>
      </c>
      <c r="AM178" s="37">
        <f t="shared" si="397"/>
        <v>28</v>
      </c>
      <c r="AN178" s="37">
        <f t="shared" si="397"/>
        <v>78</v>
      </c>
      <c r="AO178" s="439">
        <f t="shared" si="361"/>
        <v>89</v>
      </c>
      <c r="AP178" s="37">
        <f t="shared" ref="AP178:AQ180" si="398">AP147-AO147</f>
        <v>-26</v>
      </c>
      <c r="AQ178" s="37">
        <f t="shared" si="398"/>
        <v>-62</v>
      </c>
      <c r="AR178" s="37">
        <f t="shared" ref="AR178:AS180" si="399">AR147-AQ147</f>
        <v>3</v>
      </c>
      <c r="AS178" s="37">
        <f t="shared" si="399"/>
        <v>48</v>
      </c>
      <c r="AT178" s="439">
        <f t="shared" si="346"/>
        <v>-37</v>
      </c>
      <c r="AU178" s="37">
        <f t="shared" ref="AU178:AX180" si="400">AU147-AT147</f>
        <v>-51</v>
      </c>
      <c r="AV178" s="37">
        <f t="shared" si="400"/>
        <v>-29</v>
      </c>
      <c r="AW178" s="37">
        <f>AW147-AV147</f>
        <v>41</v>
      </c>
      <c r="AX178" s="37">
        <f t="shared" si="400"/>
        <v>68</v>
      </c>
      <c r="AY178" s="439">
        <f t="shared" si="365"/>
        <v>29</v>
      </c>
      <c r="AZ178" s="37">
        <f t="shared" ref="AZ178:BC180" si="401">AZ147-AY147</f>
        <v>-31</v>
      </c>
      <c r="BA178" s="37">
        <f>BA147-AZ147</f>
        <v>-53</v>
      </c>
      <c r="BB178" s="37">
        <f>BB147-BA147</f>
        <v>34</v>
      </c>
      <c r="BC178" s="37">
        <f t="shared" si="401"/>
        <v>63</v>
      </c>
      <c r="BD178" s="439">
        <f t="shared" si="367"/>
        <v>13</v>
      </c>
      <c r="BE178" s="37">
        <f t="shared" ref="BE178:BJ180" si="402">BE147-BD147</f>
        <v>-66</v>
      </c>
      <c r="BF178" s="37">
        <f t="shared" si="402"/>
        <v>-12</v>
      </c>
      <c r="BG178" s="37">
        <f t="shared" si="402"/>
        <v>19</v>
      </c>
      <c r="BH178" s="37">
        <f t="shared" si="402"/>
        <v>48</v>
      </c>
      <c r="BI178" s="439">
        <f t="shared" si="369"/>
        <v>-11</v>
      </c>
      <c r="BJ178" s="37">
        <f t="shared" si="402"/>
        <v>-24</v>
      </c>
      <c r="BK178" s="37">
        <f t="shared" ref="BK178:BL180" si="403">BK147-BJ147</f>
        <v>-23</v>
      </c>
      <c r="BL178" s="37">
        <f t="shared" si="403"/>
        <v>25</v>
      </c>
      <c r="BM178" s="37">
        <f>BM147-BL147</f>
        <v>23</v>
      </c>
      <c r="BN178" s="439">
        <f t="shared" si="371"/>
        <v>1</v>
      </c>
      <c r="BO178" s="37">
        <f t="shared" ref="BO178:BR180" si="404">BO147-BN147</f>
        <v>-39</v>
      </c>
      <c r="BP178" s="37">
        <f t="shared" si="404"/>
        <v>-15</v>
      </c>
      <c r="BQ178" s="37">
        <f t="shared" si="404"/>
        <v>29</v>
      </c>
      <c r="BR178" s="37">
        <f t="shared" si="404"/>
        <v>52</v>
      </c>
      <c r="BS178" s="439">
        <f t="shared" si="373"/>
        <v>27</v>
      </c>
      <c r="BT178" s="37">
        <f t="shared" ref="BT178:BW180" si="405">BT147-BS147</f>
        <v>-55</v>
      </c>
      <c r="BU178" s="37">
        <f t="shared" si="405"/>
        <v>-10</v>
      </c>
      <c r="BV178" s="37">
        <f t="shared" si="405"/>
        <v>22</v>
      </c>
      <c r="BW178" s="37">
        <f t="shared" si="405"/>
        <v>34</v>
      </c>
      <c r="BX178" s="439">
        <f t="shared" si="376"/>
        <v>-9</v>
      </c>
      <c r="BY178" s="37">
        <f>BY147-BX147</f>
        <v>-12</v>
      </c>
      <c r="BZ178" s="37">
        <f t="shared" ref="BY178:CB180" si="406">BZ147-BY147</f>
        <v>-53</v>
      </c>
      <c r="CA178" s="37">
        <f t="shared" si="406"/>
        <v>70</v>
      </c>
      <c r="CB178" s="37">
        <f>CB147-CA147</f>
        <v>34.178276269185289</v>
      </c>
      <c r="CC178" s="439">
        <f t="shared" si="378"/>
        <v>39.178276269185289</v>
      </c>
      <c r="CD178" s="37">
        <f ca="1">CD147-CC147</f>
        <v>-92.087836992699522</v>
      </c>
      <c r="CE178" s="37">
        <f ca="1">CE147-CD147</f>
        <v>5.3636357558557393</v>
      </c>
      <c r="CF178" s="37">
        <f t="shared" ref="CD178:CG180" ca="1" si="407">CF147-CE147</f>
        <v>10.788387279216295</v>
      </c>
      <c r="CG178" s="37">
        <f t="shared" ca="1" si="407"/>
        <v>31.702047723861256</v>
      </c>
      <c r="CH178" s="439">
        <f t="shared" ca="1" si="380"/>
        <v>-44.233766233766232</v>
      </c>
      <c r="CI178" s="37">
        <v>-89</v>
      </c>
      <c r="CJ178" s="37">
        <f>-113-CI178</f>
        <v>-24</v>
      </c>
      <c r="CK178" s="37">
        <f t="shared" ref="CK178:CL180" ca="1" si="408">CK147-CJ147</f>
        <v>-500.12844236697788</v>
      </c>
      <c r="CL178" s="37">
        <f t="shared" ca="1" si="408"/>
        <v>36.087952993114072</v>
      </c>
      <c r="CM178" s="439">
        <f t="shared" ca="1" si="382"/>
        <v>-577.04048937386381</v>
      </c>
      <c r="CN178" s="37">
        <f t="shared" ref="CN178:CQ180" ca="1" si="409">CN147-CM147</f>
        <v>6.4709077644672561</v>
      </c>
      <c r="CO178" s="37">
        <f t="shared" ca="1" si="409"/>
        <v>511.85431391950806</v>
      </c>
      <c r="CP178" s="37">
        <f t="shared" ca="1" si="409"/>
        <v>-532.08489653460651</v>
      </c>
      <c r="CQ178" s="37">
        <f t="shared" ca="1" si="409"/>
        <v>23.352756697860912</v>
      </c>
      <c r="CR178" s="439">
        <f t="shared" ca="1" si="384"/>
        <v>9.5930818472297119</v>
      </c>
      <c r="CS178" s="37">
        <f t="shared" ref="CS178:CV180" ca="1" si="410">CS147-CR147</f>
        <v>6.1349212945352178</v>
      </c>
      <c r="CT178" s="37">
        <f t="shared" ca="1" si="410"/>
        <v>523.47027859377818</v>
      </c>
      <c r="CU178" s="37">
        <f t="shared" ca="1" si="410"/>
        <v>-544.11437943144711</v>
      </c>
      <c r="CV178" s="37">
        <f t="shared" ca="1" si="410"/>
        <v>23.524425633558224</v>
      </c>
      <c r="CW178" s="439">
        <f t="shared" ca="1" si="386"/>
        <v>9.0152460904244549</v>
      </c>
      <c r="CX178" s="37">
        <f t="shared" ref="CX178:DA180" ca="1" si="411">CX147-CW147</f>
        <v>-8.0924903970087598</v>
      </c>
      <c r="CY178" s="37">
        <f t="shared" ca="1" si="411"/>
        <v>535.80096038871034</v>
      </c>
      <c r="CZ178" s="37">
        <f t="shared" ca="1" si="411"/>
        <v>-557.44902734598963</v>
      </c>
      <c r="DA178" s="37">
        <f t="shared" ca="1" si="411"/>
        <v>22.812212664447486</v>
      </c>
      <c r="DB178" s="439">
        <f t="shared" ca="1" si="388"/>
        <v>-6.9283446898405714</v>
      </c>
      <c r="DC178" s="37">
        <f t="shared" ref="DC178:DF180" ca="1" si="412">DC147-DB147</f>
        <v>-6.7677386803686659</v>
      </c>
      <c r="DD178" s="37">
        <f t="shared" ca="1" si="412"/>
        <v>548.46572138301485</v>
      </c>
      <c r="DE178" s="37">
        <f t="shared" ca="1" si="412"/>
        <v>-571.15407785432717</v>
      </c>
      <c r="DF178" s="37">
        <f t="shared" ca="1" si="412"/>
        <v>22.084183325195681</v>
      </c>
      <c r="DG178" s="439">
        <f t="shared" ca="1" si="390"/>
        <v>-7.3719118264853023</v>
      </c>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c r="HB178"/>
      <c r="HC178"/>
      <c r="HD178"/>
      <c r="HE178"/>
      <c r="HF178"/>
      <c r="HG178"/>
      <c r="HH178"/>
      <c r="HI178"/>
      <c r="HJ178"/>
      <c r="HK178"/>
      <c r="HL178"/>
      <c r="HM178"/>
      <c r="HN178"/>
      <c r="HO178"/>
      <c r="HP178"/>
      <c r="HQ178"/>
      <c r="HR178"/>
    </row>
    <row r="179" spans="1:226" s="45" customFormat="1" x14ac:dyDescent="0.2">
      <c r="A179" s="18" t="s">
        <v>49</v>
      </c>
      <c r="B179" s="37"/>
      <c r="C179" s="37"/>
      <c r="D179" s="37"/>
      <c r="E179" s="37"/>
      <c r="F179" s="439"/>
      <c r="G179" s="37">
        <f t="shared" si="391"/>
        <v>-16</v>
      </c>
      <c r="H179" s="37">
        <f t="shared" si="391"/>
        <v>19</v>
      </c>
      <c r="I179" s="37">
        <f t="shared" si="391"/>
        <v>16</v>
      </c>
      <c r="J179" s="37">
        <f t="shared" si="391"/>
        <v>55</v>
      </c>
      <c r="K179" s="439">
        <f t="shared" si="349"/>
        <v>74</v>
      </c>
      <c r="L179" s="37">
        <f t="shared" si="392"/>
        <v>-60</v>
      </c>
      <c r="M179" s="37">
        <f t="shared" si="392"/>
        <v>10</v>
      </c>
      <c r="N179" s="37">
        <f t="shared" si="392"/>
        <v>49</v>
      </c>
      <c r="O179" s="37">
        <f t="shared" si="392"/>
        <v>28</v>
      </c>
      <c r="P179" s="439">
        <f t="shared" si="351"/>
        <v>27</v>
      </c>
      <c r="Q179" s="37">
        <f t="shared" si="393"/>
        <v>-47</v>
      </c>
      <c r="R179" s="37">
        <f t="shared" si="393"/>
        <v>32</v>
      </c>
      <c r="S179" s="37">
        <f t="shared" si="393"/>
        <v>58</v>
      </c>
      <c r="T179" s="37">
        <f t="shared" si="393"/>
        <v>63</v>
      </c>
      <c r="U179" s="439">
        <f t="shared" si="353"/>
        <v>106</v>
      </c>
      <c r="V179" s="37">
        <f t="shared" si="394"/>
        <v>-26</v>
      </c>
      <c r="W179" s="37">
        <f t="shared" si="394"/>
        <v>12</v>
      </c>
      <c r="X179" s="37">
        <f t="shared" si="394"/>
        <v>-98</v>
      </c>
      <c r="Y179" s="37">
        <f t="shared" si="394"/>
        <v>83</v>
      </c>
      <c r="Z179" s="439">
        <f t="shared" si="355"/>
        <v>-29</v>
      </c>
      <c r="AA179" s="37">
        <f t="shared" si="395"/>
        <v>-210</v>
      </c>
      <c r="AB179" s="37">
        <f t="shared" si="395"/>
        <v>46</v>
      </c>
      <c r="AC179" s="37">
        <f t="shared" si="395"/>
        <v>-13</v>
      </c>
      <c r="AD179" s="37">
        <f t="shared" si="395"/>
        <v>37</v>
      </c>
      <c r="AE179" s="439">
        <f t="shared" si="357"/>
        <v>-140</v>
      </c>
      <c r="AF179" s="37">
        <f t="shared" si="396"/>
        <v>-59</v>
      </c>
      <c r="AG179" s="37">
        <f t="shared" si="396"/>
        <v>20</v>
      </c>
      <c r="AH179" s="37">
        <f t="shared" si="396"/>
        <v>25</v>
      </c>
      <c r="AI179" s="37">
        <f t="shared" si="396"/>
        <v>47</v>
      </c>
      <c r="AJ179" s="439">
        <f t="shared" si="359"/>
        <v>33</v>
      </c>
      <c r="AK179" s="37">
        <f t="shared" si="397"/>
        <v>-160</v>
      </c>
      <c r="AL179" s="37">
        <f t="shared" si="397"/>
        <v>42</v>
      </c>
      <c r="AM179" s="37">
        <f t="shared" si="397"/>
        <v>17</v>
      </c>
      <c r="AN179" s="37">
        <f t="shared" si="397"/>
        <v>34</v>
      </c>
      <c r="AO179" s="439">
        <f t="shared" si="361"/>
        <v>-67</v>
      </c>
      <c r="AP179" s="37">
        <f t="shared" si="398"/>
        <v>-73</v>
      </c>
      <c r="AQ179" s="37">
        <f t="shared" si="398"/>
        <v>63</v>
      </c>
      <c r="AR179" s="37">
        <f t="shared" si="399"/>
        <v>30</v>
      </c>
      <c r="AS179" s="37">
        <f t="shared" si="399"/>
        <v>12</v>
      </c>
      <c r="AT179" s="439">
        <f t="shared" si="346"/>
        <v>32</v>
      </c>
      <c r="AU179" s="37">
        <f t="shared" si="400"/>
        <v>-67</v>
      </c>
      <c r="AV179" s="37">
        <f t="shared" si="400"/>
        <v>31</v>
      </c>
      <c r="AW179" s="37">
        <f>AW148-AV148</f>
        <v>42</v>
      </c>
      <c r="AX179" s="37">
        <f t="shared" si="400"/>
        <v>14</v>
      </c>
      <c r="AY179" s="439">
        <f t="shared" si="365"/>
        <v>20</v>
      </c>
      <c r="AZ179" s="37">
        <f t="shared" si="401"/>
        <v>-67</v>
      </c>
      <c r="BA179" s="37">
        <f t="shared" si="401"/>
        <v>18</v>
      </c>
      <c r="BB179" s="37">
        <f t="shared" si="401"/>
        <v>9</v>
      </c>
      <c r="BC179" s="37">
        <f t="shared" si="401"/>
        <v>-10</v>
      </c>
      <c r="BD179" s="439">
        <f t="shared" si="367"/>
        <v>-50</v>
      </c>
      <c r="BE179" s="37">
        <f t="shared" si="402"/>
        <v>-8</v>
      </c>
      <c r="BF179" s="37">
        <f t="shared" si="402"/>
        <v>4</v>
      </c>
      <c r="BG179" s="37">
        <f t="shared" si="402"/>
        <v>34</v>
      </c>
      <c r="BH179" s="37">
        <f t="shared" si="402"/>
        <v>22</v>
      </c>
      <c r="BI179" s="439">
        <f t="shared" si="369"/>
        <v>52</v>
      </c>
      <c r="BJ179" s="37">
        <f t="shared" si="402"/>
        <v>-36</v>
      </c>
      <c r="BK179" s="37">
        <f t="shared" si="403"/>
        <v>35</v>
      </c>
      <c r="BL179" s="37">
        <f t="shared" si="403"/>
        <v>10</v>
      </c>
      <c r="BM179" s="37">
        <f>BM148-BL148</f>
        <v>-13</v>
      </c>
      <c r="BN179" s="439">
        <f t="shared" si="371"/>
        <v>-4</v>
      </c>
      <c r="BO179" s="37">
        <f t="shared" si="404"/>
        <v>-22</v>
      </c>
      <c r="BP179" s="37">
        <f t="shared" si="404"/>
        <v>12</v>
      </c>
      <c r="BQ179" s="37">
        <f t="shared" si="404"/>
        <v>1</v>
      </c>
      <c r="BR179" s="37">
        <f t="shared" si="404"/>
        <v>-9</v>
      </c>
      <c r="BS179" s="439">
        <f t="shared" si="373"/>
        <v>-18</v>
      </c>
      <c r="BT179" s="37">
        <f t="shared" si="405"/>
        <v>6</v>
      </c>
      <c r="BU179" s="37">
        <f t="shared" si="405"/>
        <v>14</v>
      </c>
      <c r="BV179" s="37">
        <f t="shared" si="405"/>
        <v>41</v>
      </c>
      <c r="BW179" s="37">
        <f t="shared" si="405"/>
        <v>15</v>
      </c>
      <c r="BX179" s="439">
        <f t="shared" si="376"/>
        <v>76</v>
      </c>
      <c r="BY179" s="37">
        <f t="shared" si="406"/>
        <v>-84</v>
      </c>
      <c r="BZ179" s="37">
        <f t="shared" si="406"/>
        <v>28</v>
      </c>
      <c r="CA179" s="37">
        <f t="shared" si="406"/>
        <v>27</v>
      </c>
      <c r="CB179" s="37">
        <f>CB148-CA148</f>
        <v>45.821723730814711</v>
      </c>
      <c r="CC179" s="439">
        <f t="shared" si="378"/>
        <v>16.821723730814711</v>
      </c>
      <c r="CD179" s="37">
        <f t="shared" ca="1" si="407"/>
        <v>-68.912163007300478</v>
      </c>
      <c r="CE179" s="37">
        <f t="shared" ca="1" si="407"/>
        <v>-1.3636357558557393</v>
      </c>
      <c r="CF179" s="37">
        <f t="shared" ca="1" si="407"/>
        <v>59.211612720783705</v>
      </c>
      <c r="CG179" s="37">
        <f t="shared" ca="1" si="407"/>
        <v>25.297952276138744</v>
      </c>
      <c r="CH179" s="439">
        <f t="shared" ca="1" si="380"/>
        <v>14.233766233766232</v>
      </c>
      <c r="CI179" s="37">
        <v>0</v>
      </c>
      <c r="CJ179" s="37">
        <v>0</v>
      </c>
      <c r="CK179" s="37">
        <f t="shared" ca="1" si="408"/>
        <v>579.49430954070317</v>
      </c>
      <c r="CL179" s="37">
        <f t="shared" ca="1" si="408"/>
        <v>34.037401083817031</v>
      </c>
      <c r="CM179" s="439">
        <f t="shared" ca="1" si="382"/>
        <v>613.5317106245202</v>
      </c>
      <c r="CN179" s="37">
        <f t="shared" ca="1" si="409"/>
        <v>-69.502085687093427</v>
      </c>
      <c r="CO179" s="37">
        <f t="shared" ca="1" si="409"/>
        <v>-544.02962493742677</v>
      </c>
      <c r="CP179" s="37">
        <f t="shared" ca="1" si="409"/>
        <v>613.11360374105141</v>
      </c>
      <c r="CQ179" s="37">
        <f t="shared" ca="1" si="409"/>
        <v>14.399641371518442</v>
      </c>
      <c r="CR179" s="439">
        <f t="shared" ca="1" si="384"/>
        <v>13.981534488049647</v>
      </c>
      <c r="CS179" s="37">
        <f t="shared" ca="1" si="410"/>
        <v>-71.701271728619986</v>
      </c>
      <c r="CT179" s="37">
        <f t="shared" ca="1" si="410"/>
        <v>-555.81197338394986</v>
      </c>
      <c r="CU179" s="37">
        <f t="shared" ca="1" si="410"/>
        <v>626.42922173232682</v>
      </c>
      <c r="CV179" s="37">
        <f t="shared" ca="1" si="410"/>
        <v>14.223385280707248</v>
      </c>
      <c r="CW179" s="439">
        <f t="shared" ca="1" si="386"/>
        <v>13.139361900464223</v>
      </c>
      <c r="CX179" s="37">
        <f t="shared" ca="1" si="411"/>
        <v>-72.747737040623065</v>
      </c>
      <c r="CY179" s="37">
        <f t="shared" ca="1" si="411"/>
        <v>-567.90486997241101</v>
      </c>
      <c r="CZ179" s="37">
        <f t="shared" ca="1" si="411"/>
        <v>640.09931065309786</v>
      </c>
      <c r="DA179" s="37">
        <f t="shared" ca="1" si="411"/>
        <v>14.032299212897783</v>
      </c>
      <c r="DB179" s="439">
        <f t="shared" ca="1" si="388"/>
        <v>13.479002852961571</v>
      </c>
      <c r="DC179" s="37">
        <f t="shared" ca="1" si="412"/>
        <v>-73.813377187381093</v>
      </c>
      <c r="DD179" s="37">
        <f t="shared" ca="1" si="412"/>
        <v>-580.31823267861455</v>
      </c>
      <c r="DE179" s="37">
        <f t="shared" ca="1" si="412"/>
        <v>654.13532318914736</v>
      </c>
      <c r="DF179" s="37">
        <f t="shared" ca="1" si="412"/>
        <v>13.825712889124929</v>
      </c>
      <c r="DG179" s="439">
        <f t="shared" ca="1" si="390"/>
        <v>13.829426212276644</v>
      </c>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c r="HB179"/>
      <c r="HC179"/>
      <c r="HD179"/>
      <c r="HE179"/>
      <c r="HF179"/>
      <c r="HG179"/>
      <c r="HH179"/>
      <c r="HI179"/>
      <c r="HJ179"/>
      <c r="HK179"/>
      <c r="HL179"/>
      <c r="HM179"/>
      <c r="HN179"/>
      <c r="HO179"/>
      <c r="HP179"/>
      <c r="HQ179"/>
      <c r="HR179"/>
    </row>
    <row r="180" spans="1:226" s="45" customFormat="1" x14ac:dyDescent="0.2">
      <c r="A180" s="18" t="s">
        <v>50</v>
      </c>
      <c r="B180" s="37"/>
      <c r="C180" s="37"/>
      <c r="D180" s="37"/>
      <c r="E180" s="37"/>
      <c r="F180" s="439"/>
      <c r="G180" s="37">
        <f t="shared" si="391"/>
        <v>41</v>
      </c>
      <c r="H180" s="37">
        <f t="shared" si="391"/>
        <v>8</v>
      </c>
      <c r="I180" s="37">
        <f t="shared" si="391"/>
        <v>20</v>
      </c>
      <c r="J180" s="37">
        <f t="shared" si="391"/>
        <v>-15</v>
      </c>
      <c r="K180" s="439">
        <f t="shared" si="349"/>
        <v>54</v>
      </c>
      <c r="L180" s="37">
        <f t="shared" si="392"/>
        <v>4</v>
      </c>
      <c r="M180" s="37">
        <f t="shared" si="392"/>
        <v>26</v>
      </c>
      <c r="N180" s="37">
        <f t="shared" si="392"/>
        <v>33</v>
      </c>
      <c r="O180" s="37">
        <f t="shared" si="392"/>
        <v>-89</v>
      </c>
      <c r="P180" s="439">
        <f t="shared" si="351"/>
        <v>-26</v>
      </c>
      <c r="Q180" s="37">
        <f t="shared" si="393"/>
        <v>-26</v>
      </c>
      <c r="R180" s="37">
        <f t="shared" si="393"/>
        <v>20</v>
      </c>
      <c r="S180" s="37">
        <f t="shared" si="393"/>
        <v>19</v>
      </c>
      <c r="T180" s="37">
        <f t="shared" si="393"/>
        <v>-17</v>
      </c>
      <c r="U180" s="439">
        <f t="shared" si="353"/>
        <v>-4</v>
      </c>
      <c r="V180" s="37">
        <f t="shared" si="394"/>
        <v>-6</v>
      </c>
      <c r="W180" s="37">
        <f t="shared" si="394"/>
        <v>-18</v>
      </c>
      <c r="X180" s="37">
        <f t="shared" si="394"/>
        <v>33</v>
      </c>
      <c r="Y180" s="37">
        <f t="shared" si="394"/>
        <v>-7</v>
      </c>
      <c r="Z180" s="439">
        <f t="shared" si="355"/>
        <v>2</v>
      </c>
      <c r="AA180" s="37">
        <f t="shared" si="395"/>
        <v>-26</v>
      </c>
      <c r="AB180" s="37">
        <f t="shared" si="395"/>
        <v>24</v>
      </c>
      <c r="AC180" s="37">
        <f t="shared" si="395"/>
        <v>12</v>
      </c>
      <c r="AD180" s="37">
        <f t="shared" si="395"/>
        <v>-17</v>
      </c>
      <c r="AE180" s="439">
        <f t="shared" si="357"/>
        <v>-7</v>
      </c>
      <c r="AF180" s="37">
        <f t="shared" si="396"/>
        <v>7</v>
      </c>
      <c r="AG180" s="37">
        <f t="shared" si="396"/>
        <v>-2</v>
      </c>
      <c r="AH180" s="37">
        <f t="shared" si="396"/>
        <v>0</v>
      </c>
      <c r="AI180" s="37">
        <f t="shared" si="396"/>
        <v>-7</v>
      </c>
      <c r="AJ180" s="439">
        <f t="shared" si="359"/>
        <v>-2</v>
      </c>
      <c r="AK180" s="37">
        <f t="shared" si="397"/>
        <v>99</v>
      </c>
      <c r="AL180" s="37">
        <f t="shared" si="397"/>
        <v>-26</v>
      </c>
      <c r="AM180" s="37">
        <f t="shared" si="397"/>
        <v>-20</v>
      </c>
      <c r="AN180" s="37">
        <f t="shared" si="397"/>
        <v>-22</v>
      </c>
      <c r="AO180" s="439">
        <f t="shared" si="361"/>
        <v>31</v>
      </c>
      <c r="AP180" s="37">
        <f t="shared" si="398"/>
        <v>27</v>
      </c>
      <c r="AQ180" s="37">
        <f t="shared" si="398"/>
        <v>-43</v>
      </c>
      <c r="AR180" s="37">
        <f t="shared" si="399"/>
        <v>33</v>
      </c>
      <c r="AS180" s="37">
        <f t="shared" si="399"/>
        <v>21</v>
      </c>
      <c r="AT180" s="439">
        <f t="shared" si="346"/>
        <v>38</v>
      </c>
      <c r="AU180" s="37">
        <f t="shared" si="400"/>
        <v>13</v>
      </c>
      <c r="AV180" s="37">
        <f t="shared" si="400"/>
        <v>-64</v>
      </c>
      <c r="AW180" s="37">
        <f>AW149-AV149</f>
        <v>31</v>
      </c>
      <c r="AX180" s="37">
        <f t="shared" si="400"/>
        <v>8</v>
      </c>
      <c r="AY180" s="439">
        <f t="shared" si="365"/>
        <v>-12</v>
      </c>
      <c r="AZ180" s="37">
        <f t="shared" si="401"/>
        <v>13</v>
      </c>
      <c r="BA180" s="37">
        <f t="shared" si="401"/>
        <v>17</v>
      </c>
      <c r="BB180" s="37">
        <f t="shared" si="401"/>
        <v>-27</v>
      </c>
      <c r="BC180" s="37">
        <f t="shared" si="401"/>
        <v>-36</v>
      </c>
      <c r="BD180" s="439">
        <f t="shared" si="367"/>
        <v>-33</v>
      </c>
      <c r="BE180" s="37">
        <f t="shared" si="402"/>
        <v>-4</v>
      </c>
      <c r="BF180" s="37">
        <f t="shared" si="402"/>
        <v>-9</v>
      </c>
      <c r="BG180" s="37">
        <f t="shared" si="402"/>
        <v>-13</v>
      </c>
      <c r="BH180" s="37">
        <f t="shared" si="402"/>
        <v>-10</v>
      </c>
      <c r="BI180" s="439">
        <f t="shared" si="369"/>
        <v>-36</v>
      </c>
      <c r="BJ180" s="37">
        <f t="shared" si="402"/>
        <v>22</v>
      </c>
      <c r="BK180" s="37">
        <f t="shared" si="403"/>
        <v>-17</v>
      </c>
      <c r="BL180" s="37">
        <f t="shared" si="403"/>
        <v>13</v>
      </c>
      <c r="BM180" s="37">
        <f>BM149-BL149</f>
        <v>6</v>
      </c>
      <c r="BN180" s="439">
        <f t="shared" si="371"/>
        <v>24</v>
      </c>
      <c r="BO180" s="37">
        <f t="shared" si="404"/>
        <v>13</v>
      </c>
      <c r="BP180" s="37">
        <f t="shared" si="404"/>
        <v>-42</v>
      </c>
      <c r="BQ180" s="37">
        <f t="shared" si="404"/>
        <v>0</v>
      </c>
      <c r="BR180" s="37">
        <f>BR149-BQ149</f>
        <v>8</v>
      </c>
      <c r="BS180" s="439">
        <f t="shared" si="373"/>
        <v>-21</v>
      </c>
      <c r="BT180" s="37">
        <f t="shared" si="405"/>
        <v>34</v>
      </c>
      <c r="BU180" s="37">
        <f t="shared" si="405"/>
        <v>-42</v>
      </c>
      <c r="BV180" s="37">
        <f t="shared" si="405"/>
        <v>0</v>
      </c>
      <c r="BW180" s="37">
        <f t="shared" si="405"/>
        <v>31</v>
      </c>
      <c r="BX180" s="439">
        <f t="shared" si="376"/>
        <v>23</v>
      </c>
      <c r="BY180" s="37">
        <v>18</v>
      </c>
      <c r="BZ180" s="37">
        <f t="shared" si="406"/>
        <v>-37</v>
      </c>
      <c r="CA180" s="37">
        <f t="shared" si="406"/>
        <v>0</v>
      </c>
      <c r="CB180" s="37">
        <f t="shared" si="406"/>
        <v>0</v>
      </c>
      <c r="CC180" s="439">
        <f t="shared" si="378"/>
        <v>-19</v>
      </c>
      <c r="CD180" s="37">
        <v>62</v>
      </c>
      <c r="CE180" s="37">
        <f t="shared" ca="1" si="407"/>
        <v>-30</v>
      </c>
      <c r="CF180" s="37">
        <f t="shared" ca="1" si="407"/>
        <v>0</v>
      </c>
      <c r="CG180" s="37">
        <f t="shared" ca="1" si="407"/>
        <v>0</v>
      </c>
      <c r="CH180" s="439">
        <f t="shared" ca="1" si="380"/>
        <v>32</v>
      </c>
      <c r="CI180" s="37">
        <v>71</v>
      </c>
      <c r="CJ180" s="37">
        <f>-71-CI180</f>
        <v>-142</v>
      </c>
      <c r="CK180" s="37">
        <f t="shared" ca="1" si="408"/>
        <v>0</v>
      </c>
      <c r="CL180" s="37">
        <f t="shared" ca="1" si="408"/>
        <v>0</v>
      </c>
      <c r="CM180" s="439">
        <f t="shared" ca="1" si="382"/>
        <v>-71</v>
      </c>
      <c r="CN180" s="37">
        <f t="shared" ca="1" si="409"/>
        <v>53.836826137415954</v>
      </c>
      <c r="CO180" s="37">
        <f t="shared" si="409"/>
        <v>-53.836826137415954</v>
      </c>
      <c r="CP180" s="37">
        <f t="shared" ca="1" si="409"/>
        <v>0</v>
      </c>
      <c r="CQ180" s="37">
        <f t="shared" ca="1" si="409"/>
        <v>0</v>
      </c>
      <c r="CR180" s="439">
        <f t="shared" ca="1" si="384"/>
        <v>0</v>
      </c>
      <c r="CS180" s="37">
        <f t="shared" ca="1" si="410"/>
        <v>55.10184451359968</v>
      </c>
      <c r="CT180" s="37">
        <f t="shared" si="410"/>
        <v>-55.10184451359968</v>
      </c>
      <c r="CU180" s="37">
        <f t="shared" ca="1" si="410"/>
        <v>0</v>
      </c>
      <c r="CV180" s="37">
        <f t="shared" ca="1" si="410"/>
        <v>0</v>
      </c>
      <c r="CW180" s="439">
        <f t="shared" ca="1" si="386"/>
        <v>0</v>
      </c>
      <c r="CX180" s="37">
        <f t="shared" ca="1" si="411"/>
        <v>56.402269521711659</v>
      </c>
      <c r="CY180" s="37">
        <f t="shared" si="411"/>
        <v>-56.402269521711659</v>
      </c>
      <c r="CZ180" s="37">
        <f t="shared" ca="1" si="411"/>
        <v>0</v>
      </c>
      <c r="DA180" s="37">
        <f t="shared" ca="1" si="411"/>
        <v>0</v>
      </c>
      <c r="DB180" s="439">
        <f t="shared" ca="1" si="388"/>
        <v>0</v>
      </c>
      <c r="DC180" s="37">
        <f t="shared" ca="1" si="412"/>
        <v>57.739279923263673</v>
      </c>
      <c r="DD180" s="37">
        <f t="shared" si="412"/>
        <v>-57.739279923263673</v>
      </c>
      <c r="DE180" s="37">
        <f t="shared" ca="1" si="412"/>
        <v>0</v>
      </c>
      <c r="DF180" s="37">
        <f t="shared" ca="1" si="412"/>
        <v>0</v>
      </c>
      <c r="DG180" s="439">
        <f t="shared" ca="1" si="390"/>
        <v>0</v>
      </c>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c r="HB180"/>
      <c r="HC180"/>
      <c r="HD180"/>
      <c r="HE180"/>
      <c r="HF180"/>
      <c r="HG180"/>
      <c r="HH180"/>
      <c r="HI180"/>
      <c r="HJ180"/>
      <c r="HK180"/>
      <c r="HL180"/>
      <c r="HM180"/>
      <c r="HN180"/>
      <c r="HO180"/>
      <c r="HP180"/>
      <c r="HQ180"/>
      <c r="HR180"/>
    </row>
    <row r="181" spans="1:226" s="19" customFormat="1" ht="13.5" customHeight="1" x14ac:dyDescent="0.2">
      <c r="A181" s="18" t="s">
        <v>69</v>
      </c>
      <c r="B181" s="67"/>
      <c r="C181" s="67"/>
      <c r="D181" s="67"/>
      <c r="E181" s="67"/>
      <c r="F181" s="448"/>
      <c r="G181" s="67">
        <v>-7</v>
      </c>
      <c r="H181" s="67">
        <f>-8-G181</f>
        <v>-1</v>
      </c>
      <c r="I181" s="67">
        <f>2-H181-G181</f>
        <v>10</v>
      </c>
      <c r="J181" s="67">
        <f>K181-I181-H181-G181</f>
        <v>-2</v>
      </c>
      <c r="K181" s="448">
        <v>0</v>
      </c>
      <c r="L181" s="67">
        <v>-12</v>
      </c>
      <c r="M181" s="67">
        <f>-6-L181</f>
        <v>6</v>
      </c>
      <c r="N181" s="67">
        <f>-52-6-M181-L181</f>
        <v>-52</v>
      </c>
      <c r="O181" s="67">
        <f>P181-N181-M181-L181</f>
        <v>54</v>
      </c>
      <c r="P181" s="448">
        <v>-4</v>
      </c>
      <c r="Q181" s="67">
        <v>-37</v>
      </c>
      <c r="R181" s="67">
        <f>34-Q181</f>
        <v>71</v>
      </c>
      <c r="S181" s="67">
        <f>44-R181-Q181</f>
        <v>10</v>
      </c>
      <c r="T181" s="67">
        <f>U181-S181-R181-Q181</f>
        <v>-30</v>
      </c>
      <c r="U181" s="448">
        <f>-41+55</f>
        <v>14</v>
      </c>
      <c r="V181" s="67">
        <v>0</v>
      </c>
      <c r="W181" s="67">
        <f>35-V181</f>
        <v>35</v>
      </c>
      <c r="X181" s="67">
        <f>41-W181-V181</f>
        <v>6</v>
      </c>
      <c r="Y181" s="67">
        <f>Z181-X181-W181-V181</f>
        <v>-4</v>
      </c>
      <c r="Z181" s="448">
        <v>37</v>
      </c>
      <c r="AA181" s="67">
        <v>-6</v>
      </c>
      <c r="AB181" s="67">
        <f>6-AA181</f>
        <v>12</v>
      </c>
      <c r="AC181" s="67">
        <f>8-AB181-AA181</f>
        <v>2</v>
      </c>
      <c r="AD181" s="67">
        <f>AE181-AC181-AB181-AA181</f>
        <v>-1</v>
      </c>
      <c r="AE181" s="448">
        <f>-1+8</f>
        <v>7</v>
      </c>
      <c r="AF181" s="67">
        <v>0</v>
      </c>
      <c r="AG181" s="67">
        <v>0</v>
      </c>
      <c r="AH181" s="67">
        <v>-5</v>
      </c>
      <c r="AI181" s="67">
        <v>0</v>
      </c>
      <c r="AJ181" s="448">
        <f t="shared" si="359"/>
        <v>-5</v>
      </c>
      <c r="AK181" s="67">
        <v>0</v>
      </c>
      <c r="AL181" s="67">
        <v>0</v>
      </c>
      <c r="AM181" s="67">
        <v>0</v>
      </c>
      <c r="AN181" s="67">
        <v>0</v>
      </c>
      <c r="AO181" s="448">
        <f>SUM(AK181:AN181)</f>
        <v>0</v>
      </c>
      <c r="AP181" s="67">
        <v>0</v>
      </c>
      <c r="AQ181" s="67">
        <v>0</v>
      </c>
      <c r="AR181" s="67">
        <v>0</v>
      </c>
      <c r="AS181" s="67">
        <v>0</v>
      </c>
      <c r="AT181" s="448">
        <f t="shared" si="346"/>
        <v>0</v>
      </c>
      <c r="AU181" s="67">
        <v>0</v>
      </c>
      <c r="AV181" s="67">
        <v>0</v>
      </c>
      <c r="AW181" s="67">
        <v>0</v>
      </c>
      <c r="AX181" s="67">
        <v>0</v>
      </c>
      <c r="AY181" s="448">
        <f t="shared" si="365"/>
        <v>0</v>
      </c>
      <c r="AZ181" s="67">
        <v>0</v>
      </c>
      <c r="BA181" s="67">
        <v>0</v>
      </c>
      <c r="BB181" s="67">
        <v>0</v>
      </c>
      <c r="BC181" s="67">
        <v>0</v>
      </c>
      <c r="BD181" s="448">
        <f t="shared" si="367"/>
        <v>0</v>
      </c>
      <c r="BE181" s="67">
        <v>0</v>
      </c>
      <c r="BF181" s="67">
        <v>0</v>
      </c>
      <c r="BG181" s="67">
        <v>0</v>
      </c>
      <c r="BH181" s="67">
        <v>0</v>
      </c>
      <c r="BI181" s="448">
        <f t="shared" si="369"/>
        <v>0</v>
      </c>
      <c r="BJ181" s="67">
        <v>0</v>
      </c>
      <c r="BK181" s="67">
        <v>0</v>
      </c>
      <c r="BL181" s="67">
        <v>0</v>
      </c>
      <c r="BM181" s="67">
        <v>0</v>
      </c>
      <c r="BN181" s="448">
        <f t="shared" si="371"/>
        <v>0</v>
      </c>
      <c r="BO181" s="67">
        <v>-1</v>
      </c>
      <c r="BP181" s="67">
        <v>-2</v>
      </c>
      <c r="BQ181" s="67">
        <v>-4</v>
      </c>
      <c r="BR181" s="67">
        <v>0</v>
      </c>
      <c r="BS181" s="448">
        <f>SUM(BO181:BR181)</f>
        <v>-7</v>
      </c>
      <c r="BT181" s="67">
        <v>9</v>
      </c>
      <c r="BU181" s="67">
        <f>10-BT181</f>
        <v>1</v>
      </c>
      <c r="BV181" s="67">
        <f>14-SUM(BT181:BU181)</f>
        <v>4</v>
      </c>
      <c r="BW181" s="67">
        <v>0</v>
      </c>
      <c r="BX181" s="448">
        <f t="shared" si="376"/>
        <v>14</v>
      </c>
      <c r="BY181" s="67">
        <v>12</v>
      </c>
      <c r="BZ181" s="67">
        <f>-7-BY181</f>
        <v>-19</v>
      </c>
      <c r="CA181" s="67">
        <f>11-SUM(BY181:BZ181)</f>
        <v>18</v>
      </c>
      <c r="CB181" s="67">
        <v>0</v>
      </c>
      <c r="CC181" s="448">
        <f t="shared" si="378"/>
        <v>11</v>
      </c>
      <c r="CD181" s="67">
        <v>0</v>
      </c>
      <c r="CE181" s="67">
        <f>-1-CD181</f>
        <v>-1</v>
      </c>
      <c r="CF181" s="67">
        <f>-1-CE181-CD181</f>
        <v>0</v>
      </c>
      <c r="CG181" s="67">
        <f>-2-CF181-CE181-CD181</f>
        <v>-1</v>
      </c>
      <c r="CH181" s="448">
        <f t="shared" si="380"/>
        <v>-2</v>
      </c>
      <c r="CI181" s="67">
        <v>0</v>
      </c>
      <c r="CJ181" s="67">
        <v>0</v>
      </c>
      <c r="CK181" s="67">
        <v>0</v>
      </c>
      <c r="CL181" s="67">
        <v>0</v>
      </c>
      <c r="CM181" s="448">
        <f t="shared" si="382"/>
        <v>0</v>
      </c>
      <c r="CN181" s="67">
        <v>0</v>
      </c>
      <c r="CO181" s="67">
        <v>0</v>
      </c>
      <c r="CP181" s="67">
        <v>0</v>
      </c>
      <c r="CQ181" s="67">
        <v>0</v>
      </c>
      <c r="CR181" s="448">
        <f t="shared" si="384"/>
        <v>0</v>
      </c>
      <c r="CS181" s="67">
        <v>0</v>
      </c>
      <c r="CT181" s="67">
        <v>0</v>
      </c>
      <c r="CU181" s="67">
        <v>0</v>
      </c>
      <c r="CV181" s="67">
        <v>0</v>
      </c>
      <c r="CW181" s="448">
        <f t="shared" si="386"/>
        <v>0</v>
      </c>
      <c r="CX181" s="67">
        <v>0</v>
      </c>
      <c r="CY181" s="67">
        <v>0</v>
      </c>
      <c r="CZ181" s="67">
        <v>0</v>
      </c>
      <c r="DA181" s="67">
        <v>0</v>
      </c>
      <c r="DB181" s="448">
        <f t="shared" si="388"/>
        <v>0</v>
      </c>
      <c r="DC181" s="67">
        <v>0</v>
      </c>
      <c r="DD181" s="67">
        <v>0</v>
      </c>
      <c r="DE181" s="67">
        <v>0</v>
      </c>
      <c r="DF181" s="67">
        <v>0</v>
      </c>
      <c r="DG181" s="448">
        <f t="shared" si="390"/>
        <v>0</v>
      </c>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c r="HB181"/>
      <c r="HC181"/>
      <c r="HD181"/>
      <c r="HE181"/>
      <c r="HF181"/>
      <c r="HG181"/>
      <c r="HH181"/>
      <c r="HI181"/>
      <c r="HJ181"/>
      <c r="HK181"/>
      <c r="HL181"/>
      <c r="HM181"/>
      <c r="HN181"/>
      <c r="HO181"/>
      <c r="HP181"/>
      <c r="HQ181"/>
      <c r="HR181"/>
    </row>
    <row r="182" spans="1:226" s="35" customFormat="1" x14ac:dyDescent="0.2">
      <c r="A182" s="358" t="s">
        <v>70</v>
      </c>
      <c r="B182" s="68"/>
      <c r="C182" s="68"/>
      <c r="D182" s="68"/>
      <c r="E182" s="68"/>
      <c r="F182" s="449"/>
      <c r="G182" s="68">
        <v>217</v>
      </c>
      <c r="H182" s="68">
        <v>173</v>
      </c>
      <c r="I182" s="68">
        <v>158</v>
      </c>
      <c r="J182" s="68">
        <v>328</v>
      </c>
      <c r="K182" s="449">
        <v>876</v>
      </c>
      <c r="L182" s="68">
        <v>204</v>
      </c>
      <c r="M182" s="68">
        <v>199</v>
      </c>
      <c r="N182" s="68">
        <v>83</v>
      </c>
      <c r="O182" s="68">
        <v>317</v>
      </c>
      <c r="P182" s="449">
        <v>803</v>
      </c>
      <c r="Q182" s="68">
        <v>140</v>
      </c>
      <c r="R182" s="68">
        <v>188</v>
      </c>
      <c r="S182" s="68">
        <v>203</v>
      </c>
      <c r="T182" s="68">
        <v>368</v>
      </c>
      <c r="U182" s="449">
        <v>899</v>
      </c>
      <c r="V182" s="68">
        <v>216</v>
      </c>
      <c r="W182" s="68">
        <v>189</v>
      </c>
      <c r="X182" s="68">
        <v>58</v>
      </c>
      <c r="Y182" s="68">
        <v>302</v>
      </c>
      <c r="Z182" s="449">
        <v>765</v>
      </c>
      <c r="AA182" s="68">
        <v>-59</v>
      </c>
      <c r="AB182" s="68">
        <v>142</v>
      </c>
      <c r="AC182" s="68">
        <v>138</v>
      </c>
      <c r="AD182" s="68">
        <v>301</v>
      </c>
      <c r="AE182" s="449">
        <v>522</v>
      </c>
      <c r="AF182" s="68">
        <v>133</v>
      </c>
      <c r="AG182" s="68">
        <v>122</v>
      </c>
      <c r="AH182" s="68">
        <v>172</v>
      </c>
      <c r="AI182" s="68">
        <v>282</v>
      </c>
      <c r="AJ182" s="449">
        <v>709</v>
      </c>
      <c r="AK182" s="68">
        <v>163</v>
      </c>
      <c r="AL182" s="68">
        <v>148</v>
      </c>
      <c r="AM182" s="68">
        <v>165</v>
      </c>
      <c r="AN182" s="68">
        <v>254</v>
      </c>
      <c r="AO182" s="449">
        <v>730</v>
      </c>
      <c r="AP182" s="68">
        <v>93</v>
      </c>
      <c r="AQ182" s="68">
        <v>98</v>
      </c>
      <c r="AR182" s="68">
        <f>423-AQ182-AP182</f>
        <v>232</v>
      </c>
      <c r="AS182" s="68">
        <f>738-AR182-AQ182-AP182</f>
        <v>315</v>
      </c>
      <c r="AT182" s="449">
        <f>SUM(AT170:AT181)</f>
        <v>738</v>
      </c>
      <c r="AU182" s="68">
        <v>94</v>
      </c>
      <c r="AV182" s="68">
        <f>246-AU182</f>
        <v>152</v>
      </c>
      <c r="AW182" s="68">
        <v>197</v>
      </c>
      <c r="AX182" s="68">
        <v>376</v>
      </c>
      <c r="AY182" s="471">
        <f>SUM(AY170:AY181)</f>
        <v>819</v>
      </c>
      <c r="AZ182" s="68">
        <v>148</v>
      </c>
      <c r="BA182" s="68">
        <v>44</v>
      </c>
      <c r="BB182" s="68">
        <v>217</v>
      </c>
      <c r="BC182" s="68">
        <f ca="1">+BC196-BC192-BC186</f>
        <v>331.92261472392636</v>
      </c>
      <c r="BD182" s="471">
        <f ca="1">SUM(BD170:BD181)</f>
        <v>740.92261472392636</v>
      </c>
      <c r="BE182" s="68">
        <v>131</v>
      </c>
      <c r="BF182" s="68">
        <v>37</v>
      </c>
      <c r="BG182" s="68">
        <f>333-BE182-BF182</f>
        <v>165</v>
      </c>
      <c r="BH182" s="68">
        <v>297</v>
      </c>
      <c r="BI182" s="471">
        <f>SUM(BI170:BI181)</f>
        <v>630</v>
      </c>
      <c r="BJ182" s="68">
        <v>208</v>
      </c>
      <c r="BK182" s="68">
        <v>117</v>
      </c>
      <c r="BL182" s="68">
        <f>485-BK182-BJ182</f>
        <v>160</v>
      </c>
      <c r="BM182" s="68">
        <f>+BN182-BJ182-BK182-BL182</f>
        <v>290</v>
      </c>
      <c r="BN182" s="471">
        <v>775</v>
      </c>
      <c r="BO182" s="68">
        <v>178</v>
      </c>
      <c r="BP182" s="68">
        <f>210-BO182</f>
        <v>32</v>
      </c>
      <c r="BQ182" s="68">
        <f>430-BP182-BO182</f>
        <v>220</v>
      </c>
      <c r="BR182" s="68">
        <f>+BS182-BO182-BP182-BQ182</f>
        <v>346</v>
      </c>
      <c r="BS182" s="471">
        <v>776</v>
      </c>
      <c r="BT182" s="68">
        <v>243</v>
      </c>
      <c r="BU182" s="68">
        <f>277-BT182</f>
        <v>34</v>
      </c>
      <c r="BV182" s="68">
        <f>495-BU182-BT182</f>
        <v>218</v>
      </c>
      <c r="BW182" s="68">
        <f>BX182-BV182-BU182-BT182</f>
        <v>379</v>
      </c>
      <c r="BX182" s="471">
        <v>874</v>
      </c>
      <c r="BY182" s="68">
        <v>147</v>
      </c>
      <c r="BZ182" s="68">
        <f>185-BY182</f>
        <v>38</v>
      </c>
      <c r="CA182" s="68">
        <f>447-BZ182-BY182</f>
        <v>262</v>
      </c>
      <c r="CB182" s="68">
        <f>CC182-CA182-BZ182-BY182</f>
        <v>331</v>
      </c>
      <c r="CC182" s="471">
        <v>778</v>
      </c>
      <c r="CD182" s="68">
        <v>170</v>
      </c>
      <c r="CE182" s="68">
        <f>270-CD182</f>
        <v>100</v>
      </c>
      <c r="CF182" s="68">
        <f>482-CE182-CD182</f>
        <v>212</v>
      </c>
      <c r="CG182" s="68">
        <f>CH182-CF182-CE182-CD182</f>
        <v>386</v>
      </c>
      <c r="CH182" s="471">
        <v>868</v>
      </c>
      <c r="CI182" s="68">
        <v>258</v>
      </c>
      <c r="CJ182" s="68">
        <f>322-CI182</f>
        <v>64</v>
      </c>
      <c r="CK182" s="68">
        <f t="shared" ref="CK182:CW182" ca="1" si="413">SUM(CK170:CK181)</f>
        <v>219.41318673159174</v>
      </c>
      <c r="CL182" s="68">
        <f t="shared" ca="1" si="413"/>
        <v>371.02107146775745</v>
      </c>
      <c r="CM182" s="471">
        <f t="shared" ca="1" si="413"/>
        <v>912.4342581993493</v>
      </c>
      <c r="CN182" s="68">
        <f t="shared" ca="1" si="413"/>
        <v>339.80279971598588</v>
      </c>
      <c r="CO182" s="68">
        <f t="shared" ca="1" si="413"/>
        <v>-26.790185856158786</v>
      </c>
      <c r="CP182" s="68">
        <f t="shared" ca="1" si="413"/>
        <v>239.87985360138157</v>
      </c>
      <c r="CQ182" s="68">
        <f t="shared" ca="1" si="413"/>
        <v>379.4127687597059</v>
      </c>
      <c r="CR182" s="471">
        <f t="shared" ca="1" si="413"/>
        <v>932.30523622091459</v>
      </c>
      <c r="CS182" s="68">
        <f t="shared" ca="1" si="413"/>
        <v>361.29050164911718</v>
      </c>
      <c r="CT182" s="68">
        <f t="shared" ca="1" si="413"/>
        <v>-23.282313288386185</v>
      </c>
      <c r="CU182" s="68">
        <f t="shared" ca="1" si="413"/>
        <v>248.59709339703431</v>
      </c>
      <c r="CV182" s="68">
        <f t="shared" ca="1" si="413"/>
        <v>390.62652535259656</v>
      </c>
      <c r="CW182" s="471">
        <f t="shared" ca="1" si="413"/>
        <v>977.23180711036173</v>
      </c>
      <c r="CX182" s="68">
        <f t="shared" ref="CX182:DG182" ca="1" si="414">SUM(CX170:CX181)</f>
        <v>362.30427837981006</v>
      </c>
      <c r="CY182" s="68">
        <f t="shared" ca="1" si="414"/>
        <v>-19.197836346564586</v>
      </c>
      <c r="CZ182" s="68">
        <f t="shared" ca="1" si="414"/>
        <v>251.56153401087715</v>
      </c>
      <c r="DA182" s="68">
        <f t="shared" ca="1" si="414"/>
        <v>395.1819848883415</v>
      </c>
      <c r="DB182" s="471">
        <f t="shared" ca="1" si="414"/>
        <v>989.84996093246389</v>
      </c>
      <c r="DC182" s="68">
        <f t="shared" ca="1" si="414"/>
        <v>378.21661384732147</v>
      </c>
      <c r="DD182" s="68">
        <f t="shared" ca="1" si="414"/>
        <v>-16.023534780162557</v>
      </c>
      <c r="DE182" s="68">
        <f t="shared" ca="1" si="414"/>
        <v>253.57799354367455</v>
      </c>
      <c r="DF182" s="68">
        <f t="shared" ca="1" si="414"/>
        <v>398.78629210637126</v>
      </c>
      <c r="DG182" s="471">
        <f t="shared" ca="1" si="414"/>
        <v>1014.5573647172046</v>
      </c>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c r="HB182"/>
      <c r="HC182"/>
      <c r="HD182"/>
      <c r="HE182"/>
      <c r="HF182"/>
      <c r="HG182"/>
      <c r="HH182"/>
      <c r="HI182"/>
      <c r="HJ182"/>
      <c r="HK182"/>
      <c r="HL182"/>
      <c r="HM182"/>
      <c r="HN182"/>
      <c r="HO182"/>
      <c r="HP182"/>
      <c r="HQ182"/>
      <c r="HR182"/>
    </row>
    <row r="183" spans="1:226" s="842" customFormat="1" x14ac:dyDescent="0.2">
      <c r="A183" s="836"/>
      <c r="B183" s="767"/>
      <c r="C183" s="767"/>
      <c r="D183" s="767"/>
      <c r="E183" s="767"/>
      <c r="F183" s="837"/>
      <c r="G183" s="767"/>
      <c r="H183" s="767"/>
      <c r="I183" s="767"/>
      <c r="J183" s="767"/>
      <c r="K183" s="837"/>
      <c r="L183" s="767"/>
      <c r="M183" s="767"/>
      <c r="N183" s="767"/>
      <c r="O183" s="767"/>
      <c r="P183" s="837"/>
      <c r="Q183" s="767"/>
      <c r="R183" s="767"/>
      <c r="S183" s="767"/>
      <c r="T183" s="767"/>
      <c r="U183" s="837"/>
      <c r="V183" s="767"/>
      <c r="W183" s="767"/>
      <c r="X183" s="767"/>
      <c r="Y183" s="767"/>
      <c r="Z183" s="837"/>
      <c r="AA183" s="767"/>
      <c r="AB183" s="767"/>
      <c r="AC183" s="767"/>
      <c r="AD183" s="767"/>
      <c r="AE183" s="837"/>
      <c r="AF183" s="767"/>
      <c r="AG183" s="767"/>
      <c r="AH183" s="767"/>
      <c r="AI183" s="767"/>
      <c r="AJ183" s="837"/>
      <c r="AK183" s="767"/>
      <c r="AL183" s="767"/>
      <c r="AM183" s="767"/>
      <c r="AN183" s="767"/>
      <c r="AO183" s="838"/>
      <c r="AP183" s="767"/>
      <c r="AQ183" s="767"/>
      <c r="AR183" s="767"/>
      <c r="AS183" s="767"/>
      <c r="AT183" s="838"/>
      <c r="AU183" s="767"/>
      <c r="AV183" s="767"/>
      <c r="AW183" s="767"/>
      <c r="AX183" s="768"/>
      <c r="AY183" s="838"/>
      <c r="AZ183" s="767"/>
      <c r="BA183" s="839"/>
      <c r="BB183" s="767"/>
      <c r="BC183" s="767"/>
      <c r="BD183" s="838"/>
      <c r="BE183" s="767"/>
      <c r="BF183" s="839"/>
      <c r="BG183" s="767"/>
      <c r="BH183" s="767"/>
      <c r="BI183" s="838"/>
      <c r="BJ183" s="767"/>
      <c r="BK183" s="839"/>
      <c r="BL183" s="767"/>
      <c r="BM183" s="767"/>
      <c r="BN183" s="838"/>
      <c r="BO183" s="767"/>
      <c r="BP183" s="839"/>
      <c r="BQ183" s="767"/>
      <c r="BR183" s="767"/>
      <c r="BS183" s="838"/>
      <c r="BT183" s="766"/>
      <c r="BU183" s="766"/>
      <c r="BV183" s="766"/>
      <c r="BW183" s="767"/>
      <c r="BX183" s="838"/>
      <c r="BY183" s="766"/>
      <c r="BZ183" s="766"/>
      <c r="CA183" s="766"/>
      <c r="CB183" s="766"/>
      <c r="CC183" s="840"/>
      <c r="CD183" s="766"/>
      <c r="CE183" s="766"/>
      <c r="CF183" s="766"/>
      <c r="CG183" s="766"/>
      <c r="CH183" s="840"/>
      <c r="CI183" s="766"/>
      <c r="CJ183" s="766"/>
      <c r="CK183" s="766"/>
      <c r="CL183" s="766"/>
      <c r="CM183" s="841"/>
      <c r="CN183" s="766"/>
      <c r="CO183" s="766"/>
      <c r="CP183" s="766"/>
      <c r="CQ183" s="766"/>
      <c r="CR183" s="841"/>
      <c r="CS183" s="766"/>
      <c r="CT183" s="766"/>
      <c r="CU183" s="766"/>
      <c r="CV183" s="766"/>
      <c r="CW183" s="841"/>
      <c r="CX183" s="766"/>
      <c r="CY183" s="766"/>
      <c r="CZ183" s="766"/>
      <c r="DA183" s="766"/>
      <c r="DB183" s="841"/>
      <c r="DC183" s="766"/>
      <c r="DD183" s="766"/>
      <c r="DE183" s="766"/>
      <c r="DF183" s="766"/>
      <c r="DG183" s="841"/>
      <c r="DJ183"/>
      <c r="DK183"/>
      <c r="DL183"/>
      <c r="DM183"/>
      <c r="DN183"/>
      <c r="DO183"/>
      <c r="DP183" s="843"/>
      <c r="DQ183" s="843"/>
      <c r="DR183" s="843"/>
      <c r="DS183" s="843"/>
      <c r="DT183" s="843"/>
      <c r="DU183" s="843"/>
      <c r="DV183" s="843"/>
      <c r="DW183" s="843"/>
      <c r="DX183" s="843"/>
      <c r="DY183" s="843"/>
      <c r="DZ183" s="843"/>
      <c r="EA183" s="843"/>
      <c r="EB183" s="843"/>
      <c r="EC183" s="843"/>
      <c r="ED183" s="843"/>
      <c r="EE183" s="843"/>
      <c r="EF183" s="843"/>
      <c r="EG183" s="843"/>
      <c r="EH183" s="843"/>
      <c r="EI183" s="843"/>
      <c r="EJ183" s="843"/>
      <c r="EK183" s="843"/>
      <c r="EL183" s="843"/>
      <c r="EM183" s="843"/>
      <c r="EN183" s="843"/>
      <c r="EO183" s="843"/>
      <c r="EP183" s="843"/>
      <c r="EQ183" s="843"/>
      <c r="ER183" s="843"/>
      <c r="ES183" s="843"/>
      <c r="ET183" s="843"/>
      <c r="EU183" s="843"/>
      <c r="EV183" s="843"/>
      <c r="EW183" s="843"/>
      <c r="EX183" s="843"/>
      <c r="EY183" s="843"/>
      <c r="EZ183" s="843"/>
      <c r="FA183" s="843"/>
      <c r="FB183" s="843"/>
      <c r="FC183" s="843"/>
      <c r="FD183" s="843"/>
      <c r="FE183" s="843"/>
      <c r="FF183" s="843"/>
      <c r="FG183" s="843"/>
      <c r="FH183" s="843"/>
      <c r="FI183" s="843"/>
      <c r="FJ183" s="843"/>
      <c r="FK183" s="843"/>
      <c r="FL183" s="843"/>
      <c r="FM183" s="843"/>
      <c r="FN183" s="843"/>
      <c r="FO183" s="843"/>
      <c r="FP183" s="843"/>
      <c r="FQ183" s="843"/>
      <c r="FR183" s="843"/>
      <c r="FS183" s="843"/>
      <c r="FT183" s="843"/>
      <c r="FU183" s="843"/>
      <c r="FV183" s="843"/>
      <c r="FW183" s="843"/>
      <c r="FX183" s="843"/>
      <c r="FY183" s="843"/>
      <c r="FZ183" s="843"/>
      <c r="GA183" s="843"/>
      <c r="GB183" s="843"/>
      <c r="GC183" s="843"/>
      <c r="GD183" s="843"/>
      <c r="GE183" s="843"/>
      <c r="GF183" s="843"/>
      <c r="GG183" s="843"/>
      <c r="GH183" s="843"/>
      <c r="GI183" s="843"/>
      <c r="GJ183" s="843"/>
      <c r="GK183" s="843"/>
      <c r="GL183" s="843"/>
      <c r="GM183" s="843"/>
      <c r="GN183" s="843"/>
      <c r="GO183" s="843"/>
      <c r="GP183" s="843"/>
      <c r="GQ183" s="843"/>
      <c r="GR183" s="843"/>
      <c r="GS183" s="843"/>
      <c r="GT183" s="843"/>
      <c r="GU183" s="843"/>
      <c r="GV183" s="843"/>
      <c r="GW183" s="843"/>
      <c r="GX183" s="843"/>
      <c r="GY183" s="843"/>
      <c r="GZ183" s="843"/>
      <c r="HA183" s="843"/>
      <c r="HB183" s="843"/>
      <c r="HC183" s="843"/>
      <c r="HD183" s="843"/>
      <c r="HE183" s="843"/>
      <c r="HF183" s="843"/>
      <c r="HG183" s="843"/>
      <c r="HH183" s="843"/>
      <c r="HI183" s="843"/>
      <c r="HJ183" s="843"/>
      <c r="HK183" s="843"/>
      <c r="HL183" s="843"/>
      <c r="HM183" s="843"/>
      <c r="HN183" s="843"/>
      <c r="HO183" s="843"/>
      <c r="HP183" s="843"/>
      <c r="HQ183" s="843"/>
      <c r="HR183" s="843"/>
    </row>
    <row r="184" spans="1:226" s="19" customFormat="1" x14ac:dyDescent="0.2">
      <c r="A184" s="18" t="s">
        <v>71</v>
      </c>
      <c r="B184" s="63"/>
      <c r="C184" s="63"/>
      <c r="D184" s="63"/>
      <c r="E184" s="63"/>
      <c r="F184" s="439"/>
      <c r="G184" s="63">
        <v>-33</v>
      </c>
      <c r="H184" s="63">
        <f>-70-G184</f>
        <v>-37</v>
      </c>
      <c r="I184" s="63">
        <f>-116-H184-G184</f>
        <v>-46</v>
      </c>
      <c r="J184" s="63">
        <f>K184-I184-H184-G184</f>
        <v>-61</v>
      </c>
      <c r="K184" s="439">
        <v>-177</v>
      </c>
      <c r="L184" s="63">
        <v>-40</v>
      </c>
      <c r="M184" s="63">
        <f>-92-L184</f>
        <v>-52</v>
      </c>
      <c r="N184" s="63">
        <f>-135-M184-L184</f>
        <v>-43</v>
      </c>
      <c r="O184" s="63">
        <f>P184-N184-M184-L184</f>
        <v>-70</v>
      </c>
      <c r="P184" s="439">
        <v>-205</v>
      </c>
      <c r="Q184" s="63">
        <v>-39</v>
      </c>
      <c r="R184" s="63">
        <f>-82-Q184</f>
        <v>-43</v>
      </c>
      <c r="S184" s="63">
        <f>-117-R184-Q184</f>
        <v>-35</v>
      </c>
      <c r="T184" s="63">
        <f>U184-S184-R184-Q184</f>
        <v>-53</v>
      </c>
      <c r="U184" s="439">
        <f>-170</f>
        <v>-170</v>
      </c>
      <c r="V184" s="63">
        <v>-27</v>
      </c>
      <c r="W184" s="63">
        <f>-58-V184</f>
        <v>-31</v>
      </c>
      <c r="X184" s="63">
        <f>-89-W184-V184</f>
        <v>-31</v>
      </c>
      <c r="Y184" s="63">
        <f>Z184-X184-W184-V184</f>
        <v>-62</v>
      </c>
      <c r="Z184" s="439">
        <v>-151</v>
      </c>
      <c r="AA184" s="63">
        <v>-37</v>
      </c>
      <c r="AB184" s="63">
        <f>-83-AA184</f>
        <v>-46</v>
      </c>
      <c r="AC184" s="63">
        <f>-122-AB184-AA184</f>
        <v>-39</v>
      </c>
      <c r="AD184" s="63">
        <f>AE184-AC184-AB184-AA184</f>
        <v>-58</v>
      </c>
      <c r="AE184" s="439">
        <v>-180</v>
      </c>
      <c r="AF184" s="63">
        <v>-31</v>
      </c>
      <c r="AG184" s="63">
        <f>-68-AF184</f>
        <v>-37</v>
      </c>
      <c r="AH184" s="63">
        <f>-96-AG184-AF184</f>
        <v>-28</v>
      </c>
      <c r="AI184" s="63">
        <v>-51</v>
      </c>
      <c r="AJ184" s="439">
        <f>SUM(AF184:AI184)</f>
        <v>-147</v>
      </c>
      <c r="AK184" s="63">
        <v>-26</v>
      </c>
      <c r="AL184" s="63">
        <f>-71-AK184</f>
        <v>-45</v>
      </c>
      <c r="AM184" s="63">
        <v>-32</v>
      </c>
      <c r="AN184" s="63">
        <f>AO184-AM184-AL184-AK184</f>
        <v>-67</v>
      </c>
      <c r="AO184" s="439">
        <v>-170</v>
      </c>
      <c r="AP184" s="63">
        <v>-39</v>
      </c>
      <c r="AQ184" s="63">
        <v>-45</v>
      </c>
      <c r="AR184" s="63">
        <f>-135-AQ184-AP184</f>
        <v>-51</v>
      </c>
      <c r="AS184" s="63">
        <f>-197-AR184-AQ184-AP184</f>
        <v>-62</v>
      </c>
      <c r="AT184" s="439">
        <f>SUM(AP184:AS184)</f>
        <v>-197</v>
      </c>
      <c r="AU184" s="63">
        <v>-34</v>
      </c>
      <c r="AV184" s="63">
        <f>-76-AU184</f>
        <v>-42</v>
      </c>
      <c r="AW184" s="63">
        <v>-35</v>
      </c>
      <c r="AX184" s="63">
        <v>-92</v>
      </c>
      <c r="AY184" s="470">
        <f>SUM(AU184:AX184)</f>
        <v>-203</v>
      </c>
      <c r="AZ184" s="63">
        <f>-34</f>
        <v>-34</v>
      </c>
      <c r="BA184" s="63">
        <v>-55</v>
      </c>
      <c r="BB184" s="63">
        <v>-70</v>
      </c>
      <c r="BC184" s="63">
        <f ca="1">-BC7*BC218</f>
        <v>-79.555214723926383</v>
      </c>
      <c r="BD184" s="470">
        <f ca="1">SUM(AZ184:BC184)</f>
        <v>-238.55521472392638</v>
      </c>
      <c r="BE184" s="63">
        <v>-37</v>
      </c>
      <c r="BF184" s="63">
        <v>-45</v>
      </c>
      <c r="BG184" s="63">
        <f>-119-BE184-BF184</f>
        <v>-37</v>
      </c>
      <c r="BH184" s="63">
        <v>-73</v>
      </c>
      <c r="BI184" s="470">
        <f>+BE184+BF184+BG184+BH184</f>
        <v>-192</v>
      </c>
      <c r="BJ184" s="63">
        <v>-54</v>
      </c>
      <c r="BK184" s="63">
        <v>-48</v>
      </c>
      <c r="BL184" s="63">
        <f>-134-BK184-BJ184</f>
        <v>-32</v>
      </c>
      <c r="BM184" s="63">
        <f>+BN184-BJ184-BK184-BL184</f>
        <v>-60</v>
      </c>
      <c r="BN184" s="470">
        <v>-194</v>
      </c>
      <c r="BO184" s="63">
        <v>-27</v>
      </c>
      <c r="BP184" s="63">
        <f>-63-BO184</f>
        <v>-36</v>
      </c>
      <c r="BQ184" s="63">
        <f>-88-BP184-BO184</f>
        <v>-25</v>
      </c>
      <c r="BR184" s="63">
        <f>+BS184-BO184-BP184-BQ184</f>
        <v>-50</v>
      </c>
      <c r="BS184" s="470">
        <v>-138</v>
      </c>
      <c r="BT184" s="63">
        <v>-29</v>
      </c>
      <c r="BU184" s="63">
        <v>-31</v>
      </c>
      <c r="BV184" s="63">
        <f>-83-BU184-BT184</f>
        <v>-23</v>
      </c>
      <c r="BW184" s="63">
        <f>+BX184-BT184-BU184-BV184</f>
        <v>-42</v>
      </c>
      <c r="BX184" s="470">
        <v>-125</v>
      </c>
      <c r="BY184" s="63">
        <v>-28</v>
      </c>
      <c r="BZ184" s="63">
        <v>-40</v>
      </c>
      <c r="CA184" s="63">
        <f>-113-BZ184-BY184</f>
        <v>-45</v>
      </c>
      <c r="CB184" s="63">
        <f>+CC184-BY184-BZ184-CA184</f>
        <v>-59</v>
      </c>
      <c r="CC184" s="470">
        <f>-172</f>
        <v>-172</v>
      </c>
      <c r="CD184" s="63">
        <v>-59</v>
      </c>
      <c r="CE184" s="63">
        <f>-117-CD184</f>
        <v>-58</v>
      </c>
      <c r="CF184" s="63">
        <f>-161-CE184-CD184</f>
        <v>-44</v>
      </c>
      <c r="CG184" s="63">
        <f>+CH184-CD184-CE184-CF184</f>
        <v>-70</v>
      </c>
      <c r="CH184" s="470">
        <v>-231</v>
      </c>
      <c r="CI184" s="63">
        <v>-49</v>
      </c>
      <c r="CJ184" s="63">
        <f>-89-CI184</f>
        <v>-40</v>
      </c>
      <c r="CK184" s="63">
        <f>-CK7*CK218</f>
        <v>-45.078855107454139</v>
      </c>
      <c r="CL184" s="63">
        <f ca="1">-CL7*CL218</f>
        <v>-73.502201855758145</v>
      </c>
      <c r="CM184" s="470">
        <f ca="1">SUM(CI184:CL184)</f>
        <v>-207.58105696321229</v>
      </c>
      <c r="CN184" s="63">
        <f>-CN7*CN218</f>
        <v>-50.142141990730536</v>
      </c>
      <c r="CO184" s="63">
        <f>-CO7*CO218</f>
        <v>-41.240139170893706</v>
      </c>
      <c r="CP184" s="63">
        <f>-CP7*CP218</f>
        <v>-46.581784911228354</v>
      </c>
      <c r="CQ184" s="63">
        <f ca="1">-CQ7*CQ218</f>
        <v>-73.870661688447441</v>
      </c>
      <c r="CR184" s="470">
        <f ca="1">SUM(CN184:CQ184)</f>
        <v>-211.83472776130003</v>
      </c>
      <c r="CS184" s="63">
        <f>-CS7*CS218</f>
        <v>-48.079060408925194</v>
      </c>
      <c r="CT184" s="63">
        <f>-CT7*CT218</f>
        <v>-39.131514908213141</v>
      </c>
      <c r="CU184" s="63">
        <f>-CU7*CU218</f>
        <v>-44.365609673647562</v>
      </c>
      <c r="CV184" s="63">
        <f ca="1">-CV7*CV218</f>
        <v>-71.916563066081949</v>
      </c>
      <c r="CW184" s="470">
        <f ca="1">SUM(CS184:CV184)</f>
        <v>-203.49274805686784</v>
      </c>
      <c r="CX184" s="63">
        <f>-CX7*CX218</f>
        <v>-45.895964414726137</v>
      </c>
      <c r="CY184" s="63">
        <f>-CY7*CY218</f>
        <v>-36.901711177296249</v>
      </c>
      <c r="CZ184" s="63">
        <f>-CZ7*CZ218</f>
        <v>-42.023790547075613</v>
      </c>
      <c r="DA184" s="63">
        <f ca="1">-DA7*DA218</f>
        <v>-69.841815450188761</v>
      </c>
      <c r="DB184" s="470">
        <f ca="1">SUM(CX184:DA184)</f>
        <v>-194.66328158928675</v>
      </c>
      <c r="DC184" s="63">
        <f>-DC7*DC218</f>
        <v>-43.58749562834609</v>
      </c>
      <c r="DD184" s="63">
        <f>-DD7*DD218</f>
        <v>-34.545211387301919</v>
      </c>
      <c r="DE184" s="63">
        <f>-DE7*DE218</f>
        <v>-39.550707882348782</v>
      </c>
      <c r="DF184" s="63">
        <f ca="1">-DF7*DF218</f>
        <v>-67.64102087945426</v>
      </c>
      <c r="DG184" s="470">
        <f ca="1">SUM(DC184:DF184)</f>
        <v>-185.32443577745104</v>
      </c>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c r="HB184"/>
      <c r="HC184"/>
      <c r="HD184"/>
      <c r="HE184"/>
      <c r="HF184"/>
      <c r="HG184"/>
      <c r="HH184"/>
      <c r="HI184"/>
      <c r="HJ184"/>
      <c r="HK184"/>
      <c r="HL184"/>
      <c r="HM184"/>
      <c r="HN184"/>
      <c r="HO184"/>
      <c r="HP184"/>
      <c r="HQ184"/>
      <c r="HR184"/>
    </row>
    <row r="185" spans="1:226" s="19" customFormat="1" x14ac:dyDescent="0.2">
      <c r="A185" s="18" t="s">
        <v>44</v>
      </c>
      <c r="B185" s="67"/>
      <c r="C185" s="67"/>
      <c r="D185" s="67"/>
      <c r="E185" s="67"/>
      <c r="F185" s="448"/>
      <c r="G185" s="67">
        <v>-11</v>
      </c>
      <c r="H185" s="67">
        <f>-4-G185</f>
        <v>7</v>
      </c>
      <c r="I185" s="67">
        <f>(36-14-9)-H185-G185</f>
        <v>17</v>
      </c>
      <c r="J185" s="67">
        <f>K185-I185-H185-G185</f>
        <v>55</v>
      </c>
      <c r="K185" s="448">
        <f>60+8</f>
        <v>68</v>
      </c>
      <c r="L185" s="67">
        <f>-15+1</f>
        <v>-14</v>
      </c>
      <c r="M185" s="67">
        <f>-14-L185</f>
        <v>0</v>
      </c>
      <c r="N185" s="67">
        <f>(7-16+4)-M185-L185</f>
        <v>9</v>
      </c>
      <c r="O185" s="67">
        <f>P185-N185-M185-L185</f>
        <v>17</v>
      </c>
      <c r="P185" s="448">
        <f>15-15+2+10</f>
        <v>12</v>
      </c>
      <c r="Q185" s="67">
        <f>-10+1</f>
        <v>-9</v>
      </c>
      <c r="R185" s="67">
        <f>-11-9-2-1-Q185</f>
        <v>-14</v>
      </c>
      <c r="S185" s="67">
        <f>-13-9+5-2-R185-Q185</f>
        <v>4</v>
      </c>
      <c r="T185" s="67">
        <f>U185-S185-R185-Q185</f>
        <v>-47</v>
      </c>
      <c r="U185" s="448">
        <f>-13-17-34-2</f>
        <v>-66</v>
      </c>
      <c r="V185" s="67">
        <f>-9+1</f>
        <v>-8</v>
      </c>
      <c r="W185" s="67">
        <f>-9+1-V185</f>
        <v>0</v>
      </c>
      <c r="X185" s="67">
        <f>-9+4-W185-V185</f>
        <v>3</v>
      </c>
      <c r="Y185" s="67">
        <f>Z185-X185-W185-V185</f>
        <v>2</v>
      </c>
      <c r="Z185" s="448">
        <f>-9+6</f>
        <v>-3</v>
      </c>
      <c r="AA185" s="67">
        <v>-2</v>
      </c>
      <c r="AB185" s="67">
        <f>41-5-AA185</f>
        <v>38</v>
      </c>
      <c r="AC185" s="67">
        <f>41-6-15-AB185-AA185</f>
        <v>-16</v>
      </c>
      <c r="AD185" s="67">
        <f>AE185-AC185-AB185-AA185</f>
        <v>-1</v>
      </c>
      <c r="AE185" s="448">
        <f>-16+41-6</f>
        <v>19</v>
      </c>
      <c r="AF185" s="67">
        <v>-2</v>
      </c>
      <c r="AG185" s="67">
        <f>-56-2-AF185</f>
        <v>-56</v>
      </c>
      <c r="AH185" s="67">
        <f>-123+3-AG185-AF185</f>
        <v>-62</v>
      </c>
      <c r="AI185" s="67">
        <f>AJ185-AH185-AG185-AF185</f>
        <v>-1</v>
      </c>
      <c r="AJ185" s="448">
        <f>-123+2</f>
        <v>-121</v>
      </c>
      <c r="AK185" s="67">
        <v>-2</v>
      </c>
      <c r="AL185" s="67">
        <f>-913-1-AK185</f>
        <v>-912</v>
      </c>
      <c r="AM185" s="67">
        <f>-913-AL185-AK185</f>
        <v>1</v>
      </c>
      <c r="AN185" s="67">
        <f>AO185-AM185-AL185-AK185</f>
        <v>1</v>
      </c>
      <c r="AO185" s="448">
        <f>-913+1</f>
        <v>-912</v>
      </c>
      <c r="AP185" s="67">
        <v>-1</v>
      </c>
      <c r="AQ185" s="67">
        <f>0-AP185</f>
        <v>1</v>
      </c>
      <c r="AR185" s="67">
        <f>-1-1-AQ185-AP185</f>
        <v>-2</v>
      </c>
      <c r="AS185" s="67">
        <f>0-AR185-AQ185-AP185</f>
        <v>2</v>
      </c>
      <c r="AT185" s="448">
        <f>SUM(AP185:AS185)</f>
        <v>0</v>
      </c>
      <c r="AU185" s="67">
        <v>1</v>
      </c>
      <c r="AV185" s="67">
        <f>1-AU185</f>
        <v>0</v>
      </c>
      <c r="AW185" s="67">
        <f>-19+2-AV185-AU185</f>
        <v>-18</v>
      </c>
      <c r="AX185" s="67">
        <f>-19-9-AW185-AV185-AU185</f>
        <v>-11</v>
      </c>
      <c r="AY185" s="472">
        <f>SUM(AU185:AX185)</f>
        <v>-28</v>
      </c>
      <c r="AZ185" s="67">
        <v>0</v>
      </c>
      <c r="BA185" s="607">
        <f>472+340.6</f>
        <v>812.6</v>
      </c>
      <c r="BB185" s="607">
        <v>0</v>
      </c>
      <c r="BC185" s="621">
        <v>0</v>
      </c>
      <c r="BD185" s="472">
        <f>SUM(AZ185:BC185)</f>
        <v>812.6</v>
      </c>
      <c r="BE185" s="621">
        <v>0</v>
      </c>
      <c r="BF185" s="621">
        <v>0</v>
      </c>
      <c r="BG185" s="621">
        <v>0</v>
      </c>
      <c r="BH185" s="621">
        <v>0</v>
      </c>
      <c r="BI185" s="472">
        <f>SUM(BE185:BH185)</f>
        <v>0</v>
      </c>
      <c r="BJ185" s="621">
        <v>0</v>
      </c>
      <c r="BK185" s="621">
        <f>108-BJ185</f>
        <v>108</v>
      </c>
      <c r="BL185" s="621">
        <f>108-1-BK185-BJ185</f>
        <v>-1</v>
      </c>
      <c r="BM185" s="637">
        <f>+BN185-BJ185-BK185-BL185</f>
        <v>32</v>
      </c>
      <c r="BN185" s="472">
        <f>135+4</f>
        <v>139</v>
      </c>
      <c r="BO185" s="621">
        <v>0</v>
      </c>
      <c r="BP185" s="665">
        <f>1-BO185</f>
        <v>1</v>
      </c>
      <c r="BQ185" s="665">
        <f>-1-BP185-BO185</f>
        <v>-2</v>
      </c>
      <c r="BR185" s="637">
        <f>+BS185-BO185-BP185-BQ185</f>
        <v>1</v>
      </c>
      <c r="BS185" s="472">
        <v>0</v>
      </c>
      <c r="BT185" s="621">
        <v>2</v>
      </c>
      <c r="BU185" s="665">
        <f>3-BT185</f>
        <v>1</v>
      </c>
      <c r="BV185" s="665">
        <f>3-SUM(BT185:BU185)</f>
        <v>0</v>
      </c>
      <c r="BW185" s="637">
        <f>BX185-SUM(BT185:BV185)</f>
        <v>16</v>
      </c>
      <c r="BX185" s="472">
        <v>19</v>
      </c>
      <c r="BY185" s="665">
        <v>12</v>
      </c>
      <c r="BZ185" s="665">
        <v>0</v>
      </c>
      <c r="CA185" s="665">
        <v>0</v>
      </c>
      <c r="CB185" s="637">
        <f>CC185-SUM(BY185:CA185)</f>
        <v>-270</v>
      </c>
      <c r="CC185" s="472">
        <f>32-290</f>
        <v>-258</v>
      </c>
      <c r="CD185" s="665">
        <v>1</v>
      </c>
      <c r="CE185" s="665">
        <f>3-CD185</f>
        <v>2</v>
      </c>
      <c r="CF185" s="665">
        <f>25-CE185-CD185</f>
        <v>22</v>
      </c>
      <c r="CG185" s="637">
        <f>+CH185-CD185-CE185-CF185</f>
        <v>1</v>
      </c>
      <c r="CH185" s="472">
        <v>26</v>
      </c>
      <c r="CI185" s="665">
        <v>13</v>
      </c>
      <c r="CJ185" s="665">
        <f>15-CI185</f>
        <v>2</v>
      </c>
      <c r="CK185" s="261">
        <v>0</v>
      </c>
      <c r="CL185" s="261">
        <v>0</v>
      </c>
      <c r="CM185" s="472">
        <f>SUM(CI185:CL185)</f>
        <v>15</v>
      </c>
      <c r="CN185" s="261">
        <v>0</v>
      </c>
      <c r="CO185" s="261">
        <v>0</v>
      </c>
      <c r="CP185" s="261">
        <v>0</v>
      </c>
      <c r="CQ185" s="261">
        <v>0</v>
      </c>
      <c r="CR185" s="472">
        <f>SUM(CN185:CQ185)</f>
        <v>0</v>
      </c>
      <c r="CS185" s="261">
        <v>0</v>
      </c>
      <c r="CT185" s="261">
        <v>0</v>
      </c>
      <c r="CU185" s="261">
        <v>0</v>
      </c>
      <c r="CV185" s="261">
        <v>0</v>
      </c>
      <c r="CW185" s="472">
        <f>SUM(CS185:CV185)</f>
        <v>0</v>
      </c>
      <c r="CX185" s="261">
        <v>0</v>
      </c>
      <c r="CY185" s="261">
        <v>0</v>
      </c>
      <c r="CZ185" s="261">
        <v>0</v>
      </c>
      <c r="DA185" s="261">
        <v>0</v>
      </c>
      <c r="DB185" s="472">
        <f>SUM(CX185:DA185)</f>
        <v>0</v>
      </c>
      <c r="DC185" s="261">
        <v>0</v>
      </c>
      <c r="DD185" s="261">
        <v>0</v>
      </c>
      <c r="DE185" s="261">
        <v>0</v>
      </c>
      <c r="DF185" s="261">
        <v>0</v>
      </c>
      <c r="DG185" s="472">
        <f>SUM(DC185:DF185)</f>
        <v>0</v>
      </c>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c r="HB185"/>
      <c r="HC185"/>
      <c r="HD185"/>
      <c r="HE185"/>
      <c r="HF185"/>
      <c r="HG185"/>
      <c r="HH185"/>
      <c r="HI185"/>
      <c r="HJ185"/>
      <c r="HK185"/>
      <c r="HL185"/>
      <c r="HM185"/>
      <c r="HN185"/>
      <c r="HO185"/>
      <c r="HP185"/>
      <c r="HQ185"/>
      <c r="HR185"/>
    </row>
    <row r="186" spans="1:226" s="45" customFormat="1" x14ac:dyDescent="0.2">
      <c r="A186" s="358" t="s">
        <v>72</v>
      </c>
      <c r="B186" s="68"/>
      <c r="C186" s="68"/>
      <c r="D186" s="68"/>
      <c r="E186" s="68"/>
      <c r="F186" s="449"/>
      <c r="G186" s="68">
        <f t="shared" ref="G186:T186" si="415">SUM(G184:G185)</f>
        <v>-44</v>
      </c>
      <c r="H186" s="68">
        <f t="shared" si="415"/>
        <v>-30</v>
      </c>
      <c r="I186" s="68">
        <f t="shared" si="415"/>
        <v>-29</v>
      </c>
      <c r="J186" s="68">
        <f t="shared" si="415"/>
        <v>-6</v>
      </c>
      <c r="K186" s="449">
        <f t="shared" si="415"/>
        <v>-109</v>
      </c>
      <c r="L186" s="68">
        <f t="shared" si="415"/>
        <v>-54</v>
      </c>
      <c r="M186" s="68">
        <f t="shared" si="415"/>
        <v>-52</v>
      </c>
      <c r="N186" s="68">
        <f t="shared" si="415"/>
        <v>-34</v>
      </c>
      <c r="O186" s="68">
        <f t="shared" si="415"/>
        <v>-53</v>
      </c>
      <c r="P186" s="449">
        <f t="shared" si="415"/>
        <v>-193</v>
      </c>
      <c r="Q186" s="68">
        <f t="shared" si="415"/>
        <v>-48</v>
      </c>
      <c r="R186" s="68">
        <f t="shared" si="415"/>
        <v>-57</v>
      </c>
      <c r="S186" s="68">
        <f t="shared" si="415"/>
        <v>-31</v>
      </c>
      <c r="T186" s="68">
        <f t="shared" si="415"/>
        <v>-100</v>
      </c>
      <c r="U186" s="449">
        <f>SUM(Q186:T186)</f>
        <v>-236</v>
      </c>
      <c r="V186" s="68">
        <f t="shared" ref="V186:BD186" si="416">SUM(V184:V185)</f>
        <v>-35</v>
      </c>
      <c r="W186" s="68">
        <f t="shared" si="416"/>
        <v>-31</v>
      </c>
      <c r="X186" s="68">
        <f t="shared" si="416"/>
        <v>-28</v>
      </c>
      <c r="Y186" s="68">
        <f t="shared" si="416"/>
        <v>-60</v>
      </c>
      <c r="Z186" s="449">
        <f t="shared" si="416"/>
        <v>-154</v>
      </c>
      <c r="AA186" s="68">
        <f t="shared" si="416"/>
        <v>-39</v>
      </c>
      <c r="AB186" s="68">
        <f t="shared" si="416"/>
        <v>-8</v>
      </c>
      <c r="AC186" s="68">
        <f t="shared" si="416"/>
        <v>-55</v>
      </c>
      <c r="AD186" s="68">
        <f t="shared" si="416"/>
        <v>-59</v>
      </c>
      <c r="AE186" s="449">
        <f t="shared" si="416"/>
        <v>-161</v>
      </c>
      <c r="AF186" s="68">
        <f t="shared" si="416"/>
        <v>-33</v>
      </c>
      <c r="AG186" s="68">
        <f t="shared" si="416"/>
        <v>-93</v>
      </c>
      <c r="AH186" s="68">
        <f t="shared" si="416"/>
        <v>-90</v>
      </c>
      <c r="AI186" s="68">
        <f t="shared" si="416"/>
        <v>-52</v>
      </c>
      <c r="AJ186" s="449">
        <f t="shared" si="416"/>
        <v>-268</v>
      </c>
      <c r="AK186" s="68">
        <f t="shared" si="416"/>
        <v>-28</v>
      </c>
      <c r="AL186" s="68">
        <f t="shared" si="416"/>
        <v>-957</v>
      </c>
      <c r="AM186" s="68">
        <f t="shared" si="416"/>
        <v>-31</v>
      </c>
      <c r="AN186" s="68">
        <f t="shared" si="416"/>
        <v>-66</v>
      </c>
      <c r="AO186" s="449">
        <f t="shared" si="416"/>
        <v>-1082</v>
      </c>
      <c r="AP186" s="68">
        <f t="shared" si="416"/>
        <v>-40</v>
      </c>
      <c r="AQ186" s="68">
        <f t="shared" si="416"/>
        <v>-44</v>
      </c>
      <c r="AR186" s="68">
        <f t="shared" si="416"/>
        <v>-53</v>
      </c>
      <c r="AS186" s="68">
        <f t="shared" si="416"/>
        <v>-60</v>
      </c>
      <c r="AT186" s="449">
        <f t="shared" si="416"/>
        <v>-197</v>
      </c>
      <c r="AU186" s="68">
        <f t="shared" si="416"/>
        <v>-33</v>
      </c>
      <c r="AV186" s="68">
        <f t="shared" si="416"/>
        <v>-42</v>
      </c>
      <c r="AW186" s="68">
        <f t="shared" si="416"/>
        <v>-53</v>
      </c>
      <c r="AX186" s="68">
        <f t="shared" si="416"/>
        <v>-103</v>
      </c>
      <c r="AY186" s="471">
        <f t="shared" si="416"/>
        <v>-231</v>
      </c>
      <c r="AZ186" s="68">
        <f t="shared" si="416"/>
        <v>-34</v>
      </c>
      <c r="BA186" s="68">
        <f t="shared" si="416"/>
        <v>757.6</v>
      </c>
      <c r="BB186" s="68">
        <f t="shared" si="416"/>
        <v>-70</v>
      </c>
      <c r="BC186" s="68">
        <f t="shared" ca="1" si="416"/>
        <v>-79.555214723926383</v>
      </c>
      <c r="BD186" s="471">
        <f t="shared" ca="1" si="416"/>
        <v>574.04478527607364</v>
      </c>
      <c r="BE186" s="68">
        <f t="shared" ref="BE186:CV186" si="417">SUM(BE184:BE185)</f>
        <v>-37</v>
      </c>
      <c r="BF186" s="68">
        <f t="shared" si="417"/>
        <v>-45</v>
      </c>
      <c r="BG186" s="68">
        <f t="shared" si="417"/>
        <v>-37</v>
      </c>
      <c r="BH186" s="68">
        <f t="shared" si="417"/>
        <v>-73</v>
      </c>
      <c r="BI186" s="471">
        <f t="shared" si="417"/>
        <v>-192</v>
      </c>
      <c r="BJ186" s="68">
        <f t="shared" si="417"/>
        <v>-54</v>
      </c>
      <c r="BK186" s="68">
        <f t="shared" si="417"/>
        <v>60</v>
      </c>
      <c r="BL186" s="68">
        <f t="shared" si="417"/>
        <v>-33</v>
      </c>
      <c r="BM186" s="68">
        <f>SUM(BM184:BM185)</f>
        <v>-28</v>
      </c>
      <c r="BN186" s="471">
        <f>SUM(BN184:BN185)</f>
        <v>-55</v>
      </c>
      <c r="BO186" s="68">
        <f t="shared" si="417"/>
        <v>-27</v>
      </c>
      <c r="BP186" s="68">
        <f t="shared" si="417"/>
        <v>-35</v>
      </c>
      <c r="BQ186" s="68">
        <f>SUM(BQ184:BQ185)</f>
        <v>-27</v>
      </c>
      <c r="BR186" s="68">
        <f>SUM(BR184:BR185)</f>
        <v>-49</v>
      </c>
      <c r="BS186" s="471">
        <f>SUM(BS184:BS185)</f>
        <v>-138</v>
      </c>
      <c r="BT186" s="68">
        <f>SUM(BT184:BT185)</f>
        <v>-27</v>
      </c>
      <c r="BU186" s="68">
        <f>SUM(BU184:BU185)</f>
        <v>-30</v>
      </c>
      <c r="BV186" s="68">
        <f t="shared" si="417"/>
        <v>-23</v>
      </c>
      <c r="BW186" s="68">
        <f t="shared" si="417"/>
        <v>-26</v>
      </c>
      <c r="BX186" s="471">
        <f t="shared" si="417"/>
        <v>-106</v>
      </c>
      <c r="BY186" s="68">
        <f t="shared" si="417"/>
        <v>-16</v>
      </c>
      <c r="BZ186" s="68">
        <f t="shared" si="417"/>
        <v>-40</v>
      </c>
      <c r="CA186" s="68">
        <f t="shared" si="417"/>
        <v>-45</v>
      </c>
      <c r="CB186" s="68">
        <f>SUM(CB184:CB185)</f>
        <v>-329</v>
      </c>
      <c r="CC186" s="471">
        <f t="shared" si="417"/>
        <v>-430</v>
      </c>
      <c r="CD186" s="68">
        <f t="shared" si="417"/>
        <v>-58</v>
      </c>
      <c r="CE186" s="68">
        <f t="shared" si="417"/>
        <v>-56</v>
      </c>
      <c r="CF186" s="68">
        <f t="shared" si="417"/>
        <v>-22</v>
      </c>
      <c r="CG186" s="68">
        <f t="shared" si="417"/>
        <v>-69</v>
      </c>
      <c r="CH186" s="471">
        <f t="shared" si="417"/>
        <v>-205</v>
      </c>
      <c r="CI186" s="68">
        <f t="shared" si="417"/>
        <v>-36</v>
      </c>
      <c r="CJ186" s="68">
        <f t="shared" si="417"/>
        <v>-38</v>
      </c>
      <c r="CK186" s="68">
        <f t="shared" si="417"/>
        <v>-45.078855107454139</v>
      </c>
      <c r="CL186" s="68">
        <f t="shared" ca="1" si="417"/>
        <v>-73.502201855758145</v>
      </c>
      <c r="CM186" s="471">
        <f t="shared" ca="1" si="417"/>
        <v>-192.58105696321229</v>
      </c>
      <c r="CN186" s="68">
        <f t="shared" si="417"/>
        <v>-50.142141990730536</v>
      </c>
      <c r="CO186" s="68">
        <f t="shared" si="417"/>
        <v>-41.240139170893706</v>
      </c>
      <c r="CP186" s="68">
        <f t="shared" si="417"/>
        <v>-46.581784911228354</v>
      </c>
      <c r="CQ186" s="68">
        <f t="shared" ca="1" si="417"/>
        <v>-73.870661688447441</v>
      </c>
      <c r="CR186" s="471">
        <f t="shared" ca="1" si="417"/>
        <v>-211.83472776130003</v>
      </c>
      <c r="CS186" s="68">
        <f t="shared" si="417"/>
        <v>-48.079060408925194</v>
      </c>
      <c r="CT186" s="68">
        <f t="shared" si="417"/>
        <v>-39.131514908213141</v>
      </c>
      <c r="CU186" s="68">
        <f t="shared" si="417"/>
        <v>-44.365609673647562</v>
      </c>
      <c r="CV186" s="68">
        <f t="shared" ca="1" si="417"/>
        <v>-71.916563066081949</v>
      </c>
      <c r="CW186" s="471">
        <f t="shared" ref="CW186:DG186" ca="1" si="418">SUM(CW184:CW185)</f>
        <v>-203.49274805686784</v>
      </c>
      <c r="CX186" s="68">
        <f t="shared" si="418"/>
        <v>-45.895964414726137</v>
      </c>
      <c r="CY186" s="68">
        <f t="shared" si="418"/>
        <v>-36.901711177296249</v>
      </c>
      <c r="CZ186" s="68">
        <f t="shared" si="418"/>
        <v>-42.023790547075613</v>
      </c>
      <c r="DA186" s="68">
        <f t="shared" ca="1" si="418"/>
        <v>-69.841815450188761</v>
      </c>
      <c r="DB186" s="471">
        <f t="shared" ca="1" si="418"/>
        <v>-194.66328158928675</v>
      </c>
      <c r="DC186" s="68">
        <f t="shared" si="418"/>
        <v>-43.58749562834609</v>
      </c>
      <c r="DD186" s="68">
        <f t="shared" si="418"/>
        <v>-34.545211387301919</v>
      </c>
      <c r="DE186" s="68">
        <f t="shared" si="418"/>
        <v>-39.550707882348782</v>
      </c>
      <c r="DF186" s="68">
        <f t="shared" ca="1" si="418"/>
        <v>-67.64102087945426</v>
      </c>
      <c r="DG186" s="471">
        <f t="shared" ca="1" si="418"/>
        <v>-185.32443577745104</v>
      </c>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c r="HB186"/>
      <c r="HC186"/>
      <c r="HD186"/>
      <c r="HE186"/>
      <c r="HF186"/>
      <c r="HG186"/>
      <c r="HH186"/>
      <c r="HI186"/>
      <c r="HJ186"/>
      <c r="HK186"/>
      <c r="HL186"/>
      <c r="HM186"/>
      <c r="HN186"/>
      <c r="HO186"/>
      <c r="HP186"/>
      <c r="HQ186"/>
      <c r="HR186"/>
    </row>
    <row r="187" spans="1:226" s="19" customFormat="1" x14ac:dyDescent="0.2">
      <c r="A187" s="18"/>
      <c r="B187" s="69"/>
      <c r="C187" s="69"/>
      <c r="D187" s="69"/>
      <c r="E187" s="69"/>
      <c r="F187" s="438"/>
      <c r="G187" s="69"/>
      <c r="H187" s="69"/>
      <c r="I187" s="69"/>
      <c r="J187" s="69"/>
      <c r="K187" s="438"/>
      <c r="L187" s="69"/>
      <c r="M187" s="69"/>
      <c r="N187" s="69"/>
      <c r="O187" s="69"/>
      <c r="P187" s="438"/>
      <c r="Q187" s="69"/>
      <c r="R187" s="69"/>
      <c r="S187" s="69"/>
      <c r="T187" s="69"/>
      <c r="U187" s="438"/>
      <c r="V187" s="69"/>
      <c r="W187" s="69"/>
      <c r="X187" s="69"/>
      <c r="Y187" s="69"/>
      <c r="Z187" s="438"/>
      <c r="AA187" s="69"/>
      <c r="AB187" s="69"/>
      <c r="AC187" s="69"/>
      <c r="AD187" s="69"/>
      <c r="AE187" s="438"/>
      <c r="AF187" s="69"/>
      <c r="AG187" s="69"/>
      <c r="AH187" s="69"/>
      <c r="AI187" s="69"/>
      <c r="AJ187" s="438"/>
      <c r="AK187" s="69"/>
      <c r="AL187" s="69"/>
      <c r="AM187" s="69"/>
      <c r="AN187" s="69"/>
      <c r="AO187" s="438"/>
      <c r="AP187" s="63"/>
      <c r="AQ187" s="63"/>
      <c r="AR187" s="69"/>
      <c r="AS187" s="69"/>
      <c r="AT187" s="438"/>
      <c r="AU187" s="69"/>
      <c r="AV187" s="69"/>
      <c r="AW187" s="380"/>
      <c r="AX187" s="380"/>
      <c r="AY187" s="473"/>
      <c r="AZ187" s="69"/>
      <c r="BA187" s="69"/>
      <c r="BB187" s="69"/>
      <c r="BC187" s="69"/>
      <c r="BD187" s="473"/>
      <c r="BE187" s="69"/>
      <c r="BF187" s="69"/>
      <c r="BG187" s="69"/>
      <c r="BH187" s="63"/>
      <c r="BI187" s="470"/>
      <c r="BJ187" s="69"/>
      <c r="BK187" s="69"/>
      <c r="BL187" s="69"/>
      <c r="BM187" s="69"/>
      <c r="BN187" s="473"/>
      <c r="BO187" s="69"/>
      <c r="BP187" s="69"/>
      <c r="BQ187" s="69"/>
      <c r="BR187" s="69"/>
      <c r="BS187" s="473"/>
      <c r="BT187" s="69"/>
      <c r="BU187" s="69"/>
      <c r="BV187" s="69"/>
      <c r="BW187" s="69"/>
      <c r="BX187" s="473"/>
      <c r="BY187" s="69"/>
      <c r="BZ187" s="69"/>
      <c r="CA187" s="69"/>
      <c r="CB187" s="69"/>
      <c r="CC187" s="473"/>
      <c r="CD187" s="69"/>
      <c r="CE187" s="69"/>
      <c r="CF187" s="69"/>
      <c r="CG187" s="69"/>
      <c r="CH187" s="473"/>
      <c r="CI187" s="69"/>
      <c r="CJ187" s="69"/>
      <c r="CK187" s="69"/>
      <c r="CL187" s="69"/>
      <c r="CM187" s="473"/>
      <c r="CN187" s="69"/>
      <c r="CO187" s="69"/>
      <c r="CP187" s="69"/>
      <c r="CQ187" s="69"/>
      <c r="CR187" s="473"/>
      <c r="CS187" s="69"/>
      <c r="CT187" s="69"/>
      <c r="CU187" s="69"/>
      <c r="CV187" s="69"/>
      <c r="CW187" s="473"/>
      <c r="CX187" s="69"/>
      <c r="CY187" s="69"/>
      <c r="CZ187" s="69"/>
      <c r="DA187" s="69"/>
      <c r="DB187" s="473"/>
      <c r="DC187" s="69"/>
      <c r="DD187" s="69"/>
      <c r="DE187" s="69"/>
      <c r="DF187" s="69"/>
      <c r="DG187" s="473"/>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c r="HB187"/>
      <c r="HC187"/>
      <c r="HD187"/>
      <c r="HE187"/>
      <c r="HF187"/>
      <c r="HG187"/>
      <c r="HH187"/>
      <c r="HI187"/>
      <c r="HJ187"/>
      <c r="HK187"/>
      <c r="HL187"/>
      <c r="HM187"/>
      <c r="HN187"/>
      <c r="HO187"/>
      <c r="HP187"/>
      <c r="HQ187"/>
      <c r="HR187"/>
    </row>
    <row r="188" spans="1:226" s="19" customFormat="1" x14ac:dyDescent="0.2">
      <c r="A188" s="18" t="s">
        <v>73</v>
      </c>
      <c r="B188" s="63"/>
      <c r="C188" s="63"/>
      <c r="D188" s="63"/>
      <c r="E188" s="63"/>
      <c r="F188" s="439"/>
      <c r="G188" s="63">
        <v>-50</v>
      </c>
      <c r="H188" s="63">
        <f>-99-G188</f>
        <v>-49</v>
      </c>
      <c r="I188" s="63">
        <f>-147-H188-G188</f>
        <v>-48</v>
      </c>
      <c r="J188" s="63">
        <f>K188-I188-H188-G188</f>
        <v>-49</v>
      </c>
      <c r="K188" s="439">
        <v>-196</v>
      </c>
      <c r="L188" s="63">
        <v>-49</v>
      </c>
      <c r="M188" s="63">
        <f>-97-L188</f>
        <v>-48</v>
      </c>
      <c r="N188" s="63">
        <f>-145-M188-L188</f>
        <v>-48</v>
      </c>
      <c r="O188" s="63">
        <f>P188-N188-M188-L188</f>
        <v>-48</v>
      </c>
      <c r="P188" s="439">
        <v>-193</v>
      </c>
      <c r="Q188" s="63">
        <v>-58</v>
      </c>
      <c r="R188" s="63">
        <f>-115-Q188</f>
        <v>-57</v>
      </c>
      <c r="S188" s="63">
        <f>-172-R188-Q188</f>
        <v>-57</v>
      </c>
      <c r="T188" s="63">
        <f>U188-S188-R188-Q188</f>
        <v>-57</v>
      </c>
      <c r="U188" s="439">
        <v>-229</v>
      </c>
      <c r="V188" s="63">
        <v>-58</v>
      </c>
      <c r="W188" s="63">
        <f>-115-V188</f>
        <v>-57</v>
      </c>
      <c r="X188" s="63">
        <f>-158-W188-V188</f>
        <v>-43</v>
      </c>
      <c r="Y188" s="63">
        <f>Z188-X188-W188-V188</f>
        <v>-43</v>
      </c>
      <c r="Z188" s="439">
        <v>-201</v>
      </c>
      <c r="AA188" s="63">
        <v>-42</v>
      </c>
      <c r="AB188" s="63">
        <f>-85-AA188</f>
        <v>-43</v>
      </c>
      <c r="AC188" s="63">
        <f>-129-AB188-AA188</f>
        <v>-44</v>
      </c>
      <c r="AD188" s="63">
        <f>AE188-AC188-AB188-AA188</f>
        <v>-44</v>
      </c>
      <c r="AE188" s="439">
        <f>-173</f>
        <v>-173</v>
      </c>
      <c r="AF188" s="63">
        <v>-44</v>
      </c>
      <c r="AG188" s="63">
        <f>-89-AF188</f>
        <v>-45</v>
      </c>
      <c r="AH188" s="63">
        <f>-136-AG188-AF188</f>
        <v>-47</v>
      </c>
      <c r="AI188" s="63">
        <f>AJ188-AH188-AG188-AF188</f>
        <v>-47</v>
      </c>
      <c r="AJ188" s="439">
        <v>-183</v>
      </c>
      <c r="AK188" s="63">
        <v>-61</v>
      </c>
      <c r="AL188" s="63">
        <f>-117-AK188</f>
        <v>-56</v>
      </c>
      <c r="AM188" s="63">
        <f>-173-AL188-AK188</f>
        <v>-56</v>
      </c>
      <c r="AN188" s="63">
        <f>AO188-AM188-AL188-AK188</f>
        <v>-55</v>
      </c>
      <c r="AO188" s="439">
        <v>-228</v>
      </c>
      <c r="AP188" s="63">
        <v>-64</v>
      </c>
      <c r="AQ188" s="63">
        <f>-129-AP188</f>
        <v>-65</v>
      </c>
      <c r="AR188" s="63">
        <f>-193-AQ188-AP188</f>
        <v>-64</v>
      </c>
      <c r="AS188" s="63">
        <f>-258-AR188-AQ188-AP188</f>
        <v>-65</v>
      </c>
      <c r="AT188" s="439">
        <f>SUM(AP188:AS188)</f>
        <v>-258</v>
      </c>
      <c r="AU188" s="63">
        <v>-70</v>
      </c>
      <c r="AV188" s="63">
        <f>-141-AU188</f>
        <v>-71</v>
      </c>
      <c r="AW188" s="63">
        <f>-211-AV188-AU188</f>
        <v>-70</v>
      </c>
      <c r="AX188" s="63">
        <f>-282-AW188-AV188-AU188</f>
        <v>-71</v>
      </c>
      <c r="AY188" s="470">
        <f>SUM(AU188:AX188)</f>
        <v>-282</v>
      </c>
      <c r="AZ188" s="63">
        <v>-77</v>
      </c>
      <c r="BA188" s="63">
        <f ca="1">-BA229*BA97</f>
        <v>-76.56</v>
      </c>
      <c r="BB188" s="63">
        <v>-75</v>
      </c>
      <c r="BC188" s="63">
        <f>-BC229*BC97</f>
        <v>-79.367399999999989</v>
      </c>
      <c r="BD188" s="470">
        <f ca="1">SUM(AZ188:BC188)</f>
        <v>-307.92739999999998</v>
      </c>
      <c r="BE188" s="63">
        <v>-79</v>
      </c>
      <c r="BF188" s="63">
        <v>-79</v>
      </c>
      <c r="BG188" s="63">
        <f>-237-BE188-BF188</f>
        <v>-79</v>
      </c>
      <c r="BH188" s="63">
        <v>-79</v>
      </c>
      <c r="BI188" s="470">
        <f>SUM(BE188:BH188)</f>
        <v>-316</v>
      </c>
      <c r="BJ188" s="63">
        <v>-83</v>
      </c>
      <c r="BK188" s="63">
        <f>-167-BJ188</f>
        <v>-84</v>
      </c>
      <c r="BL188" s="63">
        <f>-250-BK188-BJ188</f>
        <v>-83</v>
      </c>
      <c r="BM188" s="63">
        <f>+BN188-BJ188-BK188-BL188</f>
        <v>-85</v>
      </c>
      <c r="BN188" s="470">
        <v>-335</v>
      </c>
      <c r="BO188" s="63">
        <v>-93</v>
      </c>
      <c r="BP188" s="63">
        <f>-184-BO188</f>
        <v>-91</v>
      </c>
      <c r="BQ188" s="63">
        <f>-277-BP188-BO188</f>
        <v>-93</v>
      </c>
      <c r="BR188" s="63">
        <f>+BS188-BO188-BP188-BQ188</f>
        <v>-91</v>
      </c>
      <c r="BS188" s="470">
        <v>-368</v>
      </c>
      <c r="BT188" s="63">
        <v>-95</v>
      </c>
      <c r="BU188" s="63">
        <f>-191-BT188</f>
        <v>-96</v>
      </c>
      <c r="BV188" s="63">
        <f>-288-BU188-BT188</f>
        <v>-97</v>
      </c>
      <c r="BW188" s="63">
        <f>BX188-BV188-BU188-BT188</f>
        <v>-97</v>
      </c>
      <c r="BX188" s="470">
        <v>-385</v>
      </c>
      <c r="BY188" s="63">
        <v>-99</v>
      </c>
      <c r="BZ188" s="63">
        <f>-198-BY188</f>
        <v>-99</v>
      </c>
      <c r="CA188" s="63">
        <f>-298-BZ188-BY188</f>
        <v>-100</v>
      </c>
      <c r="CB188" s="63">
        <f>CC188-CA188-BZ188-BY188</f>
        <v>-100</v>
      </c>
      <c r="CC188" s="470">
        <v>-398</v>
      </c>
      <c r="CD188" s="63">
        <v>-104</v>
      </c>
      <c r="CE188" s="63">
        <f>-206-CD188</f>
        <v>-102</v>
      </c>
      <c r="CF188" s="63">
        <f>-309-CE188-CD188</f>
        <v>-103</v>
      </c>
      <c r="CG188" s="63">
        <f>+CH188-CD188-CE188-CF188</f>
        <v>-103</v>
      </c>
      <c r="CH188" s="470">
        <v>-412</v>
      </c>
      <c r="CI188" s="63">
        <v>-108</v>
      </c>
      <c r="CJ188" s="63">
        <f>-217-CI188</f>
        <v>-109</v>
      </c>
      <c r="CK188" s="63">
        <f>-CK229*CK97</f>
        <v>-108.69591663510076</v>
      </c>
      <c r="CL188" s="63">
        <f>-CL229*CL97</f>
        <v>-122.96267519999999</v>
      </c>
      <c r="CM188" s="470">
        <f>SUM(CI188:CL188)</f>
        <v>-448.65859183510071</v>
      </c>
      <c r="CN188" s="63">
        <f>-CN229*CN97</f>
        <v>-122.1591552</v>
      </c>
      <c r="CO188" s="63">
        <f>-CO229*CO97</f>
        <v>-121.63115519999999</v>
      </c>
      <c r="CP188" s="63">
        <f>-CP229*CP97</f>
        <v>-121.1031552</v>
      </c>
      <c r="CQ188" s="63">
        <f>-CQ229*CQ97</f>
        <v>-120.5751552</v>
      </c>
      <c r="CR188" s="470">
        <f>SUM(CN188:CQ188)</f>
        <v>-485.4686208</v>
      </c>
      <c r="CS188" s="63">
        <f>-CS229*CS97</f>
        <v>-125.04912000000002</v>
      </c>
      <c r="CT188" s="63">
        <f>-CT229*CT97</f>
        <v>-124.49912</v>
      </c>
      <c r="CU188" s="63">
        <f>-CU229*CU97</f>
        <v>-123.94912000000002</v>
      </c>
      <c r="CV188" s="63">
        <f>-CV229*CV97</f>
        <v>-123.39912000000001</v>
      </c>
      <c r="CW188" s="470">
        <f>SUM(CS188:CV188)</f>
        <v>-496.89648000000011</v>
      </c>
      <c r="CX188" s="63">
        <f>-CX229*CX97</f>
        <v>-127.76308480000003</v>
      </c>
      <c r="CY188" s="63">
        <f>-CY229*CY97</f>
        <v>-127.19108480000003</v>
      </c>
      <c r="CZ188" s="63">
        <f>-CZ229*CZ97</f>
        <v>-126.61908480000004</v>
      </c>
      <c r="DA188" s="63">
        <f>-DA229*DA97</f>
        <v>-126.04708480000002</v>
      </c>
      <c r="DB188" s="470">
        <f>SUM(CX188:DA188)</f>
        <v>-507.6203392000001</v>
      </c>
      <c r="DC188" s="63">
        <f>-DC229*DC97</f>
        <v>-130.30104960000006</v>
      </c>
      <c r="DD188" s="63">
        <f>-DD229*DD97</f>
        <v>-129.70704960000003</v>
      </c>
      <c r="DE188" s="63">
        <f>-DE229*DE97</f>
        <v>-129.11304960000007</v>
      </c>
      <c r="DF188" s="63">
        <f>-DF229*DF97</f>
        <v>-128.51904960000005</v>
      </c>
      <c r="DG188" s="470">
        <f>SUM(DC188:DF188)</f>
        <v>-517.64019840000014</v>
      </c>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c r="HB188"/>
      <c r="HC188"/>
      <c r="HD188"/>
      <c r="HE188"/>
      <c r="HF188"/>
      <c r="HG188"/>
      <c r="HH188"/>
      <c r="HI188"/>
      <c r="HJ188"/>
      <c r="HK188"/>
      <c r="HL188"/>
      <c r="HM188"/>
      <c r="HN188"/>
      <c r="HO188"/>
      <c r="HP188"/>
      <c r="HQ188"/>
      <c r="HR188"/>
    </row>
    <row r="189" spans="1:226" s="19" customFormat="1" x14ac:dyDescent="0.2">
      <c r="A189" s="361" t="s">
        <v>74</v>
      </c>
      <c r="B189" s="63"/>
      <c r="C189" s="63"/>
      <c r="D189" s="63"/>
      <c r="E189" s="63"/>
      <c r="F189" s="439"/>
      <c r="G189" s="63">
        <f>174+3-203</f>
        <v>-26</v>
      </c>
      <c r="H189" s="63">
        <f>(82+3-206)-G189</f>
        <v>-95</v>
      </c>
      <c r="I189" s="63">
        <f>(130+3-208)-H189-G189</f>
        <v>46</v>
      </c>
      <c r="J189" s="63">
        <f>K189-I189-H189-G189</f>
        <v>72</v>
      </c>
      <c r="K189" s="439">
        <f>206+3-212</f>
        <v>-3</v>
      </c>
      <c r="L189" s="63">
        <f>-8+4-1</f>
        <v>-5</v>
      </c>
      <c r="M189" s="63">
        <f>(40+7-3)-L189</f>
        <v>49</v>
      </c>
      <c r="N189" s="63">
        <f>(95+3-2)-M189-L189</f>
        <v>52</v>
      </c>
      <c r="O189" s="63">
        <f>P189-N189-M189-L189</f>
        <v>-85</v>
      </c>
      <c r="P189" s="439">
        <f>30+8-27</f>
        <v>11</v>
      </c>
      <c r="Q189" s="63">
        <f>292+7-207</f>
        <v>92</v>
      </c>
      <c r="R189" s="63">
        <f>301+7-214-Q189</f>
        <v>2</v>
      </c>
      <c r="S189" s="63">
        <f>128+8-214-R189-Q189</f>
        <v>-172</v>
      </c>
      <c r="T189" s="63">
        <f>U189-S189-R189-Q189</f>
        <v>-204</v>
      </c>
      <c r="U189" s="439">
        <f>-75+8-215</f>
        <v>-282</v>
      </c>
      <c r="V189" s="63">
        <v>-119</v>
      </c>
      <c r="W189" s="63">
        <f>254+1635-V189</f>
        <v>2008</v>
      </c>
      <c r="X189" s="63">
        <f>117+1635-W189-V189</f>
        <v>-137</v>
      </c>
      <c r="Y189" s="63">
        <f>Z189-X189-W189-V189</f>
        <v>-49</v>
      </c>
      <c r="Z189" s="439">
        <f>68+1635</f>
        <v>1703</v>
      </c>
      <c r="AA189" s="63">
        <v>196</v>
      </c>
      <c r="AB189" s="63">
        <f>162-29-AA189</f>
        <v>-63</v>
      </c>
      <c r="AC189" s="63">
        <f>106-29-AB189-AA189</f>
        <v>-56</v>
      </c>
      <c r="AD189" s="63">
        <f>AE189-AC189-AB189-AA189</f>
        <v>-310</v>
      </c>
      <c r="AE189" s="439">
        <f>-204-29</f>
        <v>-233</v>
      </c>
      <c r="AF189" s="63">
        <v>-88</v>
      </c>
      <c r="AG189" s="63">
        <f>-32-AF189</f>
        <v>56</v>
      </c>
      <c r="AH189" s="63">
        <f>-150-AG189-AF189+48</f>
        <v>-70</v>
      </c>
      <c r="AI189" s="63">
        <f>AJ189-AH189-AG189-AF189</f>
        <v>-135</v>
      </c>
      <c r="AJ189" s="439">
        <f>-150-87</f>
        <v>-237</v>
      </c>
      <c r="AK189" s="63">
        <f>798+16</f>
        <v>814</v>
      </c>
      <c r="AL189" s="63">
        <f>1470+757-500-AK189</f>
        <v>913</v>
      </c>
      <c r="AM189" s="63">
        <f>1256-500-AL189-AK189+885</f>
        <v>-86</v>
      </c>
      <c r="AN189" s="63">
        <f>AO189-AM189-AL189-AK189</f>
        <v>-204</v>
      </c>
      <c r="AO189" s="439">
        <f>681+1256-500</f>
        <v>1437</v>
      </c>
      <c r="AP189" s="63">
        <v>-27</v>
      </c>
      <c r="AQ189" s="63">
        <f>-116-AP189</f>
        <v>-89</v>
      </c>
      <c r="AR189" s="63">
        <f>-211-AQ189-AP189</f>
        <v>-95</v>
      </c>
      <c r="AS189" s="63">
        <f>-334+11-AR189-AQ189-AP189</f>
        <v>-112</v>
      </c>
      <c r="AT189" s="439">
        <f>SUM(AP189:AS189)</f>
        <v>-323</v>
      </c>
      <c r="AU189" s="63">
        <f>35-15</f>
        <v>20</v>
      </c>
      <c r="AV189" s="63">
        <f>-397+297-15-AU189</f>
        <v>-135</v>
      </c>
      <c r="AW189" s="63">
        <f>163+297-590-AV189-AU189</f>
        <v>-15</v>
      </c>
      <c r="AX189" s="63">
        <f>296-598-52-AW189-AV189-AU189</f>
        <v>-224</v>
      </c>
      <c r="AY189" s="470">
        <f>SUM(AU189:AX189)</f>
        <v>-354</v>
      </c>
      <c r="AZ189" s="63">
        <v>134</v>
      </c>
      <c r="BA189" s="63">
        <f>BA145-AZ145+BA146-AZ146+BA152-AZ152</f>
        <v>-502</v>
      </c>
      <c r="BB189" s="63">
        <f>BB145-BA145+BB146-BA146+BB152-BA152</f>
        <v>40</v>
      </c>
      <c r="BC189" s="63">
        <f>BC145-BB145+BC146-BB146+BC152-BB152</f>
        <v>116</v>
      </c>
      <c r="BD189" s="470">
        <f>SUM(AZ189:BC189)</f>
        <v>-212</v>
      </c>
      <c r="BE189" s="63">
        <f>BE145-BD145+BE146-BD146+BE152-BD152</f>
        <v>-22</v>
      </c>
      <c r="BF189" s="63">
        <f>BF145-BE145+BF146-BE146+BF152-BE152</f>
        <v>334</v>
      </c>
      <c r="BG189" s="63">
        <f>BG145-BF145+BG146-BF146+BG152-BF152</f>
        <v>-46</v>
      </c>
      <c r="BH189" s="63">
        <f>BH145-BG145+BH146-BG146+BH152-BG152</f>
        <v>-129</v>
      </c>
      <c r="BI189" s="470">
        <f>SUM(BE189:BH189)</f>
        <v>137</v>
      </c>
      <c r="BJ189" s="63">
        <f>BJ145-BI145+BJ146-BI146+BJ152-BI152</f>
        <v>300</v>
      </c>
      <c r="BK189" s="63">
        <f>BK145-BJ145+BK146-BJ146+BK152-BJ152</f>
        <v>-347</v>
      </c>
      <c r="BL189" s="63">
        <f>BL145-BK145+BL146-BK146+BL152-BK152</f>
        <v>-113</v>
      </c>
      <c r="BM189" s="63">
        <f>+BN189-BJ189-BK189-BL189</f>
        <v>-195</v>
      </c>
      <c r="BN189" s="470">
        <f>593-850-98</f>
        <v>-355</v>
      </c>
      <c r="BO189" s="63">
        <v>84</v>
      </c>
      <c r="BP189" s="63">
        <f>BP145-BO145+BP146-BO146+BP152-BO152</f>
        <v>56</v>
      </c>
      <c r="BQ189" s="63">
        <f>BQ145-BP145+BQ146-BP146+BQ152-BP152</f>
        <v>52</v>
      </c>
      <c r="BR189" s="63">
        <f>BR145-BQ145+BR146-BQ146+BR152-BQ152</f>
        <v>-251</v>
      </c>
      <c r="BS189" s="470">
        <f>SUM(BO189:BR189)</f>
        <v>-59</v>
      </c>
      <c r="BT189" s="63">
        <v>-90</v>
      </c>
      <c r="BU189" s="63">
        <f>BU145-BT145+BU146-BT146+BU152-BT152</f>
        <v>448</v>
      </c>
      <c r="BV189" s="63">
        <f>BV145-BU145+BV146-BU146+BV152-BU152</f>
        <v>-506</v>
      </c>
      <c r="BW189" s="63">
        <f>BW145-BV145+BW146-BV146+BW152-BV152</f>
        <v>25</v>
      </c>
      <c r="BX189" s="470">
        <f>SUM(BT189:BW189)</f>
        <v>-123</v>
      </c>
      <c r="BY189" s="63">
        <v>36</v>
      </c>
      <c r="BZ189" s="63">
        <f>BZ145-BY145+BZ146-BY146+BZ152-BY152</f>
        <v>69</v>
      </c>
      <c r="CA189" s="63">
        <f>CA145-BZ145+CA146-BZ146+CA152-BZ152</f>
        <v>-68</v>
      </c>
      <c r="CB189" s="63">
        <f>CC189-CA189-BZ189-BY189</f>
        <v>89</v>
      </c>
      <c r="CC189" s="470">
        <v>126</v>
      </c>
      <c r="CD189" s="63">
        <v>95</v>
      </c>
      <c r="CE189" s="63">
        <f>233-CD189</f>
        <v>138</v>
      </c>
      <c r="CF189" s="63">
        <f>123-CE189-CD189</f>
        <v>-110</v>
      </c>
      <c r="CG189" s="63">
        <f>+CH189-CD189-CE189-CF189</f>
        <v>-248</v>
      </c>
      <c r="CH189" s="470">
        <v>-125</v>
      </c>
      <c r="CI189" s="63">
        <f>-391+396</f>
        <v>5</v>
      </c>
      <c r="CJ189" s="63">
        <f>88+396-400-CI189</f>
        <v>79</v>
      </c>
      <c r="CK189" s="63">
        <f ca="1">CK145-CJ145+CK146-CJ146+CK152-CJ152</f>
        <v>85.561585010963427</v>
      </c>
      <c r="CL189" s="63">
        <f ca="1">CL145-CK145+CL146-CK146+CL152-CK152</f>
        <v>-3.5615944119999767</v>
      </c>
      <c r="CM189" s="470">
        <f ca="1">SUM(CI189:CL189)</f>
        <v>165.99999059896345</v>
      </c>
      <c r="CN189" s="63">
        <f ca="1">CN145-CM145+CN146-CM146+CN152-CM152</f>
        <v>-68.21744002525611</v>
      </c>
      <c r="CO189" s="63">
        <f ca="1">CO145-CN145+CO146-CN146+CO152-CN152</f>
        <v>291.42764428955434</v>
      </c>
      <c r="CP189" s="63">
        <f ca="1">CP145-CO145+CP146-CO146+CP152-CO152</f>
        <v>32.115404673909325</v>
      </c>
      <c r="CQ189" s="63">
        <f ca="1">CQ145-CP145+CQ146-CP146+CQ152-CP152</f>
        <v>-78.048875753093853</v>
      </c>
      <c r="CR189" s="470">
        <f ca="1">SUM(CN189:CQ189)</f>
        <v>177.2767331851137</v>
      </c>
      <c r="CS189" s="63">
        <f ca="1">CS145-CR145+CS146-CR146+CS152-CR152</f>
        <v>-78.571293219074505</v>
      </c>
      <c r="CT189" s="63">
        <f ca="1">CT145-CS145+CT146-CS146+CT152-CS152</f>
        <v>299.24375191824583</v>
      </c>
      <c r="CU189" s="63">
        <f ca="1">CU145-CT145+CU146-CT146+CU152-CT152</f>
        <v>34.856710091299647</v>
      </c>
      <c r="CV189" s="63">
        <f ca="1">CV145-CU145+CV146-CU146+CV152-CU152</f>
        <v>-77.293291626459904</v>
      </c>
      <c r="CW189" s="470">
        <f ca="1">SUM(CS189:CV189)</f>
        <v>178.23587716401107</v>
      </c>
      <c r="CX189" s="63">
        <f ca="1">CX145-CW145+CX146-CW146+CX152-CW152</f>
        <v>-67.677239738527533</v>
      </c>
      <c r="CY189" s="63">
        <f ca="1">CY145-CX145+CY146-CX146+CY152-CX152</f>
        <v>307.28282148608014</v>
      </c>
      <c r="CZ189" s="63">
        <f ca="1">CZ145-CY145+CZ146-CY146+CZ152-CY152</f>
        <v>44.173335227474126</v>
      </c>
      <c r="DA189" s="63">
        <f ca="1">DA145-CZ145+DA146-CZ146+DA152-CZ152</f>
        <v>-69.023790899595951</v>
      </c>
      <c r="DB189" s="470">
        <f ca="1">SUM(CX189:DA189)</f>
        <v>214.75512607543078</v>
      </c>
      <c r="DC189" s="63">
        <f ca="1">DC145-DB145+DC146-DB146+DC152-DB152</f>
        <v>-70.802042536954104</v>
      </c>
      <c r="DD189" s="63">
        <f ca="1">DD145-DC145+DD146-DC146+DD152-DC152</f>
        <v>317.13997250153625</v>
      </c>
      <c r="DE189" s="63">
        <f ca="1">DE145-DD145+DE146-DD146+DE152-DD152</f>
        <v>55.371545091095868</v>
      </c>
      <c r="DF189" s="63">
        <f ca="1">DF145-DE145+DF146-DE146+DF152-DE152</f>
        <v>-58.83329594568022</v>
      </c>
      <c r="DG189" s="470">
        <f ca="1">SUM(DC189:DF189)</f>
        <v>242.87617910999779</v>
      </c>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c r="HB189"/>
      <c r="HC189"/>
      <c r="HD189"/>
      <c r="HE189"/>
      <c r="HF189"/>
      <c r="HG189"/>
      <c r="HH189"/>
      <c r="HI189"/>
      <c r="HJ189"/>
      <c r="HK189"/>
      <c r="HL189"/>
      <c r="HM189"/>
      <c r="HN189"/>
      <c r="HO189"/>
      <c r="HP189"/>
      <c r="HQ189"/>
      <c r="HR189"/>
    </row>
    <row r="190" spans="1:226" s="19" customFormat="1" x14ac:dyDescent="0.2">
      <c r="A190" s="360" t="s">
        <v>75</v>
      </c>
      <c r="B190" s="63"/>
      <c r="C190" s="63"/>
      <c r="D190" s="63"/>
      <c r="E190" s="63"/>
      <c r="F190" s="439"/>
      <c r="G190" s="63">
        <v>-159</v>
      </c>
      <c r="H190" s="63">
        <f>-162-G190</f>
        <v>-3</v>
      </c>
      <c r="I190" s="63">
        <f>-296-H190-G190</f>
        <v>-134</v>
      </c>
      <c r="J190" s="63">
        <f>K190-I190-H190-G190</f>
        <v>-116</v>
      </c>
      <c r="K190" s="439">
        <v>-412</v>
      </c>
      <c r="L190" s="63">
        <v>-138</v>
      </c>
      <c r="M190" s="63">
        <f>-307-L190</f>
        <v>-169</v>
      </c>
      <c r="N190" s="63">
        <f>-348-M190-L190</f>
        <v>-41</v>
      </c>
      <c r="O190" s="63">
        <f>P190-N190-M190-L190</f>
        <v>-138</v>
      </c>
      <c r="P190" s="439">
        <v>-486</v>
      </c>
      <c r="Q190" s="63">
        <v>-147</v>
      </c>
      <c r="R190" s="63">
        <f>-155-65-Q190</f>
        <v>-73</v>
      </c>
      <c r="S190" s="63">
        <f>-155-65-R190-Q190</f>
        <v>0</v>
      </c>
      <c r="T190" s="63">
        <f>U190-S190-R190-Q190</f>
        <v>0</v>
      </c>
      <c r="U190" s="439">
        <f>-155-65</f>
        <v>-220</v>
      </c>
      <c r="V190" s="63">
        <v>0</v>
      </c>
      <c r="W190" s="63">
        <f>-2110-V190</f>
        <v>-2110</v>
      </c>
      <c r="X190" s="63">
        <f>-2119-W190-V190</f>
        <v>-9</v>
      </c>
      <c r="Y190" s="63">
        <v>-160</v>
      </c>
      <c r="Z190" s="439">
        <f>SUM(V190:Y190)</f>
        <v>-2279</v>
      </c>
      <c r="AA190" s="63">
        <v>-90</v>
      </c>
      <c r="AB190" s="63">
        <f>-135-AA190</f>
        <v>-45</v>
      </c>
      <c r="AC190" s="63">
        <f>-135-AB190-AA190</f>
        <v>0</v>
      </c>
      <c r="AD190" s="63">
        <f>AE190-AC190-AB190-AA190</f>
        <v>0</v>
      </c>
      <c r="AE190" s="439">
        <f>-135</f>
        <v>-135</v>
      </c>
      <c r="AF190" s="63">
        <v>-20</v>
      </c>
      <c r="AG190" s="63">
        <f>-89-AF190</f>
        <v>-69</v>
      </c>
      <c r="AH190" s="63">
        <f>-89-AG190-AF190</f>
        <v>0</v>
      </c>
      <c r="AI190" s="63">
        <f>AJ190-AH190-AG190-AF190</f>
        <v>-66</v>
      </c>
      <c r="AJ190" s="439">
        <v>-155</v>
      </c>
      <c r="AK190" s="63">
        <v>-868</v>
      </c>
      <c r="AL190" s="63">
        <f>-868-AK190</f>
        <v>0</v>
      </c>
      <c r="AM190" s="63">
        <f>-868-AL190-AK190</f>
        <v>0</v>
      </c>
      <c r="AN190" s="63">
        <f>AO190-AM190-AL190-AK190</f>
        <v>0</v>
      </c>
      <c r="AO190" s="439">
        <v>-868</v>
      </c>
      <c r="AP190" s="63">
        <v>0</v>
      </c>
      <c r="AQ190" s="63">
        <f>0-AP190</f>
        <v>0</v>
      </c>
      <c r="AR190" s="63">
        <f>0-AQ190-AP190</f>
        <v>0</v>
      </c>
      <c r="AS190" s="63">
        <f>0-AR190-AQ190-AP190</f>
        <v>0</v>
      </c>
      <c r="AT190" s="439">
        <f>SUM(AP190:AS190)</f>
        <v>0</v>
      </c>
      <c r="AU190" s="63">
        <v>0</v>
      </c>
      <c r="AV190" s="63">
        <f>0-AU190</f>
        <v>0</v>
      </c>
      <c r="AW190" s="63">
        <f ca="1">AW125</f>
        <v>0</v>
      </c>
      <c r="AX190" s="63">
        <f ca="1">-150-AW190-AV190-AU190</f>
        <v>-150</v>
      </c>
      <c r="AY190" s="470">
        <f ca="1">SUM(AU190:AX190)</f>
        <v>-150</v>
      </c>
      <c r="AZ190" s="63">
        <v>-4</v>
      </c>
      <c r="BA190" s="63">
        <f>BA125</f>
        <v>-130</v>
      </c>
      <c r="BB190" s="63">
        <f>BB125</f>
        <v>-338</v>
      </c>
      <c r="BC190" s="63">
        <f>BC125</f>
        <v>-183</v>
      </c>
      <c r="BD190" s="470">
        <f>SUM(AZ190:BC190)</f>
        <v>-655</v>
      </c>
      <c r="BE190" s="63">
        <f>BE125</f>
        <v>-9</v>
      </c>
      <c r="BF190" s="63">
        <f>BF125</f>
        <v>-149</v>
      </c>
      <c r="BG190" s="63">
        <f>BG125</f>
        <v>0</v>
      </c>
      <c r="BH190" s="63">
        <f>BH125</f>
        <v>-67</v>
      </c>
      <c r="BI190" s="470">
        <f>SUM(BE190:BH190)</f>
        <v>-225</v>
      </c>
      <c r="BJ190" s="63">
        <f>BJ125</f>
        <v>0</v>
      </c>
      <c r="BK190" s="63">
        <f>BK125</f>
        <v>0</v>
      </c>
      <c r="BL190" s="63">
        <f>BL125</f>
        <v>-3.9247639999999997E-4</v>
      </c>
      <c r="BM190" s="63">
        <f>+BN190-BJ190-BK190-BL190</f>
        <v>-127.99960752360001</v>
      </c>
      <c r="BN190" s="470">
        <v>-128</v>
      </c>
      <c r="BO190" s="63">
        <v>-130</v>
      </c>
      <c r="BP190" s="63">
        <f ca="1">BP125</f>
        <v>0</v>
      </c>
      <c r="BQ190" s="63">
        <f ca="1">BQ125</f>
        <v>0</v>
      </c>
      <c r="BR190" s="63">
        <f ca="1">+BS190-BO190-BP190-BQ190</f>
        <v>-130</v>
      </c>
      <c r="BS190" s="470">
        <v>-260</v>
      </c>
      <c r="BT190" s="63">
        <v>-8</v>
      </c>
      <c r="BU190" s="63">
        <f>-8-BT190</f>
        <v>0</v>
      </c>
      <c r="BV190" s="63">
        <f>-144-BU190-BT190</f>
        <v>-136</v>
      </c>
      <c r="BW190" s="63">
        <f>BX190-BV190-BU190-BT190</f>
        <v>-290</v>
      </c>
      <c r="BX190" s="470">
        <v>-434</v>
      </c>
      <c r="BY190" s="63">
        <v>-103</v>
      </c>
      <c r="BZ190" s="63">
        <f>-144-BY190</f>
        <v>-41</v>
      </c>
      <c r="CA190" s="63">
        <f>-216-BZ190-BY190</f>
        <v>-72</v>
      </c>
      <c r="CB190" s="63">
        <f>CC190-CA190-BZ190-BY190</f>
        <v>-38</v>
      </c>
      <c r="CC190" s="470">
        <f>-254</f>
        <v>-254</v>
      </c>
      <c r="CD190" s="63">
        <v>-110</v>
      </c>
      <c r="CE190" s="63">
        <f>-183-CD190</f>
        <v>-73</v>
      </c>
      <c r="CF190" s="63">
        <f>-183-CE190-CD190</f>
        <v>0</v>
      </c>
      <c r="CG190" s="63">
        <f>+CH190-CD190-CE190-CF190</f>
        <v>0</v>
      </c>
      <c r="CH190" s="470">
        <v>-183</v>
      </c>
      <c r="CI190" s="63">
        <v>-66</v>
      </c>
      <c r="CJ190" s="63">
        <f>-70-CI190</f>
        <v>-4</v>
      </c>
      <c r="CK190" s="63">
        <f>CK125</f>
        <v>-151.19999999999999</v>
      </c>
      <c r="CL190" s="63">
        <f>CL125</f>
        <v>-170.99459999999999</v>
      </c>
      <c r="CM190" s="470">
        <f>SUM(CI190:CL190)</f>
        <v>-392.19459999999998</v>
      </c>
      <c r="CN190" s="63">
        <f>CN125</f>
        <v>-99.284062499999976</v>
      </c>
      <c r="CO190" s="63">
        <f>CO125</f>
        <v>-101.76616406249997</v>
      </c>
      <c r="CP190" s="63">
        <f>CP125</f>
        <v>-104.31031816406244</v>
      </c>
      <c r="CQ190" s="63">
        <f>CQ125</f>
        <v>-106.918076118164</v>
      </c>
      <c r="CR190" s="470">
        <f>SUM(CN190:CQ190)</f>
        <v>-412.27862084472633</v>
      </c>
      <c r="CS190" s="63">
        <f>CS125</f>
        <v>-109.59102802111809</v>
      </c>
      <c r="CT190" s="63">
        <f>CT125</f>
        <v>-112.33080372164605</v>
      </c>
      <c r="CU190" s="63">
        <f>CU125</f>
        <v>-115.13907381468718</v>
      </c>
      <c r="CV190" s="63">
        <f>CV125</f>
        <v>-118.01755066005434</v>
      </c>
      <c r="CW190" s="470">
        <f>SUM(CS190:CV190)</f>
        <v>-455.07845621750562</v>
      </c>
      <c r="CX190" s="63">
        <f>CX125</f>
        <v>-120.96798942655568</v>
      </c>
      <c r="CY190" s="63">
        <f>CY125</f>
        <v>-123.99218916221956</v>
      </c>
      <c r="CZ190" s="63">
        <f>CZ125</f>
        <v>-127.09199389127502</v>
      </c>
      <c r="DA190" s="63">
        <f>DA125</f>
        <v>-130.26929373855688</v>
      </c>
      <c r="DB190" s="470">
        <f>SUM(CX190:DA190)</f>
        <v>-502.32146621860716</v>
      </c>
      <c r="DC190" s="63">
        <f>DC125</f>
        <v>-133.52602608202079</v>
      </c>
      <c r="DD190" s="63">
        <f>DD125</f>
        <v>-136.86417673407129</v>
      </c>
      <c r="DE190" s="63">
        <f>DE125</f>
        <v>-140.28578115242308</v>
      </c>
      <c r="DF190" s="63">
        <f>DF125</f>
        <v>-143.79292568123364</v>
      </c>
      <c r="DG190" s="470">
        <f>SUM(DC190:DF190)</f>
        <v>-554.46890964974887</v>
      </c>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c r="HB190"/>
      <c r="HC190"/>
      <c r="HD190"/>
      <c r="HE190"/>
      <c r="HF190"/>
      <c r="HG190"/>
      <c r="HH190"/>
      <c r="HI190"/>
      <c r="HJ190"/>
      <c r="HK190"/>
      <c r="HL190"/>
      <c r="HM190"/>
      <c r="HN190"/>
      <c r="HO190"/>
      <c r="HP190"/>
      <c r="HQ190"/>
      <c r="HR190"/>
    </row>
    <row r="191" spans="1:226" s="19" customFormat="1" x14ac:dyDescent="0.2">
      <c r="A191" s="360" t="s">
        <v>44</v>
      </c>
      <c r="B191" s="67"/>
      <c r="C191" s="67"/>
      <c r="D191" s="67"/>
      <c r="E191" s="67"/>
      <c r="F191" s="448"/>
      <c r="G191" s="67">
        <v>0</v>
      </c>
      <c r="H191" s="67">
        <f>1-G191</f>
        <v>1</v>
      </c>
      <c r="I191" s="67">
        <f>19-H191-G191</f>
        <v>18</v>
      </c>
      <c r="J191" s="67">
        <f>K191-I191-H191-G191</f>
        <v>-241</v>
      </c>
      <c r="K191" s="448">
        <f>-257+35</f>
        <v>-222</v>
      </c>
      <c r="L191" s="67">
        <f>7+3</f>
        <v>10</v>
      </c>
      <c r="M191" s="67">
        <f>28+4-L191</f>
        <v>22</v>
      </c>
      <c r="N191" s="67">
        <f>43+7-M191-L191</f>
        <v>18</v>
      </c>
      <c r="O191" s="67">
        <f>P191-N191-M191-L191</f>
        <v>1</v>
      </c>
      <c r="P191" s="448">
        <f>41+10</f>
        <v>51</v>
      </c>
      <c r="Q191" s="67">
        <f>13+23</f>
        <v>36</v>
      </c>
      <c r="R191" s="67">
        <f>32+22-8-Q191</f>
        <v>10</v>
      </c>
      <c r="S191" s="67">
        <f>85+24-9-R191-Q191</f>
        <v>54</v>
      </c>
      <c r="T191" s="67">
        <f>U191-S191-R191-Q191</f>
        <v>26</v>
      </c>
      <c r="U191" s="448">
        <f>24+111-9</f>
        <v>126</v>
      </c>
      <c r="V191" s="67">
        <v>18</v>
      </c>
      <c r="W191" s="67">
        <f>4+59-V191</f>
        <v>45</v>
      </c>
      <c r="X191" s="67">
        <f>133+83-1-W191-V191</f>
        <v>152</v>
      </c>
      <c r="Y191" s="67">
        <v>10</v>
      </c>
      <c r="Z191" s="448">
        <f>SUM(V191:Y191)</f>
        <v>225</v>
      </c>
      <c r="AA191" s="67">
        <v>14</v>
      </c>
      <c r="AB191" s="67">
        <f>31-AA191</f>
        <v>17</v>
      </c>
      <c r="AC191" s="67">
        <f>64-AB191-AA191</f>
        <v>33</v>
      </c>
      <c r="AD191" s="67">
        <f>AE191-AC191-AB191-AA191</f>
        <v>15</v>
      </c>
      <c r="AE191" s="448">
        <v>79</v>
      </c>
      <c r="AF191" s="67">
        <v>33</v>
      </c>
      <c r="AG191" s="67">
        <f>67-AF191</f>
        <v>34</v>
      </c>
      <c r="AH191" s="67">
        <f>93-AG191-AF191</f>
        <v>26</v>
      </c>
      <c r="AI191" s="67">
        <f>AJ191-AH191-AG191-AF191</f>
        <v>26</v>
      </c>
      <c r="AJ191" s="448">
        <v>119</v>
      </c>
      <c r="AK191" s="67">
        <v>5</v>
      </c>
      <c r="AL191" s="67">
        <f>26-AK191</f>
        <v>21</v>
      </c>
      <c r="AM191" s="67">
        <f>30-AL191-AK191</f>
        <v>4</v>
      </c>
      <c r="AN191" s="67">
        <f>AO191-AM191-AL191-AK191</f>
        <v>9</v>
      </c>
      <c r="AO191" s="448">
        <v>39</v>
      </c>
      <c r="AP191" s="67">
        <v>16</v>
      </c>
      <c r="AQ191" s="67">
        <f>35-AP191</f>
        <v>19</v>
      </c>
      <c r="AR191" s="67">
        <f>37-AQ191-AP191</f>
        <v>2</v>
      </c>
      <c r="AS191" s="67">
        <f>41-AR191-AQ191-AP191</f>
        <v>4</v>
      </c>
      <c r="AT191" s="448">
        <f>SUM(AP191:AS191)</f>
        <v>41</v>
      </c>
      <c r="AU191" s="67">
        <v>15</v>
      </c>
      <c r="AV191" s="67">
        <f>31-AU191</f>
        <v>16</v>
      </c>
      <c r="AW191" s="67">
        <f>61-AV191-AU191</f>
        <v>30</v>
      </c>
      <c r="AX191" s="67">
        <f>80-AW191-AV191-AU191</f>
        <v>19</v>
      </c>
      <c r="AY191" s="472">
        <f>SUM(AU191:AX191)</f>
        <v>80</v>
      </c>
      <c r="AZ191" s="67">
        <v>22</v>
      </c>
      <c r="BA191" s="607">
        <v>0</v>
      </c>
      <c r="BB191" s="607">
        <v>0</v>
      </c>
      <c r="BC191" s="621">
        <v>0</v>
      </c>
      <c r="BD191" s="472">
        <f>SUM(AZ191:BC191)</f>
        <v>22</v>
      </c>
      <c r="BE191" s="621">
        <v>27</v>
      </c>
      <c r="BF191" s="621">
        <v>-71</v>
      </c>
      <c r="BG191" s="621">
        <v>3</v>
      </c>
      <c r="BH191" s="621">
        <v>15</v>
      </c>
      <c r="BI191" s="472">
        <f>SUM(BE191:BH191)</f>
        <v>-26</v>
      </c>
      <c r="BJ191" s="621">
        <v>25</v>
      </c>
      <c r="BK191" s="621">
        <v>34</v>
      </c>
      <c r="BL191" s="621">
        <v>46</v>
      </c>
      <c r="BM191" s="637">
        <f>+BN191-BJ191-BK191-BL191</f>
        <v>28</v>
      </c>
      <c r="BN191" s="472">
        <v>133</v>
      </c>
      <c r="BO191" s="621">
        <v>11</v>
      </c>
      <c r="BP191" s="665">
        <v>60</v>
      </c>
      <c r="BQ191" s="665">
        <v>-123</v>
      </c>
      <c r="BR191" s="665">
        <v>138</v>
      </c>
      <c r="BS191" s="472">
        <f>+SUM(BO191:BR191)</f>
        <v>86</v>
      </c>
      <c r="BT191" s="665">
        <v>9</v>
      </c>
      <c r="BU191" s="665">
        <v>113</v>
      </c>
      <c r="BV191" s="665">
        <v>110</v>
      </c>
      <c r="BW191" s="665">
        <v>13.999999999999989</v>
      </c>
      <c r="BX191" s="472">
        <f>SUM(BT191:BW191)</f>
        <v>246</v>
      </c>
      <c r="BY191" s="665">
        <v>46</v>
      </c>
      <c r="BZ191" s="665">
        <v>87</v>
      </c>
      <c r="CA191" s="665">
        <v>43</v>
      </c>
      <c r="CB191" s="665">
        <f>CC191-CA191-BZ191-BY191</f>
        <v>34</v>
      </c>
      <c r="CC191" s="472">
        <v>210</v>
      </c>
      <c r="CD191" s="665">
        <v>15</v>
      </c>
      <c r="CE191" s="665">
        <f>17-CD191</f>
        <v>2</v>
      </c>
      <c r="CF191" s="665">
        <f>55-CE191-CD191</f>
        <v>38</v>
      </c>
      <c r="CG191" s="665">
        <f>+CH191-CD191-CE191-CF191</f>
        <v>20</v>
      </c>
      <c r="CH191" s="472">
        <v>75</v>
      </c>
      <c r="CI191" s="665">
        <v>-7</v>
      </c>
      <c r="CJ191" s="665">
        <f>26-CI191</f>
        <v>33</v>
      </c>
      <c r="CK191" s="261">
        <v>0</v>
      </c>
      <c r="CL191" s="261">
        <v>0</v>
      </c>
      <c r="CM191" s="472">
        <f>SUM(CI191:CL191)</f>
        <v>26</v>
      </c>
      <c r="CN191" s="261">
        <v>0</v>
      </c>
      <c r="CO191" s="261">
        <v>0</v>
      </c>
      <c r="CP191" s="261">
        <v>0</v>
      </c>
      <c r="CQ191" s="261">
        <v>0</v>
      </c>
      <c r="CR191" s="472">
        <f>SUM(CN191:CQ191)</f>
        <v>0</v>
      </c>
      <c r="CS191" s="261">
        <v>0</v>
      </c>
      <c r="CT191" s="261">
        <v>0</v>
      </c>
      <c r="CU191" s="261">
        <v>0</v>
      </c>
      <c r="CV191" s="261">
        <v>0</v>
      </c>
      <c r="CW191" s="472">
        <f>SUM(CS191:CV191)</f>
        <v>0</v>
      </c>
      <c r="CX191" s="261">
        <v>0</v>
      </c>
      <c r="CY191" s="261">
        <v>0</v>
      </c>
      <c r="CZ191" s="261">
        <v>0</v>
      </c>
      <c r="DA191" s="261">
        <v>0</v>
      </c>
      <c r="DB191" s="472">
        <f>SUM(CX191:DA191)</f>
        <v>0</v>
      </c>
      <c r="DC191" s="261">
        <v>0</v>
      </c>
      <c r="DD191" s="261">
        <v>0</v>
      </c>
      <c r="DE191" s="261">
        <v>0</v>
      </c>
      <c r="DF191" s="261">
        <v>0</v>
      </c>
      <c r="DG191" s="472">
        <f>SUM(DC191:DF191)</f>
        <v>0</v>
      </c>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c r="HB191"/>
      <c r="HC191"/>
      <c r="HD191"/>
      <c r="HE191"/>
      <c r="HF191"/>
      <c r="HG191"/>
      <c r="HH191"/>
      <c r="HI191"/>
      <c r="HJ191"/>
      <c r="HK191"/>
      <c r="HL191"/>
      <c r="HM191"/>
      <c r="HN191"/>
      <c r="HO191"/>
      <c r="HP191"/>
      <c r="HQ191"/>
      <c r="HR191"/>
    </row>
    <row r="192" spans="1:226" s="45" customFormat="1" x14ac:dyDescent="0.2">
      <c r="A192" s="358" t="s">
        <v>76</v>
      </c>
      <c r="B192" s="68"/>
      <c r="C192" s="68"/>
      <c r="D192" s="68"/>
      <c r="E192" s="68"/>
      <c r="F192" s="449"/>
      <c r="G192" s="68">
        <f t="shared" ref="G192:T192" si="419">SUM(G188:G191)</f>
        <v>-235</v>
      </c>
      <c r="H192" s="68">
        <f t="shared" si="419"/>
        <v>-146</v>
      </c>
      <c r="I192" s="68">
        <f t="shared" si="419"/>
        <v>-118</v>
      </c>
      <c r="J192" s="68">
        <f t="shared" si="419"/>
        <v>-334</v>
      </c>
      <c r="K192" s="449">
        <f t="shared" si="419"/>
        <v>-833</v>
      </c>
      <c r="L192" s="68">
        <f t="shared" si="419"/>
        <v>-182</v>
      </c>
      <c r="M192" s="68">
        <f t="shared" si="419"/>
        <v>-146</v>
      </c>
      <c r="N192" s="68">
        <f t="shared" si="419"/>
        <v>-19</v>
      </c>
      <c r="O192" s="68">
        <f t="shared" si="419"/>
        <v>-270</v>
      </c>
      <c r="P192" s="449">
        <f t="shared" si="419"/>
        <v>-617</v>
      </c>
      <c r="Q192" s="68">
        <f t="shared" si="419"/>
        <v>-77</v>
      </c>
      <c r="R192" s="68">
        <f t="shared" si="419"/>
        <v>-118</v>
      </c>
      <c r="S192" s="68">
        <f t="shared" si="419"/>
        <v>-175</v>
      </c>
      <c r="T192" s="68">
        <f t="shared" si="419"/>
        <v>-235</v>
      </c>
      <c r="U192" s="449">
        <f>SUM(Q192:T192)</f>
        <v>-605</v>
      </c>
      <c r="V192" s="68">
        <f t="shared" ref="V192:AV192" si="420">SUM(V188:V191)</f>
        <v>-159</v>
      </c>
      <c r="W192" s="68">
        <f t="shared" si="420"/>
        <v>-114</v>
      </c>
      <c r="X192" s="68">
        <f t="shared" si="420"/>
        <v>-37</v>
      </c>
      <c r="Y192" s="68">
        <f t="shared" si="420"/>
        <v>-242</v>
      </c>
      <c r="Z192" s="449">
        <f t="shared" si="420"/>
        <v>-552</v>
      </c>
      <c r="AA192" s="68">
        <f t="shared" si="420"/>
        <v>78</v>
      </c>
      <c r="AB192" s="68">
        <f t="shared" si="420"/>
        <v>-134</v>
      </c>
      <c r="AC192" s="68">
        <f t="shared" si="420"/>
        <v>-67</v>
      </c>
      <c r="AD192" s="68">
        <f t="shared" si="420"/>
        <v>-339</v>
      </c>
      <c r="AE192" s="449">
        <f t="shared" si="420"/>
        <v>-462</v>
      </c>
      <c r="AF192" s="68">
        <f t="shared" si="420"/>
        <v>-119</v>
      </c>
      <c r="AG192" s="68">
        <f t="shared" si="420"/>
        <v>-24</v>
      </c>
      <c r="AH192" s="68">
        <f t="shared" si="420"/>
        <v>-91</v>
      </c>
      <c r="AI192" s="68">
        <f t="shared" si="420"/>
        <v>-222</v>
      </c>
      <c r="AJ192" s="449">
        <f t="shared" si="420"/>
        <v>-456</v>
      </c>
      <c r="AK192" s="68">
        <f t="shared" si="420"/>
        <v>-110</v>
      </c>
      <c r="AL192" s="68">
        <f t="shared" si="420"/>
        <v>878</v>
      </c>
      <c r="AM192" s="68">
        <f t="shared" si="420"/>
        <v>-138</v>
      </c>
      <c r="AN192" s="68">
        <f t="shared" si="420"/>
        <v>-250</v>
      </c>
      <c r="AO192" s="449">
        <f t="shared" si="420"/>
        <v>380</v>
      </c>
      <c r="AP192" s="68">
        <f t="shared" si="420"/>
        <v>-75</v>
      </c>
      <c r="AQ192" s="68">
        <f t="shared" si="420"/>
        <v>-135</v>
      </c>
      <c r="AR192" s="68">
        <f t="shared" si="420"/>
        <v>-157</v>
      </c>
      <c r="AS192" s="68">
        <f t="shared" si="420"/>
        <v>-173</v>
      </c>
      <c r="AT192" s="449">
        <f t="shared" si="420"/>
        <v>-540</v>
      </c>
      <c r="AU192" s="68">
        <f t="shared" si="420"/>
        <v>-35</v>
      </c>
      <c r="AV192" s="68">
        <f t="shared" si="420"/>
        <v>-190</v>
      </c>
      <c r="AW192" s="68">
        <f t="shared" ref="AW192:CA192" ca="1" si="421">SUM(AW188:AW191)</f>
        <v>-55</v>
      </c>
      <c r="AX192" s="68">
        <f t="shared" ca="1" si="421"/>
        <v>-426</v>
      </c>
      <c r="AY192" s="449">
        <f t="shared" ca="1" si="421"/>
        <v>-706</v>
      </c>
      <c r="AZ192" s="68">
        <f t="shared" si="421"/>
        <v>75</v>
      </c>
      <c r="BA192" s="68">
        <f t="shared" ca="1" si="421"/>
        <v>-708.56</v>
      </c>
      <c r="BB192" s="41">
        <f t="shared" si="421"/>
        <v>-373</v>
      </c>
      <c r="BC192" s="68">
        <f t="shared" si="421"/>
        <v>-146.36739999999998</v>
      </c>
      <c r="BD192" s="449">
        <f t="shared" ca="1" si="421"/>
        <v>-1152.9274</v>
      </c>
      <c r="BE192" s="68">
        <f t="shared" si="421"/>
        <v>-83</v>
      </c>
      <c r="BF192" s="68">
        <f t="shared" si="421"/>
        <v>35</v>
      </c>
      <c r="BG192" s="68">
        <f t="shared" si="421"/>
        <v>-122</v>
      </c>
      <c r="BH192" s="68">
        <f t="shared" si="421"/>
        <v>-260</v>
      </c>
      <c r="BI192" s="449">
        <f t="shared" si="421"/>
        <v>-430</v>
      </c>
      <c r="BJ192" s="68">
        <f>SUM(BJ188:BJ191)</f>
        <v>242</v>
      </c>
      <c r="BK192" s="68">
        <f>SUM(BK188:BK191)</f>
        <v>-397</v>
      </c>
      <c r="BL192" s="68">
        <f>SUM(BL188:BL191)</f>
        <v>-150.00039247640001</v>
      </c>
      <c r="BM192" s="68">
        <f>SUM(BM188:BM191)</f>
        <v>-379.99960752359999</v>
      </c>
      <c r="BN192" s="449">
        <f>SUM(BN188:BN191)</f>
        <v>-685</v>
      </c>
      <c r="BO192" s="68">
        <f t="shared" si="421"/>
        <v>-128</v>
      </c>
      <c r="BP192" s="68">
        <f t="shared" ca="1" si="421"/>
        <v>25</v>
      </c>
      <c r="BQ192" s="68">
        <f t="shared" ca="1" si="421"/>
        <v>-164</v>
      </c>
      <c r="BR192" s="68">
        <f t="shared" ref="BR192:BW192" ca="1" si="422">SUM(BR188:BR191)</f>
        <v>-334</v>
      </c>
      <c r="BS192" s="449">
        <f t="shared" si="422"/>
        <v>-601</v>
      </c>
      <c r="BT192" s="68">
        <f t="shared" si="422"/>
        <v>-184</v>
      </c>
      <c r="BU192" s="68">
        <f t="shared" si="422"/>
        <v>465</v>
      </c>
      <c r="BV192" s="68">
        <f t="shared" si="422"/>
        <v>-629</v>
      </c>
      <c r="BW192" s="68">
        <f t="shared" si="422"/>
        <v>-348</v>
      </c>
      <c r="BX192" s="449">
        <f t="shared" si="421"/>
        <v>-696</v>
      </c>
      <c r="BY192" s="68">
        <f t="shared" si="421"/>
        <v>-120</v>
      </c>
      <c r="BZ192" s="68">
        <f t="shared" si="421"/>
        <v>16</v>
      </c>
      <c r="CA192" s="68">
        <f t="shared" si="421"/>
        <v>-197</v>
      </c>
      <c r="CB192" s="68">
        <f>SUM(CB188:CB191)</f>
        <v>-15</v>
      </c>
      <c r="CC192" s="449">
        <f>SUM(CC188:CC191)</f>
        <v>-316</v>
      </c>
      <c r="CD192" s="68">
        <f t="shared" ref="CD192:CW192" si="423">SUM(CD188:CD191)</f>
        <v>-104</v>
      </c>
      <c r="CE192" s="68">
        <f t="shared" si="423"/>
        <v>-35</v>
      </c>
      <c r="CF192" s="68">
        <f t="shared" si="423"/>
        <v>-175</v>
      </c>
      <c r="CG192" s="68">
        <f t="shared" si="423"/>
        <v>-331</v>
      </c>
      <c r="CH192" s="449">
        <f t="shared" si="423"/>
        <v>-645</v>
      </c>
      <c r="CI192" s="68">
        <f t="shared" si="423"/>
        <v>-176</v>
      </c>
      <c r="CJ192" s="68">
        <f t="shared" si="423"/>
        <v>-1</v>
      </c>
      <c r="CK192" s="68">
        <f t="shared" ca="1" si="423"/>
        <v>-174.33433162413732</v>
      </c>
      <c r="CL192" s="68">
        <f t="shared" ca="1" si="423"/>
        <v>-297.51886961199995</v>
      </c>
      <c r="CM192" s="449">
        <f t="shared" ca="1" si="423"/>
        <v>-648.85320123613724</v>
      </c>
      <c r="CN192" s="68">
        <f t="shared" ca="1" si="423"/>
        <v>-289.6606577252561</v>
      </c>
      <c r="CO192" s="68">
        <f t="shared" ca="1" si="423"/>
        <v>68.030325027054374</v>
      </c>
      <c r="CP192" s="68">
        <f t="shared" ca="1" si="423"/>
        <v>-193.29806869015312</v>
      </c>
      <c r="CQ192" s="68">
        <f t="shared" ca="1" si="423"/>
        <v>-305.54210707125782</v>
      </c>
      <c r="CR192" s="449">
        <f t="shared" ca="1" si="423"/>
        <v>-720.47050845961257</v>
      </c>
      <c r="CS192" s="68">
        <f t="shared" ca="1" si="423"/>
        <v>-313.21144124019258</v>
      </c>
      <c r="CT192" s="68">
        <f t="shared" ca="1" si="423"/>
        <v>62.413828196599781</v>
      </c>
      <c r="CU192" s="68">
        <f t="shared" ca="1" si="423"/>
        <v>-204.23148372338756</v>
      </c>
      <c r="CV192" s="68">
        <f t="shared" ca="1" si="423"/>
        <v>-318.70996228651427</v>
      </c>
      <c r="CW192" s="449">
        <f t="shared" ca="1" si="423"/>
        <v>-773.73905905349466</v>
      </c>
      <c r="CX192" s="68">
        <f t="shared" ref="CX192:DG192" ca="1" si="424">SUM(CX188:CX191)</f>
        <v>-316.40831396508327</v>
      </c>
      <c r="CY192" s="68">
        <f t="shared" ca="1" si="424"/>
        <v>56.099547523860551</v>
      </c>
      <c r="CZ192" s="68">
        <f t="shared" ca="1" si="424"/>
        <v>-209.53774346380095</v>
      </c>
      <c r="DA192" s="68">
        <f t="shared" ca="1" si="424"/>
        <v>-325.34016943815288</v>
      </c>
      <c r="DB192" s="449">
        <f t="shared" ca="1" si="424"/>
        <v>-795.18667934317648</v>
      </c>
      <c r="DC192" s="68">
        <f t="shared" ca="1" si="424"/>
        <v>-334.62911821897495</v>
      </c>
      <c r="DD192" s="68">
        <f t="shared" ca="1" si="424"/>
        <v>50.568746167464923</v>
      </c>
      <c r="DE192" s="68">
        <f t="shared" ca="1" si="424"/>
        <v>-214.02728566132728</v>
      </c>
      <c r="DF192" s="68">
        <f t="shared" ca="1" si="424"/>
        <v>-331.14527122691391</v>
      </c>
      <c r="DG192" s="449">
        <f t="shared" ca="1" si="424"/>
        <v>-829.23292893975122</v>
      </c>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c r="HB192"/>
      <c r="HC192"/>
      <c r="HD192"/>
      <c r="HE192"/>
      <c r="HF192"/>
      <c r="HG192"/>
      <c r="HH192"/>
      <c r="HI192"/>
      <c r="HJ192"/>
      <c r="HK192"/>
      <c r="HL192"/>
      <c r="HM192"/>
      <c r="HN192"/>
      <c r="HO192"/>
      <c r="HP192"/>
      <c r="HQ192"/>
      <c r="HR192"/>
    </row>
    <row r="193" spans="1:226" s="19" customFormat="1" x14ac:dyDescent="0.2">
      <c r="A193" s="18"/>
      <c r="B193" s="69"/>
      <c r="C193" s="69"/>
      <c r="D193" s="69"/>
      <c r="E193" s="69"/>
      <c r="F193" s="438"/>
      <c r="G193" s="69"/>
      <c r="H193" s="69"/>
      <c r="I193" s="69"/>
      <c r="J193" s="69"/>
      <c r="K193" s="438"/>
      <c r="L193" s="69"/>
      <c r="M193" s="69"/>
      <c r="N193" s="69"/>
      <c r="O193" s="69"/>
      <c r="P193" s="438"/>
      <c r="Q193" s="69"/>
      <c r="R193" s="69"/>
      <c r="S193" s="69"/>
      <c r="T193" s="69"/>
      <c r="U193" s="438"/>
      <c r="V193" s="69"/>
      <c r="W193" s="69"/>
      <c r="X193" s="69"/>
      <c r="Y193" s="69"/>
      <c r="Z193" s="438"/>
      <c r="AA193" s="69"/>
      <c r="AB193" s="69"/>
      <c r="AC193" s="69"/>
      <c r="AD193" s="69"/>
      <c r="AE193" s="438"/>
      <c r="AF193" s="69"/>
      <c r="AG193" s="69"/>
      <c r="AH193" s="69"/>
      <c r="AI193" s="69"/>
      <c r="AJ193" s="438"/>
      <c r="AK193" s="69"/>
      <c r="AL193" s="69"/>
      <c r="AM193" s="69"/>
      <c r="AN193" s="69"/>
      <c r="AO193" s="438"/>
      <c r="AP193" s="63"/>
      <c r="AQ193" s="69"/>
      <c r="AR193" s="69"/>
      <c r="AS193" s="69"/>
      <c r="AT193" s="438"/>
      <c r="AU193" s="69"/>
      <c r="AV193" s="69"/>
      <c r="AW193" s="69"/>
      <c r="AX193" s="69"/>
      <c r="AY193" s="438"/>
      <c r="AZ193" s="69"/>
      <c r="BA193" s="69"/>
      <c r="BB193" s="39"/>
      <c r="BC193" s="69"/>
      <c r="BD193" s="438"/>
      <c r="BE193" s="69"/>
      <c r="BF193" s="69"/>
      <c r="BG193" s="69"/>
      <c r="BH193" s="63"/>
      <c r="BI193" s="439"/>
      <c r="BJ193" s="69"/>
      <c r="BK193" s="69"/>
      <c r="BL193" s="69"/>
      <c r="BM193" s="69"/>
      <c r="BN193" s="438"/>
      <c r="BO193" s="69"/>
      <c r="BP193" s="69"/>
      <c r="BQ193" s="69"/>
      <c r="BR193" s="69"/>
      <c r="BS193" s="438"/>
      <c r="BT193" s="69"/>
      <c r="BU193" s="69"/>
      <c r="BV193" s="69"/>
      <c r="BW193" s="69"/>
      <c r="BX193" s="438"/>
      <c r="BY193" s="69"/>
      <c r="BZ193" s="69"/>
      <c r="CA193" s="69"/>
      <c r="CB193" s="69"/>
      <c r="CC193" s="438"/>
      <c r="CD193" s="69"/>
      <c r="CE193" s="69"/>
      <c r="CF193" s="69"/>
      <c r="CG193" s="69"/>
      <c r="CH193" s="438"/>
      <c r="CI193" s="69"/>
      <c r="CJ193" s="69"/>
      <c r="CK193" s="69"/>
      <c r="CL193" s="69"/>
      <c r="CM193" s="438"/>
      <c r="CN193" s="69"/>
      <c r="CO193" s="69"/>
      <c r="CP193" s="69"/>
      <c r="CQ193" s="69"/>
      <c r="CR193" s="438"/>
      <c r="CS193" s="69"/>
      <c r="CT193" s="69"/>
      <c r="CU193" s="69"/>
      <c r="CV193" s="69"/>
      <c r="CW193" s="438"/>
      <c r="CX193" s="69"/>
      <c r="CY193" s="69"/>
      <c r="CZ193" s="69"/>
      <c r="DA193" s="69"/>
      <c r="DB193" s="438"/>
      <c r="DC193" s="69"/>
      <c r="DD193" s="69"/>
      <c r="DE193" s="69"/>
      <c r="DF193" s="69"/>
      <c r="DG193" s="438"/>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c r="GS193"/>
      <c r="GT193"/>
      <c r="GU193"/>
      <c r="GV193"/>
      <c r="GW193"/>
      <c r="GX193"/>
      <c r="GY193"/>
      <c r="GZ193"/>
      <c r="HA193"/>
      <c r="HB193"/>
      <c r="HC193"/>
      <c r="HD193"/>
      <c r="HE193"/>
      <c r="HF193"/>
      <c r="HG193"/>
      <c r="HH193"/>
      <c r="HI193"/>
      <c r="HJ193"/>
      <c r="HK193"/>
      <c r="HL193"/>
      <c r="HM193"/>
      <c r="HN193"/>
      <c r="HO193"/>
      <c r="HP193"/>
      <c r="HQ193"/>
      <c r="HR193"/>
    </row>
    <row r="194" spans="1:226" s="19" customFormat="1" x14ac:dyDescent="0.2">
      <c r="A194" s="18" t="s">
        <v>77</v>
      </c>
      <c r="B194" s="70"/>
      <c r="C194" s="70"/>
      <c r="D194" s="70"/>
      <c r="E194" s="70"/>
      <c r="F194" s="477"/>
      <c r="G194" s="70">
        <v>0</v>
      </c>
      <c r="H194" s="70">
        <f>-4-G194</f>
        <v>-4</v>
      </c>
      <c r="I194" s="70">
        <f>-7-H194-G194</f>
        <v>-3</v>
      </c>
      <c r="J194" s="70">
        <f>K194-I194-H194-G194</f>
        <v>-1</v>
      </c>
      <c r="K194" s="477">
        <v>-8</v>
      </c>
      <c r="L194" s="70">
        <v>-2</v>
      </c>
      <c r="M194" s="70">
        <f>3-L194</f>
        <v>5</v>
      </c>
      <c r="N194" s="70">
        <f>3-M194-L194</f>
        <v>0</v>
      </c>
      <c r="O194" s="70">
        <f>P194-N194-M194-L194</f>
        <v>-1</v>
      </c>
      <c r="P194" s="477">
        <v>2</v>
      </c>
      <c r="Q194" s="70">
        <v>0</v>
      </c>
      <c r="R194" s="70">
        <f>1-Q194</f>
        <v>1</v>
      </c>
      <c r="S194" s="70">
        <f>2-R194-Q194</f>
        <v>1</v>
      </c>
      <c r="T194" s="70">
        <f ca="1">U194-S194-R194-Q194</f>
        <v>0</v>
      </c>
      <c r="U194" s="477">
        <f ca="1">SUM(Q194:T194)</f>
        <v>2</v>
      </c>
      <c r="V194" s="70">
        <v>1</v>
      </c>
      <c r="W194" s="70">
        <f>2-V194</f>
        <v>1</v>
      </c>
      <c r="X194" s="70">
        <f>2-W194-V194</f>
        <v>0</v>
      </c>
      <c r="Y194" s="70">
        <f>Z194-X194-W194-V194</f>
        <v>0</v>
      </c>
      <c r="Z194" s="477">
        <v>2</v>
      </c>
      <c r="AA194" s="70">
        <v>0</v>
      </c>
      <c r="AB194" s="70">
        <v>0</v>
      </c>
      <c r="AC194" s="70">
        <v>0</v>
      </c>
      <c r="AD194" s="70">
        <v>0</v>
      </c>
      <c r="AE194" s="477">
        <f>SUM(AA194:AD194)</f>
        <v>0</v>
      </c>
      <c r="AF194" s="70">
        <v>1</v>
      </c>
      <c r="AG194" s="70">
        <f>1-AF194</f>
        <v>0</v>
      </c>
      <c r="AH194" s="70">
        <f>2-AG194-AF194</f>
        <v>1</v>
      </c>
      <c r="AI194" s="70">
        <v>3</v>
      </c>
      <c r="AJ194" s="477">
        <f>SUM(AF194:AI194)</f>
        <v>5</v>
      </c>
      <c r="AK194" s="70">
        <v>2</v>
      </c>
      <c r="AL194" s="70">
        <f>4-AK194</f>
        <v>2</v>
      </c>
      <c r="AM194" s="70">
        <f>10-AL194-AK194</f>
        <v>6</v>
      </c>
      <c r="AN194" s="63">
        <f>AO194-AM194-AL194-AK194</f>
        <v>-6</v>
      </c>
      <c r="AO194" s="477">
        <v>4</v>
      </c>
      <c r="AP194" s="70">
        <v>-8</v>
      </c>
      <c r="AQ194" s="70">
        <f>-14-AP194</f>
        <v>-6</v>
      </c>
      <c r="AR194" s="70">
        <f>-16-AQ194-AP194</f>
        <v>-2</v>
      </c>
      <c r="AS194" s="70">
        <f>-9-AR194-AQ194-AP194</f>
        <v>7</v>
      </c>
      <c r="AT194" s="477">
        <f>SUM(AP194:AS194)</f>
        <v>-9</v>
      </c>
      <c r="AU194" s="70">
        <v>5</v>
      </c>
      <c r="AV194" s="70">
        <f>2-AU194</f>
        <v>-3</v>
      </c>
      <c r="AW194" s="70">
        <f>0-AV194-AU194</f>
        <v>-2</v>
      </c>
      <c r="AX194" s="70">
        <f>-1-AW194-AV194-AU194</f>
        <v>-1</v>
      </c>
      <c r="AY194" s="477">
        <f>SUM(AU194:AX194)</f>
        <v>-1</v>
      </c>
      <c r="AZ194" s="70">
        <v>10</v>
      </c>
      <c r="BA194" s="608">
        <v>0</v>
      </c>
      <c r="BB194" s="608">
        <v>0</v>
      </c>
      <c r="BC194" s="70">
        <v>0</v>
      </c>
      <c r="BD194" s="477">
        <f>SUM(AZ194:BC194)</f>
        <v>10</v>
      </c>
      <c r="BE194" s="70">
        <f ca="1">BI194/4</f>
        <v>0</v>
      </c>
      <c r="BF194" s="70">
        <f ca="1">BI194/4</f>
        <v>0</v>
      </c>
      <c r="BG194" s="70">
        <f ca="1">BI194/4</f>
        <v>0</v>
      </c>
      <c r="BH194" s="70">
        <f ca="1">BI194/4</f>
        <v>0</v>
      </c>
      <c r="BI194" s="477">
        <f ca="1">SUM(BE194:BH194)</f>
        <v>0</v>
      </c>
      <c r="BJ194" s="70">
        <v>4</v>
      </c>
      <c r="BK194" s="70">
        <f>2-BJ194</f>
        <v>-2</v>
      </c>
      <c r="BL194" s="70">
        <v>1</v>
      </c>
      <c r="BM194" s="70">
        <f>+BN194-BJ194-BK194-BL194</f>
        <v>-6</v>
      </c>
      <c r="BN194" s="477">
        <v>-3</v>
      </c>
      <c r="BO194" s="70">
        <v>1</v>
      </c>
      <c r="BP194" s="70">
        <f>-3-BO194</f>
        <v>-4</v>
      </c>
      <c r="BQ194" s="70">
        <f>-9-BP194-BO194</f>
        <v>-6</v>
      </c>
      <c r="BR194" s="70">
        <f>+BS194-BO194-BP194-BQ194</f>
        <v>2</v>
      </c>
      <c r="BS194" s="477">
        <v>-7</v>
      </c>
      <c r="BT194" s="70">
        <v>-6</v>
      </c>
      <c r="BU194" s="70">
        <f>-11-BT194</f>
        <v>-5</v>
      </c>
      <c r="BV194" s="70">
        <f>-18-BU194-BT194</f>
        <v>-7</v>
      </c>
      <c r="BW194" s="70">
        <f>BX194-BV194-BU194-BT194</f>
        <v>-1</v>
      </c>
      <c r="BX194" s="477">
        <v>-19</v>
      </c>
      <c r="BY194" s="70">
        <v>-10</v>
      </c>
      <c r="BZ194" s="70">
        <f>-17-BY194</f>
        <v>-7</v>
      </c>
      <c r="CA194" s="70">
        <f>-13-BZ194-BY194</f>
        <v>4</v>
      </c>
      <c r="CB194" s="70">
        <v>0</v>
      </c>
      <c r="CC194" s="825">
        <f>SUM(BY194:CB194)</f>
        <v>-13</v>
      </c>
      <c r="CD194" s="70">
        <v>-1</v>
      </c>
      <c r="CE194" s="70">
        <f>-4-CD194</f>
        <v>-3</v>
      </c>
      <c r="CF194" s="70">
        <f>-2-CE194-CD194</f>
        <v>2</v>
      </c>
      <c r="CG194" s="70">
        <f>+CH194-CD194-CE194-CF194</f>
        <v>1</v>
      </c>
      <c r="CH194" s="825">
        <v>-1</v>
      </c>
      <c r="CI194" s="70">
        <v>4</v>
      </c>
      <c r="CJ194" s="70">
        <f>0-CI194</f>
        <v>-4</v>
      </c>
      <c r="CK194" s="70">
        <v>0</v>
      </c>
      <c r="CL194" s="70">
        <v>0</v>
      </c>
      <c r="CM194" s="825">
        <f>SUM(CI194:CL194)</f>
        <v>0</v>
      </c>
      <c r="CN194" s="70">
        <v>0</v>
      </c>
      <c r="CO194" s="70">
        <v>0</v>
      </c>
      <c r="CP194" s="70">
        <v>0</v>
      </c>
      <c r="CQ194" s="70">
        <v>0</v>
      </c>
      <c r="CR194" s="825">
        <f>SUM(CN194:CQ194)</f>
        <v>0</v>
      </c>
      <c r="CS194" s="70">
        <v>0</v>
      </c>
      <c r="CT194" s="70">
        <v>0</v>
      </c>
      <c r="CU194" s="70">
        <v>0</v>
      </c>
      <c r="CV194" s="70">
        <v>0</v>
      </c>
      <c r="CW194" s="474">
        <f>SUM(CS194:CV194)</f>
        <v>0</v>
      </c>
      <c r="CX194" s="70">
        <v>0</v>
      </c>
      <c r="CY194" s="70">
        <v>0</v>
      </c>
      <c r="CZ194" s="70">
        <v>0</v>
      </c>
      <c r="DA194" s="70">
        <v>0</v>
      </c>
      <c r="DB194" s="474">
        <f>SUM(CX194:DA194)</f>
        <v>0</v>
      </c>
      <c r="DC194" s="70">
        <v>0</v>
      </c>
      <c r="DD194" s="70">
        <v>0</v>
      </c>
      <c r="DE194" s="70">
        <v>0</v>
      </c>
      <c r="DF194" s="70">
        <v>0</v>
      </c>
      <c r="DG194" s="474">
        <f>SUM(DC194:DF194)</f>
        <v>0</v>
      </c>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c r="GS194"/>
      <c r="GT194"/>
      <c r="GU194"/>
      <c r="GV194"/>
      <c r="GW194"/>
      <c r="GX194"/>
      <c r="GY194"/>
      <c r="GZ194"/>
      <c r="HA194"/>
      <c r="HB194"/>
      <c r="HC194"/>
      <c r="HD194"/>
      <c r="HE194"/>
      <c r="HF194"/>
      <c r="HG194"/>
      <c r="HH194"/>
      <c r="HI194"/>
      <c r="HJ194"/>
      <c r="HK194"/>
      <c r="HL194"/>
      <c r="HM194"/>
      <c r="HN194"/>
      <c r="HO194"/>
      <c r="HP194"/>
      <c r="HQ194"/>
      <c r="HR194"/>
    </row>
    <row r="195" spans="1:226" s="19" customFormat="1" x14ac:dyDescent="0.2">
      <c r="A195" s="18"/>
      <c r="B195" s="69"/>
      <c r="C195" s="69"/>
      <c r="D195" s="69"/>
      <c r="E195" s="69"/>
      <c r="F195" s="438"/>
      <c r="G195" s="69"/>
      <c r="H195" s="69"/>
      <c r="I195" s="69"/>
      <c r="J195" s="69"/>
      <c r="K195" s="438"/>
      <c r="L195" s="69"/>
      <c r="M195" s="69"/>
      <c r="N195" s="69"/>
      <c r="O195" s="69"/>
      <c r="P195" s="438"/>
      <c r="Q195" s="69"/>
      <c r="R195" s="69"/>
      <c r="S195" s="69"/>
      <c r="T195" s="69"/>
      <c r="U195" s="438"/>
      <c r="V195" s="69"/>
      <c r="W195" s="69"/>
      <c r="X195" s="69"/>
      <c r="Y195" s="69"/>
      <c r="Z195" s="438"/>
      <c r="AA195" s="69"/>
      <c r="AB195" s="69"/>
      <c r="AC195" s="69"/>
      <c r="AD195" s="69"/>
      <c r="AE195" s="438"/>
      <c r="AF195" s="69"/>
      <c r="AG195" s="69"/>
      <c r="AH195" s="69"/>
      <c r="AI195" s="69"/>
      <c r="AJ195" s="438"/>
      <c r="AK195" s="69"/>
      <c r="AL195" s="69"/>
      <c r="AM195" s="69"/>
      <c r="AN195" s="69"/>
      <c r="AO195" s="438"/>
      <c r="AP195" s="69"/>
      <c r="AQ195" s="69"/>
      <c r="AR195" s="69"/>
      <c r="AS195" s="69"/>
      <c r="AT195" s="438"/>
      <c r="AU195" s="69"/>
      <c r="AV195" s="69"/>
      <c r="AW195" s="384"/>
      <c r="AX195" s="384"/>
      <c r="AY195" s="438"/>
      <c r="AZ195" s="69"/>
      <c r="BA195" s="69"/>
      <c r="BB195" s="39"/>
      <c r="BC195" s="69"/>
      <c r="BD195" s="438"/>
      <c r="BE195" s="69"/>
      <c r="BF195" s="69"/>
      <c r="BG195" s="69"/>
      <c r="BH195" s="63"/>
      <c r="BI195" s="439"/>
      <c r="BJ195" s="69"/>
      <c r="BK195" s="69"/>
      <c r="BL195" s="69"/>
      <c r="BM195" s="69"/>
      <c r="BN195" s="438"/>
      <c r="BO195" s="69"/>
      <c r="BP195" s="69"/>
      <c r="BQ195" s="69"/>
      <c r="BR195" s="69"/>
      <c r="BS195" s="438"/>
      <c r="BT195" s="69"/>
      <c r="BU195" s="69"/>
      <c r="BV195" s="69"/>
      <c r="BW195" s="69"/>
      <c r="BX195" s="438"/>
      <c r="BY195" s="69"/>
      <c r="BZ195" s="69"/>
      <c r="CA195" s="69"/>
      <c r="CB195" s="69"/>
      <c r="CC195" s="438"/>
      <c r="CD195" s="69"/>
      <c r="CE195" s="69"/>
      <c r="CF195" s="69"/>
      <c r="CG195" s="69"/>
      <c r="CH195" s="438"/>
      <c r="CI195" s="69"/>
      <c r="CJ195" s="69"/>
      <c r="CK195" s="69"/>
      <c r="CL195" s="69"/>
      <c r="CM195" s="438"/>
      <c r="CN195" s="69"/>
      <c r="CO195" s="69"/>
      <c r="CP195" s="69"/>
      <c r="CQ195" s="69"/>
      <c r="CR195" s="438"/>
      <c r="CS195" s="69"/>
      <c r="CT195" s="69"/>
      <c r="CU195" s="69"/>
      <c r="CV195" s="69"/>
      <c r="CW195" s="438"/>
      <c r="CX195" s="69"/>
      <c r="CY195" s="69"/>
      <c r="CZ195" s="69"/>
      <c r="DA195" s="69"/>
      <c r="DB195" s="438"/>
      <c r="DC195" s="69"/>
      <c r="DD195" s="69"/>
      <c r="DE195" s="69"/>
      <c r="DF195" s="69"/>
      <c r="DG195" s="438"/>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c r="GS195"/>
      <c r="GT195"/>
      <c r="GU195"/>
      <c r="GV195"/>
      <c r="GW195"/>
      <c r="GX195"/>
      <c r="GY195"/>
      <c r="GZ195"/>
      <c r="HA195"/>
      <c r="HB195"/>
      <c r="HC195"/>
      <c r="HD195"/>
      <c r="HE195"/>
      <c r="HF195"/>
      <c r="HG195"/>
      <c r="HH195"/>
      <c r="HI195"/>
      <c r="HJ195"/>
      <c r="HK195"/>
      <c r="HL195"/>
      <c r="HM195"/>
      <c r="HN195"/>
      <c r="HO195"/>
      <c r="HP195"/>
      <c r="HQ195"/>
      <c r="HR195"/>
    </row>
    <row r="196" spans="1:226" s="45" customFormat="1" x14ac:dyDescent="0.2">
      <c r="A196" s="262" t="s">
        <v>78</v>
      </c>
      <c r="B196" s="71"/>
      <c r="C196" s="71"/>
      <c r="D196" s="71"/>
      <c r="E196" s="71"/>
      <c r="F196" s="475"/>
      <c r="G196" s="71">
        <f t="shared" ref="G196:AF196" si="425">G182+G186+G192+G194</f>
        <v>-62</v>
      </c>
      <c r="H196" s="71">
        <f t="shared" si="425"/>
        <v>-7</v>
      </c>
      <c r="I196" s="71">
        <f t="shared" si="425"/>
        <v>8</v>
      </c>
      <c r="J196" s="71">
        <f t="shared" si="425"/>
        <v>-13</v>
      </c>
      <c r="K196" s="475">
        <f t="shared" si="425"/>
        <v>-74</v>
      </c>
      <c r="L196" s="71">
        <f t="shared" si="425"/>
        <v>-34</v>
      </c>
      <c r="M196" s="71">
        <f t="shared" si="425"/>
        <v>6</v>
      </c>
      <c r="N196" s="71">
        <f t="shared" si="425"/>
        <v>30</v>
      </c>
      <c r="O196" s="71">
        <f t="shared" si="425"/>
        <v>-7</v>
      </c>
      <c r="P196" s="475">
        <f t="shared" si="425"/>
        <v>-5</v>
      </c>
      <c r="Q196" s="71">
        <f t="shared" si="425"/>
        <v>15</v>
      </c>
      <c r="R196" s="71">
        <f t="shared" si="425"/>
        <v>14</v>
      </c>
      <c r="S196" s="71">
        <f t="shared" si="425"/>
        <v>-2</v>
      </c>
      <c r="T196" s="71">
        <f ca="1">T182+T186+T192+T194</f>
        <v>33</v>
      </c>
      <c r="U196" s="475">
        <f ca="1">U182+U186+U192+U194</f>
        <v>60</v>
      </c>
      <c r="V196" s="71">
        <f t="shared" si="425"/>
        <v>23</v>
      </c>
      <c r="W196" s="71">
        <f t="shared" si="425"/>
        <v>45</v>
      </c>
      <c r="X196" s="71">
        <f t="shared" si="425"/>
        <v>-7</v>
      </c>
      <c r="Y196" s="71">
        <f t="shared" si="425"/>
        <v>0</v>
      </c>
      <c r="Z196" s="475">
        <f t="shared" si="425"/>
        <v>61</v>
      </c>
      <c r="AA196" s="71">
        <f t="shared" si="425"/>
        <v>-20</v>
      </c>
      <c r="AB196" s="71">
        <f t="shared" si="425"/>
        <v>0</v>
      </c>
      <c r="AC196" s="71">
        <f t="shared" si="425"/>
        <v>16</v>
      </c>
      <c r="AD196" s="71">
        <f t="shared" si="425"/>
        <v>-97</v>
      </c>
      <c r="AE196" s="475">
        <f t="shared" si="425"/>
        <v>-101</v>
      </c>
      <c r="AF196" s="71">
        <f t="shared" si="425"/>
        <v>-18</v>
      </c>
      <c r="AG196" s="71">
        <f t="shared" ref="AG196:AV196" si="426">AG182+AG186+AG192+AG194</f>
        <v>5</v>
      </c>
      <c r="AH196" s="71">
        <f t="shared" si="426"/>
        <v>-8</v>
      </c>
      <c r="AI196" s="71">
        <f t="shared" si="426"/>
        <v>11</v>
      </c>
      <c r="AJ196" s="475">
        <f t="shared" si="426"/>
        <v>-10</v>
      </c>
      <c r="AK196" s="71">
        <f t="shared" si="426"/>
        <v>27</v>
      </c>
      <c r="AL196" s="71">
        <f t="shared" si="426"/>
        <v>71</v>
      </c>
      <c r="AM196" s="71">
        <f t="shared" si="426"/>
        <v>2</v>
      </c>
      <c r="AN196" s="71">
        <f t="shared" si="426"/>
        <v>-68</v>
      </c>
      <c r="AO196" s="475">
        <f t="shared" si="426"/>
        <v>32</v>
      </c>
      <c r="AP196" s="71">
        <f t="shared" si="426"/>
        <v>-30</v>
      </c>
      <c r="AQ196" s="71">
        <f t="shared" si="426"/>
        <v>-87</v>
      </c>
      <c r="AR196" s="71">
        <f t="shared" si="426"/>
        <v>20</v>
      </c>
      <c r="AS196" s="71">
        <f t="shared" si="426"/>
        <v>89</v>
      </c>
      <c r="AT196" s="475">
        <f t="shared" si="426"/>
        <v>-8</v>
      </c>
      <c r="AU196" s="71">
        <f t="shared" si="426"/>
        <v>31</v>
      </c>
      <c r="AV196" s="71">
        <f t="shared" si="426"/>
        <v>-83</v>
      </c>
      <c r="AW196" s="71">
        <f t="shared" ref="AW196:BB196" ca="1" si="427">AW182+AW186+AW192+AW194</f>
        <v>87</v>
      </c>
      <c r="AX196" s="71">
        <f t="shared" ca="1" si="427"/>
        <v>-154</v>
      </c>
      <c r="AY196" s="475">
        <f t="shared" ca="1" si="427"/>
        <v>-119</v>
      </c>
      <c r="AZ196" s="71">
        <f t="shared" si="427"/>
        <v>199</v>
      </c>
      <c r="BA196" s="71">
        <f t="shared" ca="1" si="427"/>
        <v>93.040000000000077</v>
      </c>
      <c r="BB196" s="71">
        <f t="shared" si="427"/>
        <v>-226</v>
      </c>
      <c r="BC196" s="71">
        <f>+BC199-BC198</f>
        <v>106</v>
      </c>
      <c r="BD196" s="475">
        <f t="shared" ref="BD196:CA196" ca="1" si="428">BD182+BD186+BD192+BD194</f>
        <v>172.03999999999996</v>
      </c>
      <c r="BE196" s="71">
        <f t="shared" ca="1" si="428"/>
        <v>11</v>
      </c>
      <c r="BF196" s="71">
        <f t="shared" ca="1" si="428"/>
        <v>27</v>
      </c>
      <c r="BG196" s="71">
        <f t="shared" ca="1" si="428"/>
        <v>6</v>
      </c>
      <c r="BH196" s="71">
        <f t="shared" ca="1" si="428"/>
        <v>-36</v>
      </c>
      <c r="BI196" s="475">
        <f t="shared" ca="1" si="428"/>
        <v>8</v>
      </c>
      <c r="BJ196" s="71">
        <f t="shared" si="428"/>
        <v>400</v>
      </c>
      <c r="BK196" s="71">
        <f t="shared" si="428"/>
        <v>-222</v>
      </c>
      <c r="BL196" s="71">
        <f t="shared" si="428"/>
        <v>-22.000392476400009</v>
      </c>
      <c r="BM196" s="71">
        <f t="shared" si="428"/>
        <v>-123.99960752359999</v>
      </c>
      <c r="BN196" s="475">
        <f t="shared" si="428"/>
        <v>32</v>
      </c>
      <c r="BO196" s="71">
        <f t="shared" si="428"/>
        <v>24</v>
      </c>
      <c r="BP196" s="71">
        <f t="shared" ca="1" si="428"/>
        <v>18</v>
      </c>
      <c r="BQ196" s="71">
        <f t="shared" ca="1" si="428"/>
        <v>23</v>
      </c>
      <c r="BR196" s="71">
        <f t="shared" ca="1" si="428"/>
        <v>-35</v>
      </c>
      <c r="BS196" s="475">
        <f t="shared" si="428"/>
        <v>30</v>
      </c>
      <c r="BT196" s="71">
        <f t="shared" si="428"/>
        <v>26</v>
      </c>
      <c r="BU196" s="71">
        <f>BU182+BU186+BU192+BU194</f>
        <v>464</v>
      </c>
      <c r="BV196" s="71">
        <f>BV182+BV186+BV192+BV194</f>
        <v>-441</v>
      </c>
      <c r="BW196" s="71">
        <f>BW182+BW186+BW192+BW194</f>
        <v>4</v>
      </c>
      <c r="BX196" s="475">
        <f t="shared" si="428"/>
        <v>53</v>
      </c>
      <c r="BY196" s="71">
        <f t="shared" si="428"/>
        <v>1</v>
      </c>
      <c r="BZ196" s="71">
        <f t="shared" si="428"/>
        <v>7</v>
      </c>
      <c r="CA196" s="71">
        <f t="shared" si="428"/>
        <v>24</v>
      </c>
      <c r="CB196" s="71">
        <f>CB182+CB186+CB192+CB194</f>
        <v>-13</v>
      </c>
      <c r="CC196" s="475">
        <f>CC182+CC186+CC192+CC194</f>
        <v>19</v>
      </c>
      <c r="CD196" s="71">
        <f t="shared" ref="CD196:CW196" si="429">CD182+CD186+CD192+CD194</f>
        <v>7</v>
      </c>
      <c r="CE196" s="71">
        <f>CE182+CE186+CE192+CE194</f>
        <v>6</v>
      </c>
      <c r="CF196" s="71">
        <f>CF182+CF186+CF192+CF194</f>
        <v>17</v>
      </c>
      <c r="CG196" s="71">
        <f t="shared" si="429"/>
        <v>-13</v>
      </c>
      <c r="CH196" s="475">
        <f>CH182+CH186+CH192+CH194</f>
        <v>17</v>
      </c>
      <c r="CI196" s="71">
        <f t="shared" si="429"/>
        <v>50</v>
      </c>
      <c r="CJ196" s="71">
        <f t="shared" si="429"/>
        <v>21</v>
      </c>
      <c r="CK196" s="71">
        <f t="shared" ca="1" si="429"/>
        <v>2.8421709430404007E-13</v>
      </c>
      <c r="CL196" s="71">
        <f t="shared" ca="1" si="429"/>
        <v>-6.2527760746888816E-13</v>
      </c>
      <c r="CM196" s="475">
        <f t="shared" ca="1" si="429"/>
        <v>70.999999999999773</v>
      </c>
      <c r="CN196" s="71">
        <f t="shared" ca="1" si="429"/>
        <v>-7.3896444519050419E-13</v>
      </c>
      <c r="CO196" s="71">
        <f t="shared" ca="1" si="429"/>
        <v>1.8758328224066645E-12</v>
      </c>
      <c r="CP196" s="71">
        <f t="shared" ca="1" si="429"/>
        <v>1.1368683772161603E-13</v>
      </c>
      <c r="CQ196" s="71">
        <f t="shared" ca="1" si="429"/>
        <v>6.2527760746888816E-13</v>
      </c>
      <c r="CR196" s="475">
        <f t="shared" ca="1" si="429"/>
        <v>2.0463630789890885E-12</v>
      </c>
      <c r="CS196" s="71">
        <f t="shared" ca="1" si="429"/>
        <v>-6.2527760746888816E-13</v>
      </c>
      <c r="CT196" s="71">
        <f t="shared" ca="1" si="429"/>
        <v>4.5474735088646412E-13</v>
      </c>
      <c r="CU196" s="71">
        <f t="shared" ca="1" si="429"/>
        <v>-7.9580786405131221E-13</v>
      </c>
      <c r="CV196" s="71">
        <f t="shared" ca="1" si="429"/>
        <v>3.4106051316484809E-13</v>
      </c>
      <c r="CW196" s="475">
        <f t="shared" ca="1" si="429"/>
        <v>-7.9580786405131221E-13</v>
      </c>
      <c r="CX196" s="71">
        <f t="shared" ref="CX196:DG196" ca="1" si="430">CX182+CX186+CX192+CX194</f>
        <v>6.8212102632969618E-13</v>
      </c>
      <c r="CY196" s="71">
        <f t="shared" ca="1" si="430"/>
        <v>-2.8421709430404007E-13</v>
      </c>
      <c r="CZ196" s="71">
        <f t="shared" ca="1" si="430"/>
        <v>5.9685589803848416E-13</v>
      </c>
      <c r="DA196" s="71">
        <f t="shared" ca="1" si="430"/>
        <v>-1.1368683772161603E-13</v>
      </c>
      <c r="DB196" s="475">
        <f t="shared" ca="1" si="430"/>
        <v>6.8212102632969618E-13</v>
      </c>
      <c r="DC196" s="71">
        <f t="shared" ca="1" si="430"/>
        <v>3.979039320256561E-13</v>
      </c>
      <c r="DD196" s="71">
        <f t="shared" ca="1" si="430"/>
        <v>4.4764192352886312E-13</v>
      </c>
      <c r="DE196" s="71">
        <f t="shared" ca="1" si="430"/>
        <v>-1.5063505998114124E-12</v>
      </c>
      <c r="DF196" s="71">
        <f t="shared" ca="1" si="430"/>
        <v>3.0695446184836328E-12</v>
      </c>
      <c r="DG196" s="475">
        <f t="shared" ca="1" si="430"/>
        <v>2.2737367544323206E-12</v>
      </c>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c r="GS196"/>
      <c r="GT196"/>
      <c r="GU196"/>
      <c r="GV196"/>
      <c r="GW196"/>
      <c r="GX196"/>
      <c r="GY196"/>
      <c r="GZ196"/>
      <c r="HA196"/>
      <c r="HB196"/>
      <c r="HC196"/>
      <c r="HD196"/>
      <c r="HE196"/>
      <c r="HF196"/>
      <c r="HG196"/>
      <c r="HH196"/>
      <c r="HI196"/>
      <c r="HJ196"/>
      <c r="HK196"/>
      <c r="HL196"/>
      <c r="HM196"/>
      <c r="HN196"/>
      <c r="HO196"/>
      <c r="HP196"/>
      <c r="HQ196"/>
      <c r="HR196"/>
    </row>
    <row r="197" spans="1:226" s="19" customFormat="1" x14ac:dyDescent="0.2">
      <c r="A197" s="18"/>
      <c r="B197" s="69"/>
      <c r="C197" s="69"/>
      <c r="D197" s="69"/>
      <c r="E197" s="69"/>
      <c r="F197" s="438"/>
      <c r="G197" s="69"/>
      <c r="H197" s="69"/>
      <c r="I197" s="69"/>
      <c r="J197" s="69"/>
      <c r="K197" s="438"/>
      <c r="L197" s="69"/>
      <c r="M197" s="69"/>
      <c r="N197" s="69"/>
      <c r="O197" s="69"/>
      <c r="P197" s="438"/>
      <c r="Q197" s="69"/>
      <c r="R197" s="69"/>
      <c r="S197" s="69"/>
      <c r="T197" s="69"/>
      <c r="U197" s="438"/>
      <c r="V197" s="69"/>
      <c r="W197" s="69"/>
      <c r="X197" s="69"/>
      <c r="Y197" s="69"/>
      <c r="Z197" s="438"/>
      <c r="AA197" s="69"/>
      <c r="AB197" s="69"/>
      <c r="AC197" s="69"/>
      <c r="AD197" s="69"/>
      <c r="AE197" s="438"/>
      <c r="AF197" s="69"/>
      <c r="AG197" s="69"/>
      <c r="AH197" s="69"/>
      <c r="AI197" s="69"/>
      <c r="AJ197" s="438"/>
      <c r="AK197" s="69"/>
      <c r="AL197" s="69"/>
      <c r="AM197" s="69"/>
      <c r="AN197" s="69"/>
      <c r="AO197" s="438"/>
      <c r="AP197" s="69"/>
      <c r="AQ197" s="69"/>
      <c r="AR197" s="69"/>
      <c r="AS197" s="69"/>
      <c r="AT197" s="438"/>
      <c r="AU197" s="69"/>
      <c r="AV197" s="69"/>
      <c r="AW197" s="69"/>
      <c r="AX197" s="69"/>
      <c r="AY197" s="438"/>
      <c r="AZ197" s="69"/>
      <c r="BA197" s="69"/>
      <c r="BB197" s="69"/>
      <c r="BC197" s="69"/>
      <c r="BD197" s="438"/>
      <c r="BE197" s="69"/>
      <c r="BF197" s="69"/>
      <c r="BG197" s="69"/>
      <c r="BH197" s="63"/>
      <c r="BI197" s="439"/>
      <c r="BJ197" s="69"/>
      <c r="BK197" s="69"/>
      <c r="BL197" s="69"/>
      <c r="BM197" s="69"/>
      <c r="BN197" s="438"/>
      <c r="BO197" s="69"/>
      <c r="BP197" s="69"/>
      <c r="BQ197" s="69"/>
      <c r="BR197" s="69"/>
      <c r="BS197" s="438"/>
      <c r="BT197" s="69"/>
      <c r="BU197" s="69"/>
      <c r="BV197" s="69"/>
      <c r="BW197" s="69"/>
      <c r="BX197" s="438"/>
      <c r="BY197" s="69"/>
      <c r="BZ197" s="69"/>
      <c r="CA197" s="69"/>
      <c r="CB197" s="69"/>
      <c r="CC197" s="758"/>
      <c r="CD197" s="69"/>
      <c r="CE197" s="69"/>
      <c r="CF197" s="69"/>
      <c r="CG197" s="69"/>
      <c r="CH197" s="438"/>
      <c r="CI197" s="69"/>
      <c r="CJ197" s="69"/>
      <c r="CK197" s="69"/>
      <c r="CL197" s="69"/>
      <c r="CM197" s="438"/>
      <c r="CN197" s="69"/>
      <c r="CO197" s="69"/>
      <c r="CP197" s="69"/>
      <c r="CQ197" s="69"/>
      <c r="CR197" s="438"/>
      <c r="CS197" s="69"/>
      <c r="CT197" s="69"/>
      <c r="CU197" s="69"/>
      <c r="CV197" s="69"/>
      <c r="CW197" s="438"/>
      <c r="CX197" s="69"/>
      <c r="CY197" s="69"/>
      <c r="CZ197" s="69"/>
      <c r="DA197" s="69"/>
      <c r="DB197" s="438"/>
      <c r="DC197" s="69"/>
      <c r="DD197" s="69"/>
      <c r="DE197" s="69"/>
      <c r="DF197" s="69"/>
      <c r="DG197" s="438"/>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c r="HB197"/>
      <c r="HC197"/>
      <c r="HD197"/>
      <c r="HE197"/>
      <c r="HF197"/>
      <c r="HG197"/>
      <c r="HH197"/>
      <c r="HI197"/>
      <c r="HJ197"/>
      <c r="HK197"/>
      <c r="HL197"/>
      <c r="HM197"/>
      <c r="HN197"/>
      <c r="HO197"/>
      <c r="HP197"/>
      <c r="HQ197"/>
      <c r="HR197"/>
    </row>
    <row r="198" spans="1:226" s="19" customFormat="1" x14ac:dyDescent="0.2">
      <c r="A198" s="18" t="s">
        <v>79</v>
      </c>
      <c r="B198" s="46"/>
      <c r="C198" s="46"/>
      <c r="D198" s="46"/>
      <c r="E198" s="46"/>
      <c r="F198" s="466"/>
      <c r="G198" s="46">
        <v>251</v>
      </c>
      <c r="H198" s="46">
        <f>G199</f>
        <v>189</v>
      </c>
      <c r="I198" s="46">
        <f>H199</f>
        <v>182</v>
      </c>
      <c r="J198" s="46">
        <f>I199</f>
        <v>190</v>
      </c>
      <c r="K198" s="466">
        <f>251</f>
        <v>251</v>
      </c>
      <c r="L198" s="46">
        <f>K199</f>
        <v>177</v>
      </c>
      <c r="M198" s="46">
        <f>L199</f>
        <v>143</v>
      </c>
      <c r="N198" s="46">
        <f>M199</f>
        <v>149</v>
      </c>
      <c r="O198" s="46">
        <f>N199</f>
        <v>179</v>
      </c>
      <c r="P198" s="466">
        <f>K199</f>
        <v>177</v>
      </c>
      <c r="Q198" s="46">
        <f>P199</f>
        <v>172</v>
      </c>
      <c r="R198" s="46">
        <f>Q199</f>
        <v>187</v>
      </c>
      <c r="S198" s="46">
        <f>R199</f>
        <v>201</v>
      </c>
      <c r="T198" s="46">
        <f>S199</f>
        <v>199</v>
      </c>
      <c r="U198" s="466">
        <f>P199</f>
        <v>172</v>
      </c>
      <c r="V198" s="46">
        <f>U199</f>
        <v>232</v>
      </c>
      <c r="W198" s="46">
        <f>V199</f>
        <v>255</v>
      </c>
      <c r="X198" s="46">
        <f>W199</f>
        <v>300</v>
      </c>
      <c r="Y198" s="46">
        <f>X199</f>
        <v>293</v>
      </c>
      <c r="Z198" s="466">
        <f>U199</f>
        <v>232</v>
      </c>
      <c r="AA198" s="46">
        <f>Z199</f>
        <v>293</v>
      </c>
      <c r="AB198" s="46">
        <f>AA199</f>
        <v>273</v>
      </c>
      <c r="AC198" s="46">
        <f>AB199</f>
        <v>273</v>
      </c>
      <c r="AD198" s="46">
        <f>AC199</f>
        <v>289</v>
      </c>
      <c r="AE198" s="466">
        <f>Z199</f>
        <v>293</v>
      </c>
      <c r="AF198" s="46">
        <f>AE199</f>
        <v>192</v>
      </c>
      <c r="AG198" s="46">
        <f>AF199</f>
        <v>174</v>
      </c>
      <c r="AH198" s="46">
        <f>AG199</f>
        <v>179</v>
      </c>
      <c r="AI198" s="46">
        <f>AH199</f>
        <v>171</v>
      </c>
      <c r="AJ198" s="466">
        <f>AE199</f>
        <v>192</v>
      </c>
      <c r="AK198" s="46">
        <f>AJ199</f>
        <v>182</v>
      </c>
      <c r="AL198" s="46">
        <f>AK199</f>
        <v>209</v>
      </c>
      <c r="AM198" s="46">
        <f>AL199</f>
        <v>280</v>
      </c>
      <c r="AN198" s="46">
        <f>AM199</f>
        <v>282</v>
      </c>
      <c r="AO198" s="466">
        <f>AJ199</f>
        <v>182</v>
      </c>
      <c r="AP198" s="46">
        <f>AO199</f>
        <v>214</v>
      </c>
      <c r="AQ198" s="46">
        <f>AP199</f>
        <v>184</v>
      </c>
      <c r="AR198" s="46">
        <f>AQ199</f>
        <v>97</v>
      </c>
      <c r="AS198" s="46">
        <f>AR199</f>
        <v>117</v>
      </c>
      <c r="AT198" s="466">
        <f>AO199</f>
        <v>214</v>
      </c>
      <c r="AU198" s="46">
        <f>AT199</f>
        <v>206</v>
      </c>
      <c r="AV198" s="46">
        <f>AU199</f>
        <v>237</v>
      </c>
      <c r="AW198" s="46">
        <f>AV199</f>
        <v>154</v>
      </c>
      <c r="AX198" s="46">
        <f>AW199</f>
        <v>241</v>
      </c>
      <c r="AY198" s="466">
        <f>AT199</f>
        <v>206</v>
      </c>
      <c r="AZ198" s="46">
        <f>AY199</f>
        <v>87</v>
      </c>
      <c r="BA198" s="46">
        <f>AZ199</f>
        <v>286</v>
      </c>
      <c r="BB198" s="46">
        <f>BA199</f>
        <v>379</v>
      </c>
      <c r="BC198" s="46">
        <f>BB199</f>
        <v>153</v>
      </c>
      <c r="BD198" s="466">
        <f>AY199</f>
        <v>87</v>
      </c>
      <c r="BE198" s="46">
        <f>BD199</f>
        <v>259</v>
      </c>
      <c r="BF198" s="46">
        <f>BE199</f>
        <v>270</v>
      </c>
      <c r="BG198" s="46">
        <f>BF199</f>
        <v>297</v>
      </c>
      <c r="BH198" s="46">
        <f>BG199</f>
        <v>303</v>
      </c>
      <c r="BI198" s="466">
        <f>BD199</f>
        <v>259</v>
      </c>
      <c r="BJ198" s="46">
        <f>BI199</f>
        <v>267</v>
      </c>
      <c r="BK198" s="46">
        <f>BJ199</f>
        <v>667</v>
      </c>
      <c r="BL198" s="46">
        <f>BK199</f>
        <v>445</v>
      </c>
      <c r="BM198" s="46">
        <f>BL199</f>
        <v>423</v>
      </c>
      <c r="BN198" s="466">
        <f>BI199</f>
        <v>267</v>
      </c>
      <c r="BO198" s="46">
        <f>BN199</f>
        <v>299</v>
      </c>
      <c r="BP198" s="46">
        <f>BO199</f>
        <v>323</v>
      </c>
      <c r="BQ198" s="46">
        <f>BP199</f>
        <v>341</v>
      </c>
      <c r="BR198" s="46">
        <f>BQ199</f>
        <v>364</v>
      </c>
      <c r="BS198" s="466">
        <f>BN199</f>
        <v>299</v>
      </c>
      <c r="BT198" s="46">
        <f>BS199</f>
        <v>329</v>
      </c>
      <c r="BU198" s="46">
        <f>BT199</f>
        <v>355</v>
      </c>
      <c r="BV198" s="46">
        <f>BU199</f>
        <v>819</v>
      </c>
      <c r="BW198" s="46">
        <f>BV199</f>
        <v>378</v>
      </c>
      <c r="BX198" s="466">
        <f>BS199</f>
        <v>329</v>
      </c>
      <c r="BY198" s="46">
        <f>BX199</f>
        <v>382</v>
      </c>
      <c r="BZ198" s="46">
        <f>BY199</f>
        <v>383</v>
      </c>
      <c r="CA198" s="46">
        <f>BZ199</f>
        <v>390</v>
      </c>
      <c r="CB198" s="46">
        <f>CA199</f>
        <v>414</v>
      </c>
      <c r="CC198" s="466">
        <f>BX199</f>
        <v>382</v>
      </c>
      <c r="CD198" s="46">
        <f>CC199</f>
        <v>401</v>
      </c>
      <c r="CE198" s="46">
        <f ca="1">CD199</f>
        <v>408</v>
      </c>
      <c r="CF198" s="46">
        <f ca="1">CE199</f>
        <v>414</v>
      </c>
      <c r="CG198" s="46">
        <f ca="1">CF199</f>
        <v>431</v>
      </c>
      <c r="CH198" s="466">
        <f>CC199</f>
        <v>401</v>
      </c>
      <c r="CI198" s="46">
        <f ca="1">CH199</f>
        <v>418</v>
      </c>
      <c r="CJ198" s="46">
        <f>CI199</f>
        <v>468</v>
      </c>
      <c r="CK198" s="46">
        <f>CJ199</f>
        <v>489</v>
      </c>
      <c r="CL198" s="46">
        <f ca="1">CK199</f>
        <v>489</v>
      </c>
      <c r="CM198" s="466">
        <f ca="1">CH199</f>
        <v>418</v>
      </c>
      <c r="CN198" s="46">
        <f ca="1">CM199</f>
        <v>489</v>
      </c>
      <c r="CO198" s="46">
        <f ca="1">CN199</f>
        <v>489</v>
      </c>
      <c r="CP198" s="46">
        <f ca="1">CO199</f>
        <v>489</v>
      </c>
      <c r="CQ198" s="46">
        <f ca="1">CP199</f>
        <v>489</v>
      </c>
      <c r="CR198" s="466">
        <f ca="1">CM199</f>
        <v>489</v>
      </c>
      <c r="CS198" s="46">
        <f ca="1">CR199</f>
        <v>489</v>
      </c>
      <c r="CT198" s="46">
        <f ca="1">CS199</f>
        <v>489</v>
      </c>
      <c r="CU198" s="46">
        <f ca="1">CT199</f>
        <v>489</v>
      </c>
      <c r="CV198" s="46">
        <f ca="1">CU199</f>
        <v>489</v>
      </c>
      <c r="CW198" s="466">
        <f ca="1">CR199</f>
        <v>489</v>
      </c>
      <c r="CX198" s="46">
        <f ca="1">CW199</f>
        <v>489</v>
      </c>
      <c r="CY198" s="46">
        <f ca="1">CX199</f>
        <v>489</v>
      </c>
      <c r="CZ198" s="46">
        <f ca="1">CY199</f>
        <v>489</v>
      </c>
      <c r="DA198" s="46">
        <f ca="1">CZ199</f>
        <v>489</v>
      </c>
      <c r="DB198" s="466">
        <f ca="1">CW199</f>
        <v>489</v>
      </c>
      <c r="DC198" s="46">
        <f ca="1">DB199</f>
        <v>489</v>
      </c>
      <c r="DD198" s="46">
        <f ca="1">DC199</f>
        <v>489</v>
      </c>
      <c r="DE198" s="46">
        <f ca="1">DD199</f>
        <v>489</v>
      </c>
      <c r="DF198" s="46">
        <f ca="1">DE199</f>
        <v>489</v>
      </c>
      <c r="DG198" s="466">
        <f ca="1">DB199</f>
        <v>489</v>
      </c>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c r="HB198"/>
      <c r="HC198"/>
      <c r="HD198"/>
      <c r="HE198"/>
      <c r="HF198"/>
      <c r="HG198"/>
      <c r="HH198"/>
      <c r="HI198"/>
      <c r="HJ198"/>
      <c r="HK198"/>
      <c r="HL198"/>
      <c r="HM198"/>
      <c r="HN198"/>
      <c r="HO198"/>
      <c r="HP198"/>
      <c r="HQ198"/>
      <c r="HR198"/>
    </row>
    <row r="199" spans="1:226" s="19" customFormat="1" x14ac:dyDescent="0.2">
      <c r="A199" s="18" t="s">
        <v>80</v>
      </c>
      <c r="B199" s="46"/>
      <c r="C199" s="46"/>
      <c r="D199" s="46"/>
      <c r="E199" s="46"/>
      <c r="F199" s="476"/>
      <c r="G199" s="46">
        <f>Financials!G132</f>
        <v>189</v>
      </c>
      <c r="H199" s="46">
        <f>Financials!H132</f>
        <v>182</v>
      </c>
      <c r="I199" s="46">
        <f>Financials!I132</f>
        <v>190</v>
      </c>
      <c r="J199" s="46">
        <f>Financials!J132</f>
        <v>177</v>
      </c>
      <c r="K199" s="476">
        <f>Financials!K132</f>
        <v>177</v>
      </c>
      <c r="L199" s="46">
        <f>Financials!L132</f>
        <v>143</v>
      </c>
      <c r="M199" s="46">
        <f>Financials!M132</f>
        <v>149</v>
      </c>
      <c r="N199" s="46">
        <f>Financials!N132</f>
        <v>179</v>
      </c>
      <c r="O199" s="46">
        <f>Financials!O132</f>
        <v>172</v>
      </c>
      <c r="P199" s="476">
        <f>P132+P131</f>
        <v>172</v>
      </c>
      <c r="Q199" s="46">
        <f>Q132+Q131</f>
        <v>187</v>
      </c>
      <c r="R199" s="46">
        <f>R132+R131</f>
        <v>201</v>
      </c>
      <c r="S199" s="46">
        <f>S132+S131</f>
        <v>199</v>
      </c>
      <c r="T199" s="46">
        <f>T132+T131</f>
        <v>232</v>
      </c>
      <c r="U199" s="476">
        <f>T199</f>
        <v>232</v>
      </c>
      <c r="V199" s="46">
        <f>V132+V131</f>
        <v>255</v>
      </c>
      <c r="W199" s="46">
        <f>W132+W131</f>
        <v>300</v>
      </c>
      <c r="X199" s="46">
        <f>X132+X131</f>
        <v>293</v>
      </c>
      <c r="Y199" s="46">
        <f>Y132+Y131</f>
        <v>293</v>
      </c>
      <c r="Z199" s="476">
        <f>Y199</f>
        <v>293</v>
      </c>
      <c r="AA199" s="46">
        <f>AA132+AA131</f>
        <v>273</v>
      </c>
      <c r="AB199" s="46">
        <f>AB132+AB131</f>
        <v>273</v>
      </c>
      <c r="AC199" s="46">
        <f>AC132+AC131</f>
        <v>289</v>
      </c>
      <c r="AD199" s="46">
        <f>AD132+AD131</f>
        <v>192</v>
      </c>
      <c r="AE199" s="476">
        <f>AD199</f>
        <v>192</v>
      </c>
      <c r="AF199" s="46">
        <f>AF132+AF131</f>
        <v>174</v>
      </c>
      <c r="AG199" s="46">
        <f>AG132+AG131</f>
        <v>179</v>
      </c>
      <c r="AH199" s="46">
        <f>AH132+AH131</f>
        <v>171</v>
      </c>
      <c r="AI199" s="46">
        <f>AI132+AI131</f>
        <v>182</v>
      </c>
      <c r="AJ199" s="476">
        <f>AI199</f>
        <v>182</v>
      </c>
      <c r="AK199" s="46">
        <f t="shared" ref="AK199:AS199" si="431">AK132+AK131</f>
        <v>209</v>
      </c>
      <c r="AL199" s="46">
        <f t="shared" si="431"/>
        <v>280</v>
      </c>
      <c r="AM199" s="46">
        <f t="shared" si="431"/>
        <v>282</v>
      </c>
      <c r="AN199" s="46">
        <f t="shared" si="431"/>
        <v>214</v>
      </c>
      <c r="AO199" s="476">
        <f t="shared" si="431"/>
        <v>214</v>
      </c>
      <c r="AP199" s="46">
        <f t="shared" si="431"/>
        <v>184</v>
      </c>
      <c r="AQ199" s="46">
        <f t="shared" si="431"/>
        <v>97</v>
      </c>
      <c r="AR199" s="46">
        <f t="shared" si="431"/>
        <v>117</v>
      </c>
      <c r="AS199" s="46">
        <f t="shared" si="431"/>
        <v>206</v>
      </c>
      <c r="AT199" s="476">
        <f>AS199</f>
        <v>206</v>
      </c>
      <c r="AU199" s="46">
        <f>AU132+AU131</f>
        <v>237</v>
      </c>
      <c r="AV199" s="46">
        <f>AV132+AV131</f>
        <v>154</v>
      </c>
      <c r="AW199" s="46">
        <f>AW132+AW131</f>
        <v>241</v>
      </c>
      <c r="AX199" s="46">
        <f>AX132+AX131</f>
        <v>87</v>
      </c>
      <c r="AY199" s="476">
        <f>AX199</f>
        <v>87</v>
      </c>
      <c r="AZ199" s="46">
        <f>AZ132+AZ131</f>
        <v>286</v>
      </c>
      <c r="BA199" s="46">
        <f>BA132+BA131</f>
        <v>379</v>
      </c>
      <c r="BB199" s="46">
        <f>BB132+BB131</f>
        <v>153</v>
      </c>
      <c r="BC199" s="46">
        <f>BC132+BC131</f>
        <v>259</v>
      </c>
      <c r="BD199" s="476">
        <f>BC199</f>
        <v>259</v>
      </c>
      <c r="BE199" s="46">
        <f>BE132+BE131</f>
        <v>270</v>
      </c>
      <c r="BF199" s="46">
        <f>BF132+BF131</f>
        <v>297</v>
      </c>
      <c r="BG199" s="46">
        <f>BG132+BG131</f>
        <v>303</v>
      </c>
      <c r="BH199" s="46">
        <f>BH132+BH131</f>
        <v>267</v>
      </c>
      <c r="BI199" s="476">
        <f>BH199</f>
        <v>267</v>
      </c>
      <c r="BJ199" s="46">
        <f>BJ132+BJ131</f>
        <v>667</v>
      </c>
      <c r="BK199" s="46">
        <f>BK132+BK131</f>
        <v>445</v>
      </c>
      <c r="BL199" s="46">
        <f>BL132+BL131</f>
        <v>423</v>
      </c>
      <c r="BM199" s="46">
        <f>BM132+BM131</f>
        <v>299</v>
      </c>
      <c r="BN199" s="476">
        <f>BM199</f>
        <v>299</v>
      </c>
      <c r="BO199" s="46">
        <f>BO132+BO131</f>
        <v>323</v>
      </c>
      <c r="BP199" s="46">
        <f>BP132+BP131</f>
        <v>341</v>
      </c>
      <c r="BQ199" s="46">
        <f>BQ132+BQ131</f>
        <v>364</v>
      </c>
      <c r="BR199" s="46">
        <f>BR132+BR131</f>
        <v>329</v>
      </c>
      <c r="BS199" s="476">
        <f>BR199</f>
        <v>329</v>
      </c>
      <c r="BT199" s="46">
        <f>BT132+BT131</f>
        <v>355</v>
      </c>
      <c r="BU199" s="46">
        <f>BU132+BU131</f>
        <v>819</v>
      </c>
      <c r="BV199" s="46">
        <f>BV132+BV131</f>
        <v>378</v>
      </c>
      <c r="BW199" s="46">
        <f>BW132+BW131</f>
        <v>382</v>
      </c>
      <c r="BX199" s="476">
        <f>BW199</f>
        <v>382</v>
      </c>
      <c r="BY199" s="46">
        <f>BY132+BY131</f>
        <v>383</v>
      </c>
      <c r="BZ199" s="46">
        <f>BZ132+BZ131</f>
        <v>390</v>
      </c>
      <c r="CA199" s="46">
        <f>CA132+CA131</f>
        <v>414</v>
      </c>
      <c r="CB199" s="46">
        <f>CB132+CB131</f>
        <v>401</v>
      </c>
      <c r="CC199" s="476">
        <f>CB199</f>
        <v>401</v>
      </c>
      <c r="CD199" s="46">
        <f ca="1">CD132+CD131</f>
        <v>408</v>
      </c>
      <c r="CE199" s="46">
        <f ca="1">CE132+CE131</f>
        <v>414</v>
      </c>
      <c r="CF199" s="46">
        <f ca="1">CF132+CF131</f>
        <v>431</v>
      </c>
      <c r="CG199" s="46">
        <f ca="1">CG132+CG131</f>
        <v>418</v>
      </c>
      <c r="CH199" s="476">
        <f ca="1">CG199</f>
        <v>418</v>
      </c>
      <c r="CI199" s="46">
        <f>CI132+CI131</f>
        <v>468</v>
      </c>
      <c r="CJ199" s="46">
        <f>CJ132+CJ131</f>
        <v>489</v>
      </c>
      <c r="CK199" s="46">
        <f ca="1">CK132+CK131</f>
        <v>489</v>
      </c>
      <c r="CL199" s="46">
        <f ca="1">CL132+CL131</f>
        <v>489</v>
      </c>
      <c r="CM199" s="476">
        <f ca="1">CL199</f>
        <v>489</v>
      </c>
      <c r="CN199" s="46">
        <f ca="1">CN132+CN131</f>
        <v>489</v>
      </c>
      <c r="CO199" s="46">
        <f ca="1">CO132+CO131</f>
        <v>489</v>
      </c>
      <c r="CP199" s="46">
        <f ca="1">CP132+CP131</f>
        <v>489</v>
      </c>
      <c r="CQ199" s="46">
        <f ca="1">CQ132+CQ131</f>
        <v>489</v>
      </c>
      <c r="CR199" s="476">
        <f ca="1">CQ199</f>
        <v>489</v>
      </c>
      <c r="CS199" s="46">
        <f ca="1">CS132+CS131</f>
        <v>489</v>
      </c>
      <c r="CT199" s="46">
        <f ca="1">CT132+CT131</f>
        <v>489</v>
      </c>
      <c r="CU199" s="46">
        <f ca="1">CU132+CU131</f>
        <v>489</v>
      </c>
      <c r="CV199" s="46">
        <f ca="1">CV132+CV131</f>
        <v>489</v>
      </c>
      <c r="CW199" s="476">
        <f ca="1">CV199</f>
        <v>489</v>
      </c>
      <c r="CX199" s="46">
        <f ca="1">CX132+CX131</f>
        <v>489</v>
      </c>
      <c r="CY199" s="46">
        <f ca="1">CY132+CY131</f>
        <v>489</v>
      </c>
      <c r="CZ199" s="46">
        <f ca="1">CZ132+CZ131</f>
        <v>489</v>
      </c>
      <c r="DA199" s="46">
        <f ca="1">DA132+DA131</f>
        <v>489</v>
      </c>
      <c r="DB199" s="476">
        <f ca="1">DA199</f>
        <v>489</v>
      </c>
      <c r="DC199" s="46">
        <f ca="1">DC132+DC131</f>
        <v>489</v>
      </c>
      <c r="DD199" s="46">
        <f ca="1">DD132+DD131</f>
        <v>489</v>
      </c>
      <c r="DE199" s="46">
        <f ca="1">DE132+DE131</f>
        <v>489</v>
      </c>
      <c r="DF199" s="46">
        <f ca="1">DF132+DF131</f>
        <v>489</v>
      </c>
      <c r="DG199" s="476">
        <f ca="1">DF199</f>
        <v>489</v>
      </c>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c r="GS199"/>
      <c r="GT199"/>
      <c r="GU199"/>
      <c r="GV199"/>
      <c r="GW199"/>
      <c r="GX199"/>
      <c r="GY199"/>
      <c r="GZ199"/>
      <c r="HA199"/>
      <c r="HB199"/>
      <c r="HC199"/>
      <c r="HD199"/>
      <c r="HE199"/>
      <c r="HF199"/>
      <c r="HG199"/>
      <c r="HH199"/>
      <c r="HI199"/>
      <c r="HJ199"/>
      <c r="HK199"/>
      <c r="HL199"/>
      <c r="HM199"/>
      <c r="HN199"/>
      <c r="HO199"/>
      <c r="HP199"/>
      <c r="HQ199"/>
      <c r="HR199"/>
    </row>
    <row r="200" spans="1:226" s="19" customFormat="1" x14ac:dyDescent="0.2">
      <c r="A200" s="18"/>
      <c r="B200" s="69"/>
      <c r="C200" s="69"/>
      <c r="D200" s="69"/>
      <c r="E200" s="63"/>
      <c r="F200" s="61"/>
      <c r="G200" s="69"/>
      <c r="H200" s="69"/>
      <c r="I200" s="69"/>
      <c r="J200" s="63"/>
      <c r="K200" s="61"/>
      <c r="L200" s="69"/>
      <c r="M200" s="69"/>
      <c r="N200" s="69"/>
      <c r="O200" s="63"/>
      <c r="P200" s="61"/>
      <c r="Q200" s="69"/>
      <c r="R200" s="69"/>
      <c r="S200" s="69"/>
      <c r="T200" s="63"/>
      <c r="U200" s="61"/>
      <c r="V200" s="69"/>
      <c r="W200" s="69"/>
      <c r="X200" s="69"/>
      <c r="Y200" s="63"/>
      <c r="Z200" s="61"/>
      <c r="AA200" s="69"/>
      <c r="AB200" s="69"/>
      <c r="AC200" s="69"/>
      <c r="AD200" s="63"/>
      <c r="AE200" s="61"/>
      <c r="AF200" s="69"/>
      <c r="AG200" s="69"/>
      <c r="AH200" s="69"/>
      <c r="AI200" s="63"/>
      <c r="AJ200" s="61"/>
      <c r="AK200" s="69"/>
      <c r="AL200" s="69"/>
      <c r="AM200" s="69"/>
      <c r="AN200" s="69"/>
      <c r="AO200" s="61"/>
      <c r="AP200" s="69"/>
      <c r="AQ200" s="72"/>
      <c r="AR200" s="69"/>
      <c r="AS200" s="69"/>
      <c r="AT200" s="61"/>
      <c r="AU200" s="69"/>
      <c r="AV200" s="69"/>
      <c r="AW200" s="69"/>
      <c r="AX200" s="69"/>
      <c r="AY200" s="61"/>
      <c r="AZ200" s="61"/>
      <c r="BA200" s="61"/>
      <c r="BB200" s="61"/>
      <c r="BC200" s="61"/>
      <c r="BD200" s="61"/>
      <c r="BE200" s="69"/>
      <c r="BF200" s="69"/>
      <c r="BG200" s="69"/>
      <c r="BH200" s="69"/>
      <c r="BI200" s="61"/>
      <c r="BJ200" s="69"/>
      <c r="BK200" s="69"/>
      <c r="BL200" s="69"/>
      <c r="BM200" s="69"/>
      <c r="BN200" s="61"/>
      <c r="BO200" s="69"/>
      <c r="BP200" s="69">
        <f ca="1">+(BP198+BP196)-BP132</f>
        <v>0</v>
      </c>
      <c r="BQ200" s="69">
        <f ca="1">+(BQ198+BQ196)-BQ132</f>
        <v>0</v>
      </c>
      <c r="BR200" s="69">
        <f ca="1">+(BR198+BR196)-BR132</f>
        <v>0</v>
      </c>
      <c r="BS200" s="69"/>
      <c r="BT200" s="69"/>
      <c r="BU200" s="69"/>
      <c r="BV200" s="759"/>
      <c r="BW200" s="759"/>
      <c r="BX200" s="759"/>
      <c r="BY200" s="759"/>
      <c r="BZ200" s="759">
        <f>+(BZ198+BZ196)-BZ132</f>
        <v>0</v>
      </c>
      <c r="CA200" s="759">
        <f>+(CA198+CA196)-CA132</f>
        <v>0</v>
      </c>
      <c r="CB200" s="759">
        <f>+CB199-CB132</f>
        <v>0</v>
      </c>
      <c r="CC200" s="61"/>
      <c r="CD200" s="69"/>
      <c r="CE200" s="69"/>
      <c r="CF200" s="69"/>
      <c r="CG200" s="69"/>
      <c r="CH200" s="61"/>
      <c r="CI200" s="69"/>
      <c r="CJ200" s="69"/>
      <c r="CK200" s="69"/>
      <c r="CL200" s="69"/>
      <c r="CM200" s="61"/>
      <c r="CN200" s="69"/>
      <c r="CO200" s="69"/>
      <c r="CP200" s="69"/>
      <c r="CQ200" s="69"/>
      <c r="CR200" s="61"/>
      <c r="CS200" s="69"/>
      <c r="CT200" s="69"/>
      <c r="CU200" s="69"/>
      <c r="CV200" s="69"/>
      <c r="CW200" s="61"/>
      <c r="CX200" s="69"/>
      <c r="CY200" s="69"/>
      <c r="CZ200" s="69"/>
      <c r="DA200" s="69"/>
      <c r="DB200" s="61"/>
      <c r="DC200" s="69"/>
      <c r="DD200" s="69"/>
      <c r="DE200" s="69"/>
      <c r="DF200" s="69"/>
      <c r="DG200" s="61"/>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c r="GS200"/>
      <c r="GT200"/>
      <c r="GU200"/>
      <c r="GV200"/>
      <c r="GW200"/>
      <c r="GX200"/>
      <c r="GY200"/>
      <c r="GZ200"/>
      <c r="HA200"/>
      <c r="HB200"/>
      <c r="HC200"/>
      <c r="HD200"/>
      <c r="HE200"/>
      <c r="HF200"/>
      <c r="HG200"/>
      <c r="HH200"/>
      <c r="HI200"/>
      <c r="HJ200"/>
      <c r="HK200"/>
      <c r="HL200"/>
      <c r="HM200"/>
      <c r="HN200"/>
      <c r="HO200"/>
      <c r="HP200"/>
      <c r="HQ200"/>
      <c r="HR200"/>
    </row>
    <row r="201" spans="1:226" s="19" customFormat="1" x14ac:dyDescent="0.2">
      <c r="A201" s="246" t="s">
        <v>81</v>
      </c>
      <c r="B201" s="133"/>
      <c r="C201" s="133"/>
      <c r="D201" s="133"/>
      <c r="E201" s="133"/>
      <c r="F201" s="133"/>
      <c r="G201" s="133" t="str">
        <f t="shared" ref="G201:AF201" si="432">IF(ROUND(G199-G198,1)=ROUND(G196,1),"OK","Nope")</f>
        <v>OK</v>
      </c>
      <c r="H201" s="133" t="str">
        <f t="shared" si="432"/>
        <v>OK</v>
      </c>
      <c r="I201" s="133" t="str">
        <f t="shared" si="432"/>
        <v>OK</v>
      </c>
      <c r="J201" s="133" t="str">
        <f t="shared" si="432"/>
        <v>OK</v>
      </c>
      <c r="K201" s="133" t="str">
        <f t="shared" si="432"/>
        <v>OK</v>
      </c>
      <c r="L201" s="133" t="str">
        <f t="shared" si="432"/>
        <v>OK</v>
      </c>
      <c r="M201" s="133" t="str">
        <f t="shared" si="432"/>
        <v>OK</v>
      </c>
      <c r="N201" s="133" t="str">
        <f t="shared" si="432"/>
        <v>OK</v>
      </c>
      <c r="O201" s="133" t="str">
        <f t="shared" si="432"/>
        <v>OK</v>
      </c>
      <c r="P201" s="133" t="str">
        <f t="shared" si="432"/>
        <v>OK</v>
      </c>
      <c r="Q201" s="133" t="str">
        <f t="shared" si="432"/>
        <v>OK</v>
      </c>
      <c r="R201" s="133" t="str">
        <f t="shared" si="432"/>
        <v>OK</v>
      </c>
      <c r="S201" s="133" t="str">
        <f t="shared" si="432"/>
        <v>OK</v>
      </c>
      <c r="T201" s="133" t="str">
        <f ca="1">IF(ROUND(T199-T198,1)=ROUND(T196,1),"OK","Nope")</f>
        <v>OK</v>
      </c>
      <c r="U201" s="133" t="str">
        <f ca="1">IF(ROUND(U199-U198,1)=ROUND(U196,1),"OK","Nope")</f>
        <v>OK</v>
      </c>
      <c r="V201" s="133" t="str">
        <f t="shared" si="432"/>
        <v>OK</v>
      </c>
      <c r="W201" s="133" t="str">
        <f t="shared" si="432"/>
        <v>OK</v>
      </c>
      <c r="X201" s="133" t="str">
        <f t="shared" si="432"/>
        <v>OK</v>
      </c>
      <c r="Y201" s="133" t="str">
        <f t="shared" si="432"/>
        <v>OK</v>
      </c>
      <c r="Z201" s="133" t="str">
        <f t="shared" si="432"/>
        <v>OK</v>
      </c>
      <c r="AA201" s="133" t="str">
        <f t="shared" si="432"/>
        <v>OK</v>
      </c>
      <c r="AB201" s="133" t="str">
        <f t="shared" si="432"/>
        <v>OK</v>
      </c>
      <c r="AC201" s="133" t="str">
        <f t="shared" si="432"/>
        <v>OK</v>
      </c>
      <c r="AD201" s="133" t="str">
        <f t="shared" si="432"/>
        <v>OK</v>
      </c>
      <c r="AE201" s="133" t="str">
        <f t="shared" si="432"/>
        <v>OK</v>
      </c>
      <c r="AF201" s="133" t="str">
        <f t="shared" si="432"/>
        <v>OK</v>
      </c>
      <c r="AG201" s="133" t="str">
        <f>IF(ROUND(AG199-AG198,2)=ROUND(AG196,2),"OK","Nope")</f>
        <v>OK</v>
      </c>
      <c r="AH201" s="133" t="str">
        <f t="shared" ref="AH201:AV201" si="433">IF(ROUND(AH199-AH198,1)=ROUND(AH196,1),"OK","Nope")</f>
        <v>OK</v>
      </c>
      <c r="AI201" s="133" t="str">
        <f t="shared" si="433"/>
        <v>OK</v>
      </c>
      <c r="AJ201" s="133" t="str">
        <f t="shared" si="433"/>
        <v>OK</v>
      </c>
      <c r="AK201" s="133" t="str">
        <f t="shared" si="433"/>
        <v>OK</v>
      </c>
      <c r="AL201" s="133" t="str">
        <f t="shared" si="433"/>
        <v>OK</v>
      </c>
      <c r="AM201" s="133" t="str">
        <f t="shared" si="433"/>
        <v>OK</v>
      </c>
      <c r="AN201" s="133" t="str">
        <f t="shared" si="433"/>
        <v>OK</v>
      </c>
      <c r="AO201" s="133" t="str">
        <f t="shared" si="433"/>
        <v>OK</v>
      </c>
      <c r="AP201" s="133" t="str">
        <f t="shared" si="433"/>
        <v>OK</v>
      </c>
      <c r="AQ201" s="133" t="str">
        <f t="shared" si="433"/>
        <v>OK</v>
      </c>
      <c r="AR201" s="133" t="str">
        <f t="shared" si="433"/>
        <v>OK</v>
      </c>
      <c r="AS201" s="133" t="str">
        <f t="shared" si="433"/>
        <v>OK</v>
      </c>
      <c r="AT201" s="133" t="str">
        <f t="shared" si="433"/>
        <v>OK</v>
      </c>
      <c r="AU201" s="133" t="str">
        <f t="shared" si="433"/>
        <v>OK</v>
      </c>
      <c r="AV201" s="133" t="str">
        <f t="shared" si="433"/>
        <v>OK</v>
      </c>
      <c r="AW201" s="133" t="str">
        <f t="shared" ref="AW201:CA201" ca="1" si="434">IF(ROUND(AW199-AW198,1)=ROUND(AW196,1),"OK","Nope")</f>
        <v>OK</v>
      </c>
      <c r="AX201" s="133" t="str">
        <f t="shared" ca="1" si="434"/>
        <v>OK</v>
      </c>
      <c r="AY201" s="133" t="str">
        <f t="shared" ca="1" si="434"/>
        <v>OK</v>
      </c>
      <c r="AZ201" s="133" t="str">
        <f t="shared" si="434"/>
        <v>OK</v>
      </c>
      <c r="BA201" s="133" t="str">
        <f t="shared" ca="1" si="434"/>
        <v>OK</v>
      </c>
      <c r="BB201" s="133" t="str">
        <f t="shared" si="434"/>
        <v>OK</v>
      </c>
      <c r="BC201" s="133" t="str">
        <f t="shared" si="434"/>
        <v>OK</v>
      </c>
      <c r="BD201" s="133" t="str">
        <f t="shared" ca="1" si="434"/>
        <v>OK</v>
      </c>
      <c r="BE201" s="133" t="str">
        <f t="shared" ca="1" si="434"/>
        <v>OK</v>
      </c>
      <c r="BF201" s="133" t="str">
        <f t="shared" ca="1" si="434"/>
        <v>OK</v>
      </c>
      <c r="BG201" s="133" t="str">
        <f t="shared" ca="1" si="434"/>
        <v>OK</v>
      </c>
      <c r="BH201" s="133" t="str">
        <f t="shared" ca="1" si="434"/>
        <v>OK</v>
      </c>
      <c r="BI201" s="133" t="str">
        <f t="shared" ca="1" si="434"/>
        <v>OK</v>
      </c>
      <c r="BJ201" s="133" t="str">
        <f t="shared" si="434"/>
        <v>OK</v>
      </c>
      <c r="BK201" s="133" t="str">
        <f>IF(ROUND(BK199-BK198,1)=ROUND(BK196,1),"OK","Nope")</f>
        <v>OK</v>
      </c>
      <c r="BL201" s="133" t="str">
        <f t="shared" si="434"/>
        <v>OK</v>
      </c>
      <c r="BM201" s="133" t="str">
        <f t="shared" si="434"/>
        <v>OK</v>
      </c>
      <c r="BN201" s="133" t="str">
        <f t="shared" si="434"/>
        <v>OK</v>
      </c>
      <c r="BO201" s="133" t="str">
        <f t="shared" si="434"/>
        <v>OK</v>
      </c>
      <c r="BP201" s="133" t="str">
        <f t="shared" ref="BP201:BX201" ca="1" si="435">IF(ROUND(BP199-BP198,1)=ROUND(BP196,1),"OK","Nope")</f>
        <v>OK</v>
      </c>
      <c r="BQ201" s="133" t="str">
        <f t="shared" ca="1" si="435"/>
        <v>OK</v>
      </c>
      <c r="BR201" s="133" t="str">
        <f t="shared" ca="1" si="435"/>
        <v>OK</v>
      </c>
      <c r="BS201" s="133" t="str">
        <f>IF(ROUND(BS199-BS198,1)=ROUND(BS196,1),"OK","Nope")</f>
        <v>OK</v>
      </c>
      <c r="BT201" s="133" t="str">
        <f t="shared" si="435"/>
        <v>OK</v>
      </c>
      <c r="BU201" s="133" t="str">
        <f>IF(ROUND(BU199-BU198,1)=ROUND(BU196,1),"OK","Nope")</f>
        <v>OK</v>
      </c>
      <c r="BV201" s="133" t="str">
        <f t="shared" si="435"/>
        <v>OK</v>
      </c>
      <c r="BW201" s="133" t="str">
        <f t="shared" si="435"/>
        <v>OK</v>
      </c>
      <c r="BX201" s="133" t="str">
        <f t="shared" si="435"/>
        <v>OK</v>
      </c>
      <c r="BY201" s="133" t="str">
        <f t="shared" si="434"/>
        <v>OK</v>
      </c>
      <c r="BZ201" s="133" t="str">
        <f t="shared" si="434"/>
        <v>OK</v>
      </c>
      <c r="CA201" s="133" t="str">
        <f t="shared" si="434"/>
        <v>OK</v>
      </c>
      <c r="CB201" s="133" t="str">
        <f>IF(ROUND(CB199-CB198,1)=ROUND(CB196,1),"OK","Nope")</f>
        <v>OK</v>
      </c>
      <c r="CC201" s="133" t="str">
        <f t="shared" ref="CC201:CW201" si="436">IF(ROUND(CC199-CC198,1)=ROUND(CC196,1),"OK","Nope")</f>
        <v>OK</v>
      </c>
      <c r="CD201" s="133" t="str">
        <f t="shared" ca="1" si="436"/>
        <v>OK</v>
      </c>
      <c r="CE201" s="133" t="str">
        <f ca="1">IF(ROUND(CE199-CE198,1)=ROUND(CE196,1),"OK","Nope")</f>
        <v>OK</v>
      </c>
      <c r="CF201" s="133" t="str">
        <f t="shared" ca="1" si="436"/>
        <v>OK</v>
      </c>
      <c r="CG201" s="133" t="str">
        <f t="shared" ca="1" si="436"/>
        <v>OK</v>
      </c>
      <c r="CH201" s="133" t="str">
        <f t="shared" ca="1" si="436"/>
        <v>OK</v>
      </c>
      <c r="CI201" s="133" t="str">
        <f t="shared" ca="1" si="436"/>
        <v>OK</v>
      </c>
      <c r="CJ201" s="133" t="str">
        <f t="shared" si="436"/>
        <v>OK</v>
      </c>
      <c r="CK201" s="133" t="str">
        <f t="shared" ca="1" si="436"/>
        <v>OK</v>
      </c>
      <c r="CL201" s="133" t="str">
        <f t="shared" ca="1" si="436"/>
        <v>OK</v>
      </c>
      <c r="CM201" s="133" t="str">
        <f t="shared" ca="1" si="436"/>
        <v>OK</v>
      </c>
      <c r="CN201" s="133" t="str">
        <f t="shared" ca="1" si="436"/>
        <v>OK</v>
      </c>
      <c r="CO201" s="133" t="str">
        <f t="shared" ca="1" si="436"/>
        <v>OK</v>
      </c>
      <c r="CP201" s="133" t="str">
        <f t="shared" ca="1" si="436"/>
        <v>OK</v>
      </c>
      <c r="CQ201" s="133" t="str">
        <f t="shared" ca="1" si="436"/>
        <v>OK</v>
      </c>
      <c r="CR201" s="133" t="str">
        <f t="shared" ca="1" si="436"/>
        <v>OK</v>
      </c>
      <c r="CS201" s="133" t="str">
        <f t="shared" ca="1" si="436"/>
        <v>OK</v>
      </c>
      <c r="CT201" s="133" t="str">
        <f t="shared" ca="1" si="436"/>
        <v>OK</v>
      </c>
      <c r="CU201" s="133" t="str">
        <f t="shared" ca="1" si="436"/>
        <v>OK</v>
      </c>
      <c r="CV201" s="133" t="str">
        <f t="shared" ca="1" si="436"/>
        <v>OK</v>
      </c>
      <c r="CW201" s="133" t="str">
        <f t="shared" ca="1" si="436"/>
        <v>OK</v>
      </c>
      <c r="CX201" s="133" t="str">
        <f t="shared" ref="CX201:DG201" ca="1" si="437">IF(ROUND(CX199-CX198,1)=ROUND(CX196,1),"OK","Nope")</f>
        <v>OK</v>
      </c>
      <c r="CY201" s="133" t="str">
        <f t="shared" ca="1" si="437"/>
        <v>OK</v>
      </c>
      <c r="CZ201" s="133" t="str">
        <f t="shared" ca="1" si="437"/>
        <v>OK</v>
      </c>
      <c r="DA201" s="133" t="str">
        <f t="shared" ca="1" si="437"/>
        <v>OK</v>
      </c>
      <c r="DB201" s="133" t="str">
        <f t="shared" ca="1" si="437"/>
        <v>OK</v>
      </c>
      <c r="DC201" s="133" t="str">
        <f t="shared" ca="1" si="437"/>
        <v>OK</v>
      </c>
      <c r="DD201" s="133" t="str">
        <f t="shared" ca="1" si="437"/>
        <v>OK</v>
      </c>
      <c r="DE201" s="133" t="str">
        <f t="shared" ca="1" si="437"/>
        <v>OK</v>
      </c>
      <c r="DF201" s="133" t="str">
        <f t="shared" ca="1" si="437"/>
        <v>OK</v>
      </c>
      <c r="DG201" s="133" t="str">
        <f t="shared" ca="1" si="437"/>
        <v>OK</v>
      </c>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c r="GN201"/>
      <c r="GO201"/>
      <c r="GP201"/>
      <c r="GQ201"/>
      <c r="GR201"/>
      <c r="GS201"/>
      <c r="GT201"/>
      <c r="GU201"/>
      <c r="GV201"/>
      <c r="GW201"/>
      <c r="GX201"/>
      <c r="GY201"/>
      <c r="GZ201"/>
      <c r="HA201"/>
      <c r="HB201"/>
      <c r="HC201"/>
      <c r="HD201"/>
      <c r="HE201"/>
      <c r="HF201"/>
      <c r="HG201"/>
      <c r="HH201"/>
      <c r="HI201"/>
      <c r="HJ201"/>
      <c r="HK201"/>
      <c r="HL201"/>
      <c r="HM201"/>
      <c r="HN201"/>
      <c r="HO201"/>
      <c r="HP201"/>
      <c r="HQ201"/>
      <c r="HR201"/>
    </row>
    <row r="202" spans="1:226" s="19" customFormat="1" x14ac:dyDescent="0.2">
      <c r="A202" s="126" t="s">
        <v>143</v>
      </c>
      <c r="AY202" s="20"/>
      <c r="AZ202" s="73"/>
      <c r="BD202" s="20"/>
      <c r="BI202" s="605"/>
      <c r="BN202" s="20"/>
      <c r="BP202" s="57">
        <f ca="1">+BP196+BO199</f>
        <v>341</v>
      </c>
      <c r="BQ202" s="73">
        <f ca="1">+BP202-BP132</f>
        <v>0</v>
      </c>
      <c r="BS202" s="587">
        <f>+BS196+BS198</f>
        <v>329</v>
      </c>
      <c r="BT202" s="57">
        <f>+BS132-BS202</f>
        <v>0</v>
      </c>
      <c r="BX202" s="20"/>
      <c r="CC202" s="20"/>
      <c r="CH202" s="20"/>
      <c r="CM202" s="20"/>
      <c r="CR202" s="20"/>
      <c r="CW202" s="20"/>
      <c r="DB202" s="20"/>
      <c r="DG202" s="20"/>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c r="GS202"/>
      <c r="GT202"/>
      <c r="GU202"/>
      <c r="GV202"/>
      <c r="GW202"/>
      <c r="GX202"/>
      <c r="GY202"/>
      <c r="GZ202"/>
      <c r="HA202"/>
      <c r="HB202"/>
      <c r="HC202"/>
      <c r="HD202"/>
      <c r="HE202"/>
      <c r="HF202"/>
      <c r="HG202"/>
      <c r="HH202"/>
      <c r="HI202"/>
      <c r="HJ202"/>
      <c r="HK202"/>
      <c r="HL202"/>
      <c r="HM202"/>
      <c r="HN202"/>
      <c r="HO202"/>
      <c r="HP202"/>
      <c r="HQ202"/>
      <c r="HR202"/>
    </row>
    <row r="203" spans="1:226" s="19" customFormat="1" x14ac:dyDescent="0.2">
      <c r="A203" s="80" t="s">
        <v>144</v>
      </c>
      <c r="B203" s="21"/>
      <c r="C203" s="21"/>
      <c r="D203" s="21"/>
      <c r="E203" s="21"/>
      <c r="F203" s="480"/>
      <c r="G203" s="21">
        <f t="shared" ref="G203:L203" si="438">G182</f>
        <v>217</v>
      </c>
      <c r="H203" s="21">
        <f t="shared" si="438"/>
        <v>173</v>
      </c>
      <c r="I203" s="21">
        <f t="shared" si="438"/>
        <v>158</v>
      </c>
      <c r="J203" s="21">
        <f t="shared" si="438"/>
        <v>328</v>
      </c>
      <c r="K203" s="480">
        <f t="shared" si="438"/>
        <v>876</v>
      </c>
      <c r="L203" s="21">
        <f t="shared" si="438"/>
        <v>204</v>
      </c>
      <c r="M203" s="21">
        <f t="shared" ref="M203:AV203" si="439">M182</f>
        <v>199</v>
      </c>
      <c r="N203" s="21">
        <f t="shared" si="439"/>
        <v>83</v>
      </c>
      <c r="O203" s="21">
        <f t="shared" si="439"/>
        <v>317</v>
      </c>
      <c r="P203" s="480">
        <f t="shared" si="439"/>
        <v>803</v>
      </c>
      <c r="Q203" s="21">
        <f t="shared" si="439"/>
        <v>140</v>
      </c>
      <c r="R203" s="21">
        <f t="shared" si="439"/>
        <v>188</v>
      </c>
      <c r="S203" s="21">
        <f t="shared" si="439"/>
        <v>203</v>
      </c>
      <c r="T203" s="21">
        <f t="shared" si="439"/>
        <v>368</v>
      </c>
      <c r="U203" s="480">
        <f t="shared" si="439"/>
        <v>899</v>
      </c>
      <c r="V203" s="21">
        <f t="shared" si="439"/>
        <v>216</v>
      </c>
      <c r="W203" s="21">
        <f t="shared" si="439"/>
        <v>189</v>
      </c>
      <c r="X203" s="21">
        <f t="shared" si="439"/>
        <v>58</v>
      </c>
      <c r="Y203" s="21">
        <f t="shared" si="439"/>
        <v>302</v>
      </c>
      <c r="Z203" s="480">
        <f t="shared" si="439"/>
        <v>765</v>
      </c>
      <c r="AA203" s="21">
        <f t="shared" si="439"/>
        <v>-59</v>
      </c>
      <c r="AB203" s="21">
        <f t="shared" si="439"/>
        <v>142</v>
      </c>
      <c r="AC203" s="21">
        <f t="shared" si="439"/>
        <v>138</v>
      </c>
      <c r="AD203" s="21">
        <f t="shared" si="439"/>
        <v>301</v>
      </c>
      <c r="AE203" s="480">
        <f t="shared" si="439"/>
        <v>522</v>
      </c>
      <c r="AF203" s="21">
        <f t="shared" si="439"/>
        <v>133</v>
      </c>
      <c r="AG203" s="21">
        <f t="shared" si="439"/>
        <v>122</v>
      </c>
      <c r="AH203" s="21">
        <f t="shared" si="439"/>
        <v>172</v>
      </c>
      <c r="AI203" s="21">
        <f t="shared" si="439"/>
        <v>282</v>
      </c>
      <c r="AJ203" s="480">
        <f t="shared" si="439"/>
        <v>709</v>
      </c>
      <c r="AK203" s="21">
        <f t="shared" si="439"/>
        <v>163</v>
      </c>
      <c r="AL203" s="21">
        <f t="shared" si="439"/>
        <v>148</v>
      </c>
      <c r="AM203" s="21">
        <f t="shared" si="439"/>
        <v>165</v>
      </c>
      <c r="AN203" s="21">
        <f t="shared" si="439"/>
        <v>254</v>
      </c>
      <c r="AO203" s="480">
        <f t="shared" si="439"/>
        <v>730</v>
      </c>
      <c r="AP203" s="21">
        <f t="shared" si="439"/>
        <v>93</v>
      </c>
      <c r="AQ203" s="21">
        <f t="shared" si="439"/>
        <v>98</v>
      </c>
      <c r="AR203" s="21">
        <f t="shared" si="439"/>
        <v>232</v>
      </c>
      <c r="AS203" s="21">
        <f t="shared" si="439"/>
        <v>315</v>
      </c>
      <c r="AT203" s="480">
        <f t="shared" si="439"/>
        <v>738</v>
      </c>
      <c r="AU203" s="21">
        <f t="shared" si="439"/>
        <v>94</v>
      </c>
      <c r="AV203" s="21">
        <f t="shared" si="439"/>
        <v>152</v>
      </c>
      <c r="AW203" s="21">
        <f t="shared" ref="AW203:CB203" si="440">AW182</f>
        <v>197</v>
      </c>
      <c r="AX203" s="21">
        <f t="shared" si="440"/>
        <v>376</v>
      </c>
      <c r="AY203" s="480">
        <f t="shared" si="440"/>
        <v>819</v>
      </c>
      <c r="AZ203" s="21">
        <f t="shared" si="440"/>
        <v>148</v>
      </c>
      <c r="BA203" s="21">
        <f t="shared" si="440"/>
        <v>44</v>
      </c>
      <c r="BB203" s="21">
        <f t="shared" si="440"/>
        <v>217</v>
      </c>
      <c r="BC203" s="21">
        <f t="shared" ca="1" si="440"/>
        <v>331.92261472392636</v>
      </c>
      <c r="BD203" s="480">
        <f t="shared" ca="1" si="440"/>
        <v>740.92261472392636</v>
      </c>
      <c r="BE203" s="21">
        <f t="shared" si="440"/>
        <v>131</v>
      </c>
      <c r="BF203" s="21">
        <f t="shared" si="440"/>
        <v>37</v>
      </c>
      <c r="BG203" s="21">
        <f t="shared" si="440"/>
        <v>165</v>
      </c>
      <c r="BH203" s="21">
        <f t="shared" si="440"/>
        <v>297</v>
      </c>
      <c r="BI203" s="480">
        <f t="shared" si="440"/>
        <v>630</v>
      </c>
      <c r="BJ203" s="21">
        <f t="shared" si="440"/>
        <v>208</v>
      </c>
      <c r="BK203" s="21">
        <f t="shared" si="440"/>
        <v>117</v>
      </c>
      <c r="BL203" s="21">
        <f t="shared" si="440"/>
        <v>160</v>
      </c>
      <c r="BM203" s="21">
        <f t="shared" si="440"/>
        <v>290</v>
      </c>
      <c r="BN203" s="480">
        <f>BN182</f>
        <v>775</v>
      </c>
      <c r="BO203" s="21">
        <f t="shared" si="440"/>
        <v>178</v>
      </c>
      <c r="BP203" s="21">
        <f t="shared" si="440"/>
        <v>32</v>
      </c>
      <c r="BQ203" s="21">
        <f t="shared" si="440"/>
        <v>220</v>
      </c>
      <c r="BR203" s="21">
        <f t="shared" si="440"/>
        <v>346</v>
      </c>
      <c r="BS203" s="480">
        <f>BS182</f>
        <v>776</v>
      </c>
      <c r="BT203" s="21">
        <f t="shared" si="440"/>
        <v>243</v>
      </c>
      <c r="BU203" s="21">
        <f t="shared" si="440"/>
        <v>34</v>
      </c>
      <c r="BV203" s="21">
        <f t="shared" si="440"/>
        <v>218</v>
      </c>
      <c r="BW203" s="21">
        <f t="shared" si="440"/>
        <v>379</v>
      </c>
      <c r="BX203" s="480">
        <f t="shared" si="440"/>
        <v>874</v>
      </c>
      <c r="BY203" s="21">
        <f t="shared" si="440"/>
        <v>147</v>
      </c>
      <c r="BZ203" s="21">
        <f t="shared" si="440"/>
        <v>38</v>
      </c>
      <c r="CA203" s="21">
        <f t="shared" si="440"/>
        <v>262</v>
      </c>
      <c r="CB203" s="21">
        <f t="shared" si="440"/>
        <v>331</v>
      </c>
      <c r="CC203" s="480">
        <f>CC182</f>
        <v>778</v>
      </c>
      <c r="CD203" s="21">
        <f t="shared" ref="CD203:CW203" si="441">CD182</f>
        <v>170</v>
      </c>
      <c r="CE203" s="21">
        <f t="shared" si="441"/>
        <v>100</v>
      </c>
      <c r="CF203" s="21">
        <f t="shared" si="441"/>
        <v>212</v>
      </c>
      <c r="CG203" s="21">
        <f t="shared" si="441"/>
        <v>386</v>
      </c>
      <c r="CH203" s="480">
        <f t="shared" si="441"/>
        <v>868</v>
      </c>
      <c r="CI203" s="21">
        <f t="shared" si="441"/>
        <v>258</v>
      </c>
      <c r="CJ203" s="21">
        <f t="shared" si="441"/>
        <v>64</v>
      </c>
      <c r="CK203" s="21">
        <f t="shared" ca="1" si="441"/>
        <v>219.41318673159174</v>
      </c>
      <c r="CL203" s="21">
        <f t="shared" ca="1" si="441"/>
        <v>371.02107146775745</v>
      </c>
      <c r="CM203" s="480">
        <f t="shared" ca="1" si="441"/>
        <v>912.4342581993493</v>
      </c>
      <c r="CN203" s="21">
        <f t="shared" ca="1" si="441"/>
        <v>339.80279971598588</v>
      </c>
      <c r="CO203" s="21">
        <f t="shared" ca="1" si="441"/>
        <v>-26.790185856158786</v>
      </c>
      <c r="CP203" s="21">
        <f t="shared" ca="1" si="441"/>
        <v>239.87985360138157</v>
      </c>
      <c r="CQ203" s="21">
        <f t="shared" ca="1" si="441"/>
        <v>379.4127687597059</v>
      </c>
      <c r="CR203" s="480">
        <f t="shared" ca="1" si="441"/>
        <v>932.30523622091459</v>
      </c>
      <c r="CS203" s="21">
        <f t="shared" ca="1" si="441"/>
        <v>361.29050164911718</v>
      </c>
      <c r="CT203" s="21">
        <f t="shared" ca="1" si="441"/>
        <v>-23.282313288386185</v>
      </c>
      <c r="CU203" s="21">
        <f t="shared" ca="1" si="441"/>
        <v>248.59709339703431</v>
      </c>
      <c r="CV203" s="21">
        <f t="shared" ca="1" si="441"/>
        <v>390.62652535259656</v>
      </c>
      <c r="CW203" s="480">
        <f t="shared" ca="1" si="441"/>
        <v>977.23180711036173</v>
      </c>
      <c r="CX203" s="21">
        <f t="shared" ref="CX203:DG203" ca="1" si="442">CX182</f>
        <v>362.30427837981006</v>
      </c>
      <c r="CY203" s="21">
        <f t="shared" ca="1" si="442"/>
        <v>-19.197836346564586</v>
      </c>
      <c r="CZ203" s="21">
        <f t="shared" ca="1" si="442"/>
        <v>251.56153401087715</v>
      </c>
      <c r="DA203" s="21">
        <f t="shared" ca="1" si="442"/>
        <v>395.1819848883415</v>
      </c>
      <c r="DB203" s="480">
        <f t="shared" ca="1" si="442"/>
        <v>989.84996093246389</v>
      </c>
      <c r="DC203" s="21">
        <f t="shared" ca="1" si="442"/>
        <v>378.21661384732147</v>
      </c>
      <c r="DD203" s="21">
        <f t="shared" ca="1" si="442"/>
        <v>-16.023534780162557</v>
      </c>
      <c r="DE203" s="21">
        <f t="shared" ca="1" si="442"/>
        <v>253.57799354367455</v>
      </c>
      <c r="DF203" s="21">
        <f t="shared" ca="1" si="442"/>
        <v>398.78629210637126</v>
      </c>
      <c r="DG203" s="480">
        <f t="shared" ca="1" si="442"/>
        <v>1014.5573647172046</v>
      </c>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c r="GS203"/>
      <c r="GT203"/>
      <c r="GU203"/>
      <c r="GV203"/>
      <c r="GW203"/>
      <c r="GX203"/>
      <c r="GY203"/>
      <c r="GZ203"/>
      <c r="HA203"/>
      <c r="HB203"/>
      <c r="HC203"/>
      <c r="HD203"/>
      <c r="HE203"/>
      <c r="HF203"/>
      <c r="HG203"/>
      <c r="HH203"/>
      <c r="HI203"/>
      <c r="HJ203"/>
      <c r="HK203"/>
      <c r="HL203"/>
      <c r="HM203"/>
      <c r="HN203"/>
      <c r="HO203"/>
      <c r="HP203"/>
      <c r="HQ203"/>
      <c r="HR203"/>
    </row>
    <row r="204" spans="1:226" s="19" customFormat="1" x14ac:dyDescent="0.2">
      <c r="A204" s="80" t="s">
        <v>145</v>
      </c>
      <c r="B204" s="43"/>
      <c r="C204" s="43"/>
      <c r="D204" s="43"/>
      <c r="E204" s="43"/>
      <c r="F204" s="407"/>
      <c r="G204" s="43">
        <f t="shared" ref="G204:AL204" si="443">-G184/G7</f>
        <v>3.3536585365853661E-2</v>
      </c>
      <c r="H204" s="43">
        <f t="shared" si="443"/>
        <v>4.1713641488162347E-2</v>
      </c>
      <c r="I204" s="43">
        <f t="shared" si="443"/>
        <v>4.4965786901270774E-2</v>
      </c>
      <c r="J204" s="43">
        <f t="shared" si="443"/>
        <v>5.4078014184397165E-2</v>
      </c>
      <c r="K204" s="407">
        <f t="shared" si="443"/>
        <v>4.4007956240676278E-2</v>
      </c>
      <c r="L204" s="43">
        <f t="shared" si="443"/>
        <v>3.8204393505253106E-2</v>
      </c>
      <c r="M204" s="43">
        <f t="shared" si="443"/>
        <v>5.6155507559395246E-2</v>
      </c>
      <c r="N204" s="43">
        <f t="shared" si="443"/>
        <v>4.2198233562315994E-2</v>
      </c>
      <c r="O204" s="43">
        <f t="shared" si="443"/>
        <v>6.0763888888888888E-2</v>
      </c>
      <c r="P204" s="407">
        <f t="shared" si="443"/>
        <v>4.9469111969111967E-2</v>
      </c>
      <c r="Q204" s="43">
        <f t="shared" si="443"/>
        <v>3.8767395626242547E-2</v>
      </c>
      <c r="R204" s="43">
        <f t="shared" si="443"/>
        <v>4.6739130434782609E-2</v>
      </c>
      <c r="S204" s="43">
        <f t="shared" si="443"/>
        <v>3.3301617507136061E-2</v>
      </c>
      <c r="T204" s="43">
        <f t="shared" si="443"/>
        <v>4.472573839662447E-2</v>
      </c>
      <c r="U204" s="407">
        <f t="shared" si="443"/>
        <v>4.0845747236905337E-2</v>
      </c>
      <c r="V204" s="43">
        <f t="shared" si="443"/>
        <v>2.5763358778625955E-2</v>
      </c>
      <c r="W204" s="43">
        <f t="shared" si="443"/>
        <v>3.1E-2</v>
      </c>
      <c r="X204" s="43">
        <f t="shared" si="443"/>
        <v>2.85451197053407E-2</v>
      </c>
      <c r="Y204" s="43">
        <f t="shared" si="443"/>
        <v>4.9441786283891544E-2</v>
      </c>
      <c r="Z204" s="407">
        <f t="shared" si="443"/>
        <v>3.4412032816773019E-2</v>
      </c>
      <c r="AA204" s="43">
        <f t="shared" si="443"/>
        <v>3.3514492753623192E-2</v>
      </c>
      <c r="AB204" s="43">
        <f t="shared" si="443"/>
        <v>4.3233082706766915E-2</v>
      </c>
      <c r="AC204" s="43">
        <f t="shared" si="443"/>
        <v>3.3707865168539325E-2</v>
      </c>
      <c r="AD204" s="43">
        <f t="shared" si="443"/>
        <v>4.3972706595905992E-2</v>
      </c>
      <c r="AE204" s="407">
        <f t="shared" si="443"/>
        <v>3.875968992248062E-2</v>
      </c>
      <c r="AF204" s="43">
        <f t="shared" si="443"/>
        <v>2.6701119724375538E-2</v>
      </c>
      <c r="AG204" s="43">
        <f t="shared" si="443"/>
        <v>3.3605812897366028E-2</v>
      </c>
      <c r="AH204" s="43">
        <f t="shared" si="443"/>
        <v>2.2562449637389202E-2</v>
      </c>
      <c r="AI204" s="43">
        <f t="shared" si="443"/>
        <v>3.7946428571428568E-2</v>
      </c>
      <c r="AJ204" s="407">
        <f t="shared" si="443"/>
        <v>3.0328037961625746E-2</v>
      </c>
      <c r="AK204" s="43">
        <f t="shared" si="443"/>
        <v>2.0984665052461663E-2</v>
      </c>
      <c r="AL204" s="43">
        <f t="shared" si="443"/>
        <v>3.7942664418212479E-2</v>
      </c>
      <c r="AM204" s="43">
        <f t="shared" ref="AM204:BR204" si="444">-AM184/AM7</f>
        <v>2.3651145602365115E-2</v>
      </c>
      <c r="AN204" s="43">
        <f t="shared" si="444"/>
        <v>4.4816053511705686E-2</v>
      </c>
      <c r="AO204" s="407">
        <f t="shared" si="444"/>
        <v>3.223971173904798E-2</v>
      </c>
      <c r="AP204" s="43">
        <f t="shared" si="444"/>
        <v>2.8179190751445087E-2</v>
      </c>
      <c r="AQ204" s="43">
        <f t="shared" si="444"/>
        <v>3.7006578947368418E-2</v>
      </c>
      <c r="AR204" s="43">
        <f t="shared" si="444"/>
        <v>3.7777777777777778E-2</v>
      </c>
      <c r="AS204" s="43">
        <f t="shared" si="444"/>
        <v>4.1333333333333333E-2</v>
      </c>
      <c r="AT204" s="407">
        <f t="shared" si="444"/>
        <v>3.6146788990825691E-2</v>
      </c>
      <c r="AU204" s="43">
        <f t="shared" si="444"/>
        <v>2.6093630084420567E-2</v>
      </c>
      <c r="AV204" s="43">
        <f t="shared" si="444"/>
        <v>3.4567901234567898E-2</v>
      </c>
      <c r="AW204" s="43">
        <f t="shared" si="444"/>
        <v>2.7195027195027196E-2</v>
      </c>
      <c r="AX204" s="43">
        <f t="shared" si="444"/>
        <v>6.4380685794261719E-2</v>
      </c>
      <c r="AY204" s="407">
        <f t="shared" si="444"/>
        <v>3.8784868169659918E-2</v>
      </c>
      <c r="AZ204" s="43">
        <f t="shared" si="444"/>
        <v>2.6856240126382307E-2</v>
      </c>
      <c r="BA204" s="43">
        <f t="shared" si="444"/>
        <v>4.6649703138252757E-2</v>
      </c>
      <c r="BB204" s="43">
        <f t="shared" si="444"/>
        <v>5.3680981595092027E-2</v>
      </c>
      <c r="BC204" s="43">
        <f t="shared" ca="1" si="444"/>
        <v>5.3680981595092027E-2</v>
      </c>
      <c r="BD204" s="407">
        <f t="shared" ca="1" si="444"/>
        <v>4.5604132044336915E-2</v>
      </c>
      <c r="BE204" s="43">
        <f t="shared" si="444"/>
        <v>2.8352490421455937E-2</v>
      </c>
      <c r="BF204" s="43">
        <f t="shared" si="444"/>
        <v>3.6855036855036855E-2</v>
      </c>
      <c r="BG204" s="43">
        <f t="shared" si="444"/>
        <v>2.6409707351891507E-2</v>
      </c>
      <c r="BH204" s="43">
        <f t="shared" si="444"/>
        <v>4.7371836469824791E-2</v>
      </c>
      <c r="BI204" s="407">
        <f t="shared" si="444"/>
        <v>3.511338697878566E-2</v>
      </c>
      <c r="BJ204" s="43">
        <f t="shared" si="444"/>
        <v>4.0358744394618833E-2</v>
      </c>
      <c r="BK204" s="43">
        <f t="shared" si="444"/>
        <v>3.6226415094339624E-2</v>
      </c>
      <c r="BL204" s="43">
        <f t="shared" si="444"/>
        <v>2.264685067232838E-2</v>
      </c>
      <c r="BM204" s="43">
        <f t="shared" si="444"/>
        <v>3.8784744667097609E-2</v>
      </c>
      <c r="BN204" s="407">
        <f t="shared" si="444"/>
        <v>3.4501155966565888E-2</v>
      </c>
      <c r="BO204" s="43">
        <f t="shared" si="444"/>
        <v>2.0104244229337303E-2</v>
      </c>
      <c r="BP204" s="43">
        <f t="shared" si="444"/>
        <v>2.7522935779816515E-2</v>
      </c>
      <c r="BQ204" s="43">
        <f t="shared" si="444"/>
        <v>1.8301610541727673E-2</v>
      </c>
      <c r="BR204" s="43">
        <f t="shared" si="444"/>
        <v>3.3400133600534405E-2</v>
      </c>
      <c r="BS204" s="407">
        <f t="shared" ref="BS204:CW204" si="445">-BS184/BS7</f>
        <v>2.5027203482045703E-2</v>
      </c>
      <c r="BT204" s="43">
        <f t="shared" si="445"/>
        <v>2.1449704142011833E-2</v>
      </c>
      <c r="BU204" s="43">
        <f t="shared" si="445"/>
        <v>2.3048327137546468E-2</v>
      </c>
      <c r="BV204" s="43">
        <f t="shared" si="445"/>
        <v>1.6416845110635261E-2</v>
      </c>
      <c r="BW204" s="43">
        <f t="shared" si="445"/>
        <v>2.6974951830443159E-2</v>
      </c>
      <c r="BX204" s="407">
        <f t="shared" si="445"/>
        <v>2.2104332449160036E-2</v>
      </c>
      <c r="BY204" s="43">
        <f t="shared" si="445"/>
        <v>2.0143884892086329E-2</v>
      </c>
      <c r="BZ204" s="43">
        <f t="shared" si="445"/>
        <v>2.9739776951672861E-2</v>
      </c>
      <c r="CA204" s="43">
        <f t="shared" si="445"/>
        <v>3.155680224403927E-2</v>
      </c>
      <c r="CB204" s="43">
        <f t="shared" si="445"/>
        <v>3.6874999999999998E-2</v>
      </c>
      <c r="CC204" s="407">
        <f t="shared" si="445"/>
        <v>2.9855927790314183E-2</v>
      </c>
      <c r="CD204" s="43">
        <f t="shared" si="445"/>
        <v>4.0887040887040885E-2</v>
      </c>
      <c r="CE204" s="43">
        <f t="shared" si="445"/>
        <v>4.1251778093883355E-2</v>
      </c>
      <c r="CF204" s="43">
        <f t="shared" si="445"/>
        <v>2.979011509817197E-2</v>
      </c>
      <c r="CG204" s="43">
        <f t="shared" si="445"/>
        <v>4.2501517911353974E-2</v>
      </c>
      <c r="CH204" s="407">
        <f t="shared" si="445"/>
        <v>3.8674033149171269E-2</v>
      </c>
      <c r="CI204" s="43">
        <f t="shared" si="445"/>
        <v>3.2666666666666663E-2</v>
      </c>
      <c r="CJ204" s="43">
        <f t="shared" si="445"/>
        <v>2.8248587570621469E-2</v>
      </c>
      <c r="CK204" s="43">
        <f t="shared" si="445"/>
        <v>2.979011509817197E-2</v>
      </c>
      <c r="CL204" s="43">
        <f t="shared" ca="1" si="445"/>
        <v>4.2501517911353974E-2</v>
      </c>
      <c r="CM204" s="407">
        <f t="shared" ca="1" si="445"/>
        <v>3.370579086100739E-2</v>
      </c>
      <c r="CN204" s="43">
        <f t="shared" si="445"/>
        <v>3.1666666666666662E-2</v>
      </c>
      <c r="CO204" s="43">
        <f t="shared" si="445"/>
        <v>2.7248587570621468E-2</v>
      </c>
      <c r="CP204" s="43">
        <f t="shared" si="445"/>
        <v>2.8790115098171969E-2</v>
      </c>
      <c r="CQ204" s="43">
        <f t="shared" ca="1" si="445"/>
        <v>4.1501517911353973E-2</v>
      </c>
      <c r="CR204" s="407">
        <f t="shared" ca="1" si="445"/>
        <v>3.2615833150542568E-2</v>
      </c>
      <c r="CS204" s="43">
        <f t="shared" si="445"/>
        <v>2.9666666666666661E-2</v>
      </c>
      <c r="CT204" s="43">
        <f t="shared" si="445"/>
        <v>2.524858757062147E-2</v>
      </c>
      <c r="CU204" s="43">
        <f t="shared" si="445"/>
        <v>2.6790115098171963E-2</v>
      </c>
      <c r="CV204" s="43">
        <f t="shared" ca="1" si="445"/>
        <v>3.9501517911353971E-2</v>
      </c>
      <c r="CW204" s="407">
        <f t="shared" ca="1" si="445"/>
        <v>3.0613585465154941E-2</v>
      </c>
      <c r="CX204" s="43">
        <f t="shared" ref="CX204:DG204" si="446">-CX184/CX7</f>
        <v>2.7666666666666655E-2</v>
      </c>
      <c r="CY204" s="43">
        <f t="shared" si="446"/>
        <v>2.3248587570621468E-2</v>
      </c>
      <c r="CZ204" s="43">
        <f t="shared" si="446"/>
        <v>2.4790115098171965E-2</v>
      </c>
      <c r="DA204" s="43">
        <f t="shared" ca="1" si="446"/>
        <v>3.750151791135397E-2</v>
      </c>
      <c r="DB204" s="407">
        <f t="shared" ca="1" si="446"/>
        <v>2.8611328594387846E-2</v>
      </c>
      <c r="DC204" s="43">
        <f t="shared" si="446"/>
        <v>2.5666666666666657E-2</v>
      </c>
      <c r="DD204" s="43">
        <f t="shared" si="446"/>
        <v>2.1248587570621466E-2</v>
      </c>
      <c r="DE204" s="43">
        <f t="shared" si="446"/>
        <v>2.2790115098171963E-2</v>
      </c>
      <c r="DF204" s="43">
        <f t="shared" ca="1" si="446"/>
        <v>3.5501517911353968E-2</v>
      </c>
      <c r="DG204" s="407">
        <f t="shared" ca="1" si="446"/>
        <v>2.6609062717772729E-2</v>
      </c>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c r="GS204"/>
      <c r="GT204"/>
      <c r="GU204"/>
      <c r="GV204"/>
      <c r="GW204"/>
      <c r="GX204"/>
      <c r="GY204"/>
      <c r="GZ204"/>
      <c r="HA204"/>
      <c r="HB204"/>
      <c r="HC204"/>
      <c r="HD204"/>
      <c r="HE204"/>
      <c r="HF204"/>
      <c r="HG204"/>
      <c r="HH204"/>
      <c r="HI204"/>
      <c r="HJ204"/>
      <c r="HK204"/>
      <c r="HL204"/>
      <c r="HM204"/>
      <c r="HN204"/>
      <c r="HO204"/>
      <c r="HP204"/>
      <c r="HQ204"/>
      <c r="HR204"/>
    </row>
    <row r="205" spans="1:226" s="19" customFormat="1" x14ac:dyDescent="0.2">
      <c r="A205" s="80" t="s">
        <v>146</v>
      </c>
      <c r="B205" s="73"/>
      <c r="C205" s="73"/>
      <c r="D205" s="73"/>
      <c r="E205" s="73"/>
      <c r="F205" s="481"/>
      <c r="G205" s="73">
        <f t="shared" ref="G205:AL205" si="447">G182+G184</f>
        <v>184</v>
      </c>
      <c r="H205" s="73">
        <f t="shared" si="447"/>
        <v>136</v>
      </c>
      <c r="I205" s="73">
        <f t="shared" si="447"/>
        <v>112</v>
      </c>
      <c r="J205" s="73">
        <f t="shared" si="447"/>
        <v>267</v>
      </c>
      <c r="K205" s="481">
        <f t="shared" si="447"/>
        <v>699</v>
      </c>
      <c r="L205" s="73">
        <f t="shared" si="447"/>
        <v>164</v>
      </c>
      <c r="M205" s="73">
        <f t="shared" si="447"/>
        <v>147</v>
      </c>
      <c r="N205" s="73">
        <f t="shared" si="447"/>
        <v>40</v>
      </c>
      <c r="O205" s="73">
        <f t="shared" si="447"/>
        <v>247</v>
      </c>
      <c r="P205" s="481">
        <f t="shared" si="447"/>
        <v>598</v>
      </c>
      <c r="Q205" s="73">
        <f t="shared" si="447"/>
        <v>101</v>
      </c>
      <c r="R205" s="73">
        <f t="shared" si="447"/>
        <v>145</v>
      </c>
      <c r="S205" s="73">
        <f t="shared" si="447"/>
        <v>168</v>
      </c>
      <c r="T205" s="73">
        <f t="shared" si="447"/>
        <v>315</v>
      </c>
      <c r="U205" s="481">
        <f t="shared" si="447"/>
        <v>729</v>
      </c>
      <c r="V205" s="73">
        <f t="shared" si="447"/>
        <v>189</v>
      </c>
      <c r="W205" s="73">
        <f t="shared" si="447"/>
        <v>158</v>
      </c>
      <c r="X205" s="73">
        <f t="shared" si="447"/>
        <v>27</v>
      </c>
      <c r="Y205" s="73">
        <f t="shared" si="447"/>
        <v>240</v>
      </c>
      <c r="Z205" s="481">
        <f t="shared" si="447"/>
        <v>614</v>
      </c>
      <c r="AA205" s="73">
        <f t="shared" si="447"/>
        <v>-96</v>
      </c>
      <c r="AB205" s="73">
        <f t="shared" si="447"/>
        <v>96</v>
      </c>
      <c r="AC205" s="73">
        <f t="shared" si="447"/>
        <v>99</v>
      </c>
      <c r="AD205" s="73">
        <f t="shared" si="447"/>
        <v>243</v>
      </c>
      <c r="AE205" s="481">
        <f t="shared" si="447"/>
        <v>342</v>
      </c>
      <c r="AF205" s="73">
        <f t="shared" si="447"/>
        <v>102</v>
      </c>
      <c r="AG205" s="73">
        <f t="shared" si="447"/>
        <v>85</v>
      </c>
      <c r="AH205" s="73">
        <f t="shared" si="447"/>
        <v>144</v>
      </c>
      <c r="AI205" s="73">
        <f t="shared" si="447"/>
        <v>231</v>
      </c>
      <c r="AJ205" s="481">
        <f t="shared" si="447"/>
        <v>562</v>
      </c>
      <c r="AK205" s="73">
        <f t="shared" si="447"/>
        <v>137</v>
      </c>
      <c r="AL205" s="73">
        <f t="shared" si="447"/>
        <v>103</v>
      </c>
      <c r="AM205" s="73">
        <f t="shared" ref="AM205:AW205" si="448">AM182+AM184</f>
        <v>133</v>
      </c>
      <c r="AN205" s="73">
        <f t="shared" si="448"/>
        <v>187</v>
      </c>
      <c r="AO205" s="481">
        <f t="shared" si="448"/>
        <v>560</v>
      </c>
      <c r="AP205" s="73">
        <f t="shared" si="448"/>
        <v>54</v>
      </c>
      <c r="AQ205" s="73">
        <f t="shared" si="448"/>
        <v>53</v>
      </c>
      <c r="AR205" s="73">
        <f t="shared" si="448"/>
        <v>181</v>
      </c>
      <c r="AS205" s="73">
        <f t="shared" si="448"/>
        <v>253</v>
      </c>
      <c r="AT205" s="481">
        <f t="shared" si="448"/>
        <v>541</v>
      </c>
      <c r="AU205" s="73">
        <f t="shared" si="448"/>
        <v>60</v>
      </c>
      <c r="AV205" s="73">
        <f t="shared" si="448"/>
        <v>110</v>
      </c>
      <c r="AW205" s="73">
        <f t="shared" si="448"/>
        <v>162</v>
      </c>
      <c r="AX205" s="73">
        <f t="shared" ref="AX205:CB205" si="449">AX182+AX184</f>
        <v>284</v>
      </c>
      <c r="AY205" s="481">
        <f t="shared" si="449"/>
        <v>616</v>
      </c>
      <c r="AZ205" s="73">
        <f t="shared" si="449"/>
        <v>114</v>
      </c>
      <c r="BA205" s="73">
        <f t="shared" si="449"/>
        <v>-11</v>
      </c>
      <c r="BB205" s="73">
        <f t="shared" si="449"/>
        <v>147</v>
      </c>
      <c r="BC205" s="73">
        <f t="shared" ca="1" si="449"/>
        <v>252.36739999999998</v>
      </c>
      <c r="BD205" s="481">
        <f t="shared" ca="1" si="449"/>
        <v>502.36739999999998</v>
      </c>
      <c r="BE205" s="73">
        <f t="shared" si="449"/>
        <v>94</v>
      </c>
      <c r="BF205" s="73">
        <f t="shared" si="449"/>
        <v>-8</v>
      </c>
      <c r="BG205" s="73">
        <f t="shared" si="449"/>
        <v>128</v>
      </c>
      <c r="BH205" s="73">
        <f t="shared" si="449"/>
        <v>224</v>
      </c>
      <c r="BI205" s="481">
        <f t="shared" si="449"/>
        <v>438</v>
      </c>
      <c r="BJ205" s="73">
        <f t="shared" si="449"/>
        <v>154</v>
      </c>
      <c r="BK205" s="73">
        <f t="shared" si="449"/>
        <v>69</v>
      </c>
      <c r="BL205" s="73">
        <f t="shared" si="449"/>
        <v>128</v>
      </c>
      <c r="BM205" s="73">
        <f t="shared" si="449"/>
        <v>230</v>
      </c>
      <c r="BN205" s="481">
        <f t="shared" si="449"/>
        <v>581</v>
      </c>
      <c r="BO205" s="73">
        <f t="shared" si="449"/>
        <v>151</v>
      </c>
      <c r="BP205" s="73">
        <f t="shared" si="449"/>
        <v>-4</v>
      </c>
      <c r="BQ205" s="73">
        <f t="shared" si="449"/>
        <v>195</v>
      </c>
      <c r="BR205" s="73">
        <f t="shared" si="449"/>
        <v>296</v>
      </c>
      <c r="BS205" s="481">
        <f t="shared" si="449"/>
        <v>638</v>
      </c>
      <c r="BT205" s="73">
        <f t="shared" si="449"/>
        <v>214</v>
      </c>
      <c r="BU205" s="73">
        <f t="shared" si="449"/>
        <v>3</v>
      </c>
      <c r="BV205" s="73">
        <f t="shared" si="449"/>
        <v>195</v>
      </c>
      <c r="BW205" s="73">
        <f t="shared" si="449"/>
        <v>337</v>
      </c>
      <c r="BX205" s="481">
        <f t="shared" si="449"/>
        <v>749</v>
      </c>
      <c r="BY205" s="73">
        <f t="shared" si="449"/>
        <v>119</v>
      </c>
      <c r="BZ205" s="73">
        <f t="shared" si="449"/>
        <v>-2</v>
      </c>
      <c r="CA205" s="73">
        <f t="shared" si="449"/>
        <v>217</v>
      </c>
      <c r="CB205" s="73">
        <f t="shared" si="449"/>
        <v>272</v>
      </c>
      <c r="CC205" s="481">
        <f>CC182+CC184</f>
        <v>606</v>
      </c>
      <c r="CD205" s="73">
        <f t="shared" ref="CD205:CW205" si="450">CD182+CD184</f>
        <v>111</v>
      </c>
      <c r="CE205" s="73">
        <f t="shared" si="450"/>
        <v>42</v>
      </c>
      <c r="CF205" s="73">
        <f t="shared" si="450"/>
        <v>168</v>
      </c>
      <c r="CG205" s="73">
        <f t="shared" si="450"/>
        <v>316</v>
      </c>
      <c r="CH205" s="481">
        <f t="shared" si="450"/>
        <v>637</v>
      </c>
      <c r="CI205" s="73">
        <f t="shared" si="450"/>
        <v>209</v>
      </c>
      <c r="CJ205" s="73">
        <f t="shared" si="450"/>
        <v>24</v>
      </c>
      <c r="CK205" s="73">
        <f t="shared" ca="1" si="450"/>
        <v>174.3343316241376</v>
      </c>
      <c r="CL205" s="73">
        <f t="shared" ca="1" si="450"/>
        <v>297.51886961199932</v>
      </c>
      <c r="CM205" s="481">
        <f t="shared" ca="1" si="450"/>
        <v>704.85320123613701</v>
      </c>
      <c r="CN205" s="73">
        <f t="shared" ca="1" si="450"/>
        <v>289.66065772525536</v>
      </c>
      <c r="CO205" s="73">
        <f t="shared" ca="1" si="450"/>
        <v>-68.030325027052498</v>
      </c>
      <c r="CP205" s="73">
        <f t="shared" ca="1" si="450"/>
        <v>193.29806869015323</v>
      </c>
      <c r="CQ205" s="73">
        <f t="shared" ca="1" si="450"/>
        <v>305.54210707125844</v>
      </c>
      <c r="CR205" s="481">
        <f t="shared" ca="1" si="450"/>
        <v>720.47050845961462</v>
      </c>
      <c r="CS205" s="73">
        <f t="shared" ca="1" si="450"/>
        <v>313.21144124019196</v>
      </c>
      <c r="CT205" s="73">
        <f t="shared" ca="1" si="450"/>
        <v>-62.413828196599326</v>
      </c>
      <c r="CU205" s="73">
        <f t="shared" ca="1" si="450"/>
        <v>204.23148372338676</v>
      </c>
      <c r="CV205" s="73">
        <f t="shared" ca="1" si="450"/>
        <v>318.70996228651461</v>
      </c>
      <c r="CW205" s="481">
        <f t="shared" ca="1" si="450"/>
        <v>773.73905905349386</v>
      </c>
      <c r="CX205" s="73">
        <f t="shared" ref="CX205:DG205" ca="1" si="451">CX182+CX184</f>
        <v>316.40831396508395</v>
      </c>
      <c r="CY205" s="73">
        <f t="shared" ca="1" si="451"/>
        <v>-56.099547523860835</v>
      </c>
      <c r="CZ205" s="73">
        <f t="shared" ca="1" si="451"/>
        <v>209.53774346380155</v>
      </c>
      <c r="DA205" s="73">
        <f t="shared" ca="1" si="451"/>
        <v>325.34016943815277</v>
      </c>
      <c r="DB205" s="481">
        <f t="shared" ca="1" si="451"/>
        <v>795.18667934317716</v>
      </c>
      <c r="DC205" s="73">
        <f t="shared" ca="1" si="451"/>
        <v>334.62911821897535</v>
      </c>
      <c r="DD205" s="73">
        <f t="shared" ca="1" si="451"/>
        <v>-50.568746167464475</v>
      </c>
      <c r="DE205" s="73">
        <f t="shared" ca="1" si="451"/>
        <v>214.02728566132578</v>
      </c>
      <c r="DF205" s="73">
        <f t="shared" ca="1" si="451"/>
        <v>331.14527122691698</v>
      </c>
      <c r="DG205" s="481">
        <f t="shared" ca="1" si="451"/>
        <v>829.23292893975349</v>
      </c>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c r="HB205"/>
      <c r="HC205"/>
      <c r="HD205"/>
      <c r="HE205"/>
      <c r="HF205"/>
      <c r="HG205"/>
      <c r="HH205"/>
      <c r="HI205"/>
      <c r="HJ205"/>
      <c r="HK205"/>
      <c r="HL205"/>
      <c r="HM205"/>
      <c r="HN205"/>
      <c r="HO205"/>
      <c r="HP205"/>
      <c r="HQ205"/>
      <c r="HR205"/>
    </row>
    <row r="206" spans="1:226" s="19" customFormat="1" x14ac:dyDescent="0.2">
      <c r="A206" s="80" t="s">
        <v>147</v>
      </c>
      <c r="B206" s="129"/>
      <c r="C206" s="129"/>
      <c r="D206" s="129"/>
      <c r="E206" s="129"/>
      <c r="F206" s="464"/>
      <c r="G206" s="129">
        <f t="shared" ref="G206:AL206" si="452">G205/G98</f>
        <v>0.77278454430911381</v>
      </c>
      <c r="H206" s="129">
        <f t="shared" si="452"/>
        <v>0.57651547265790593</v>
      </c>
      <c r="I206" s="129">
        <f t="shared" si="452"/>
        <v>0.47740835464620635</v>
      </c>
      <c r="J206" s="129">
        <f t="shared" si="452"/>
        <v>1.1543450064850842</v>
      </c>
      <c r="K206" s="464">
        <f t="shared" si="452"/>
        <v>2.978270132083511</v>
      </c>
      <c r="L206" s="129">
        <f t="shared" si="452"/>
        <v>0.73181615350290052</v>
      </c>
      <c r="M206" s="129">
        <f t="shared" si="452"/>
        <v>0.66576086956521741</v>
      </c>
      <c r="N206" s="129">
        <f t="shared" si="452"/>
        <v>0.18289894833104711</v>
      </c>
      <c r="O206" s="129">
        <f t="shared" si="452"/>
        <v>1.1345888837850253</v>
      </c>
      <c r="P206" s="464">
        <f t="shared" si="452"/>
        <v>2.7096587098762073</v>
      </c>
      <c r="Q206" s="129">
        <f t="shared" si="452"/>
        <v>0.47018951896353472</v>
      </c>
      <c r="R206" s="129">
        <f t="shared" si="452"/>
        <v>0.68088223554768756</v>
      </c>
      <c r="S206" s="129">
        <f t="shared" si="452"/>
        <v>0.78649476138310725</v>
      </c>
      <c r="T206" s="129">
        <f t="shared" si="452"/>
        <v>1.4666852912417936</v>
      </c>
      <c r="U206" s="464">
        <f t="shared" si="452"/>
        <v>3.4006465426760148</v>
      </c>
      <c r="V206" s="129">
        <f t="shared" si="452"/>
        <v>0.87859165012528073</v>
      </c>
      <c r="W206" s="129">
        <f t="shared" si="452"/>
        <v>0.83242890108847978</v>
      </c>
      <c r="X206" s="129">
        <f t="shared" si="452"/>
        <v>0.17296161533336749</v>
      </c>
      <c r="Y206" s="129">
        <f t="shared" si="452"/>
        <v>1.5477979349795885</v>
      </c>
      <c r="Z206" s="464">
        <f t="shared" si="452"/>
        <v>3.426798231906059</v>
      </c>
      <c r="AA206" s="129">
        <f t="shared" si="452"/>
        <v>-0.62793527033921581</v>
      </c>
      <c r="AB206" s="129">
        <f t="shared" si="452"/>
        <v>0.63048389639047964</v>
      </c>
      <c r="AC206" s="129">
        <f t="shared" si="452"/>
        <v>0.64746084169909424</v>
      </c>
      <c r="AD206" s="129">
        <f t="shared" si="452"/>
        <v>1.5831753415554208</v>
      </c>
      <c r="AE206" s="464">
        <f t="shared" si="452"/>
        <v>2.2352795079770718</v>
      </c>
      <c r="AF206" s="129">
        <f t="shared" si="452"/>
        <v>0.66420087518232962</v>
      </c>
      <c r="AG206" s="129">
        <f t="shared" si="452"/>
        <v>0.55236052896643606</v>
      </c>
      <c r="AH206" s="129">
        <f t="shared" si="452"/>
        <v>0.9352471260635189</v>
      </c>
      <c r="AI206" s="129">
        <f t="shared" si="452"/>
        <v>1.4969962866715487</v>
      </c>
      <c r="AJ206" s="464">
        <f t="shared" si="452"/>
        <v>3.65089161009517</v>
      </c>
      <c r="AK206" s="129">
        <f t="shared" si="452"/>
        <v>0.93754063246354191</v>
      </c>
      <c r="AL206" s="129">
        <f t="shared" si="452"/>
        <v>0.73036177726093054</v>
      </c>
      <c r="AM206" s="129">
        <f t="shared" ref="AM206:BR206" si="453">AM205/AM98</f>
        <v>0.94796863863150382</v>
      </c>
      <c r="AN206" s="129">
        <f t="shared" si="453"/>
        <v>1.3337517652596895</v>
      </c>
      <c r="AO206" s="464">
        <f t="shared" si="453"/>
        <v>3.9435508858905384</v>
      </c>
      <c r="AP206" s="129">
        <f t="shared" si="453"/>
        <v>0.38610038610038605</v>
      </c>
      <c r="AQ206" s="129">
        <f t="shared" si="453"/>
        <v>0.37763005080192952</v>
      </c>
      <c r="AR206" s="129">
        <f t="shared" si="453"/>
        <v>1.2862056223529748</v>
      </c>
      <c r="AS206" s="129">
        <f t="shared" si="453"/>
        <v>1.7907701019252549</v>
      </c>
      <c r="AT206" s="464">
        <f t="shared" si="453"/>
        <v>3.83516584788357</v>
      </c>
      <c r="AU206" s="129">
        <f t="shared" si="453"/>
        <v>0.42595182484860966</v>
      </c>
      <c r="AV206" s="129">
        <f t="shared" si="453"/>
        <v>0.77723136057882547</v>
      </c>
      <c r="AW206" s="129">
        <f t="shared" si="453"/>
        <v>1.1407326038277916</v>
      </c>
      <c r="AX206" s="129">
        <f t="shared" si="453"/>
        <v>2.0049276037585333</v>
      </c>
      <c r="AY206" s="464">
        <f t="shared" si="453"/>
        <v>4.3523111054587593</v>
      </c>
      <c r="AZ206" s="129">
        <f t="shared" si="453"/>
        <v>0.80890074645928545</v>
      </c>
      <c r="BA206" s="129">
        <f t="shared" si="453"/>
        <v>-7.9320440156333383E-2</v>
      </c>
      <c r="BB206" s="129">
        <f t="shared" si="453"/>
        <v>1.0676234121825274</v>
      </c>
      <c r="BC206" s="129">
        <f t="shared" ca="1" si="453"/>
        <v>1.8880307031653285</v>
      </c>
      <c r="BD206" s="464">
        <f t="shared" ca="1" si="453"/>
        <v>3.6471753247931811</v>
      </c>
      <c r="BE206" s="129">
        <f t="shared" si="453"/>
        <v>0.70353488859450197</v>
      </c>
      <c r="BF206" s="129">
        <f t="shared" si="453"/>
        <v>-6.0442134211759015E-2</v>
      </c>
      <c r="BG206" s="129">
        <f t="shared" si="453"/>
        <v>0.9725926432484594</v>
      </c>
      <c r="BH206" s="129">
        <f t="shared" si="453"/>
        <v>1.7047832870352753</v>
      </c>
      <c r="BI206" s="464">
        <f t="shared" si="453"/>
        <v>3.3104073766155242</v>
      </c>
      <c r="BJ206" s="129">
        <f t="shared" si="453"/>
        <v>1.1693064645943114</v>
      </c>
      <c r="BK206" s="129">
        <f t="shared" si="453"/>
        <v>0.52097490260034429</v>
      </c>
      <c r="BL206" s="129">
        <f t="shared" si="453"/>
        <v>0.9589810825997378</v>
      </c>
      <c r="BM206" s="129">
        <f t="shared" si="453"/>
        <v>1.7214022692572524</v>
      </c>
      <c r="BN206" s="464">
        <f t="shared" si="453"/>
        <v>4.3694394934157588</v>
      </c>
      <c r="BO206" s="129">
        <f t="shared" si="453"/>
        <v>1.14188918381391</v>
      </c>
      <c r="BP206" s="129">
        <f t="shared" si="453"/>
        <v>-3.0239344411013173E-2</v>
      </c>
      <c r="BQ206" s="129">
        <f t="shared" si="453"/>
        <v>1.4822697730987038</v>
      </c>
      <c r="BR206" s="129">
        <f t="shared" si="453"/>
        <v>2.2556677462373789</v>
      </c>
      <c r="BS206" s="464">
        <f t="shared" ref="BS206:CW206" si="454">BS205/BS98</f>
        <v>4.839795560359951</v>
      </c>
      <c r="BT206" s="129">
        <f t="shared" si="454"/>
        <v>1.62899923117326</v>
      </c>
      <c r="BU206" s="129">
        <f t="shared" si="454"/>
        <v>2.2587129853409528E-2</v>
      </c>
      <c r="BV206" s="129">
        <f t="shared" si="454"/>
        <v>1.4539760653170786</v>
      </c>
      <c r="BW206" s="129">
        <f t="shared" si="454"/>
        <v>2.5605178780372908</v>
      </c>
      <c r="BX206" s="464">
        <f t="shared" si="454"/>
        <v>5.6410797132011803</v>
      </c>
      <c r="BY206" s="129">
        <f t="shared" si="454"/>
        <v>0.90687395214144184</v>
      </c>
      <c r="BZ206" s="129">
        <f t="shared" si="454"/>
        <v>-1.5203807033281135E-2</v>
      </c>
      <c r="CA206" s="129">
        <f t="shared" si="454"/>
        <v>1.6483474746860924</v>
      </c>
      <c r="CB206" s="129">
        <f t="shared" si="454"/>
        <v>2.0682696263199478</v>
      </c>
      <c r="CC206" s="464">
        <f>CC205/CC98</f>
        <v>4.6007728691057341</v>
      </c>
      <c r="CD206" s="129">
        <f t="shared" si="454"/>
        <v>0.8396813749593397</v>
      </c>
      <c r="CE206" s="129">
        <f t="shared" si="454"/>
        <v>0.3211623016631619</v>
      </c>
      <c r="CF206" s="129">
        <f t="shared" si="454"/>
        <v>1.2789086646062027</v>
      </c>
      <c r="CG206" s="129">
        <f t="shared" si="454"/>
        <v>2.3955000985490549</v>
      </c>
      <c r="CH206" s="464">
        <f t="shared" si="454"/>
        <v>4.8416764209598222</v>
      </c>
      <c r="CI206" s="129">
        <f t="shared" si="454"/>
        <v>1.5892448425583041</v>
      </c>
      <c r="CJ206" s="129">
        <f t="shared" si="454"/>
        <v>0.18229463370172042</v>
      </c>
      <c r="CK206" s="129">
        <f t="shared" ca="1" si="454"/>
        <v>1.3246472301567533</v>
      </c>
      <c r="CL206" s="129">
        <f t="shared" ca="1" si="454"/>
        <v>2.2730950884395607</v>
      </c>
      <c r="CM206" s="464">
        <f t="shared" ca="1" si="454"/>
        <v>5.3635750889579121</v>
      </c>
      <c r="CN206" s="129">
        <f t="shared" ca="1" si="454"/>
        <v>2.232639297424365</v>
      </c>
      <c r="CO206" s="129">
        <f t="shared" ca="1" si="454"/>
        <v>-0.52738681143172317</v>
      </c>
      <c r="CP206" s="129">
        <f t="shared" ca="1" si="454"/>
        <v>1.5012378827235946</v>
      </c>
      <c r="CQ206" s="129">
        <f t="shared" ca="1" si="454"/>
        <v>2.3796092018547839</v>
      </c>
      <c r="CR206" s="464">
        <f t="shared" ca="1" si="454"/>
        <v>5.5861958826044065</v>
      </c>
      <c r="CS206" s="129">
        <f t="shared" ca="1" si="454"/>
        <v>2.449832986001045</v>
      </c>
      <c r="CT206" s="129">
        <f t="shared" ca="1" si="454"/>
        <v>-0.49028884023518071</v>
      </c>
      <c r="CU206" s="129">
        <f t="shared" ca="1" si="454"/>
        <v>1.6112922317027136</v>
      </c>
      <c r="CV206" s="129">
        <f t="shared" ca="1" si="454"/>
        <v>2.5254331159630801</v>
      </c>
      <c r="CW206" s="464">
        <f t="shared" ca="1" si="454"/>
        <v>6.0912287195910064</v>
      </c>
      <c r="CX206" s="129">
        <f t="shared" ref="CX206:DG206" ca="1" si="455">CX205/CX98</f>
        <v>2.518169612293915</v>
      </c>
      <c r="CY206" s="129">
        <f t="shared" ca="1" si="455"/>
        <v>-0.44843719993122977</v>
      </c>
      <c r="CZ206" s="129">
        <f t="shared" ca="1" si="455"/>
        <v>1.6823568171897507</v>
      </c>
      <c r="DA206" s="129">
        <f t="shared" ca="1" si="455"/>
        <v>2.6237085047833242</v>
      </c>
      <c r="DB206" s="464">
        <f t="shared" ca="1" si="455"/>
        <v>6.3704058873981211</v>
      </c>
      <c r="DC206" s="129">
        <f t="shared" ca="1" si="455"/>
        <v>2.7106423081563249</v>
      </c>
      <c r="DD206" s="129">
        <f t="shared" ca="1" si="455"/>
        <v>-0.41146213825881106</v>
      </c>
      <c r="DE206" s="129">
        <f t="shared" ca="1" si="455"/>
        <v>1.7493018042101285</v>
      </c>
      <c r="DF206" s="129">
        <f t="shared" ca="1" si="455"/>
        <v>2.7187598109666635</v>
      </c>
      <c r="DG206" s="464">
        <f t="shared" ca="1" si="455"/>
        <v>6.7623414267790602</v>
      </c>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c r="GS206"/>
      <c r="GT206"/>
      <c r="GU206"/>
      <c r="GV206"/>
      <c r="GW206"/>
      <c r="GX206"/>
      <c r="GY206"/>
      <c r="GZ206"/>
      <c r="HA206"/>
      <c r="HB206"/>
      <c r="HC206"/>
      <c r="HD206"/>
      <c r="HE206"/>
      <c r="HF206"/>
      <c r="HG206"/>
      <c r="HH206"/>
      <c r="HI206"/>
      <c r="HJ206"/>
      <c r="HK206"/>
      <c r="HL206"/>
      <c r="HM206"/>
      <c r="HN206"/>
      <c r="HO206"/>
      <c r="HP206"/>
      <c r="HQ206"/>
      <c r="HR206"/>
    </row>
    <row r="207" spans="1:226" s="19" customFormat="1" x14ac:dyDescent="0.2">
      <c r="A207" s="80" t="s">
        <v>191</v>
      </c>
      <c r="B207" s="43"/>
      <c r="C207" s="43"/>
      <c r="D207" s="43"/>
      <c r="E207" s="43"/>
      <c r="F207" s="407"/>
      <c r="G207" s="43"/>
      <c r="H207" s="43"/>
      <c r="I207" s="43"/>
      <c r="J207" s="43"/>
      <c r="K207" s="407"/>
      <c r="L207" s="43">
        <f>L206/G206-1</f>
        <v>-5.3013988320431471E-2</v>
      </c>
      <c r="M207" s="43">
        <f t="shared" ref="M207:AV207" si="456">M206/H206-1</f>
        <v>0.15480139066496168</v>
      </c>
      <c r="N207" s="43">
        <f t="shared" si="456"/>
        <v>-0.61689202429943168</v>
      </c>
      <c r="O207" s="43">
        <f t="shared" si="456"/>
        <v>-1.7114573709826275E-2</v>
      </c>
      <c r="P207" s="407">
        <f t="shared" si="456"/>
        <v>-9.0190416011522445E-2</v>
      </c>
      <c r="Q207" s="43">
        <f t="shared" si="456"/>
        <v>-0.35750322439190163</v>
      </c>
      <c r="R207" s="43">
        <f t="shared" si="456"/>
        <v>2.2712908904281681E-2</v>
      </c>
      <c r="S207" s="43">
        <f t="shared" si="456"/>
        <v>3.3001601078621388</v>
      </c>
      <c r="T207" s="43">
        <f t="shared" si="456"/>
        <v>0.2927019753171598</v>
      </c>
      <c r="U207" s="407">
        <f t="shared" si="456"/>
        <v>0.25500917524457378</v>
      </c>
      <c r="V207" s="43">
        <f t="shared" si="456"/>
        <v>0.86859046127189288</v>
      </c>
      <c r="W207" s="43">
        <f t="shared" si="456"/>
        <v>0.22257397480621766</v>
      </c>
      <c r="X207" s="43">
        <f t="shared" si="456"/>
        <v>-0.78008548330417082</v>
      </c>
      <c r="Y207" s="43">
        <f t="shared" si="456"/>
        <v>5.5303373001797551E-2</v>
      </c>
      <c r="Z207" s="407">
        <f t="shared" si="456"/>
        <v>7.6902109354373138E-3</v>
      </c>
      <c r="AA207" s="43">
        <f t="shared" si="456"/>
        <v>-1.7147066219553495</v>
      </c>
      <c r="AB207" s="43">
        <f t="shared" si="456"/>
        <v>-0.24259730102347221</v>
      </c>
      <c r="AC207" s="43">
        <f t="shared" si="456"/>
        <v>2.7433787863924226</v>
      </c>
      <c r="AD207" s="43">
        <f t="shared" si="456"/>
        <v>2.2856605359341531E-2</v>
      </c>
      <c r="AE207" s="407">
        <f t="shared" si="456"/>
        <v>-0.34770612195228046</v>
      </c>
      <c r="AF207" s="43">
        <f t="shared" si="456"/>
        <v>-2.057753731246093</v>
      </c>
      <c r="AG207" s="43">
        <f t="shared" si="456"/>
        <v>-0.12391017101515178</v>
      </c>
      <c r="AH207" s="43">
        <f t="shared" si="456"/>
        <v>0.44448446273477127</v>
      </c>
      <c r="AI207" s="43">
        <f t="shared" si="456"/>
        <v>-5.443430845708086E-2</v>
      </c>
      <c r="AJ207" s="407">
        <f t="shared" si="456"/>
        <v>0.63330429016424317</v>
      </c>
      <c r="AK207" s="43">
        <f t="shared" si="456"/>
        <v>0.41153176319765894</v>
      </c>
      <c r="AL207" s="43">
        <f t="shared" si="456"/>
        <v>0.32225555404468564</v>
      </c>
      <c r="AM207" s="43">
        <f t="shared" si="456"/>
        <v>1.3602300625643382E-2</v>
      </c>
      <c r="AN207" s="43">
        <f t="shared" si="456"/>
        <v>-0.10904804698936177</v>
      </c>
      <c r="AO207" s="407">
        <f t="shared" si="456"/>
        <v>8.0161042027686813E-2</v>
      </c>
      <c r="AP207" s="43">
        <f t="shared" si="456"/>
        <v>-0.58817743708254655</v>
      </c>
      <c r="AQ207" s="43">
        <f t="shared" si="456"/>
        <v>-0.48295480053987461</v>
      </c>
      <c r="AR207" s="43">
        <f t="shared" si="456"/>
        <v>0.35680187079791259</v>
      </c>
      <c r="AS207" s="43">
        <f t="shared" si="456"/>
        <v>0.34265621877289965</v>
      </c>
      <c r="AT207" s="407">
        <f t="shared" si="456"/>
        <v>-2.7484123102038516E-2</v>
      </c>
      <c r="AU207" s="43">
        <f t="shared" si="456"/>
        <v>0.10321522635789915</v>
      </c>
      <c r="AV207" s="43">
        <f t="shared" si="456"/>
        <v>1.0581819665259919</v>
      </c>
      <c r="AW207" s="43">
        <f t="shared" ref="AW207:CB207" si="457">AW206/AR206-1</f>
        <v>-0.11310245888915949</v>
      </c>
      <c r="AX207" s="43">
        <f t="shared" si="457"/>
        <v>0.11958961209093122</v>
      </c>
      <c r="AY207" s="407">
        <f t="shared" si="457"/>
        <v>0.1348429971706635</v>
      </c>
      <c r="AZ207" s="43">
        <f t="shared" si="457"/>
        <v>0.89904280078335663</v>
      </c>
      <c r="BA207" s="43">
        <f t="shared" si="457"/>
        <v>-1.1020551204949596</v>
      </c>
      <c r="BB207" s="43">
        <f t="shared" si="457"/>
        <v>-6.4089683594509617E-2</v>
      </c>
      <c r="BC207" s="43">
        <f t="shared" ca="1" si="457"/>
        <v>-5.8304798823690329E-2</v>
      </c>
      <c r="BD207" s="407">
        <f t="shared" ca="1" si="457"/>
        <v>-0.16201410321545773</v>
      </c>
      <c r="BE207" s="43">
        <f t="shared" si="457"/>
        <v>-0.13025807965438296</v>
      </c>
      <c r="BF207" s="43">
        <f t="shared" si="457"/>
        <v>-0.23800051925288035</v>
      </c>
      <c r="BG207" s="43">
        <f t="shared" si="457"/>
        <v>-8.9011507100427822E-2</v>
      </c>
      <c r="BH207" s="43">
        <f t="shared" ca="1" si="457"/>
        <v>-9.7057434406566889E-2</v>
      </c>
      <c r="BI207" s="407">
        <f t="shared" ca="1" si="457"/>
        <v>-9.2336649101658952E-2</v>
      </c>
      <c r="BJ207" s="43">
        <f t="shared" si="457"/>
        <v>0.66204474511606959</v>
      </c>
      <c r="BK207" s="43">
        <f t="shared" si="457"/>
        <v>-9.6193995197970459</v>
      </c>
      <c r="BL207" s="43">
        <f t="shared" si="457"/>
        <v>-1.3995130174189852E-2</v>
      </c>
      <c r="BM207" s="43">
        <f t="shared" si="457"/>
        <v>9.7484427190031031E-3</v>
      </c>
      <c r="BN207" s="407">
        <f t="shared" si="457"/>
        <v>0.31990990724620794</v>
      </c>
      <c r="BO207" s="43">
        <f t="shared" si="457"/>
        <v>-2.3447472164548233E-2</v>
      </c>
      <c r="BP207" s="43">
        <f t="shared" si="457"/>
        <v>-1.0580437642198874</v>
      </c>
      <c r="BQ207" s="43">
        <f t="shared" si="457"/>
        <v>0.54567154659648032</v>
      </c>
      <c r="BR207" s="43">
        <f t="shared" si="457"/>
        <v>0.31036643004464626</v>
      </c>
      <c r="BS207" s="407">
        <f t="shared" si="457"/>
        <v>0.10764677429518477</v>
      </c>
      <c r="BT207" s="43">
        <f t="shared" si="457"/>
        <v>0.42658259160700895</v>
      </c>
      <c r="BU207" s="43">
        <f t="shared" si="457"/>
        <v>-1.7469450906873263</v>
      </c>
      <c r="BV207" s="43">
        <f t="shared" si="457"/>
        <v>-1.9088096036983138E-2</v>
      </c>
      <c r="BW207" s="43">
        <f t="shared" si="457"/>
        <v>0.13514850859947103</v>
      </c>
      <c r="BX207" s="407">
        <f t="shared" si="457"/>
        <v>0.16556157028699681</v>
      </c>
      <c r="BY207" s="43">
        <f t="shared" si="457"/>
        <v>-0.44329381206135943</v>
      </c>
      <c r="BZ207" s="43">
        <f t="shared" si="457"/>
        <v>-1.6731181487844555</v>
      </c>
      <c r="CA207" s="43">
        <f t="shared" si="457"/>
        <v>0.13368267470525796</v>
      </c>
      <c r="CB207" s="43">
        <f t="shared" si="457"/>
        <v>-0.19224558279384685</v>
      </c>
      <c r="CC207" s="407">
        <f>CC206/BX206-1</f>
        <v>-0.1844162637271255</v>
      </c>
      <c r="CD207" s="43">
        <f t="shared" ref="CD207:CW207" si="458">CD206/BY206-1</f>
        <v>-7.4092520822146568E-2</v>
      </c>
      <c r="CE207" s="43">
        <f t="shared" si="458"/>
        <v>-22.123808067291147</v>
      </c>
      <c r="CF207" s="43">
        <f t="shared" si="458"/>
        <v>-0.22412677894279842</v>
      </c>
      <c r="CG207" s="43">
        <f t="shared" si="458"/>
        <v>0.15821460996424586</v>
      </c>
      <c r="CH207" s="407">
        <f t="shared" si="458"/>
        <v>5.2361539834265614E-2</v>
      </c>
      <c r="CI207" s="43">
        <f t="shared" si="458"/>
        <v>0.89267606731810734</v>
      </c>
      <c r="CJ207" s="43">
        <f t="shared" si="458"/>
        <v>-0.43239093518232175</v>
      </c>
      <c r="CK207" s="43">
        <f t="shared" ca="1" si="458"/>
        <v>3.5763746713401323E-2</v>
      </c>
      <c r="CL207" s="43">
        <f t="shared" ca="1" si="458"/>
        <v>-5.1097893998683031E-2</v>
      </c>
      <c r="CM207" s="407">
        <f t="shared" ca="1" si="458"/>
        <v>0.10779296727446885</v>
      </c>
      <c r="CN207" s="43">
        <f t="shared" ca="1" si="458"/>
        <v>0.40484287734440572</v>
      </c>
      <c r="CO207" s="43">
        <f t="shared" ca="1" si="458"/>
        <v>-3.8930462774601464</v>
      </c>
      <c r="CP207" s="43">
        <f t="shared" ca="1" si="458"/>
        <v>0.13331145722921578</v>
      </c>
      <c r="CQ207" s="43">
        <f t="shared" ca="1" si="458"/>
        <v>4.6858626353525334E-2</v>
      </c>
      <c r="CR207" s="407">
        <f t="shared" ca="1" si="458"/>
        <v>4.1506045865715047E-2</v>
      </c>
      <c r="CS207" s="43">
        <f t="shared" ca="1" si="458"/>
        <v>9.7281136647214161E-2</v>
      </c>
      <c r="CT207" s="43">
        <f t="shared" ca="1" si="458"/>
        <v>-7.0343001365223312E-2</v>
      </c>
      <c r="CU207" s="43">
        <f t="shared" ca="1" si="458"/>
        <v>7.3309067300816322E-2</v>
      </c>
      <c r="CV207" s="43">
        <f t="shared" ca="1" si="458"/>
        <v>6.1280614478475659E-2</v>
      </c>
      <c r="CW207" s="407">
        <f t="shared" ca="1" si="458"/>
        <v>9.0407291043854698E-2</v>
      </c>
      <c r="CX207" s="43">
        <f t="shared" ref="CX207:DG207" ca="1" si="459">CX206/CS206-1</f>
        <v>2.7894402060614887E-2</v>
      </c>
      <c r="CY207" s="43">
        <f t="shared" ca="1" si="459"/>
        <v>-8.5361192973259725E-2</v>
      </c>
      <c r="CZ207" s="43">
        <f t="shared" ca="1" si="459"/>
        <v>4.4104094892793322E-2</v>
      </c>
      <c r="DA207" s="43">
        <f t="shared" ca="1" si="459"/>
        <v>3.891427106069556E-2</v>
      </c>
      <c r="DB207" s="407">
        <f t="shared" ca="1" si="459"/>
        <v>4.583265227083122E-2</v>
      </c>
      <c r="DC207" s="43">
        <f t="shared" ca="1" si="459"/>
        <v>7.6433571004408174E-2</v>
      </c>
      <c r="DD207" s="43">
        <f t="shared" ca="1" si="459"/>
        <v>-8.2453154372761683E-2</v>
      </c>
      <c r="DE207" s="43">
        <f t="shared" ca="1" si="459"/>
        <v>3.9792383123696817E-2</v>
      </c>
      <c r="DF207" s="43">
        <f t="shared" ca="1" si="459"/>
        <v>3.622784543711699E-2</v>
      </c>
      <c r="DG207" s="407">
        <f t="shared" ca="1" si="459"/>
        <v>6.1524421882797498E-2</v>
      </c>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c r="HB207"/>
      <c r="HC207"/>
      <c r="HD207"/>
      <c r="HE207"/>
      <c r="HF207"/>
      <c r="HG207"/>
      <c r="HH207"/>
      <c r="HI207"/>
      <c r="HJ207"/>
      <c r="HK207"/>
      <c r="HL207"/>
      <c r="HM207"/>
      <c r="HN207"/>
      <c r="HO207"/>
      <c r="HP207"/>
      <c r="HQ207"/>
      <c r="HR207"/>
    </row>
    <row r="208" spans="1:226" s="19" customFormat="1" x14ac:dyDescent="0.2">
      <c r="A208" s="80" t="s">
        <v>0</v>
      </c>
      <c r="B208" s="43"/>
      <c r="C208" s="43"/>
      <c r="D208" s="43"/>
      <c r="E208" s="43"/>
      <c r="F208" s="407"/>
      <c r="G208" s="43">
        <f t="shared" ref="G208:AL208" si="460">G205/G7</f>
        <v>0.18699186991869918</v>
      </c>
      <c r="H208" s="43">
        <f t="shared" si="460"/>
        <v>0.15332581736189402</v>
      </c>
      <c r="I208" s="43">
        <f t="shared" si="460"/>
        <v>0.10948191593352884</v>
      </c>
      <c r="J208" s="43">
        <f t="shared" si="460"/>
        <v>0.23670212765957446</v>
      </c>
      <c r="K208" s="407">
        <f t="shared" si="460"/>
        <v>0.17379413227250123</v>
      </c>
      <c r="L208" s="43">
        <f t="shared" si="460"/>
        <v>0.15663801337153774</v>
      </c>
      <c r="M208" s="43">
        <f t="shared" si="460"/>
        <v>0.15874730021598271</v>
      </c>
      <c r="N208" s="43">
        <f t="shared" si="460"/>
        <v>3.9254170755642789E-2</v>
      </c>
      <c r="O208" s="43">
        <f t="shared" si="460"/>
        <v>0.21440972222222221</v>
      </c>
      <c r="P208" s="407">
        <f t="shared" si="460"/>
        <v>0.14430501930501929</v>
      </c>
      <c r="Q208" s="43">
        <f t="shared" si="460"/>
        <v>0.10039761431411531</v>
      </c>
      <c r="R208" s="43">
        <f t="shared" si="460"/>
        <v>0.15760869565217392</v>
      </c>
      <c r="S208" s="43">
        <f t="shared" si="460"/>
        <v>0.1598477640342531</v>
      </c>
      <c r="T208" s="43">
        <f t="shared" si="460"/>
        <v>0.26582278481012656</v>
      </c>
      <c r="U208" s="407">
        <f t="shared" si="460"/>
        <v>0.17515617491590582</v>
      </c>
      <c r="V208" s="43">
        <f t="shared" si="460"/>
        <v>0.18034351145038169</v>
      </c>
      <c r="W208" s="43">
        <f t="shared" si="460"/>
        <v>0.158</v>
      </c>
      <c r="X208" s="43">
        <f t="shared" si="460"/>
        <v>2.4861878453038673E-2</v>
      </c>
      <c r="Y208" s="43">
        <f t="shared" si="460"/>
        <v>0.19138755980861244</v>
      </c>
      <c r="Z208" s="407">
        <f t="shared" si="460"/>
        <v>0.13992707383773928</v>
      </c>
      <c r="AA208" s="43">
        <f t="shared" si="460"/>
        <v>-8.6956521739130432E-2</v>
      </c>
      <c r="AB208" s="43">
        <f t="shared" si="460"/>
        <v>9.0225563909774431E-2</v>
      </c>
      <c r="AC208" s="43">
        <f t="shared" si="460"/>
        <v>8.5566119273984442E-2</v>
      </c>
      <c r="AD208" s="43">
        <f t="shared" si="460"/>
        <v>0.18423047763457165</v>
      </c>
      <c r="AE208" s="407">
        <f t="shared" si="460"/>
        <v>7.3643410852713184E-2</v>
      </c>
      <c r="AF208" s="43">
        <f t="shared" si="460"/>
        <v>8.7855297157622733E-2</v>
      </c>
      <c r="AG208" s="43">
        <f t="shared" si="460"/>
        <v>7.7202543142597641E-2</v>
      </c>
      <c r="AH208" s="43">
        <f t="shared" si="460"/>
        <v>0.11603545527800162</v>
      </c>
      <c r="AI208" s="43">
        <f t="shared" si="460"/>
        <v>0.171875</v>
      </c>
      <c r="AJ208" s="407">
        <f t="shared" si="460"/>
        <v>0.11594800907778006</v>
      </c>
      <c r="AK208" s="43">
        <f t="shared" si="460"/>
        <v>0.11057304277643261</v>
      </c>
      <c r="AL208" s="43">
        <f t="shared" si="460"/>
        <v>8.6846543001686344E-2</v>
      </c>
      <c r="AM208" s="43">
        <f t="shared" ref="AM208:BR208" si="461">AM205/AM7</f>
        <v>9.8300073909830005E-2</v>
      </c>
      <c r="AN208" s="43">
        <f t="shared" si="461"/>
        <v>0.12508361204013377</v>
      </c>
      <c r="AO208" s="407">
        <f t="shared" si="461"/>
        <v>0.10620140337568747</v>
      </c>
      <c r="AP208" s="43">
        <f t="shared" si="461"/>
        <v>3.9017341040462429E-2</v>
      </c>
      <c r="AQ208" s="43">
        <f t="shared" si="461"/>
        <v>4.358552631578947E-2</v>
      </c>
      <c r="AR208" s="43">
        <f t="shared" si="461"/>
        <v>0.13407407407407407</v>
      </c>
      <c r="AS208" s="43">
        <f t="shared" si="461"/>
        <v>0.16866666666666666</v>
      </c>
      <c r="AT208" s="407">
        <f t="shared" si="461"/>
        <v>9.9266055045871562E-2</v>
      </c>
      <c r="AU208" s="43">
        <f t="shared" si="461"/>
        <v>4.6047582501918649E-2</v>
      </c>
      <c r="AV208" s="43">
        <f t="shared" si="461"/>
        <v>9.0534979423868317E-2</v>
      </c>
      <c r="AW208" s="43">
        <f t="shared" si="461"/>
        <v>0.12587412587412589</v>
      </c>
      <c r="AX208" s="43">
        <f t="shared" si="461"/>
        <v>0.19874037788663401</v>
      </c>
      <c r="AY208" s="407">
        <f t="shared" si="461"/>
        <v>0.1176920137562094</v>
      </c>
      <c r="AZ208" s="43">
        <f t="shared" si="461"/>
        <v>9.004739336492891E-2</v>
      </c>
      <c r="BA208" s="43">
        <f t="shared" si="461"/>
        <v>-9.3299406276505514E-3</v>
      </c>
      <c r="BB208" s="43">
        <f t="shared" si="461"/>
        <v>0.11273006134969325</v>
      </c>
      <c r="BC208" s="43">
        <f t="shared" ca="1" si="461"/>
        <v>0.17028839406207827</v>
      </c>
      <c r="BD208" s="407">
        <f t="shared" ca="1" si="461"/>
        <v>9.6036589562225189E-2</v>
      </c>
      <c r="BE208" s="43">
        <f t="shared" si="461"/>
        <v>7.2030651340996163E-2</v>
      </c>
      <c r="BF208" s="43">
        <f t="shared" si="461"/>
        <v>-6.5520065520065524E-3</v>
      </c>
      <c r="BG208" s="43">
        <f t="shared" si="461"/>
        <v>9.1363311920057103E-2</v>
      </c>
      <c r="BH208" s="43">
        <f t="shared" si="461"/>
        <v>0.14536015574302402</v>
      </c>
      <c r="BI208" s="407">
        <f t="shared" si="461"/>
        <v>8.0102414045354786E-2</v>
      </c>
      <c r="BJ208" s="43">
        <f t="shared" si="461"/>
        <v>0.11509715994020926</v>
      </c>
      <c r="BK208" s="43">
        <f t="shared" si="461"/>
        <v>5.2075471698113204E-2</v>
      </c>
      <c r="BL208" s="43">
        <f t="shared" si="461"/>
        <v>9.058740268931352E-2</v>
      </c>
      <c r="BM208" s="43">
        <f t="shared" si="461"/>
        <v>0.1486748545572075</v>
      </c>
      <c r="BN208" s="407">
        <f>BN205/BN7</f>
        <v>0.10332562688956073</v>
      </c>
      <c r="BO208" s="43">
        <f t="shared" si="461"/>
        <v>0.11243484735666419</v>
      </c>
      <c r="BP208" s="43">
        <f t="shared" si="461"/>
        <v>-3.0581039755351682E-3</v>
      </c>
      <c r="BQ208" s="43">
        <f t="shared" si="461"/>
        <v>0.14275256222547583</v>
      </c>
      <c r="BR208" s="43">
        <f t="shared" si="461"/>
        <v>0.19772879091516365</v>
      </c>
      <c r="BS208" s="407">
        <f t="shared" ref="BS208:CW208" si="462">BS205/BS7</f>
        <v>0.11570547696771853</v>
      </c>
      <c r="BT208" s="43">
        <f t="shared" si="462"/>
        <v>0.15828402366863906</v>
      </c>
      <c r="BU208" s="43">
        <f t="shared" si="462"/>
        <v>2.2304832713754648E-3</v>
      </c>
      <c r="BV208" s="43">
        <f t="shared" si="462"/>
        <v>0.13918629550321199</v>
      </c>
      <c r="BW208" s="43">
        <f t="shared" si="462"/>
        <v>0.21644187540141296</v>
      </c>
      <c r="BX208" s="407">
        <f>BX205/BX7</f>
        <v>0.13244916003536694</v>
      </c>
      <c r="BY208" s="43">
        <f t="shared" si="462"/>
        <v>8.5611510791366904E-2</v>
      </c>
      <c r="BZ208" s="43">
        <f t="shared" si="462"/>
        <v>-1.4869888475836431E-3</v>
      </c>
      <c r="CA208" s="43">
        <f t="shared" si="462"/>
        <v>0.15217391304347827</v>
      </c>
      <c r="CB208" s="43">
        <f t="shared" si="462"/>
        <v>0.17</v>
      </c>
      <c r="CC208" s="407">
        <f>CC205/CC7</f>
        <v>0.10519007116819996</v>
      </c>
      <c r="CD208" s="43">
        <f t="shared" si="462"/>
        <v>7.6923076923076927E-2</v>
      </c>
      <c r="CE208" s="43">
        <f t="shared" si="462"/>
        <v>2.9871977240398292E-2</v>
      </c>
      <c r="CF208" s="43">
        <f t="shared" si="462"/>
        <v>0.11374407582938388</v>
      </c>
      <c r="CG208" s="43">
        <f t="shared" si="462"/>
        <v>0.19186399514268368</v>
      </c>
      <c r="CH208" s="407">
        <f t="shared" si="462"/>
        <v>0.10664657625983592</v>
      </c>
      <c r="CI208" s="43">
        <f t="shared" si="462"/>
        <v>0.13933333333333334</v>
      </c>
      <c r="CJ208" s="43">
        <f t="shared" si="462"/>
        <v>1.6949152542372881E-2</v>
      </c>
      <c r="CK208" s="43">
        <f t="shared" ca="1" si="462"/>
        <v>0.11520789053462817</v>
      </c>
      <c r="CL208" s="43">
        <f t="shared" ca="1" si="462"/>
        <v>0.17203571112869417</v>
      </c>
      <c r="CM208" s="407">
        <f t="shared" ca="1" si="462"/>
        <v>0.11444991626951365</v>
      </c>
      <c r="CN208" s="43">
        <f t="shared" ca="1" si="462"/>
        <v>0.18293170436015208</v>
      </c>
      <c r="CO208" s="43">
        <f t="shared" ca="1" si="462"/>
        <v>-4.4949660845611292E-2</v>
      </c>
      <c r="CP208" s="43">
        <f t="shared" ca="1" si="462"/>
        <v>0.11946887944395673</v>
      </c>
      <c r="CQ208" s="43">
        <f t="shared" ca="1" si="462"/>
        <v>0.1716576099287026</v>
      </c>
      <c r="CR208" s="407">
        <f t="shared" ca="1" si="462"/>
        <v>0.11092962019090777</v>
      </c>
      <c r="CS208" s="43">
        <f t="shared" ca="1" si="462"/>
        <v>0.19326374817703612</v>
      </c>
      <c r="CT208" s="43">
        <f t="shared" ca="1" si="462"/>
        <v>-4.0270891902240438E-2</v>
      </c>
      <c r="CU208" s="43">
        <f t="shared" ca="1" si="462"/>
        <v>0.12332491305466896</v>
      </c>
      <c r="CV208" s="43">
        <f t="shared" ca="1" si="462"/>
        <v>0.17505741024108135</v>
      </c>
      <c r="CW208" s="407">
        <f t="shared" ca="1" si="462"/>
        <v>0.11640182285730979</v>
      </c>
      <c r="CX208" s="43">
        <f t="shared" ref="CX208:DG208" ca="1" si="463">CX205/CX7</f>
        <v>0.19073492549216806</v>
      </c>
      <c r="CY208" s="43">
        <f t="shared" ca="1" si="463"/>
        <v>-3.5343489547529416E-2</v>
      </c>
      <c r="CZ208" s="43">
        <f t="shared" ca="1" si="463"/>
        <v>0.12360771625443835</v>
      </c>
      <c r="DA208" s="43">
        <f t="shared" ca="1" si="463"/>
        <v>0.1746911948497302</v>
      </c>
      <c r="DB208" s="407">
        <f t="shared" ca="1" si="463"/>
        <v>0.11687539216856539</v>
      </c>
      <c r="DC208" s="43">
        <f t="shared" ca="1" si="463"/>
        <v>0.19704766035471652</v>
      </c>
      <c r="DD208" s="43">
        <f t="shared" ca="1" si="463"/>
        <v>-3.1104584054473788E-2</v>
      </c>
      <c r="DE208" s="43">
        <f t="shared" ca="1" si="463"/>
        <v>0.12332791839985832</v>
      </c>
      <c r="DF208" s="43">
        <f t="shared" ca="1" si="463"/>
        <v>0.17380222274695822</v>
      </c>
      <c r="DG208" s="407">
        <f t="shared" ca="1" si="463"/>
        <v>0.11906207036991828</v>
      </c>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c r="HB208"/>
      <c r="HC208"/>
      <c r="HD208"/>
      <c r="HE208"/>
      <c r="HF208"/>
      <c r="HG208"/>
      <c r="HH208"/>
      <c r="HI208"/>
      <c r="HJ208"/>
      <c r="HK208"/>
      <c r="HL208"/>
      <c r="HM208"/>
      <c r="HN208"/>
      <c r="HO208"/>
      <c r="HP208"/>
      <c r="HQ208"/>
      <c r="HR208"/>
    </row>
    <row r="209" spans="1:226" s="19" customFormat="1" x14ac:dyDescent="0.2">
      <c r="A209" s="80" t="s">
        <v>148</v>
      </c>
      <c r="B209" s="21"/>
      <c r="C209" s="21"/>
      <c r="D209" s="21"/>
      <c r="E209" s="21"/>
      <c r="F209" s="482"/>
      <c r="G209" s="21">
        <f t="shared" ref="G209:L209" si="464">-(G188+G190)</f>
        <v>209</v>
      </c>
      <c r="H209" s="21">
        <f t="shared" si="464"/>
        <v>52</v>
      </c>
      <c r="I209" s="21">
        <f t="shared" si="464"/>
        <v>182</v>
      </c>
      <c r="J209" s="21">
        <f t="shared" si="464"/>
        <v>165</v>
      </c>
      <c r="K209" s="482">
        <f t="shared" si="464"/>
        <v>608</v>
      </c>
      <c r="L209" s="21">
        <f t="shared" si="464"/>
        <v>187</v>
      </c>
      <c r="M209" s="21">
        <f t="shared" ref="M209:AV209" si="465">-(M188+M190)</f>
        <v>217</v>
      </c>
      <c r="N209" s="21">
        <f t="shared" si="465"/>
        <v>89</v>
      </c>
      <c r="O209" s="21">
        <f t="shared" si="465"/>
        <v>186</v>
      </c>
      <c r="P209" s="482">
        <f t="shared" si="465"/>
        <v>679</v>
      </c>
      <c r="Q209" s="21">
        <f t="shared" si="465"/>
        <v>205</v>
      </c>
      <c r="R209" s="21">
        <f t="shared" si="465"/>
        <v>130</v>
      </c>
      <c r="S209" s="21">
        <f t="shared" si="465"/>
        <v>57</v>
      </c>
      <c r="T209" s="21">
        <f t="shared" si="465"/>
        <v>57</v>
      </c>
      <c r="U209" s="482">
        <f t="shared" si="465"/>
        <v>449</v>
      </c>
      <c r="V209" s="21">
        <f t="shared" si="465"/>
        <v>58</v>
      </c>
      <c r="W209" s="21">
        <f t="shared" si="465"/>
        <v>2167</v>
      </c>
      <c r="X209" s="21">
        <f t="shared" si="465"/>
        <v>52</v>
      </c>
      <c r="Y209" s="21">
        <f t="shared" si="465"/>
        <v>203</v>
      </c>
      <c r="Z209" s="482">
        <f t="shared" si="465"/>
        <v>2480</v>
      </c>
      <c r="AA209" s="21">
        <f t="shared" si="465"/>
        <v>132</v>
      </c>
      <c r="AB209" s="21">
        <f t="shared" si="465"/>
        <v>88</v>
      </c>
      <c r="AC209" s="21">
        <f t="shared" si="465"/>
        <v>44</v>
      </c>
      <c r="AD209" s="21">
        <f t="shared" si="465"/>
        <v>44</v>
      </c>
      <c r="AE209" s="482">
        <f t="shared" si="465"/>
        <v>308</v>
      </c>
      <c r="AF209" s="21">
        <f t="shared" si="465"/>
        <v>64</v>
      </c>
      <c r="AG209" s="21">
        <f t="shared" si="465"/>
        <v>114</v>
      </c>
      <c r="AH209" s="21">
        <f t="shared" si="465"/>
        <v>47</v>
      </c>
      <c r="AI209" s="21">
        <f t="shared" si="465"/>
        <v>113</v>
      </c>
      <c r="AJ209" s="482">
        <f t="shared" si="465"/>
        <v>338</v>
      </c>
      <c r="AK209" s="21">
        <f t="shared" si="465"/>
        <v>929</v>
      </c>
      <c r="AL209" s="21">
        <f t="shared" si="465"/>
        <v>56</v>
      </c>
      <c r="AM209" s="21">
        <f t="shared" si="465"/>
        <v>56</v>
      </c>
      <c r="AN209" s="21">
        <f t="shared" si="465"/>
        <v>55</v>
      </c>
      <c r="AO209" s="482">
        <f t="shared" si="465"/>
        <v>1096</v>
      </c>
      <c r="AP209" s="21">
        <f t="shared" si="465"/>
        <v>64</v>
      </c>
      <c r="AQ209" s="21">
        <f t="shared" si="465"/>
        <v>65</v>
      </c>
      <c r="AR209" s="21">
        <f t="shared" si="465"/>
        <v>64</v>
      </c>
      <c r="AS209" s="21">
        <f t="shared" si="465"/>
        <v>65</v>
      </c>
      <c r="AT209" s="482">
        <f t="shared" si="465"/>
        <v>258</v>
      </c>
      <c r="AU209" s="21">
        <f t="shared" si="465"/>
        <v>70</v>
      </c>
      <c r="AV209" s="21">
        <f t="shared" si="465"/>
        <v>71</v>
      </c>
      <c r="AW209" s="21">
        <f ca="1">-(AW188+AW190)</f>
        <v>70</v>
      </c>
      <c r="AX209" s="21">
        <f t="shared" ref="AX209:BD209" ca="1" si="466">-(AX188+AX190)</f>
        <v>221</v>
      </c>
      <c r="AY209" s="482">
        <f ca="1">-(AY188+AY190)</f>
        <v>432</v>
      </c>
      <c r="AZ209" s="21">
        <f t="shared" si="466"/>
        <v>81</v>
      </c>
      <c r="BA209" s="21">
        <f t="shared" ca="1" si="466"/>
        <v>206.56</v>
      </c>
      <c r="BB209" s="21">
        <f t="shared" si="466"/>
        <v>413</v>
      </c>
      <c r="BC209" s="21">
        <f t="shared" si="466"/>
        <v>262.36739999999998</v>
      </c>
      <c r="BD209" s="482">
        <f t="shared" ca="1" si="466"/>
        <v>962.92740000000003</v>
      </c>
      <c r="BE209" s="21">
        <f t="shared" ref="BE209:CV209" si="467">-(BE188+BE190)</f>
        <v>88</v>
      </c>
      <c r="BF209" s="21">
        <f t="shared" si="467"/>
        <v>228</v>
      </c>
      <c r="BG209" s="21">
        <f t="shared" si="467"/>
        <v>79</v>
      </c>
      <c r="BH209" s="21">
        <f t="shared" si="467"/>
        <v>146</v>
      </c>
      <c r="BI209" s="482">
        <f t="shared" si="467"/>
        <v>541</v>
      </c>
      <c r="BJ209" s="21">
        <f t="shared" si="467"/>
        <v>83</v>
      </c>
      <c r="BK209" s="21">
        <f t="shared" si="467"/>
        <v>84</v>
      </c>
      <c r="BL209" s="21">
        <f t="shared" si="467"/>
        <v>83.000392476399995</v>
      </c>
      <c r="BM209" s="21">
        <f t="shared" si="467"/>
        <v>212.99960752359999</v>
      </c>
      <c r="BN209" s="482">
        <f>-(BN188+BN190)</f>
        <v>463</v>
      </c>
      <c r="BO209" s="21">
        <f t="shared" si="467"/>
        <v>223</v>
      </c>
      <c r="BP209" s="21">
        <f t="shared" ca="1" si="467"/>
        <v>91</v>
      </c>
      <c r="BQ209" s="21">
        <f t="shared" ca="1" si="467"/>
        <v>93</v>
      </c>
      <c r="BR209" s="21">
        <f t="shared" ca="1" si="467"/>
        <v>221</v>
      </c>
      <c r="BS209" s="482">
        <f t="shared" si="467"/>
        <v>628</v>
      </c>
      <c r="BT209" s="21">
        <f t="shared" si="467"/>
        <v>103</v>
      </c>
      <c r="BU209" s="21">
        <f t="shared" si="467"/>
        <v>96</v>
      </c>
      <c r="BV209" s="21">
        <f t="shared" si="467"/>
        <v>233</v>
      </c>
      <c r="BW209" s="21">
        <f t="shared" si="467"/>
        <v>387</v>
      </c>
      <c r="BX209" s="482">
        <f t="shared" si="467"/>
        <v>819</v>
      </c>
      <c r="BY209" s="21">
        <f t="shared" si="467"/>
        <v>202</v>
      </c>
      <c r="BZ209" s="21">
        <f t="shared" si="467"/>
        <v>140</v>
      </c>
      <c r="CA209" s="21">
        <f t="shared" si="467"/>
        <v>172</v>
      </c>
      <c r="CB209" s="21">
        <f t="shared" si="467"/>
        <v>138</v>
      </c>
      <c r="CC209" s="482">
        <f t="shared" si="467"/>
        <v>652</v>
      </c>
      <c r="CD209" s="21">
        <f t="shared" si="467"/>
        <v>214</v>
      </c>
      <c r="CE209" s="21">
        <f t="shared" si="467"/>
        <v>175</v>
      </c>
      <c r="CF209" s="21">
        <f t="shared" si="467"/>
        <v>103</v>
      </c>
      <c r="CG209" s="21">
        <f t="shared" si="467"/>
        <v>103</v>
      </c>
      <c r="CH209" s="482">
        <f t="shared" si="467"/>
        <v>595</v>
      </c>
      <c r="CI209" s="21">
        <f t="shared" si="467"/>
        <v>174</v>
      </c>
      <c r="CJ209" s="21">
        <f t="shared" si="467"/>
        <v>113</v>
      </c>
      <c r="CK209" s="21">
        <f t="shared" si="467"/>
        <v>259.89591663510078</v>
      </c>
      <c r="CL209" s="21">
        <f t="shared" si="467"/>
        <v>293.95727519999997</v>
      </c>
      <c r="CM209" s="482">
        <f t="shared" si="467"/>
        <v>840.85319183510069</v>
      </c>
      <c r="CN209" s="21">
        <f t="shared" si="467"/>
        <v>221.44321769999999</v>
      </c>
      <c r="CO209" s="21">
        <f t="shared" si="467"/>
        <v>223.39731926249996</v>
      </c>
      <c r="CP209" s="21">
        <f t="shared" si="467"/>
        <v>225.41347336406244</v>
      </c>
      <c r="CQ209" s="21">
        <f t="shared" si="467"/>
        <v>227.49323131816399</v>
      </c>
      <c r="CR209" s="482">
        <f t="shared" si="467"/>
        <v>897.74724164472627</v>
      </c>
      <c r="CS209" s="21">
        <f t="shared" si="467"/>
        <v>234.64014802111811</v>
      </c>
      <c r="CT209" s="21">
        <f t="shared" si="467"/>
        <v>236.82992372164605</v>
      </c>
      <c r="CU209" s="21">
        <f t="shared" si="467"/>
        <v>239.0881938146872</v>
      </c>
      <c r="CV209" s="21">
        <f t="shared" si="467"/>
        <v>241.41667066005436</v>
      </c>
      <c r="CW209" s="482">
        <f t="shared" ref="CW209:DG209" si="468">-(CW188+CW190)</f>
        <v>951.97493621750573</v>
      </c>
      <c r="CX209" s="21">
        <f t="shared" si="468"/>
        <v>248.73107422655571</v>
      </c>
      <c r="CY209" s="21">
        <f t="shared" si="468"/>
        <v>251.18327396221957</v>
      </c>
      <c r="CZ209" s="21">
        <f t="shared" si="468"/>
        <v>253.71107869127508</v>
      </c>
      <c r="DA209" s="21">
        <f t="shared" si="468"/>
        <v>256.31637853855693</v>
      </c>
      <c r="DB209" s="482">
        <f t="shared" si="468"/>
        <v>1009.9418054186073</v>
      </c>
      <c r="DC209" s="21">
        <f t="shared" si="468"/>
        <v>263.82707568202085</v>
      </c>
      <c r="DD209" s="21">
        <f t="shared" si="468"/>
        <v>266.5712263340713</v>
      </c>
      <c r="DE209" s="21">
        <f t="shared" si="468"/>
        <v>269.39883075242312</v>
      </c>
      <c r="DF209" s="21">
        <f t="shared" si="468"/>
        <v>272.31197528123369</v>
      </c>
      <c r="DG209" s="482">
        <f t="shared" si="468"/>
        <v>1072.109108049749</v>
      </c>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c r="HB209"/>
      <c r="HC209"/>
      <c r="HD209"/>
      <c r="HE209"/>
      <c r="HF209"/>
      <c r="HG209"/>
      <c r="HH209"/>
      <c r="HI209"/>
      <c r="HJ209"/>
      <c r="HK209"/>
      <c r="HL209"/>
      <c r="HM209"/>
      <c r="HN209"/>
      <c r="HO209"/>
      <c r="HP209"/>
      <c r="HQ209"/>
      <c r="HR209"/>
    </row>
    <row r="210" spans="1:226" s="19" customFormat="1" x14ac:dyDescent="0.2">
      <c r="A210" s="80" t="s">
        <v>149</v>
      </c>
      <c r="B210" s="43"/>
      <c r="C210" s="43"/>
      <c r="D210" s="43"/>
      <c r="E210" s="43"/>
      <c r="F210" s="407"/>
      <c r="G210" s="43">
        <f t="shared" ref="G210:AV210" si="469">G209/G205</f>
        <v>1.1358695652173914</v>
      </c>
      <c r="H210" s="43">
        <f t="shared" si="469"/>
        <v>0.38235294117647056</v>
      </c>
      <c r="I210" s="43">
        <f t="shared" si="469"/>
        <v>1.625</v>
      </c>
      <c r="J210" s="43">
        <f t="shared" si="469"/>
        <v>0.6179775280898876</v>
      </c>
      <c r="K210" s="407">
        <f t="shared" si="469"/>
        <v>0.8698140200286123</v>
      </c>
      <c r="L210" s="43">
        <f t="shared" si="469"/>
        <v>1.1402439024390243</v>
      </c>
      <c r="M210" s="43">
        <f t="shared" si="469"/>
        <v>1.4761904761904763</v>
      </c>
      <c r="N210" s="43">
        <f t="shared" si="469"/>
        <v>2.2250000000000001</v>
      </c>
      <c r="O210" s="43">
        <f t="shared" si="469"/>
        <v>0.75303643724696356</v>
      </c>
      <c r="P210" s="407">
        <f t="shared" si="469"/>
        <v>1.1354515050167224</v>
      </c>
      <c r="Q210" s="43">
        <f t="shared" si="469"/>
        <v>2.0297029702970297</v>
      </c>
      <c r="R210" s="43">
        <f t="shared" si="469"/>
        <v>0.89655172413793105</v>
      </c>
      <c r="S210" s="43">
        <f t="shared" si="469"/>
        <v>0.3392857142857143</v>
      </c>
      <c r="T210" s="43">
        <f t="shared" si="469"/>
        <v>0.18095238095238095</v>
      </c>
      <c r="U210" s="407">
        <f t="shared" si="469"/>
        <v>0.61591220850480111</v>
      </c>
      <c r="V210" s="43">
        <f t="shared" si="469"/>
        <v>0.30687830687830686</v>
      </c>
      <c r="W210" s="43">
        <f t="shared" si="469"/>
        <v>13.715189873417721</v>
      </c>
      <c r="X210" s="43">
        <f t="shared" si="469"/>
        <v>1.9259259259259258</v>
      </c>
      <c r="Y210" s="43">
        <f t="shared" si="469"/>
        <v>0.84583333333333333</v>
      </c>
      <c r="Z210" s="407">
        <f t="shared" si="469"/>
        <v>4.0390879478827362</v>
      </c>
      <c r="AA210" s="43">
        <f t="shared" si="469"/>
        <v>-1.375</v>
      </c>
      <c r="AB210" s="43">
        <f t="shared" si="469"/>
        <v>0.91666666666666663</v>
      </c>
      <c r="AC210" s="43">
        <f t="shared" si="469"/>
        <v>0.44444444444444442</v>
      </c>
      <c r="AD210" s="43">
        <f t="shared" si="469"/>
        <v>0.18106995884773663</v>
      </c>
      <c r="AE210" s="407">
        <f t="shared" si="469"/>
        <v>0.90058479532163738</v>
      </c>
      <c r="AF210" s="43">
        <f t="shared" si="469"/>
        <v>0.62745098039215685</v>
      </c>
      <c r="AG210" s="43">
        <f t="shared" si="469"/>
        <v>1.3411764705882352</v>
      </c>
      <c r="AH210" s="43">
        <f t="shared" si="469"/>
        <v>0.3263888888888889</v>
      </c>
      <c r="AI210" s="43">
        <f t="shared" si="469"/>
        <v>0.48917748917748916</v>
      </c>
      <c r="AJ210" s="407">
        <f t="shared" si="469"/>
        <v>0.60142348754448394</v>
      </c>
      <c r="AK210" s="43">
        <f t="shared" si="469"/>
        <v>6.781021897810219</v>
      </c>
      <c r="AL210" s="43">
        <f t="shared" si="469"/>
        <v>0.5436893203883495</v>
      </c>
      <c r="AM210" s="43">
        <f t="shared" si="469"/>
        <v>0.42105263157894735</v>
      </c>
      <c r="AN210" s="43">
        <f t="shared" si="469"/>
        <v>0.29411764705882354</v>
      </c>
      <c r="AO210" s="407">
        <f t="shared" si="469"/>
        <v>1.9571428571428571</v>
      </c>
      <c r="AP210" s="43">
        <f t="shared" si="469"/>
        <v>1.1851851851851851</v>
      </c>
      <c r="AQ210" s="43">
        <f t="shared" si="469"/>
        <v>1.2264150943396226</v>
      </c>
      <c r="AR210" s="43">
        <f t="shared" si="469"/>
        <v>0.35359116022099446</v>
      </c>
      <c r="AS210" s="43">
        <f t="shared" si="469"/>
        <v>0.25691699604743085</v>
      </c>
      <c r="AT210" s="407">
        <f t="shared" si="469"/>
        <v>0.47689463955637706</v>
      </c>
      <c r="AU210" s="43">
        <f t="shared" si="469"/>
        <v>1.1666666666666667</v>
      </c>
      <c r="AV210" s="43">
        <f t="shared" si="469"/>
        <v>0.6454545454545455</v>
      </c>
      <c r="AW210" s="43">
        <f t="shared" ref="AW210:CB210" ca="1" si="470">AW209/AW205</f>
        <v>0.43209876543209874</v>
      </c>
      <c r="AX210" s="43">
        <f t="shared" ca="1" si="470"/>
        <v>0.778169014084507</v>
      </c>
      <c r="AY210" s="407">
        <f t="shared" ca="1" si="470"/>
        <v>0.70129870129870131</v>
      </c>
      <c r="AZ210" s="43">
        <f t="shared" si="470"/>
        <v>0.71052631578947367</v>
      </c>
      <c r="BA210" s="43">
        <f t="shared" ca="1" si="470"/>
        <v>-18.778181818181817</v>
      </c>
      <c r="BB210" s="43">
        <f t="shared" si="470"/>
        <v>2.8095238095238093</v>
      </c>
      <c r="BC210" s="43">
        <f t="shared" ca="1" si="470"/>
        <v>1.0396247692847809</v>
      </c>
      <c r="BD210" s="407">
        <f t="shared" ca="1" si="470"/>
        <v>1.9167792336843514</v>
      </c>
      <c r="BE210" s="43">
        <f t="shared" si="470"/>
        <v>0.93617021276595747</v>
      </c>
      <c r="BF210" s="43">
        <f t="shared" si="470"/>
        <v>-28.5</v>
      </c>
      <c r="BG210" s="43">
        <f t="shared" si="470"/>
        <v>0.6171875</v>
      </c>
      <c r="BH210" s="43">
        <f t="shared" si="470"/>
        <v>0.6517857142857143</v>
      </c>
      <c r="BI210" s="407">
        <f t="shared" si="470"/>
        <v>1.2351598173515981</v>
      </c>
      <c r="BJ210" s="43">
        <f t="shared" si="470"/>
        <v>0.53896103896103897</v>
      </c>
      <c r="BK210" s="43">
        <f t="shared" si="470"/>
        <v>1.2173913043478262</v>
      </c>
      <c r="BL210" s="43">
        <f t="shared" si="470"/>
        <v>0.64844056622187496</v>
      </c>
      <c r="BM210" s="43">
        <f t="shared" si="470"/>
        <v>0.92608525010260867</v>
      </c>
      <c r="BN210" s="407">
        <f>BN209/BN205</f>
        <v>0.79690189328743544</v>
      </c>
      <c r="BO210" s="43">
        <f t="shared" si="470"/>
        <v>1.4768211920529801</v>
      </c>
      <c r="BP210" s="43">
        <f t="shared" ca="1" si="470"/>
        <v>-22.75</v>
      </c>
      <c r="BQ210" s="43">
        <f t="shared" ca="1" si="470"/>
        <v>0.47692307692307695</v>
      </c>
      <c r="BR210" s="43">
        <f t="shared" ca="1" si="470"/>
        <v>0.7466216216216216</v>
      </c>
      <c r="BS210" s="407">
        <f>BS209/BS205</f>
        <v>0.98432601880877746</v>
      </c>
      <c r="BT210" s="43">
        <f t="shared" si="470"/>
        <v>0.48130841121495327</v>
      </c>
      <c r="BU210" s="43">
        <f t="shared" si="470"/>
        <v>32</v>
      </c>
      <c r="BV210" s="43">
        <f t="shared" si="470"/>
        <v>1.1948717948717948</v>
      </c>
      <c r="BW210" s="43">
        <f t="shared" si="470"/>
        <v>1.1483679525222552</v>
      </c>
      <c r="BX210" s="407">
        <f t="shared" si="470"/>
        <v>1.0934579439252337</v>
      </c>
      <c r="BY210" s="43">
        <f t="shared" si="470"/>
        <v>1.6974789915966386</v>
      </c>
      <c r="BZ210" s="43">
        <f t="shared" si="470"/>
        <v>-70</v>
      </c>
      <c r="CA210" s="43">
        <f t="shared" si="470"/>
        <v>0.79262672811059909</v>
      </c>
      <c r="CB210" s="43">
        <f t="shared" si="470"/>
        <v>0.50735294117647056</v>
      </c>
      <c r="CC210" s="407">
        <f>CC209/CC205</f>
        <v>1.0759075907590758</v>
      </c>
      <c r="CD210" s="43">
        <f t="shared" ref="CD210:CW210" si="471">CD209/CD205</f>
        <v>1.927927927927928</v>
      </c>
      <c r="CE210" s="43">
        <f t="shared" si="471"/>
        <v>4.166666666666667</v>
      </c>
      <c r="CF210" s="43">
        <f t="shared" si="471"/>
        <v>0.61309523809523814</v>
      </c>
      <c r="CG210" s="43">
        <f t="shared" si="471"/>
        <v>0.32594936708860761</v>
      </c>
      <c r="CH210" s="407">
        <f t="shared" si="471"/>
        <v>0.93406593406593408</v>
      </c>
      <c r="CI210" s="43">
        <f t="shared" si="471"/>
        <v>0.83253588516746413</v>
      </c>
      <c r="CJ210" s="24">
        <f t="shared" si="471"/>
        <v>4.708333333333333</v>
      </c>
      <c r="CK210" s="43">
        <f t="shared" ca="1" si="471"/>
        <v>1.4907902202271481</v>
      </c>
      <c r="CL210" s="43">
        <f t="shared" ca="1" si="471"/>
        <v>0.98802901336428139</v>
      </c>
      <c r="CM210" s="407">
        <f t="shared" ca="1" si="471"/>
        <v>1.1929479647115933</v>
      </c>
      <c r="CN210" s="43">
        <f t="shared" ca="1" si="471"/>
        <v>0.76449186934471447</v>
      </c>
      <c r="CO210" s="43">
        <f t="shared" ca="1" si="471"/>
        <v>-3.2837902681438789</v>
      </c>
      <c r="CP210" s="43">
        <f t="shared" ca="1" si="471"/>
        <v>1.166144467410011</v>
      </c>
      <c r="CQ210" s="43">
        <f t="shared" ca="1" si="471"/>
        <v>0.74455607280703895</v>
      </c>
      <c r="CR210" s="407">
        <f t="shared" ca="1" si="471"/>
        <v>1.2460568907450966</v>
      </c>
      <c r="CS210" s="43">
        <f t="shared" ca="1" si="471"/>
        <v>0.74914296582537665</v>
      </c>
      <c r="CT210" s="43">
        <f t="shared" ca="1" si="471"/>
        <v>-3.7945104564912739</v>
      </c>
      <c r="CU210" s="43">
        <f t="shared" ca="1" si="471"/>
        <v>1.1706725596652412</v>
      </c>
      <c r="CV210" s="43">
        <f t="shared" ca="1" si="471"/>
        <v>0.75748077947756476</v>
      </c>
      <c r="CW210" s="407">
        <f t="shared" ca="1" si="471"/>
        <v>1.2303565718680995</v>
      </c>
      <c r="CX210" s="43">
        <f t="shared" ref="CX210:DG210" ca="1" si="472">CX209/CX205</f>
        <v>0.78610789681715976</v>
      </c>
      <c r="CY210" s="43">
        <f t="shared" ca="1" si="472"/>
        <v>-4.4774563262811293</v>
      </c>
      <c r="CZ210" s="43">
        <f t="shared" ca="1" si="472"/>
        <v>1.210813262075167</v>
      </c>
      <c r="DA210" s="43">
        <f t="shared" ca="1" si="472"/>
        <v>0.78784116631279599</v>
      </c>
      <c r="DB210" s="407">
        <f t="shared" ca="1" si="472"/>
        <v>1.2700688173660271</v>
      </c>
      <c r="DC210" s="43">
        <f t="shared" ca="1" si="472"/>
        <v>0.78841637298693501</v>
      </c>
      <c r="DD210" s="43">
        <f t="shared" ca="1" si="472"/>
        <v>-5.2714620499248426</v>
      </c>
      <c r="DE210" s="43">
        <f t="shared" ca="1" si="472"/>
        <v>1.258712551159092</v>
      </c>
      <c r="DF210" s="43">
        <f t="shared" ca="1" si="472"/>
        <v>0.82233387863972296</v>
      </c>
      <c r="DG210" s="407">
        <f t="shared" ca="1" si="472"/>
        <v>1.2928925886005682</v>
      </c>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c r="HB210"/>
      <c r="HC210"/>
      <c r="HD210"/>
      <c r="HE210"/>
      <c r="HF210"/>
      <c r="HG210"/>
      <c r="HH210"/>
      <c r="HI210"/>
      <c r="HJ210"/>
      <c r="HK210"/>
      <c r="HL210"/>
      <c r="HM210"/>
      <c r="HN210"/>
      <c r="HO210"/>
      <c r="HP210"/>
      <c r="HQ210"/>
      <c r="HR210"/>
    </row>
    <row r="211" spans="1:226" s="851" customFormat="1" x14ac:dyDescent="0.2">
      <c r="A211" s="850" t="s">
        <v>420</v>
      </c>
      <c r="F211" s="852"/>
      <c r="K211" s="852"/>
      <c r="P211" s="852"/>
      <c r="U211" s="852"/>
      <c r="Z211" s="852"/>
      <c r="AE211" s="852"/>
      <c r="AJ211" s="852"/>
      <c r="AO211" s="852"/>
      <c r="AT211" s="852"/>
      <c r="AY211" s="853"/>
      <c r="BD211" s="853"/>
      <c r="BI211" s="185"/>
      <c r="BJ211" s="43"/>
      <c r="BK211" s="43"/>
      <c r="BL211" s="43"/>
      <c r="BM211" s="43"/>
      <c r="BN211" s="185"/>
      <c r="BO211" s="43"/>
      <c r="BP211" s="43"/>
      <c r="BQ211" s="43"/>
      <c r="BR211" s="43"/>
      <c r="BS211" s="185"/>
      <c r="BT211" s="43"/>
      <c r="BU211" s="43"/>
      <c r="BV211" s="43"/>
      <c r="BW211" s="43"/>
      <c r="BX211" s="185"/>
      <c r="BY211" s="43"/>
      <c r="BZ211" s="43"/>
      <c r="CA211" s="43"/>
      <c r="CB211" s="43"/>
      <c r="CC211" s="185">
        <f>+CC205/CC7</f>
        <v>0.10519007116819996</v>
      </c>
      <c r="CD211" s="43"/>
      <c r="CE211" s="43"/>
      <c r="CF211" s="43"/>
      <c r="CG211" s="43"/>
      <c r="CH211" s="185">
        <f>+CH205/CH7</f>
        <v>0.10664657625983592</v>
      </c>
      <c r="CI211" s="43"/>
      <c r="CJ211" s="43"/>
      <c r="CK211" s="43"/>
      <c r="CL211" s="43"/>
      <c r="CM211" s="185">
        <f ca="1">+CM205/CM7</f>
        <v>0.11444991626951365</v>
      </c>
      <c r="CR211" s="185">
        <f ca="1">+CR205/CR7</f>
        <v>0.11092962019090777</v>
      </c>
      <c r="CW211" s="185">
        <f ca="1">+CW205/CW7</f>
        <v>0.11640182285730979</v>
      </c>
      <c r="DB211" s="185">
        <f ca="1">+DB205/DB7</f>
        <v>0.11687539216856539</v>
      </c>
      <c r="DG211" s="185">
        <f ca="1">+DG205/DG7</f>
        <v>0.11906207036991828</v>
      </c>
      <c r="DJ211"/>
      <c r="DK211"/>
      <c r="DL211"/>
      <c r="DM211"/>
      <c r="DN211"/>
      <c r="DO211"/>
      <c r="DP211" s="854"/>
      <c r="DQ211" s="854"/>
      <c r="DR211" s="854"/>
      <c r="DS211" s="854"/>
      <c r="DT211" s="854"/>
      <c r="DU211" s="854"/>
      <c r="DV211" s="854"/>
      <c r="DW211" s="854"/>
      <c r="DX211" s="854"/>
      <c r="DY211" s="854"/>
      <c r="DZ211" s="854"/>
      <c r="EA211" s="854"/>
      <c r="EB211" s="854"/>
      <c r="EC211" s="854"/>
      <c r="ED211" s="854"/>
      <c r="EE211" s="854"/>
      <c r="EF211" s="854"/>
      <c r="EG211" s="854"/>
      <c r="EH211" s="854"/>
      <c r="EI211" s="854"/>
      <c r="EJ211" s="854"/>
      <c r="EK211" s="854"/>
      <c r="EL211" s="854"/>
      <c r="EM211" s="854"/>
      <c r="EN211" s="854"/>
      <c r="EO211" s="854"/>
      <c r="EP211" s="854"/>
      <c r="EQ211" s="854"/>
      <c r="ER211" s="854"/>
      <c r="ES211" s="854"/>
      <c r="ET211" s="854"/>
      <c r="EU211" s="854"/>
      <c r="EV211" s="854"/>
      <c r="EW211" s="854"/>
      <c r="EX211" s="854"/>
      <c r="EY211" s="854"/>
      <c r="EZ211" s="854"/>
      <c r="FA211" s="854"/>
      <c r="FB211" s="854"/>
      <c r="FC211" s="854"/>
      <c r="FD211" s="854"/>
      <c r="FE211" s="854"/>
      <c r="FF211" s="854"/>
      <c r="FG211" s="854"/>
      <c r="FH211" s="854"/>
      <c r="FI211" s="854"/>
      <c r="FJ211" s="854"/>
      <c r="FK211" s="854"/>
      <c r="FL211" s="854"/>
      <c r="FM211" s="854"/>
      <c r="FN211" s="854"/>
      <c r="FO211" s="854"/>
      <c r="FP211" s="854"/>
      <c r="FQ211" s="854"/>
      <c r="FR211" s="854"/>
      <c r="FS211" s="854"/>
      <c r="FT211" s="854"/>
      <c r="FU211" s="854"/>
      <c r="FV211" s="854"/>
      <c r="FW211" s="854"/>
      <c r="FX211" s="854"/>
      <c r="FY211" s="854"/>
      <c r="FZ211" s="854"/>
      <c r="GA211" s="854"/>
      <c r="GB211" s="854"/>
      <c r="GC211" s="854"/>
      <c r="GD211" s="854"/>
      <c r="GE211" s="854"/>
      <c r="GF211" s="854"/>
      <c r="GG211" s="854"/>
      <c r="GH211" s="854"/>
      <c r="GI211" s="854"/>
      <c r="GJ211" s="854"/>
      <c r="GK211" s="854"/>
      <c r="GL211" s="854"/>
      <c r="GM211" s="854"/>
      <c r="GN211" s="854"/>
      <c r="GO211" s="854"/>
      <c r="GP211" s="854"/>
      <c r="GQ211" s="854"/>
      <c r="GR211" s="854"/>
      <c r="GS211" s="854"/>
      <c r="GT211" s="854"/>
      <c r="GU211" s="854"/>
      <c r="GV211" s="854"/>
      <c r="GW211" s="854"/>
      <c r="GX211" s="854"/>
      <c r="GY211" s="854"/>
      <c r="GZ211" s="854"/>
      <c r="HA211" s="854"/>
      <c r="HB211" s="854"/>
      <c r="HC211" s="854"/>
      <c r="HD211" s="854"/>
      <c r="HE211" s="854"/>
      <c r="HF211" s="854"/>
      <c r="HG211" s="854"/>
      <c r="HH211" s="854"/>
      <c r="HI211" s="854"/>
      <c r="HJ211" s="854"/>
      <c r="HK211" s="854"/>
      <c r="HL211" s="854"/>
      <c r="HM211" s="854"/>
      <c r="HN211" s="854"/>
      <c r="HO211" s="854"/>
      <c r="HP211" s="854"/>
      <c r="HQ211" s="854"/>
      <c r="HR211" s="854"/>
    </row>
    <row r="212" spans="1:226" s="19" customFormat="1" x14ac:dyDescent="0.2">
      <c r="A212" s="79" t="s">
        <v>150</v>
      </c>
      <c r="F212" s="455"/>
      <c r="K212" s="455"/>
      <c r="P212" s="455"/>
      <c r="U212" s="455"/>
      <c r="Z212" s="455"/>
      <c r="AE212" s="455"/>
      <c r="AJ212" s="455"/>
      <c r="AO212" s="455"/>
      <c r="AT212" s="455"/>
      <c r="AY212" s="483"/>
      <c r="AZ212" s="21"/>
      <c r="BA212" s="51"/>
      <c r="BB212" s="51"/>
      <c r="BC212" s="51"/>
      <c r="BD212" s="334"/>
      <c r="BE212" s="51"/>
      <c r="BF212" s="51"/>
      <c r="BG212" s="51"/>
      <c r="BH212" s="51"/>
      <c r="BI212" s="334"/>
      <c r="BJ212" s="51"/>
      <c r="BK212" s="51"/>
      <c r="BL212" s="51"/>
      <c r="BM212" s="51"/>
      <c r="BN212" s="334"/>
      <c r="BO212" s="51"/>
      <c r="BP212" s="51"/>
      <c r="BQ212" s="51"/>
      <c r="BR212" s="51"/>
      <c r="BS212" s="334"/>
      <c r="BT212" s="51"/>
      <c r="BU212" s="51"/>
      <c r="BV212" s="51"/>
      <c r="BW212" s="51"/>
      <c r="BX212" s="334"/>
      <c r="BY212" s="51"/>
      <c r="BZ212" s="51"/>
      <c r="CA212" s="51"/>
      <c r="CB212" s="51"/>
      <c r="CC212" s="334"/>
      <c r="CD212" s="51"/>
      <c r="CE212" s="51"/>
      <c r="CF212" s="51"/>
      <c r="CG212" s="51"/>
      <c r="CH212" s="334"/>
      <c r="CI212" s="51"/>
      <c r="CJ212" s="51"/>
      <c r="CK212" s="51"/>
      <c r="CL212" s="51"/>
      <c r="CM212" s="334"/>
      <c r="CN212" s="51"/>
      <c r="CO212" s="51"/>
      <c r="CP212" s="51"/>
      <c r="CQ212" s="51"/>
      <c r="CR212" s="334"/>
      <c r="CS212" s="51"/>
      <c r="CT212" s="51"/>
      <c r="CU212" s="51"/>
      <c r="CV212" s="51"/>
      <c r="CW212" s="334"/>
      <c r="CX212" s="51"/>
      <c r="CY212" s="51"/>
      <c r="CZ212" s="51"/>
      <c r="DA212" s="51"/>
      <c r="DB212" s="334"/>
      <c r="DC212" s="51"/>
      <c r="DD212" s="51"/>
      <c r="DE212" s="51"/>
      <c r="DF212" s="51"/>
      <c r="DG212" s="334"/>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c r="HB212"/>
      <c r="HC212"/>
      <c r="HD212"/>
      <c r="HE212"/>
      <c r="HF212"/>
      <c r="HG212"/>
      <c r="HH212"/>
      <c r="HI212"/>
      <c r="HJ212"/>
      <c r="HK212"/>
      <c r="HL212"/>
      <c r="HM212"/>
      <c r="HN212"/>
      <c r="HO212"/>
      <c r="HP212"/>
      <c r="HQ212"/>
      <c r="HR212"/>
    </row>
    <row r="213" spans="1:226" s="19" customFormat="1" x14ac:dyDescent="0.2">
      <c r="A213" s="80" t="s">
        <v>151</v>
      </c>
      <c r="B213" s="130"/>
      <c r="C213" s="130"/>
      <c r="D213" s="130"/>
      <c r="E213" s="130"/>
      <c r="F213" s="462"/>
      <c r="G213" s="130">
        <f>(AVERAGE(F133:G133)/G7)*365/4</f>
        <v>44.697662601626014</v>
      </c>
      <c r="H213" s="130">
        <f>(AVERAGE(G133:H133)/H7)*365/4</f>
        <v>43.773252536640356</v>
      </c>
      <c r="I213" s="130">
        <f>(AVERAGE(H133:I133)/I7)*365/4</f>
        <v>40.050097751710652</v>
      </c>
      <c r="J213" s="130">
        <f>(AVERAGE(I133:J133)/J7)*365/4</f>
        <v>39.557845744680854</v>
      </c>
      <c r="K213" s="462">
        <f>(AVERAGE(F133:J133)/K7)*365</f>
        <v>42.525857782197917</v>
      </c>
      <c r="L213" s="130">
        <f>(AVERAGE(K133:L133)/L7)*365/4</f>
        <v>37.083930276981853</v>
      </c>
      <c r="M213" s="130">
        <f>(AVERAGE(L133:M133)/M7)*365/4</f>
        <v>34.341927645788338</v>
      </c>
      <c r="N213" s="130">
        <f>(AVERAGE(M133:N133)/N7)*365/4</f>
        <v>35.147816486751715</v>
      </c>
      <c r="O213" s="130">
        <f>(AVERAGE(N133:O133)/O7)*365/4</f>
        <v>36.476236979166664</v>
      </c>
      <c r="P213" s="462">
        <f>(AVERAGE(K133:O133)/P7)*365</f>
        <v>36.975627413127413</v>
      </c>
      <c r="Q213" s="130">
        <f>(AVERAGE(P133:Q133)/Q7)*365/4</f>
        <v>38.187127236580515</v>
      </c>
      <c r="R213" s="130">
        <f>(AVERAGE(Q133:R133)/R7)*365/4</f>
        <v>35.904891304347828</v>
      </c>
      <c r="S213" s="130">
        <f>(AVERAGE(R133:S133)/S7)*365/4</f>
        <v>34.251308277830638</v>
      </c>
      <c r="T213" s="130">
        <f>(AVERAGE(S133:T133)/T7)*365/4</f>
        <v>34.805907172995781</v>
      </c>
      <c r="U213" s="462">
        <f>(AVERAGE(P133:T133)/U7)*365</f>
        <v>36.675396444017295</v>
      </c>
      <c r="V213" s="130">
        <f>(AVERAGE(U133:V133)/V7)*365/4</f>
        <v>36.787333015267173</v>
      </c>
      <c r="W213" s="130">
        <f>(AVERAGE(V133:W133)/W7)*365/4</f>
        <v>33.716875000000002</v>
      </c>
      <c r="X213" s="130">
        <f>(AVERAGE(W133:X133)/X7)*365/4</f>
        <v>31.719037753222835</v>
      </c>
      <c r="Y213" s="130">
        <f>(AVERAGE(X133:Y133)/Y7)*365/4</f>
        <v>29.54346092503987</v>
      </c>
      <c r="Z213" s="462">
        <f>(AVERAGE(U133:Y133)/Z7)*365</f>
        <v>33.455560619872379</v>
      </c>
      <c r="AA213" s="130">
        <f>(AVERAGE(Z133:AA133)/AA7)*365/4</f>
        <v>31.945765398550723</v>
      </c>
      <c r="AB213" s="130">
        <f>(AVERAGE(AA133:AB133)/AB7)*365/4</f>
        <v>31.688792293233082</v>
      </c>
      <c r="AC213" s="130">
        <f>(AVERAGE(AB133:AC133)/AC7)*365/4</f>
        <v>30.088050993949871</v>
      </c>
      <c r="AD213" s="130">
        <f>(AVERAGE(AC133:AD133)/AD7)*365/4</f>
        <v>28.398881728582261</v>
      </c>
      <c r="AE213" s="462">
        <f>(AVERAGE(Z133:AD133)/AE7)*365</f>
        <v>30.982558139534881</v>
      </c>
      <c r="AF213" s="130">
        <f>(AVERAGE(AE133:AF133)/AF7)*365/4</f>
        <v>31.792097329888026</v>
      </c>
      <c r="AG213" s="130">
        <f>(AVERAGE(AF133:AG133)/AG7)*365/4</f>
        <v>31.784173478655767</v>
      </c>
      <c r="AH213" s="130">
        <f>(AVERAGE(AG133:AH133)/AH7)*365/4</f>
        <v>30.110294117647058</v>
      </c>
      <c r="AI213" s="130">
        <f>(AVERAGE(AH133:AI133)/AI7)*365/4</f>
        <v>30.07719494047619</v>
      </c>
      <c r="AJ213" s="462">
        <f>(AVERAGE(AE133:AI133)/AJ7)*365</f>
        <v>31.447080668454714</v>
      </c>
      <c r="AK213" s="130">
        <f>(AVERAGE(AJ133:AK133)/AK7)*365/4</f>
        <v>31.96327683615819</v>
      </c>
      <c r="AL213" s="130">
        <f>(AVERAGE(AK133:AL133)/AL7)*365/4</f>
        <v>30.968064924114671</v>
      </c>
      <c r="AM213" s="130">
        <f>(AVERAGE(AL133:AM133)/AM7)*365/4</f>
        <v>28.764320029563933</v>
      </c>
      <c r="AN213" s="130">
        <f>(AVERAGE(AM133:AN133)/AN7)*365/4</f>
        <v>29.328177257525084</v>
      </c>
      <c r="AO213" s="462">
        <f>(AVERAGE(AJ133:AN133)/AO7)*365</f>
        <v>30.816992224540112</v>
      </c>
      <c r="AP213" s="130">
        <f>(AVERAGE(AO133:AP133)/AP7)*365/4</f>
        <v>31.647398843930635</v>
      </c>
      <c r="AQ213" s="130">
        <f>(AVERAGE(AP133:AQ133)/AQ7)*365/4</f>
        <v>32.41776315789474</v>
      </c>
      <c r="AR213" s="130">
        <f>(AVERAGE(AQ133:AR133)/AR7)*365/4</f>
        <v>29.267592592592589</v>
      </c>
      <c r="AS213" s="130">
        <f>(AVERAGE(AR133:AS133)/AS7)*365/4</f>
        <v>28.682916666666667</v>
      </c>
      <c r="AT213" s="462">
        <f>(AVERAGE(AO133:AS133)/AT7)*365</f>
        <v>30.968073394495413</v>
      </c>
      <c r="AU213" s="130">
        <f>(AVERAGE(AT133:AU133)/AU7)*365/4</f>
        <v>33.054489639293941</v>
      </c>
      <c r="AV213" s="130">
        <f>(AVERAGE(AU133:AV133)/AV7)*365/4</f>
        <v>33.082818930041149</v>
      </c>
      <c r="AW213" s="130">
        <f>(AVERAGE(AV133:AW133)/AW7)*365/4</f>
        <v>34.706196581196579</v>
      </c>
      <c r="AX213" s="130">
        <f>(AVERAGE(AW133:AX133)/AX7)*365/4</f>
        <v>35.12071378586424</v>
      </c>
      <c r="AY213" s="462">
        <f>(AVERAGE(AT133:AX133)/AY7)*365</f>
        <v>34.407909820405045</v>
      </c>
      <c r="AZ213" s="130">
        <f>(AVERAGE(AY133:AZ133)/AZ7)*365/4</f>
        <v>36.903633491311219</v>
      </c>
      <c r="BA213" s="130">
        <f>(AVERAGE(AZ133:BA133)/BA7)*365/4</f>
        <v>35.602205258693807</v>
      </c>
      <c r="BB213" s="130">
        <f>(AVERAGE(BA133:BB133)/BB7)*365/4</f>
        <v>32.854198619631902</v>
      </c>
      <c r="BC213" s="130">
        <f>(AVERAGE(BB133:BC133)/BC7)*365/4</f>
        <v>31.524966261808366</v>
      </c>
      <c r="BD213" s="462">
        <f>(AVERAGE(AY133:BC133)/BD7)*365</f>
        <v>34.720703498375073</v>
      </c>
      <c r="BE213" s="130">
        <f>(AVERAGE(BD133:BE133)/BE7)*365/4</f>
        <v>33.703065134099617</v>
      </c>
      <c r="BF213" s="577">
        <f>(AVERAGE(BE133:BF133)/BF7)*365/4</f>
        <v>34.676494676494677</v>
      </c>
      <c r="BG213" s="130">
        <f>(AVERAGE(BF133:BG133)/BG7)*365/4</f>
        <v>34.0640613847252</v>
      </c>
      <c r="BH213" s="130">
        <f>(AVERAGE(BG133:BH133)/BH7)*365/4</f>
        <v>33.545181700194682</v>
      </c>
      <c r="BI213" s="462">
        <f>(AVERAGE(BD133:BH133)/BI7)*365</f>
        <v>34.524140453547922</v>
      </c>
      <c r="BJ213" s="130">
        <f>(AVERAGE(BI133:BJ133)/BJ7)*365/4</f>
        <v>36.793254857997006</v>
      </c>
      <c r="BK213" s="130">
        <f>(AVERAGE(BJ133:BK133)/BK7)*365/4</f>
        <v>34.916037735849052</v>
      </c>
      <c r="BL213" s="130">
        <f>(AVERAGE(BK133:BL133)/BL7)*365/4</f>
        <v>34.646585279547061</v>
      </c>
      <c r="BM213" s="130">
        <f>(AVERAGE(BL133:BM133)/BM7)*365/4</f>
        <v>33.680510665804782</v>
      </c>
      <c r="BN213" s="462">
        <f>(AVERAGE(BI133:BM133)/BN7)*365</f>
        <v>35.467899697670283</v>
      </c>
      <c r="BO213" s="130">
        <f>(AVERAGE(BN133:BO133)/BO7)*365/4</f>
        <v>36.894080416976912</v>
      </c>
      <c r="BP213" s="130">
        <f>(AVERAGE(BO133:BP133)/BP7)*365/4</f>
        <v>35.055905963302756</v>
      </c>
      <c r="BQ213" s="130">
        <f>(AVERAGE(BP133:BQ133)/BQ7)*365/4</f>
        <v>35.070461200585655</v>
      </c>
      <c r="BR213" s="130">
        <f>(AVERAGE(BQ133:BR133)/BR7)*365/4</f>
        <v>33.433951235804948</v>
      </c>
      <c r="BS213" s="462">
        <f>(AVERAGE(BN133:BR133)/BS7)*365</f>
        <v>35.507072905331881</v>
      </c>
      <c r="BT213" s="130">
        <f>(AVERAGE(BS133:BT133)/BT7)*365/4</f>
        <v>33.78004807692308</v>
      </c>
      <c r="BU213" s="130">
        <f>(AVERAGE(BT133:BU133)/BU7)*365/4</f>
        <v>31.479553903345725</v>
      </c>
      <c r="BV213" s="130">
        <f>(AVERAGE(BU133:BV133)/BV7)*365/4</f>
        <v>32.598590292648112</v>
      </c>
      <c r="BW213" s="130">
        <f>(AVERAGE(BV133:BW133)/BW7)*365/4</f>
        <v>30.680394990366089</v>
      </c>
      <c r="BX213" s="462">
        <f>(AVERAGE(BS133:BW133)/BX7)*365</f>
        <v>32.543412908930151</v>
      </c>
      <c r="BY213" s="130">
        <f>(AVERAGE(BX133:BY133)/BY7)*365/4</f>
        <v>32.528327338129493</v>
      </c>
      <c r="BZ213" s="130">
        <f>(AVERAGE(BY133:BZ133)/BZ7)*365/4</f>
        <v>32.090148698884754</v>
      </c>
      <c r="CA213" s="130">
        <f>(AVERAGE(BZ133:CA133)/CA7)*365/4</f>
        <v>32.123071528751758</v>
      </c>
      <c r="CB213" s="130">
        <f>(AVERAGE(CA133:CB133)/CB7)*365/4</f>
        <v>31.338671874999999</v>
      </c>
      <c r="CC213" s="462">
        <f>(AVERAGE(BX133:CB133)/CC7)*365</f>
        <v>32.489498350980725</v>
      </c>
      <c r="CD213" s="130">
        <f>(AVERAGE(CC133:CD133)/CD7)*365/4</f>
        <v>33.610100485100482</v>
      </c>
      <c r="CE213" s="130">
        <f>(AVERAGE(CD133:CE133)/CE7)*365/4</f>
        <v>32.709815078236133</v>
      </c>
      <c r="CF213" s="130">
        <f>(AVERAGE(CE133:CF133)/CF7)*365/4</f>
        <v>33.423324306025727</v>
      </c>
      <c r="CG213" s="130">
        <f>(AVERAGE(CF133:CG133)/CG7)*365/4</f>
        <v>31.386232544019432</v>
      </c>
      <c r="CH213" s="462">
        <f>(AVERAGE(CC133:CG133)/CH7)*365</f>
        <v>33.120709861041355</v>
      </c>
      <c r="CI213" s="130">
        <f>(AVERAGE(CH133:CI133)/CI7)*365/4</f>
        <v>33.336666666666666</v>
      </c>
      <c r="CJ213" s="130">
        <f>(AVERAGE(CI133:CJ133)/CJ7)*365/4</f>
        <v>34.379855225988699</v>
      </c>
      <c r="CK213" s="130">
        <f>(AVERAGE(CJ133:CK133)/CK7)*365/4</f>
        <v>35.531653878749609</v>
      </c>
      <c r="CL213" s="130">
        <f ca="1">(AVERAGE(CK133:CL133)/CL7)*365/4</f>
        <v>34.425799176547777</v>
      </c>
      <c r="CM213" s="462">
        <f ca="1">(AVERAGE(CH133:CL133)/CM7)*365</f>
        <v>34.811981728800866</v>
      </c>
      <c r="CN213" s="130">
        <f ca="1">(AVERAGE(CM133:CN133)/CN7)*365/4</f>
        <v>36.151353919575328</v>
      </c>
      <c r="CO213" s="130">
        <f>(AVERAGE(CN133:CO133)/CO7)*365/4</f>
        <v>36.03547377537005</v>
      </c>
      <c r="CP213" s="130">
        <f>(AVERAGE(CO133:CP133)/CP7)*365/4</f>
        <v>37.291796857152029</v>
      </c>
      <c r="CQ213" s="130">
        <f ca="1">(AVERAGE(CP133:CQ133)/CQ7)*365/4</f>
        <v>36.826528308847138</v>
      </c>
      <c r="CR213" s="462">
        <f ca="1">(AVERAGE(CM133:CQ133)/CR7)*365</f>
        <v>37.029329361040681</v>
      </c>
      <c r="CS213" s="130">
        <f ca="1">(AVERAGE(CR133:CS133)/CS7)*365/4</f>
        <v>38.172949290862135</v>
      </c>
      <c r="CT213" s="130">
        <f>(AVERAGE(CS133:CT133)/CT7)*365/4</f>
        <v>37.892835350685388</v>
      </c>
      <c r="CU213" s="130">
        <f>(AVERAGE(CT133:CU133)/CU7)*365/4</f>
        <v>39.066677220468542</v>
      </c>
      <c r="CV213" s="130">
        <f ca="1">(AVERAGE(CU133:CV133)/CV7)*365/4</f>
        <v>38.581451779279774</v>
      </c>
      <c r="CW213" s="462">
        <f ca="1">(AVERAGE(CR133:CV133)/CW7)*365</f>
        <v>38.922326888617256</v>
      </c>
      <c r="CX213" s="130">
        <f ca="1">(AVERAGE(CW133:CX133)/CX7)*365/4</f>
        <v>40.071871924039286</v>
      </c>
      <c r="CY213" s="130">
        <f>(AVERAGE(CX133:CY133)/CY7)*365/4</f>
        <v>39.749062062174289</v>
      </c>
      <c r="CZ213" s="130">
        <f>(AVERAGE(CY133:CZ133)/CZ7)*365/4</f>
        <v>40.842458952306771</v>
      </c>
      <c r="DA213" s="130">
        <f ca="1">(AVERAGE(CZ133:DA133)/DA7)*365/4</f>
        <v>40.337558266509596</v>
      </c>
      <c r="DB213" s="462">
        <f ca="1">(AVERAGE(CW133:DA133)/DB7)*365</f>
        <v>40.767483343454153</v>
      </c>
      <c r="DC213" s="130">
        <f ca="1">(AVERAGE(DB133:DC133)/DC7)*365/4</f>
        <v>41.969318327079748</v>
      </c>
      <c r="DD213" s="130">
        <f>(AVERAGE(DC133:DD133)/DD7)*365/4</f>
        <v>41.604134305423884</v>
      </c>
      <c r="DE213" s="130">
        <f>(AVERAGE(DD133:DE133)/DE7)*365/4</f>
        <v>42.619149356748785</v>
      </c>
      <c r="DF213" s="130">
        <f ca="1">(AVERAGE(DE133:DF133)/DF7)*365/4</f>
        <v>42.094855183268798</v>
      </c>
      <c r="DG213" s="462">
        <f ca="1">(AVERAGE(DB133:DF133)/DG7)*365</f>
        <v>42.612070640294981</v>
      </c>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c r="HB213"/>
      <c r="HC213"/>
      <c r="HD213"/>
      <c r="HE213"/>
      <c r="HF213"/>
      <c r="HG213"/>
      <c r="HH213"/>
      <c r="HI213"/>
      <c r="HJ213"/>
      <c r="HK213"/>
      <c r="HL213"/>
      <c r="HM213"/>
      <c r="HN213"/>
      <c r="HO213"/>
      <c r="HP213"/>
      <c r="HQ213"/>
      <c r="HR213"/>
    </row>
    <row r="214" spans="1:226" s="19" customFormat="1" x14ac:dyDescent="0.2">
      <c r="A214" s="80" t="s">
        <v>152</v>
      </c>
      <c r="B214" s="43"/>
      <c r="C214" s="43"/>
      <c r="D214" s="43"/>
      <c r="E214" s="43"/>
      <c r="F214" s="407"/>
      <c r="G214" s="43">
        <f>G133/G7/4</f>
        <v>0.11432926829268293</v>
      </c>
      <c r="H214" s="43">
        <f>H133/H7/4</f>
        <v>0.11302142051860203</v>
      </c>
      <c r="I214" s="43">
        <f>I133/I7/4</f>
        <v>0.12145650048875856</v>
      </c>
      <c r="J214" s="43">
        <f>J133/J7/4</f>
        <v>0.10660460992907801</v>
      </c>
      <c r="K214" s="407">
        <f>AVERAGE(F133:J133)/K7</f>
        <v>0.11650919940328196</v>
      </c>
      <c r="L214" s="43">
        <f>L133/L7/4</f>
        <v>8.8347659980897802E-2</v>
      </c>
      <c r="M214" s="43">
        <f>M133/M7/4</f>
        <v>8.8282937365010805E-2</v>
      </c>
      <c r="N214" s="43">
        <f>N133/N7/4</f>
        <v>0.11236506378802748</v>
      </c>
      <c r="O214" s="43">
        <f>O133/O7/4</f>
        <v>0.10047743055555555</v>
      </c>
      <c r="P214" s="407">
        <f>AVERAGE(K133:O133)/P7</f>
        <v>0.1013030888030888</v>
      </c>
      <c r="Q214" s="43">
        <f>Q133/Q7/4</f>
        <v>9.4184890656063613E-2</v>
      </c>
      <c r="R214" s="43">
        <f>R133/R7/4</f>
        <v>9.375E-2</v>
      </c>
      <c r="S214" s="43">
        <f>S133/S7/4</f>
        <v>0.10561370123691723</v>
      </c>
      <c r="T214" s="43">
        <f>T133/T7/4</f>
        <v>9.7046413502109699E-2</v>
      </c>
      <c r="U214" s="407">
        <f>AVERAGE(P133:T133)/U7</f>
        <v>0.10048053820278711</v>
      </c>
      <c r="V214" s="43">
        <f>V133/V7/4</f>
        <v>9.1841603053435111E-2</v>
      </c>
      <c r="W214" s="43">
        <f>W133/W7/4</f>
        <v>8.8499999999999995E-2</v>
      </c>
      <c r="X214" s="43">
        <f>X133/X7/4</f>
        <v>9.2311233885819521E-2</v>
      </c>
      <c r="Y214" s="43">
        <f>Y133/Y7/4</f>
        <v>8.1937799043062198E-2</v>
      </c>
      <c r="Z214" s="407">
        <f>AVERAGE(U133:Y133)/Z7</f>
        <v>9.1659070191431172E-2</v>
      </c>
      <c r="AA214" s="43">
        <f>AA133/AA7/4</f>
        <v>8.1974637681159424E-2</v>
      </c>
      <c r="AB214" s="43">
        <f>AB133/AB7/4</f>
        <v>8.8580827067669177E-2</v>
      </c>
      <c r="AC214" s="43">
        <f>AC133/AC7/4</f>
        <v>8.3405358686257564E-2</v>
      </c>
      <c r="AD214" s="43">
        <f>AD133/AD7/4</f>
        <v>8.2448824867323731E-2</v>
      </c>
      <c r="AE214" s="407">
        <f>AVERAGE(Z133:AD133)/AE7</f>
        <v>8.4883720930232553E-2</v>
      </c>
      <c r="AF214" s="43">
        <f>AF133/AF7/4</f>
        <v>8.0534022394487509E-2</v>
      </c>
      <c r="AG214" s="43">
        <f>AG133/AG7/4</f>
        <v>8.9237057220708446E-2</v>
      </c>
      <c r="AH214" s="43">
        <f>AH133/AH7/4</f>
        <v>8.5817888799355355E-2</v>
      </c>
      <c r="AI214" s="43">
        <f>AI133/AI7/4</f>
        <v>8.5565476190476192E-2</v>
      </c>
      <c r="AJ214" s="407">
        <f>AVERAGE(AE133:AI133)/AJ7</f>
        <v>8.6156385393026613E-2</v>
      </c>
      <c r="AK214" s="43">
        <f>AK133/AK7/4</f>
        <v>8.2324455205811137E-2</v>
      </c>
      <c r="AL214" s="43">
        <f>AL133/AL7/4</f>
        <v>8.3684654300168637E-2</v>
      </c>
      <c r="AM214" s="43">
        <f>AM133/AM7/4</f>
        <v>8.4257206208425722E-2</v>
      </c>
      <c r="AN214" s="43">
        <f>AN133/AN7/4</f>
        <v>8.4448160535117056E-2</v>
      </c>
      <c r="AO214" s="407">
        <f>AVERAGE(AJ133:AN133)/AO7</f>
        <v>8.4430115683671536E-2</v>
      </c>
      <c r="AP214" s="43">
        <f>AP133/AP7/4</f>
        <v>8.2189306358381509E-2</v>
      </c>
      <c r="AQ214" s="43">
        <f>AQ133/AQ7/4</f>
        <v>8.4087171052631582E-2</v>
      </c>
      <c r="AR214" s="43">
        <f>AR133/AR7/4</f>
        <v>8.4629629629629624E-2</v>
      </c>
      <c r="AS214" s="43">
        <f>AS133/AS7/4</f>
        <v>8.1000000000000003E-2</v>
      </c>
      <c r="AT214" s="407">
        <f>AVERAGE(AO133:AS133)/AT7</f>
        <v>8.4844036697247702E-2</v>
      </c>
      <c r="AU214" s="43">
        <f>AU133/AU7/4</f>
        <v>8.7874136607828085E-2</v>
      </c>
      <c r="AV214" s="43">
        <f>AV133/AV7/4</f>
        <v>8.7037037037037038E-2</v>
      </c>
      <c r="AW214" s="43">
        <f>AW133/AW7/4</f>
        <v>0.108003108003108</v>
      </c>
      <c r="AX214" s="43">
        <f>AX133/AX7/4</f>
        <v>9.5171448565430375E-2</v>
      </c>
      <c r="AY214" s="407">
        <f>AVERAGE(AT133:AX133)/AY7</f>
        <v>9.4268246083301491E-2</v>
      </c>
      <c r="AZ214" s="43">
        <f>AZ133/AZ7/4</f>
        <v>9.4786729857819899E-2</v>
      </c>
      <c r="BA214" s="43">
        <f>BA133/BA7/4</f>
        <v>9.3299406276505514E-2</v>
      </c>
      <c r="BB214" s="43">
        <f>BB133/BB7/4</f>
        <v>9.5667177914110432E-2</v>
      </c>
      <c r="BC214" s="43">
        <f>BC133/BC7/4</f>
        <v>8.856275303643725E-2</v>
      </c>
      <c r="BD214" s="407">
        <f>AVERAGE(AY133:BC133)/BD7</f>
        <v>9.5125215064041299E-2</v>
      </c>
      <c r="BE214" s="43">
        <f>BE133/BE7/4</f>
        <v>8.4099616858237553E-2</v>
      </c>
      <c r="BF214" s="622">
        <f>BF133/BF7/4</f>
        <v>0.10012285012285012</v>
      </c>
      <c r="BG214" s="622">
        <f>BG133/BG7/4</f>
        <v>9.9393290506780876E-2</v>
      </c>
      <c r="BH214" s="622">
        <f>BH133/BH7/4</f>
        <v>9.3445814406229719E-2</v>
      </c>
      <c r="BI214" s="407">
        <f>AVERAGE(BD133:BH133)/BI7</f>
        <v>9.4586686174103887E-2</v>
      </c>
      <c r="BJ214" s="43">
        <f>BJ133/BJ7/4</f>
        <v>9.3983557548579968E-2</v>
      </c>
      <c r="BK214" s="43">
        <f>BK133/BK7/4</f>
        <v>9.6415094339622642E-2</v>
      </c>
      <c r="BL214" s="43">
        <f>BL133/BL7/4</f>
        <v>9.9433828733191787E-2</v>
      </c>
      <c r="BM214" s="43">
        <f>BM133/BM7/4</f>
        <v>9.3729799612152553E-2</v>
      </c>
      <c r="BN214" s="407">
        <f>AVERAGE(BI133:BM133)/BN7</f>
        <v>9.7172327938822689E-2</v>
      </c>
      <c r="BO214" s="43">
        <f>BO133/BO7/4</f>
        <v>9.4192107222635893E-2</v>
      </c>
      <c r="BP214" s="43">
        <f>BP133/BP7/4</f>
        <v>9.5374617737003065E-2</v>
      </c>
      <c r="BQ214" s="43">
        <f>BQ133/BQ7/4</f>
        <v>0.10084187408491947</v>
      </c>
      <c r="BR214" s="43">
        <f>BR133/BR7/4</f>
        <v>9.1182364729458912E-2</v>
      </c>
      <c r="BS214" s="407">
        <f>AVERAGE(BN133:BR133)/BS7</f>
        <v>9.7279651795429814E-2</v>
      </c>
      <c r="BT214" s="43">
        <f>BT133/BT7/4</f>
        <v>8.4134615384615391E-2</v>
      </c>
      <c r="BU214" s="43">
        <f>BU133/BU7/4</f>
        <v>8.7918215613382894E-2</v>
      </c>
      <c r="BV214" s="43">
        <f>BV133/BV7/4</f>
        <v>9.421841541755889E-2</v>
      </c>
      <c r="BW214" s="43">
        <f>BW133/BW7/4</f>
        <v>8.3333333333333329E-2</v>
      </c>
      <c r="BX214" s="407">
        <f>AVERAGE(BS133:BW133)/BX7</f>
        <v>8.9160035366931914E-2</v>
      </c>
      <c r="BY214" s="43">
        <f>BY133/BY7/4</f>
        <v>8.4892086330935257E-2</v>
      </c>
      <c r="BZ214" s="43">
        <f>BZ133/BZ7/4</f>
        <v>8.8104089219330856E-2</v>
      </c>
      <c r="CA214" s="43">
        <f>CA133/CA7/4</f>
        <v>9.2917251051893412E-2</v>
      </c>
      <c r="CB214" s="43">
        <f>CB133/CB7/4</f>
        <v>8.8906250000000006E-2</v>
      </c>
      <c r="CC214" s="407">
        <f>AVERAGE(BX133:CB133)/CC7</f>
        <v>8.9012324249262267E-2</v>
      </c>
      <c r="CD214" s="43">
        <f>CD133/CD7/4</f>
        <v>8.5585585585585586E-2</v>
      </c>
      <c r="CE214" s="43">
        <f>CE133/CE7/4</f>
        <v>9.1394025604551926E-2</v>
      </c>
      <c r="CF214" s="43">
        <f>CF133/CF7/4</f>
        <v>9.6140825998645901E-2</v>
      </c>
      <c r="CG214" s="43">
        <f>CG133/CG7/4</f>
        <v>8.5761991499696419E-2</v>
      </c>
      <c r="CH214" s="407">
        <f>AVERAGE(CC133:CG133)/CH7</f>
        <v>9.0741670852168096E-2</v>
      </c>
      <c r="CI214" s="43">
        <f>CI133/CI7/4</f>
        <v>8.8499999999999995E-2</v>
      </c>
      <c r="CJ214" s="43">
        <f>CJ133/CJ7/4</f>
        <v>9.4632768361581923E-2</v>
      </c>
      <c r="CK214" s="134">
        <f>CF214+0.01</f>
        <v>0.1061408259986459</v>
      </c>
      <c r="CL214" s="134">
        <f t="shared" ref="CL214:CL215" si="473">CG214+0.01</f>
        <v>9.5761991499696414E-2</v>
      </c>
      <c r="CM214" s="407">
        <f ca="1">AVERAGE(CH133:CL133)/CM7</f>
        <v>9.5375292407673604E-2</v>
      </c>
      <c r="CN214" s="134">
        <f>CI214+0.005</f>
        <v>9.35E-2</v>
      </c>
      <c r="CO214" s="134">
        <f t="shared" ref="CO214:CQ215" si="474">CJ214+0.005</f>
        <v>9.9632768361581928E-2</v>
      </c>
      <c r="CP214" s="134">
        <f t="shared" si="474"/>
        <v>0.1111408259986459</v>
      </c>
      <c r="CQ214" s="134">
        <f t="shared" si="474"/>
        <v>0.10076199149969642</v>
      </c>
      <c r="CR214" s="407">
        <f ca="1">AVERAGE(CM133:CQ133)/CR7</f>
        <v>0.1014502174275087</v>
      </c>
      <c r="CS214" s="134">
        <f>CN214+0.005</f>
        <v>9.8500000000000004E-2</v>
      </c>
      <c r="CT214" s="134">
        <f t="shared" ref="CT214:CV215" si="475">CO214+0.005</f>
        <v>0.10463276836158193</v>
      </c>
      <c r="CU214" s="134">
        <f t="shared" si="475"/>
        <v>0.11614082599864591</v>
      </c>
      <c r="CV214" s="134">
        <f t="shared" si="475"/>
        <v>0.10576199149969642</v>
      </c>
      <c r="CW214" s="407">
        <f ca="1">AVERAGE(CR133:CV133)/CW7</f>
        <v>0.10663651202360892</v>
      </c>
      <c r="CX214" s="134">
        <f>CS214+0.005</f>
        <v>0.10350000000000001</v>
      </c>
      <c r="CY214" s="134">
        <f t="shared" ref="CY214:CY215" si="476">CT214+0.005</f>
        <v>0.10963276836158194</v>
      </c>
      <c r="CZ214" s="134">
        <f t="shared" ref="CZ214:CZ215" si="477">CU214+0.005</f>
        <v>0.12114082599864591</v>
      </c>
      <c r="DA214" s="134">
        <f t="shared" ref="DA214:DA215" si="478">CV214+0.005</f>
        <v>0.11076199149969643</v>
      </c>
      <c r="DB214" s="407">
        <f ca="1">AVERAGE(CW133:DA133)/DB7</f>
        <v>0.11169173518754562</v>
      </c>
      <c r="DC214" s="134">
        <f>CX214+0.005</f>
        <v>0.10850000000000001</v>
      </c>
      <c r="DD214" s="134">
        <f t="shared" ref="DD214:DD215" si="479">CY214+0.005</f>
        <v>0.11463276836158194</v>
      </c>
      <c r="DE214" s="134">
        <f t="shared" ref="DE214:DE215" si="480">CZ214+0.005</f>
        <v>0.1261408259986459</v>
      </c>
      <c r="DF214" s="134">
        <f t="shared" ref="DF214:DF215" si="481">DA214+0.005</f>
        <v>0.11576199149969643</v>
      </c>
      <c r="DG214" s="407">
        <f ca="1">AVERAGE(DB133:DF133)/DG7</f>
        <v>0.1167453990145068</v>
      </c>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c r="HB214"/>
      <c r="HC214"/>
      <c r="HD214"/>
      <c r="HE214"/>
      <c r="HF214"/>
      <c r="HG214"/>
      <c r="HH214"/>
      <c r="HI214"/>
      <c r="HJ214"/>
      <c r="HK214"/>
      <c r="HL214"/>
      <c r="HM214"/>
      <c r="HN214"/>
      <c r="HO214"/>
      <c r="HP214"/>
      <c r="HQ214"/>
      <c r="HR214"/>
    </row>
    <row r="215" spans="1:226" s="19" customFormat="1" x14ac:dyDescent="0.2">
      <c r="A215" s="80" t="s">
        <v>153</v>
      </c>
      <c r="B215" s="43"/>
      <c r="C215" s="43"/>
      <c r="D215" s="43"/>
      <c r="E215" s="43"/>
      <c r="F215" s="407"/>
      <c r="G215" s="43">
        <f>-(G134/G11)/4</f>
        <v>0.13392857142857142</v>
      </c>
      <c r="H215" s="43">
        <f>-(H134/H11)/4</f>
        <v>0.17673267326732672</v>
      </c>
      <c r="I215" s="43">
        <f>-(I134/I11)/4</f>
        <v>0.13582342954159593</v>
      </c>
      <c r="J215" s="43">
        <f>-(J134/J11)/4</f>
        <v>0.1008</v>
      </c>
      <c r="K215" s="407">
        <f>-AVERAGE(F134:J134)/K11</f>
        <v>0.13251426064063185</v>
      </c>
      <c r="L215" s="43">
        <f>-(L134/L11)/4</f>
        <v>0.11443014705882353</v>
      </c>
      <c r="M215" s="43">
        <f>-(M134/M11)/4</f>
        <v>0.13810483870967741</v>
      </c>
      <c r="N215" s="43">
        <f>-(N134/N11)/4</f>
        <v>0.13648648648648648</v>
      </c>
      <c r="O215" s="43">
        <f>-(O134/O11)/4</f>
        <v>0.10476190476190476</v>
      </c>
      <c r="P215" s="407">
        <f>-AVERAGE(K134:O134)/P11</f>
        <v>0.12062921348314606</v>
      </c>
      <c r="Q215" s="43">
        <f>-(Q134/Q11)/4</f>
        <v>0.1182842287694974</v>
      </c>
      <c r="R215" s="43">
        <f>-(R134/R11)/4</f>
        <v>0.14468690702087286</v>
      </c>
      <c r="S215" s="43">
        <f>-(S134/S11)/4</f>
        <v>0.1464041095890411</v>
      </c>
      <c r="T215" s="43">
        <f>-(T134/T11)/4</f>
        <v>0.11702954898911352</v>
      </c>
      <c r="U215" s="407">
        <f>-AVERAGE(P134:T134)/U11</f>
        <v>0.12741312741312741</v>
      </c>
      <c r="V215" s="43">
        <f>-(V134/V11)/4</f>
        <v>0.1290186125211506</v>
      </c>
      <c r="W215" s="43">
        <f>-(W134/W11)/4</f>
        <v>0.15026362038664323</v>
      </c>
      <c r="X215" s="43">
        <f>-(X134/X11)/4</f>
        <v>0.14794303797468356</v>
      </c>
      <c r="Y215" s="43">
        <f>-(Y134/Y11)/4</f>
        <v>0.1151925820256776</v>
      </c>
      <c r="Z215" s="407">
        <f>-AVERAGE(U134:Y134)/Z11</f>
        <v>0.1319695146409948</v>
      </c>
      <c r="AA215" s="43">
        <f>-(AA134/AA11)/4</f>
        <v>0.13479623824451412</v>
      </c>
      <c r="AB215" s="43">
        <f>-(AB134/AB11)/4</f>
        <v>0.14291401273885351</v>
      </c>
      <c r="AC215" s="43">
        <f>-(AC134/AC11)/4</f>
        <v>0.13921713441654357</v>
      </c>
      <c r="AD215" s="43">
        <f>-(AD134/AD11)/4</f>
        <v>9.8382749326145547E-2</v>
      </c>
      <c r="AE215" s="407">
        <f>-AVERAGE(Z134:AD134)/AE11</f>
        <v>0.12625698324022347</v>
      </c>
      <c r="AF215" s="43">
        <f>-(AF134/AF11)/4</f>
        <v>0.12254901960784313</v>
      </c>
      <c r="AG215" s="43">
        <f>-(AG134/AG11)/4</f>
        <v>0.13302034428794993</v>
      </c>
      <c r="AH215" s="43">
        <f>-(AH134/AH11)/4</f>
        <v>0.12286931818181818</v>
      </c>
      <c r="AI215" s="43">
        <f>-(AI134/AI11)/4</f>
        <v>0.10299999999999999</v>
      </c>
      <c r="AJ215" s="407">
        <f>-AVERAGE(AE134:AI134)/AJ11</f>
        <v>0.11698113207547169</v>
      </c>
      <c r="AK215" s="43">
        <f>-(AK134/AK11)/4</f>
        <v>0.11673699015471167</v>
      </c>
      <c r="AL215" s="43">
        <f>-(AL134/AL11)/4</f>
        <v>0.14886845827439887</v>
      </c>
      <c r="AM215" s="43">
        <f>-(AM134/AM11)/4</f>
        <v>0.12975460122699387</v>
      </c>
      <c r="AN215" s="43">
        <f>-(AN134/AN11)/4</f>
        <v>0.11098265895953757</v>
      </c>
      <c r="AO215" s="407">
        <f>-AVERAGE(AJ134:AN134)/AO11</f>
        <v>0.12065848934796643</v>
      </c>
      <c r="AP215" s="43">
        <f>-(AP134/AP11)/4</f>
        <v>0.12804136253041362</v>
      </c>
      <c r="AQ215" s="43">
        <f>-(AQ134/AQ11)/4</f>
        <v>0.1386986301369863</v>
      </c>
      <c r="AR215" s="43">
        <f>-(AR134/AR11)/4</f>
        <v>0.13734776725304465</v>
      </c>
      <c r="AS215" s="43">
        <f>-(AS134/AS11)/4</f>
        <v>0.11254612546125461</v>
      </c>
      <c r="AT215" s="407">
        <f>-AVERAGE(AO134:AS134)/AT11</f>
        <v>0.1277061855670103</v>
      </c>
      <c r="AU215" s="43">
        <f>-(AU134/AU11)/4</f>
        <v>0.1361111111111111</v>
      </c>
      <c r="AV215" s="43">
        <f>-(AV134/AV11)/4</f>
        <v>0.14905247813411079</v>
      </c>
      <c r="AW215" s="43">
        <f>-(AW134/AW11)/4</f>
        <v>0.14831697054698456</v>
      </c>
      <c r="AX215" s="43">
        <f>-(AX134/AX11)/4</f>
        <v>0.11526381909547739</v>
      </c>
      <c r="AY215" s="407">
        <f>-AVERAGE(AT134:AX134)/AY11</f>
        <v>0.13427101200686106</v>
      </c>
      <c r="AZ215" s="43">
        <f>-(AZ134/AZ11)/4</f>
        <v>0.13120567375886524</v>
      </c>
      <c r="BA215" s="43">
        <f>-(BA134/BA11)/4</f>
        <v>0.14992721979621543</v>
      </c>
      <c r="BB215" s="43">
        <f>-(BB134/BB11)/4</f>
        <v>0.14917695473251028</v>
      </c>
      <c r="BC215" s="43">
        <f>-(BC134/BC11)/4</f>
        <v>0.11409796893667862</v>
      </c>
      <c r="BD215" s="407">
        <f>-AVERAGE(AY134:BC134)/BD11</f>
        <v>0.13292765382014873</v>
      </c>
      <c r="BE215" s="43">
        <f>-(BE134/BE11)/4</f>
        <v>0.13405797101449277</v>
      </c>
      <c r="BF215" s="622">
        <f>-(BF134/BF11)/4</f>
        <v>0.15791316526610644</v>
      </c>
      <c r="BG215" s="622">
        <f>-(BG134/BG11)/4</f>
        <v>0.14047029702970298</v>
      </c>
      <c r="BH215" s="622">
        <f>-(BH134/BH11)/4</f>
        <v>0.1087202718006795</v>
      </c>
      <c r="BI215" s="407">
        <f>-AVERAGE(BD134:BH134)/BI11</f>
        <v>0.13135271807838181</v>
      </c>
      <c r="BJ215" s="43">
        <f>-(BJ134/BJ11)/4</f>
        <v>0.13776178010471204</v>
      </c>
      <c r="BK215" s="43">
        <f>-(BK134/BK11)/4</f>
        <v>0.14566929133858267</v>
      </c>
      <c r="BL215" s="43">
        <f>-(BL134/BL11)/4</f>
        <v>0.13875305623471881</v>
      </c>
      <c r="BM215" s="43">
        <f>-(BM134/BM11)/4</f>
        <v>0.11361014994232987</v>
      </c>
      <c r="BN215" s="407">
        <f>-AVERAGE(BI134:BM134)/BN11</f>
        <v>0.13061351603861723</v>
      </c>
      <c r="BO215" s="43">
        <f>-(BO134/BO11)/4</f>
        <v>0.14459815546772067</v>
      </c>
      <c r="BP215" s="43">
        <f>-(BP134/BP11)/4</f>
        <v>0.15471447543160691</v>
      </c>
      <c r="BQ215" s="43">
        <f>-(BQ134/BQ11)/4</f>
        <v>0.14127686472819218</v>
      </c>
      <c r="BR215" s="43">
        <f>-(BR134/BR11)/4</f>
        <v>0.11286549707602339</v>
      </c>
      <c r="BS215" s="407">
        <f>-AVERAGE(BN134:BR134)/BS11</f>
        <v>0.13502216592780239</v>
      </c>
      <c r="BT215" s="43">
        <f>-(BT134/BT11)/4</f>
        <v>0.12822997416020671</v>
      </c>
      <c r="BU215" s="43">
        <f>-(BU134/BU11)/4</f>
        <v>0.1442432082794308</v>
      </c>
      <c r="BV215" s="43">
        <f>-(BV134/BV11)/4</f>
        <v>0.13819095477386933</v>
      </c>
      <c r="BW215" s="43">
        <f>-(BW134/BW11)/4</f>
        <v>0.11363636363636363</v>
      </c>
      <c r="BX215" s="407">
        <f>-AVERAGE(BS134:BW134)/BX11</f>
        <v>0.12877742946708465</v>
      </c>
      <c r="BY215" s="43">
        <f>-(BY134/BY11)/4</f>
        <v>0.13333333333333333</v>
      </c>
      <c r="BZ215" s="43">
        <f>-(BZ134/BZ11)/4</f>
        <v>0.15100671140939598</v>
      </c>
      <c r="CA215" s="43">
        <f>-(CA134/CA11)/4</f>
        <v>0.14743589743589744</v>
      </c>
      <c r="CB215" s="43">
        <f>-(CB134/CB11)/4</f>
        <v>0.12686139747995417</v>
      </c>
      <c r="CC215" s="407">
        <f>-AVERAGE(BX134:CB134)/CC11</f>
        <v>0.13569396142902307</v>
      </c>
      <c r="CD215" s="43">
        <f>-(CD134/CD11)/4</f>
        <v>0.14476961394769614</v>
      </c>
      <c r="CE215" s="43">
        <f>-(CE134/CE11)/4</f>
        <v>0.16119691119691121</v>
      </c>
      <c r="CF215" s="43">
        <f>-(CF134/CF11)/4</f>
        <v>0.15417170495767835</v>
      </c>
      <c r="CG215" s="43">
        <f>-(CG134/CG11)/4</f>
        <v>0.12821229050279329</v>
      </c>
      <c r="CH215" s="407">
        <f>-AVERAGE(CC134:CG134)/CH11</f>
        <v>0.14403391883706845</v>
      </c>
      <c r="CI215" s="43">
        <f>-(CI134/CI11)/4</f>
        <v>0.1396614268440145</v>
      </c>
      <c r="CJ215" s="43">
        <f>-(CJ134/CJ11)/4</f>
        <v>0.15303593556381662</v>
      </c>
      <c r="CK215" s="134">
        <f>CF215+0.01</f>
        <v>0.16417170495767835</v>
      </c>
      <c r="CL215" s="134">
        <f t="shared" si="473"/>
        <v>0.13821229050279329</v>
      </c>
      <c r="CM215" s="407">
        <f ca="1">-AVERAGE(CH134:CL134)/CM11</f>
        <v>0.14546296501155198</v>
      </c>
      <c r="CN215" s="134">
        <f>CI215+0.005</f>
        <v>0.14466142684401451</v>
      </c>
      <c r="CO215" s="134">
        <f t="shared" si="474"/>
        <v>0.15803593556381662</v>
      </c>
      <c r="CP215" s="134">
        <f t="shared" si="474"/>
        <v>0.16917170495767836</v>
      </c>
      <c r="CQ215" s="134">
        <f t="shared" si="474"/>
        <v>0.1432122905027933</v>
      </c>
      <c r="CR215" s="407">
        <f ca="1">-AVERAGE(CM134:CQ134)/CR11</f>
        <v>0.15184488874262042</v>
      </c>
      <c r="CS215" s="134">
        <f>CN215+0.005</f>
        <v>0.14966142684401451</v>
      </c>
      <c r="CT215" s="134">
        <f t="shared" si="475"/>
        <v>0.16303593556381663</v>
      </c>
      <c r="CU215" s="134">
        <f t="shared" si="475"/>
        <v>0.17417170495767836</v>
      </c>
      <c r="CV215" s="134">
        <f t="shared" si="475"/>
        <v>0.1482122905027933</v>
      </c>
      <c r="CW215" s="407">
        <f ca="1">-AVERAGE(CR134:CV134)/CW11</f>
        <v>0.15692856121013837</v>
      </c>
      <c r="CX215" s="134">
        <f>CS215+0.005</f>
        <v>0.15466142684401452</v>
      </c>
      <c r="CY215" s="134">
        <f t="shared" si="476"/>
        <v>0.16803593556381663</v>
      </c>
      <c r="CZ215" s="134">
        <f t="shared" si="477"/>
        <v>0.17917170495767837</v>
      </c>
      <c r="DA215" s="134">
        <f t="shared" si="478"/>
        <v>0.15321229050279331</v>
      </c>
      <c r="DB215" s="407">
        <f ca="1">-AVERAGE(CW134:DA134)/DB11</f>
        <v>0.1619553075694454</v>
      </c>
      <c r="DC215" s="134">
        <f>CX215+0.005</f>
        <v>0.15966142684401452</v>
      </c>
      <c r="DD215" s="134">
        <f t="shared" si="479"/>
        <v>0.17303593556381663</v>
      </c>
      <c r="DE215" s="134">
        <f t="shared" si="480"/>
        <v>0.18417170495767837</v>
      </c>
      <c r="DF215" s="134">
        <f t="shared" si="481"/>
        <v>0.15821229050279331</v>
      </c>
      <c r="DG215" s="407">
        <f ca="1">-AVERAGE(DB134:DF134)/DG11</f>
        <v>0.1669803764836354</v>
      </c>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c r="HB215"/>
      <c r="HC215"/>
      <c r="HD215"/>
      <c r="HE215"/>
      <c r="HF215"/>
      <c r="HG215"/>
      <c r="HH215"/>
      <c r="HI215"/>
      <c r="HJ215"/>
      <c r="HK215"/>
      <c r="HL215"/>
      <c r="HM215"/>
      <c r="HN215"/>
      <c r="HO215"/>
      <c r="HP215"/>
      <c r="HQ215"/>
      <c r="HR215"/>
    </row>
    <row r="216" spans="1:226" s="19" customFormat="1" x14ac:dyDescent="0.2">
      <c r="A216" s="80" t="s">
        <v>63</v>
      </c>
      <c r="B216" s="130"/>
      <c r="C216" s="130"/>
      <c r="D216" s="130"/>
      <c r="E216" s="130"/>
      <c r="F216" s="462"/>
      <c r="G216" s="130">
        <f>-(AVERAGE(F134:G134)/G11)*365/4</f>
        <v>47.335937500000007</v>
      </c>
      <c r="H216" s="130">
        <f>-(AVERAGE(G134:H134)/H11)*365/4</f>
        <v>59.357673267326732</v>
      </c>
      <c r="I216" s="130">
        <f>-(AVERAGE(H134:I134)/I11)*365/4</f>
        <v>52.441638370118852</v>
      </c>
      <c r="J216" s="130">
        <f>-(AVERAGE(I134:J134)/J11)*365/4</f>
        <v>41.756</v>
      </c>
      <c r="K216" s="462">
        <f>-(AVERAGE(F134:J134)/K11)*365</f>
        <v>48.367705133830626</v>
      </c>
      <c r="L216" s="130">
        <f>-(AVERAGE(K134:L134)/L11)*365/4</f>
        <v>42.018612132352942</v>
      </c>
      <c r="M216" s="130">
        <f>-(AVERAGE(L134:M134)/M11)*365/4</f>
        <v>48.108618951612904</v>
      </c>
      <c r="N216" s="130">
        <f>-(AVERAGE(M134:N134)/N11)*365/4</f>
        <v>47.433558558558559</v>
      </c>
      <c r="O216" s="130">
        <f>-(AVERAGE(N134:O134)/O11)*365/4</f>
        <v>41.0625</v>
      </c>
      <c r="P216" s="462">
        <f>-(AVERAGE(K134:O134)/P11)*365</f>
        <v>44.029662921348311</v>
      </c>
      <c r="Q216" s="130">
        <f>-(AVERAGE(P134:Q134)/Q11)*365/4</f>
        <v>42.462088388214909</v>
      </c>
      <c r="R216" s="130">
        <f>-(AVERAGE(Q134:R134)/R11)*365/4</f>
        <v>50.04032258064516</v>
      </c>
      <c r="S216" s="130">
        <f>-(AVERAGE(R134:S134)/S11)*365/4</f>
        <v>50.546875</v>
      </c>
      <c r="T216" s="130">
        <f>-(AVERAGE(S134:T134)/T11)*365/4</f>
        <v>45.625</v>
      </c>
      <c r="U216" s="462">
        <f>-(AVERAGE(P134:T134)/U11)*365</f>
        <v>46.505791505791507</v>
      </c>
      <c r="V216" s="130">
        <f>-(AVERAGE(U134:V134)/V11)*365/4</f>
        <v>46.782994923857864</v>
      </c>
      <c r="W216" s="130">
        <f>-(AVERAGE(V134:W134)/W11)*365/4</f>
        <v>51.879393673110719</v>
      </c>
      <c r="X216" s="130">
        <f>-(AVERAGE(W134:X134)/X11)*365/4</f>
        <v>51.689082278481017</v>
      </c>
      <c r="Y216" s="130">
        <f>-(AVERAGE(X134:Y134)/Y11)*365/4</f>
        <v>45.364657631954351</v>
      </c>
      <c r="Z216" s="462">
        <f>-(AVERAGE(U134:Y134)/Z11)*365</f>
        <v>48.168872843963101</v>
      </c>
      <c r="AA216" s="130">
        <f>-(AVERAGE(Z134:AA134)/AA11)*365/4</f>
        <v>47.698863636363633</v>
      </c>
      <c r="AB216" s="130">
        <f>-(AVERAGE(AA134:AB134)/AB11)*365/4</f>
        <v>51.073845541401269</v>
      </c>
      <c r="AC216" s="130">
        <f>-(AVERAGE(AB134:AC134)/AC11)*365/4</f>
        <v>49.601181683899561</v>
      </c>
      <c r="AD216" s="130">
        <f>-(AVERAGE(AC134:AD134)/AD11)*365/4</f>
        <v>41.136287061994608</v>
      </c>
      <c r="AE216" s="462">
        <f>-(AVERAGE(Z134:AD134)/AE11)*365</f>
        <v>46.083798882681563</v>
      </c>
      <c r="AF216" s="130">
        <f>-(AVERAGE(AE134:AF134)/AF11)*365/4</f>
        <v>42.45946455505279</v>
      </c>
      <c r="AG216" s="130">
        <f>-(AVERAGE(AF134:AG134)/AG11)*365/4</f>
        <v>47.481416275430355</v>
      </c>
      <c r="AH216" s="130">
        <f>-(AVERAGE(AG134:AH134)/AH11)*365/4</f>
        <v>44.45845170454546</v>
      </c>
      <c r="AI216" s="130">
        <f>-(AVERAGE(AH134:AI134)/AI11)*365/4</f>
        <v>39.845833333333331</v>
      </c>
      <c r="AJ216" s="462">
        <f>-(AVERAGE(AE134:AI134)/AJ11)*365</f>
        <v>42.698113207547166</v>
      </c>
      <c r="AK216" s="130">
        <f>-(AVERAGE(AJ134:AK134)/AK11)*365/4</f>
        <v>41.133087201125178</v>
      </c>
      <c r="AL216" s="130">
        <f>-(AVERAGE(AK134:AL134)/AL11)*365/4</f>
        <v>48.593528995756721</v>
      </c>
      <c r="AM216" s="130">
        <f>-(AVERAGE(AL134:AM134)/AM11)*365/4</f>
        <v>47.24846625766871</v>
      </c>
      <c r="AN216" s="130">
        <f>-(AVERAGE(AM134:AN134)/AN11)*365/4</f>
        <v>42.565751445086704</v>
      </c>
      <c r="AO216" s="462">
        <f>-(AVERAGE(AJ134:AN134)/AO11)*365</f>
        <v>44.040348612007747</v>
      </c>
      <c r="AP216" s="130">
        <f>-(AVERAGE(AO134:AP134)/AP11)*365/4</f>
        <v>44.681417274939172</v>
      </c>
      <c r="AQ216" s="130">
        <f>-(AVERAGE(AP134:AQ134)/AQ11)*365/4</f>
        <v>51.624999999999993</v>
      </c>
      <c r="AR216" s="130">
        <f>-(AVERAGE(AQ134:AR134)/AR11)*365/4</f>
        <v>50.070196211096082</v>
      </c>
      <c r="AS216" s="130">
        <f>-(AVERAGE(AR134:AS134)/AS11)*365/4</f>
        <v>43.324108241082413</v>
      </c>
      <c r="AT216" s="462">
        <f>-(AVERAGE(AO134:AS134)/AT11)*365</f>
        <v>46.612757731958759</v>
      </c>
      <c r="AU216" s="130">
        <f>-(AVERAGE(AT134:AU134)/AU11)*365/4</f>
        <v>48.032986111111114</v>
      </c>
      <c r="AV216" s="130">
        <f>-(AVERAGE(AU134:AV134)/AV11)*365/4</f>
        <v>53.273505830903794</v>
      </c>
      <c r="AW216" s="130">
        <f>-(AVERAGE(AV134:AW134)/AW11)*365/4</f>
        <v>53.239831697054697</v>
      </c>
      <c r="AX216" s="130">
        <f>-(AVERAGE(AW134:AX134)/AX11)*365/4</f>
        <v>45.281092964824118</v>
      </c>
      <c r="AY216" s="462">
        <f>-(AVERAGE(AT134:AX134)/AY11)*365</f>
        <v>49.008919382504288</v>
      </c>
      <c r="AZ216" s="130">
        <f>-(AVERAGE(AY134:AZ134)/AZ11)*365/4</f>
        <v>47.695921985815609</v>
      </c>
      <c r="BA216" s="130">
        <f>-(AVERAGE(AZ134:BA134)/BA11)*365/4</f>
        <v>51.934133915574968</v>
      </c>
      <c r="BB216" s="130">
        <f>-(AVERAGE(BA134:BB134)/BB11)*365/4</f>
        <v>53.010116598079563</v>
      </c>
      <c r="BC216" s="130">
        <f>-(AVERAGE(BB134:BC134)/BC11)*365/4</f>
        <v>44.53479689366786</v>
      </c>
      <c r="BD216" s="462">
        <f>-(AVERAGE(AY134:BC134)/BD11)*365</f>
        <v>48.51859364435429</v>
      </c>
      <c r="BE216" s="130">
        <f>-(AVERAGE(BD134:BE134)/BE11)*365/4</f>
        <v>47.428359683794469</v>
      </c>
      <c r="BF216" s="577">
        <f>-(AVERAGE(BE134:BF134)/BF11)*365/4</f>
        <v>54.826680672268907</v>
      </c>
      <c r="BG216" s="577">
        <f>-(AVERAGE(BF134:BG134)/BG11)*365/4</f>
        <v>51.102258663366335</v>
      </c>
      <c r="BH216" s="130">
        <f>-(AVERAGE(BG134:BH134)/BH11)*365/4</f>
        <v>43.299830124575308</v>
      </c>
      <c r="BI216" s="462">
        <f>-(AVERAGE(BD134:BH134)/BI11)*365</f>
        <v>47.943742098609363</v>
      </c>
      <c r="BJ216" s="130">
        <f>-(AVERAGE(BI134:BJ134)/BJ11)*365/4</f>
        <v>48.073462041884817</v>
      </c>
      <c r="BK216" s="130">
        <f>-(AVERAGE(BJ134:BK134)/BK11)*365/4</f>
        <v>51.792158792650916</v>
      </c>
      <c r="BL216" s="130">
        <f>-(AVERAGE(BK134:BL134)/BL11)*365/4</f>
        <v>50.087102689486549</v>
      </c>
      <c r="BM216" s="130">
        <f>-(AVERAGE(BL134:BM134)/BM11)*365/4</f>
        <v>44.625144175317182</v>
      </c>
      <c r="BN216" s="462">
        <f>-(AVERAGE(BI134:BM134)/BN11)*365</f>
        <v>47.67393335409529</v>
      </c>
      <c r="BO216" s="130">
        <f>-(AVERAGE(BN134:BO134)/BO11)*365/4</f>
        <v>50.073287220026351</v>
      </c>
      <c r="BP216" s="130">
        <f>-(AVERAGE(BO134:BP134)/BP11)*365/4</f>
        <v>54.834827357237721</v>
      </c>
      <c r="BQ216" s="130">
        <f>-(AVERAGE(BP134:BQ134)/BQ11)*365/4</f>
        <v>52.661978508217452</v>
      </c>
      <c r="BR216" s="130">
        <f>-(AVERAGE(BQ134:BR134)/BR11)*365/4</f>
        <v>44.451023391812861</v>
      </c>
      <c r="BS216" s="462">
        <f>-(AVERAGE(BN134:BR134)/BS11)*365</f>
        <v>49.283090563647875</v>
      </c>
      <c r="BT216" s="130">
        <f>-(AVERAGE(BS134:BT134)/BT11)*365/4</f>
        <v>46.155523255813954</v>
      </c>
      <c r="BU216" s="130">
        <f>-(AVERAGE(BT134:BU134)/BU11)*365/4</f>
        <v>49.756630012936618</v>
      </c>
      <c r="BV216" s="130">
        <f>-(AVERAGE(BU134:BV134)/BV11)*365/4</f>
        <v>50.783605527638187</v>
      </c>
      <c r="BW216" s="130">
        <f>-(AVERAGE(BV134:BW134)/BW11)*365/4</f>
        <v>44.439935064935064</v>
      </c>
      <c r="BX216" s="462">
        <f>-(AVERAGE(BS134:BW134)/BX11)*365</f>
        <v>47.003761755485897</v>
      </c>
      <c r="BY216" s="130">
        <f>-(AVERAGE(BX134:BY134)/BY11)*365/4</f>
        <v>47.294934640522882</v>
      </c>
      <c r="BZ216" s="130">
        <f>-(AVERAGE(BY134:BZ134)/BZ11)*365/4</f>
        <v>52.545302013422813</v>
      </c>
      <c r="CA216" s="130">
        <f>-(AVERAGE(BZ134:CA134)/CA11)*365/4</f>
        <v>53.229166666666671</v>
      </c>
      <c r="CB216" s="130">
        <f>-(AVERAGE(CA134:CB134)/CB11)*365/4</f>
        <v>47.192869415807564</v>
      </c>
      <c r="CC216" s="462">
        <f>-(AVERAGE(BX134:CB134)/CC11)*365</f>
        <v>49.528295921593418</v>
      </c>
      <c r="CD216" s="130">
        <f>-(AVERAGE(CC134:CD134)/CD11)*365/4</f>
        <v>51.590909090909093</v>
      </c>
      <c r="CE216" s="130">
        <f>-(AVERAGE(CD134:CE134)/CE11)*365/4</f>
        <v>56.722972972972968</v>
      </c>
      <c r="CF216" s="130">
        <f>-(AVERAGE(CE134:CF134)/CF11)*365/4</f>
        <v>55.776148730350663</v>
      </c>
      <c r="CG216" s="130">
        <f>-(AVERAGE(CF134:CG134)/CG11)*365/4</f>
        <v>49.397346368715084</v>
      </c>
      <c r="CH216" s="462">
        <f>-(AVERAGE(CC134:CG134)/CH11)*365</f>
        <v>52.572380375529988</v>
      </c>
      <c r="CI216" s="130">
        <f>-(AVERAGE(CH134:CI134)/CI11)*365/4</f>
        <v>50.81091293833132</v>
      </c>
      <c r="CJ216" s="130">
        <f>-(AVERAGE(CI134:CJ134)/CJ11)*365/4</f>
        <v>54.048946716232955</v>
      </c>
      <c r="CK216" s="130">
        <f>-(AVERAGE(CJ134:CK134)/CK11)*365/4</f>
        <v>56.004562891448614</v>
      </c>
      <c r="CL216" s="130">
        <f ca="1">-(AVERAGE(CK134:CL134)/CL11)*365/4</f>
        <v>52.567384141892632</v>
      </c>
      <c r="CM216" s="462">
        <f ca="1">-(AVERAGE(CH134:CL134)/CM11)*365</f>
        <v>53.093982229216472</v>
      </c>
      <c r="CN216" s="130">
        <f ca="1">-(AVERAGE(CM134:CN134)/CN11)*365/4</f>
        <v>53.553458179645233</v>
      </c>
      <c r="CO216" s="130">
        <f>-(AVERAGE(CN134:CO134)/CO11)*365/4</f>
        <v>55.994925883795013</v>
      </c>
      <c r="CP216" s="130">
        <f>-(AVERAGE(CO134:CP134)/CP11)*365/4</f>
        <v>57.852437867590162</v>
      </c>
      <c r="CQ216" s="130">
        <f ca="1">-(AVERAGE(CP134:CQ134)/CQ11)*365/4</f>
        <v>55.283095116979531</v>
      </c>
      <c r="CR216" s="462">
        <f ca="1">-(AVERAGE(CM134:CQ134)/CR11)*365</f>
        <v>55.423384391056452</v>
      </c>
      <c r="CS216" s="130">
        <f ca="1">-(AVERAGE(CR134:CS134)/CS11)*365/4</f>
        <v>55.479390129413162</v>
      </c>
      <c r="CT216" s="130">
        <f>-(AVERAGE(CS134:CT134)/CT11)*365/4</f>
        <v>57.830420513231694</v>
      </c>
      <c r="CU216" s="130">
        <f>-(AVERAGE(CT134:CU134)/CU11)*365/4</f>
        <v>59.632233413295978</v>
      </c>
      <c r="CV216" s="130">
        <f ca="1">-(AVERAGE(CU134:CV134)/CV11)*365/4</f>
        <v>57.079957074624794</v>
      </c>
      <c r="CW216" s="462">
        <f ca="1">-(AVERAGE(CR134:CV134)/CW11)*365</f>
        <v>57.278924841700508</v>
      </c>
      <c r="CX216" s="130">
        <f ca="1">-(AVERAGE(CW134:CX134)/CX11)*365/4</f>
        <v>57.351913958376031</v>
      </c>
      <c r="CY216" s="130">
        <f>-(AVERAGE(CX134:CY134)/CY11)*365/4</f>
        <v>59.664672943770015</v>
      </c>
      <c r="CZ216" s="130">
        <f>-(AVERAGE(CY134:CZ134)/CZ11)*365/4</f>
        <v>61.412961626796452</v>
      </c>
      <c r="DA216" s="130">
        <f ca="1">-(AVERAGE(CZ134:DA134)/DA11)*365/4</f>
        <v>58.878255781996153</v>
      </c>
      <c r="DB216" s="462">
        <f ca="1">-(AVERAGE(CW134:DA134)/DB11)*365</f>
        <v>59.11368726284757</v>
      </c>
      <c r="DC216" s="130">
        <f ca="1">-(AVERAGE(DB134:DC134)/DC11)*365/4</f>
        <v>59.222875576232603</v>
      </c>
      <c r="DD216" s="130">
        <f>-(AVERAGE(DC134:DD134)/DD11)*365/4</f>
        <v>61.497663892931456</v>
      </c>
      <c r="DE216" s="130">
        <f>-(AVERAGE(DD134:DE134)/DE11)*365/4</f>
        <v>63.194629434299713</v>
      </c>
      <c r="DF216" s="130">
        <f ca="1">-(AVERAGE(DE134:DF134)/DF11)*365/4</f>
        <v>60.678000159328242</v>
      </c>
      <c r="DG216" s="462">
        <f ca="1">-(AVERAGE(DB134:DF134)/DG11)*365</f>
        <v>60.947837416526916</v>
      </c>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c r="HB216"/>
      <c r="HC216"/>
      <c r="HD216"/>
      <c r="HE216"/>
      <c r="HF216"/>
      <c r="HG216"/>
      <c r="HH216"/>
      <c r="HI216"/>
      <c r="HJ216"/>
      <c r="HK216"/>
      <c r="HL216"/>
      <c r="HM216"/>
      <c r="HN216"/>
      <c r="HO216"/>
      <c r="HP216"/>
      <c r="HQ216"/>
      <c r="HR216"/>
    </row>
    <row r="217" spans="1:226" s="19" customFormat="1" x14ac:dyDescent="0.2">
      <c r="A217" s="80" t="s">
        <v>192</v>
      </c>
      <c r="B217" s="43"/>
      <c r="C217" s="43"/>
      <c r="D217" s="43"/>
      <c r="E217" s="43"/>
      <c r="F217" s="407"/>
      <c r="G217" s="43">
        <f>G135/G7/4</f>
        <v>1.2957317073170731E-2</v>
      </c>
      <c r="H217" s="43">
        <f>H135/H7/4</f>
        <v>1.5783540022547914E-2</v>
      </c>
      <c r="I217" s="43">
        <f>I135/I7/4</f>
        <v>1.1730205278592375E-2</v>
      </c>
      <c r="J217" s="43">
        <f>J135/J7/4</f>
        <v>1.8395390070921985E-2</v>
      </c>
      <c r="K217" s="407">
        <f>AVERAGE(F135:J135)/K7</f>
        <v>1.4669318746892094E-2</v>
      </c>
      <c r="L217" s="43">
        <f>L135/L7/4</f>
        <v>1.8147086914995225E-2</v>
      </c>
      <c r="M217" s="43">
        <f>M135/M7/4</f>
        <v>2.2408207343412527E-2</v>
      </c>
      <c r="N217" s="43">
        <f>N135/N7/4</f>
        <v>2.18351324828263E-2</v>
      </c>
      <c r="O217" s="43">
        <f>O135/O7/4</f>
        <v>9.9826388888888881E-3</v>
      </c>
      <c r="P217" s="407">
        <f>AVERAGE(K135:O135)/P7</f>
        <v>1.8194980694980697E-2</v>
      </c>
      <c r="Q217" s="43">
        <f>Q135/Q7/4</f>
        <v>1.0934393638170975E-2</v>
      </c>
      <c r="R217" s="43">
        <f>R135/R7/4</f>
        <v>1.1684782608695652E-2</v>
      </c>
      <c r="S217" s="43">
        <f>S135/S7/4</f>
        <v>9.990485252140819E-3</v>
      </c>
      <c r="T217" s="43">
        <f>T135/T7/4</f>
        <v>9.4936708860759497E-3</v>
      </c>
      <c r="U217" s="407">
        <f>AVERAGE(P135:T135)/U7</f>
        <v>1.0571840461316675E-2</v>
      </c>
      <c r="V217" s="43">
        <f>V135/V7/4</f>
        <v>1.2643129770992367E-2</v>
      </c>
      <c r="W217" s="43">
        <f>W135/W7/4</f>
        <v>1.2749999999999999E-2</v>
      </c>
      <c r="X217" s="43">
        <f>X135/X7/4</f>
        <v>1.3812154696132596E-2</v>
      </c>
      <c r="Y217" s="43">
        <f>Y135/Y7/4</f>
        <v>1.2559808612440191E-2</v>
      </c>
      <c r="Z217" s="407">
        <f>AVERAGE(U135:Y135)/Z7</f>
        <v>1.2397447584320875E-2</v>
      </c>
      <c r="AA217" s="43">
        <f>AA135/AA7/4</f>
        <v>1.4492753623188406E-2</v>
      </c>
      <c r="AB217" s="43">
        <f>AB135/AB7/4</f>
        <v>1.362781954887218E-2</v>
      </c>
      <c r="AC217" s="43">
        <f>AC135/AC7/4</f>
        <v>1.4477095937770095E-2</v>
      </c>
      <c r="AD217" s="43">
        <f>AD135/AD7/4</f>
        <v>1.6679302501895376E-2</v>
      </c>
      <c r="AE217" s="407">
        <f>AVERAGE(Z135:AD135)/AE7</f>
        <v>1.4642549526270457E-2</v>
      </c>
      <c r="AF217" s="43">
        <f>AF135/AF7/4</f>
        <v>1.4427217915590009E-2</v>
      </c>
      <c r="AG217" s="43">
        <f>AG135/AG7/4</f>
        <v>1.5213442325158947E-2</v>
      </c>
      <c r="AH217" s="43">
        <f>AH135/AH7/4</f>
        <v>1.5108783239323126E-2</v>
      </c>
      <c r="AI217" s="43">
        <f>AI135/AI7/4</f>
        <v>1.5066964285714286E-2</v>
      </c>
      <c r="AJ217" s="407">
        <f>AVERAGE(AE135:AI135)/AJ7</f>
        <v>1.5597276665978954E-2</v>
      </c>
      <c r="AK217" s="43">
        <f>AK135/AK7/4</f>
        <v>2.3204196933010492E-2</v>
      </c>
      <c r="AL217" s="43">
        <f>AL135/AL7/4</f>
        <v>2.4662731871838112E-2</v>
      </c>
      <c r="AM217" s="43">
        <f>AM135/AM7/4</f>
        <v>1.9955654101995565E-2</v>
      </c>
      <c r="AN217" s="43">
        <f>AN135/AN7/4</f>
        <v>2.4414715719063545E-2</v>
      </c>
      <c r="AO217" s="407">
        <f>AVERAGE(AJ135:AN135)/AO7</f>
        <v>2.1505784183576713E-2</v>
      </c>
      <c r="AP217" s="43">
        <f>AP135/AP7/4</f>
        <v>1.9147398843930637E-2</v>
      </c>
      <c r="AQ217" s="43">
        <f>AQ135/AQ7/4</f>
        <v>2.6726973684210526E-2</v>
      </c>
      <c r="AR217" s="43">
        <f>AR135/AR7/4</f>
        <v>2.4444444444444446E-2</v>
      </c>
      <c r="AS217" s="43">
        <f>AS135/AS7/4</f>
        <v>2.0333333333333332E-2</v>
      </c>
      <c r="AT217" s="407">
        <f>AVERAGE(AO135:AS135)/AT7</f>
        <v>2.3339449541284404E-2</v>
      </c>
      <c r="AU217" s="43">
        <f>AU135/AU7/4</f>
        <v>2.1872601688411358E-2</v>
      </c>
      <c r="AV217" s="43">
        <f>AV135/AV7/4</f>
        <v>2.4074074074074074E-2</v>
      </c>
      <c r="AW217" s="43">
        <f>AW135/AW7/4</f>
        <v>2.292152292152292E-2</v>
      </c>
      <c r="AX217" s="43">
        <f>AX135/AX7/4</f>
        <v>2.2043386983904827E-2</v>
      </c>
      <c r="AY217" s="407">
        <f>AVERAGE(AT135:AX135)/AY7</f>
        <v>2.2812380588460069E-2</v>
      </c>
      <c r="AZ217" s="43">
        <f>AZ135/AZ7/4</f>
        <v>2.231437598736177E-2</v>
      </c>
      <c r="BA217" s="43">
        <f>BA135/BA7/4</f>
        <v>2.3960983884648006E-2</v>
      </c>
      <c r="BB217" s="43">
        <f>BB135/BB7/4</f>
        <v>2.2430981595092023E-2</v>
      </c>
      <c r="BC217" s="43">
        <f>BC135/BC7/4</f>
        <v>1.9062078272604588E-2</v>
      </c>
      <c r="BD217" s="407">
        <f>AVERAGE(AY135:BC135)/BD7</f>
        <v>2.225195947237622E-2</v>
      </c>
      <c r="BE217" s="43">
        <f>BE135/BE7/4</f>
        <v>2.3371647509578545E-2</v>
      </c>
      <c r="BF217" s="622">
        <f>BF135/BF7/4</f>
        <v>2.2727272727272728E-2</v>
      </c>
      <c r="BG217" s="622">
        <f>BG135/BG7/4</f>
        <v>2.2840827980014276E-2</v>
      </c>
      <c r="BH217" s="622">
        <f>BH135/BH7/4</f>
        <v>2.4172615184944842E-2</v>
      </c>
      <c r="BI217" s="407">
        <f>AVERAGE(BD135:BH135)/BI7</f>
        <v>2.278712509144111E-2</v>
      </c>
      <c r="BJ217" s="43">
        <f>BJ135/BJ7/4</f>
        <v>2.8774289985052316E-2</v>
      </c>
      <c r="BK217" s="43">
        <f>BK135/BK7/4</f>
        <v>2.8679245283018868E-2</v>
      </c>
      <c r="BL217" s="43">
        <f>BL135/BL7/4</f>
        <v>2.6362349610757254E-2</v>
      </c>
      <c r="BM217" s="43">
        <f>BM135/BM7/4</f>
        <v>2.3755656108597284E-2</v>
      </c>
      <c r="BN217" s="407">
        <f>AVERAGE(BI135:BM135)/BN7</f>
        <v>2.6711719722568021E-2</v>
      </c>
      <c r="BO217" s="43">
        <f>BO135/BO7/4</f>
        <v>2.8294862248696945E-2</v>
      </c>
      <c r="BP217" s="43">
        <f>BP135/BP7/4</f>
        <v>3.7079510703363912E-2</v>
      </c>
      <c r="BQ217" s="43">
        <f>BQ135/BQ7/4</f>
        <v>2.8916544655929723E-2</v>
      </c>
      <c r="BR217" s="43">
        <f>BR135/BR7/4</f>
        <v>2.2378089512358049E-2</v>
      </c>
      <c r="BS217" s="407">
        <f>AVERAGE(BN135:BR135)/BS7</f>
        <v>2.847297787450127E-2</v>
      </c>
      <c r="BT217" s="43">
        <f>BT135/BT7/4</f>
        <v>2.6627218934911243E-2</v>
      </c>
      <c r="BU217" s="43">
        <f>BU135/BU7/4</f>
        <v>3.104089219330855E-2</v>
      </c>
      <c r="BV217" s="43">
        <f>BV135/BV7/4</f>
        <v>2.6588151320485368E-2</v>
      </c>
      <c r="BW217" s="43">
        <f>BW135/BW7/4</f>
        <v>2.296082209377007E-2</v>
      </c>
      <c r="BX217" s="407">
        <f>AVERAGE(BS135:BW135)/BX7</f>
        <v>2.6065428824049514E-2</v>
      </c>
      <c r="BY217" s="43">
        <f>BY135/BY7/4</f>
        <v>2.643884892086331E-2</v>
      </c>
      <c r="BZ217" s="43">
        <f>BZ135/BZ7/4</f>
        <v>3.2713754646840149E-2</v>
      </c>
      <c r="CA217" s="43">
        <f>CA135/CA7/4</f>
        <v>3.2608695652173912E-2</v>
      </c>
      <c r="CB217" s="43">
        <f>CB135/CB7/4</f>
        <v>1.125E-2</v>
      </c>
      <c r="CC217" s="407">
        <f>AVERAGE(BX135:CB135)/CC7</f>
        <v>2.513452525603194E-2</v>
      </c>
      <c r="CD217" s="43">
        <f>CD135/CD7/4</f>
        <v>8.4892584892584892E-3</v>
      </c>
      <c r="CE217" s="43">
        <f>CE135/CE7/4</f>
        <v>2.1337126600284494E-2</v>
      </c>
      <c r="CF217" s="43">
        <f>CF135/CF7/4</f>
        <v>1.5910629654705483E-2</v>
      </c>
      <c r="CG217" s="43">
        <f>CG135/CG7/4</f>
        <v>1.092896174863388E-2</v>
      </c>
      <c r="CH217" s="407">
        <f>AVERAGE(CC135:CG135)/CH7</f>
        <v>1.3627992633517496E-2</v>
      </c>
      <c r="CI217" s="43">
        <f>CI135/CI7/4</f>
        <v>9.8333333333333328E-3</v>
      </c>
      <c r="CJ217" s="43">
        <f>CJ135/CJ7/4</f>
        <v>2.8425141242937851E-2</v>
      </c>
      <c r="CK217" s="134">
        <f t="shared" ref="CK217" si="482">CF217-0.0015</f>
        <v>1.4410629654705484E-2</v>
      </c>
      <c r="CL217" s="134">
        <f t="shared" ref="CL217" si="483">CG217-0.0015</f>
        <v>9.4289617486338802E-3</v>
      </c>
      <c r="CM217" s="407">
        <f ca="1">AVERAGE(CH135:CL135)/CM7</f>
        <v>1.4433480397711768E-2</v>
      </c>
      <c r="CN217" s="134">
        <f t="shared" ref="CN217:CQ220" si="484">CI217</f>
        <v>9.8333333333333328E-3</v>
      </c>
      <c r="CO217" s="134">
        <f t="shared" si="484"/>
        <v>2.8425141242937851E-2</v>
      </c>
      <c r="CP217" s="134">
        <f t="shared" si="484"/>
        <v>1.4410629654705484E-2</v>
      </c>
      <c r="CQ217" s="134">
        <f t="shared" si="484"/>
        <v>9.4289617486338802E-3</v>
      </c>
      <c r="CR217" s="407">
        <f ca="1">AVERAGE(CM135:CQ135)/CR7</f>
        <v>1.416470452224745E-2</v>
      </c>
      <c r="CS217" s="134">
        <f t="shared" ref="CS217:CV220" si="485">CN217</f>
        <v>9.8333333333333328E-3</v>
      </c>
      <c r="CT217" s="134">
        <f t="shared" si="485"/>
        <v>2.8425141242937851E-2</v>
      </c>
      <c r="CU217" s="134">
        <f t="shared" si="485"/>
        <v>1.4410629654705484E-2</v>
      </c>
      <c r="CV217" s="134">
        <f t="shared" si="485"/>
        <v>9.4289617486338802E-3</v>
      </c>
      <c r="CW217" s="407">
        <f ca="1">AVERAGE(CR135:CV135)/CW7</f>
        <v>1.4178146219808672E-2</v>
      </c>
      <c r="CX217" s="134">
        <f t="shared" ref="CX217:DA221" si="486">CS217</f>
        <v>9.8333333333333328E-3</v>
      </c>
      <c r="CY217" s="134">
        <f t="shared" si="486"/>
        <v>2.8425141242937851E-2</v>
      </c>
      <c r="CZ217" s="134">
        <f t="shared" si="486"/>
        <v>1.4410629654705484E-2</v>
      </c>
      <c r="DA217" s="134">
        <f t="shared" si="486"/>
        <v>9.4289617486338802E-3</v>
      </c>
      <c r="DB217" s="407">
        <f ca="1">AVERAGE(CW135:DA135)/DB7</f>
        <v>1.4178845102761073E-2</v>
      </c>
      <c r="DC217" s="134">
        <f t="shared" ref="DC217:DF221" si="487">CX217</f>
        <v>9.8333333333333328E-3</v>
      </c>
      <c r="DD217" s="134">
        <f t="shared" si="487"/>
        <v>2.8425141242937851E-2</v>
      </c>
      <c r="DE217" s="134">
        <f t="shared" si="487"/>
        <v>1.4410629654705484E-2</v>
      </c>
      <c r="DF217" s="134">
        <f t="shared" si="487"/>
        <v>9.4289617486338802E-3</v>
      </c>
      <c r="DG217" s="407">
        <f ca="1">AVERAGE(DB135:DF135)/DG7</f>
        <v>1.4179554002799612E-2</v>
      </c>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c r="HB217"/>
      <c r="HC217"/>
      <c r="HD217"/>
      <c r="HE217"/>
      <c r="HF217"/>
      <c r="HG217"/>
      <c r="HH217"/>
      <c r="HI217"/>
      <c r="HJ217"/>
      <c r="HK217"/>
      <c r="HL217"/>
      <c r="HM217"/>
      <c r="HN217"/>
      <c r="HO217"/>
      <c r="HP217"/>
      <c r="HQ217"/>
      <c r="HR217"/>
    </row>
    <row r="218" spans="1:226" s="19" customFormat="1" x14ac:dyDescent="0.2">
      <c r="A218" s="80" t="s">
        <v>154</v>
      </c>
      <c r="B218" s="43"/>
      <c r="C218" s="43"/>
      <c r="D218" s="43"/>
      <c r="E218" s="43"/>
      <c r="F218" s="407"/>
      <c r="G218" s="43">
        <f t="shared" ref="G218:AX218" si="488">-G184/G7</f>
        <v>3.3536585365853661E-2</v>
      </c>
      <c r="H218" s="43">
        <f t="shared" si="488"/>
        <v>4.1713641488162347E-2</v>
      </c>
      <c r="I218" s="43">
        <f t="shared" si="488"/>
        <v>4.4965786901270774E-2</v>
      </c>
      <c r="J218" s="43">
        <f t="shared" si="488"/>
        <v>5.4078014184397165E-2</v>
      </c>
      <c r="K218" s="407">
        <f t="shared" si="488"/>
        <v>4.4007956240676278E-2</v>
      </c>
      <c r="L218" s="43">
        <f t="shared" si="488"/>
        <v>3.8204393505253106E-2</v>
      </c>
      <c r="M218" s="43">
        <f t="shared" si="488"/>
        <v>5.6155507559395246E-2</v>
      </c>
      <c r="N218" s="43">
        <f t="shared" si="488"/>
        <v>4.2198233562315994E-2</v>
      </c>
      <c r="O218" s="43">
        <f t="shared" si="488"/>
        <v>6.0763888888888888E-2</v>
      </c>
      <c r="P218" s="407">
        <f t="shared" si="488"/>
        <v>4.9469111969111967E-2</v>
      </c>
      <c r="Q218" s="43">
        <f t="shared" si="488"/>
        <v>3.8767395626242547E-2</v>
      </c>
      <c r="R218" s="43">
        <f t="shared" si="488"/>
        <v>4.6739130434782609E-2</v>
      </c>
      <c r="S218" s="43">
        <f t="shared" si="488"/>
        <v>3.3301617507136061E-2</v>
      </c>
      <c r="T218" s="43">
        <f t="shared" si="488"/>
        <v>4.472573839662447E-2</v>
      </c>
      <c r="U218" s="407">
        <f t="shared" si="488"/>
        <v>4.0845747236905337E-2</v>
      </c>
      <c r="V218" s="43">
        <f t="shared" si="488"/>
        <v>2.5763358778625955E-2</v>
      </c>
      <c r="W218" s="43">
        <f t="shared" si="488"/>
        <v>3.1E-2</v>
      </c>
      <c r="X218" s="43">
        <f t="shared" si="488"/>
        <v>2.85451197053407E-2</v>
      </c>
      <c r="Y218" s="43">
        <f t="shared" si="488"/>
        <v>4.9441786283891544E-2</v>
      </c>
      <c r="Z218" s="407">
        <f t="shared" si="488"/>
        <v>3.4412032816773019E-2</v>
      </c>
      <c r="AA218" s="43">
        <f t="shared" si="488"/>
        <v>3.3514492753623192E-2</v>
      </c>
      <c r="AB218" s="43">
        <f t="shared" si="488"/>
        <v>4.3233082706766915E-2</v>
      </c>
      <c r="AC218" s="43">
        <f t="shared" si="488"/>
        <v>3.3707865168539325E-2</v>
      </c>
      <c r="AD218" s="43">
        <f t="shared" si="488"/>
        <v>4.3972706595905992E-2</v>
      </c>
      <c r="AE218" s="407">
        <f t="shared" si="488"/>
        <v>3.875968992248062E-2</v>
      </c>
      <c r="AF218" s="43">
        <f t="shared" si="488"/>
        <v>2.6701119724375538E-2</v>
      </c>
      <c r="AG218" s="43">
        <f t="shared" si="488"/>
        <v>3.3605812897366028E-2</v>
      </c>
      <c r="AH218" s="43">
        <f t="shared" si="488"/>
        <v>2.2562449637389202E-2</v>
      </c>
      <c r="AI218" s="43">
        <f t="shared" si="488"/>
        <v>3.7946428571428568E-2</v>
      </c>
      <c r="AJ218" s="407">
        <f t="shared" si="488"/>
        <v>3.0328037961625746E-2</v>
      </c>
      <c r="AK218" s="43">
        <f t="shared" si="488"/>
        <v>2.0984665052461663E-2</v>
      </c>
      <c r="AL218" s="43">
        <f t="shared" si="488"/>
        <v>3.7942664418212479E-2</v>
      </c>
      <c r="AM218" s="43">
        <f t="shared" si="488"/>
        <v>2.3651145602365115E-2</v>
      </c>
      <c r="AN218" s="43">
        <f t="shared" si="488"/>
        <v>4.4816053511705686E-2</v>
      </c>
      <c r="AO218" s="407">
        <f t="shared" si="488"/>
        <v>3.223971173904798E-2</v>
      </c>
      <c r="AP218" s="43">
        <f t="shared" si="488"/>
        <v>2.8179190751445087E-2</v>
      </c>
      <c r="AQ218" s="43">
        <f t="shared" si="488"/>
        <v>3.7006578947368418E-2</v>
      </c>
      <c r="AR218" s="43">
        <f t="shared" si="488"/>
        <v>3.7777777777777778E-2</v>
      </c>
      <c r="AS218" s="43">
        <f t="shared" si="488"/>
        <v>4.1333333333333333E-2</v>
      </c>
      <c r="AT218" s="407">
        <f t="shared" si="488"/>
        <v>3.6146788990825691E-2</v>
      </c>
      <c r="AU218" s="43">
        <f t="shared" si="488"/>
        <v>2.6093630084420567E-2</v>
      </c>
      <c r="AV218" s="43">
        <f t="shared" si="488"/>
        <v>3.4567901234567898E-2</v>
      </c>
      <c r="AW218" s="43">
        <f t="shared" si="488"/>
        <v>2.7195027195027196E-2</v>
      </c>
      <c r="AX218" s="43">
        <f t="shared" si="488"/>
        <v>6.4380685794261719E-2</v>
      </c>
      <c r="AY218" s="407">
        <f t="shared" ref="AY218:BD218" si="489">-AY184/AY7</f>
        <v>3.8784868169659918E-2</v>
      </c>
      <c r="AZ218" s="43">
        <f t="shared" si="489"/>
        <v>2.6856240126382307E-2</v>
      </c>
      <c r="BA218" s="43">
        <f t="shared" si="489"/>
        <v>4.6649703138252757E-2</v>
      </c>
      <c r="BB218" s="43">
        <f t="shared" si="489"/>
        <v>5.3680981595092027E-2</v>
      </c>
      <c r="BC218" s="622">
        <f t="shared" ca="1" si="489"/>
        <v>5.3680981595092027E-2</v>
      </c>
      <c r="BD218" s="407">
        <f t="shared" ca="1" si="489"/>
        <v>4.5604132044336915E-2</v>
      </c>
      <c r="BE218" s="43">
        <f t="shared" ref="BE218:BJ218" si="490">-BE184/BE7</f>
        <v>2.8352490421455937E-2</v>
      </c>
      <c r="BF218" s="622">
        <f t="shared" si="490"/>
        <v>3.6855036855036855E-2</v>
      </c>
      <c r="BG218" s="622">
        <f t="shared" si="490"/>
        <v>2.6409707351891507E-2</v>
      </c>
      <c r="BH218" s="622">
        <f t="shared" si="490"/>
        <v>4.7371836469824791E-2</v>
      </c>
      <c r="BI218" s="407">
        <f t="shared" si="490"/>
        <v>3.511338697878566E-2</v>
      </c>
      <c r="BJ218" s="43">
        <f t="shared" si="490"/>
        <v>4.0358744394618833E-2</v>
      </c>
      <c r="BK218" s="43">
        <f t="shared" ref="BK218:CA218" si="491">-BK184/BK7</f>
        <v>3.6226415094339624E-2</v>
      </c>
      <c r="BL218" s="43">
        <f t="shared" si="491"/>
        <v>2.264685067232838E-2</v>
      </c>
      <c r="BM218" s="43">
        <f t="shared" si="491"/>
        <v>3.8784744667097609E-2</v>
      </c>
      <c r="BN218" s="407">
        <f t="shared" si="491"/>
        <v>3.4501155966565888E-2</v>
      </c>
      <c r="BO218" s="43">
        <f t="shared" si="491"/>
        <v>2.0104244229337303E-2</v>
      </c>
      <c r="BP218" s="43">
        <f t="shared" si="491"/>
        <v>2.7522935779816515E-2</v>
      </c>
      <c r="BQ218" s="43">
        <f t="shared" si="491"/>
        <v>1.8301610541727673E-2</v>
      </c>
      <c r="BR218" s="43">
        <f t="shared" si="491"/>
        <v>3.3400133600534405E-2</v>
      </c>
      <c r="BS218" s="407">
        <f t="shared" si="491"/>
        <v>2.5027203482045703E-2</v>
      </c>
      <c r="BT218" s="43">
        <f t="shared" si="491"/>
        <v>2.1449704142011833E-2</v>
      </c>
      <c r="BU218" s="43">
        <f t="shared" si="491"/>
        <v>2.3048327137546468E-2</v>
      </c>
      <c r="BV218" s="43">
        <f t="shared" si="491"/>
        <v>1.6416845110635261E-2</v>
      </c>
      <c r="BW218" s="43">
        <f t="shared" si="491"/>
        <v>2.6974951830443159E-2</v>
      </c>
      <c r="BX218" s="407">
        <f>-BX184/BX7</f>
        <v>2.2104332449160036E-2</v>
      </c>
      <c r="BY218" s="43">
        <f t="shared" si="491"/>
        <v>2.0143884892086329E-2</v>
      </c>
      <c r="BZ218" s="43">
        <f t="shared" si="491"/>
        <v>2.9739776951672861E-2</v>
      </c>
      <c r="CA218" s="43">
        <f t="shared" si="491"/>
        <v>3.155680224403927E-2</v>
      </c>
      <c r="CB218" s="43">
        <f t="shared" ref="CB218:CH218" si="492">-CB184/CB7</f>
        <v>3.6874999999999998E-2</v>
      </c>
      <c r="CC218" s="407">
        <f t="shared" si="492"/>
        <v>2.9855927790314183E-2</v>
      </c>
      <c r="CD218" s="43">
        <f t="shared" si="492"/>
        <v>4.0887040887040885E-2</v>
      </c>
      <c r="CE218" s="43">
        <f t="shared" si="492"/>
        <v>4.1251778093883355E-2</v>
      </c>
      <c r="CF218" s="43">
        <f t="shared" si="492"/>
        <v>2.979011509817197E-2</v>
      </c>
      <c r="CG218" s="43">
        <f t="shared" si="492"/>
        <v>4.2501517911353974E-2</v>
      </c>
      <c r="CH218" s="407">
        <f t="shared" si="492"/>
        <v>3.8674033149171269E-2</v>
      </c>
      <c r="CI218" s="43">
        <f t="shared" ref="CI218:CJ218" si="493">-CI184/CI7</f>
        <v>3.2666666666666663E-2</v>
      </c>
      <c r="CJ218" s="43">
        <f t="shared" si="493"/>
        <v>2.8248587570621469E-2</v>
      </c>
      <c r="CK218" s="134">
        <f>CF218</f>
        <v>2.979011509817197E-2</v>
      </c>
      <c r="CL218" s="134">
        <f>CG218</f>
        <v>4.2501517911353974E-2</v>
      </c>
      <c r="CM218" s="407">
        <f ca="1">-CM184/CM7</f>
        <v>3.370579086100739E-2</v>
      </c>
      <c r="CN218" s="134">
        <f>CI218-0.001</f>
        <v>3.1666666666666662E-2</v>
      </c>
      <c r="CO218" s="134">
        <f>CJ218-0.001</f>
        <v>2.7248587570621468E-2</v>
      </c>
      <c r="CP218" s="134">
        <f>CK218-0.001</f>
        <v>2.8790115098171969E-2</v>
      </c>
      <c r="CQ218" s="134">
        <f>CL218-0.001</f>
        <v>4.1501517911353973E-2</v>
      </c>
      <c r="CR218" s="407">
        <f ca="1">-CR184/CR7</f>
        <v>3.2615833150542568E-2</v>
      </c>
      <c r="CS218" s="134">
        <f>CN218-0.002</f>
        <v>2.9666666666666661E-2</v>
      </c>
      <c r="CT218" s="134">
        <f>CO218-0.002</f>
        <v>2.524858757062147E-2</v>
      </c>
      <c r="CU218" s="134">
        <f>CP218-0.002</f>
        <v>2.6790115098171967E-2</v>
      </c>
      <c r="CV218" s="134">
        <f>CQ218-0.002</f>
        <v>3.9501517911353971E-2</v>
      </c>
      <c r="CW218" s="407">
        <f ca="1">-CW184/CW7</f>
        <v>3.0613585465154941E-2</v>
      </c>
      <c r="CX218" s="134">
        <f>CS218-0.002</f>
        <v>2.7666666666666659E-2</v>
      </c>
      <c r="CY218" s="134">
        <f>CT218-0.002</f>
        <v>2.3248587570621468E-2</v>
      </c>
      <c r="CZ218" s="134">
        <f>CU218-0.002</f>
        <v>2.4790115098171965E-2</v>
      </c>
      <c r="DA218" s="134">
        <f>CV218-0.002</f>
        <v>3.750151791135397E-2</v>
      </c>
      <c r="DB218" s="407">
        <f ca="1">-DB184/DB7</f>
        <v>2.8611328594387846E-2</v>
      </c>
      <c r="DC218" s="134">
        <f>CX218-0.002</f>
        <v>2.5666666666666657E-2</v>
      </c>
      <c r="DD218" s="134">
        <f>CY218-0.002</f>
        <v>2.1248587570621466E-2</v>
      </c>
      <c r="DE218" s="134">
        <f>CZ218-0.002</f>
        <v>2.2790115098171963E-2</v>
      </c>
      <c r="DF218" s="134">
        <f>DA218-0.002</f>
        <v>3.5501517911353968E-2</v>
      </c>
      <c r="DG218" s="407">
        <f ca="1">-DG184/DG7</f>
        <v>2.6609062717772729E-2</v>
      </c>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c r="HB218"/>
      <c r="HC218"/>
      <c r="HD218"/>
      <c r="HE218"/>
      <c r="HF218"/>
      <c r="HG218"/>
      <c r="HH218"/>
      <c r="HI218"/>
      <c r="HJ218"/>
      <c r="HK218"/>
      <c r="HL218"/>
      <c r="HM218"/>
      <c r="HN218"/>
      <c r="HO218"/>
      <c r="HP218"/>
      <c r="HQ218"/>
      <c r="HR218"/>
    </row>
    <row r="219" spans="1:226" s="19" customFormat="1" x14ac:dyDescent="0.2">
      <c r="A219" s="80" t="s">
        <v>193</v>
      </c>
      <c r="B219" s="43"/>
      <c r="C219" s="43"/>
      <c r="D219" s="43"/>
      <c r="E219" s="43"/>
      <c r="F219" s="407"/>
      <c r="G219" s="43">
        <f>(G172*4)/G139</f>
        <v>0.19348469891411649</v>
      </c>
      <c r="H219" s="43">
        <f>(H172*4)/H139</f>
        <v>0.14516129032258066</v>
      </c>
      <c r="I219" s="43">
        <f>(I172*4)/I139</f>
        <v>0.21390374331550802</v>
      </c>
      <c r="J219" s="43">
        <f>(J172*4)/J139</f>
        <v>0.22357723577235772</v>
      </c>
      <c r="K219" s="407">
        <f>K172/AVERAGE(F139:J139)</f>
        <v>0.19114688128772636</v>
      </c>
      <c r="L219" s="43">
        <f>(L172*4)/L139</f>
        <v>0.17391304347826086</v>
      </c>
      <c r="M219" s="43">
        <f>(M172*4)/M139</f>
        <v>0.17874875868917578</v>
      </c>
      <c r="N219" s="43">
        <f>(N172*4)/N139</f>
        <v>0.2076923076923077</v>
      </c>
      <c r="O219" s="43">
        <f>(O172*4)/O139</f>
        <v>0.18283582089552239</v>
      </c>
      <c r="P219" s="407">
        <f>P172/AVERAGE(K139:O139)</f>
        <v>0.18754909662215241</v>
      </c>
      <c r="Q219" s="43">
        <f>(Q172*4)/Q139</f>
        <v>0.17636022514071295</v>
      </c>
      <c r="R219" s="43">
        <f>(R172*4)/R139</f>
        <v>0.17960710944808231</v>
      </c>
      <c r="S219" s="43">
        <f>(S172*4)/S139</f>
        <v>0.17342130065975495</v>
      </c>
      <c r="T219" s="43">
        <f>(T172*4)/T139</f>
        <v>0.20532319391634982</v>
      </c>
      <c r="U219" s="407">
        <f>U172/AVERAGE(P139:T139)</f>
        <v>0.18327067669172933</v>
      </c>
      <c r="V219" s="43">
        <f>(V172*4)/V139</f>
        <v>0.18894472361809045</v>
      </c>
      <c r="W219" s="43">
        <f>(W172*4)/W139</f>
        <v>0.18970736629667004</v>
      </c>
      <c r="X219" s="43">
        <f>(X172*4)/X139</f>
        <v>0.19611848825331971</v>
      </c>
      <c r="Y219" s="43">
        <f>(Y172*4)/Y139</f>
        <v>0.19219219219219219</v>
      </c>
      <c r="Z219" s="407">
        <f>Z172/AVERAGE(U139:Y139)</f>
        <v>0.18939393939393939</v>
      </c>
      <c r="AA219" s="43">
        <f>(AA172*4)/AA139</f>
        <v>0.2175226586102719</v>
      </c>
      <c r="AB219" s="43">
        <f>(AB172*4)/AB139</f>
        <v>0.15307150050352467</v>
      </c>
      <c r="AC219" s="43">
        <f>(AC172*4)/AC139</f>
        <v>0.18548387096774194</v>
      </c>
      <c r="AD219" s="43">
        <f>(AD172*4)/AD139</f>
        <v>0.19920318725099601</v>
      </c>
      <c r="AE219" s="407">
        <f>AE172/AVERAGE(Z139:AD139)</f>
        <v>0.18871712507528607</v>
      </c>
      <c r="AF219" s="43">
        <f>(AF172*4)/AF139</f>
        <v>0.18585858585858586</v>
      </c>
      <c r="AG219" s="43">
        <f>(AG172*4)/AG139</f>
        <v>0.19898477157360406</v>
      </c>
      <c r="AH219" s="43">
        <f>(AH172*4)/AH139</f>
        <v>0.19896373056994818</v>
      </c>
      <c r="AI219" s="43">
        <f>(AI172*4)/AI139</f>
        <v>0.20081967213114754</v>
      </c>
      <c r="AJ219" s="407">
        <f>AJ172/AVERAGE(AE139:AI139)</f>
        <v>0.1951219512195122</v>
      </c>
      <c r="AK219" s="43">
        <f>(AK172*4)/AK139</f>
        <v>0.19875776397515527</v>
      </c>
      <c r="AL219" s="43">
        <f>(AL172*4)/AL139</f>
        <v>0.20682523267838676</v>
      </c>
      <c r="AM219" s="43">
        <f>(AM172*4)/AM139</f>
        <v>0.23753976670201485</v>
      </c>
      <c r="AN219" s="43">
        <f>(AN172*4)/AN139</f>
        <v>0.21249999999999999</v>
      </c>
      <c r="AO219" s="407">
        <f>AO172/AVERAGE(AJ139:AN139)</f>
        <v>0.2130091438071488</v>
      </c>
      <c r="AP219" s="43">
        <f>(AP172*4)/AP139</f>
        <v>0.19957537154989385</v>
      </c>
      <c r="AQ219" s="43">
        <f>(AQ172*4)/AQ139</f>
        <v>0.19806243272335844</v>
      </c>
      <c r="AR219" s="43">
        <f>(AR172*4)/AR139</f>
        <v>0.21052631578947367</v>
      </c>
      <c r="AS219" s="43">
        <f>(AS172*4)/AS139</f>
        <v>0.20104712041884817</v>
      </c>
      <c r="AT219" s="407">
        <f>AT172/AVERAGE(AO139:AS139)</f>
        <v>0.2013991944032224</v>
      </c>
      <c r="AU219" s="43">
        <f>(AU172*4)/AU139</f>
        <v>0.20274551214361142</v>
      </c>
      <c r="AV219" s="43">
        <f>(AV172*4)/AV139</f>
        <v>0.20064034151547491</v>
      </c>
      <c r="AW219" s="43">
        <f>(AW172*4)/AW139</f>
        <v>0.18823529411764706</v>
      </c>
      <c r="AX219" s="43">
        <f>(AX172*4)/AX139</f>
        <v>0.18794688457609807</v>
      </c>
      <c r="AY219" s="407">
        <f>AY172/AVERAGE(AT139:AX139)</f>
        <v>0.19461392804544497</v>
      </c>
      <c r="AZ219" s="43">
        <f>(AZ172*4)/AZ139</f>
        <v>0.18652849740932642</v>
      </c>
      <c r="BA219" s="43">
        <f>(BA172*4)/BA139</f>
        <v>0.17677286742034942</v>
      </c>
      <c r="BB219" s="43">
        <f>(BB172*4)/BB139</f>
        <v>0.16699801192842942</v>
      </c>
      <c r="BC219" s="622">
        <f>AX219</f>
        <v>0.18794688457609807</v>
      </c>
      <c r="BD219" s="407">
        <f>BD172/AVERAGE(AY139:BC139)</f>
        <v>0.1743248690044337</v>
      </c>
      <c r="BE219" s="43">
        <f>(BE172*4)/BE139</f>
        <v>0.17898832684824903</v>
      </c>
      <c r="BF219" s="622">
        <f>(BF172*4)/BF139</f>
        <v>0.16522574447646493</v>
      </c>
      <c r="BG219" s="622">
        <f>(BG172*4)/BG139</f>
        <v>0.17709335899903753</v>
      </c>
      <c r="BH219" s="622">
        <f>(BH172*4)/BH139</f>
        <v>0.16651248843663274</v>
      </c>
      <c r="BI219" s="407">
        <f>BI172/AVERAGE(BD139:BH139)</f>
        <v>0.17214996174445296</v>
      </c>
      <c r="BJ219" s="43">
        <f>(BJ172*4)/BJ139</f>
        <v>0.16029143897996356</v>
      </c>
      <c r="BK219" s="43">
        <f>(BK172*4)/BK139</f>
        <v>0.17507136060894388</v>
      </c>
      <c r="BL219" s="43">
        <f>(BL172*4)/BL139</f>
        <v>0.17675312199807877</v>
      </c>
      <c r="BM219" s="43">
        <f>(BM172*4)/BM139</f>
        <v>0.18021547502448579</v>
      </c>
      <c r="BN219" s="407">
        <f>BN172/AVERAGE(BI139:BM139)</f>
        <v>0.17195767195767195</v>
      </c>
      <c r="BO219" s="43">
        <f>(BO172*4)/BO139</f>
        <v>0.17477656405163852</v>
      </c>
      <c r="BP219" s="43">
        <f>(BP172*4)/BP139</f>
        <v>0.18145161290322581</v>
      </c>
      <c r="BQ219" s="43">
        <f>(BQ172*4)/BQ139</f>
        <v>0.18144329896907216</v>
      </c>
      <c r="BR219" s="43">
        <f>(BR172*4)/BR139</f>
        <v>0.19242579324462641</v>
      </c>
      <c r="BS219" s="407">
        <f>BS172/AVERAGE(BN139:BR139)</f>
        <v>0.18119589289309443</v>
      </c>
      <c r="BT219" s="43">
        <f>(BT172*4)/BT139</f>
        <v>0.18162618796198521</v>
      </c>
      <c r="BU219" s="43">
        <f>(BU172*4)/BU139</f>
        <v>0.18006430868167203</v>
      </c>
      <c r="BV219" s="43">
        <f>(BV172*4)/BV139</f>
        <v>0.17884405670665213</v>
      </c>
      <c r="BW219" s="43">
        <f>(BW172*4)/BW139</f>
        <v>0.18736383442265794</v>
      </c>
      <c r="BX219" s="407">
        <f>BX172/AVERAGE(BS139:BW139)</f>
        <v>0.18009377664109122</v>
      </c>
      <c r="BY219" s="43">
        <f>(BY172*4)/BY139</f>
        <v>0.18531073446327684</v>
      </c>
      <c r="BZ219" s="43">
        <f>(BZ172*4)/BZ139</f>
        <v>0.18678815489749431</v>
      </c>
      <c r="CA219" s="43">
        <f>(CA172*4)/CA139</f>
        <v>0.18038331454340473</v>
      </c>
      <c r="CB219" s="827">
        <f>BW219</f>
        <v>0.18736383442265794</v>
      </c>
      <c r="CC219" s="407">
        <f>CC172/AVERAGE(BX139:CB139)</f>
        <v>0.18439874832364775</v>
      </c>
      <c r="CD219" s="43">
        <f>(CD172*4)/CD139</f>
        <v>0.17884405670665213</v>
      </c>
      <c r="CE219" s="43">
        <f>(CE172*4)/CE139</f>
        <v>0.18141592920353983</v>
      </c>
      <c r="CF219" s="43">
        <f>(CF172*4)/CF139</f>
        <v>0.17275747508305647</v>
      </c>
      <c r="CG219" s="43">
        <f>(CG172*4)/CG139</f>
        <v>0.18045112781954886</v>
      </c>
      <c r="CH219" s="407">
        <f>CH172/AVERAGE(CC139:CG139)</f>
        <v>0.178688884016663</v>
      </c>
      <c r="CI219" s="43">
        <f>(CI172*4)/CI139</f>
        <v>0.17130620985010706</v>
      </c>
      <c r="CJ219" s="43">
        <f>(CJ172*4)/CJ139</f>
        <v>0.17540106951871659</v>
      </c>
      <c r="CK219" s="134">
        <f t="shared" ref="CK219:CL220" si="494">CF219</f>
        <v>0.17275747508305647</v>
      </c>
      <c r="CL219" s="134">
        <f t="shared" si="494"/>
        <v>0.18045112781954886</v>
      </c>
      <c r="CM219" s="407">
        <f ca="1">CM172/AVERAGE(CH139:CL139)</f>
        <v>0.17383958844997513</v>
      </c>
      <c r="CN219" s="134">
        <f t="shared" si="484"/>
        <v>0.17130620985010706</v>
      </c>
      <c r="CO219" s="134">
        <f t="shared" si="484"/>
        <v>0.17540106951871659</v>
      </c>
      <c r="CP219" s="134">
        <f t="shared" si="484"/>
        <v>0.17275747508305647</v>
      </c>
      <c r="CQ219" s="134">
        <f t="shared" si="484"/>
        <v>0.18045112781954886</v>
      </c>
      <c r="CR219" s="407">
        <f ca="1">CR172/AVERAGE(CM139:CQ139)</f>
        <v>0.17377831168145749</v>
      </c>
      <c r="CS219" s="134">
        <f t="shared" si="485"/>
        <v>0.17130620985010706</v>
      </c>
      <c r="CT219" s="134">
        <f t="shared" si="485"/>
        <v>0.17540106951871659</v>
      </c>
      <c r="CU219" s="134">
        <f t="shared" si="485"/>
        <v>0.17275747508305647</v>
      </c>
      <c r="CV219" s="134">
        <f t="shared" si="485"/>
        <v>0.18045112781954886</v>
      </c>
      <c r="CW219" s="407">
        <f ca="1">CW172/AVERAGE(CR139:CV139)</f>
        <v>0.17411055569198264</v>
      </c>
      <c r="CX219" s="134">
        <f t="shared" si="486"/>
        <v>0.17130620985010706</v>
      </c>
      <c r="CY219" s="134">
        <f t="shared" si="486"/>
        <v>0.17540106951871659</v>
      </c>
      <c r="CZ219" s="134">
        <f t="shared" si="486"/>
        <v>0.17275747508305647</v>
      </c>
      <c r="DA219" s="134">
        <f t="shared" si="486"/>
        <v>0.18045112781954886</v>
      </c>
      <c r="DB219" s="407">
        <f ca="1">DB172/AVERAGE(CW139:DA139)</f>
        <v>0.1743760370222292</v>
      </c>
      <c r="DC219" s="134">
        <f t="shared" si="487"/>
        <v>0.17130620985010706</v>
      </c>
      <c r="DD219" s="134">
        <f t="shared" si="487"/>
        <v>0.17540106951871659</v>
      </c>
      <c r="DE219" s="134">
        <f t="shared" si="487"/>
        <v>0.17275747508305647</v>
      </c>
      <c r="DF219" s="134">
        <f t="shared" si="487"/>
        <v>0.18045112781954886</v>
      </c>
      <c r="DG219" s="407">
        <f ca="1">DG172/AVERAGE(DB139:DF139)</f>
        <v>0.17459616456864946</v>
      </c>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c r="HB219"/>
      <c r="HC219"/>
      <c r="HD219"/>
      <c r="HE219"/>
      <c r="HF219"/>
      <c r="HG219"/>
      <c r="HH219"/>
      <c r="HI219"/>
      <c r="HJ219"/>
      <c r="HK219"/>
      <c r="HL219"/>
      <c r="HM219"/>
      <c r="HN219"/>
      <c r="HO219"/>
      <c r="HP219"/>
      <c r="HQ219"/>
      <c r="HR219"/>
    </row>
    <row r="220" spans="1:226" s="19" customFormat="1" x14ac:dyDescent="0.2">
      <c r="A220" s="80" t="s">
        <v>155</v>
      </c>
      <c r="B220" s="43"/>
      <c r="C220" s="43"/>
      <c r="D220" s="43"/>
      <c r="E220" s="43"/>
      <c r="F220" s="407"/>
      <c r="G220" s="43">
        <f>(G172*4)/F139</f>
        <v>0.18738049713193117</v>
      </c>
      <c r="H220" s="43">
        <f>(H172*4)/G139</f>
        <v>0.14215202369200394</v>
      </c>
      <c r="I220" s="43">
        <f>(I172*4)/H139</f>
        <v>0.20161290322580644</v>
      </c>
      <c r="J220" s="43">
        <f>(J172*4)/I139</f>
        <v>0.23529411764705882</v>
      </c>
      <c r="K220" s="407">
        <f>K172/F139</f>
        <v>0.18164435946462715</v>
      </c>
      <c r="L220" s="43">
        <f>(L172*4)/K139</f>
        <v>0.17479674796747968</v>
      </c>
      <c r="M220" s="43">
        <f>(M172*4)/L139</f>
        <v>0.18200202224469161</v>
      </c>
      <c r="N220" s="43">
        <f>(N172*4)/M139</f>
        <v>0.21449851042701093</v>
      </c>
      <c r="O220" s="43">
        <f>(O172*4)/N139</f>
        <v>0.18846153846153846</v>
      </c>
      <c r="P220" s="407">
        <f>P172/K139</f>
        <v>0.19410569105691056</v>
      </c>
      <c r="Q220" s="43">
        <f>(Q172*4)/P139</f>
        <v>0.17537313432835822</v>
      </c>
      <c r="R220" s="43">
        <f>(R172*4)/Q139</f>
        <v>0.1801125703564728</v>
      </c>
      <c r="S220" s="43">
        <f>(S172*4)/R139</f>
        <v>0.17212347988774557</v>
      </c>
      <c r="T220" s="43">
        <f>(T172*4)/S139</f>
        <v>0.20358152686145145</v>
      </c>
      <c r="U220" s="407">
        <f>U172/P139</f>
        <v>0.18190298507462688</v>
      </c>
      <c r="V220" s="43">
        <f>(V172*4)/U139</f>
        <v>0.17870722433460076</v>
      </c>
      <c r="W220" s="43">
        <f>(W172*4)/V139</f>
        <v>0.18894472361809045</v>
      </c>
      <c r="X220" s="43">
        <f>(X172*4)/W139</f>
        <v>0.19374369323915236</v>
      </c>
      <c r="Y220" s="43">
        <f>(Y172*4)/X139</f>
        <v>0.19611848825331971</v>
      </c>
      <c r="Z220" s="407">
        <f>Z172/U139</f>
        <v>0.1806083650190114</v>
      </c>
      <c r="AA220" s="43">
        <f>(AA172*4)/Z139</f>
        <v>0.21621621621621623</v>
      </c>
      <c r="AB220" s="43">
        <f>(AB172*4)/AA139</f>
        <v>0.15307150050352467</v>
      </c>
      <c r="AC220" s="43">
        <f>(AC172*4)/AB139</f>
        <v>0.18529707955689828</v>
      </c>
      <c r="AD220" s="43">
        <f>(AD172*4)/AC139</f>
        <v>0.20161290322580644</v>
      </c>
      <c r="AE220" s="407">
        <f>AE172/Z139</f>
        <v>0.18818818818818819</v>
      </c>
      <c r="AF220" s="43">
        <f>(AF172*4)/AE139</f>
        <v>0.18326693227091634</v>
      </c>
      <c r="AG220" s="43">
        <f>(AG172*4)/AF139</f>
        <v>0.19797979797979798</v>
      </c>
      <c r="AH220" s="43">
        <f>(AH172*4)/AG139</f>
        <v>0.1949238578680203</v>
      </c>
      <c r="AI220" s="43">
        <f>(AI172*4)/AH139</f>
        <v>0.20310880829015543</v>
      </c>
      <c r="AJ220" s="407">
        <f>AJ172/AE139</f>
        <v>0.19123505976095617</v>
      </c>
      <c r="AK220" s="43">
        <f>(AK172*4)/AJ139</f>
        <v>0.19672131147540983</v>
      </c>
      <c r="AL220" s="43">
        <f>(AL172*4)/AK139</f>
        <v>0.20703933747412009</v>
      </c>
      <c r="AM220" s="43">
        <f>(AM172*4)/AL139</f>
        <v>0.23164426059979318</v>
      </c>
      <c r="AN220" s="43">
        <f>(AN172*4)/AM139</f>
        <v>0.21633085896076351</v>
      </c>
      <c r="AO220" s="407">
        <f>AO172/AJ139</f>
        <v>0.21004098360655737</v>
      </c>
      <c r="AP220" s="43">
        <f>(AP172*4)/AO139</f>
        <v>0.19583333333333333</v>
      </c>
      <c r="AQ220" s="43">
        <f>(AQ172*4)/AP139</f>
        <v>0.19532908704883228</v>
      </c>
      <c r="AR220" s="43">
        <f>(AR172*4)/AQ139</f>
        <v>0.21097954790096879</v>
      </c>
      <c r="AS220" s="43">
        <f>(AS172*4)/AR139</f>
        <v>0.20622986036519872</v>
      </c>
      <c r="AT220" s="407">
        <f>AT172/AO139</f>
        <v>0.19791666666666666</v>
      </c>
      <c r="AU220" s="43">
        <f>(AU172*4)/AT139</f>
        <v>0.20104712041884817</v>
      </c>
      <c r="AV220" s="43">
        <f>(AV172*4)/AU139</f>
        <v>0.19852164730728616</v>
      </c>
      <c r="AW220" s="43">
        <f>(AW172*4)/AV139</f>
        <v>0.18783351120597652</v>
      </c>
      <c r="AX220" s="43">
        <f>(AX172*4)/AW139</f>
        <v>0.19679144385026737</v>
      </c>
      <c r="AY220" s="407">
        <f>AY172/AT139</f>
        <v>0.193717277486911</v>
      </c>
      <c r="AZ220" s="43">
        <f>(AZ172*4)/AY139</f>
        <v>0.18386108273748722</v>
      </c>
      <c r="BA220" s="43">
        <f>(BA172*4)/AZ139</f>
        <v>0.17823834196891192</v>
      </c>
      <c r="BB220" s="43">
        <f>(BB172*4)/BA139</f>
        <v>0.17266187050359713</v>
      </c>
      <c r="BC220" s="43">
        <f>(BC172*4)/BB139</f>
        <v>0.1709741550695825</v>
      </c>
      <c r="BD220" s="407">
        <f>BD172/AY139</f>
        <v>0.17671092951991829</v>
      </c>
      <c r="BE220" s="43">
        <f>(BE172*4)/BD139</f>
        <v>0.17709335899903753</v>
      </c>
      <c r="BF220" s="622">
        <f>(BF172*4)/BE139</f>
        <v>0.16731517509727625</v>
      </c>
      <c r="BG220" s="622">
        <f>(BG172*4)/BF139</f>
        <v>0.17675312199807877</v>
      </c>
      <c r="BH220" s="622">
        <f>(BH172*4)/BG139</f>
        <v>0.17324350336862368</v>
      </c>
      <c r="BI220" s="407">
        <f>BI172/BD139</f>
        <v>0.17324350336862368</v>
      </c>
      <c r="BJ220" s="43">
        <f>(BJ172*4)/BI139</f>
        <v>0.16281221091581868</v>
      </c>
      <c r="BK220" s="43">
        <f>(BK172*4)/BJ139</f>
        <v>0.16757741347905283</v>
      </c>
      <c r="BL220" s="43">
        <f>(BL172*4)/BK139</f>
        <v>0.17507136060894388</v>
      </c>
      <c r="BM220" s="43">
        <f>(BM172*4)/BL139</f>
        <v>0.17675312199807877</v>
      </c>
      <c r="BN220" s="407">
        <f>BN172/BI139</f>
        <v>0.16836262719703979</v>
      </c>
      <c r="BO220" s="43">
        <f>(BO172*4)/BN139</f>
        <v>0.17238001958863858</v>
      </c>
      <c r="BP220" s="43">
        <f>(BP172*4)/BO139</f>
        <v>0.17874875868917578</v>
      </c>
      <c r="BQ220" s="43">
        <f>(BQ172*4)/BP139</f>
        <v>0.17741935483870969</v>
      </c>
      <c r="BR220" s="43">
        <f>(BR172*4)/BQ139</f>
        <v>0.19381443298969073</v>
      </c>
      <c r="BS220" s="407">
        <f>BS172/BN139</f>
        <v>0.1762977473065622</v>
      </c>
      <c r="BT220" s="43">
        <f>(BT172*4)/BS139</f>
        <v>0.17604912998976457</v>
      </c>
      <c r="BU220" s="43">
        <f>(BU172*4)/BT139</f>
        <v>0.17740232312565998</v>
      </c>
      <c r="BV220" s="43">
        <f>(BV172*4)/BU139</f>
        <v>0.17577706323687031</v>
      </c>
      <c r="BW220" s="43">
        <f>(BW172*4)/BV139</f>
        <v>0.18756815703380589</v>
      </c>
      <c r="BX220" s="407">
        <f>BX172/BS139</f>
        <v>0.172978505629478</v>
      </c>
      <c r="BY220" s="43">
        <f>(BY172*4)/BX139</f>
        <v>0.1786492374727669</v>
      </c>
      <c r="BZ220" s="43">
        <f>(BZ172*4)/BY139</f>
        <v>0.18531073446327684</v>
      </c>
      <c r="CA220" s="43">
        <f>(CA172*4)/BZ139</f>
        <v>0.18223234624145787</v>
      </c>
      <c r="CB220" s="827">
        <f>BW220</f>
        <v>0.18756815703380589</v>
      </c>
      <c r="CC220" s="407">
        <f>CC172/BX139</f>
        <v>0.17973856209150327</v>
      </c>
      <c r="CD220" s="43">
        <f>(CD172*4)/CC139</f>
        <v>0.18101545253863136</v>
      </c>
      <c r="CE220" s="43">
        <f>(CE172*4)/CD139</f>
        <v>0.17884405670665213</v>
      </c>
      <c r="CF220" s="43">
        <f>(CF172*4)/CE139</f>
        <v>0.17256637168141592</v>
      </c>
      <c r="CG220" s="43">
        <f>(CG172*4)/CF139</f>
        <v>0.18604651162790697</v>
      </c>
      <c r="CH220" s="407">
        <f>CH172/CC139</f>
        <v>0.17991169977924945</v>
      </c>
      <c r="CI220" s="43">
        <f>(CI172*4)/CH139</f>
        <v>0.17185821697099893</v>
      </c>
      <c r="CJ220" s="43">
        <f>(CJ172*4)/CI139</f>
        <v>0.17558886509635974</v>
      </c>
      <c r="CK220" s="134">
        <f t="shared" si="494"/>
        <v>0.17256637168141592</v>
      </c>
      <c r="CL220" s="134">
        <f t="shared" si="494"/>
        <v>0.18604651162790697</v>
      </c>
      <c r="CM220" s="407">
        <f>CM172/CH139</f>
        <v>0.17591234847588177</v>
      </c>
      <c r="CN220" s="134">
        <f t="shared" si="484"/>
        <v>0.17185821697099893</v>
      </c>
      <c r="CO220" s="134">
        <f t="shared" si="484"/>
        <v>0.17558886509635974</v>
      </c>
      <c r="CP220" s="134">
        <f t="shared" si="484"/>
        <v>0.17256637168141592</v>
      </c>
      <c r="CQ220" s="134">
        <f t="shared" si="484"/>
        <v>0.18604651162790697</v>
      </c>
      <c r="CR220" s="407">
        <f ca="1">CR172/CM139</f>
        <v>0.17619233539503101</v>
      </c>
      <c r="CS220" s="134">
        <f t="shared" si="485"/>
        <v>0.17185821697099893</v>
      </c>
      <c r="CT220" s="134">
        <f t="shared" si="485"/>
        <v>0.17558886509635974</v>
      </c>
      <c r="CU220" s="134">
        <f t="shared" si="485"/>
        <v>0.17256637168141592</v>
      </c>
      <c r="CV220" s="134">
        <f t="shared" si="485"/>
        <v>0.18604651162790697</v>
      </c>
      <c r="CW220" s="407">
        <f ca="1">CW172/CR139</f>
        <v>0.17515724617871808</v>
      </c>
      <c r="CX220" s="134">
        <f t="shared" si="486"/>
        <v>0.17185821697099893</v>
      </c>
      <c r="CY220" s="134">
        <f t="shared" si="486"/>
        <v>0.17558886509635974</v>
      </c>
      <c r="CZ220" s="134">
        <f t="shared" si="486"/>
        <v>0.17256637168141592</v>
      </c>
      <c r="DA220" s="134">
        <f t="shared" si="486"/>
        <v>0.18604651162790697</v>
      </c>
      <c r="DB220" s="407">
        <f ca="1">DB172/CW139</f>
        <v>0.17431694753101187</v>
      </c>
      <c r="DC220" s="134">
        <f t="shared" si="487"/>
        <v>0.17185821697099893</v>
      </c>
      <c r="DD220" s="134">
        <f t="shared" si="487"/>
        <v>0.17558886509635974</v>
      </c>
      <c r="DE220" s="134">
        <f t="shared" si="487"/>
        <v>0.17256637168141592</v>
      </c>
      <c r="DF220" s="134">
        <f t="shared" si="487"/>
        <v>0.18604651162790697</v>
      </c>
      <c r="DG220" s="407">
        <f ca="1">DG172/DB139</f>
        <v>0.17360283857482967</v>
      </c>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c r="HB220"/>
      <c r="HC220"/>
      <c r="HD220"/>
      <c r="HE220"/>
      <c r="HF220"/>
      <c r="HG220"/>
      <c r="HH220"/>
      <c r="HI220"/>
      <c r="HJ220"/>
      <c r="HK220"/>
      <c r="HL220"/>
      <c r="HM220"/>
      <c r="HN220"/>
      <c r="HO220"/>
      <c r="HP220"/>
      <c r="HQ220"/>
      <c r="HR220"/>
    </row>
    <row r="221" spans="1:226" s="19" customFormat="1" x14ac:dyDescent="0.2">
      <c r="A221" s="80" t="s">
        <v>156</v>
      </c>
      <c r="B221" s="43"/>
      <c r="C221" s="43"/>
      <c r="D221" s="43"/>
      <c r="E221" s="43"/>
      <c r="F221" s="407"/>
      <c r="G221" s="43">
        <f>G141/G7/4</f>
        <v>7.4949186991869921E-2</v>
      </c>
      <c r="H221" s="43">
        <f>H141/H7/4</f>
        <v>8.5118376550169114E-2</v>
      </c>
      <c r="I221" s="43">
        <f>I141/I7/4</f>
        <v>9.3352883675464321E-2</v>
      </c>
      <c r="J221" s="43">
        <f>J141/J7/4</f>
        <v>6.959219858156028E-2</v>
      </c>
      <c r="K221" s="407">
        <f>AVERAGE(F141:J141)/K7</f>
        <v>7.7821979114868226E-2</v>
      </c>
      <c r="L221" s="43">
        <f>L141/L7/4</f>
        <v>7.8557784145176696E-2</v>
      </c>
      <c r="M221" s="43">
        <f>M141/M7/4</f>
        <v>8.7742980561555078E-2</v>
      </c>
      <c r="N221" s="43">
        <f>N141/N7/4</f>
        <v>8.8321884200196266E-2</v>
      </c>
      <c r="O221" s="43">
        <f>O141/O7/4</f>
        <v>5.3819444444444448E-2</v>
      </c>
      <c r="P221" s="407">
        <f>AVERAGE(K141:O141)/P7</f>
        <v>7.6061776061776054E-2</v>
      </c>
      <c r="Q221" s="43">
        <f>Q141/Q7/4</f>
        <v>5.6908548707753477E-2</v>
      </c>
      <c r="R221" s="43">
        <f>R141/R7/4</f>
        <v>6.25E-2</v>
      </c>
      <c r="S221" s="43">
        <f>S141/S7/4</f>
        <v>5.3282588011417699E-2</v>
      </c>
      <c r="T221" s="43">
        <f>T141/T7/4</f>
        <v>7.6793248945147677E-2</v>
      </c>
      <c r="U221" s="407">
        <f>AVERAGE(P141:T141)/U7</f>
        <v>6.2229697260932242E-2</v>
      </c>
      <c r="V221" s="43">
        <f>V141/V7/4</f>
        <v>7.3711832061068697E-2</v>
      </c>
      <c r="W221" s="43">
        <f>W141/W7/4</f>
        <v>7.9500000000000001E-2</v>
      </c>
      <c r="X221" s="43">
        <f>X141/X7/4</f>
        <v>6.9981583793738492E-2</v>
      </c>
      <c r="Y221" s="43">
        <f>Y141/Y7/4</f>
        <v>3.7081339712918659E-2</v>
      </c>
      <c r="Z221" s="407">
        <f>AVERAGE(U141:Y141)/Z7</f>
        <v>6.7502278942570645E-2</v>
      </c>
      <c r="AA221" s="43">
        <f>AA141/AA7/4</f>
        <v>4.2798913043478264E-2</v>
      </c>
      <c r="AB221" s="43">
        <f>AB141/AB7/4</f>
        <v>3.8768796992481203E-2</v>
      </c>
      <c r="AC221" s="43">
        <f>AC141/AC7/4</f>
        <v>3.4572169403630081E-2</v>
      </c>
      <c r="AD221" s="43">
        <f>AD141/AD7/4</f>
        <v>4.871114480667172E-2</v>
      </c>
      <c r="AE221" s="407">
        <f>AVERAGE(Z141:AD141)/AE7</f>
        <v>4.1214470284237727E-2</v>
      </c>
      <c r="AF221" s="43">
        <f>AF141/AF7/4</f>
        <v>5.534022394487511E-2</v>
      </c>
      <c r="AG221" s="43">
        <f>AG141/AG7/4</f>
        <v>5.6993642143505906E-2</v>
      </c>
      <c r="AH221" s="43">
        <f>AH141/AH7/4</f>
        <v>5.0362610797743755E-2</v>
      </c>
      <c r="AI221" s="43">
        <f>AI141/AI7/4</f>
        <v>3.7202380952380952E-2</v>
      </c>
      <c r="AJ221" s="407">
        <f>AVERAGE(AE141:AI141)/AJ7</f>
        <v>5.0134103569218075E-2</v>
      </c>
      <c r="AK221" s="43">
        <f>AK141/AK7/4</f>
        <v>3.8135593220338986E-2</v>
      </c>
      <c r="AL221" s="43">
        <f>AL141/AL7/4</f>
        <v>3.9418212478920744E-2</v>
      </c>
      <c r="AM221" s="43">
        <f>AM141/AM7/4</f>
        <v>3.4368070953436809E-2</v>
      </c>
      <c r="AN221" s="43">
        <f>AN141/AN7/4</f>
        <v>2.6421404682274247E-2</v>
      </c>
      <c r="AO221" s="407">
        <f>AVERAGE(AJ141:AN141)/AO7</f>
        <v>3.4894746823440168E-2</v>
      </c>
      <c r="AP221" s="43">
        <f>AP141/AP7/4</f>
        <v>2.8901734104046242E-2</v>
      </c>
      <c r="AQ221" s="43">
        <f>AQ141/AQ7/4</f>
        <v>3.0838815789473683E-2</v>
      </c>
      <c r="AR221" s="43">
        <f>AR141/AR7/4</f>
        <v>2.7777777777777776E-2</v>
      </c>
      <c r="AS221" s="43">
        <f>AS141/AS7/4</f>
        <v>2.4833333333333332E-2</v>
      </c>
      <c r="AT221" s="407">
        <f>AVERAGE(AO141:AS141)/AT7</f>
        <v>2.8146788990825688E-2</v>
      </c>
      <c r="AU221" s="43">
        <f>AU141/AU7/4</f>
        <v>2.8971603990790483E-2</v>
      </c>
      <c r="AV221" s="43">
        <f>AV141/AV7/4</f>
        <v>3.0041152263374487E-2</v>
      </c>
      <c r="AW221" s="43">
        <f>AW141/AW7/4</f>
        <v>2.8554778554778556E-2</v>
      </c>
      <c r="AX221" s="43">
        <f>AX141/AX7/4</f>
        <v>2.5192442267319804E-2</v>
      </c>
      <c r="AY221" s="407">
        <f>AVERAGE(AT141:AX141)/AY7</f>
        <v>2.8162017577378681E-2</v>
      </c>
      <c r="AZ221" s="43">
        <f>AZ141/AZ7/4</f>
        <v>2.8633491311216428E-2</v>
      </c>
      <c r="BA221" s="43">
        <f>BA141/BA7/4</f>
        <v>2.9050042408821034E-2</v>
      </c>
      <c r="BB221" s="43">
        <f>BB141/BB7/4</f>
        <v>2.6648773006134968E-2</v>
      </c>
      <c r="BC221" s="43">
        <f>BC141/BC7/4</f>
        <v>2.3954116059379218E-2</v>
      </c>
      <c r="BD221" s="407">
        <f>AVERAGE(AY141:BC141)/BD7</f>
        <v>2.7031160389982795E-2</v>
      </c>
      <c r="BE221" s="43">
        <f>BE141/BE7/4</f>
        <v>2.528735632183908E-2</v>
      </c>
      <c r="BF221" s="622">
        <f>BF141/BF7/4</f>
        <v>2.846027846027846E-2</v>
      </c>
      <c r="BG221" s="622">
        <f>BG141/BG7/4</f>
        <v>2.4446823697359028E-2</v>
      </c>
      <c r="BH221" s="622">
        <f>BH141/BH7/4</f>
        <v>2.336145360155743E-2</v>
      </c>
      <c r="BI221" s="407">
        <f>AVERAGE(BD141:BH141)/BI7</f>
        <v>2.5384052670080471E-2</v>
      </c>
      <c r="BJ221" s="43">
        <f>BJ141/BJ7/4</f>
        <v>2.6532137518684603E-2</v>
      </c>
      <c r="BK221" s="43">
        <f>BK141/BK7/4</f>
        <v>2.7358490566037737E-2</v>
      </c>
      <c r="BL221" s="43">
        <f>BL141/BL7/4</f>
        <v>2.5300778485491861E-2</v>
      </c>
      <c r="BM221" s="43">
        <f>BM141/BM7/4</f>
        <v>2.2301228183581125E-2</v>
      </c>
      <c r="BN221" s="407">
        <f>AVERAGE(BI141:BM141)/BN7</f>
        <v>2.5324559843499912E-2</v>
      </c>
      <c r="BO221" s="43">
        <f>BO141/BO7/4</f>
        <v>2.661950856291884E-2</v>
      </c>
      <c r="BP221" s="43">
        <f>BP141/BP7/4</f>
        <v>3.3830275229357797E-2</v>
      </c>
      <c r="BQ221" s="43">
        <f>BQ141/BQ7/4</f>
        <v>3.184480234260615E-2</v>
      </c>
      <c r="BR221" s="43">
        <f>BR141/BR7/4</f>
        <v>2.9058116232464931E-2</v>
      </c>
      <c r="BS221" s="407">
        <f>AVERAGE(BN141:BR141)/BS7</f>
        <v>2.923467537178092E-2</v>
      </c>
      <c r="BT221" s="43">
        <f>BT141/BT7/4</f>
        <v>3.069526627218935E-2</v>
      </c>
      <c r="BU221" s="43">
        <f>BU141/BU7/4</f>
        <v>3.0483271375464683E-2</v>
      </c>
      <c r="BV221" s="43">
        <f>BV141/BV7/4</f>
        <v>2.8907922912205567E-2</v>
      </c>
      <c r="BW221" s="43">
        <f>BW141/BW7/4</f>
        <v>2.6493256262042388E-2</v>
      </c>
      <c r="BX221" s="407">
        <f>AVERAGE(BS141:BW141)/BX7</f>
        <v>2.9389920424403183E-2</v>
      </c>
      <c r="BY221" s="43">
        <f>BY141/BY7/4</f>
        <v>2.985611510791367E-2</v>
      </c>
      <c r="BZ221" s="43">
        <f>BZ141/BZ7/4</f>
        <v>3.2899628252788103E-2</v>
      </c>
      <c r="CA221" s="43">
        <f>CA141/CA7/4</f>
        <v>3.0680224403927068E-2</v>
      </c>
      <c r="CB221" s="570">
        <f>CB141/CB7/4</f>
        <v>3.0468749999999999E-2</v>
      </c>
      <c r="CC221" s="407">
        <f>AVERAGE(BX141:CB141)/CC7</f>
        <v>3.0480819302204476E-2</v>
      </c>
      <c r="CD221" s="43">
        <f>CD141/CD7/4</f>
        <v>3.5343035343035345E-2</v>
      </c>
      <c r="CE221" s="43">
        <f>CE141/CE7/4</f>
        <v>3.5206258890469418E-2</v>
      </c>
      <c r="CF221" s="43">
        <f>CF141/CF7/4</f>
        <v>3.4698713608666214E-2</v>
      </c>
      <c r="CG221" s="43">
        <f>CG141/CG7/4</f>
        <v>3.1876138433515486E-2</v>
      </c>
      <c r="CH221" s="407">
        <f>AVERAGE(CC141:CG141)/CH7</f>
        <v>3.3885819521178639E-2</v>
      </c>
      <c r="CI221" s="43">
        <f>CI141/CI7/4</f>
        <v>3.7166666666666667E-2</v>
      </c>
      <c r="CJ221" s="43">
        <f>CJ141/CJ7/4</f>
        <v>3.9018361581920902E-2</v>
      </c>
      <c r="CK221" s="134">
        <f>CF221</f>
        <v>3.4698713608666214E-2</v>
      </c>
      <c r="CL221" s="134">
        <f>CG221</f>
        <v>3.1876138433515486E-2</v>
      </c>
      <c r="CM221" s="407">
        <f ca="1">AVERAGE(CH141:CL141)/CM7</f>
        <v>3.5220020587969768E-2</v>
      </c>
      <c r="CN221" s="134">
        <f>CI221</f>
        <v>3.7166666666666667E-2</v>
      </c>
      <c r="CO221" s="134">
        <f>CJ221</f>
        <v>3.9018361581920902E-2</v>
      </c>
      <c r="CP221" s="134">
        <f>CK221</f>
        <v>3.4698713608666214E-2</v>
      </c>
      <c r="CQ221" s="134">
        <f>CL221</f>
        <v>3.1876138433515486E-2</v>
      </c>
      <c r="CR221" s="407">
        <f ca="1">AVERAGE(CM141:CQ141)/CR7</f>
        <v>3.5216966854644031E-2</v>
      </c>
      <c r="CS221" s="134">
        <f>CN221</f>
        <v>3.7166666666666667E-2</v>
      </c>
      <c r="CT221" s="134">
        <f>CO221</f>
        <v>3.9018361581920902E-2</v>
      </c>
      <c r="CU221" s="134">
        <f>CP221</f>
        <v>3.4698713608666214E-2</v>
      </c>
      <c r="CV221" s="134">
        <f>CQ221</f>
        <v>3.1876138433515486E-2</v>
      </c>
      <c r="CW221" s="407">
        <f ca="1">AVERAGE(CR141:CV141)/CW7</f>
        <v>3.5256169239939503E-2</v>
      </c>
      <c r="CX221" s="134">
        <f t="shared" si="486"/>
        <v>3.7166666666666667E-2</v>
      </c>
      <c r="CY221" s="134">
        <f t="shared" si="486"/>
        <v>3.9018361581920902E-2</v>
      </c>
      <c r="CZ221" s="134">
        <f t="shared" si="486"/>
        <v>3.4698713608666214E-2</v>
      </c>
      <c r="DA221" s="134">
        <f t="shared" si="486"/>
        <v>3.1876138433515486E-2</v>
      </c>
      <c r="DB221" s="407">
        <f ca="1">AVERAGE(CW141:DA141)/DB7</f>
        <v>3.525224203441242E-2</v>
      </c>
      <c r="DC221" s="134">
        <f t="shared" si="487"/>
        <v>3.7166666666666667E-2</v>
      </c>
      <c r="DD221" s="134">
        <f t="shared" si="487"/>
        <v>3.9018361581920902E-2</v>
      </c>
      <c r="DE221" s="134">
        <f t="shared" si="487"/>
        <v>3.4698713608666214E-2</v>
      </c>
      <c r="DF221" s="134">
        <f t="shared" si="487"/>
        <v>3.1876138433515486E-2</v>
      </c>
      <c r="DG221" s="407">
        <f ca="1">AVERAGE(DB141:DF141)/DG7</f>
        <v>3.5248298584057522E-2</v>
      </c>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c r="HB221"/>
      <c r="HC221"/>
      <c r="HD221"/>
      <c r="HE221"/>
      <c r="HF221"/>
      <c r="HG221"/>
      <c r="HH221"/>
      <c r="HI221"/>
      <c r="HJ221"/>
      <c r="HK221"/>
      <c r="HL221"/>
      <c r="HM221"/>
      <c r="HN221"/>
      <c r="HO221"/>
      <c r="HP221"/>
      <c r="HQ221"/>
      <c r="HR221"/>
    </row>
    <row r="222" spans="1:226" s="19" customFormat="1" x14ac:dyDescent="0.2">
      <c r="A222" s="127" t="s">
        <v>157</v>
      </c>
      <c r="B222" s="130"/>
      <c r="C222" s="130"/>
      <c r="D222" s="130"/>
      <c r="E222" s="130"/>
      <c r="F222" s="462"/>
      <c r="G222" s="130">
        <f>-(AVERAGE(F147:G147)/G11)*365/4</f>
        <v>50.024553571428577</v>
      </c>
      <c r="H222" s="130">
        <f>-(AVERAGE(G147:H147)/H11)*365/4</f>
        <v>55.292079207920793</v>
      </c>
      <c r="I222" s="130">
        <f>-(AVERAGE(H147:I147)/I11)*365/4</f>
        <v>47.639006791171475</v>
      </c>
      <c r="J222" s="130">
        <f>-(AVERAGE(I147:J147)/J11)*365/4</f>
        <v>46.208999999999996</v>
      </c>
      <c r="K222" s="462">
        <f>-(AVERAGE(F147,J147)/K11)*365</f>
        <v>51.570864414216764</v>
      </c>
      <c r="L222" s="130">
        <f>-(AVERAGE(K147:L147)/L11)*365/4</f>
        <v>51.076516544117645</v>
      </c>
      <c r="M222" s="130">
        <f>-(AVERAGE(L147:M147)/M11)*365/4</f>
        <v>49.580393145161288</v>
      </c>
      <c r="N222" s="130">
        <f>-(AVERAGE(M147:N147)/N11)*365/4</f>
        <v>46.693693693693696</v>
      </c>
      <c r="O222" s="130">
        <f>-(AVERAGE(N147:O147)/O11)*365/4</f>
        <v>44.900793650793645</v>
      </c>
      <c r="P222" s="462">
        <f>-(AVERAGE(K147,O147)/P11)*365</f>
        <v>52.65842696629214</v>
      </c>
      <c r="Q222" s="130">
        <f>-(AVERAGE(P147:Q147)/Q11)*365/4</f>
        <v>46.969237435008665</v>
      </c>
      <c r="R222" s="130">
        <f>-(AVERAGE(Q147:R147)/R11)*365/4</f>
        <v>44.759250474383308</v>
      </c>
      <c r="S222" s="130">
        <f>-(AVERAGE(R147:S147)/S11)*365/4</f>
        <v>42.109375</v>
      </c>
      <c r="T222" s="130">
        <f>-(AVERAGE(S147:T147)/T11)*365/4</f>
        <v>43.567262830482115</v>
      </c>
      <c r="U222" s="462">
        <f>-(AVERAGE(P147,T147)/U11)*365</f>
        <v>48.697983697983695</v>
      </c>
      <c r="V222" s="130">
        <f>-(AVERAGE(U147:V147)/V11)*365/4</f>
        <v>46.088197969543145</v>
      </c>
      <c r="W222" s="130">
        <f>-(AVERAGE(V147:W147)/W11)*365/4</f>
        <v>46.50702987697715</v>
      </c>
      <c r="X222" s="130">
        <f>-(AVERAGE(W147:X147)/X11)*365/4</f>
        <v>43.675830696202532</v>
      </c>
      <c r="Y222" s="130">
        <f>-(AVERAGE(X147:Y147)/Y11)*365/4</f>
        <v>42.891405135520685</v>
      </c>
      <c r="Z222" s="462">
        <f>-(AVERAGE(U147,Y147)/Z11)*365</f>
        <v>48.095667870036102</v>
      </c>
      <c r="AA222" s="130">
        <f>-(AVERAGE(Z147:AA147)/AA11)*365/4</f>
        <v>46.912225705329156</v>
      </c>
      <c r="AB222" s="130">
        <f>-(AVERAGE(AA147:AB147)/AB11)*365/4</f>
        <v>42.355692675159233</v>
      </c>
      <c r="AC222" s="130">
        <f>-(AVERAGE(AB147:AC147)/AC11)*365/4</f>
        <v>37.672636632200884</v>
      </c>
      <c r="AD222" s="130">
        <f>-(AVERAGE(AC147:AD147)/AD11)*365/4</f>
        <v>37.754380053908356</v>
      </c>
      <c r="AE222" s="462">
        <f>-(AVERAGE(Z147,AD147)/AE11)*365</f>
        <v>45.947858472998142</v>
      </c>
      <c r="AF222" s="130">
        <f>-(AVERAGE(AE147:AF147)/AF11)*365/4</f>
        <v>43.216440422322776</v>
      </c>
      <c r="AG222" s="130">
        <f>-(AVERAGE(AF147:AG147)/AG11)*365/4</f>
        <v>41.555164319248831</v>
      </c>
      <c r="AH222" s="130">
        <f>-(AVERAGE(AG147:AH147)/AH11)*365/4</f>
        <v>37.264737215909093</v>
      </c>
      <c r="AI222" s="130">
        <f>-(AVERAGE(AH147:AI147)/AI11)*365/4</f>
        <v>37.777499999999996</v>
      </c>
      <c r="AJ222" s="462">
        <f>-(AVERAGE(AE147,AI147)/AJ11)*365</f>
        <v>43.572206095791003</v>
      </c>
      <c r="AK222" s="130">
        <f>-(AVERAGE(AJ147:AK147)/AK11)*365/4</f>
        <v>41.51810829817159</v>
      </c>
      <c r="AL222" s="130">
        <f>-(AVERAGE(AK147:AL147)/AL11)*365/4</f>
        <v>40.655940594059409</v>
      </c>
      <c r="AM222" s="130">
        <f>-(AVERAGE(AL147:AM147)/AM11)*365/4</f>
        <v>36.5</v>
      </c>
      <c r="AN222" s="130">
        <f>-(AVERAGE(AM147:AN147)/AN11)*365/4</f>
        <v>39.98121387283237</v>
      </c>
      <c r="AO222" s="462">
        <f>-(AVERAGE(AJ147,AN147)/AO11)*365</f>
        <v>44.005003227888963</v>
      </c>
      <c r="AP222" s="130">
        <f>-(AVERAGE(AO147:AP147)/AP11)*365/4</f>
        <v>44.958941605839414</v>
      </c>
      <c r="AQ222" s="130">
        <f>-(AVERAGE(AP147:AQ147)/AQ11)*365/4</f>
        <v>45.125</v>
      </c>
      <c r="AR222" s="130">
        <f>-(AVERAGE(AQ147:AR147)/AR11)*365/4</f>
        <v>40.932848443843028</v>
      </c>
      <c r="AS222" s="130">
        <f>-(AVERAGE(AR147:AS147)/AS11)*365/4</f>
        <v>40.069188191881921</v>
      </c>
      <c r="AT222" s="462">
        <f>-(AVERAGE(AO147,AS147)/AT11)*365</f>
        <v>46.977287371134018</v>
      </c>
      <c r="AU222" s="130">
        <f>-(AVERAGE(AT147:AU147)/AU11)*365/4</f>
        <v>45.0546875</v>
      </c>
      <c r="AV222" s="130">
        <f>-(AVERAGE(AU147:AV147)/AV11)*365/4</f>
        <v>41.967018950437314</v>
      </c>
      <c r="AW222" s="130">
        <f>-(AVERAGE(AV147:AW147)/AW11)*365/4</f>
        <v>41.145687237026642</v>
      </c>
      <c r="AX222" s="130">
        <f>-(AVERAGE(AW147:AX147)/AX11)*365/4</f>
        <v>43.103015075376881</v>
      </c>
      <c r="AY222" s="462">
        <f>-(AVERAGE(AT147,AX147)/AY11)*365</f>
        <v>49.522298456260721</v>
      </c>
      <c r="AZ222" s="130">
        <f>-(AVERAGE(AY147:AZ147)/AZ11)*365/4</f>
        <v>51.061170212765958</v>
      </c>
      <c r="BA222" s="130">
        <f>-(AVERAGE(AZ147:BA147)/BA11)*365/4</f>
        <v>46.820414847161572</v>
      </c>
      <c r="BB222" s="130">
        <f>-(AVERAGE(BA147:BB147)/BB11)*365/4</f>
        <v>42.933813443072701</v>
      </c>
      <c r="BC222" s="130">
        <f>-(AVERAGE(BB147:BC147)/BC11)*365/4</f>
        <v>42.681451612903224</v>
      </c>
      <c r="BD222" s="462">
        <f>-(AVERAGE(AY147,BC147)/BD11)*365</f>
        <v>51.393678160919535</v>
      </c>
      <c r="BE222" s="130">
        <f>-(AVERAGE(BD147:BE147)/BE11)*365/4</f>
        <v>46.887351778656132</v>
      </c>
      <c r="BF222" s="577">
        <f>-(AVERAGE(BE147:BF147)/BF11)*365/4</f>
        <v>44.858193277310924</v>
      </c>
      <c r="BG222" s="577">
        <f>-(AVERAGE(BF147:BG147)/BG11)*365/4</f>
        <v>40.034808168316829</v>
      </c>
      <c r="BH222" s="130">
        <f>-(AVERAGE(BG147:BH147)/BH11)*365/4</f>
        <v>40.096262740656854</v>
      </c>
      <c r="BI222" s="462">
        <f>-(AVERAGE(BD147,BH147)/BI11)*365</f>
        <v>48.162926675094816</v>
      </c>
      <c r="BJ222" s="130">
        <f>-(AVERAGE(BI147:BJ147)/BJ11)*365/4</f>
        <v>47.774869109947645</v>
      </c>
      <c r="BK222" s="130">
        <f>-(AVERAGE(BJ147:BK147)/BK11)*365/4</f>
        <v>45.086122047244096</v>
      </c>
      <c r="BL222" s="130">
        <f>-(AVERAGE(BK147:BL147)/BL11)*365/4</f>
        <v>42.111094132029343</v>
      </c>
      <c r="BM222" s="130">
        <f>-(AVERAGE(BL147:BM147)/BM11)*365/4</f>
        <v>42.2570645905421</v>
      </c>
      <c r="BN222" s="462">
        <f>-(AVERAGE(BI147,BM147)/BN11)*365</f>
        <v>46.889598255995018</v>
      </c>
      <c r="BO222" s="130">
        <f>-(AVERAGE(BN147:BO147)/BO11)*365/4</f>
        <v>47.308135704874836</v>
      </c>
      <c r="BP222" s="130">
        <f>-(AVERAGE(BO147:BP147)/BP11)*365/4</f>
        <v>44.413180610889775</v>
      </c>
      <c r="BQ222" s="130">
        <f>-(AVERAGE(BP147:BQ147)/BQ11)*365/4</f>
        <v>43.087073324905184</v>
      </c>
      <c r="BR222" s="130">
        <f>-(AVERAGE(BQ147:BR147)/BR11)*365/4</f>
        <v>44.184210526315788</v>
      </c>
      <c r="BS222" s="462">
        <f>-(AVERAGE(BN147,BR147)/BS11)*365</f>
        <v>49.294648511716275</v>
      </c>
      <c r="BT222" s="130">
        <f>-(AVERAGE(BS147:BT147)/BT11)*365/4</f>
        <v>48.631298449612402</v>
      </c>
      <c r="BU222" s="130">
        <f>-(AVERAGE(BT147:BU147)/BU11)*365/4</f>
        <v>44.857697283311772</v>
      </c>
      <c r="BV222" s="130">
        <f>-(AVERAGE(BU147:BV147)/BV11)*365/4</f>
        <v>44.249371859296481</v>
      </c>
      <c r="BW222" s="130">
        <f>-(AVERAGE(BV147:BW147)/BW11)*365/4</f>
        <v>44.601534828807559</v>
      </c>
      <c r="BX222" s="462">
        <f>-(AVERAGE(BS147,BW147)/BX11)*365</f>
        <v>49.829937304075237</v>
      </c>
      <c r="BY222" s="130">
        <f>-(AVERAGE(BX147:BY147)/BY11)*365/4</f>
        <v>50.69444444444445</v>
      </c>
      <c r="BZ222" s="130">
        <f>-(AVERAGE(BY147:BZ147)/BZ11)*365/4</f>
        <v>48.074664429530195</v>
      </c>
      <c r="CA222" s="130">
        <f>-(AVERAGE(BZ147:CA147)/CA11)*365/4</f>
        <v>46.911858974358971</v>
      </c>
      <c r="CB222" s="656">
        <f>-(AVERAGE(CA147:CB147)/CB11)*365/4</f>
        <v>47.358973487722317</v>
      </c>
      <c r="CC222" s="462">
        <f>-(AVERAGE(BX147,CB147)/CC11)*365</f>
        <v>51.996533486919475</v>
      </c>
      <c r="CD222" s="130">
        <f ca="1">-(AVERAGE(CC147:CD147)/CD11)*365/4</f>
        <v>48.197086110549485</v>
      </c>
      <c r="CE222" s="130">
        <f ca="1">-(AVERAGE(CD147:CE147)/CE11)*365/4</f>
        <v>44.717462632355527</v>
      </c>
      <c r="CF222" s="130">
        <f ca="1">-(AVERAGE(CE147:CF147)/CF11)*365/4</f>
        <v>42.904963139438216</v>
      </c>
      <c r="CG222" s="130">
        <f ca="1">-(AVERAGE(CF147:CG147)/CG11)*365/4</f>
        <v>41.811207389196447</v>
      </c>
      <c r="CH222" s="462">
        <f ca="1">-(AVERAGE(CC147,CG147)/CH11)*365</f>
        <v>49.528288461717224</v>
      </c>
      <c r="CI222" s="130">
        <f ca="1">-(AVERAGE(CH147:CI147)/CI11)*365/4</f>
        <v>45.636764513032816</v>
      </c>
      <c r="CJ222" s="130">
        <f ca="1">-(AVERAGE(CI147:CJ147)/CJ11)*365/4</f>
        <v>72.721203199395461</v>
      </c>
      <c r="CK222" s="130">
        <f ca="1">-(AVERAGE(CJ147:CK147)/CK11)*365/4</f>
        <v>66.946463364145814</v>
      </c>
      <c r="CL222" s="130">
        <f ca="1">-(AVERAGE(CK147:CL147)/CL11)*365/4</f>
        <v>38.771001420690006</v>
      </c>
      <c r="CM222" s="462">
        <f ca="1">-(AVERAGE(CH147,CL147)/CM11)*365</f>
        <v>44.829578843511172</v>
      </c>
      <c r="CN222" s="130">
        <f ca="1">-(AVERAGE(CM147:CN147)/CN11)*365/4</f>
        <v>43.940274754562026</v>
      </c>
      <c r="CO222" s="130">
        <f ca="1">-(AVERAGE(CN147:CO147)/CO11)*365/4</f>
        <v>72.803684531427393</v>
      </c>
      <c r="CP222" s="130">
        <f ca="1">-(AVERAGE(CO147:CP147)/CP11)*365/4</f>
        <v>67.093036367426208</v>
      </c>
      <c r="CQ222" s="130">
        <f ca="1">-(AVERAGE(CP147:CQ147)/CQ11)*365/4</f>
        <v>39.408764894546579</v>
      </c>
      <c r="CR222" s="462">
        <f ca="1">-(AVERAGE(CM147,CQ147)/CR11)*365</f>
        <v>42.893366189530269</v>
      </c>
      <c r="CS222" s="130">
        <f ca="1">-(AVERAGE(CR147:CS147)/CS11)*365/4</f>
        <v>43.96441201042132</v>
      </c>
      <c r="CT222" s="130">
        <f ca="1">-(AVERAGE(CS147:CT147)/CT11)*365/4</f>
        <v>72.791105523338103</v>
      </c>
      <c r="CU222" s="130">
        <f ca="1">-(AVERAGE(CT147:CU147)/CU11)*365/4</f>
        <v>67.116135796788711</v>
      </c>
      <c r="CV222" s="130">
        <f ca="1">-(AVERAGE(CU147:CV147)/CV11)*365/4</f>
        <v>39.423385327500718</v>
      </c>
      <c r="CW222" s="462">
        <f ca="1">-(AVERAGE(CR147,CV147)/CW11)*365</f>
        <v>42.903415547275529</v>
      </c>
      <c r="CX222" s="130">
        <f ca="1">-(AVERAGE(CW147:CX147)/CX11)*365/4</f>
        <v>43.216929588504257</v>
      </c>
      <c r="CY222" s="130">
        <f ca="1">-(AVERAGE(CX147:CY147)/CY11)*365/4</f>
        <v>71.298388921435887</v>
      </c>
      <c r="CZ222" s="130">
        <f ca="1">-(AVERAGE(CY147:CZ147)/CZ11)*365/4</f>
        <v>65.725858826541526</v>
      </c>
      <c r="DA222" s="130">
        <f ca="1">-(AVERAGE(CZ147:DA147)/DA11)*365/4</f>
        <v>38.017860406605116</v>
      </c>
      <c r="DB222" s="462">
        <f ca="1">-(AVERAGE(CW147,DA147)/DB11)*365</f>
        <v>42.092198896061902</v>
      </c>
      <c r="DC222" s="130">
        <f ca="1">-(AVERAGE(DB147:DC147)/DC11)*365/4</f>
        <v>41.684019257469544</v>
      </c>
      <c r="DD222" s="130">
        <f ca="1">-(AVERAGE(DC147:DD147)/DD11)*365/4</f>
        <v>69.806362640037761</v>
      </c>
      <c r="DE222" s="130">
        <f ca="1">-(AVERAGE(DD147:DE147)/DE11)*365/4</f>
        <v>64.335044567249469</v>
      </c>
      <c r="DF222" s="130">
        <f ca="1">-(AVERAGE(DE147:DF147)/DF11)*365/4</f>
        <v>36.61134739473826</v>
      </c>
      <c r="DG222" s="462">
        <f ca="1">-(AVERAGE(DB147,DF147)/DG11)*365</f>
        <v>40.51791570276265</v>
      </c>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c r="HB222"/>
      <c r="HC222"/>
      <c r="HD222"/>
      <c r="HE222"/>
      <c r="HF222"/>
      <c r="HG222"/>
      <c r="HH222"/>
      <c r="HI222"/>
      <c r="HJ222"/>
      <c r="HK222"/>
      <c r="HL222"/>
      <c r="HM222"/>
      <c r="HN222"/>
      <c r="HO222"/>
      <c r="HP222"/>
      <c r="HQ222"/>
      <c r="HR222"/>
    </row>
    <row r="223" spans="1:226" s="19" customFormat="1" x14ac:dyDescent="0.2">
      <c r="A223" s="80" t="s">
        <v>158</v>
      </c>
      <c r="B223" s="43"/>
      <c r="C223" s="43"/>
      <c r="D223" s="43"/>
      <c r="E223" s="43"/>
      <c r="F223" s="407"/>
      <c r="G223" s="43">
        <f>-(G147/G11)/4</f>
        <v>0.13392857142857142</v>
      </c>
      <c r="H223" s="43">
        <f>-(H147/H11)/4</f>
        <v>0.15445544554455445</v>
      </c>
      <c r="I223" s="43">
        <f>-(I147/I11)/4</f>
        <v>0.12860780984719863</v>
      </c>
      <c r="J223" s="43">
        <f>-(J147/J11)/4</f>
        <v>0.13200000000000001</v>
      </c>
      <c r="K223" s="407">
        <f>-AVERAGE(F147:J147)/K11</f>
        <v>0.13681439227731462</v>
      </c>
      <c r="L223" s="43">
        <f>-(L147/L11)/4</f>
        <v>0.12821691176470587</v>
      </c>
      <c r="M223" s="43">
        <f>-(M147/M11)/4</f>
        <v>0.13104838709677419</v>
      </c>
      <c r="N223" s="43">
        <f>-(N147/N11)/4</f>
        <v>0.13873873873873874</v>
      </c>
      <c r="O223" s="43">
        <f>-(O147/O11)/4</f>
        <v>0.12380952380952381</v>
      </c>
      <c r="P223" s="407">
        <f>-AVERAGE(K147:O147)/P11</f>
        <v>0.1338426966292135</v>
      </c>
      <c r="Q223" s="43">
        <f>-(Q147/Q11)/4</f>
        <v>0.12218370883882149</v>
      </c>
      <c r="R223" s="43">
        <f>-(R147/R11)/4</f>
        <v>0.11148007590132827</v>
      </c>
      <c r="S223" s="43">
        <f>-(S147/S11)/4</f>
        <v>0.13013698630136986</v>
      </c>
      <c r="T223" s="43">
        <f>-(T147/T11)/4</f>
        <v>0.12052877138413685</v>
      </c>
      <c r="U223" s="407">
        <f>-AVERAGE(P147:T147)/U11</f>
        <v>0.12380952380952381</v>
      </c>
      <c r="V223" s="43">
        <f>-(V147/V11)/4</f>
        <v>0.12140439932318105</v>
      </c>
      <c r="W223" s="43">
        <f>-(W147/W11)/4</f>
        <v>0.12873462214411246</v>
      </c>
      <c r="X223" s="43">
        <f>-(X147/X11)/4</f>
        <v>0.12341772151898735</v>
      </c>
      <c r="Y223" s="43">
        <f>-(Y147/Y11)/4</f>
        <v>0.12375178316690442</v>
      </c>
      <c r="Z223" s="407">
        <f>-AVERAGE(U147:Y147)/Z11</f>
        <v>0.12426795026073005</v>
      </c>
      <c r="AA223" s="43">
        <f>-(AA147/AA11)/4</f>
        <v>0.12108150470219435</v>
      </c>
      <c r="AB223" s="43">
        <f>-(AB147/AB11)/4</f>
        <v>0.10907643312101911</v>
      </c>
      <c r="AC223" s="43">
        <f>-(AC147/AC11)/4</f>
        <v>0.10524372230428361</v>
      </c>
      <c r="AD223" s="43">
        <f>-(AD147/AD11)/4</f>
        <v>0.11084905660377359</v>
      </c>
      <c r="AE223" s="407">
        <f>-AVERAGE(Z147:AD147)/AE11</f>
        <v>0.11500931098696462</v>
      </c>
      <c r="AF223" s="43">
        <f>-(AF147/AF11)/4</f>
        <v>0.11274509803921569</v>
      </c>
      <c r="AG223" s="43">
        <f>-(AG147/AG11)/4</f>
        <v>0.11071987480438185</v>
      </c>
      <c r="AH223" s="43">
        <f>-(AH147/AH11)/4</f>
        <v>0.10369318181818182</v>
      </c>
      <c r="AI223" s="43">
        <f>-(AI147/AI11)/4</f>
        <v>0.10966666666666666</v>
      </c>
      <c r="AJ223" s="407">
        <f>-AVERAGE(AE147:AI147)/AJ11</f>
        <v>0.11117561683599418</v>
      </c>
      <c r="AK223" s="43">
        <f>-(AK147/AK11)/4</f>
        <v>0.11181434599156118</v>
      </c>
      <c r="AL223" s="43">
        <f>-(AL147/AL11)/4</f>
        <v>0.11032531824611033</v>
      </c>
      <c r="AM223" s="43">
        <f>-(AM147/AM11)/4</f>
        <v>0.10429447852760736</v>
      </c>
      <c r="AN223" s="43">
        <f>-(AN147/AN11)/4</f>
        <v>0.12080924855491329</v>
      </c>
      <c r="AO223" s="407">
        <f>-AVERAGE(AJ147:AN147)/AO11</f>
        <v>0.11084570690768236</v>
      </c>
      <c r="AP223" s="43">
        <f>-(AP147/AP11)/4</f>
        <v>0.11922141119221411</v>
      </c>
      <c r="AQ223" s="43">
        <f>-(AQ147/AQ11)/4</f>
        <v>0.11301369863013698</v>
      </c>
      <c r="AR223" s="43">
        <f>-(AR147/AR11)/4</f>
        <v>0.11265223274695535</v>
      </c>
      <c r="AS223" s="43">
        <f>-(AS147/AS11)/4</f>
        <v>0.11715867158671586</v>
      </c>
      <c r="AT223" s="407">
        <f>-AVERAGE(AO147:AS147)/AT11</f>
        <v>0.11945876288659794</v>
      </c>
      <c r="AU223" s="43">
        <f>-(AU147/AU11)/4</f>
        <v>0.11458333333333333</v>
      </c>
      <c r="AV223" s="43">
        <f>-(AV147/AV11)/4</f>
        <v>0.10969387755102041</v>
      </c>
      <c r="AW223" s="43">
        <f>-(AW147/AW11)/4</f>
        <v>0.11991584852734923</v>
      </c>
      <c r="AX223" s="43">
        <f>-(AX147/AX11)/4</f>
        <v>0.12876884422110552</v>
      </c>
      <c r="AY223" s="407">
        <f>-AVERAGE(AT147:AX147)/AY11</f>
        <v>0.12102915951972557</v>
      </c>
      <c r="AZ223" s="43">
        <f>-(AZ147/AZ11)/4</f>
        <v>0.13439716312056738</v>
      </c>
      <c r="BA223" s="43">
        <f>-(BA147/BA11)/4</f>
        <v>0.11863173216885008</v>
      </c>
      <c r="BB223" s="43">
        <f>-(BB147/BB11)/4</f>
        <v>0.12345679012345678</v>
      </c>
      <c r="BC223" s="43">
        <f>-(BC147/BC11)/4</f>
        <v>0.12634408602150538</v>
      </c>
      <c r="BD223" s="407">
        <f>-AVERAGE(AY147:BC147)/BD11</f>
        <v>0.12832995267072347</v>
      </c>
      <c r="BE223" s="43">
        <f>-(BE147/BE11)/4</f>
        <v>0.11758893280632411</v>
      </c>
      <c r="BF223" s="622">
        <f>-(BF147/BF11)/4</f>
        <v>0.12079831932773109</v>
      </c>
      <c r="BG223" s="622">
        <f>-(BG147/BG11)/4</f>
        <v>0.11262376237623763</v>
      </c>
      <c r="BH223" s="622">
        <f>-(BH147/BH11)/4</f>
        <v>0.11664779161947905</v>
      </c>
      <c r="BI223" s="407">
        <f>-AVERAGE(BD147:BH147)/BI11</f>
        <v>0.12016434892541086</v>
      </c>
      <c r="BJ223" s="43">
        <f>-(BJ147/BJ11)/4</f>
        <v>0.12696335078534032</v>
      </c>
      <c r="BK223" s="43">
        <f>-(BK147/BK11)/4</f>
        <v>0.119750656167979</v>
      </c>
      <c r="BL223" s="43">
        <f>-(BL147/BL11)/4</f>
        <v>0.11919315403422982</v>
      </c>
      <c r="BM223" s="43">
        <f>-(BM147/BM11)/4</f>
        <v>0.11908881199538639</v>
      </c>
      <c r="BN223" s="407">
        <f>-AVERAGE(BI147:BM147)/BN11</f>
        <v>0.12257863593895983</v>
      </c>
      <c r="BO223" s="43">
        <f>-(BO147/BO11)/4</f>
        <v>0.12318840579710146</v>
      </c>
      <c r="BP223" s="43">
        <f>-(BP147/BP11)/4</f>
        <v>0.11918990703851262</v>
      </c>
      <c r="BQ223" s="43">
        <f>-(BQ147/BQ11)/4</f>
        <v>0.12262958280657396</v>
      </c>
      <c r="BR223" s="43">
        <f>-(BR147/BR11)/4</f>
        <v>0.12865497076023391</v>
      </c>
      <c r="BS223" s="407">
        <f>-AVERAGE(BN147:BR147)/BS11</f>
        <v>0.12501583280557316</v>
      </c>
      <c r="BT223" s="43">
        <f>-(BT147/BT11)/4</f>
        <v>0.12435400516795865</v>
      </c>
      <c r="BU223" s="43">
        <f>-(BU147/BU11)/4</f>
        <v>0.12128072445019406</v>
      </c>
      <c r="BV223" s="43">
        <f>-(BV147/BV11)/4</f>
        <v>0.12468592964824121</v>
      </c>
      <c r="BW223" s="43">
        <f>-(BW147/BW11)/4</f>
        <v>0.12721369539551358</v>
      </c>
      <c r="BX223" s="407">
        <f>-AVERAGE(BS147:BW147)/BX11</f>
        <v>0.12714733542319751</v>
      </c>
      <c r="BY223" s="43">
        <f>-(BY147/BY11)/4</f>
        <v>0.13692810457516341</v>
      </c>
      <c r="BZ223" s="43">
        <f>-(BZ147/BZ11)/4</f>
        <v>0.12281879194630872</v>
      </c>
      <c r="CA223" s="43">
        <f>-(CA147/CA11)/4</f>
        <v>0.13974358974358975</v>
      </c>
      <c r="CB223" s="570">
        <f>-(CB147/CB11)/4</f>
        <v>0.1346444090117942</v>
      </c>
      <c r="CC223" s="407">
        <f>-AVERAGE(BX147:CB147)/CC11</f>
        <v>0.13418768740241452</v>
      </c>
      <c r="CD223" s="43">
        <f ca="1">-(CD147/CD11)/4</f>
        <v>0.11771184286316494</v>
      </c>
      <c r="CE223" s="43">
        <f ca="1">-(CE147/CE11)/4</f>
        <v>0.1233764720181279</v>
      </c>
      <c r="CF223" s="43">
        <f ca="1">-(CF147/CF11)/4</f>
        <v>0.11917849525742376</v>
      </c>
      <c r="CG223" s="43">
        <f ca="1">-(CG147/CG11)/4</f>
        <v>0.11897891341771483</v>
      </c>
      <c r="CH223" s="407">
        <f ca="1">-AVERAGE(CC147:CG147)/CH11</f>
        <v>0.12428284451393032</v>
      </c>
      <c r="CI223" s="43">
        <f ca="1">-(CI147/CI11)/4</f>
        <v>0.12130251930173191</v>
      </c>
      <c r="CJ223" s="43">
        <f>-(CJ147/CJ11)/4</f>
        <v>0.27416356877323422</v>
      </c>
      <c r="CK223" s="134">
        <f ca="1">CF223-0.008</f>
        <v>0.11117849525742377</v>
      </c>
      <c r="CL223" s="134">
        <f ca="1">CG223-0.008</f>
        <v>0.11097891341771482</v>
      </c>
      <c r="CM223" s="407">
        <f ca="1">-AVERAGE(CH147:CL147)/CM11</f>
        <v>0.14606997654734552</v>
      </c>
      <c r="CN223" s="134">
        <f ca="1">CI223</f>
        <v>0.12130251930173191</v>
      </c>
      <c r="CO223" s="134">
        <f>CJ223</f>
        <v>0.27416356877323422</v>
      </c>
      <c r="CP223" s="134">
        <f ca="1">CK223</f>
        <v>0.11117849525742377</v>
      </c>
      <c r="CQ223" s="134">
        <f ca="1">CL223</f>
        <v>0.11097891341771482</v>
      </c>
      <c r="CR223" s="407">
        <f ca="1">-AVERAGE(CM147:CQ147)/CR11</f>
        <v>0.14493270365296682</v>
      </c>
      <c r="CS223" s="134">
        <f ca="1">CN223</f>
        <v>0.12130251930173191</v>
      </c>
      <c r="CT223" s="134">
        <f>CO223</f>
        <v>0.27416356877323422</v>
      </c>
      <c r="CU223" s="134">
        <f ca="1">CP223</f>
        <v>0.11117849525742377</v>
      </c>
      <c r="CV223" s="134">
        <f ca="1">CQ223</f>
        <v>0.11097891341771482</v>
      </c>
      <c r="CW223" s="407">
        <f ca="1">-AVERAGE(CR147:CV147)/CW11</f>
        <v>0.1449778924662187</v>
      </c>
      <c r="CX223" s="134">
        <f ca="1">CS223-0.004</f>
        <v>0.11730251930173191</v>
      </c>
      <c r="CY223" s="134">
        <f t="shared" ref="CY223:DA223" si="495">CT223-0.004</f>
        <v>0.27016356877323422</v>
      </c>
      <c r="CZ223" s="134">
        <f t="shared" ca="1" si="495"/>
        <v>0.10717849525742376</v>
      </c>
      <c r="DA223" s="134">
        <f t="shared" ca="1" si="495"/>
        <v>0.10697891341771482</v>
      </c>
      <c r="DB223" s="407">
        <f ca="1">-AVERAGE(CW147:DA147)/DB11</f>
        <v>0.14177876793350264</v>
      </c>
      <c r="DC223" s="134">
        <f t="shared" ref="DC223:DF223" ca="1" si="496">CX223-0.004</f>
        <v>0.11330251930173191</v>
      </c>
      <c r="DD223" s="134">
        <f t="shared" si="496"/>
        <v>0.26616356877323422</v>
      </c>
      <c r="DE223" s="134">
        <f t="shared" ca="1" si="496"/>
        <v>0.10317849525742376</v>
      </c>
      <c r="DF223" s="134">
        <f t="shared" ca="1" si="496"/>
        <v>0.10297891341771481</v>
      </c>
      <c r="DG223" s="407">
        <f ca="1">-AVERAGE(DB147:DF147)/DG11</f>
        <v>0.13774243610714618</v>
      </c>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c r="HB223"/>
      <c r="HC223"/>
      <c r="HD223"/>
      <c r="HE223"/>
      <c r="HF223"/>
      <c r="HG223"/>
      <c r="HH223"/>
      <c r="HI223"/>
      <c r="HJ223"/>
      <c r="HK223"/>
      <c r="HL223"/>
      <c r="HM223"/>
      <c r="HN223"/>
      <c r="HO223"/>
      <c r="HP223"/>
      <c r="HQ223"/>
      <c r="HR223"/>
    </row>
    <row r="224" spans="1:226" s="19" customFormat="1" x14ac:dyDescent="0.2">
      <c r="A224" s="80" t="s">
        <v>159</v>
      </c>
      <c r="B224" s="130"/>
      <c r="C224" s="130"/>
      <c r="D224" s="130"/>
      <c r="E224" s="130"/>
      <c r="F224" s="462"/>
      <c r="G224" s="130">
        <f>-(AVERAGE(F148:G148)/G11)*365/4</f>
        <v>69.741071428571431</v>
      </c>
      <c r="H224" s="130">
        <f>-(AVERAGE(G148:H148)/H11)*365/4</f>
        <v>77.607673267326732</v>
      </c>
      <c r="I224" s="130">
        <f>-(AVERAGE(H148:I148)/I11)*365/4</f>
        <v>69.250848896434633</v>
      </c>
      <c r="J224" s="130">
        <f>-(AVERAGE(I148:J148)/J11)*365/4</f>
        <v>70.445000000000007</v>
      </c>
      <c r="K224" s="462">
        <f>-(AVERAGE(F148:J148)/K11)*365</f>
        <v>72.39139973672664</v>
      </c>
      <c r="L224" s="130">
        <f>-(AVERAGE(K148:L148)/L11)*365/4</f>
        <v>80.514705882352942</v>
      </c>
      <c r="M224" s="130">
        <f>-(AVERAGE(L148:M148)/M11)*365/4</f>
        <v>83.707157258064512</v>
      </c>
      <c r="N224" s="130">
        <f>-(AVERAGE(M148:N148)/N11)*365/4</f>
        <v>79.658783783783775</v>
      </c>
      <c r="O224" s="130">
        <f>-(AVERAGE(N148:O148)/O11)*365/4</f>
        <v>75.751984126984127</v>
      </c>
      <c r="P224" s="462">
        <f>-(AVERAGE(K148:O148)/P11)*365</f>
        <v>80.90696629213484</v>
      </c>
      <c r="Q224" s="130">
        <f>-(AVERAGE(P148:Q148)/Q11)*365/4</f>
        <v>81.20775563258232</v>
      </c>
      <c r="R224" s="130">
        <f>-(AVERAGE(Q148:R148)/R11)*365/4</f>
        <v>87.613851992409877</v>
      </c>
      <c r="S224" s="130">
        <f>-(AVERAGE(R148:S148)/S11)*365/4</f>
        <v>86.09375</v>
      </c>
      <c r="T224" s="130">
        <f>-(AVERAGE(S148:T148)/T11)*365/4</f>
        <v>86.779743390357694</v>
      </c>
      <c r="U224" s="462">
        <f>-(AVERAGE(P148:T148)/U11)*365</f>
        <v>86.810810810810807</v>
      </c>
      <c r="V224" s="130">
        <f>-(AVERAGE(U148:V148)/V11)*365/4</f>
        <v>97.271573604060919</v>
      </c>
      <c r="W224" s="130">
        <f>-(AVERAGE(V148:W148)/W11)*365/4</f>
        <v>99.909929701230226</v>
      </c>
      <c r="X224" s="130">
        <f>-(AVERAGE(W148:X148)/X11)*365/4</f>
        <v>83.742088607594937</v>
      </c>
      <c r="Y224" s="130">
        <f>-(AVERAGE(X148:Y148)/Y11)*365/4</f>
        <v>74.523002853067055</v>
      </c>
      <c r="Z224" s="462">
        <f>-(AVERAGE(U148:Y148)/Z11)*365</f>
        <v>88.841556357801849</v>
      </c>
      <c r="AA224" s="130">
        <f>-(AVERAGE(Z148:AA148)/AA11)*365/4</f>
        <v>72.799764890282134</v>
      </c>
      <c r="AB224" s="130">
        <f>-(AVERAGE(AA148:AB148)/AB11)*365/4</f>
        <v>62.04418789808917</v>
      </c>
      <c r="AC224" s="130">
        <f>-(AVERAGE(AB148:AC148)/AC11)*365/4</f>
        <v>59.777511078286558</v>
      </c>
      <c r="AD224" s="130">
        <f>-(AVERAGE(AC148:AD148)/AD11)*365/4</f>
        <v>56.016677897574127</v>
      </c>
      <c r="AE224" s="462">
        <f>-(AVERAGE(Z148:AD148)/AE11)*365</f>
        <v>64.680446927374305</v>
      </c>
      <c r="AF224" s="130">
        <f>-(AVERAGE(AE148:AF148)/AF11)*365/4</f>
        <v>61.177413273001505</v>
      </c>
      <c r="AG224" s="130">
        <f>-(AVERAGE(AF148:AG148)/AG11)*365/4</f>
        <v>60.690532081377157</v>
      </c>
      <c r="AH224" s="130">
        <f>-(AVERAGE(AG148:AH148)/AH11)*365/4</f>
        <v>58.003373579545453</v>
      </c>
      <c r="AI224" s="130">
        <f>-(AVERAGE(AH148:AI148)/AI11)*365/4</f>
        <v>58.825833333333335</v>
      </c>
      <c r="AJ224" s="462">
        <f>-(AVERAGE(AE148:AI148)/AJ11)*365</f>
        <v>60.683236574746012</v>
      </c>
      <c r="AK224" s="130">
        <f>-(AVERAGE(AJ148:AK148)/AK11)*365/4</f>
        <v>54.801336146272853</v>
      </c>
      <c r="AL224" s="130">
        <f>-(AVERAGE(AK148:AL148)/AL11)*365/4</f>
        <v>47.496463932107496</v>
      </c>
      <c r="AM224" s="130">
        <f>-(AVERAGE(AL148:AM148)/AM11)*365/4</f>
        <v>44.505368098159508</v>
      </c>
      <c r="AN224" s="130">
        <f>-(AVERAGE(AM148:AN148)/AN11)*365/4</f>
        <v>44.622832369942195</v>
      </c>
      <c r="AO224" s="462">
        <f>-(AVERAGE(AJ148:AN148)/AO11)*365</f>
        <v>49.224338282763071</v>
      </c>
      <c r="AP224" s="130">
        <f>-(AVERAGE(AO148:AP148)/AP11)*365/4</f>
        <v>44.792427007299267</v>
      </c>
      <c r="AQ224" s="130">
        <f>-(AVERAGE(AP148:AQ148)/AQ11)*365/4</f>
        <v>49.8125</v>
      </c>
      <c r="AR224" s="130">
        <f>-(AVERAGE(AQ148:AR148)/AR11)*365/4</f>
        <v>54.947564276048709</v>
      </c>
      <c r="AS224" s="130">
        <f>-(AVERAGE(AR148:AS148)/AS11)*365/4</f>
        <v>52.303198031980322</v>
      </c>
      <c r="AT224" s="462">
        <f>-(AVERAGE(AO148:AS148)/AT11)*365</f>
        <v>51.010631443298969</v>
      </c>
      <c r="AU224" s="130">
        <f>-(AVERAGE(AT148:AU148)/AU11)*365/4</f>
        <v>55.573784722222214</v>
      </c>
      <c r="AV224" s="130">
        <f>-(AVERAGE(AU148:AV148)/AV11)*365/4</f>
        <v>55.933855685131199</v>
      </c>
      <c r="AW224" s="130">
        <f>-(AVERAGE(AV148:AW148)/AW11)*365/4</f>
        <v>58.487026647966339</v>
      </c>
      <c r="AX224" s="130">
        <f>-(AVERAGE(AW148:AX148)/AX11)*365/4</f>
        <v>55.5983040201005</v>
      </c>
      <c r="AY224" s="462">
        <f>-(AVERAGE(AT148:AX148)/AY11)*365</f>
        <v>57.172898799313899</v>
      </c>
      <c r="AZ224" s="130">
        <f>-(AVERAGE(AY148:AZ148)/AZ11)*365/4</f>
        <v>59.344858156028366</v>
      </c>
      <c r="BA224" s="130">
        <f>-(AVERAGE(AZ148:BA148)/BA11)*365/4</f>
        <v>57.645560407569143</v>
      </c>
      <c r="BB224" s="130">
        <f>-(AVERAGE(BA148:BB148)/BB11)*365/4</f>
        <v>56.014231824417003</v>
      </c>
      <c r="BC224" s="130">
        <f>-(AVERAGE(BB148:BC148)/BC11)*365/4</f>
        <v>48.732078853046602</v>
      </c>
      <c r="BD224" s="462">
        <f>-(AVERAGE(AY148:BC148)/BD11)*365</f>
        <v>55.626098715348213</v>
      </c>
      <c r="BE224" s="130">
        <f>-(AVERAGE(BD148:BE148)/BE11)*365/4</f>
        <v>52.658102766798422</v>
      </c>
      <c r="BF224" s="577">
        <f>-(AVERAGE(BE148:BF148)/BF11)*365/4</f>
        <v>55.721288515406165</v>
      </c>
      <c r="BG224" s="577">
        <f>-(AVERAGE(BF148:BG148)/BG11)*365/4</f>
        <v>51.384591584158407</v>
      </c>
      <c r="BH224" s="130">
        <f>-(AVERAGE(BG148:BH148)/BH11)*365/4</f>
        <v>49.913646659116651</v>
      </c>
      <c r="BI224" s="462">
        <f>-(AVERAGE(BD148:BH148)/BI11)*365</f>
        <v>52.604298356510753</v>
      </c>
      <c r="BJ224" s="130">
        <f>-(AVERAGE(BI148:BJ148)/BJ11)*365/4</f>
        <v>56.852094240837701</v>
      </c>
      <c r="BK224" s="130">
        <f>-(AVERAGE(BJ148:BK148)/BK11)*365/4</f>
        <v>56.941437007874015</v>
      </c>
      <c r="BL224" s="130">
        <f>-(AVERAGE(BK148:BL148)/BL11)*365/4</f>
        <v>55.553178484107576</v>
      </c>
      <c r="BM224" s="130">
        <f>-(AVERAGE(BL148:BM148)/BM11)*365/4</f>
        <v>52.25562283737024</v>
      </c>
      <c r="BN224" s="462">
        <f>-(AVERAGE(BI148:BM148)/BN11)*365</f>
        <v>55.426346932419811</v>
      </c>
      <c r="BO224" s="130">
        <f>-(AVERAGE(BN148:BO148)/BO11)*365/4</f>
        <v>57.587285902503289</v>
      </c>
      <c r="BP224" s="130">
        <f>-(AVERAGE(BO148:BP148)/BP11)*365/4</f>
        <v>57.440239043824704</v>
      </c>
      <c r="BQ224" s="130">
        <f>-(AVERAGE(BP148:BQ148)/BQ11)*365/4</f>
        <v>55.430625790139061</v>
      </c>
      <c r="BR224" s="130">
        <f>-(AVERAGE(BQ148:BR148)/BR11)*365/4</f>
        <v>50.854532163742689</v>
      </c>
      <c r="BS224" s="462">
        <f>-(AVERAGE(BN148:BR148)/BS11)*365</f>
        <v>55.270107663077894</v>
      </c>
      <c r="BT224" s="130">
        <f>-(AVERAGE(BS148:BT148)/BT11)*365/4</f>
        <v>55.999677002583979</v>
      </c>
      <c r="BU224" s="130">
        <f>-(AVERAGE(BT148:BU148)/BU11)*365/4</f>
        <v>57.252587322121606</v>
      </c>
      <c r="BV224" s="130">
        <f>-(AVERAGE(BU148:BV148)/BV11)*365/4</f>
        <v>58.750785175879393</v>
      </c>
      <c r="BW224" s="130">
        <f>-(AVERAGE(BV148:BW148)/BW11)*365/4</f>
        <v>58.229781582054308</v>
      </c>
      <c r="BX224" s="462">
        <f>-(AVERAGE(BS148:BW148)/BX11)*365</f>
        <v>57.736363636363642</v>
      </c>
      <c r="BY224" s="130">
        <f>-(AVERAGE(BX148:BY148)/BY11)*365/4</f>
        <v>60.356209150326798</v>
      </c>
      <c r="BZ224" s="130">
        <f>-(AVERAGE(BY148:BZ148)/BZ11)*365/4</f>
        <v>58.54697986577181</v>
      </c>
      <c r="CA224" s="130">
        <f>-(AVERAGE(BZ148:CA148)/CA11)*365/4</f>
        <v>59.137019230769234</v>
      </c>
      <c r="CB224" s="656">
        <f>-(AVERAGE(CA148:CB148)/CB11)*365/4</f>
        <v>56.643031094179179</v>
      </c>
      <c r="CC224" s="462">
        <f>-(AVERAGE(BX148:CB148)/CC11)*365</f>
        <v>59.725256349146207</v>
      </c>
      <c r="CD224" s="130">
        <f ca="1">-(AVERAGE(CC148:CD148)/CD11)*365/4</f>
        <v>60.268822980359602</v>
      </c>
      <c r="CE224" s="130">
        <f ca="1">-(AVERAGE(CD148:CE148)/CE11)*365/4</f>
        <v>58.158985244092356</v>
      </c>
      <c r="CF224" s="130">
        <f ca="1">-(AVERAGE(CE148:CF148)/CF11)*365/4</f>
        <v>57.834154151976534</v>
      </c>
      <c r="CG224" s="130">
        <f ca="1">-(AVERAGE(CF148:CG148)/CG11)*365/4</f>
        <v>57.748150152703005</v>
      </c>
      <c r="CH224" s="462">
        <f ca="1">-(AVERAGE(CC148:CG148)/CH11)*365</f>
        <v>59.427797488333063</v>
      </c>
      <c r="CI224" s="130">
        <f ca="1">-(AVERAGE(CH148:CI148)/CI11)*365/4</f>
        <v>60.12275785697927</v>
      </c>
      <c r="CJ224" s="130">
        <f ca="1">-(AVERAGE(CI148:CJ148)/CJ11)*365/4</f>
        <v>28.874986391682597</v>
      </c>
      <c r="CK224" s="130">
        <f ca="1">-(AVERAGE(CJ148:CK148)/CK11)*365/4</f>
        <v>30.550408291457284</v>
      </c>
      <c r="CL224" s="130">
        <f ca="1">-(AVERAGE(CK148:CL148)/CL11)*365/4</f>
        <v>57.400136759023901</v>
      </c>
      <c r="CM224" s="462">
        <f ca="1">-(AVERAGE(CH148:CL148)/CM11)*365</f>
        <v>48.334891719731736</v>
      </c>
      <c r="CN224" s="130">
        <f ca="1">-(AVERAGE(CM148:CN148)/CN11)*365/4</f>
        <v>59.953049170207834</v>
      </c>
      <c r="CO224" s="130">
        <f ca="1">-(AVERAGE(CN148:CO148)/CO11)*365/4</f>
        <v>28.979967895569526</v>
      </c>
      <c r="CP224" s="130">
        <f ca="1">-(AVERAGE(CO148:CP148)/CP11)*365/4</f>
        <v>30.550408291457284</v>
      </c>
      <c r="CQ224" s="130">
        <f ca="1">-(AVERAGE(CP148:CQ148)/CQ11)*365/4</f>
        <v>58.360405962094482</v>
      </c>
      <c r="CR224" s="462">
        <f ca="1">-(AVERAGE(CM148:CQ148)/CR11)*365</f>
        <v>48.321738991663615</v>
      </c>
      <c r="CS224" s="130">
        <f ca="1">-(AVERAGE(CR148:CS148)/CS11)*365/4</f>
        <v>59.98822825870284</v>
      </c>
      <c r="CT224" s="130">
        <f ca="1">-(AVERAGE(CS148:CT148)/CT11)*365/4</f>
        <v>28.963957446246184</v>
      </c>
      <c r="CU224" s="130">
        <f ca="1">-(AVERAGE(CT148:CU148)/CU11)*365/4</f>
        <v>30.550408291457284</v>
      </c>
      <c r="CV224" s="130">
        <f ca="1">-(AVERAGE(CU148:CV148)/CV11)*365/4</f>
        <v>58.382419689874339</v>
      </c>
      <c r="CW224" s="462">
        <f ca="1">-(AVERAGE(CR148:CV148)/CW11)*365</f>
        <v>48.329324566015849</v>
      </c>
      <c r="CX224" s="130">
        <f ca="1">-(AVERAGE(CW148:CX148)/CX11)*365/4</f>
        <v>59.962748325469661</v>
      </c>
      <c r="CY224" s="130">
        <f ca="1">-(AVERAGE(CX148:CY148)/CY11)*365/4</f>
        <v>28.947742149277037</v>
      </c>
      <c r="CZ224" s="130">
        <f ca="1">-(AVERAGE(CY148:CZ148)/CZ11)*365/4</f>
        <v>30.550408291457284</v>
      </c>
      <c r="DA224" s="130">
        <f ca="1">-(AVERAGE(CZ148:DA148)/DA11)*365/4</f>
        <v>58.404547129271627</v>
      </c>
      <c r="DB224" s="462">
        <f ca="1">-(AVERAGE(CW148:DA148)/DB11)*365</f>
        <v>48.313222374812831</v>
      </c>
      <c r="DC224" s="130">
        <f ca="1">-(AVERAGE(DB148:DC148)/DC11)*365/4</f>
        <v>59.937282202067188</v>
      </c>
      <c r="DD224" s="130">
        <f ca="1">-(AVERAGE(DC148:DD148)/DD11)*365/4</f>
        <v>28.931322603676609</v>
      </c>
      <c r="DE224" s="130">
        <f ca="1">-(AVERAGE(DD148:DE148)/DE11)*365/4</f>
        <v>30.550408291457284</v>
      </c>
      <c r="DF224" s="130">
        <f ca="1">-(AVERAGE(DE148:DF148)/DF11)*365/4</f>
        <v>58.426787126843834</v>
      </c>
      <c r="DG224" s="462">
        <f ca="1">-(AVERAGE(DB148:DF148)/DG11)*365</f>
        <v>48.29703654512182</v>
      </c>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c r="HB224"/>
      <c r="HC224"/>
      <c r="HD224"/>
      <c r="HE224"/>
      <c r="HF224"/>
      <c r="HG224"/>
      <c r="HH224"/>
      <c r="HI224"/>
      <c r="HJ224"/>
      <c r="HK224"/>
      <c r="HL224"/>
      <c r="HM224"/>
      <c r="HN224"/>
      <c r="HO224"/>
      <c r="HP224"/>
      <c r="HQ224"/>
      <c r="HR224"/>
    </row>
    <row r="225" spans="1:226" s="19" customFormat="1" x14ac:dyDescent="0.2">
      <c r="A225" s="80" t="s">
        <v>160</v>
      </c>
      <c r="B225" s="43"/>
      <c r="C225" s="43"/>
      <c r="D225" s="43"/>
      <c r="E225" s="43"/>
      <c r="F225" s="407"/>
      <c r="G225" s="43">
        <f>-(G148/G11)/4</f>
        <v>0.1875</v>
      </c>
      <c r="H225" s="43">
        <f>-(H148/H11)/4</f>
        <v>0.21732673267326733</v>
      </c>
      <c r="I225" s="43">
        <f>-(I148/I11)/4</f>
        <v>0.1931239388794567</v>
      </c>
      <c r="J225" s="43">
        <f>-(J148/J11)/4</f>
        <v>0.20399999999999999</v>
      </c>
      <c r="K225" s="407">
        <f>-AVERAGE(F148:J148)/K11</f>
        <v>0.19833260201842914</v>
      </c>
      <c r="L225" s="43">
        <f>-(L148/L11)/4</f>
        <v>0.20680147058823528</v>
      </c>
      <c r="M225" s="43">
        <f>-(M148/M11)/4</f>
        <v>0.23185483870967741</v>
      </c>
      <c r="N225" s="43">
        <f>-(N148/N11)/4</f>
        <v>0.22927927927927927</v>
      </c>
      <c r="O225" s="43">
        <f>-(O148/O11)/4</f>
        <v>0.21309523809523809</v>
      </c>
      <c r="P225" s="407">
        <f>-AVERAGE(K148:O148)/P11</f>
        <v>0.22166292134831461</v>
      </c>
      <c r="Q225" s="43">
        <f>-(Q148/Q11)/4</f>
        <v>0.21230502599653381</v>
      </c>
      <c r="R225" s="43">
        <f>-(R148/R11)/4</f>
        <v>0.24762808349146109</v>
      </c>
      <c r="S225" s="43">
        <f>-(S148/S11)/4</f>
        <v>0.24828767123287671</v>
      </c>
      <c r="T225" s="43">
        <f>-(T148/T11)/4</f>
        <v>0.25</v>
      </c>
      <c r="U225" s="407">
        <f>-AVERAGE(P148:T148)/U11</f>
        <v>0.23783783783783782</v>
      </c>
      <c r="V225" s="43">
        <f>-(V148/V11)/4</f>
        <v>0.26099830795262269</v>
      </c>
      <c r="W225" s="43">
        <f>-(W148/W11)/4</f>
        <v>0.27636203866432335</v>
      </c>
      <c r="X225" s="43">
        <f>-(X148/X11)/4</f>
        <v>0.21004746835443039</v>
      </c>
      <c r="Y225" s="43">
        <f>-(Y148/Y11)/4</f>
        <v>0.21897289586305277</v>
      </c>
      <c r="Z225" s="407">
        <f>-AVERAGE(U148:Y148)/Z11</f>
        <v>0.24340152426795025</v>
      </c>
      <c r="AA225" s="43">
        <f>-(AA148/AA11)/4</f>
        <v>0.15830721003134796</v>
      </c>
      <c r="AB225" s="43">
        <f>-(AB148/AB11)/4</f>
        <v>0.17914012738853502</v>
      </c>
      <c r="AC225" s="43">
        <f>-(AC148/AC11)/4</f>
        <v>0.16137370753323485</v>
      </c>
      <c r="AD225" s="43">
        <f>-(AD148/AD11)/4</f>
        <v>0.15970350404312669</v>
      </c>
      <c r="AE225" s="407">
        <f>-AVERAGE(Z148:AD148)/AE11</f>
        <v>0.17720670391061452</v>
      </c>
      <c r="AF225" s="43">
        <f>-(AF148/AF11)/4</f>
        <v>0.15648567119155354</v>
      </c>
      <c r="AG225" s="43">
        <f>-(AG148/AG11)/4</f>
        <v>0.17018779342723006</v>
      </c>
      <c r="AH225" s="43">
        <f>-(AH148/AH11)/4</f>
        <v>0.16335227272727273</v>
      </c>
      <c r="AI225" s="43">
        <f>-(AI148/AI11)/4</f>
        <v>0.16900000000000001</v>
      </c>
      <c r="AJ225" s="407">
        <f>-AVERAGE(AE148:AI148)/AJ11</f>
        <v>0.16625544267053702</v>
      </c>
      <c r="AK225" s="43">
        <f>-(AK148/AK11)/4</f>
        <v>0.12201125175808721</v>
      </c>
      <c r="AL225" s="43">
        <f>-(AL148/AL11)/4</f>
        <v>0.13755304101838756</v>
      </c>
      <c r="AM225" s="43">
        <f>-(AM148/AM11)/4</f>
        <v>0.1245398773006135</v>
      </c>
      <c r="AN225" s="43">
        <f>-(AN148/AN11)/4</f>
        <v>0.12716763005780346</v>
      </c>
      <c r="AO225" s="407">
        <f>-AVERAGE(AJ148:AN148)/AO11</f>
        <v>0.13486120077469335</v>
      </c>
      <c r="AP225" s="43">
        <f>-(AP148/AP11)/4</f>
        <v>0.11161800486618005</v>
      </c>
      <c r="AQ225" s="43">
        <f>-(AQ148/AQ11)/4</f>
        <v>0.14726027397260275</v>
      </c>
      <c r="AR225" s="43">
        <f>-(AR148/AR11)/4</f>
        <v>0.15561569688768606</v>
      </c>
      <c r="AS225" s="43">
        <f>-(AS148/AS11)/4</f>
        <v>0.14514145141451415</v>
      </c>
      <c r="AT225" s="407">
        <f>-AVERAGE(AO148:AS148)/AT11</f>
        <v>0.13975515463917526</v>
      </c>
      <c r="AU225" s="43">
        <f>-(AU148/AU11)/4</f>
        <v>0.140625</v>
      </c>
      <c r="AV225" s="43">
        <f>-(AV148/AV11)/4</f>
        <v>0.15889212827988339</v>
      </c>
      <c r="AW225" s="43">
        <f>-(AW148/AW11)/4</f>
        <v>0.16760168302945302</v>
      </c>
      <c r="AX225" s="43">
        <f>-(AX148/AX11)/4</f>
        <v>0.15452261306532664</v>
      </c>
      <c r="AY225" s="407">
        <f>-AVERAGE(AT148:AX148)/AY11</f>
        <v>0.15663807890222986</v>
      </c>
      <c r="AZ225" s="43">
        <f>-(AZ148/AZ11)/4</f>
        <v>0.15070921985815602</v>
      </c>
      <c r="BA225" s="43">
        <f>-(BA148/BA11)/4</f>
        <v>0.16120815138282388</v>
      </c>
      <c r="BB225" s="43">
        <f>-(BB148/BB11)/4</f>
        <v>0.15500685871056241</v>
      </c>
      <c r="BC225" s="43">
        <f>-(BC148/BC11)/4</f>
        <v>0.13201911589008364</v>
      </c>
      <c r="BD225" s="407">
        <f>-AVERAGE(AY148:BC148)/BD11</f>
        <v>0.1524002704530088</v>
      </c>
      <c r="BE225" s="43">
        <f>-(BE148/BE11)/4</f>
        <v>0.14295125164690381</v>
      </c>
      <c r="BF225" s="622">
        <f>-(BF148/BF11)/4</f>
        <v>0.15336134453781514</v>
      </c>
      <c r="BG225" s="622">
        <f>-(BG148/BG11)/4</f>
        <v>0.14603960396039603</v>
      </c>
      <c r="BH225" s="622">
        <f>-(BH148/BH11)/4</f>
        <v>0.13986409966024915</v>
      </c>
      <c r="BI225" s="407">
        <f>-AVERAGE(BD148:BH148)/BI11</f>
        <v>0.14412136536030343</v>
      </c>
      <c r="BJ225" s="43">
        <f>-(BJ148/BJ11)/4</f>
        <v>0.14986910994764399</v>
      </c>
      <c r="BK225" s="43">
        <f>-(BK148/BK11)/4</f>
        <v>0.16174540682414698</v>
      </c>
      <c r="BL225" s="43">
        <f>-(BL148/BL11)/4</f>
        <v>0.15372860635696822</v>
      </c>
      <c r="BM225" s="43">
        <f>-(BM148/BM11)/4</f>
        <v>0.14129181084198386</v>
      </c>
      <c r="BN225" s="407">
        <f>-AVERAGE(BI148:BM148)/BN11</f>
        <v>0.15185300529430085</v>
      </c>
      <c r="BO225" s="43">
        <f>-(BO148/BO11)/4</f>
        <v>0.1541501976284585</v>
      </c>
      <c r="BP225" s="43">
        <f>-(BP148/BP11)/4</f>
        <v>0.15936254980079681</v>
      </c>
      <c r="BQ225" s="43">
        <f>-(BQ148/BQ11)/4</f>
        <v>0.15202275600505688</v>
      </c>
      <c r="BR225" s="43">
        <f>-(BR148/BR11)/4</f>
        <v>0.13801169590643275</v>
      </c>
      <c r="BS225" s="407">
        <f>-AVERAGE(BN148:BR148)/BS11</f>
        <v>0.15142495250158328</v>
      </c>
      <c r="BT225" s="43">
        <f>-(BT148/BT11)/4</f>
        <v>0.15439276485788114</v>
      </c>
      <c r="BU225" s="43">
        <f>-(BU148/BU11)/4</f>
        <v>0.1591203104786546</v>
      </c>
      <c r="BV225" s="43">
        <f>-(BV148/BV11)/4</f>
        <v>0.16739949748743718</v>
      </c>
      <c r="BW225" s="43">
        <f>-(BW148/BW11)/4</f>
        <v>0.16174734356552539</v>
      </c>
      <c r="BX225" s="407">
        <f>-AVERAGE(BS148:BW148)/BX11</f>
        <v>0.1581818181818182</v>
      </c>
      <c r="BY225" s="43">
        <f>-(BY148/BY11)/4</f>
        <v>0.15163398692810456</v>
      </c>
      <c r="BZ225" s="43">
        <f>-(BZ148/BZ11)/4</f>
        <v>0.1651006711409396</v>
      </c>
      <c r="CA225" s="43">
        <f>-(CA148/CA11)/4</f>
        <v>0.16634615384615384</v>
      </c>
      <c r="CB225" s="827">
        <f>BW225</f>
        <v>0.16174734356552539</v>
      </c>
      <c r="CC225" s="407">
        <f>-AVERAGE(BX148:CB148)/CC11</f>
        <v>0.16363083931272934</v>
      </c>
      <c r="CD225" s="43">
        <f ca="1">-(CD148/CD11)/4</f>
        <v>0.15439276485788114</v>
      </c>
      <c r="CE225" s="43">
        <f ca="1">-(CE148/CE11)/4</f>
        <v>0.1591203104786546</v>
      </c>
      <c r="CF225" s="43">
        <f ca="1">-(CF148/CF11)/4</f>
        <v>0.16739949748743718</v>
      </c>
      <c r="CG225" s="43">
        <f ca="1">-(CG148/CG11)/4</f>
        <v>0.16174734356552539</v>
      </c>
      <c r="CH225" s="407">
        <f ca="1">-AVERAGE(CC148:CG148)/CH11</f>
        <v>0.16281588352967963</v>
      </c>
      <c r="CI225" s="43">
        <f ca="1">-(CI148/CI11)/4</f>
        <v>0.15439276485788114</v>
      </c>
      <c r="CJ225" s="43">
        <f>-(CJ148/CJ11)/4</f>
        <v>0</v>
      </c>
      <c r="CK225" s="134">
        <f t="shared" ref="CK225:CL228" ca="1" si="497">CF225</f>
        <v>0.16739949748743718</v>
      </c>
      <c r="CL225" s="134">
        <f t="shared" ca="1" si="497"/>
        <v>0.16174734356552539</v>
      </c>
      <c r="CM225" s="407">
        <f ca="1">-AVERAGE(CH148:CL148)/CM11</f>
        <v>0.13242436087597736</v>
      </c>
      <c r="CN225" s="134">
        <f t="shared" ref="CN225:CQ228" ca="1" si="498">CI225</f>
        <v>0.15439276485788114</v>
      </c>
      <c r="CO225" s="134">
        <f t="shared" si="498"/>
        <v>0</v>
      </c>
      <c r="CP225" s="134">
        <f t="shared" ca="1" si="498"/>
        <v>0.16739949748743718</v>
      </c>
      <c r="CQ225" s="134">
        <f t="shared" ca="1" si="498"/>
        <v>0.16174734356552539</v>
      </c>
      <c r="CR225" s="407">
        <f ca="1">-AVERAGE(CM148:CQ148)/CR11</f>
        <v>0.13238832600455785</v>
      </c>
      <c r="CS225" s="134">
        <f t="shared" ref="CS225:CV228" ca="1" si="499">CN225</f>
        <v>0.15439276485788114</v>
      </c>
      <c r="CT225" s="134">
        <f t="shared" si="499"/>
        <v>0</v>
      </c>
      <c r="CU225" s="134">
        <f t="shared" ca="1" si="499"/>
        <v>0.16739949748743718</v>
      </c>
      <c r="CV225" s="134">
        <f t="shared" ca="1" si="499"/>
        <v>0.16174734356552539</v>
      </c>
      <c r="CW225" s="407">
        <f ca="1">-AVERAGE(CR148:CV148)/CW11</f>
        <v>0.13240910840004341</v>
      </c>
      <c r="CX225" s="134">
        <f t="shared" ref="CX225:DA228" ca="1" si="500">CS225</f>
        <v>0.15439276485788114</v>
      </c>
      <c r="CY225" s="134">
        <f t="shared" si="500"/>
        <v>0</v>
      </c>
      <c r="CZ225" s="134">
        <f t="shared" ca="1" si="500"/>
        <v>0.16739949748743718</v>
      </c>
      <c r="DA225" s="134">
        <f t="shared" ca="1" si="500"/>
        <v>0.16174734356552539</v>
      </c>
      <c r="DB225" s="407">
        <f ca="1">-AVERAGE(CW148:DA148)/DB11</f>
        <v>0.13236499280770639</v>
      </c>
      <c r="DC225" s="134">
        <f t="shared" ref="DC225:DF228" ca="1" si="501">CX225</f>
        <v>0.15439276485788114</v>
      </c>
      <c r="DD225" s="134">
        <f t="shared" si="501"/>
        <v>0</v>
      </c>
      <c r="DE225" s="134">
        <f t="shared" ca="1" si="501"/>
        <v>0.16739949748743718</v>
      </c>
      <c r="DF225" s="134">
        <f t="shared" ca="1" si="501"/>
        <v>0.16174734356552539</v>
      </c>
      <c r="DG225" s="407">
        <f ca="1">-AVERAGE(DB148:DF148)/DG11</f>
        <v>0.1323206480688269</v>
      </c>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c r="HB225"/>
      <c r="HC225"/>
      <c r="HD225"/>
      <c r="HE225"/>
      <c r="HF225"/>
      <c r="HG225"/>
      <c r="HH225"/>
      <c r="HI225"/>
      <c r="HJ225"/>
      <c r="HK225"/>
      <c r="HL225"/>
      <c r="HM225"/>
      <c r="HN225"/>
      <c r="HO225"/>
      <c r="HP225"/>
      <c r="HQ225"/>
      <c r="HR225"/>
    </row>
    <row r="226" spans="1:226" s="19" customFormat="1" x14ac:dyDescent="0.2">
      <c r="A226" s="80" t="s">
        <v>161</v>
      </c>
      <c r="B226" s="43"/>
      <c r="C226" s="43"/>
      <c r="D226" s="43"/>
      <c r="E226" s="43"/>
      <c r="F226" s="407"/>
      <c r="G226" s="43">
        <f>G149/G7/4</f>
        <v>1.0416666666666666E-2</v>
      </c>
      <c r="H226" s="43">
        <f>H149/H7/4</f>
        <v>1.3810597519729425E-2</v>
      </c>
      <c r="I226" s="43">
        <f>I149/I7/4</f>
        <v>1.6862170087976538E-2</v>
      </c>
      <c r="J226" s="43">
        <f>J149/J7/4</f>
        <v>1.1968085106382979E-2</v>
      </c>
      <c r="K226" s="407">
        <f>AVERAGE(F149:J149)/K7</f>
        <v>1.059174540029836E-2</v>
      </c>
      <c r="L226" s="43">
        <f>L149/L7/4</f>
        <v>1.3849092645654251E-2</v>
      </c>
      <c r="M226" s="43">
        <f>M149/M7/4</f>
        <v>2.267818574514039E-2</v>
      </c>
      <c r="N226" s="43">
        <f>N149/N7/4</f>
        <v>2.8704612365063789E-2</v>
      </c>
      <c r="O226" s="43">
        <f>O149/O7/4</f>
        <v>6.076388888888889E-3</v>
      </c>
      <c r="P226" s="407">
        <f>AVERAGE(K149:O149)/P7</f>
        <v>1.6457528957528958E-2</v>
      </c>
      <c r="Q226" s="43">
        <f>Q149/Q7/4</f>
        <v>4.9701789264413514E-4</v>
      </c>
      <c r="R226" s="43">
        <f>R149/R7/4</f>
        <v>5.9782608695652176E-3</v>
      </c>
      <c r="S226" s="43">
        <f>S149/S7/4</f>
        <v>9.7526165556612743E-3</v>
      </c>
      <c r="T226" s="43">
        <f>T149/T7/4</f>
        <v>5.0632911392405064E-3</v>
      </c>
      <c r="U226" s="407">
        <f>AVERAGE(P149:T149)/U7</f>
        <v>5.6222969726093218E-3</v>
      </c>
      <c r="V226" s="43">
        <f>V149/V7/4</f>
        <v>4.2938931297709926E-3</v>
      </c>
      <c r="W226" s="43">
        <f>W149/W7/4</f>
        <v>0</v>
      </c>
      <c r="X226" s="43">
        <f>X149/X7/4</f>
        <v>7.5966850828729279E-3</v>
      </c>
      <c r="Y226" s="43">
        <f>Y149/Y7/4</f>
        <v>5.1834130781499201E-3</v>
      </c>
      <c r="Z226" s="407">
        <f>AVERAGE(U149:Y149)/Z7</f>
        <v>4.6034639927073837E-3</v>
      </c>
      <c r="AA226" s="43">
        <f>AA149/AA7/4</f>
        <v>0</v>
      </c>
      <c r="AB226" s="43">
        <f>AB149/AB7/4</f>
        <v>5.6390977443609019E-3</v>
      </c>
      <c r="AC226" s="43">
        <f>AC149/AC7/4</f>
        <v>7.7787381158167671E-3</v>
      </c>
      <c r="AD226" s="43">
        <f>AD149/AD7/4</f>
        <v>3.6012130401819561E-3</v>
      </c>
      <c r="AE226" s="407">
        <f>AVERAGE(Z149:AD149)/AE7</f>
        <v>4.5219638242894053E-3</v>
      </c>
      <c r="AF226" s="43">
        <f>AF149/AF7/4</f>
        <v>5.5986218776916449E-3</v>
      </c>
      <c r="AG226" s="43">
        <f>AG149/AG7/4</f>
        <v>5.4495912806539508E-3</v>
      </c>
      <c r="AH226" s="43">
        <f>AH149/AH7/4</f>
        <v>4.8348106365834007E-3</v>
      </c>
      <c r="AI226" s="43">
        <f>AI149/AI7/4</f>
        <v>3.162202380952381E-3</v>
      </c>
      <c r="AJ226" s="407">
        <f>AVERAGE(AE149:AI149)/AJ7</f>
        <v>4.5388900350732415E-3</v>
      </c>
      <c r="AK226" s="43">
        <f>AK149/AK7/4</f>
        <v>2.3405972558514933E-2</v>
      </c>
      <c r="AL226" s="43">
        <f>AL149/AL7/4</f>
        <v>1.897133220910624E-2</v>
      </c>
      <c r="AM226" s="43">
        <f>AM149/AM7/4</f>
        <v>1.2934220251293422E-2</v>
      </c>
      <c r="AN226" s="43">
        <f>AN149/AN7/4</f>
        <v>8.0267558528428085E-3</v>
      </c>
      <c r="AO226" s="407">
        <f>AVERAGE(AJ149:AN149)/AO7</f>
        <v>1.2933813768253366E-2</v>
      </c>
      <c r="AP226" s="43">
        <f>AP149/AP7/4</f>
        <v>1.3547687861271676E-2</v>
      </c>
      <c r="AQ226" s="43">
        <f>AQ149/AQ7/4</f>
        <v>6.5789473684210523E-3</v>
      </c>
      <c r="AR226" s="43">
        <f>AR149/AR7/4</f>
        <v>1.2037037037037037E-2</v>
      </c>
      <c r="AS226" s="43">
        <f>AS149/AS7/4</f>
        <v>1.4333333333333333E-2</v>
      </c>
      <c r="AT226" s="407">
        <f>AVERAGE(AO149:AS149)/AT7</f>
        <v>1.1229357798165139E-2</v>
      </c>
      <c r="AU226" s="43">
        <f>AU149/AU7/4</f>
        <v>1.8994627782041442E-2</v>
      </c>
      <c r="AV226" s="43">
        <f>AV149/AV7/4</f>
        <v>7.2016460905349796E-3</v>
      </c>
      <c r="AW226" s="43">
        <f>AW149/AW7/4</f>
        <v>1.282051282051282E-2</v>
      </c>
      <c r="AX226" s="43">
        <f>AX149/AX7/4</f>
        <v>1.2946116165150455E-2</v>
      </c>
      <c r="AY226" s="407">
        <f>AVERAGE(AT149:AX149)/AY7</f>
        <v>1.3756209400076424E-2</v>
      </c>
      <c r="AZ226" s="43">
        <f>AZ149/AZ7/4</f>
        <v>1.7180094786729858E-2</v>
      </c>
      <c r="BA226" s="43">
        <f>BA149/BA7/4</f>
        <v>2.2052586938083121E-2</v>
      </c>
      <c r="BB226" s="43">
        <f>BB149/BB7/4</f>
        <v>1.4762269938650307E-2</v>
      </c>
      <c r="BC226" s="43">
        <f>BC149/BC7/4</f>
        <v>6.9163292847503376E-3</v>
      </c>
      <c r="BD226" s="407">
        <f>AVERAGE(AY149:BC149)/BD7</f>
        <v>1.4643471611546548E-2</v>
      </c>
      <c r="BE226" s="43">
        <f>BE149/BE7/4</f>
        <v>7.0881226053639843E-3</v>
      </c>
      <c r="BF226" s="622">
        <f>BF149/BF7/4</f>
        <v>5.7330057330057327E-3</v>
      </c>
      <c r="BG226" s="622">
        <f>BG149/BG7/4</f>
        <v>2.6766595289079227E-3</v>
      </c>
      <c r="BH226" s="622">
        <f>BH149/BH7/4</f>
        <v>8.1116158338741078E-4</v>
      </c>
      <c r="BI226" s="407">
        <f>AVERAGE(BD149:BH149)/BI7</f>
        <v>4.6086320409656177E-3</v>
      </c>
      <c r="BJ226" s="43">
        <f>BJ149/BJ7/4</f>
        <v>5.0448430493273541E-3</v>
      </c>
      <c r="BK226" s="43">
        <f>BK149/BK7/4</f>
        <v>1.8867924528301887E-3</v>
      </c>
      <c r="BL226" s="43">
        <f>BL149/BL7/4</f>
        <v>4.0693559801840053E-3</v>
      </c>
      <c r="BM226" s="43">
        <f>BM149/BM7/4</f>
        <v>4.6864899806076275E-3</v>
      </c>
      <c r="BN226" s="407">
        <f>AVERAGE(BI149:BM149)/BN7</f>
        <v>3.3434109905744265E-3</v>
      </c>
      <c r="BO226" s="43">
        <f>BO149/BO7/4</f>
        <v>7.8183172002978408E-3</v>
      </c>
      <c r="BP226" s="43">
        <f>BP149/BP7/4</f>
        <v>0</v>
      </c>
      <c r="BQ226" s="43">
        <f>BQ149/BQ7/4</f>
        <v>0</v>
      </c>
      <c r="BR226" s="43">
        <f>BR149/BR7/4</f>
        <v>1.3360053440213762E-3</v>
      </c>
      <c r="BS226" s="407">
        <f>AVERAGE(BN149:BR149)/BS7</f>
        <v>2.8654334421472616E-3</v>
      </c>
      <c r="BT226" s="43">
        <f>BT149/BT7/4</f>
        <v>7.7662721893491122E-3</v>
      </c>
      <c r="BU226" s="43">
        <f>BU149/BU7/4</f>
        <v>0</v>
      </c>
      <c r="BV226" s="43">
        <f>BV149/BV7/4</f>
        <v>0</v>
      </c>
      <c r="BW226" s="43">
        <f>BW149/BW7/4</f>
        <v>4.9775208734746303E-3</v>
      </c>
      <c r="BX226" s="407">
        <f>AVERAGE(BS149:BW149)/BX7</f>
        <v>2.8647214854111403E-3</v>
      </c>
      <c r="BY226" s="43">
        <f>BY149/BY7/4</f>
        <v>6.6546762589928055E-3</v>
      </c>
      <c r="BZ226" s="43">
        <f>BZ149/BZ7/4</f>
        <v>0</v>
      </c>
      <c r="CA226" s="43">
        <f>CA149/CA7/4</f>
        <v>0</v>
      </c>
      <c r="CB226" s="827">
        <f>BW226</f>
        <v>4.9775208734746303E-3</v>
      </c>
      <c r="CC226" s="407">
        <f>AVERAGE(BX149:CB149)/CC7</f>
        <v>2.3607012671411211E-3</v>
      </c>
      <c r="CD226" s="43">
        <f>CD149/CD7/4</f>
        <v>5.1975051975051978E-3</v>
      </c>
      <c r="CE226" s="43">
        <f ca="1">CE149/CE7/4</f>
        <v>0</v>
      </c>
      <c r="CF226" s="43">
        <f ca="1">CF149/CF7/4</f>
        <v>0</v>
      </c>
      <c r="CG226" s="43">
        <f>CG149/CG7/4</f>
        <v>0</v>
      </c>
      <c r="CH226" s="407">
        <f ca="1">AVERAGE(CC149:CG149)/CH7</f>
        <v>1.0045203415369162E-3</v>
      </c>
      <c r="CI226" s="43">
        <f>CI149/CI7/4</f>
        <v>8.5000000000000006E-3</v>
      </c>
      <c r="CJ226" s="43">
        <f>CJ149/CJ7/4</f>
        <v>0</v>
      </c>
      <c r="CK226" s="134">
        <f t="shared" ca="1" si="497"/>
        <v>0</v>
      </c>
      <c r="CL226" s="134">
        <f t="shared" si="497"/>
        <v>0</v>
      </c>
      <c r="CM226" s="407">
        <f ca="1">AVERAGE(CH149:CL149)/CM7</f>
        <v>1.6562159949074916E-3</v>
      </c>
      <c r="CN226" s="134">
        <f t="shared" si="498"/>
        <v>8.5000000000000006E-3</v>
      </c>
      <c r="CO226" s="134">
        <f t="shared" si="498"/>
        <v>0</v>
      </c>
      <c r="CP226" s="134">
        <f t="shared" ca="1" si="498"/>
        <v>0</v>
      </c>
      <c r="CQ226" s="134">
        <f t="shared" si="498"/>
        <v>0</v>
      </c>
      <c r="CR226" s="407">
        <f ca="1">AVERAGE(CM149:CQ149)/CR7</f>
        <v>1.6578329315591269E-3</v>
      </c>
      <c r="CS226" s="134">
        <f t="shared" si="499"/>
        <v>8.5000000000000006E-3</v>
      </c>
      <c r="CT226" s="134">
        <f t="shared" si="499"/>
        <v>0</v>
      </c>
      <c r="CU226" s="134">
        <f t="shared" ca="1" si="499"/>
        <v>0</v>
      </c>
      <c r="CV226" s="134">
        <f t="shared" si="499"/>
        <v>0</v>
      </c>
      <c r="CW226" s="407">
        <f ca="1">AVERAGE(CR149:CV149)/CW7</f>
        <v>1.6579116871853865E-3</v>
      </c>
      <c r="CX226" s="134">
        <f t="shared" si="500"/>
        <v>8.5000000000000006E-3</v>
      </c>
      <c r="CY226" s="134">
        <f t="shared" si="500"/>
        <v>0</v>
      </c>
      <c r="CZ226" s="134">
        <f t="shared" ca="1" si="500"/>
        <v>0</v>
      </c>
      <c r="DA226" s="134">
        <f t="shared" si="500"/>
        <v>0</v>
      </c>
      <c r="DB226" s="407">
        <f ca="1">AVERAGE(CW149:DA149)/DB7</f>
        <v>1.6579848583460138E-3</v>
      </c>
      <c r="DC226" s="134">
        <f t="shared" si="501"/>
        <v>8.5000000000000006E-3</v>
      </c>
      <c r="DD226" s="134">
        <f t="shared" si="501"/>
        <v>0</v>
      </c>
      <c r="DE226" s="134">
        <f t="shared" ca="1" si="501"/>
        <v>0</v>
      </c>
      <c r="DF226" s="134">
        <f t="shared" si="501"/>
        <v>0</v>
      </c>
      <c r="DG226" s="407">
        <f ca="1">AVERAGE(DB149:DF149)/DG7</f>
        <v>1.6580523926182601E-3</v>
      </c>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c r="HB226"/>
      <c r="HC226"/>
      <c r="HD226"/>
      <c r="HE226"/>
      <c r="HF226"/>
      <c r="HG226"/>
      <c r="HH226"/>
      <c r="HI226"/>
      <c r="HJ226"/>
      <c r="HK226"/>
      <c r="HL226"/>
      <c r="HM226"/>
      <c r="HN226"/>
      <c r="HO226"/>
      <c r="HP226"/>
      <c r="HQ226"/>
      <c r="HR226"/>
    </row>
    <row r="227" spans="1:226" s="19" customFormat="1" x14ac:dyDescent="0.2">
      <c r="A227" s="80" t="s">
        <v>162</v>
      </c>
      <c r="B227" s="43"/>
      <c r="C227" s="43"/>
      <c r="D227" s="43"/>
      <c r="E227" s="43"/>
      <c r="F227" s="407"/>
      <c r="G227" s="43">
        <f>G153/G7/4</f>
        <v>5.386178861788618E-2</v>
      </c>
      <c r="H227" s="43">
        <f>H153/H7/4</f>
        <v>6.538895152198422E-2</v>
      </c>
      <c r="I227" s="43">
        <f>I153/I7/4</f>
        <v>5.865102639296188E-2</v>
      </c>
      <c r="J227" s="43">
        <f>J153/J7/4</f>
        <v>5.1196808510638299E-2</v>
      </c>
      <c r="K227" s="407">
        <f>AVERAGE(F153:J153)/K7</f>
        <v>5.5146693187468926E-2</v>
      </c>
      <c r="L227" s="43">
        <f>L153/L7/4</f>
        <v>5.5396370582617004E-2</v>
      </c>
      <c r="M227" s="43">
        <f>M153/M7/4</f>
        <v>6.3444924406047515E-2</v>
      </c>
      <c r="N227" s="43">
        <f>N153/N7/4</f>
        <v>8.218842001962709E-2</v>
      </c>
      <c r="O227" s="43">
        <f>O153/O7/4</f>
        <v>8.1597222222222224E-2</v>
      </c>
      <c r="P227" s="407">
        <f>AVERAGE(K153:O153)/P7</f>
        <v>6.8001930501930499E-2</v>
      </c>
      <c r="Q227" s="43">
        <f>Q153/Q7/4</f>
        <v>8.9711729622266395E-2</v>
      </c>
      <c r="R227" s="43">
        <f>R153/R7/4</f>
        <v>0.10135869565217391</v>
      </c>
      <c r="S227" s="43">
        <f>S153/S7/4</f>
        <v>8.848715509039011E-2</v>
      </c>
      <c r="T227" s="43">
        <f>T153/T7/4</f>
        <v>7.9535864978902956E-2</v>
      </c>
      <c r="U227" s="407">
        <f>AVERAGE(P153:T153)/U7</f>
        <v>8.9332051898125903E-2</v>
      </c>
      <c r="V227" s="43">
        <f>V153/V7/4</f>
        <v>9.1841603053435111E-2</v>
      </c>
      <c r="W227" s="43">
        <f>W153/W7/4</f>
        <v>9.7500000000000003E-2</v>
      </c>
      <c r="X227" s="43">
        <f>X153/X7/4</f>
        <v>0.12223756906077347</v>
      </c>
      <c r="Y227" s="43">
        <f>Y153/Y7/4</f>
        <v>0.12320574162679426</v>
      </c>
      <c r="Z227" s="407">
        <f>AVERAGE(U153:Y153)/Z7</f>
        <v>0.10487693710118505</v>
      </c>
      <c r="AA227" s="43">
        <f>AA153/AA7/4</f>
        <v>0.14130434782608695</v>
      </c>
      <c r="AB227" s="43">
        <f>AB153/AB7/4</f>
        <v>0.14826127819548873</v>
      </c>
      <c r="AC227" s="43">
        <f>AC153/AC7/4</f>
        <v>0.13785652549697494</v>
      </c>
      <c r="AD227" s="43">
        <f>AD153/AD7/4</f>
        <v>0.10367702805155421</v>
      </c>
      <c r="AE227" s="407">
        <f>AVERAGE(Z153:AD153)/AE7</f>
        <v>0.13169681309216194</v>
      </c>
      <c r="AF227" s="43">
        <f>AF153/AF7/4</f>
        <v>0.11821705426356589</v>
      </c>
      <c r="AG227" s="43">
        <f>AG153/AG7/4</f>
        <v>0.12761126248864668</v>
      </c>
      <c r="AH227" s="43">
        <f>AH153/AH7/4</f>
        <v>0.11200644641418211</v>
      </c>
      <c r="AI227" s="43">
        <f>AI153/AI7/4</f>
        <v>9.5982142857142863E-2</v>
      </c>
      <c r="AJ227" s="407">
        <f>AVERAGE(AE153:AI153)/AJ7</f>
        <v>0.11264699814318135</v>
      </c>
      <c r="AK227" s="43">
        <f>AK153/AK7/4</f>
        <v>0.11945117029862792</v>
      </c>
      <c r="AL227" s="43">
        <f>AL153/AL7/4</f>
        <v>0.12563237774030353</v>
      </c>
      <c r="AM227" s="43">
        <f>AM153/AM7/4</f>
        <v>0.11012564671101256</v>
      </c>
      <c r="AN227" s="43">
        <f>AN153/AN7/4</f>
        <v>0.10033444816053512</v>
      </c>
      <c r="AO227" s="407">
        <f>AVERAGE(AJ153:AN153)/AO7</f>
        <v>0.10999431063910488</v>
      </c>
      <c r="AP227" s="43">
        <f>AP153/AP7/4</f>
        <v>0.10747832369942197</v>
      </c>
      <c r="AQ227" s="43">
        <f>AQ153/AQ7/4</f>
        <v>0.12068256578947369</v>
      </c>
      <c r="AR227" s="43">
        <f>AR153/AR7/4</f>
        <v>0.10759259259259259</v>
      </c>
      <c r="AS227" s="43">
        <f>AS153/AS7/4</f>
        <v>0.10666666666666667</v>
      </c>
      <c r="AT227" s="407">
        <f>AVERAGE(AO153:AS153)/AT7</f>
        <v>0.11020183486238533</v>
      </c>
      <c r="AU227" s="43">
        <f>AU153/AU7/4</f>
        <v>0.11838066001534919</v>
      </c>
      <c r="AV227" s="43">
        <f>AV153/AV7/4</f>
        <v>0.12880658436213993</v>
      </c>
      <c r="AW227" s="43">
        <f>AW153/AW7/4</f>
        <v>0.1184926184926185</v>
      </c>
      <c r="AX227" s="43">
        <f>AX153/AX7/4</f>
        <v>0.11843946815955213</v>
      </c>
      <c r="AY227" s="407">
        <f>AVERAGE(AT153:AX153)/AY7</f>
        <v>0.12113106610622851</v>
      </c>
      <c r="AZ227" s="43">
        <f>AZ153/AZ7/4</f>
        <v>0.13210900473933648</v>
      </c>
      <c r="BA227" s="43">
        <f>BA153/BA7/4</f>
        <v>0.14927905004240882</v>
      </c>
      <c r="BB227" s="43">
        <f>BB153/BB7/4</f>
        <v>0.13707822085889571</v>
      </c>
      <c r="BC227" s="43">
        <f>BC153/BC7/4</f>
        <v>0.10441970310391363</v>
      </c>
      <c r="BD227" s="407">
        <f>AVERAGE(AY153:BC153)/BD7</f>
        <v>0.12938252724144522</v>
      </c>
      <c r="BE227" s="43">
        <f>BE153/BE7/4</f>
        <v>0.11992337164750957</v>
      </c>
      <c r="BF227" s="622">
        <f>BF153/BF7/4</f>
        <v>0.13124488124488123</v>
      </c>
      <c r="BG227" s="622">
        <f>BG153/BG7/4</f>
        <v>0.11313347608850821</v>
      </c>
      <c r="BH227" s="622">
        <f>BH153/BH7/4</f>
        <v>0.11988968202465931</v>
      </c>
      <c r="BI227" s="407">
        <f>AVERAGE(BD153:BH153)/BI7</f>
        <v>0.11920263350402339</v>
      </c>
      <c r="BJ227" s="43">
        <f>BJ153/BJ7/4</f>
        <v>0.13789237668161436</v>
      </c>
      <c r="BK227" s="43">
        <f>BK153/BK7/4</f>
        <v>0.14867924528301887</v>
      </c>
      <c r="BL227" s="43">
        <f>BL153/BL7/4</f>
        <v>0.13924274593064401</v>
      </c>
      <c r="BM227" s="43">
        <f>BM153/BM7/4</f>
        <v>0.11990950226244344</v>
      </c>
      <c r="BN227" s="407">
        <f>AVERAGE(BI153:BM153)/BN7</f>
        <v>0.13494575849190824</v>
      </c>
      <c r="BO227" s="43">
        <f>BO153/BO7/4</f>
        <v>0.14184661206254653</v>
      </c>
      <c r="BP227" s="43">
        <f>BP153/BP7/4</f>
        <v>0.14621559633027523</v>
      </c>
      <c r="BQ227" s="43">
        <f>BQ153/BQ7/4</f>
        <v>0.1398243045387994</v>
      </c>
      <c r="BR227" s="43">
        <f>BR153/BR7/4</f>
        <v>0.12825651302605209</v>
      </c>
      <c r="BS227" s="407">
        <f>AVERAGE(BN153:BR153)/BS7</f>
        <v>0.13786724700761699</v>
      </c>
      <c r="BT227" s="43">
        <f>BT153/BT7/4</f>
        <v>0.14090236686390534</v>
      </c>
      <c r="BU227" s="43">
        <f>BU153/BU7/4</f>
        <v>0.14368029739776952</v>
      </c>
      <c r="BV227" s="43">
        <f>BV153/BV7/4</f>
        <v>0.1307994289793005</v>
      </c>
      <c r="BW227" s="43">
        <f>BW153/BW7/4</f>
        <v>0.12042389210019268</v>
      </c>
      <c r="BX227" s="407">
        <f>AVERAGE(BS153:BW153)/BX7</f>
        <v>0.13389920424403184</v>
      </c>
      <c r="BY227" s="43">
        <f>BY153/BY7/4</f>
        <v>0.13327338129496402</v>
      </c>
      <c r="BZ227" s="43">
        <f>BZ153/BZ7/4</f>
        <v>0.13754646840148699</v>
      </c>
      <c r="CA227" s="43">
        <f>CA153/CA7/4</f>
        <v>0.12885694249649368</v>
      </c>
      <c r="CB227" s="827">
        <f>BW227</f>
        <v>0.12042389210019268</v>
      </c>
      <c r="CC227" s="407">
        <f>AVERAGE(BX153:CB153)/CC7</f>
        <v>0.13018573164381184</v>
      </c>
      <c r="CD227" s="43">
        <f>CD153/CD7/4</f>
        <v>0.13565488565488565</v>
      </c>
      <c r="CE227" s="43">
        <f>CE153/CE7/4</f>
        <v>0.14118065433854907</v>
      </c>
      <c r="CF227" s="43">
        <f>CF153/CF7/4</f>
        <v>0.13337846987136087</v>
      </c>
      <c r="CG227" s="43">
        <f>CG153/CG7/4</f>
        <v>0.11687917425622343</v>
      </c>
      <c r="CH227" s="407">
        <f>AVERAGE(CC153:CG153)/CH7</f>
        <v>0.13122384061610581</v>
      </c>
      <c r="CI227" s="43">
        <f>CI153/CI7/4</f>
        <v>0.1305</v>
      </c>
      <c r="CJ227" s="43">
        <f>CJ153/CJ7/4</f>
        <v>0.13965395480225989</v>
      </c>
      <c r="CK227" s="134">
        <f t="shared" si="497"/>
        <v>0.13337846987136087</v>
      </c>
      <c r="CL227" s="134">
        <f t="shared" si="497"/>
        <v>0.11687917425622343</v>
      </c>
      <c r="CM227" s="407">
        <f ca="1">AVERAGE(CH153:CL153)/CM7</f>
        <v>0.12859528454480143</v>
      </c>
      <c r="CN227" s="134">
        <f>CI227</f>
        <v>0.1305</v>
      </c>
      <c r="CO227" s="134">
        <f t="shared" si="498"/>
        <v>0.13965395480225989</v>
      </c>
      <c r="CP227" s="134">
        <f t="shared" si="498"/>
        <v>0.13337846987136087</v>
      </c>
      <c r="CQ227" s="134">
        <f t="shared" si="498"/>
        <v>0.11687917425622343</v>
      </c>
      <c r="CR227" s="407">
        <f ca="1">AVERAGE(CM153:CQ153)/CR7</f>
        <v>0.12859128596818795</v>
      </c>
      <c r="CS227" s="134">
        <f>CN227</f>
        <v>0.1305</v>
      </c>
      <c r="CT227" s="134">
        <f t="shared" si="499"/>
        <v>0.13965395480225989</v>
      </c>
      <c r="CU227" s="134">
        <f t="shared" si="499"/>
        <v>0.13337846987136087</v>
      </c>
      <c r="CV227" s="134">
        <f t="shared" si="499"/>
        <v>0.11687917425622343</v>
      </c>
      <c r="CW227" s="407">
        <f ca="1">AVERAGE(CR153:CV153)/CW7</f>
        <v>0.12873470533168188</v>
      </c>
      <c r="CX227" s="134">
        <f t="shared" si="500"/>
        <v>0.1305</v>
      </c>
      <c r="CY227" s="134">
        <f t="shared" si="500"/>
        <v>0.13965395480225989</v>
      </c>
      <c r="CZ227" s="134">
        <f t="shared" si="500"/>
        <v>0.13337846987136087</v>
      </c>
      <c r="DA227" s="134">
        <f t="shared" si="500"/>
        <v>0.11687917425622343</v>
      </c>
      <c r="DB227" s="407">
        <f ca="1">AVERAGE(CW153:DA153)/DB7</f>
        <v>0.12871998520701164</v>
      </c>
      <c r="DC227" s="134">
        <f t="shared" si="501"/>
        <v>0.1305</v>
      </c>
      <c r="DD227" s="134">
        <f t="shared" si="501"/>
        <v>0.13965395480225989</v>
      </c>
      <c r="DE227" s="134">
        <f t="shared" si="501"/>
        <v>0.13337846987136087</v>
      </c>
      <c r="DF227" s="134">
        <f t="shared" si="501"/>
        <v>0.11687917425622343</v>
      </c>
      <c r="DG227" s="407">
        <f ca="1">AVERAGE(DB153:DF153)/DG7</f>
        <v>0.12870520792247847</v>
      </c>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c r="HB227"/>
      <c r="HC227"/>
      <c r="HD227"/>
      <c r="HE227"/>
      <c r="HF227"/>
      <c r="HG227"/>
      <c r="HH227"/>
      <c r="HI227"/>
      <c r="HJ227"/>
      <c r="HK227"/>
      <c r="HL227"/>
      <c r="HM227"/>
      <c r="HN227"/>
      <c r="HO227"/>
      <c r="HP227"/>
      <c r="HQ227"/>
      <c r="HR227"/>
    </row>
    <row r="228" spans="1:226" s="19" customFormat="1" x14ac:dyDescent="0.2">
      <c r="A228" s="80" t="s">
        <v>194</v>
      </c>
      <c r="B228" s="43"/>
      <c r="C228" s="43"/>
      <c r="D228" s="43"/>
      <c r="E228" s="43"/>
      <c r="F228" s="407"/>
      <c r="G228" s="43">
        <f>G154/G7/4</f>
        <v>3.1758130081300816E-2</v>
      </c>
      <c r="H228" s="43">
        <f>H154/H7/4</f>
        <v>3.6076662908680945E-2</v>
      </c>
      <c r="I228" s="43">
        <f>I154/I7/4</f>
        <v>2.8347996089931573E-2</v>
      </c>
      <c r="J228" s="43">
        <f>J154/J7/4</f>
        <v>3.1471631205673756E-2</v>
      </c>
      <c r="K228" s="407">
        <f>AVERAGE(F154:J154)/K7</f>
        <v>3.2720039781203379E-2</v>
      </c>
      <c r="L228" s="43">
        <f>L154/L7/4</f>
        <v>3.36676217765043E-2</v>
      </c>
      <c r="M228" s="43">
        <f>M154/M7/4</f>
        <v>3.3207343412526999E-2</v>
      </c>
      <c r="N228" s="43">
        <f>N154/N7/4</f>
        <v>2.9931305201177625E-2</v>
      </c>
      <c r="O228" s="43">
        <f>O154/O7/4</f>
        <v>2.4956597222222224E-2</v>
      </c>
      <c r="P228" s="407">
        <f>AVERAGE(K154:O154)/P7</f>
        <v>3.1032818532818533E-2</v>
      </c>
      <c r="Q228" s="43">
        <f>Q154/Q7/4</f>
        <v>2.9324055666003976E-2</v>
      </c>
      <c r="R228" s="43">
        <f>R154/R7/4</f>
        <v>3.206521739130435E-2</v>
      </c>
      <c r="S228" s="43">
        <f>S154/S7/4</f>
        <v>2.6403425309229307E-2</v>
      </c>
      <c r="T228" s="43">
        <f>T154/T7/4</f>
        <v>3.6708860759493672E-2</v>
      </c>
      <c r="U228" s="407">
        <f>AVERAGE(P154:T154)/U7</f>
        <v>3.0562229697260933E-2</v>
      </c>
      <c r="V228" s="43">
        <f>V154/V7/4</f>
        <v>4.1507633587786259E-2</v>
      </c>
      <c r="W228" s="43">
        <f>W154/W7/4</f>
        <v>4.5999999999999999E-2</v>
      </c>
      <c r="X228" s="43">
        <f>X154/X7/4</f>
        <v>3.7292817679558013E-2</v>
      </c>
      <c r="Y228" s="43">
        <f>Y154/Y7/4</f>
        <v>1.6347687400318979E-2</v>
      </c>
      <c r="Z228" s="407">
        <f>AVERAGE(U154:Y154)/Z7</f>
        <v>3.5369188696444849E-2</v>
      </c>
      <c r="AA228" s="43">
        <f>AA154/AA7/4</f>
        <v>1.947463768115942E-2</v>
      </c>
      <c r="AB228" s="43">
        <f>AB154/AB7/4</f>
        <v>1.7152255639097745E-2</v>
      </c>
      <c r="AC228" s="43">
        <f>AC154/AC7/4</f>
        <v>1.4477095937770095E-2</v>
      </c>
      <c r="AD228" s="43">
        <f>AD154/AD7/4</f>
        <v>2.4450341167551175E-2</v>
      </c>
      <c r="AE228" s="407">
        <f>AVERAGE(Z154:AD154)/AE7</f>
        <v>1.8819982773471147E-2</v>
      </c>
      <c r="AF228" s="43">
        <f>AF154/AF7/4</f>
        <v>2.5839793281653745E-2</v>
      </c>
      <c r="AG228" s="43">
        <f>AG154/AG7/4</f>
        <v>2.5431425976385105E-2</v>
      </c>
      <c r="AH228" s="43">
        <f>AH154/AH7/4</f>
        <v>1.9540692989524575E-2</v>
      </c>
      <c r="AI228" s="43">
        <f>AI154/AI7/4</f>
        <v>9.3005952380952376E-4</v>
      </c>
      <c r="AJ228" s="407">
        <f>AVERAGE(AE154:AI154)/AJ7</f>
        <v>1.9104600783990094E-2</v>
      </c>
      <c r="AK228" s="43">
        <f>AK154/AK7/4</f>
        <v>1.7756255044390639E-2</v>
      </c>
      <c r="AL228" s="43">
        <f>AL154/AL7/4</f>
        <v>5.4173693086003373E-2</v>
      </c>
      <c r="AM228" s="43">
        <f>AM154/AM7/4</f>
        <v>2.402069475240207E-2</v>
      </c>
      <c r="AN228" s="43">
        <f>AN154/AN7/4</f>
        <v>1.6220735785953178E-2</v>
      </c>
      <c r="AO228" s="407">
        <f>AVERAGE(AJ154:AN154)/AO7</f>
        <v>2.1885074909918454E-2</v>
      </c>
      <c r="AP228" s="43">
        <f>AP154/AP7/4</f>
        <v>1.3547687861271676E-2</v>
      </c>
      <c r="AQ228" s="43">
        <f>AQ154/AQ7/4</f>
        <v>1.3569078947368422E-2</v>
      </c>
      <c r="AR228" s="43">
        <f>AR154/AR7/4</f>
        <v>1.3703703703703704E-2</v>
      </c>
      <c r="AS228" s="43">
        <f>AS154/AS7/4</f>
        <v>3.8333333333333331E-3</v>
      </c>
      <c r="AT228" s="407">
        <f>AVERAGE(AO154:AS154)/AT7</f>
        <v>1.2293577981651376E-2</v>
      </c>
      <c r="AU228" s="43">
        <f>AU154/AU7/4</f>
        <v>4.7966231772831923E-3</v>
      </c>
      <c r="AV228" s="43">
        <f>AV154/AV7/4</f>
        <v>5.9670781893004119E-3</v>
      </c>
      <c r="AW228" s="43">
        <f>AW154/AW7/4</f>
        <v>9.518259518259518E-3</v>
      </c>
      <c r="AX228" s="43">
        <f>AX154/AX7/4</f>
        <v>4.1987403778866337E-3</v>
      </c>
      <c r="AY228" s="407">
        <f>AVERAGE(AT154:AX154)/AY7</f>
        <v>5.7317539166985097E-3</v>
      </c>
      <c r="AZ228" s="43">
        <f>AZ154/AZ7/4</f>
        <v>4.7393364928909956E-3</v>
      </c>
      <c r="BA228" s="43">
        <f>BA154/BA7/4</f>
        <v>6.1492790500424091E-3</v>
      </c>
      <c r="BB228" s="43">
        <f>BB154/BB7/4</f>
        <v>1.169478527607362E-2</v>
      </c>
      <c r="BC228" s="43">
        <f>BC154/BC7/4</f>
        <v>2.3616734143049933E-2</v>
      </c>
      <c r="BD228" s="407">
        <f>AVERAGE(AY154:BC154)/BD7</f>
        <v>1.0628942840757025E-2</v>
      </c>
      <c r="BE228" s="43">
        <f>BE154/BE7/4</f>
        <v>2.6245210727969349E-2</v>
      </c>
      <c r="BF228" s="622">
        <f>BF154/BF7/4</f>
        <v>2.8869778869778869E-2</v>
      </c>
      <c r="BG228" s="622">
        <f>BG154/BG7/4</f>
        <v>2.8015703069236259E-2</v>
      </c>
      <c r="BH228" s="622">
        <f>BH154/BH7/4</f>
        <v>1.9305645684620378E-2</v>
      </c>
      <c r="BI228" s="407">
        <f>AVERAGE(BD154:BH154)/BI7</f>
        <v>2.5384052670080471E-2</v>
      </c>
      <c r="BJ228" s="43">
        <f>BJ154/BJ7/4</f>
        <v>2.5224215246636771E-2</v>
      </c>
      <c r="BK228" s="43">
        <f>BK154/BK7/4</f>
        <v>2.1886792452830189E-2</v>
      </c>
      <c r="BL228" s="43">
        <f>BL154/BL7/4</f>
        <v>1.8931351733899506E-2</v>
      </c>
      <c r="BM228" s="43">
        <f>BM154/BM7/4</f>
        <v>1.9230769230769232E-2</v>
      </c>
      <c r="BN228" s="407">
        <f>AVERAGE(BI154:BM154)/BN7</f>
        <v>2.1198648408322959E-2</v>
      </c>
      <c r="BO228" s="43">
        <f>BO154/BO7/4</f>
        <v>2.1965748324646314E-2</v>
      </c>
      <c r="BP228" s="43">
        <f>BP154/BP7/4</f>
        <v>2.2171253822629969E-2</v>
      </c>
      <c r="BQ228" s="43">
        <f>BQ154/BQ7/4</f>
        <v>2.2693997071742314E-2</v>
      </c>
      <c r="BR228" s="43">
        <f>BR154/BR7/4</f>
        <v>1.7201068804275216E-2</v>
      </c>
      <c r="BS228" s="407">
        <f>AVERAGE(BN154:BR154)/BS7</f>
        <v>2.1037359448676098E-2</v>
      </c>
      <c r="BT228" s="43">
        <f>BT154/BT7/4</f>
        <v>1.6642011834319528E-2</v>
      </c>
      <c r="BU228" s="43">
        <f>BU154/BU7/4</f>
        <v>1.5055762081784387E-2</v>
      </c>
      <c r="BV228" s="43">
        <f>BV154/BV7/4</f>
        <v>1.7309064953604569E-2</v>
      </c>
      <c r="BW228" s="43">
        <f>BW154/BW7/4</f>
        <v>1.525369299935774E-2</v>
      </c>
      <c r="BX228" s="407">
        <f>AVERAGE(BS154:BW154)/BX7</f>
        <v>1.6480990274093724E-2</v>
      </c>
      <c r="BY228" s="43">
        <f>BY154/BY7/4</f>
        <v>1.5827338129496403E-2</v>
      </c>
      <c r="BZ228" s="43">
        <f>BZ154/BZ7/4</f>
        <v>1.5427509293680298E-2</v>
      </c>
      <c r="CA228" s="43">
        <f>CA154/CA7/4</f>
        <v>1.8758765778401121E-2</v>
      </c>
      <c r="CB228" s="827">
        <f>BW228</f>
        <v>1.525369299935774E-2</v>
      </c>
      <c r="CC228" s="407">
        <f>AVERAGE(BX154:CB154)/CC7</f>
        <v>1.5795868772782502E-2</v>
      </c>
      <c r="CD228" s="43">
        <f>CD154/CD7/4</f>
        <v>1.4379764379764379E-2</v>
      </c>
      <c r="CE228" s="43">
        <f>CE154/CE7/4</f>
        <v>1.3691322901849217E-2</v>
      </c>
      <c r="CF228" s="43">
        <f>CF154/CF7/4</f>
        <v>8.2938388625592423E-3</v>
      </c>
      <c r="CG228" s="43">
        <f>CG154/CG7/4</f>
        <v>9.2592592592592587E-3</v>
      </c>
      <c r="CH228" s="407">
        <f>AVERAGE(CC154:CG154)/CH7</f>
        <v>1.1786372007366484E-2</v>
      </c>
      <c r="CI228" s="43">
        <f>CI154/CI7/4</f>
        <v>1.0333333333333333E-2</v>
      </c>
      <c r="CJ228" s="43">
        <f>CJ154/CJ7/4</f>
        <v>6.8855932203389829E-3</v>
      </c>
      <c r="CK228" s="134">
        <f t="shared" si="497"/>
        <v>8.2938388625592423E-3</v>
      </c>
      <c r="CL228" s="134">
        <f t="shared" si="497"/>
        <v>9.2592592592592587E-3</v>
      </c>
      <c r="CM228" s="407">
        <f ca="1">AVERAGE(CH154:CL154)/CM7</f>
        <v>8.9712794463045267E-3</v>
      </c>
      <c r="CN228" s="134">
        <f t="shared" si="498"/>
        <v>1.0333333333333333E-2</v>
      </c>
      <c r="CO228" s="134">
        <f t="shared" si="498"/>
        <v>6.8855932203389829E-3</v>
      </c>
      <c r="CP228" s="134">
        <f t="shared" si="498"/>
        <v>8.2938388625592423E-3</v>
      </c>
      <c r="CQ228" s="134">
        <f t="shared" si="498"/>
        <v>9.2592592592592587E-3</v>
      </c>
      <c r="CR228" s="407">
        <f ca="1">AVERAGE(CM154:CQ154)/CR7</f>
        <v>8.9543806943034876E-3</v>
      </c>
      <c r="CS228" s="134">
        <f t="shared" si="499"/>
        <v>1.0333333333333333E-2</v>
      </c>
      <c r="CT228" s="134">
        <f t="shared" si="499"/>
        <v>6.8855932203389829E-3</v>
      </c>
      <c r="CU228" s="134">
        <f t="shared" si="499"/>
        <v>8.2938388625592423E-3</v>
      </c>
      <c r="CV228" s="134">
        <f t="shared" si="499"/>
        <v>9.2592592592592587E-3</v>
      </c>
      <c r="CW228" s="407">
        <f ca="1">AVERAGE(CR154:CV154)/CW7</f>
        <v>8.9652641428871489E-3</v>
      </c>
      <c r="CX228" s="134">
        <f t="shared" si="500"/>
        <v>1.0333333333333333E-2</v>
      </c>
      <c r="CY228" s="134">
        <f t="shared" si="500"/>
        <v>6.8855932203389829E-3</v>
      </c>
      <c r="CZ228" s="134">
        <f t="shared" si="500"/>
        <v>8.2938388625592423E-3</v>
      </c>
      <c r="DA228" s="134">
        <f t="shared" si="500"/>
        <v>9.2592592592592587E-3</v>
      </c>
      <c r="DB228" s="407">
        <f ca="1">AVERAGE(CW154:DA154)/DB7</f>
        <v>8.9636159067082617E-3</v>
      </c>
      <c r="DC228" s="134">
        <f t="shared" si="501"/>
        <v>1.0333333333333333E-2</v>
      </c>
      <c r="DD228" s="134">
        <f t="shared" si="501"/>
        <v>6.8855932203389829E-3</v>
      </c>
      <c r="DE228" s="134">
        <f t="shared" si="501"/>
        <v>8.2938388625592423E-3</v>
      </c>
      <c r="DF228" s="134">
        <f t="shared" si="501"/>
        <v>9.2592592592592587E-3</v>
      </c>
      <c r="DG228" s="407">
        <f ca="1">AVERAGE(DB154:DF154)/DG7</f>
        <v>8.9619594160032772E-3</v>
      </c>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c r="HB228"/>
      <c r="HC228"/>
      <c r="HD228"/>
      <c r="HE228"/>
      <c r="HF228"/>
      <c r="HG228"/>
      <c r="HH228"/>
      <c r="HI228"/>
      <c r="HJ228"/>
      <c r="HK228"/>
      <c r="HL228"/>
      <c r="HM228"/>
      <c r="HN228"/>
      <c r="HO228"/>
      <c r="HP228"/>
      <c r="HQ228"/>
      <c r="HR228"/>
    </row>
    <row r="229" spans="1:226" s="19" customFormat="1" x14ac:dyDescent="0.2">
      <c r="A229" s="80" t="s">
        <v>163</v>
      </c>
      <c r="B229" s="129"/>
      <c r="C229" s="129"/>
      <c r="D229" s="129"/>
      <c r="E229" s="129"/>
      <c r="F229" s="464"/>
      <c r="G229" s="129">
        <f t="shared" ref="G229:BA229" si="502">-G188/G97</f>
        <v>0.21276595744680851</v>
      </c>
      <c r="H229" s="129">
        <f t="shared" si="502"/>
        <v>0.21048109965635739</v>
      </c>
      <c r="I229" s="129">
        <f t="shared" si="502"/>
        <v>0.20734341252699784</v>
      </c>
      <c r="J229" s="129">
        <f t="shared" si="502"/>
        <v>0.21481806225339764</v>
      </c>
      <c r="K229" s="464">
        <f t="shared" si="502"/>
        <v>0.84555651423641065</v>
      </c>
      <c r="L229" s="129">
        <f t="shared" si="502"/>
        <v>0.22082018927444794</v>
      </c>
      <c r="M229" s="129">
        <f t="shared" si="502"/>
        <v>0.21988089784699952</v>
      </c>
      <c r="N229" s="129">
        <f t="shared" si="502"/>
        <v>0.22211938917167978</v>
      </c>
      <c r="O229" s="129">
        <f t="shared" si="502"/>
        <v>0.22315202231520223</v>
      </c>
      <c r="P229" s="464">
        <f t="shared" si="502"/>
        <v>0.884615032038648</v>
      </c>
      <c r="Q229" s="129">
        <f t="shared" si="502"/>
        <v>0.27274351763898164</v>
      </c>
      <c r="R229" s="129">
        <f t="shared" si="502"/>
        <v>0.27078384798099764</v>
      </c>
      <c r="S229" s="129">
        <f t="shared" si="502"/>
        <v>0.26986975233532029</v>
      </c>
      <c r="T229" s="129">
        <f t="shared" si="502"/>
        <v>0.26840833855238438</v>
      </c>
      <c r="U229" s="464">
        <f t="shared" si="502"/>
        <v>1.0818062858141655</v>
      </c>
      <c r="V229" s="129">
        <f t="shared" si="502"/>
        <v>0.2724219722411404</v>
      </c>
      <c r="W229" s="129">
        <f t="shared" si="502"/>
        <v>0.30430836581068815</v>
      </c>
      <c r="X229" s="129">
        <f t="shared" si="502"/>
        <v>0.28012664330106446</v>
      </c>
      <c r="Y229" s="129">
        <f t="shared" si="502"/>
        <v>0.28173258990873173</v>
      </c>
      <c r="Z229" s="464">
        <f t="shared" si="502"/>
        <v>1.138255580850124</v>
      </c>
      <c r="AA229" s="129">
        <f t="shared" si="502"/>
        <v>0.27844996187887427</v>
      </c>
      <c r="AB229" s="129">
        <f t="shared" si="502"/>
        <v>0.2865138592750533</v>
      </c>
      <c r="AC229" s="129">
        <f t="shared" si="502"/>
        <v>0.29262323428480219</v>
      </c>
      <c r="AD229" s="129">
        <f t="shared" si="502"/>
        <v>0.29157803357123452</v>
      </c>
      <c r="AE229" s="464">
        <f t="shared" si="502"/>
        <v>1.1491580590521107</v>
      </c>
      <c r="AF229" s="129">
        <f t="shared" si="502"/>
        <v>0.29111503675327338</v>
      </c>
      <c r="AG229" s="129">
        <f t="shared" si="502"/>
        <v>0.29720037249113351</v>
      </c>
      <c r="AH229" s="129">
        <f t="shared" si="502"/>
        <v>0.31029451570948513</v>
      </c>
      <c r="AI229" s="129">
        <f t="shared" si="502"/>
        <v>0.30970360705860644</v>
      </c>
      <c r="AJ229" s="464">
        <f t="shared" si="502"/>
        <v>1.2083594704348113</v>
      </c>
      <c r="AK229" s="129">
        <f>-AK188/AK97</f>
        <v>0.42426518660713047</v>
      </c>
      <c r="AL229" s="129">
        <f t="shared" si="502"/>
        <v>0.40360360360360359</v>
      </c>
      <c r="AM229" s="129">
        <f t="shared" si="502"/>
        <v>0.40577357834328442</v>
      </c>
      <c r="AN229" s="129">
        <f t="shared" si="502"/>
        <v>0.39855938897222398</v>
      </c>
      <c r="AO229" s="464">
        <f>-AO188/AO97</f>
        <v>1.6328518330194151</v>
      </c>
      <c r="AP229" s="129">
        <f t="shared" si="502"/>
        <v>0.46223737333612602</v>
      </c>
      <c r="AQ229" s="129">
        <f t="shared" si="502"/>
        <v>0.46733675567634408</v>
      </c>
      <c r="AR229" s="129">
        <f t="shared" si="502"/>
        <v>0.4597271806512323</v>
      </c>
      <c r="AS229" s="129">
        <f t="shared" si="502"/>
        <v>0.46660875932320195</v>
      </c>
      <c r="AT229" s="464">
        <f t="shared" si="502"/>
        <v>1.8559148293349641</v>
      </c>
      <c r="AU229" s="129">
        <f t="shared" si="502"/>
        <v>0.50091954516505299</v>
      </c>
      <c r="AV229" s="129">
        <f t="shared" si="502"/>
        <v>0.50604762549624738</v>
      </c>
      <c r="AW229" s="129">
        <f t="shared" si="502"/>
        <v>0.49728623795856891</v>
      </c>
      <c r="AX229" s="129">
        <f t="shared" si="502"/>
        <v>0.50613059595095522</v>
      </c>
      <c r="AY229" s="464">
        <f>-AY188/AY97</f>
        <v>2.0103798334664083</v>
      </c>
      <c r="AZ229" s="129">
        <f t="shared" si="502"/>
        <v>0.5520702634880803</v>
      </c>
      <c r="BA229" s="129">
        <f t="shared" ca="1" si="502"/>
        <v>0.5520702634880803</v>
      </c>
      <c r="BB229" s="129">
        <f>-BB188/BB97</f>
        <v>0.54999853333724447</v>
      </c>
      <c r="BC229" s="578">
        <v>0.6</v>
      </c>
      <c r="BD229" s="464">
        <f ca="1">-BD188/BD97</f>
        <v>2.2525943862061899</v>
      </c>
      <c r="BE229" s="578">
        <v>0.6</v>
      </c>
      <c r="BF229" s="578">
        <v>0.6</v>
      </c>
      <c r="BG229" s="578">
        <v>0.6</v>
      </c>
      <c r="BH229" s="578">
        <v>0.6</v>
      </c>
      <c r="BI229" s="464">
        <f>-BI188/BI97</f>
        <v>2.3836643559203132</v>
      </c>
      <c r="BJ229" s="578">
        <v>0.64</v>
      </c>
      <c r="BK229" s="578">
        <f>BJ229</f>
        <v>0.64</v>
      </c>
      <c r="BL229" s="578">
        <f>BK229</f>
        <v>0.64</v>
      </c>
      <c r="BM229" s="578">
        <f>BL229</f>
        <v>0.64</v>
      </c>
      <c r="BN229" s="464">
        <f t="shared" ref="BN229:BZ229" si="503">-BN188/BN97</f>
        <v>2.5557886706084303</v>
      </c>
      <c r="BO229" s="578">
        <f t="shared" si="503"/>
        <v>0.71497762811937815</v>
      </c>
      <c r="BP229" s="578">
        <f t="shared" si="503"/>
        <v>0.70088419236575361</v>
      </c>
      <c r="BQ229" s="578">
        <f t="shared" si="503"/>
        <v>0.71915742588038778</v>
      </c>
      <c r="BR229" s="578">
        <f t="shared" si="503"/>
        <v>0.70539901554203333</v>
      </c>
      <c r="BS229" s="464">
        <f t="shared" si="503"/>
        <v>2.8404212005024765</v>
      </c>
      <c r="BT229" s="578">
        <f t="shared" si="503"/>
        <v>0.73465726305369949</v>
      </c>
      <c r="BU229" s="578">
        <f t="shared" si="503"/>
        <v>0.73532227796714023</v>
      </c>
      <c r="BV229" s="578">
        <f t="shared" si="503"/>
        <v>0.73577935721708521</v>
      </c>
      <c r="BW229" s="578">
        <f t="shared" si="503"/>
        <v>0.74879767795524199</v>
      </c>
      <c r="BX229" s="464">
        <f>-BX188/BX97</f>
        <v>2.9544931317627197</v>
      </c>
      <c r="BY229" s="578">
        <f t="shared" si="503"/>
        <v>0.76652084704424917</v>
      </c>
      <c r="BZ229" s="578">
        <f t="shared" si="503"/>
        <v>0.76422500636854174</v>
      </c>
      <c r="CA229" s="578">
        <f>-CA188/CA97</f>
        <v>0.77106947335954967</v>
      </c>
      <c r="CB229" s="659">
        <f>CA229</f>
        <v>0.77106947335954967</v>
      </c>
      <c r="CC229" s="464">
        <f t="shared" ref="CC229:CH229" si="504">-CC188/CC97</f>
        <v>3.0740237271379138</v>
      </c>
      <c r="CD229" s="578">
        <f t="shared" si="504"/>
        <v>0.80340520204868315</v>
      </c>
      <c r="CE229" s="578">
        <f t="shared" si="504"/>
        <v>0.79379285119496945</v>
      </c>
      <c r="CF229" s="578">
        <f t="shared" si="504"/>
        <v>0.79998757300857459</v>
      </c>
      <c r="CG229" s="578">
        <f t="shared" si="504"/>
        <v>0.79775080743224924</v>
      </c>
      <c r="CH229" s="464">
        <f t="shared" si="504"/>
        <v>3.194962505719138</v>
      </c>
      <c r="CI229" s="578">
        <f t="shared" ref="CI229:CJ229" si="505">-CI188/CI97</f>
        <v>0.8370860105875878</v>
      </c>
      <c r="CJ229" s="578">
        <f t="shared" si="505"/>
        <v>0.84261628491253016</v>
      </c>
      <c r="CK229" s="135">
        <f>CJ229</f>
        <v>0.84261628491253016</v>
      </c>
      <c r="CL229" s="135">
        <v>0.96</v>
      </c>
      <c r="CM229" s="464">
        <f>-CM188/CM97</f>
        <v>3.48160200316594</v>
      </c>
      <c r="CN229" s="135">
        <v>0.96</v>
      </c>
      <c r="CO229" s="135">
        <f>CN229</f>
        <v>0.96</v>
      </c>
      <c r="CP229" s="135">
        <f>CO229</f>
        <v>0.96</v>
      </c>
      <c r="CQ229" s="135">
        <f>CP229</f>
        <v>0.96</v>
      </c>
      <c r="CR229" s="464">
        <f>-CR188/CR97</f>
        <v>3.8400000000000003</v>
      </c>
      <c r="CS229" s="135">
        <f>CQ229+0.04</f>
        <v>1</v>
      </c>
      <c r="CT229" s="135">
        <f>CS229</f>
        <v>1</v>
      </c>
      <c r="CU229" s="135">
        <f>CT229</f>
        <v>1</v>
      </c>
      <c r="CV229" s="135">
        <f>CU229</f>
        <v>1</v>
      </c>
      <c r="CW229" s="464">
        <f>-CW188/CW97</f>
        <v>4</v>
      </c>
      <c r="CX229" s="135">
        <f>CV229+0.04</f>
        <v>1.04</v>
      </c>
      <c r="CY229" s="135">
        <f>CX229</f>
        <v>1.04</v>
      </c>
      <c r="CZ229" s="135">
        <f>CY229</f>
        <v>1.04</v>
      </c>
      <c r="DA229" s="135">
        <f>CZ229</f>
        <v>1.04</v>
      </c>
      <c r="DB229" s="464">
        <f>-DB188/DB97</f>
        <v>4.16</v>
      </c>
      <c r="DC229" s="135">
        <f>DA229+0.04</f>
        <v>1.08</v>
      </c>
      <c r="DD229" s="135">
        <f>DC229</f>
        <v>1.08</v>
      </c>
      <c r="DE229" s="135">
        <f>DD229</f>
        <v>1.08</v>
      </c>
      <c r="DF229" s="135">
        <f>DE229</f>
        <v>1.08</v>
      </c>
      <c r="DG229" s="464">
        <f>-DG188/DG97</f>
        <v>4.3199999999999994</v>
      </c>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c r="HB229"/>
      <c r="HC229"/>
      <c r="HD229"/>
      <c r="HE229"/>
      <c r="HF229"/>
      <c r="HG229"/>
      <c r="HH229"/>
      <c r="HI229"/>
      <c r="HJ229"/>
      <c r="HK229"/>
      <c r="HL229"/>
      <c r="HM229"/>
      <c r="HN229"/>
      <c r="HO229"/>
      <c r="HP229"/>
      <c r="HQ229"/>
      <c r="HR229"/>
    </row>
    <row r="230" spans="1:226" s="19" customFormat="1" x14ac:dyDescent="0.2">
      <c r="A230" s="80" t="s">
        <v>203</v>
      </c>
      <c r="B230" s="47"/>
      <c r="C230" s="47"/>
      <c r="D230" s="47"/>
      <c r="E230" s="47"/>
      <c r="F230" s="185"/>
      <c r="G230" s="47">
        <f t="shared" ref="G230:AL230" si="506">-G188/G79</f>
        <v>0.45045045045045046</v>
      </c>
      <c r="H230" s="47">
        <f t="shared" si="506"/>
        <v>1.1666666666666667</v>
      </c>
      <c r="I230" s="47">
        <f t="shared" si="506"/>
        <v>0.96</v>
      </c>
      <c r="J230" s="47">
        <f t="shared" si="506"/>
        <v>0.31818181818181818</v>
      </c>
      <c r="K230" s="185">
        <f t="shared" si="506"/>
        <v>0.5490196078431373</v>
      </c>
      <c r="L230" s="47">
        <f t="shared" si="506"/>
        <v>0.310126582278481</v>
      </c>
      <c r="M230" s="47">
        <f t="shared" si="506"/>
        <v>0.55172413793103448</v>
      </c>
      <c r="N230" s="47">
        <f t="shared" si="506"/>
        <v>0.42857142857142855</v>
      </c>
      <c r="O230" s="47">
        <f t="shared" si="506"/>
        <v>0.30573248407643311</v>
      </c>
      <c r="P230" s="185">
        <f t="shared" si="506"/>
        <v>0.3754863813229572</v>
      </c>
      <c r="Q230" s="47">
        <f t="shared" si="506"/>
        <v>0.5043478260869565</v>
      </c>
      <c r="R230" s="47">
        <f t="shared" si="506"/>
        <v>0.5643564356435643</v>
      </c>
      <c r="S230" s="47">
        <f t="shared" si="506"/>
        <v>0.4956521739130435</v>
      </c>
      <c r="T230" s="47">
        <f t="shared" si="506"/>
        <v>0.35849056603773582</v>
      </c>
      <c r="U230" s="185">
        <f t="shared" si="506"/>
        <v>0.4673469387755102</v>
      </c>
      <c r="V230" s="47">
        <f t="shared" si="506"/>
        <v>0.5321100917431193</v>
      </c>
      <c r="W230" s="47">
        <f t="shared" si="506"/>
        <v>0.41911764705882354</v>
      </c>
      <c r="X230" s="47">
        <f t="shared" si="506"/>
        <v>0.37068965517241381</v>
      </c>
      <c r="Y230" s="47">
        <f t="shared" si="506"/>
        <v>0.27564102564102566</v>
      </c>
      <c r="Z230" s="185">
        <f t="shared" si="506"/>
        <v>0.38878143133462284</v>
      </c>
      <c r="AA230" s="47">
        <f t="shared" si="506"/>
        <v>0.3888888888888889</v>
      </c>
      <c r="AB230" s="47">
        <f t="shared" si="506"/>
        <v>0.51807228915662651</v>
      </c>
      <c r="AC230" s="47">
        <f t="shared" si="506"/>
        <v>0.4</v>
      </c>
      <c r="AD230" s="47">
        <f t="shared" si="506"/>
        <v>0.30985915492957744</v>
      </c>
      <c r="AE230" s="185">
        <f t="shared" si="506"/>
        <v>0.3905191873589165</v>
      </c>
      <c r="AF230" s="47">
        <f t="shared" si="506"/>
        <v>0.39285714285714285</v>
      </c>
      <c r="AG230" s="47">
        <f t="shared" si="506"/>
        <v>0.49450549450549453</v>
      </c>
      <c r="AH230" s="47">
        <f t="shared" si="506"/>
        <v>0.36434108527131781</v>
      </c>
      <c r="AI230" s="47">
        <f t="shared" si="506"/>
        <v>0.28658536585365851</v>
      </c>
      <c r="AJ230" s="185">
        <f t="shared" si="506"/>
        <v>0.36895161290322581</v>
      </c>
      <c r="AK230" s="47">
        <f t="shared" si="506"/>
        <v>0.5495495495495496</v>
      </c>
      <c r="AL230" s="47">
        <f t="shared" si="506"/>
        <v>0.60869565217391308</v>
      </c>
      <c r="AM230" s="47">
        <f t="shared" ref="AM230:BR230" si="507">-AM188/AM79</f>
        <v>0.56000000000000005</v>
      </c>
      <c r="AN230" s="47">
        <f t="shared" si="507"/>
        <v>0.34810126582278483</v>
      </c>
      <c r="AO230" s="185">
        <f t="shared" si="507"/>
        <v>0.49457700650759218</v>
      </c>
      <c r="AP230" s="47">
        <f t="shared" si="507"/>
        <v>0.5</v>
      </c>
      <c r="AQ230" s="47">
        <f t="shared" si="507"/>
        <v>0.7558139534883721</v>
      </c>
      <c r="AR230" s="47">
        <f t="shared" si="507"/>
        <v>0.41830065359477125</v>
      </c>
      <c r="AS230" s="47">
        <f t="shared" si="507"/>
        <v>0.38235294117647056</v>
      </c>
      <c r="AT230" s="185">
        <f t="shared" si="507"/>
        <v>0.48044692737430167</v>
      </c>
      <c r="AU230" s="47">
        <f t="shared" si="507"/>
        <v>0.5</v>
      </c>
      <c r="AV230" s="47">
        <f t="shared" si="507"/>
        <v>0.76344086021505375</v>
      </c>
      <c r="AW230" s="47">
        <f t="shared" si="507"/>
        <v>0.48951048951048953</v>
      </c>
      <c r="AX230" s="47">
        <f t="shared" si="507"/>
        <v>0.47333333333333333</v>
      </c>
      <c r="AY230" s="185">
        <f t="shared" si="507"/>
        <v>0.53612167300380231</v>
      </c>
      <c r="AZ230" s="47">
        <f t="shared" si="507"/>
        <v>0.55000000000000004</v>
      </c>
      <c r="BA230" s="47">
        <f t="shared" ca="1" si="507"/>
        <v>0.81426018888794349</v>
      </c>
      <c r="BB230" s="47">
        <f>-BB188/BB79</f>
        <v>0.53191489361702127</v>
      </c>
      <c r="BC230" s="47">
        <f t="shared" si="507"/>
        <v>0.46962958579881653</v>
      </c>
      <c r="BD230" s="185">
        <f t="shared" ca="1" si="507"/>
        <v>0.56601804332161809</v>
      </c>
      <c r="BE230" s="47">
        <f>-BE188/BE79</f>
        <v>0.60769230769230764</v>
      </c>
      <c r="BF230" s="47">
        <f>-BF188/BF79</f>
        <v>0.75238095238095237</v>
      </c>
      <c r="BG230" s="47">
        <f>-BG188/BG79</f>
        <v>0.58955223880597019</v>
      </c>
      <c r="BH230" s="47">
        <f t="shared" si="507"/>
        <v>0.45402298850574713</v>
      </c>
      <c r="BI230" s="185">
        <f t="shared" si="507"/>
        <v>0.58195211786372003</v>
      </c>
      <c r="BJ230" s="47">
        <f>-BJ188/BJ79</f>
        <v>0.62406015037593987</v>
      </c>
      <c r="BK230" s="47">
        <f t="shared" si="507"/>
        <v>0.68292682926829273</v>
      </c>
      <c r="BL230" s="47">
        <f t="shared" si="507"/>
        <v>0.61940298507462688</v>
      </c>
      <c r="BM230" s="47">
        <f>-BM188/BM79</f>
        <v>0.46195652173913043</v>
      </c>
      <c r="BN230" s="185">
        <f t="shared" si="507"/>
        <v>0.58362369337979092</v>
      </c>
      <c r="BO230" s="47">
        <f>-BO188/BO79</f>
        <v>0.6690647482014388</v>
      </c>
      <c r="BP230" s="47">
        <f t="shared" si="507"/>
        <v>0.76858108108108103</v>
      </c>
      <c r="BQ230" s="47">
        <f t="shared" si="507"/>
        <v>0.61752988047808766</v>
      </c>
      <c r="BR230" s="47">
        <f t="shared" si="507"/>
        <v>0.53278688524590156</v>
      </c>
      <c r="BS230" s="185">
        <f>-BS188/BS79</f>
        <v>0.63579820317899105</v>
      </c>
      <c r="BT230" s="47">
        <f t="shared" ref="BT230:CW230" si="508">-BT188/BT79</f>
        <v>0.65562456866804686</v>
      </c>
      <c r="BU230" s="47">
        <f t="shared" si="508"/>
        <v>0.74882995319812795</v>
      </c>
      <c r="BV230" s="47">
        <f t="shared" si="508"/>
        <v>0.67267683772538145</v>
      </c>
      <c r="BW230" s="47">
        <f t="shared" si="508"/>
        <v>0.51322751322751325</v>
      </c>
      <c r="BX230" s="185">
        <f t="shared" si="508"/>
        <v>0.63499917532574635</v>
      </c>
      <c r="BY230" s="47">
        <f t="shared" si="508"/>
        <v>0.5722543352601156</v>
      </c>
      <c r="BZ230" s="47">
        <f t="shared" si="508"/>
        <v>0.65737051792828682</v>
      </c>
      <c r="CA230" s="47">
        <f t="shared" si="508"/>
        <v>0.62893081761006286</v>
      </c>
      <c r="CB230" s="47">
        <f t="shared" si="508"/>
        <v>0.60606060606060608</v>
      </c>
      <c r="CC230" s="185">
        <f t="shared" si="508"/>
        <v>0.61457689932056825</v>
      </c>
      <c r="CD230" s="47">
        <f>-CD188/CD79</f>
        <v>0.57971014492753625</v>
      </c>
      <c r="CE230" s="47">
        <f>-CE188/CE79</f>
        <v>0.68227424749163879</v>
      </c>
      <c r="CF230" s="47">
        <f>-CF188/CF79</f>
        <v>0.59710144927536235</v>
      </c>
      <c r="CG230" s="47">
        <f>-CG188/CG79</f>
        <v>0.50889328063241113</v>
      </c>
      <c r="CH230" s="185">
        <f t="shared" si="508"/>
        <v>0.58539357772094347</v>
      </c>
      <c r="CI230" s="47">
        <f>-CI188/CI79</f>
        <v>0.5625</v>
      </c>
      <c r="CJ230" s="47">
        <f t="shared" si="508"/>
        <v>0.46781115879828328</v>
      </c>
      <c r="CK230" s="47">
        <f t="shared" ca="1" si="508"/>
        <v>0.64634286614826997</v>
      </c>
      <c r="CL230" s="47">
        <f t="shared" ca="1" si="508"/>
        <v>0.59157089198303303</v>
      </c>
      <c r="CM230" s="185">
        <f t="shared" ca="1" si="508"/>
        <v>0.56010311371580068</v>
      </c>
      <c r="CN230" s="47">
        <f t="shared" ca="1" si="508"/>
        <v>0.56768242247589651</v>
      </c>
      <c r="CO230" s="47">
        <f t="shared" ca="1" si="508"/>
        <v>0.69739949492547648</v>
      </c>
      <c r="CP230" s="47">
        <f t="shared" ca="1" si="508"/>
        <v>0.63502454993222301</v>
      </c>
      <c r="CQ230" s="47">
        <f t="shared" ca="1" si="508"/>
        <v>0.53226180124220324</v>
      </c>
      <c r="CR230" s="185">
        <f t="shared" ca="1" si="508"/>
        <v>0.60169446739106891</v>
      </c>
      <c r="CS230" s="47">
        <f t="shared" ca="1" si="508"/>
        <v>0.54738207956533724</v>
      </c>
      <c r="CT230" s="47">
        <f t="shared" ca="1" si="508"/>
        <v>0.69224244171840887</v>
      </c>
      <c r="CU230" s="47">
        <f t="shared" ca="1" si="508"/>
        <v>0.61577099913386613</v>
      </c>
      <c r="CV230" s="47">
        <f t="shared" ca="1" si="508"/>
        <v>0.5168766058955947</v>
      </c>
      <c r="CW230" s="185">
        <f t="shared" ca="1" si="508"/>
        <v>0.58573532677202911</v>
      </c>
      <c r="CX230" s="47">
        <f t="shared" ref="CX230:DG230" ca="1" si="509">-CX188/CX79</f>
        <v>0.54165410570247396</v>
      </c>
      <c r="CY230" s="47">
        <f t="shared" ca="1" si="509"/>
        <v>0.68308571273375751</v>
      </c>
      <c r="CZ230" s="47">
        <f t="shared" ca="1" si="509"/>
        <v>0.60937550582833289</v>
      </c>
      <c r="DA230" s="47">
        <f t="shared" ca="1" si="509"/>
        <v>0.51273932429552693</v>
      </c>
      <c r="DB230" s="185">
        <f t="shared" ca="1" si="509"/>
        <v>0.57967890449364134</v>
      </c>
      <c r="DC230" s="47">
        <f t="shared" ca="1" si="509"/>
        <v>0.536216624443828</v>
      </c>
      <c r="DD230" s="47">
        <f t="shared" ca="1" si="509"/>
        <v>0.67453063585484008</v>
      </c>
      <c r="DE230" s="47">
        <f t="shared" ca="1" si="509"/>
        <v>0.60340283166661191</v>
      </c>
      <c r="DF230" s="47">
        <f t="shared" ca="1" si="509"/>
        <v>0.50884397956470151</v>
      </c>
      <c r="DG230" s="185">
        <f t="shared" ca="1" si="509"/>
        <v>0.57398319879587101</v>
      </c>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c r="HB230"/>
      <c r="HC230"/>
      <c r="HD230"/>
      <c r="HE230"/>
      <c r="HF230"/>
      <c r="HG230"/>
      <c r="HH230"/>
      <c r="HI230"/>
      <c r="HJ230"/>
      <c r="HK230"/>
      <c r="HL230"/>
      <c r="HM230"/>
      <c r="HN230"/>
      <c r="HO230"/>
      <c r="HP230"/>
      <c r="HQ230"/>
      <c r="HR230"/>
    </row>
    <row r="231" spans="1:226" s="19" customFormat="1" x14ac:dyDescent="0.2">
      <c r="A231" s="80" t="s">
        <v>164</v>
      </c>
      <c r="B231" s="73"/>
      <c r="C231" s="73"/>
      <c r="D231" s="73"/>
      <c r="E231" s="73"/>
      <c r="F231" s="481"/>
      <c r="G231" s="73">
        <f t="shared" ref="G231:L231" si="510">G137-G150</f>
        <v>-59</v>
      </c>
      <c r="H231" s="73">
        <f t="shared" si="510"/>
        <v>-7</v>
      </c>
      <c r="I231" s="73">
        <f t="shared" si="510"/>
        <v>-22</v>
      </c>
      <c r="J231" s="73">
        <f t="shared" si="510"/>
        <v>-182</v>
      </c>
      <c r="K231" s="481">
        <f t="shared" si="510"/>
        <v>-182</v>
      </c>
      <c r="L231" s="73">
        <f t="shared" si="510"/>
        <v>-428</v>
      </c>
      <c r="M231" s="73">
        <f t="shared" ref="M231:AT231" si="511">M137-M150</f>
        <v>-511</v>
      </c>
      <c r="N231" s="73">
        <f t="shared" si="511"/>
        <v>-509</v>
      </c>
      <c r="O231" s="73">
        <f t="shared" si="511"/>
        <v>-500</v>
      </c>
      <c r="P231" s="481">
        <f t="shared" si="511"/>
        <v>-500</v>
      </c>
      <c r="Q231" s="73">
        <f t="shared" si="511"/>
        <v>-552</v>
      </c>
      <c r="R231" s="73">
        <f t="shared" si="511"/>
        <v>-543</v>
      </c>
      <c r="S231" s="73">
        <f t="shared" si="511"/>
        <v>-388</v>
      </c>
      <c r="T231" s="73">
        <f t="shared" si="511"/>
        <v>-225</v>
      </c>
      <c r="U231" s="481">
        <f t="shared" si="511"/>
        <v>-225</v>
      </c>
      <c r="V231" s="73">
        <f t="shared" si="511"/>
        <v>35</v>
      </c>
      <c r="W231" s="73">
        <f>W137-W150</f>
        <v>-422</v>
      </c>
      <c r="X231" s="73">
        <f t="shared" si="511"/>
        <v>-158</v>
      </c>
      <c r="Y231" s="73">
        <f t="shared" si="511"/>
        <v>-258</v>
      </c>
      <c r="Z231" s="481">
        <f t="shared" si="511"/>
        <v>-258</v>
      </c>
      <c r="AA231" s="73">
        <f t="shared" si="511"/>
        <v>-229</v>
      </c>
      <c r="AB231" s="73">
        <f t="shared" si="511"/>
        <v>-205</v>
      </c>
      <c r="AC231" s="73">
        <f t="shared" si="511"/>
        <v>-258</v>
      </c>
      <c r="AD231" s="73">
        <f t="shared" si="511"/>
        <v>-123</v>
      </c>
      <c r="AE231" s="481">
        <f t="shared" si="511"/>
        <v>-123</v>
      </c>
      <c r="AF231" s="73">
        <f t="shared" si="511"/>
        <v>-20</v>
      </c>
      <c r="AG231" s="73">
        <f t="shared" si="511"/>
        <v>-540</v>
      </c>
      <c r="AH231" s="73">
        <f t="shared" si="511"/>
        <v>-465</v>
      </c>
      <c r="AI231" s="73">
        <f t="shared" si="511"/>
        <v>-395</v>
      </c>
      <c r="AJ231" s="481">
        <f t="shared" si="511"/>
        <v>-395</v>
      </c>
      <c r="AK231" s="73">
        <f t="shared" si="511"/>
        <v>-1089</v>
      </c>
      <c r="AL231" s="73">
        <f t="shared" si="511"/>
        <v>-1116</v>
      </c>
      <c r="AM231" s="73">
        <f t="shared" si="511"/>
        <v>-506</v>
      </c>
      <c r="AN231" s="73">
        <f t="shared" si="511"/>
        <v>-412</v>
      </c>
      <c r="AO231" s="481">
        <f t="shared" si="511"/>
        <v>-412</v>
      </c>
      <c r="AP231" s="73">
        <f t="shared" si="511"/>
        <v>-396</v>
      </c>
      <c r="AQ231" s="73">
        <f t="shared" si="511"/>
        <v>-389</v>
      </c>
      <c r="AR231" s="73">
        <f t="shared" si="511"/>
        <v>-866</v>
      </c>
      <c r="AS231" s="73">
        <f t="shared" si="511"/>
        <v>-757</v>
      </c>
      <c r="AT231" s="481">
        <f t="shared" si="511"/>
        <v>-757</v>
      </c>
      <c r="AU231" s="73">
        <f t="shared" ref="AU231:BZ231" si="512">AU137-AU150</f>
        <v>-665</v>
      </c>
      <c r="AV231" s="73">
        <f t="shared" si="512"/>
        <v>-269</v>
      </c>
      <c r="AW231" s="73">
        <f t="shared" si="512"/>
        <v>-434</v>
      </c>
      <c r="AX231" s="73">
        <f t="shared" si="512"/>
        <v>-523</v>
      </c>
      <c r="AY231" s="481">
        <f t="shared" si="512"/>
        <v>-523</v>
      </c>
      <c r="AZ231" s="73">
        <f t="shared" si="512"/>
        <v>24</v>
      </c>
      <c r="BA231" s="73">
        <f t="shared" si="512"/>
        <v>168</v>
      </c>
      <c r="BB231" s="73">
        <f>BB137-BB150</f>
        <v>-28</v>
      </c>
      <c r="BC231" s="73">
        <f t="shared" si="512"/>
        <v>-86</v>
      </c>
      <c r="BD231" s="481">
        <f t="shared" si="512"/>
        <v>-86</v>
      </c>
      <c r="BE231" s="73">
        <f>BE137-BE150</f>
        <v>-30</v>
      </c>
      <c r="BF231" s="626">
        <f>BF137-BF150</f>
        <v>-289</v>
      </c>
      <c r="BG231" s="73">
        <f>BG137-BG150</f>
        <v>-689</v>
      </c>
      <c r="BH231" s="73">
        <f t="shared" si="512"/>
        <v>-685</v>
      </c>
      <c r="BI231" s="481">
        <f t="shared" si="512"/>
        <v>-685</v>
      </c>
      <c r="BJ231" s="73">
        <f>BJ137-BJ150</f>
        <v>20</v>
      </c>
      <c r="BK231" s="73">
        <f t="shared" si="512"/>
        <v>179</v>
      </c>
      <c r="BL231" s="73">
        <f t="shared" si="512"/>
        <v>280</v>
      </c>
      <c r="BM231" s="73">
        <f>BM137-BM150</f>
        <v>286</v>
      </c>
      <c r="BN231" s="481">
        <f t="shared" si="512"/>
        <v>286</v>
      </c>
      <c r="BO231" s="73">
        <f>BO137-BO150</f>
        <v>250</v>
      </c>
      <c r="BP231" s="73">
        <f>BP137-BP150</f>
        <v>319</v>
      </c>
      <c r="BQ231" s="73">
        <f>BQ137-BQ150</f>
        <v>-318</v>
      </c>
      <c r="BR231" s="73">
        <f t="shared" si="512"/>
        <v>-243</v>
      </c>
      <c r="BS231" s="481">
        <f t="shared" si="512"/>
        <v>-243</v>
      </c>
      <c r="BT231" s="73">
        <f t="shared" si="512"/>
        <v>-182</v>
      </c>
      <c r="BU231" s="73">
        <f t="shared" si="512"/>
        <v>161</v>
      </c>
      <c r="BV231" s="73">
        <f t="shared" si="512"/>
        <v>195</v>
      </c>
      <c r="BW231" s="73">
        <f t="shared" si="512"/>
        <v>24</v>
      </c>
      <c r="BX231" s="481">
        <f t="shared" si="512"/>
        <v>24</v>
      </c>
      <c r="BY231" s="73">
        <f t="shared" si="512"/>
        <v>59</v>
      </c>
      <c r="BZ231" s="73">
        <f t="shared" si="512"/>
        <v>132</v>
      </c>
      <c r="CA231" s="73">
        <f t="shared" ref="CA231:CW231" si="513">CA137-CA150</f>
        <v>203</v>
      </c>
      <c r="CB231" s="73">
        <f t="shared" si="513"/>
        <v>-73</v>
      </c>
      <c r="CC231" s="481">
        <f t="shared" si="513"/>
        <v>-73</v>
      </c>
      <c r="CD231" s="73">
        <f t="shared" ca="1" si="513"/>
        <v>-106</v>
      </c>
      <c r="CE231" s="73">
        <f t="shared" ca="1" si="513"/>
        <v>-488</v>
      </c>
      <c r="CF231" s="73">
        <f t="shared" ca="1" si="513"/>
        <v>-395</v>
      </c>
      <c r="CG231" s="73">
        <f t="shared" ca="1" si="513"/>
        <v>-295</v>
      </c>
      <c r="CH231" s="481">
        <f t="shared" ca="1" si="513"/>
        <v>-295</v>
      </c>
      <c r="CI231" s="73">
        <f t="shared" ref="CI231" ca="1" si="514">CI137-CI150</f>
        <v>144</v>
      </c>
      <c r="CJ231" s="73">
        <f t="shared" si="513"/>
        <v>300</v>
      </c>
      <c r="CK231" s="73">
        <f t="shared" ca="1" si="513"/>
        <v>242.07424636700694</v>
      </c>
      <c r="CL231" s="73">
        <f t="shared" ca="1" si="513"/>
        <v>129.43824338809259</v>
      </c>
      <c r="CM231" s="481">
        <f t="shared" ca="1" si="513"/>
        <v>129.43824338809259</v>
      </c>
      <c r="CN231" s="73">
        <f t="shared" ca="1" si="513"/>
        <v>119.14705736419296</v>
      </c>
      <c r="CO231" s="73">
        <f t="shared" ca="1" si="513"/>
        <v>66.187728395185559</v>
      </c>
      <c r="CP231" s="73">
        <f t="shared" ca="1" si="513"/>
        <v>68.523594500391027</v>
      </c>
      <c r="CQ231" s="73">
        <f t="shared" ca="1" si="513"/>
        <v>16.80021170166583</v>
      </c>
      <c r="CR231" s="481">
        <f t="shared" ca="1" si="513"/>
        <v>16.80021170166583</v>
      </c>
      <c r="CS231" s="73">
        <f t="shared" ca="1" si="513"/>
        <v>6.7508654509611006</v>
      </c>
      <c r="CT231" s="73">
        <f t="shared" ca="1" si="513"/>
        <v>-50.254116165473079</v>
      </c>
      <c r="CU231" s="73">
        <f t="shared" ca="1" si="513"/>
        <v>-46.711058552021314</v>
      </c>
      <c r="CV231" s="73">
        <f t="shared" ca="1" si="513"/>
        <v>-97.822630484087085</v>
      </c>
      <c r="CW231" s="481">
        <f t="shared" ca="1" si="513"/>
        <v>-97.822630484087085</v>
      </c>
      <c r="CX231" s="73">
        <f t="shared" ref="CX231:DG231" ca="1" si="515">CX137-CX150</f>
        <v>-110.69449580912215</v>
      </c>
      <c r="CY231" s="73">
        <f t="shared" ca="1" si="515"/>
        <v>-172.23046327692873</v>
      </c>
      <c r="CZ231" s="73">
        <f t="shared" ca="1" si="515"/>
        <v>-172.96614841165638</v>
      </c>
      <c r="DA231" s="73">
        <f t="shared" ca="1" si="515"/>
        <v>-230.06275533879943</v>
      </c>
      <c r="DB231" s="481">
        <f t="shared" ca="1" si="515"/>
        <v>-230.06275533879943</v>
      </c>
      <c r="DC231" s="73">
        <f t="shared" ca="1" si="515"/>
        <v>-247.45197856441473</v>
      </c>
      <c r="DD231" s="73">
        <f t="shared" ca="1" si="515"/>
        <v>-315.20115208722018</v>
      </c>
      <c r="DE231" s="73">
        <f t="shared" ca="1" si="515"/>
        <v>-321.95072491318979</v>
      </c>
      <c r="DF231" s="73">
        <f t="shared" ca="1" si="515"/>
        <v>-386.90505060872192</v>
      </c>
      <c r="DG231" s="481">
        <f t="shared" ca="1" si="515"/>
        <v>-386.90505060872192</v>
      </c>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c r="HB231"/>
      <c r="HC231"/>
      <c r="HD231"/>
      <c r="HE231"/>
      <c r="HF231"/>
      <c r="HG231"/>
      <c r="HH231"/>
      <c r="HI231"/>
      <c r="HJ231"/>
      <c r="HK231"/>
      <c r="HL231"/>
      <c r="HM231"/>
      <c r="HN231"/>
      <c r="HO231"/>
      <c r="HP231"/>
      <c r="HQ231"/>
      <c r="HR231"/>
    </row>
    <row r="232" spans="1:226" s="19" customFormat="1" x14ac:dyDescent="0.2">
      <c r="A232" s="80"/>
      <c r="F232" s="455"/>
      <c r="K232" s="455"/>
      <c r="P232" s="455"/>
      <c r="U232" s="455"/>
      <c r="Z232" s="455"/>
      <c r="AE232" s="455"/>
      <c r="AJ232" s="455"/>
      <c r="AK232" s="497"/>
      <c r="AL232" s="497"/>
      <c r="AM232" s="497"/>
      <c r="AN232" s="497"/>
      <c r="AO232" s="498"/>
      <c r="AP232" s="497"/>
      <c r="AQ232" s="497"/>
      <c r="AR232" s="497"/>
      <c r="AS232" s="497"/>
      <c r="AT232" s="498"/>
      <c r="AU232" s="57"/>
      <c r="AV232" s="57"/>
      <c r="AW232" s="57"/>
      <c r="AX232" s="57"/>
      <c r="AY232" s="455"/>
      <c r="BD232" s="455"/>
      <c r="BI232" s="455"/>
      <c r="BJ232" s="129"/>
      <c r="BN232" s="455"/>
      <c r="BS232" s="455"/>
      <c r="BX232" s="455"/>
      <c r="CC232" s="455"/>
      <c r="CH232" s="455"/>
      <c r="CM232" s="455"/>
      <c r="CR232" s="455"/>
      <c r="CW232" s="455"/>
      <c r="DB232" s="455"/>
      <c r="DG232" s="455"/>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c r="GN232"/>
      <c r="GO232"/>
      <c r="GP232"/>
      <c r="GQ232"/>
      <c r="GR232"/>
      <c r="GS232"/>
      <c r="GT232"/>
      <c r="GU232"/>
      <c r="GV232"/>
      <c r="GW232"/>
      <c r="GX232"/>
      <c r="GY232"/>
      <c r="GZ232"/>
      <c r="HA232"/>
      <c r="HB232"/>
      <c r="HC232"/>
      <c r="HD232"/>
      <c r="HE232"/>
      <c r="HF232"/>
      <c r="HG232"/>
      <c r="HH232"/>
      <c r="HI232"/>
      <c r="HJ232"/>
      <c r="HK232"/>
      <c r="HL232"/>
      <c r="HM232"/>
      <c r="HN232"/>
      <c r="HO232"/>
      <c r="HP232"/>
      <c r="HQ232"/>
      <c r="HR232"/>
    </row>
    <row r="233" spans="1:226" s="19" customFormat="1" x14ac:dyDescent="0.2">
      <c r="A233" s="79" t="s">
        <v>165</v>
      </c>
      <c r="B233" s="73"/>
      <c r="C233" s="73"/>
      <c r="D233" s="73"/>
      <c r="E233" s="73"/>
      <c r="F233" s="481"/>
      <c r="G233" s="73">
        <f>F152+F146+F145-F132-F131</f>
        <v>753</v>
      </c>
      <c r="H233" s="73">
        <f>G235</f>
        <v>785</v>
      </c>
      <c r="I233" s="73">
        <f>H235</f>
        <v>699</v>
      </c>
      <c r="J233" s="73">
        <f>I235</f>
        <v>735</v>
      </c>
      <c r="K233" s="481">
        <f>G233</f>
        <v>753</v>
      </c>
      <c r="L233" s="73">
        <f>K152+K146+K145-K132-K131</f>
        <v>833</v>
      </c>
      <c r="M233" s="73">
        <f>L235</f>
        <v>869</v>
      </c>
      <c r="N233" s="73">
        <f>M235</f>
        <v>910</v>
      </c>
      <c r="O233" s="73">
        <f>N235</f>
        <v>936</v>
      </c>
      <c r="P233" s="481">
        <f>L233</f>
        <v>833</v>
      </c>
      <c r="Q233" s="73">
        <f>P152+P146+P145-P132-P131</f>
        <v>897</v>
      </c>
      <c r="R233" s="73">
        <f>Q235</f>
        <v>961</v>
      </c>
      <c r="S233" s="73">
        <f>R235</f>
        <v>941</v>
      </c>
      <c r="T233" s="73">
        <f>S235</f>
        <v>770</v>
      </c>
      <c r="U233" s="481">
        <f>Q233</f>
        <v>897</v>
      </c>
      <c r="V233" s="73">
        <f>U152+U146+U145-U132-U131</f>
        <v>534</v>
      </c>
      <c r="W233" s="73">
        <f>V235</f>
        <v>392</v>
      </c>
      <c r="X233" s="73">
        <f>W235</f>
        <v>2371</v>
      </c>
      <c r="Y233" s="73">
        <f>X235</f>
        <v>2240</v>
      </c>
      <c r="Z233" s="481">
        <f>V233</f>
        <v>534</v>
      </c>
      <c r="AA233" s="73">
        <f>Z152+Z146+Z145-Z132-Z131</f>
        <v>2190</v>
      </c>
      <c r="AB233" s="73">
        <f>AA235</f>
        <v>2406</v>
      </c>
      <c r="AC233" s="73">
        <f>AB235</f>
        <v>2370</v>
      </c>
      <c r="AD233" s="73">
        <f>AC235</f>
        <v>2297</v>
      </c>
      <c r="AE233" s="481">
        <f>AA233</f>
        <v>2190</v>
      </c>
      <c r="AF233" s="73">
        <f>AE152+AE146+AE145-AE132-AE131</f>
        <v>2082</v>
      </c>
      <c r="AG233" s="73">
        <f>AF235</f>
        <v>2011</v>
      </c>
      <c r="AH233" s="73">
        <f>AG235</f>
        <v>2062</v>
      </c>
      <c r="AI233" s="73">
        <f>AH235</f>
        <v>1999</v>
      </c>
      <c r="AJ233" s="481">
        <f>AF233</f>
        <v>2082</v>
      </c>
      <c r="AK233" s="73">
        <f>AJ152+AJ146+AJ145-AJ132-AJ131</f>
        <v>1854</v>
      </c>
      <c r="AL233" s="73">
        <f>AK235</f>
        <v>2640</v>
      </c>
      <c r="AM233" s="73">
        <f>AL235</f>
        <v>3483</v>
      </c>
      <c r="AN233" s="73">
        <f>AM235</f>
        <v>3398</v>
      </c>
      <c r="AO233" s="481">
        <f>AK233</f>
        <v>1854</v>
      </c>
      <c r="AP233" s="73">
        <f>AO152+AO146+AO145-AO132-AO131</f>
        <v>3261</v>
      </c>
      <c r="AQ233" s="73">
        <f>AP235</f>
        <v>3263</v>
      </c>
      <c r="AR233" s="73">
        <f>AQ235</f>
        <v>3259</v>
      </c>
      <c r="AS233" s="73">
        <f>AR235</f>
        <v>3144</v>
      </c>
      <c r="AT233" s="481">
        <f>AP233</f>
        <v>3261</v>
      </c>
      <c r="AU233" s="73">
        <f>AT152+AT146+AT145-AT132-AT131</f>
        <v>2943</v>
      </c>
      <c r="AV233" s="73">
        <f>AU235</f>
        <v>2932</v>
      </c>
      <c r="AW233" s="73">
        <f>AV235</f>
        <v>2881</v>
      </c>
      <c r="AX233" s="73">
        <f>AW235</f>
        <v>2777</v>
      </c>
      <c r="AY233" s="481">
        <f>AU233</f>
        <v>2943</v>
      </c>
      <c r="AZ233" s="73">
        <f>AY152+AY146+AY145-AY132-AY131</f>
        <v>2708</v>
      </c>
      <c r="BA233" s="73">
        <f>AZ235</f>
        <v>2644</v>
      </c>
      <c r="BB233" s="73">
        <f>BA235</f>
        <v>2049</v>
      </c>
      <c r="BC233" s="73">
        <f>BB235</f>
        <v>2315</v>
      </c>
      <c r="BD233" s="481">
        <f>AZ233</f>
        <v>2708</v>
      </c>
      <c r="BE233" s="73">
        <f>BD152+BD146+BD145-BD132-BD131</f>
        <v>2325</v>
      </c>
      <c r="BF233" s="73">
        <f>BE235</f>
        <v>2292</v>
      </c>
      <c r="BG233" s="73">
        <f>BF235</f>
        <v>2599</v>
      </c>
      <c r="BH233" s="73">
        <f>BG235</f>
        <v>2547</v>
      </c>
      <c r="BI233" s="481">
        <f>BE233</f>
        <v>2325</v>
      </c>
      <c r="BJ233" s="73">
        <f>BI152+BI146+BI145-BI132-BI131</f>
        <v>2454</v>
      </c>
      <c r="BK233" s="73">
        <f>BJ235</f>
        <v>2354</v>
      </c>
      <c r="BL233" s="73">
        <f>BK235</f>
        <v>2229</v>
      </c>
      <c r="BM233" s="73">
        <f>BL235</f>
        <v>2138</v>
      </c>
      <c r="BN233" s="481">
        <f>BJ233</f>
        <v>2454</v>
      </c>
      <c r="BO233" s="73">
        <f>BN152+BN146+BN145-BN132-BN131</f>
        <v>2073</v>
      </c>
      <c r="BP233" s="73">
        <f>BO235</f>
        <v>2133</v>
      </c>
      <c r="BQ233" s="73">
        <f>BP235</f>
        <v>2171</v>
      </c>
      <c r="BR233" s="73">
        <f>BQ235</f>
        <v>2200</v>
      </c>
      <c r="BS233" s="481">
        <f>BO233</f>
        <v>2073</v>
      </c>
      <c r="BT233" s="73">
        <f>BS152+BS146+BS145-BS132-BS131</f>
        <v>1984</v>
      </c>
      <c r="BU233" s="73">
        <f>BT235</f>
        <v>1869</v>
      </c>
      <c r="BV233" s="73">
        <f>BU235</f>
        <v>1853</v>
      </c>
      <c r="BW233" s="73">
        <f>BV235</f>
        <v>1788</v>
      </c>
      <c r="BX233" s="481">
        <f>BT233</f>
        <v>1984</v>
      </c>
      <c r="BY233" s="73">
        <f>BX235</f>
        <v>1809</v>
      </c>
      <c r="BZ233" s="73">
        <f>BY235</f>
        <v>1844</v>
      </c>
      <c r="CA233" s="73">
        <f>BZ235</f>
        <v>1906</v>
      </c>
      <c r="CB233" s="73">
        <f>CA235</f>
        <v>1814</v>
      </c>
      <c r="CC233" s="481">
        <f>BY233</f>
        <v>1809</v>
      </c>
      <c r="CD233" s="73">
        <f>CC152+CC146+CC145-CC132-CC131</f>
        <v>1919</v>
      </c>
      <c r="CE233" s="73">
        <f ca="1">CD235</f>
        <v>1999</v>
      </c>
      <c r="CF233" s="73">
        <f ca="1">CE235</f>
        <v>2135</v>
      </c>
      <c r="CG233" s="73">
        <f ca="1">CF235</f>
        <v>2009</v>
      </c>
      <c r="CH233" s="481">
        <f>CD233</f>
        <v>1919</v>
      </c>
      <c r="CI233" s="73">
        <f>CH152+CH146+CH145-CH132-CH131</f>
        <v>1777</v>
      </c>
      <c r="CJ233" s="73">
        <f>CI235</f>
        <v>1732</v>
      </c>
      <c r="CK233" s="73">
        <f>CJ235</f>
        <v>1794</v>
      </c>
      <c r="CL233" s="73">
        <f ca="1">CK235</f>
        <v>1879.5615850109634</v>
      </c>
      <c r="CM233" s="481">
        <f>CI233</f>
        <v>1777</v>
      </c>
      <c r="CN233" s="73">
        <f ca="1">CM152+CM146+CM145-CM132-CM131</f>
        <v>1875.9999905989634</v>
      </c>
      <c r="CO233" s="73">
        <f ca="1">CN235</f>
        <v>1807.7825505737073</v>
      </c>
      <c r="CP233" s="73">
        <f ca="1">CO235</f>
        <v>2099.2101948632617</v>
      </c>
      <c r="CQ233" s="73">
        <f ca="1">CP235</f>
        <v>2131.325599537171</v>
      </c>
      <c r="CR233" s="481">
        <f ca="1">CN233</f>
        <v>1875.9999905989634</v>
      </c>
      <c r="CS233" s="73">
        <f ca="1">CR152+CR146+CR145-CR132-CR131</f>
        <v>2053.2767237840771</v>
      </c>
      <c r="CT233" s="73">
        <f ca="1">CS235</f>
        <v>1974.7054305650026</v>
      </c>
      <c r="CU233" s="73">
        <f ca="1">CT235</f>
        <v>2273.9491824832485</v>
      </c>
      <c r="CV233" s="73">
        <f ca="1">CU235</f>
        <v>2308.8058925745481</v>
      </c>
      <c r="CW233" s="481">
        <f ca="1">CS233</f>
        <v>2053.2767237840771</v>
      </c>
      <c r="CX233" s="73">
        <f ca="1">CW152+CW146+CW145-CW132-CW131</f>
        <v>2231.5126009480882</v>
      </c>
      <c r="CY233" s="73">
        <f ca="1">CX235</f>
        <v>2163.8353612095607</v>
      </c>
      <c r="CZ233" s="73">
        <f ca="1">CY235</f>
        <v>2471.1181826956408</v>
      </c>
      <c r="DA233" s="73">
        <f ca="1">CZ235</f>
        <v>2515.291517923115</v>
      </c>
      <c r="DB233" s="481">
        <f ca="1">CX233</f>
        <v>2231.5126009480882</v>
      </c>
      <c r="DC233" s="73">
        <f ca="1">DB152+DB146+DB145-DB132-DB131</f>
        <v>2446.267727023519</v>
      </c>
      <c r="DD233" s="73">
        <f ca="1">DC235</f>
        <v>2375.4656844865649</v>
      </c>
      <c r="DE233" s="73">
        <f ca="1">DD235</f>
        <v>2692.6056569881011</v>
      </c>
      <c r="DF233" s="73">
        <f ca="1">DE235</f>
        <v>2747.977202079197</v>
      </c>
      <c r="DG233" s="481">
        <f ca="1">DC233</f>
        <v>2446.267727023519</v>
      </c>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c r="GS233"/>
      <c r="GT233"/>
      <c r="GU233"/>
      <c r="GV233"/>
      <c r="GW233"/>
      <c r="GX233"/>
      <c r="GY233"/>
      <c r="GZ233"/>
      <c r="HA233"/>
      <c r="HB233"/>
      <c r="HC233"/>
      <c r="HD233"/>
      <c r="HE233"/>
      <c r="HF233"/>
      <c r="HG233"/>
      <c r="HH233"/>
      <c r="HI233"/>
      <c r="HJ233"/>
      <c r="HK233"/>
      <c r="HL233"/>
      <c r="HM233"/>
      <c r="HN233"/>
      <c r="HO233"/>
      <c r="HP233"/>
      <c r="HQ233"/>
      <c r="HR233"/>
    </row>
    <row r="234" spans="1:226" s="19" customFormat="1" x14ac:dyDescent="0.2">
      <c r="A234" s="79" t="s">
        <v>166</v>
      </c>
      <c r="B234" s="73"/>
      <c r="C234" s="73"/>
      <c r="D234" s="73"/>
      <c r="E234" s="73"/>
      <c r="F234" s="481"/>
      <c r="G234" s="73">
        <f t="shared" ref="G234:AT234" si="516">G235-G233</f>
        <v>32</v>
      </c>
      <c r="H234" s="73">
        <f t="shared" si="516"/>
        <v>-86</v>
      </c>
      <c r="I234" s="73">
        <f t="shared" si="516"/>
        <v>36</v>
      </c>
      <c r="J234" s="73">
        <f t="shared" si="516"/>
        <v>98</v>
      </c>
      <c r="K234" s="481">
        <f t="shared" si="516"/>
        <v>80</v>
      </c>
      <c r="L234" s="73">
        <f t="shared" si="516"/>
        <v>36</v>
      </c>
      <c r="M234" s="73">
        <f t="shared" si="516"/>
        <v>41</v>
      </c>
      <c r="N234" s="73">
        <f t="shared" si="516"/>
        <v>26</v>
      </c>
      <c r="O234" s="73">
        <f t="shared" si="516"/>
        <v>-39</v>
      </c>
      <c r="P234" s="481">
        <f t="shared" si="516"/>
        <v>64</v>
      </c>
      <c r="Q234" s="73">
        <f t="shared" si="516"/>
        <v>64</v>
      </c>
      <c r="R234" s="73">
        <f t="shared" si="516"/>
        <v>-20</v>
      </c>
      <c r="S234" s="73">
        <f t="shared" si="516"/>
        <v>-171</v>
      </c>
      <c r="T234" s="73">
        <f t="shared" si="516"/>
        <v>-236</v>
      </c>
      <c r="U234" s="481">
        <f t="shared" si="516"/>
        <v>-363</v>
      </c>
      <c r="V234" s="73">
        <f t="shared" si="516"/>
        <v>-142</v>
      </c>
      <c r="W234" s="73">
        <f t="shared" si="516"/>
        <v>1979</v>
      </c>
      <c r="X234" s="73">
        <f t="shared" si="516"/>
        <v>-131</v>
      </c>
      <c r="Y234" s="73">
        <f t="shared" si="516"/>
        <v>-50</v>
      </c>
      <c r="Z234" s="481">
        <f t="shared" si="516"/>
        <v>1656</v>
      </c>
      <c r="AA234" s="73">
        <f t="shared" si="516"/>
        <v>216</v>
      </c>
      <c r="AB234" s="73">
        <f t="shared" si="516"/>
        <v>-36</v>
      </c>
      <c r="AC234" s="73">
        <f t="shared" si="516"/>
        <v>-73</v>
      </c>
      <c r="AD234" s="73">
        <f t="shared" si="516"/>
        <v>-215</v>
      </c>
      <c r="AE234" s="481">
        <f t="shared" si="516"/>
        <v>-108</v>
      </c>
      <c r="AF234" s="73">
        <f t="shared" si="516"/>
        <v>-71</v>
      </c>
      <c r="AG234" s="73">
        <f t="shared" si="516"/>
        <v>51</v>
      </c>
      <c r="AH234" s="73">
        <f t="shared" si="516"/>
        <v>-63</v>
      </c>
      <c r="AI234" s="73">
        <f t="shared" si="516"/>
        <v>-145</v>
      </c>
      <c r="AJ234" s="481">
        <f t="shared" si="516"/>
        <v>-228</v>
      </c>
      <c r="AK234" s="73">
        <f t="shared" si="516"/>
        <v>786</v>
      </c>
      <c r="AL234" s="73">
        <f t="shared" si="516"/>
        <v>843</v>
      </c>
      <c r="AM234" s="73">
        <f t="shared" si="516"/>
        <v>-85</v>
      </c>
      <c r="AN234" s="73">
        <f t="shared" si="516"/>
        <v>-137</v>
      </c>
      <c r="AO234" s="481">
        <f t="shared" si="516"/>
        <v>1407</v>
      </c>
      <c r="AP234" s="73">
        <f t="shared" si="516"/>
        <v>2</v>
      </c>
      <c r="AQ234" s="73">
        <f t="shared" si="516"/>
        <v>-4</v>
      </c>
      <c r="AR234" s="73">
        <f t="shared" si="516"/>
        <v>-115</v>
      </c>
      <c r="AS234" s="73">
        <f t="shared" si="516"/>
        <v>-201</v>
      </c>
      <c r="AT234" s="481">
        <f t="shared" si="516"/>
        <v>-318</v>
      </c>
      <c r="AU234" s="73">
        <f t="shared" ref="AU234:BZ234" si="517">AU235-AU233</f>
        <v>-11</v>
      </c>
      <c r="AV234" s="73">
        <f t="shared" si="517"/>
        <v>-51</v>
      </c>
      <c r="AW234" s="73">
        <f t="shared" si="517"/>
        <v>-104</v>
      </c>
      <c r="AX234" s="73">
        <f t="shared" si="517"/>
        <v>-69</v>
      </c>
      <c r="AY234" s="481">
        <f t="shared" si="517"/>
        <v>-235</v>
      </c>
      <c r="AZ234" s="73">
        <f t="shared" si="517"/>
        <v>-64</v>
      </c>
      <c r="BA234" s="73">
        <f t="shared" si="517"/>
        <v>-595</v>
      </c>
      <c r="BB234" s="73">
        <f t="shared" si="517"/>
        <v>266</v>
      </c>
      <c r="BC234" s="73">
        <f t="shared" si="517"/>
        <v>10</v>
      </c>
      <c r="BD234" s="481">
        <f t="shared" si="517"/>
        <v>-383</v>
      </c>
      <c r="BE234" s="73">
        <f t="shared" si="517"/>
        <v>-33</v>
      </c>
      <c r="BF234" s="73">
        <f t="shared" si="517"/>
        <v>307</v>
      </c>
      <c r="BG234" s="73">
        <f t="shared" si="517"/>
        <v>-52</v>
      </c>
      <c r="BH234" s="73">
        <f t="shared" si="517"/>
        <v>-93</v>
      </c>
      <c r="BI234" s="481">
        <f t="shared" si="517"/>
        <v>129</v>
      </c>
      <c r="BJ234" s="73">
        <f t="shared" si="517"/>
        <v>-100</v>
      </c>
      <c r="BK234" s="73">
        <f t="shared" si="517"/>
        <v>-125</v>
      </c>
      <c r="BL234" s="73">
        <f t="shared" si="517"/>
        <v>-91</v>
      </c>
      <c r="BM234" s="73">
        <f t="shared" si="517"/>
        <v>-65</v>
      </c>
      <c r="BN234" s="481">
        <f t="shared" si="517"/>
        <v>-381</v>
      </c>
      <c r="BO234" s="73">
        <f t="shared" si="517"/>
        <v>60</v>
      </c>
      <c r="BP234" s="73">
        <f t="shared" si="517"/>
        <v>38</v>
      </c>
      <c r="BQ234" s="73">
        <f t="shared" si="517"/>
        <v>29</v>
      </c>
      <c r="BR234" s="73">
        <f t="shared" si="517"/>
        <v>-216</v>
      </c>
      <c r="BS234" s="481">
        <f t="shared" si="517"/>
        <v>-89</v>
      </c>
      <c r="BT234" s="73">
        <f t="shared" si="517"/>
        <v>-115</v>
      </c>
      <c r="BU234" s="73">
        <f t="shared" si="517"/>
        <v>-16</v>
      </c>
      <c r="BV234" s="73">
        <f t="shared" si="517"/>
        <v>-65</v>
      </c>
      <c r="BW234" s="73">
        <f t="shared" si="517"/>
        <v>21</v>
      </c>
      <c r="BX234" s="481">
        <f t="shared" si="517"/>
        <v>-175</v>
      </c>
      <c r="BY234" s="73">
        <f t="shared" si="517"/>
        <v>35</v>
      </c>
      <c r="BZ234" s="73">
        <f t="shared" si="517"/>
        <v>62</v>
      </c>
      <c r="CA234" s="73">
        <f t="shared" ref="CA234:CW234" si="518">CA235-CA233</f>
        <v>-92</v>
      </c>
      <c r="CB234" s="73">
        <f t="shared" si="518"/>
        <v>105</v>
      </c>
      <c r="CC234" s="481">
        <f t="shared" si="518"/>
        <v>110</v>
      </c>
      <c r="CD234" s="73">
        <f t="shared" ca="1" si="518"/>
        <v>80</v>
      </c>
      <c r="CE234" s="73">
        <f t="shared" ca="1" si="518"/>
        <v>136</v>
      </c>
      <c r="CF234" s="73">
        <f t="shared" ca="1" si="518"/>
        <v>-126</v>
      </c>
      <c r="CG234" s="73">
        <f t="shared" ca="1" si="518"/>
        <v>-232</v>
      </c>
      <c r="CH234" s="481">
        <f t="shared" si="518"/>
        <v>-142</v>
      </c>
      <c r="CI234" s="73">
        <f t="shared" si="518"/>
        <v>-45</v>
      </c>
      <c r="CJ234" s="73">
        <f t="shared" si="518"/>
        <v>62</v>
      </c>
      <c r="CK234" s="73">
        <f t="shared" ca="1" si="518"/>
        <v>85.561585010963427</v>
      </c>
      <c r="CL234" s="73">
        <f t="shared" ca="1" si="518"/>
        <v>-3.5615944119999767</v>
      </c>
      <c r="CM234" s="481">
        <f t="shared" ca="1" si="518"/>
        <v>98.99999059896345</v>
      </c>
      <c r="CN234" s="73">
        <f t="shared" ca="1" si="518"/>
        <v>-68.21744002525611</v>
      </c>
      <c r="CO234" s="73">
        <f t="shared" ca="1" si="518"/>
        <v>291.42764428955434</v>
      </c>
      <c r="CP234" s="73">
        <f t="shared" ca="1" si="518"/>
        <v>32.115404673909325</v>
      </c>
      <c r="CQ234" s="73">
        <f t="shared" ca="1" si="518"/>
        <v>-78.048875753093853</v>
      </c>
      <c r="CR234" s="481">
        <f t="shared" ca="1" si="518"/>
        <v>177.2767331851137</v>
      </c>
      <c r="CS234" s="73">
        <f t="shared" ca="1" si="518"/>
        <v>-78.571293219074505</v>
      </c>
      <c r="CT234" s="73">
        <f t="shared" ca="1" si="518"/>
        <v>299.24375191824583</v>
      </c>
      <c r="CU234" s="73">
        <f t="shared" ca="1" si="518"/>
        <v>34.856710091299647</v>
      </c>
      <c r="CV234" s="73">
        <f t="shared" ca="1" si="518"/>
        <v>-77.293291626459904</v>
      </c>
      <c r="CW234" s="481">
        <f t="shared" ca="1" si="518"/>
        <v>178.23587716401107</v>
      </c>
      <c r="CX234" s="73">
        <f t="shared" ref="CX234:DG234" ca="1" si="519">CX235-CX233</f>
        <v>-67.677239738527533</v>
      </c>
      <c r="CY234" s="73">
        <f t="shared" ca="1" si="519"/>
        <v>307.28282148608014</v>
      </c>
      <c r="CZ234" s="73">
        <f t="shared" ca="1" si="519"/>
        <v>44.173335227474126</v>
      </c>
      <c r="DA234" s="73">
        <f t="shared" ca="1" si="519"/>
        <v>-69.023790899595951</v>
      </c>
      <c r="DB234" s="481">
        <f t="shared" ca="1" si="519"/>
        <v>214.75512607543078</v>
      </c>
      <c r="DC234" s="73">
        <f t="shared" ca="1" si="519"/>
        <v>-70.802042536954104</v>
      </c>
      <c r="DD234" s="73">
        <f t="shared" ca="1" si="519"/>
        <v>317.13997250153625</v>
      </c>
      <c r="DE234" s="73">
        <f t="shared" ca="1" si="519"/>
        <v>55.371545091095868</v>
      </c>
      <c r="DF234" s="73">
        <f t="shared" ca="1" si="519"/>
        <v>-58.83329594568022</v>
      </c>
      <c r="DG234" s="481">
        <f t="shared" ca="1" si="519"/>
        <v>242.87617910999779</v>
      </c>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c r="GN234"/>
      <c r="GO234"/>
      <c r="GP234"/>
      <c r="GQ234"/>
      <c r="GR234"/>
      <c r="GS234"/>
      <c r="GT234"/>
      <c r="GU234"/>
      <c r="GV234"/>
      <c r="GW234"/>
      <c r="GX234"/>
      <c r="GY234"/>
      <c r="GZ234"/>
      <c r="HA234"/>
      <c r="HB234"/>
      <c r="HC234"/>
      <c r="HD234"/>
      <c r="HE234"/>
      <c r="HF234"/>
      <c r="HG234"/>
      <c r="HH234"/>
      <c r="HI234"/>
      <c r="HJ234"/>
      <c r="HK234"/>
      <c r="HL234"/>
      <c r="HM234"/>
      <c r="HN234"/>
      <c r="HO234"/>
      <c r="HP234"/>
      <c r="HQ234"/>
      <c r="HR234"/>
    </row>
    <row r="235" spans="1:226" s="19" customFormat="1" x14ac:dyDescent="0.2">
      <c r="A235" s="79" t="s">
        <v>167</v>
      </c>
      <c r="B235" s="73"/>
      <c r="C235" s="73"/>
      <c r="D235" s="73"/>
      <c r="E235" s="73"/>
      <c r="F235" s="481"/>
      <c r="G235" s="73">
        <f t="shared" ref="G235:M235" si="520">G242</f>
        <v>785</v>
      </c>
      <c r="H235" s="73">
        <f t="shared" si="520"/>
        <v>699</v>
      </c>
      <c r="I235" s="73">
        <f t="shared" si="520"/>
        <v>735</v>
      </c>
      <c r="J235" s="73">
        <f t="shared" si="520"/>
        <v>833</v>
      </c>
      <c r="K235" s="481">
        <f t="shared" si="520"/>
        <v>833</v>
      </c>
      <c r="L235" s="73">
        <f t="shared" si="520"/>
        <v>869</v>
      </c>
      <c r="M235" s="73">
        <f t="shared" si="520"/>
        <v>910</v>
      </c>
      <c r="N235" s="73">
        <f t="shared" ref="N235:AT235" si="521">N242</f>
        <v>936</v>
      </c>
      <c r="O235" s="73">
        <f t="shared" si="521"/>
        <v>897</v>
      </c>
      <c r="P235" s="481">
        <f t="shared" si="521"/>
        <v>897</v>
      </c>
      <c r="Q235" s="73">
        <f t="shared" si="521"/>
        <v>961</v>
      </c>
      <c r="R235" s="73">
        <f t="shared" si="521"/>
        <v>941</v>
      </c>
      <c r="S235" s="73">
        <f t="shared" si="521"/>
        <v>770</v>
      </c>
      <c r="T235" s="73">
        <f t="shared" si="521"/>
        <v>534</v>
      </c>
      <c r="U235" s="481">
        <f t="shared" si="521"/>
        <v>534</v>
      </c>
      <c r="V235" s="73">
        <f t="shared" si="521"/>
        <v>392</v>
      </c>
      <c r="W235" s="73">
        <f t="shared" si="521"/>
        <v>2371</v>
      </c>
      <c r="X235" s="73">
        <f t="shared" si="521"/>
        <v>2240</v>
      </c>
      <c r="Y235" s="73">
        <f t="shared" si="521"/>
        <v>2190</v>
      </c>
      <c r="Z235" s="481">
        <f t="shared" si="521"/>
        <v>2190</v>
      </c>
      <c r="AA235" s="73">
        <f t="shared" si="521"/>
        <v>2406</v>
      </c>
      <c r="AB235" s="73">
        <f t="shared" si="521"/>
        <v>2370</v>
      </c>
      <c r="AC235" s="73">
        <f t="shared" si="521"/>
        <v>2297</v>
      </c>
      <c r="AD235" s="73">
        <f t="shared" si="521"/>
        <v>2082</v>
      </c>
      <c r="AE235" s="481">
        <f t="shared" si="521"/>
        <v>2082</v>
      </c>
      <c r="AF235" s="73">
        <f t="shared" si="521"/>
        <v>2011</v>
      </c>
      <c r="AG235" s="73">
        <f t="shared" si="521"/>
        <v>2062</v>
      </c>
      <c r="AH235" s="73">
        <f t="shared" si="521"/>
        <v>1999</v>
      </c>
      <c r="AI235" s="73">
        <f t="shared" si="521"/>
        <v>1854</v>
      </c>
      <c r="AJ235" s="481">
        <f t="shared" si="521"/>
        <v>1854</v>
      </c>
      <c r="AK235" s="73">
        <f t="shared" si="521"/>
        <v>2640</v>
      </c>
      <c r="AL235" s="73">
        <f t="shared" si="521"/>
        <v>3483</v>
      </c>
      <c r="AM235" s="73">
        <f t="shared" si="521"/>
        <v>3398</v>
      </c>
      <c r="AN235" s="73">
        <f t="shared" si="521"/>
        <v>3261</v>
      </c>
      <c r="AO235" s="481">
        <f t="shared" si="521"/>
        <v>3261</v>
      </c>
      <c r="AP235" s="73">
        <f t="shared" si="521"/>
        <v>3263</v>
      </c>
      <c r="AQ235" s="73">
        <f t="shared" si="521"/>
        <v>3259</v>
      </c>
      <c r="AR235" s="73">
        <f t="shared" si="521"/>
        <v>3144</v>
      </c>
      <c r="AS235" s="73">
        <f t="shared" si="521"/>
        <v>2943</v>
      </c>
      <c r="AT235" s="481">
        <f t="shared" si="521"/>
        <v>2943</v>
      </c>
      <c r="AU235" s="73">
        <f t="shared" ref="AU235:BZ235" si="522">AU242</f>
        <v>2932</v>
      </c>
      <c r="AV235" s="73">
        <f t="shared" si="522"/>
        <v>2881</v>
      </c>
      <c r="AW235" s="73">
        <f t="shared" si="522"/>
        <v>2777</v>
      </c>
      <c r="AX235" s="73">
        <f t="shared" si="522"/>
        <v>2708</v>
      </c>
      <c r="AY235" s="481">
        <f t="shared" si="522"/>
        <v>2708</v>
      </c>
      <c r="AZ235" s="73">
        <f t="shared" si="522"/>
        <v>2644</v>
      </c>
      <c r="BA235" s="73">
        <f t="shared" si="522"/>
        <v>2049</v>
      </c>
      <c r="BB235" s="73">
        <f>BB242</f>
        <v>2315</v>
      </c>
      <c r="BC235" s="73">
        <f t="shared" si="522"/>
        <v>2325</v>
      </c>
      <c r="BD235" s="481">
        <f t="shared" si="522"/>
        <v>2325</v>
      </c>
      <c r="BE235" s="73">
        <f t="shared" si="522"/>
        <v>2292</v>
      </c>
      <c r="BF235" s="73">
        <f t="shared" si="522"/>
        <v>2599</v>
      </c>
      <c r="BG235" s="73">
        <f t="shared" si="522"/>
        <v>2547</v>
      </c>
      <c r="BH235" s="73">
        <f t="shared" si="522"/>
        <v>2454</v>
      </c>
      <c r="BI235" s="481">
        <f t="shared" si="522"/>
        <v>2454</v>
      </c>
      <c r="BJ235" s="73">
        <f t="shared" si="522"/>
        <v>2354</v>
      </c>
      <c r="BK235" s="73">
        <f t="shared" si="522"/>
        <v>2229</v>
      </c>
      <c r="BL235" s="73">
        <f t="shared" si="522"/>
        <v>2138</v>
      </c>
      <c r="BM235" s="73">
        <f t="shared" si="522"/>
        <v>2073</v>
      </c>
      <c r="BN235" s="481">
        <f t="shared" si="522"/>
        <v>2073</v>
      </c>
      <c r="BO235" s="73">
        <f t="shared" si="522"/>
        <v>2133</v>
      </c>
      <c r="BP235" s="73">
        <f t="shared" si="522"/>
        <v>2171</v>
      </c>
      <c r="BQ235" s="73">
        <f t="shared" si="522"/>
        <v>2200</v>
      </c>
      <c r="BR235" s="73">
        <f t="shared" si="522"/>
        <v>1984</v>
      </c>
      <c r="BS235" s="481">
        <f t="shared" si="522"/>
        <v>1984</v>
      </c>
      <c r="BT235" s="73">
        <f t="shared" si="522"/>
        <v>1869</v>
      </c>
      <c r="BU235" s="73">
        <f t="shared" si="522"/>
        <v>1853</v>
      </c>
      <c r="BV235" s="73">
        <f t="shared" si="522"/>
        <v>1788</v>
      </c>
      <c r="BW235" s="73">
        <f t="shared" si="522"/>
        <v>1809</v>
      </c>
      <c r="BX235" s="481">
        <f t="shared" si="522"/>
        <v>1809</v>
      </c>
      <c r="BY235" s="73">
        <f t="shared" si="522"/>
        <v>1844</v>
      </c>
      <c r="BZ235" s="73">
        <f t="shared" si="522"/>
        <v>1906</v>
      </c>
      <c r="CA235" s="73">
        <f t="shared" ref="CA235:CW235" si="523">CA242</f>
        <v>1814</v>
      </c>
      <c r="CB235" s="73">
        <f t="shared" si="523"/>
        <v>1919</v>
      </c>
      <c r="CC235" s="481">
        <f t="shared" si="523"/>
        <v>1919</v>
      </c>
      <c r="CD235" s="73">
        <f t="shared" ca="1" si="523"/>
        <v>1999</v>
      </c>
      <c r="CE235" s="73">
        <f t="shared" ca="1" si="523"/>
        <v>2135</v>
      </c>
      <c r="CF235" s="73">
        <f t="shared" ca="1" si="523"/>
        <v>2009</v>
      </c>
      <c r="CG235" s="73">
        <f t="shared" ca="1" si="523"/>
        <v>1777</v>
      </c>
      <c r="CH235" s="481">
        <f t="shared" si="523"/>
        <v>1777</v>
      </c>
      <c r="CI235" s="73">
        <f t="shared" si="523"/>
        <v>1732</v>
      </c>
      <c r="CJ235" s="73">
        <f t="shared" si="523"/>
        <v>1794</v>
      </c>
      <c r="CK235" s="73">
        <f t="shared" ca="1" si="523"/>
        <v>1879.5615850109634</v>
      </c>
      <c r="CL235" s="73">
        <f t="shared" ca="1" si="523"/>
        <v>1875.9999905989634</v>
      </c>
      <c r="CM235" s="481">
        <f t="shared" ca="1" si="523"/>
        <v>1875.9999905989634</v>
      </c>
      <c r="CN235" s="73">
        <f t="shared" ca="1" si="523"/>
        <v>1807.7825505737073</v>
      </c>
      <c r="CO235" s="73">
        <f t="shared" ca="1" si="523"/>
        <v>2099.2101948632617</v>
      </c>
      <c r="CP235" s="73">
        <f t="shared" ca="1" si="523"/>
        <v>2131.325599537171</v>
      </c>
      <c r="CQ235" s="73">
        <f t="shared" ca="1" si="523"/>
        <v>2053.2767237840771</v>
      </c>
      <c r="CR235" s="481">
        <f t="shared" ca="1" si="523"/>
        <v>2053.2767237840771</v>
      </c>
      <c r="CS235" s="73">
        <f t="shared" ca="1" si="523"/>
        <v>1974.7054305650026</v>
      </c>
      <c r="CT235" s="73">
        <f t="shared" ca="1" si="523"/>
        <v>2273.9491824832485</v>
      </c>
      <c r="CU235" s="73">
        <f t="shared" ca="1" si="523"/>
        <v>2308.8058925745481</v>
      </c>
      <c r="CV235" s="73">
        <f t="shared" ca="1" si="523"/>
        <v>2231.5126009480882</v>
      </c>
      <c r="CW235" s="481">
        <f t="shared" ca="1" si="523"/>
        <v>2231.5126009480882</v>
      </c>
      <c r="CX235" s="73">
        <f t="shared" ref="CX235:DG235" ca="1" si="524">CX242</f>
        <v>2163.8353612095607</v>
      </c>
      <c r="CY235" s="73">
        <f t="shared" ca="1" si="524"/>
        <v>2471.1181826956408</v>
      </c>
      <c r="CZ235" s="73">
        <f t="shared" ca="1" si="524"/>
        <v>2515.291517923115</v>
      </c>
      <c r="DA235" s="73">
        <f t="shared" ca="1" si="524"/>
        <v>2446.267727023519</v>
      </c>
      <c r="DB235" s="481">
        <f t="shared" ca="1" si="524"/>
        <v>2446.267727023519</v>
      </c>
      <c r="DC235" s="73">
        <f t="shared" ca="1" si="524"/>
        <v>2375.4656844865649</v>
      </c>
      <c r="DD235" s="73">
        <f t="shared" ca="1" si="524"/>
        <v>2692.6056569881011</v>
      </c>
      <c r="DE235" s="73">
        <f t="shared" ca="1" si="524"/>
        <v>2747.977202079197</v>
      </c>
      <c r="DF235" s="73">
        <f t="shared" ca="1" si="524"/>
        <v>2689.1439061335168</v>
      </c>
      <c r="DG235" s="481">
        <f t="shared" ca="1" si="524"/>
        <v>2689.1439061335168</v>
      </c>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c r="GN235"/>
      <c r="GO235"/>
      <c r="GP235"/>
      <c r="GQ235"/>
      <c r="GR235"/>
      <c r="GS235"/>
      <c r="GT235"/>
      <c r="GU235"/>
      <c r="GV235"/>
      <c r="GW235"/>
      <c r="GX235"/>
      <c r="GY235"/>
      <c r="GZ235"/>
      <c r="HA235"/>
      <c r="HB235"/>
      <c r="HC235"/>
      <c r="HD235"/>
      <c r="HE235"/>
      <c r="HF235"/>
      <c r="HG235"/>
      <c r="HH235"/>
      <c r="HI235"/>
      <c r="HJ235"/>
      <c r="HK235"/>
      <c r="HL235"/>
      <c r="HM235"/>
      <c r="HN235"/>
      <c r="HO235"/>
      <c r="HP235"/>
      <c r="HQ235"/>
      <c r="HR235"/>
    </row>
    <row r="236" spans="1:226" s="19" customFormat="1" x14ac:dyDescent="0.2">
      <c r="A236" s="80"/>
      <c r="F236" s="455"/>
      <c r="K236" s="455"/>
      <c r="P236" s="455"/>
      <c r="U236" s="455"/>
      <c r="Z236" s="455"/>
      <c r="AE236" s="455"/>
      <c r="AJ236" s="455"/>
      <c r="AO236" s="455"/>
      <c r="AT236" s="455"/>
      <c r="AY236" s="455"/>
      <c r="BD236" s="455"/>
      <c r="BI236" s="455"/>
      <c r="BN236" s="455"/>
      <c r="BS236" s="455"/>
      <c r="BX236" s="455"/>
      <c r="CC236" s="455"/>
      <c r="CH236" s="455"/>
      <c r="CM236" s="455"/>
      <c r="CR236" s="455"/>
      <c r="CW236" s="455"/>
      <c r="DB236" s="455"/>
      <c r="DG236" s="455"/>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c r="GN236"/>
      <c r="GO236"/>
      <c r="GP236"/>
      <c r="GQ236"/>
      <c r="GR236"/>
      <c r="GS236"/>
      <c r="GT236"/>
      <c r="GU236"/>
      <c r="GV236"/>
      <c r="GW236"/>
      <c r="GX236"/>
      <c r="GY236"/>
      <c r="GZ236"/>
      <c r="HA236"/>
      <c r="HB236"/>
      <c r="HC236"/>
      <c r="HD236"/>
      <c r="HE236"/>
      <c r="HF236"/>
      <c r="HG236"/>
      <c r="HH236"/>
      <c r="HI236"/>
      <c r="HJ236"/>
      <c r="HK236"/>
      <c r="HL236"/>
      <c r="HM236"/>
      <c r="HN236"/>
      <c r="HO236"/>
      <c r="HP236"/>
      <c r="HQ236"/>
      <c r="HR236"/>
    </row>
    <row r="237" spans="1:226" s="19" customFormat="1" x14ac:dyDescent="0.2">
      <c r="A237" s="80" t="s">
        <v>168</v>
      </c>
      <c r="B237" s="21"/>
      <c r="C237" s="21"/>
      <c r="D237" s="21"/>
      <c r="E237" s="21"/>
      <c r="F237" s="482"/>
      <c r="G237" s="21">
        <f>SUM(G131:G132)</f>
        <v>189</v>
      </c>
      <c r="H237" s="21">
        <f t="shared" ref="H237:AT237" si="525">SUM(H131:H132)</f>
        <v>182</v>
      </c>
      <c r="I237" s="21">
        <f t="shared" si="525"/>
        <v>190</v>
      </c>
      <c r="J237" s="21">
        <f t="shared" si="525"/>
        <v>177</v>
      </c>
      <c r="K237" s="482">
        <f t="shared" si="525"/>
        <v>177</v>
      </c>
      <c r="L237" s="21">
        <f t="shared" si="525"/>
        <v>143</v>
      </c>
      <c r="M237" s="21">
        <f t="shared" si="525"/>
        <v>149</v>
      </c>
      <c r="N237" s="21">
        <f t="shared" si="525"/>
        <v>179</v>
      </c>
      <c r="O237" s="21">
        <f t="shared" si="525"/>
        <v>172</v>
      </c>
      <c r="P237" s="482">
        <f t="shared" si="525"/>
        <v>172</v>
      </c>
      <c r="Q237" s="21">
        <f t="shared" si="525"/>
        <v>187</v>
      </c>
      <c r="R237" s="21">
        <f t="shared" si="525"/>
        <v>201</v>
      </c>
      <c r="S237" s="21">
        <f t="shared" si="525"/>
        <v>199</v>
      </c>
      <c r="T237" s="21">
        <f t="shared" si="525"/>
        <v>232</v>
      </c>
      <c r="U237" s="482">
        <f t="shared" si="525"/>
        <v>232</v>
      </c>
      <c r="V237" s="21">
        <f t="shared" si="525"/>
        <v>255</v>
      </c>
      <c r="W237" s="21">
        <f t="shared" si="525"/>
        <v>300</v>
      </c>
      <c r="X237" s="21">
        <f t="shared" si="525"/>
        <v>293</v>
      </c>
      <c r="Y237" s="21">
        <f t="shared" si="525"/>
        <v>293</v>
      </c>
      <c r="Z237" s="482">
        <f t="shared" si="525"/>
        <v>293</v>
      </c>
      <c r="AA237" s="21">
        <f t="shared" si="525"/>
        <v>273</v>
      </c>
      <c r="AB237" s="21">
        <f t="shared" si="525"/>
        <v>273</v>
      </c>
      <c r="AC237" s="21">
        <f t="shared" si="525"/>
        <v>289</v>
      </c>
      <c r="AD237" s="21">
        <f t="shared" si="525"/>
        <v>192</v>
      </c>
      <c r="AE237" s="482">
        <f t="shared" si="525"/>
        <v>192</v>
      </c>
      <c r="AF237" s="21">
        <f t="shared" si="525"/>
        <v>174</v>
      </c>
      <c r="AG237" s="21">
        <f t="shared" si="525"/>
        <v>179</v>
      </c>
      <c r="AH237" s="21">
        <f t="shared" si="525"/>
        <v>171</v>
      </c>
      <c r="AI237" s="21">
        <f t="shared" si="525"/>
        <v>182</v>
      </c>
      <c r="AJ237" s="482">
        <f t="shared" si="525"/>
        <v>182</v>
      </c>
      <c r="AK237" s="21">
        <f t="shared" si="525"/>
        <v>209</v>
      </c>
      <c r="AL237" s="21">
        <f t="shared" si="525"/>
        <v>280</v>
      </c>
      <c r="AM237" s="21">
        <f t="shared" si="525"/>
        <v>282</v>
      </c>
      <c r="AN237" s="21">
        <f t="shared" si="525"/>
        <v>214</v>
      </c>
      <c r="AO237" s="482">
        <f t="shared" si="525"/>
        <v>214</v>
      </c>
      <c r="AP237" s="21">
        <f t="shared" si="525"/>
        <v>184</v>
      </c>
      <c r="AQ237" s="21">
        <f t="shared" si="525"/>
        <v>97</v>
      </c>
      <c r="AR237" s="21">
        <f t="shared" si="525"/>
        <v>117</v>
      </c>
      <c r="AS237" s="21">
        <f t="shared" si="525"/>
        <v>206</v>
      </c>
      <c r="AT237" s="482">
        <f t="shared" si="525"/>
        <v>206</v>
      </c>
      <c r="AU237" s="21">
        <f t="shared" ref="AU237:BZ237" si="526">SUM(AU131:AU132)</f>
        <v>237</v>
      </c>
      <c r="AV237" s="21">
        <f t="shared" si="526"/>
        <v>154</v>
      </c>
      <c r="AW237" s="21">
        <f t="shared" si="526"/>
        <v>241</v>
      </c>
      <c r="AX237" s="21">
        <f t="shared" si="526"/>
        <v>87</v>
      </c>
      <c r="AY237" s="482">
        <f t="shared" si="526"/>
        <v>87</v>
      </c>
      <c r="AZ237" s="21">
        <f t="shared" si="526"/>
        <v>286</v>
      </c>
      <c r="BA237" s="21">
        <f t="shared" si="526"/>
        <v>379</v>
      </c>
      <c r="BB237" s="21">
        <f>SUM(BB131:BB132)</f>
        <v>153</v>
      </c>
      <c r="BC237" s="21">
        <f t="shared" si="526"/>
        <v>259</v>
      </c>
      <c r="BD237" s="482">
        <f t="shared" si="526"/>
        <v>259</v>
      </c>
      <c r="BE237" s="21">
        <f t="shared" si="526"/>
        <v>270</v>
      </c>
      <c r="BF237" s="21">
        <f t="shared" si="526"/>
        <v>297</v>
      </c>
      <c r="BG237" s="21">
        <f t="shared" si="526"/>
        <v>303</v>
      </c>
      <c r="BH237" s="21">
        <f t="shared" si="526"/>
        <v>267</v>
      </c>
      <c r="BI237" s="482">
        <f t="shared" si="526"/>
        <v>267</v>
      </c>
      <c r="BJ237" s="21">
        <f t="shared" si="526"/>
        <v>667</v>
      </c>
      <c r="BK237" s="21">
        <f t="shared" si="526"/>
        <v>445</v>
      </c>
      <c r="BL237" s="21">
        <f t="shared" si="526"/>
        <v>423</v>
      </c>
      <c r="BM237" s="21">
        <f t="shared" si="526"/>
        <v>299</v>
      </c>
      <c r="BN237" s="482">
        <f t="shared" si="526"/>
        <v>299</v>
      </c>
      <c r="BO237" s="21">
        <f t="shared" si="526"/>
        <v>323</v>
      </c>
      <c r="BP237" s="21">
        <f t="shared" si="526"/>
        <v>341</v>
      </c>
      <c r="BQ237" s="21">
        <f t="shared" si="526"/>
        <v>364</v>
      </c>
      <c r="BR237" s="21">
        <f t="shared" si="526"/>
        <v>329</v>
      </c>
      <c r="BS237" s="482">
        <f t="shared" si="526"/>
        <v>329</v>
      </c>
      <c r="BT237" s="21">
        <f t="shared" si="526"/>
        <v>355</v>
      </c>
      <c r="BU237" s="21">
        <f t="shared" si="526"/>
        <v>819</v>
      </c>
      <c r="BV237" s="21">
        <f t="shared" si="526"/>
        <v>378</v>
      </c>
      <c r="BW237" s="21">
        <f t="shared" si="526"/>
        <v>382</v>
      </c>
      <c r="BX237" s="482">
        <f t="shared" si="526"/>
        <v>382</v>
      </c>
      <c r="BY237" s="21">
        <f t="shared" si="526"/>
        <v>383</v>
      </c>
      <c r="BZ237" s="21">
        <f t="shared" si="526"/>
        <v>390</v>
      </c>
      <c r="CA237" s="21">
        <f t="shared" ref="CA237:CW237" si="527">SUM(CA131:CA132)</f>
        <v>414</v>
      </c>
      <c r="CB237" s="21">
        <f t="shared" si="527"/>
        <v>401</v>
      </c>
      <c r="CC237" s="482">
        <f t="shared" si="527"/>
        <v>401</v>
      </c>
      <c r="CD237" s="21">
        <f t="shared" ca="1" si="527"/>
        <v>408</v>
      </c>
      <c r="CE237" s="21">
        <f t="shared" ca="1" si="527"/>
        <v>414</v>
      </c>
      <c r="CF237" s="21">
        <f t="shared" ca="1" si="527"/>
        <v>431</v>
      </c>
      <c r="CG237" s="21">
        <f t="shared" ca="1" si="527"/>
        <v>418</v>
      </c>
      <c r="CH237" s="482">
        <f t="shared" si="527"/>
        <v>418</v>
      </c>
      <c r="CI237" s="21">
        <f t="shared" si="527"/>
        <v>468</v>
      </c>
      <c r="CJ237" s="21">
        <f t="shared" si="527"/>
        <v>489</v>
      </c>
      <c r="CK237" s="21">
        <f t="shared" ca="1" si="527"/>
        <v>489</v>
      </c>
      <c r="CL237" s="21">
        <f t="shared" ca="1" si="527"/>
        <v>489</v>
      </c>
      <c r="CM237" s="482">
        <f t="shared" ca="1" si="527"/>
        <v>489</v>
      </c>
      <c r="CN237" s="21">
        <f t="shared" ca="1" si="527"/>
        <v>489</v>
      </c>
      <c r="CO237" s="21">
        <f t="shared" ca="1" si="527"/>
        <v>489</v>
      </c>
      <c r="CP237" s="21">
        <f t="shared" ca="1" si="527"/>
        <v>489</v>
      </c>
      <c r="CQ237" s="21">
        <f t="shared" ca="1" si="527"/>
        <v>489</v>
      </c>
      <c r="CR237" s="482">
        <f t="shared" ca="1" si="527"/>
        <v>489</v>
      </c>
      <c r="CS237" s="21">
        <f t="shared" ca="1" si="527"/>
        <v>489</v>
      </c>
      <c r="CT237" s="21">
        <f t="shared" ca="1" si="527"/>
        <v>489</v>
      </c>
      <c r="CU237" s="21">
        <f t="shared" ca="1" si="527"/>
        <v>489</v>
      </c>
      <c r="CV237" s="21">
        <f t="shared" ca="1" si="527"/>
        <v>489</v>
      </c>
      <c r="CW237" s="482">
        <f t="shared" ca="1" si="527"/>
        <v>489</v>
      </c>
      <c r="CX237" s="21">
        <f t="shared" ref="CX237:DG237" ca="1" si="528">SUM(CX131:CX132)</f>
        <v>489</v>
      </c>
      <c r="CY237" s="21">
        <f t="shared" ca="1" si="528"/>
        <v>489</v>
      </c>
      <c r="CZ237" s="21">
        <f t="shared" ca="1" si="528"/>
        <v>489</v>
      </c>
      <c r="DA237" s="21">
        <f t="shared" ca="1" si="528"/>
        <v>489</v>
      </c>
      <c r="DB237" s="482">
        <f t="shared" ca="1" si="528"/>
        <v>489</v>
      </c>
      <c r="DC237" s="21">
        <f t="shared" ca="1" si="528"/>
        <v>489</v>
      </c>
      <c r="DD237" s="21">
        <f t="shared" ca="1" si="528"/>
        <v>489</v>
      </c>
      <c r="DE237" s="21">
        <f t="shared" ca="1" si="528"/>
        <v>489</v>
      </c>
      <c r="DF237" s="21">
        <f t="shared" ca="1" si="528"/>
        <v>489</v>
      </c>
      <c r="DG237" s="482">
        <f t="shared" ca="1" si="528"/>
        <v>489</v>
      </c>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c r="GN237"/>
      <c r="GO237"/>
      <c r="GP237"/>
      <c r="GQ237"/>
      <c r="GR237"/>
      <c r="GS237"/>
      <c r="GT237"/>
      <c r="GU237"/>
      <c r="GV237"/>
      <c r="GW237"/>
      <c r="GX237"/>
      <c r="GY237"/>
      <c r="GZ237"/>
      <c r="HA237"/>
      <c r="HB237"/>
      <c r="HC237"/>
      <c r="HD237"/>
      <c r="HE237"/>
      <c r="HF237"/>
      <c r="HG237"/>
      <c r="HH237"/>
      <c r="HI237"/>
      <c r="HJ237"/>
      <c r="HK237"/>
      <c r="HL237"/>
      <c r="HM237"/>
      <c r="HN237"/>
      <c r="HO237"/>
      <c r="HP237"/>
      <c r="HQ237"/>
      <c r="HR237"/>
    </row>
    <row r="238" spans="1:226" s="19" customFormat="1" x14ac:dyDescent="0.2">
      <c r="A238" s="80" t="s">
        <v>195</v>
      </c>
      <c r="B238" s="21"/>
      <c r="C238" s="21"/>
      <c r="D238" s="21"/>
      <c r="E238" s="21"/>
      <c r="F238" s="482"/>
      <c r="G238" s="21">
        <f>G145</f>
        <v>285</v>
      </c>
      <c r="H238" s="21">
        <f t="shared" ref="H238:AT238" si="529">H145</f>
        <v>201</v>
      </c>
      <c r="I238" s="21">
        <f t="shared" si="529"/>
        <v>247</v>
      </c>
      <c r="J238" s="21">
        <f t="shared" si="529"/>
        <v>330</v>
      </c>
      <c r="K238" s="482">
        <f t="shared" si="529"/>
        <v>330</v>
      </c>
      <c r="L238" s="21">
        <f t="shared" si="529"/>
        <v>316</v>
      </c>
      <c r="M238" s="21">
        <f t="shared" si="529"/>
        <v>361</v>
      </c>
      <c r="N238" s="21">
        <f t="shared" si="529"/>
        <v>416</v>
      </c>
      <c r="O238" s="21">
        <f t="shared" si="529"/>
        <v>361</v>
      </c>
      <c r="P238" s="482">
        <f t="shared" si="529"/>
        <v>361</v>
      </c>
      <c r="Q238" s="21">
        <f t="shared" si="529"/>
        <v>653</v>
      </c>
      <c r="R238" s="21">
        <f t="shared" si="529"/>
        <v>662</v>
      </c>
      <c r="S238" s="21">
        <f t="shared" si="529"/>
        <v>490</v>
      </c>
      <c r="T238" s="21">
        <f t="shared" si="529"/>
        <v>289</v>
      </c>
      <c r="U238" s="482">
        <f t="shared" si="529"/>
        <v>289</v>
      </c>
      <c r="V238" s="21">
        <f t="shared" si="529"/>
        <v>170</v>
      </c>
      <c r="W238" s="21">
        <f t="shared" si="529"/>
        <v>545</v>
      </c>
      <c r="X238" s="21">
        <f t="shared" si="529"/>
        <v>407</v>
      </c>
      <c r="Y238" s="21">
        <f t="shared" si="529"/>
        <v>359</v>
      </c>
      <c r="Z238" s="482">
        <f t="shared" si="529"/>
        <v>359</v>
      </c>
      <c r="AA238" s="21">
        <f t="shared" si="529"/>
        <v>556</v>
      </c>
      <c r="AB238" s="21">
        <f t="shared" si="529"/>
        <v>521</v>
      </c>
      <c r="AC238" s="21">
        <f t="shared" si="529"/>
        <v>466</v>
      </c>
      <c r="AD238" s="21">
        <f t="shared" si="529"/>
        <v>156</v>
      </c>
      <c r="AE238" s="482">
        <f t="shared" si="529"/>
        <v>156</v>
      </c>
      <c r="AF238" s="21">
        <f t="shared" si="529"/>
        <v>68</v>
      </c>
      <c r="AG238" s="21">
        <f t="shared" si="529"/>
        <v>126</v>
      </c>
      <c r="AH238" s="21">
        <f t="shared" si="529"/>
        <v>206</v>
      </c>
      <c r="AI238" s="21">
        <f t="shared" si="529"/>
        <v>74</v>
      </c>
      <c r="AJ238" s="482">
        <f t="shared" si="529"/>
        <v>74</v>
      </c>
      <c r="AK238" s="21">
        <f t="shared" si="529"/>
        <v>872</v>
      </c>
      <c r="AL238" s="21">
        <f t="shared" si="529"/>
        <v>1540</v>
      </c>
      <c r="AM238" s="21">
        <f t="shared" si="529"/>
        <v>959</v>
      </c>
      <c r="AN238" s="21">
        <f t="shared" si="529"/>
        <v>755</v>
      </c>
      <c r="AO238" s="482">
        <f t="shared" si="529"/>
        <v>755</v>
      </c>
      <c r="AP238" s="21">
        <f t="shared" si="529"/>
        <v>727</v>
      </c>
      <c r="AQ238" s="21">
        <f t="shared" si="529"/>
        <v>637</v>
      </c>
      <c r="AR238" s="21">
        <f t="shared" si="529"/>
        <v>543</v>
      </c>
      <c r="AS238" s="21">
        <f t="shared" si="529"/>
        <v>421</v>
      </c>
      <c r="AT238" s="482">
        <f t="shared" si="529"/>
        <v>421</v>
      </c>
      <c r="AU238" s="21">
        <f t="shared" ref="AU238:BZ238" si="530">AU145</f>
        <v>457</v>
      </c>
      <c r="AV238" s="21">
        <f t="shared" si="530"/>
        <v>25</v>
      </c>
      <c r="AW238" s="21">
        <f t="shared" si="530"/>
        <v>586</v>
      </c>
      <c r="AX238" s="21">
        <f t="shared" si="530"/>
        <v>371</v>
      </c>
      <c r="AY238" s="482">
        <f t="shared" si="530"/>
        <v>371</v>
      </c>
      <c r="AZ238" s="21">
        <f t="shared" si="530"/>
        <v>506</v>
      </c>
      <c r="BA238" s="21">
        <f t="shared" si="530"/>
        <v>3</v>
      </c>
      <c r="BB238" s="21">
        <f>BB145</f>
        <v>343</v>
      </c>
      <c r="BC238" s="21">
        <f>BC145</f>
        <v>459</v>
      </c>
      <c r="BD238" s="482">
        <f t="shared" si="530"/>
        <v>459</v>
      </c>
      <c r="BE238" s="21">
        <f t="shared" si="530"/>
        <v>440</v>
      </c>
      <c r="BF238" s="21">
        <f t="shared" si="530"/>
        <v>476</v>
      </c>
      <c r="BG238" s="21">
        <f t="shared" si="530"/>
        <v>430</v>
      </c>
      <c r="BH238" s="21">
        <f t="shared" si="530"/>
        <v>300</v>
      </c>
      <c r="BI238" s="482">
        <f t="shared" si="530"/>
        <v>300</v>
      </c>
      <c r="BJ238" s="21">
        <f t="shared" si="530"/>
        <v>2</v>
      </c>
      <c r="BK238" s="21">
        <f t="shared" si="530"/>
        <v>5</v>
      </c>
      <c r="BL238" s="21">
        <f t="shared" si="530"/>
        <v>392</v>
      </c>
      <c r="BM238" s="21">
        <f t="shared" si="530"/>
        <v>202</v>
      </c>
      <c r="BN238" s="482">
        <f t="shared" si="530"/>
        <v>202</v>
      </c>
      <c r="BO238" s="21">
        <f t="shared" si="530"/>
        <v>286</v>
      </c>
      <c r="BP238" s="21">
        <f t="shared" si="530"/>
        <v>342</v>
      </c>
      <c r="BQ238" s="21">
        <f t="shared" si="530"/>
        <v>394</v>
      </c>
      <c r="BR238" s="21">
        <f t="shared" si="530"/>
        <v>143</v>
      </c>
      <c r="BS238" s="482">
        <f t="shared" si="530"/>
        <v>143</v>
      </c>
      <c r="BT238" s="21">
        <f t="shared" si="530"/>
        <v>53</v>
      </c>
      <c r="BU238" s="21">
        <f t="shared" si="530"/>
        <v>2</v>
      </c>
      <c r="BV238" s="21">
        <f t="shared" si="530"/>
        <v>70</v>
      </c>
      <c r="BW238" s="21">
        <f t="shared" si="530"/>
        <v>95</v>
      </c>
      <c r="BX238" s="482">
        <f t="shared" si="530"/>
        <v>95</v>
      </c>
      <c r="BY238" s="21">
        <f t="shared" si="530"/>
        <v>131</v>
      </c>
      <c r="BZ238" s="21">
        <f t="shared" si="530"/>
        <v>500</v>
      </c>
      <c r="CA238" s="21">
        <f t="shared" ref="CA238:CW238" si="531">CA145</f>
        <v>432</v>
      </c>
      <c r="CB238" s="21">
        <f t="shared" si="531"/>
        <v>523</v>
      </c>
      <c r="CC238" s="482">
        <f t="shared" si="531"/>
        <v>523</v>
      </c>
      <c r="CD238" s="21">
        <f>CD145</f>
        <v>618</v>
      </c>
      <c r="CE238" s="21">
        <f t="shared" si="531"/>
        <v>759</v>
      </c>
      <c r="CF238" s="21">
        <f t="shared" si="531"/>
        <v>650</v>
      </c>
      <c r="CG238" s="21">
        <f t="shared" si="531"/>
        <v>404</v>
      </c>
      <c r="CH238" s="482">
        <f t="shared" si="531"/>
        <v>404</v>
      </c>
      <c r="CI238" s="21">
        <f t="shared" si="531"/>
        <v>13</v>
      </c>
      <c r="CJ238" s="21">
        <f t="shared" si="531"/>
        <v>495</v>
      </c>
      <c r="CK238" s="21">
        <f t="shared" ca="1" si="531"/>
        <v>580.56158501096343</v>
      </c>
      <c r="CL238" s="21">
        <f t="shared" ca="1" si="531"/>
        <v>576.99999059896345</v>
      </c>
      <c r="CM238" s="482">
        <f t="shared" ca="1" si="531"/>
        <v>576.99999059896345</v>
      </c>
      <c r="CN238" s="21">
        <f t="shared" ca="1" si="531"/>
        <v>508.78255057370734</v>
      </c>
      <c r="CO238" s="21">
        <f ca="1">CO145</f>
        <v>800.21019486326168</v>
      </c>
      <c r="CP238" s="21">
        <f t="shared" ca="1" si="531"/>
        <v>832.325599537171</v>
      </c>
      <c r="CQ238" s="21">
        <f t="shared" ca="1" si="531"/>
        <v>754.27672378407715</v>
      </c>
      <c r="CR238" s="482">
        <f t="shared" ca="1" si="531"/>
        <v>754.27672378407715</v>
      </c>
      <c r="CS238" s="21">
        <f ca="1">CS145</f>
        <v>675.70543056500264</v>
      </c>
      <c r="CT238" s="21">
        <f t="shared" ca="1" si="531"/>
        <v>974.94918248324848</v>
      </c>
      <c r="CU238" s="21">
        <f t="shared" ca="1" si="531"/>
        <v>1009.8058925745481</v>
      </c>
      <c r="CV238" s="21">
        <f t="shared" ca="1" si="531"/>
        <v>932.51260094808822</v>
      </c>
      <c r="CW238" s="482">
        <f t="shared" ca="1" si="531"/>
        <v>932.51260094808822</v>
      </c>
      <c r="CX238" s="21">
        <f t="shared" ref="CX238:DG238" ca="1" si="532">CX145</f>
        <v>864.83536120956069</v>
      </c>
      <c r="CY238" s="21">
        <f t="shared" ca="1" si="532"/>
        <v>1172.1181826956408</v>
      </c>
      <c r="CZ238" s="21">
        <f t="shared" ca="1" si="532"/>
        <v>1216.291517923115</v>
      </c>
      <c r="DA238" s="21">
        <f t="shared" ca="1" si="532"/>
        <v>1147.267727023519</v>
      </c>
      <c r="DB238" s="482">
        <f t="shared" ca="1" si="532"/>
        <v>1147.267727023519</v>
      </c>
      <c r="DC238" s="21">
        <f t="shared" ca="1" si="532"/>
        <v>1076.4656844865649</v>
      </c>
      <c r="DD238" s="21">
        <f t="shared" ca="1" si="532"/>
        <v>1393.6056569881011</v>
      </c>
      <c r="DE238" s="21">
        <f t="shared" ca="1" si="532"/>
        <v>1448.977202079197</v>
      </c>
      <c r="DF238" s="21">
        <f t="shared" ca="1" si="532"/>
        <v>1390.1439061335168</v>
      </c>
      <c r="DG238" s="482">
        <f t="shared" ca="1" si="532"/>
        <v>1390.1439061335168</v>
      </c>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c r="GN238"/>
      <c r="GO238"/>
      <c r="GP238"/>
      <c r="GQ238"/>
      <c r="GR238"/>
      <c r="GS238"/>
      <c r="GT238"/>
      <c r="GU238"/>
      <c r="GV238"/>
      <c r="GW238"/>
      <c r="GX238"/>
      <c r="GY238"/>
      <c r="GZ238"/>
      <c r="HA238"/>
      <c r="HB238"/>
      <c r="HC238"/>
      <c r="HD238"/>
      <c r="HE238"/>
      <c r="HF238"/>
      <c r="HG238"/>
      <c r="HH238"/>
      <c r="HI238"/>
      <c r="HJ238"/>
      <c r="HK238"/>
      <c r="HL238"/>
      <c r="HM238"/>
      <c r="HN238"/>
      <c r="HO238"/>
      <c r="HP238"/>
      <c r="HQ238"/>
      <c r="HR238"/>
    </row>
    <row r="239" spans="1:226" s="19" customFormat="1" x14ac:dyDescent="0.2">
      <c r="A239" s="80" t="s">
        <v>169</v>
      </c>
      <c r="B239" s="21"/>
      <c r="C239" s="21"/>
      <c r="D239" s="21"/>
      <c r="E239" s="21"/>
      <c r="F239" s="482"/>
      <c r="G239" s="21">
        <f>G146</f>
        <v>3</v>
      </c>
      <c r="H239" s="21">
        <f t="shared" ref="H239:AT239" si="533">H146</f>
        <v>2</v>
      </c>
      <c r="I239" s="21">
        <f t="shared" si="533"/>
        <v>3</v>
      </c>
      <c r="J239" s="21">
        <f t="shared" si="533"/>
        <v>2</v>
      </c>
      <c r="K239" s="482">
        <f t="shared" si="533"/>
        <v>2</v>
      </c>
      <c r="L239" s="21">
        <f t="shared" si="533"/>
        <v>195</v>
      </c>
      <c r="M239" s="21">
        <f t="shared" si="533"/>
        <v>208</v>
      </c>
      <c r="N239" s="21">
        <f t="shared" si="533"/>
        <v>211</v>
      </c>
      <c r="O239" s="21">
        <f t="shared" si="533"/>
        <v>213</v>
      </c>
      <c r="P239" s="482">
        <f t="shared" si="533"/>
        <v>213</v>
      </c>
      <c r="Q239" s="21">
        <f t="shared" si="533"/>
        <v>16</v>
      </c>
      <c r="R239" s="21">
        <f t="shared" si="533"/>
        <v>5</v>
      </c>
      <c r="S239" s="21">
        <f t="shared" si="533"/>
        <v>6</v>
      </c>
      <c r="T239" s="21">
        <f t="shared" si="533"/>
        <v>2</v>
      </c>
      <c r="U239" s="482">
        <f t="shared" si="533"/>
        <v>2</v>
      </c>
      <c r="V239" s="21">
        <f t="shared" si="533"/>
        <v>3</v>
      </c>
      <c r="W239" s="21">
        <f t="shared" si="533"/>
        <v>2</v>
      </c>
      <c r="X239" s="21">
        <f t="shared" si="533"/>
        <v>3</v>
      </c>
      <c r="Y239" s="21">
        <f t="shared" si="533"/>
        <v>2</v>
      </c>
      <c r="Z239" s="482">
        <f t="shared" si="533"/>
        <v>2</v>
      </c>
      <c r="AA239" s="21">
        <f t="shared" si="533"/>
        <v>3</v>
      </c>
      <c r="AB239" s="21">
        <f t="shared" si="533"/>
        <v>3</v>
      </c>
      <c r="AC239" s="21">
        <f t="shared" si="533"/>
        <v>153</v>
      </c>
      <c r="AD239" s="21">
        <f t="shared" si="533"/>
        <v>152</v>
      </c>
      <c r="AE239" s="482">
        <f t="shared" si="533"/>
        <v>152</v>
      </c>
      <c r="AF239" s="21">
        <f t="shared" si="533"/>
        <v>152</v>
      </c>
      <c r="AG239" s="21">
        <f t="shared" si="533"/>
        <v>651</v>
      </c>
      <c r="AH239" s="21">
        <f t="shared" si="533"/>
        <v>501</v>
      </c>
      <c r="AI239" s="21">
        <f t="shared" si="533"/>
        <v>500</v>
      </c>
      <c r="AJ239" s="482">
        <f t="shared" si="533"/>
        <v>500</v>
      </c>
      <c r="AK239" s="21">
        <f t="shared" si="533"/>
        <v>500</v>
      </c>
      <c r="AL239" s="21">
        <f t="shared" si="533"/>
        <v>0</v>
      </c>
      <c r="AM239" s="21">
        <f t="shared" si="533"/>
        <v>0</v>
      </c>
      <c r="AN239" s="21">
        <f t="shared" si="533"/>
        <v>0</v>
      </c>
      <c r="AO239" s="482">
        <f t="shared" si="533"/>
        <v>0</v>
      </c>
      <c r="AP239" s="21">
        <f>AP146</f>
        <v>1</v>
      </c>
      <c r="AQ239" s="21">
        <f t="shared" si="533"/>
        <v>1</v>
      </c>
      <c r="AR239" s="21">
        <f t="shared" si="533"/>
        <v>577</v>
      </c>
      <c r="AS239" s="21">
        <f t="shared" si="533"/>
        <v>577</v>
      </c>
      <c r="AT239" s="482">
        <f t="shared" si="533"/>
        <v>577</v>
      </c>
      <c r="AU239" s="21">
        <f t="shared" ref="AU239:BD239" si="534">AU146</f>
        <v>575</v>
      </c>
      <c r="AV239" s="21">
        <f t="shared" si="534"/>
        <v>575</v>
      </c>
      <c r="AW239" s="21">
        <f t="shared" si="534"/>
        <v>300</v>
      </c>
      <c r="AX239" s="21">
        <f t="shared" si="534"/>
        <v>300</v>
      </c>
      <c r="AY239" s="482">
        <f t="shared" si="534"/>
        <v>300</v>
      </c>
      <c r="AZ239" s="21">
        <f t="shared" si="534"/>
        <v>300</v>
      </c>
      <c r="BA239" s="21">
        <f t="shared" si="534"/>
        <v>300</v>
      </c>
      <c r="BB239" s="21">
        <f>BB146</f>
        <v>0</v>
      </c>
      <c r="BC239" s="21">
        <f t="shared" si="534"/>
        <v>0</v>
      </c>
      <c r="BD239" s="482">
        <f t="shared" si="534"/>
        <v>0</v>
      </c>
      <c r="BE239" s="21">
        <f>BE146</f>
        <v>0</v>
      </c>
      <c r="BF239" s="21">
        <f>BF146</f>
        <v>350</v>
      </c>
      <c r="BG239" s="21">
        <f>BG146</f>
        <v>850</v>
      </c>
      <c r="BH239" s="21">
        <f>BH146</f>
        <v>850</v>
      </c>
      <c r="BI239" s="482">
        <f>BI146</f>
        <v>850</v>
      </c>
      <c r="BJ239" s="21">
        <f t="shared" ref="BJ239:BS239" si="535">BJ146</f>
        <v>850</v>
      </c>
      <c r="BK239" s="21">
        <f t="shared" si="535"/>
        <v>500</v>
      </c>
      <c r="BL239" s="21">
        <f t="shared" si="535"/>
        <v>0</v>
      </c>
      <c r="BM239" s="21">
        <f t="shared" si="535"/>
        <v>0</v>
      </c>
      <c r="BN239" s="482">
        <f t="shared" si="535"/>
        <v>0</v>
      </c>
      <c r="BO239" s="21">
        <f t="shared" si="535"/>
        <v>0</v>
      </c>
      <c r="BP239" s="21">
        <f t="shared" si="535"/>
        <v>0</v>
      </c>
      <c r="BQ239" s="21">
        <f t="shared" si="535"/>
        <v>575</v>
      </c>
      <c r="BR239" s="21">
        <f t="shared" si="535"/>
        <v>575</v>
      </c>
      <c r="BS239" s="482">
        <f t="shared" si="535"/>
        <v>575</v>
      </c>
      <c r="BT239" s="21">
        <f t="shared" ref="BT239:CR239" si="536">BT146</f>
        <v>575</v>
      </c>
      <c r="BU239" s="21">
        <f t="shared" si="536"/>
        <v>875</v>
      </c>
      <c r="BV239" s="21">
        <f t="shared" si="536"/>
        <v>300</v>
      </c>
      <c r="BW239" s="21">
        <f t="shared" si="536"/>
        <v>300</v>
      </c>
      <c r="BX239" s="482">
        <f t="shared" si="536"/>
        <v>300</v>
      </c>
      <c r="BY239" s="21">
        <f t="shared" si="536"/>
        <v>300</v>
      </c>
      <c r="BZ239" s="21">
        <f t="shared" si="536"/>
        <v>0</v>
      </c>
      <c r="CA239" s="21">
        <f t="shared" si="536"/>
        <v>0</v>
      </c>
      <c r="CB239" s="21">
        <f t="shared" si="536"/>
        <v>0</v>
      </c>
      <c r="CC239" s="482">
        <f t="shared" si="536"/>
        <v>0</v>
      </c>
      <c r="CD239" s="21">
        <f t="shared" si="536"/>
        <v>0</v>
      </c>
      <c r="CE239" s="21">
        <f t="shared" si="536"/>
        <v>400</v>
      </c>
      <c r="CF239" s="21">
        <f t="shared" si="536"/>
        <v>400</v>
      </c>
      <c r="CG239" s="21">
        <f t="shared" si="536"/>
        <v>400</v>
      </c>
      <c r="CH239" s="482">
        <f t="shared" si="536"/>
        <v>400</v>
      </c>
      <c r="CI239" s="21">
        <f t="shared" si="536"/>
        <v>400</v>
      </c>
      <c r="CJ239" s="21">
        <f t="shared" si="536"/>
        <v>0</v>
      </c>
      <c r="CK239" s="21">
        <f t="shared" si="536"/>
        <v>0</v>
      </c>
      <c r="CL239" s="21">
        <f t="shared" si="536"/>
        <v>0</v>
      </c>
      <c r="CM239" s="482">
        <f t="shared" si="536"/>
        <v>0</v>
      </c>
      <c r="CN239" s="21">
        <f t="shared" si="536"/>
        <v>0</v>
      </c>
      <c r="CO239" s="21">
        <f t="shared" si="536"/>
        <v>0</v>
      </c>
      <c r="CP239" s="21">
        <f t="shared" si="536"/>
        <v>0</v>
      </c>
      <c r="CQ239" s="21">
        <f t="shared" si="536"/>
        <v>0</v>
      </c>
      <c r="CR239" s="482">
        <f t="shared" si="536"/>
        <v>0</v>
      </c>
      <c r="CS239" s="21">
        <f>CS146</f>
        <v>0</v>
      </c>
      <c r="CT239" s="21">
        <f>CT146</f>
        <v>0</v>
      </c>
      <c r="CU239" s="21">
        <f>CU146</f>
        <v>0</v>
      </c>
      <c r="CV239" s="21">
        <f>CV146</f>
        <v>0</v>
      </c>
      <c r="CW239" s="482">
        <f>CW146</f>
        <v>0</v>
      </c>
      <c r="CX239" s="21">
        <f t="shared" ref="CX239:DG239" si="537">CX146</f>
        <v>0</v>
      </c>
      <c r="CY239" s="21">
        <f t="shared" si="537"/>
        <v>0</v>
      </c>
      <c r="CZ239" s="21">
        <f t="shared" si="537"/>
        <v>0</v>
      </c>
      <c r="DA239" s="21">
        <f t="shared" si="537"/>
        <v>0</v>
      </c>
      <c r="DB239" s="482">
        <f t="shared" si="537"/>
        <v>0</v>
      </c>
      <c r="DC239" s="21">
        <f t="shared" si="537"/>
        <v>0</v>
      </c>
      <c r="DD239" s="21">
        <f t="shared" si="537"/>
        <v>0</v>
      </c>
      <c r="DE239" s="21">
        <f t="shared" si="537"/>
        <v>0</v>
      </c>
      <c r="DF239" s="21">
        <f t="shared" si="537"/>
        <v>0</v>
      </c>
      <c r="DG239" s="482">
        <f t="shared" si="537"/>
        <v>0</v>
      </c>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c r="HB239"/>
      <c r="HC239"/>
      <c r="HD239"/>
      <c r="HE239"/>
      <c r="HF239"/>
      <c r="HG239"/>
      <c r="HH239"/>
      <c r="HI239"/>
      <c r="HJ239"/>
      <c r="HK239"/>
      <c r="HL239"/>
      <c r="HM239"/>
      <c r="HN239"/>
      <c r="HO239"/>
      <c r="HP239"/>
      <c r="HQ239"/>
      <c r="HR239"/>
    </row>
    <row r="240" spans="1:226" s="19" customFormat="1" x14ac:dyDescent="0.2">
      <c r="A240" s="80" t="s">
        <v>196</v>
      </c>
      <c r="B240" s="21"/>
      <c r="C240" s="21"/>
      <c r="D240" s="21"/>
      <c r="E240" s="21"/>
      <c r="F240" s="482"/>
      <c r="G240" s="21">
        <f>G152</f>
        <v>686</v>
      </c>
      <c r="H240" s="21">
        <f t="shared" ref="H240:AT240" si="538">H152</f>
        <v>678</v>
      </c>
      <c r="I240" s="21">
        <f t="shared" si="538"/>
        <v>675</v>
      </c>
      <c r="J240" s="21">
        <f t="shared" si="538"/>
        <v>678</v>
      </c>
      <c r="K240" s="482">
        <f t="shared" si="538"/>
        <v>678</v>
      </c>
      <c r="L240" s="21">
        <f t="shared" si="538"/>
        <v>501</v>
      </c>
      <c r="M240" s="21">
        <f t="shared" si="538"/>
        <v>490</v>
      </c>
      <c r="N240" s="21">
        <f t="shared" si="538"/>
        <v>488</v>
      </c>
      <c r="O240" s="21">
        <f t="shared" si="538"/>
        <v>495</v>
      </c>
      <c r="P240" s="482">
        <f t="shared" si="538"/>
        <v>495</v>
      </c>
      <c r="Q240" s="21">
        <f t="shared" si="538"/>
        <v>479</v>
      </c>
      <c r="R240" s="21">
        <f t="shared" si="538"/>
        <v>475</v>
      </c>
      <c r="S240" s="21">
        <f t="shared" si="538"/>
        <v>473</v>
      </c>
      <c r="T240" s="21">
        <f t="shared" si="538"/>
        <v>475</v>
      </c>
      <c r="U240" s="482">
        <f t="shared" si="538"/>
        <v>475</v>
      </c>
      <c r="V240" s="21">
        <f t="shared" si="538"/>
        <v>474</v>
      </c>
      <c r="W240" s="21">
        <f t="shared" si="538"/>
        <v>2124</v>
      </c>
      <c r="X240" s="21">
        <f t="shared" si="538"/>
        <v>2123</v>
      </c>
      <c r="Y240" s="21">
        <f t="shared" si="538"/>
        <v>2122</v>
      </c>
      <c r="Z240" s="482">
        <f t="shared" si="538"/>
        <v>2122</v>
      </c>
      <c r="AA240" s="21">
        <f t="shared" si="538"/>
        <v>2120</v>
      </c>
      <c r="AB240" s="21">
        <f t="shared" si="538"/>
        <v>2119</v>
      </c>
      <c r="AC240" s="21">
        <f t="shared" si="538"/>
        <v>1967</v>
      </c>
      <c r="AD240" s="21">
        <f t="shared" si="538"/>
        <v>1966</v>
      </c>
      <c r="AE240" s="482">
        <f t="shared" si="538"/>
        <v>1966</v>
      </c>
      <c r="AF240" s="21">
        <f t="shared" si="538"/>
        <v>1965</v>
      </c>
      <c r="AG240" s="21">
        <f t="shared" si="538"/>
        <v>1464</v>
      </c>
      <c r="AH240" s="21">
        <f t="shared" si="538"/>
        <v>1463</v>
      </c>
      <c r="AI240" s="21">
        <f t="shared" si="538"/>
        <v>1462</v>
      </c>
      <c r="AJ240" s="482">
        <f t="shared" si="538"/>
        <v>1462</v>
      </c>
      <c r="AK240" s="21">
        <f t="shared" si="538"/>
        <v>1477</v>
      </c>
      <c r="AL240" s="21">
        <f t="shared" si="538"/>
        <v>2223</v>
      </c>
      <c r="AM240" s="21">
        <f t="shared" si="538"/>
        <v>2721</v>
      </c>
      <c r="AN240" s="21">
        <f t="shared" si="538"/>
        <v>2720</v>
      </c>
      <c r="AO240" s="482">
        <f t="shared" si="538"/>
        <v>2720</v>
      </c>
      <c r="AP240" s="21">
        <f t="shared" si="538"/>
        <v>2719</v>
      </c>
      <c r="AQ240" s="21">
        <f t="shared" si="538"/>
        <v>2718</v>
      </c>
      <c r="AR240" s="21">
        <f t="shared" si="538"/>
        <v>2141</v>
      </c>
      <c r="AS240" s="21">
        <f t="shared" si="538"/>
        <v>2151</v>
      </c>
      <c r="AT240" s="482">
        <f t="shared" si="538"/>
        <v>2151</v>
      </c>
      <c r="AU240" s="21">
        <f t="shared" ref="AU240:BD240" si="539">AU152</f>
        <v>2137</v>
      </c>
      <c r="AV240" s="21">
        <f t="shared" si="539"/>
        <v>2435</v>
      </c>
      <c r="AW240" s="21">
        <f t="shared" si="539"/>
        <v>2132</v>
      </c>
      <c r="AX240" s="21">
        <f t="shared" si="539"/>
        <v>2124</v>
      </c>
      <c r="AY240" s="482">
        <f t="shared" si="539"/>
        <v>2124</v>
      </c>
      <c r="AZ240" s="21">
        <f t="shared" si="539"/>
        <v>2124</v>
      </c>
      <c r="BA240" s="21">
        <f t="shared" si="539"/>
        <v>2125</v>
      </c>
      <c r="BB240" s="21">
        <f>BB152</f>
        <v>2125</v>
      </c>
      <c r="BC240" s="21">
        <f t="shared" si="539"/>
        <v>2125</v>
      </c>
      <c r="BD240" s="482">
        <f t="shared" si="539"/>
        <v>2125</v>
      </c>
      <c r="BE240" s="21">
        <f t="shared" ref="BE240:CV240" si="540">BE152</f>
        <v>2122</v>
      </c>
      <c r="BF240" s="21">
        <f t="shared" si="540"/>
        <v>2070</v>
      </c>
      <c r="BG240" s="21">
        <f t="shared" si="540"/>
        <v>1570</v>
      </c>
      <c r="BH240" s="21">
        <f t="shared" si="540"/>
        <v>1571</v>
      </c>
      <c r="BI240" s="482">
        <f t="shared" si="540"/>
        <v>1571</v>
      </c>
      <c r="BJ240" s="21">
        <f t="shared" si="540"/>
        <v>2169</v>
      </c>
      <c r="BK240" s="21">
        <f t="shared" si="540"/>
        <v>2169</v>
      </c>
      <c r="BL240" s="21">
        <f t="shared" si="540"/>
        <v>2169</v>
      </c>
      <c r="BM240" s="21">
        <f t="shared" si="540"/>
        <v>2170</v>
      </c>
      <c r="BN240" s="482">
        <f t="shared" si="540"/>
        <v>2170</v>
      </c>
      <c r="BO240" s="21">
        <f t="shared" si="540"/>
        <v>2170</v>
      </c>
      <c r="BP240" s="21">
        <f t="shared" si="540"/>
        <v>2170</v>
      </c>
      <c r="BQ240" s="21">
        <f t="shared" si="540"/>
        <v>1595</v>
      </c>
      <c r="BR240" s="21">
        <f t="shared" si="540"/>
        <v>1595</v>
      </c>
      <c r="BS240" s="482">
        <f t="shared" si="540"/>
        <v>1595</v>
      </c>
      <c r="BT240" s="21">
        <f t="shared" si="540"/>
        <v>1596</v>
      </c>
      <c r="BU240" s="21">
        <f t="shared" si="540"/>
        <v>1795</v>
      </c>
      <c r="BV240" s="21">
        <f t="shared" si="540"/>
        <v>1796</v>
      </c>
      <c r="BW240" s="21">
        <f t="shared" si="540"/>
        <v>1796</v>
      </c>
      <c r="BX240" s="482">
        <f t="shared" si="540"/>
        <v>1796</v>
      </c>
      <c r="BY240" s="21">
        <f t="shared" si="540"/>
        <v>1796</v>
      </c>
      <c r="BZ240" s="21">
        <f t="shared" si="540"/>
        <v>1796</v>
      </c>
      <c r="CA240" s="21">
        <f t="shared" si="540"/>
        <v>1796</v>
      </c>
      <c r="CB240" s="21">
        <f t="shared" si="540"/>
        <v>1797</v>
      </c>
      <c r="CC240" s="482">
        <f t="shared" si="540"/>
        <v>1797</v>
      </c>
      <c r="CD240" s="21">
        <f t="shared" si="540"/>
        <v>1789</v>
      </c>
      <c r="CE240" s="21">
        <f t="shared" si="540"/>
        <v>1390</v>
      </c>
      <c r="CF240" s="21">
        <f t="shared" si="540"/>
        <v>1390</v>
      </c>
      <c r="CG240" s="21">
        <f t="shared" si="540"/>
        <v>1391</v>
      </c>
      <c r="CH240" s="482">
        <f t="shared" si="540"/>
        <v>1391</v>
      </c>
      <c r="CI240" s="21">
        <f t="shared" si="540"/>
        <v>1787</v>
      </c>
      <c r="CJ240" s="21">
        <f t="shared" si="540"/>
        <v>1788</v>
      </c>
      <c r="CK240" s="21">
        <f t="shared" si="540"/>
        <v>1788</v>
      </c>
      <c r="CL240" s="21">
        <f t="shared" si="540"/>
        <v>1788</v>
      </c>
      <c r="CM240" s="482">
        <f t="shared" si="540"/>
        <v>1788</v>
      </c>
      <c r="CN240" s="21">
        <f t="shared" si="540"/>
        <v>1788</v>
      </c>
      <c r="CO240" s="21">
        <f t="shared" si="540"/>
        <v>1788</v>
      </c>
      <c r="CP240" s="21">
        <f t="shared" si="540"/>
        <v>1788</v>
      </c>
      <c r="CQ240" s="21">
        <f t="shared" si="540"/>
        <v>1788</v>
      </c>
      <c r="CR240" s="482">
        <f t="shared" si="540"/>
        <v>1788</v>
      </c>
      <c r="CS240" s="21">
        <f t="shared" si="540"/>
        <v>1788</v>
      </c>
      <c r="CT240" s="21">
        <f t="shared" si="540"/>
        <v>1788</v>
      </c>
      <c r="CU240" s="21">
        <f t="shared" si="540"/>
        <v>1788</v>
      </c>
      <c r="CV240" s="21">
        <f t="shared" si="540"/>
        <v>1788</v>
      </c>
      <c r="CW240" s="482">
        <f t="shared" ref="CW240:DG240" si="541">CW152</f>
        <v>1788</v>
      </c>
      <c r="CX240" s="21">
        <f t="shared" si="541"/>
        <v>1788</v>
      </c>
      <c r="CY240" s="21">
        <f t="shared" si="541"/>
        <v>1788</v>
      </c>
      <c r="CZ240" s="21">
        <f t="shared" si="541"/>
        <v>1788</v>
      </c>
      <c r="DA240" s="21">
        <f t="shared" si="541"/>
        <v>1788</v>
      </c>
      <c r="DB240" s="482">
        <f t="shared" si="541"/>
        <v>1788</v>
      </c>
      <c r="DC240" s="21">
        <f t="shared" si="541"/>
        <v>1788</v>
      </c>
      <c r="DD240" s="21">
        <f t="shared" si="541"/>
        <v>1788</v>
      </c>
      <c r="DE240" s="21">
        <f t="shared" si="541"/>
        <v>1788</v>
      </c>
      <c r="DF240" s="21">
        <f t="shared" si="541"/>
        <v>1788</v>
      </c>
      <c r="DG240" s="482">
        <f t="shared" si="541"/>
        <v>1788</v>
      </c>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c r="HB240"/>
      <c r="HC240"/>
      <c r="HD240"/>
      <c r="HE240"/>
      <c r="HF240"/>
      <c r="HG240"/>
      <c r="HH240"/>
      <c r="HI240"/>
      <c r="HJ240"/>
      <c r="HK240"/>
      <c r="HL240"/>
      <c r="HM240"/>
      <c r="HN240"/>
      <c r="HO240"/>
      <c r="HP240"/>
      <c r="HQ240"/>
      <c r="HR240"/>
    </row>
    <row r="241" spans="1:226" s="19" customFormat="1" x14ac:dyDescent="0.2">
      <c r="A241" s="80" t="s">
        <v>65</v>
      </c>
      <c r="B241" s="21"/>
      <c r="C241" s="21"/>
      <c r="D241" s="21"/>
      <c r="E241" s="21"/>
      <c r="F241" s="482"/>
      <c r="G241" s="21">
        <f>SUM(G238:G240)</f>
        <v>974</v>
      </c>
      <c r="H241" s="21">
        <f t="shared" ref="H241:AT241" si="542">SUM(H238:H240)</f>
        <v>881</v>
      </c>
      <c r="I241" s="21">
        <f t="shared" si="542"/>
        <v>925</v>
      </c>
      <c r="J241" s="21">
        <f t="shared" si="542"/>
        <v>1010</v>
      </c>
      <c r="K241" s="482">
        <f t="shared" si="542"/>
        <v>1010</v>
      </c>
      <c r="L241" s="21">
        <f t="shared" si="542"/>
        <v>1012</v>
      </c>
      <c r="M241" s="21">
        <f t="shared" si="542"/>
        <v>1059</v>
      </c>
      <c r="N241" s="21">
        <f t="shared" si="542"/>
        <v>1115</v>
      </c>
      <c r="O241" s="21">
        <f t="shared" si="542"/>
        <v>1069</v>
      </c>
      <c r="P241" s="482">
        <f t="shared" si="542"/>
        <v>1069</v>
      </c>
      <c r="Q241" s="21">
        <f t="shared" si="542"/>
        <v>1148</v>
      </c>
      <c r="R241" s="21">
        <f t="shared" si="542"/>
        <v>1142</v>
      </c>
      <c r="S241" s="21">
        <f t="shared" si="542"/>
        <v>969</v>
      </c>
      <c r="T241" s="21">
        <f t="shared" si="542"/>
        <v>766</v>
      </c>
      <c r="U241" s="482">
        <f t="shared" si="542"/>
        <v>766</v>
      </c>
      <c r="V241" s="21">
        <f t="shared" si="542"/>
        <v>647</v>
      </c>
      <c r="W241" s="21">
        <f t="shared" si="542"/>
        <v>2671</v>
      </c>
      <c r="X241" s="21">
        <f t="shared" si="542"/>
        <v>2533</v>
      </c>
      <c r="Y241" s="21">
        <f t="shared" si="542"/>
        <v>2483</v>
      </c>
      <c r="Z241" s="482">
        <f t="shared" si="542"/>
        <v>2483</v>
      </c>
      <c r="AA241" s="21">
        <f t="shared" si="542"/>
        <v>2679</v>
      </c>
      <c r="AB241" s="21">
        <f t="shared" si="542"/>
        <v>2643</v>
      </c>
      <c r="AC241" s="21">
        <f t="shared" si="542"/>
        <v>2586</v>
      </c>
      <c r="AD241" s="21">
        <f t="shared" si="542"/>
        <v>2274</v>
      </c>
      <c r="AE241" s="482">
        <f t="shared" si="542"/>
        <v>2274</v>
      </c>
      <c r="AF241" s="21">
        <f t="shared" si="542"/>
        <v>2185</v>
      </c>
      <c r="AG241" s="21">
        <f t="shared" si="542"/>
        <v>2241</v>
      </c>
      <c r="AH241" s="21">
        <f t="shared" si="542"/>
        <v>2170</v>
      </c>
      <c r="AI241" s="21">
        <f t="shared" si="542"/>
        <v>2036</v>
      </c>
      <c r="AJ241" s="482">
        <f t="shared" si="542"/>
        <v>2036</v>
      </c>
      <c r="AK241" s="21">
        <f t="shared" si="542"/>
        <v>2849</v>
      </c>
      <c r="AL241" s="21">
        <f t="shared" si="542"/>
        <v>3763</v>
      </c>
      <c r="AM241" s="21">
        <f t="shared" si="542"/>
        <v>3680</v>
      </c>
      <c r="AN241" s="21">
        <f t="shared" si="542"/>
        <v>3475</v>
      </c>
      <c r="AO241" s="482">
        <f t="shared" si="542"/>
        <v>3475</v>
      </c>
      <c r="AP241" s="21">
        <f t="shared" si="542"/>
        <v>3447</v>
      </c>
      <c r="AQ241" s="21">
        <f t="shared" si="542"/>
        <v>3356</v>
      </c>
      <c r="AR241" s="21">
        <f t="shared" si="542"/>
        <v>3261</v>
      </c>
      <c r="AS241" s="21">
        <f t="shared" si="542"/>
        <v>3149</v>
      </c>
      <c r="AT241" s="482">
        <f t="shared" si="542"/>
        <v>3149</v>
      </c>
      <c r="AU241" s="21">
        <f t="shared" ref="AU241:BZ241" si="543">SUM(AU238:AU240)</f>
        <v>3169</v>
      </c>
      <c r="AV241" s="21">
        <f t="shared" si="543"/>
        <v>3035</v>
      </c>
      <c r="AW241" s="21">
        <f t="shared" si="543"/>
        <v>3018</v>
      </c>
      <c r="AX241" s="21">
        <f t="shared" si="543"/>
        <v>2795</v>
      </c>
      <c r="AY241" s="482">
        <f t="shared" si="543"/>
        <v>2795</v>
      </c>
      <c r="AZ241" s="21">
        <f t="shared" si="543"/>
        <v>2930</v>
      </c>
      <c r="BA241" s="21">
        <f t="shared" si="543"/>
        <v>2428</v>
      </c>
      <c r="BB241" s="21">
        <f t="shared" si="543"/>
        <v>2468</v>
      </c>
      <c r="BC241" s="21">
        <f>SUM(BC238:BC240)</f>
        <v>2584</v>
      </c>
      <c r="BD241" s="482">
        <f t="shared" si="543"/>
        <v>2584</v>
      </c>
      <c r="BE241" s="21">
        <f t="shared" si="543"/>
        <v>2562</v>
      </c>
      <c r="BF241" s="21">
        <f t="shared" si="543"/>
        <v>2896</v>
      </c>
      <c r="BG241" s="21">
        <f t="shared" si="543"/>
        <v>2850</v>
      </c>
      <c r="BH241" s="21">
        <f t="shared" si="543"/>
        <v>2721</v>
      </c>
      <c r="BI241" s="482">
        <f t="shared" si="543"/>
        <v>2721</v>
      </c>
      <c r="BJ241" s="21">
        <f t="shared" si="543"/>
        <v>3021</v>
      </c>
      <c r="BK241" s="21">
        <f t="shared" si="543"/>
        <v>2674</v>
      </c>
      <c r="BL241" s="21">
        <f t="shared" si="543"/>
        <v>2561</v>
      </c>
      <c r="BM241" s="21">
        <f t="shared" si="543"/>
        <v>2372</v>
      </c>
      <c r="BN241" s="482">
        <f t="shared" si="543"/>
        <v>2372</v>
      </c>
      <c r="BO241" s="21">
        <f t="shared" si="543"/>
        <v>2456</v>
      </c>
      <c r="BP241" s="21">
        <f t="shared" si="543"/>
        <v>2512</v>
      </c>
      <c r="BQ241" s="21">
        <f t="shared" si="543"/>
        <v>2564</v>
      </c>
      <c r="BR241" s="21">
        <f t="shared" si="543"/>
        <v>2313</v>
      </c>
      <c r="BS241" s="482">
        <f t="shared" si="543"/>
        <v>2313</v>
      </c>
      <c r="BT241" s="21">
        <f t="shared" si="543"/>
        <v>2224</v>
      </c>
      <c r="BU241" s="21">
        <f t="shared" si="543"/>
        <v>2672</v>
      </c>
      <c r="BV241" s="21">
        <f t="shared" si="543"/>
        <v>2166</v>
      </c>
      <c r="BW241" s="21">
        <f t="shared" si="543"/>
        <v>2191</v>
      </c>
      <c r="BX241" s="482">
        <f t="shared" si="543"/>
        <v>2191</v>
      </c>
      <c r="BY241" s="21">
        <f t="shared" si="543"/>
        <v>2227</v>
      </c>
      <c r="BZ241" s="21">
        <f t="shared" si="543"/>
        <v>2296</v>
      </c>
      <c r="CA241" s="21">
        <f t="shared" ref="CA241:CW241" si="544">SUM(CA238:CA240)</f>
        <v>2228</v>
      </c>
      <c r="CB241" s="21">
        <f t="shared" si="544"/>
        <v>2320</v>
      </c>
      <c r="CC241" s="482">
        <f t="shared" si="544"/>
        <v>2320</v>
      </c>
      <c r="CD241" s="21">
        <f t="shared" si="544"/>
        <v>2407</v>
      </c>
      <c r="CE241" s="21">
        <f t="shared" si="544"/>
        <v>2549</v>
      </c>
      <c r="CF241" s="21">
        <f t="shared" si="544"/>
        <v>2440</v>
      </c>
      <c r="CG241" s="21">
        <f t="shared" si="544"/>
        <v>2195</v>
      </c>
      <c r="CH241" s="482">
        <f t="shared" si="544"/>
        <v>2195</v>
      </c>
      <c r="CI241" s="21">
        <f t="shared" si="544"/>
        <v>2200</v>
      </c>
      <c r="CJ241" s="21">
        <f t="shared" si="544"/>
        <v>2283</v>
      </c>
      <c r="CK241" s="21">
        <f t="shared" ca="1" si="544"/>
        <v>2368.5615850109634</v>
      </c>
      <c r="CL241" s="21">
        <f t="shared" ca="1" si="544"/>
        <v>2364.9999905989634</v>
      </c>
      <c r="CM241" s="482">
        <f t="shared" ca="1" si="544"/>
        <v>2364.9999905989634</v>
      </c>
      <c r="CN241" s="21">
        <f t="shared" ca="1" si="544"/>
        <v>2296.7825505737073</v>
      </c>
      <c r="CO241" s="21">
        <f t="shared" ca="1" si="544"/>
        <v>2588.2101948632617</v>
      </c>
      <c r="CP241" s="21">
        <f t="shared" ca="1" si="544"/>
        <v>2620.325599537171</v>
      </c>
      <c r="CQ241" s="21">
        <f t="shared" ca="1" si="544"/>
        <v>2542.2767237840771</v>
      </c>
      <c r="CR241" s="482">
        <f t="shared" ca="1" si="544"/>
        <v>2542.2767237840771</v>
      </c>
      <c r="CS241" s="21">
        <f t="shared" ca="1" si="544"/>
        <v>2463.7054305650026</v>
      </c>
      <c r="CT241" s="21">
        <f t="shared" ca="1" si="544"/>
        <v>2762.9491824832485</v>
      </c>
      <c r="CU241" s="21">
        <f t="shared" ca="1" si="544"/>
        <v>2797.8058925745481</v>
      </c>
      <c r="CV241" s="21">
        <f t="shared" ca="1" si="544"/>
        <v>2720.5126009480882</v>
      </c>
      <c r="CW241" s="482">
        <f t="shared" ca="1" si="544"/>
        <v>2720.5126009480882</v>
      </c>
      <c r="CX241" s="21">
        <f t="shared" ref="CX241:DG241" ca="1" si="545">SUM(CX238:CX240)</f>
        <v>2652.8353612095607</v>
      </c>
      <c r="CY241" s="21">
        <f t="shared" ca="1" si="545"/>
        <v>2960.1181826956408</v>
      </c>
      <c r="CZ241" s="21">
        <f t="shared" ca="1" si="545"/>
        <v>3004.291517923115</v>
      </c>
      <c r="DA241" s="21">
        <f t="shared" ca="1" si="545"/>
        <v>2935.267727023519</v>
      </c>
      <c r="DB241" s="482">
        <f t="shared" ca="1" si="545"/>
        <v>2935.267727023519</v>
      </c>
      <c r="DC241" s="21">
        <f t="shared" ca="1" si="545"/>
        <v>2864.4656844865649</v>
      </c>
      <c r="DD241" s="21">
        <f t="shared" ca="1" si="545"/>
        <v>3181.6056569881011</v>
      </c>
      <c r="DE241" s="21">
        <f t="shared" ca="1" si="545"/>
        <v>3236.977202079197</v>
      </c>
      <c r="DF241" s="21">
        <f t="shared" ca="1" si="545"/>
        <v>3178.1439061335168</v>
      </c>
      <c r="DG241" s="482">
        <f t="shared" ca="1" si="545"/>
        <v>3178.1439061335168</v>
      </c>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c r="HB241"/>
      <c r="HC241"/>
      <c r="HD241"/>
      <c r="HE241"/>
      <c r="HF241"/>
      <c r="HG241"/>
      <c r="HH241"/>
      <c r="HI241"/>
      <c r="HJ241"/>
      <c r="HK241"/>
      <c r="HL241"/>
      <c r="HM241"/>
      <c r="HN241"/>
      <c r="HO241"/>
      <c r="HP241"/>
      <c r="HQ241"/>
      <c r="HR241"/>
    </row>
    <row r="242" spans="1:226" s="45" customFormat="1" x14ac:dyDescent="0.2">
      <c r="A242" s="79" t="s">
        <v>66</v>
      </c>
      <c r="B242" s="370"/>
      <c r="C242" s="370"/>
      <c r="D242" s="370"/>
      <c r="E242" s="370"/>
      <c r="F242" s="484"/>
      <c r="G242" s="370">
        <f>G241-G237</f>
        <v>785</v>
      </c>
      <c r="H242" s="370">
        <f t="shared" ref="H242:AT242" si="546">H241-H237</f>
        <v>699</v>
      </c>
      <c r="I242" s="370">
        <f t="shared" si="546"/>
        <v>735</v>
      </c>
      <c r="J242" s="370">
        <f t="shared" si="546"/>
        <v>833</v>
      </c>
      <c r="K242" s="484">
        <f t="shared" si="546"/>
        <v>833</v>
      </c>
      <c r="L242" s="370">
        <f t="shared" si="546"/>
        <v>869</v>
      </c>
      <c r="M242" s="370">
        <f t="shared" si="546"/>
        <v>910</v>
      </c>
      <c r="N242" s="370">
        <f t="shared" si="546"/>
        <v>936</v>
      </c>
      <c r="O242" s="370">
        <f t="shared" si="546"/>
        <v>897</v>
      </c>
      <c r="P242" s="484">
        <f t="shared" si="546"/>
        <v>897</v>
      </c>
      <c r="Q242" s="370">
        <f t="shared" si="546"/>
        <v>961</v>
      </c>
      <c r="R242" s="370">
        <f t="shared" si="546"/>
        <v>941</v>
      </c>
      <c r="S242" s="370">
        <f t="shared" si="546"/>
        <v>770</v>
      </c>
      <c r="T242" s="370">
        <f t="shared" si="546"/>
        <v>534</v>
      </c>
      <c r="U242" s="484">
        <f t="shared" si="546"/>
        <v>534</v>
      </c>
      <c r="V242" s="370">
        <f t="shared" si="546"/>
        <v>392</v>
      </c>
      <c r="W242" s="370">
        <f t="shared" si="546"/>
        <v>2371</v>
      </c>
      <c r="X242" s="370">
        <f t="shared" si="546"/>
        <v>2240</v>
      </c>
      <c r="Y242" s="370">
        <f t="shared" si="546"/>
        <v>2190</v>
      </c>
      <c r="Z242" s="484">
        <f t="shared" si="546"/>
        <v>2190</v>
      </c>
      <c r="AA242" s="370">
        <f t="shared" si="546"/>
        <v>2406</v>
      </c>
      <c r="AB242" s="370">
        <f t="shared" si="546"/>
        <v>2370</v>
      </c>
      <c r="AC242" s="370">
        <f t="shared" si="546"/>
        <v>2297</v>
      </c>
      <c r="AD242" s="370">
        <f t="shared" si="546"/>
        <v>2082</v>
      </c>
      <c r="AE242" s="484">
        <f t="shared" si="546"/>
        <v>2082</v>
      </c>
      <c r="AF242" s="370">
        <f t="shared" si="546"/>
        <v>2011</v>
      </c>
      <c r="AG242" s="370">
        <f t="shared" si="546"/>
        <v>2062</v>
      </c>
      <c r="AH242" s="370">
        <f t="shared" si="546"/>
        <v>1999</v>
      </c>
      <c r="AI242" s="370">
        <f t="shared" si="546"/>
        <v>1854</v>
      </c>
      <c r="AJ242" s="484">
        <f t="shared" si="546"/>
        <v>1854</v>
      </c>
      <c r="AK242" s="370">
        <f t="shared" si="546"/>
        <v>2640</v>
      </c>
      <c r="AL242" s="370">
        <f t="shared" si="546"/>
        <v>3483</v>
      </c>
      <c r="AM242" s="370">
        <f t="shared" si="546"/>
        <v>3398</v>
      </c>
      <c r="AN242" s="370">
        <f t="shared" si="546"/>
        <v>3261</v>
      </c>
      <c r="AO242" s="484">
        <f t="shared" si="546"/>
        <v>3261</v>
      </c>
      <c r="AP242" s="370">
        <f t="shared" si="546"/>
        <v>3263</v>
      </c>
      <c r="AQ242" s="370">
        <f t="shared" si="546"/>
        <v>3259</v>
      </c>
      <c r="AR242" s="370">
        <f t="shared" si="546"/>
        <v>3144</v>
      </c>
      <c r="AS242" s="370">
        <f t="shared" si="546"/>
        <v>2943</v>
      </c>
      <c r="AT242" s="484">
        <f t="shared" si="546"/>
        <v>2943</v>
      </c>
      <c r="AU242" s="370">
        <f t="shared" ref="AU242:BZ242" si="547">AU241-AU237</f>
        <v>2932</v>
      </c>
      <c r="AV242" s="370">
        <f t="shared" si="547"/>
        <v>2881</v>
      </c>
      <c r="AW242" s="370">
        <f t="shared" si="547"/>
        <v>2777</v>
      </c>
      <c r="AX242" s="370">
        <f t="shared" si="547"/>
        <v>2708</v>
      </c>
      <c r="AY242" s="484">
        <f t="shared" si="547"/>
        <v>2708</v>
      </c>
      <c r="AZ242" s="370">
        <f t="shared" si="547"/>
        <v>2644</v>
      </c>
      <c r="BA242" s="370">
        <f t="shared" si="547"/>
        <v>2049</v>
      </c>
      <c r="BB242" s="370">
        <f t="shared" si="547"/>
        <v>2315</v>
      </c>
      <c r="BC242" s="370">
        <f t="shared" si="547"/>
        <v>2325</v>
      </c>
      <c r="BD242" s="484">
        <f t="shared" si="547"/>
        <v>2325</v>
      </c>
      <c r="BE242" s="370">
        <f t="shared" si="547"/>
        <v>2292</v>
      </c>
      <c r="BF242" s="370">
        <f t="shared" si="547"/>
        <v>2599</v>
      </c>
      <c r="BG242" s="370">
        <f t="shared" si="547"/>
        <v>2547</v>
      </c>
      <c r="BH242" s="370">
        <f t="shared" si="547"/>
        <v>2454</v>
      </c>
      <c r="BI242" s="484">
        <f t="shared" si="547"/>
        <v>2454</v>
      </c>
      <c r="BJ242" s="370">
        <f t="shared" si="547"/>
        <v>2354</v>
      </c>
      <c r="BK242" s="370">
        <f t="shared" si="547"/>
        <v>2229</v>
      </c>
      <c r="BL242" s="370">
        <f t="shared" si="547"/>
        <v>2138</v>
      </c>
      <c r="BM242" s="370">
        <f t="shared" si="547"/>
        <v>2073</v>
      </c>
      <c r="BN242" s="484">
        <f t="shared" si="547"/>
        <v>2073</v>
      </c>
      <c r="BO242" s="370">
        <f t="shared" si="547"/>
        <v>2133</v>
      </c>
      <c r="BP242" s="370">
        <f t="shared" si="547"/>
        <v>2171</v>
      </c>
      <c r="BQ242" s="370">
        <f t="shared" si="547"/>
        <v>2200</v>
      </c>
      <c r="BR242" s="370">
        <f t="shared" si="547"/>
        <v>1984</v>
      </c>
      <c r="BS242" s="484">
        <f t="shared" si="547"/>
        <v>1984</v>
      </c>
      <c r="BT242" s="370">
        <f t="shared" si="547"/>
        <v>1869</v>
      </c>
      <c r="BU242" s="370">
        <f t="shared" si="547"/>
        <v>1853</v>
      </c>
      <c r="BV242" s="370">
        <f t="shared" si="547"/>
        <v>1788</v>
      </c>
      <c r="BW242" s="370">
        <f t="shared" si="547"/>
        <v>1809</v>
      </c>
      <c r="BX242" s="484">
        <f t="shared" si="547"/>
        <v>1809</v>
      </c>
      <c r="BY242" s="370">
        <f t="shared" si="547"/>
        <v>1844</v>
      </c>
      <c r="BZ242" s="370">
        <f t="shared" si="547"/>
        <v>1906</v>
      </c>
      <c r="CA242" s="370">
        <f t="shared" ref="CA242:CW242" si="548">CA241-CA237</f>
        <v>1814</v>
      </c>
      <c r="CB242" s="370">
        <f t="shared" si="548"/>
        <v>1919</v>
      </c>
      <c r="CC242" s="484">
        <f t="shared" si="548"/>
        <v>1919</v>
      </c>
      <c r="CD242" s="370">
        <f t="shared" ca="1" si="548"/>
        <v>1999</v>
      </c>
      <c r="CE242" s="370">
        <f t="shared" ca="1" si="548"/>
        <v>2135</v>
      </c>
      <c r="CF242" s="370">
        <f t="shared" ca="1" si="548"/>
        <v>2009</v>
      </c>
      <c r="CG242" s="370">
        <f t="shared" ca="1" si="548"/>
        <v>1777</v>
      </c>
      <c r="CH242" s="484">
        <f t="shared" si="548"/>
        <v>1777</v>
      </c>
      <c r="CI242" s="370">
        <f t="shared" si="548"/>
        <v>1732</v>
      </c>
      <c r="CJ242" s="370">
        <f t="shared" si="548"/>
        <v>1794</v>
      </c>
      <c r="CK242" s="370">
        <f t="shared" ca="1" si="548"/>
        <v>1879.5615850109634</v>
      </c>
      <c r="CL242" s="370">
        <f t="shared" ca="1" si="548"/>
        <v>1875.9999905989634</v>
      </c>
      <c r="CM242" s="484">
        <f t="shared" ca="1" si="548"/>
        <v>1875.9999905989634</v>
      </c>
      <c r="CN242" s="370">
        <f t="shared" ca="1" si="548"/>
        <v>1807.7825505737073</v>
      </c>
      <c r="CO242" s="370">
        <f t="shared" ca="1" si="548"/>
        <v>2099.2101948632617</v>
      </c>
      <c r="CP242" s="370">
        <f t="shared" ca="1" si="548"/>
        <v>2131.325599537171</v>
      </c>
      <c r="CQ242" s="370">
        <f t="shared" ca="1" si="548"/>
        <v>2053.2767237840771</v>
      </c>
      <c r="CR242" s="484">
        <f t="shared" ca="1" si="548"/>
        <v>2053.2767237840771</v>
      </c>
      <c r="CS242" s="370">
        <f t="shared" ca="1" si="548"/>
        <v>1974.7054305650026</v>
      </c>
      <c r="CT242" s="370">
        <f t="shared" ca="1" si="548"/>
        <v>2273.9491824832485</v>
      </c>
      <c r="CU242" s="370">
        <f t="shared" ca="1" si="548"/>
        <v>2308.8058925745481</v>
      </c>
      <c r="CV242" s="370">
        <f t="shared" ca="1" si="548"/>
        <v>2231.5126009480882</v>
      </c>
      <c r="CW242" s="484">
        <f t="shared" ca="1" si="548"/>
        <v>2231.5126009480882</v>
      </c>
      <c r="CX242" s="370">
        <f t="shared" ref="CX242:DG242" ca="1" si="549">CX241-CX237</f>
        <v>2163.8353612095607</v>
      </c>
      <c r="CY242" s="370">
        <f t="shared" ca="1" si="549"/>
        <v>2471.1181826956408</v>
      </c>
      <c r="CZ242" s="370">
        <f t="shared" ca="1" si="549"/>
        <v>2515.291517923115</v>
      </c>
      <c r="DA242" s="370">
        <f t="shared" ca="1" si="549"/>
        <v>2446.267727023519</v>
      </c>
      <c r="DB242" s="484">
        <f t="shared" ca="1" si="549"/>
        <v>2446.267727023519</v>
      </c>
      <c r="DC242" s="370">
        <f t="shared" ca="1" si="549"/>
        <v>2375.4656844865649</v>
      </c>
      <c r="DD242" s="370">
        <f t="shared" ca="1" si="549"/>
        <v>2692.6056569881011</v>
      </c>
      <c r="DE242" s="370">
        <f t="shared" ca="1" si="549"/>
        <v>2747.977202079197</v>
      </c>
      <c r="DF242" s="370">
        <f t="shared" ca="1" si="549"/>
        <v>2689.1439061335168</v>
      </c>
      <c r="DG242" s="484">
        <f t="shared" ca="1" si="549"/>
        <v>2689.1439061335168</v>
      </c>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c r="GS242"/>
      <c r="GT242"/>
      <c r="GU242"/>
      <c r="GV242"/>
      <c r="GW242"/>
      <c r="GX242"/>
      <c r="GY242"/>
      <c r="GZ242"/>
      <c r="HA242"/>
      <c r="HB242"/>
      <c r="HC242"/>
      <c r="HD242"/>
      <c r="HE242"/>
      <c r="HF242"/>
      <c r="HG242"/>
      <c r="HH242"/>
      <c r="HI242"/>
      <c r="HJ242"/>
      <c r="HK242"/>
      <c r="HL242"/>
      <c r="HM242"/>
      <c r="HN242"/>
      <c r="HO242"/>
      <c r="HP242"/>
      <c r="HQ242"/>
      <c r="HR242"/>
    </row>
    <row r="243" spans="1:226" s="19" customFormat="1" x14ac:dyDescent="0.2">
      <c r="A243" s="80" t="s">
        <v>285</v>
      </c>
      <c r="B243" s="320"/>
      <c r="C243" s="320"/>
      <c r="D243" s="320"/>
      <c r="E243" s="320"/>
      <c r="F243" s="485"/>
      <c r="G243" s="320" t="s">
        <v>198</v>
      </c>
      <c r="H243" s="320" t="s">
        <v>198</v>
      </c>
      <c r="I243" s="320" t="s">
        <v>198</v>
      </c>
      <c r="J243" s="320" t="s">
        <v>198</v>
      </c>
      <c r="K243" s="485">
        <f>K235/K62</f>
        <v>0.87776606954689151</v>
      </c>
      <c r="L243" s="320">
        <f>L235/SUM(L62,J62,I62,H62)</f>
        <v>0.84697855750487328</v>
      </c>
      <c r="M243" s="320">
        <f>M235/SUM(M62,L62,J62,I62)</f>
        <v>0.86255924170616116</v>
      </c>
      <c r="N243" s="320">
        <f>N235/SUM(N62,M62,L62,J62)</f>
        <v>0.88468809073724008</v>
      </c>
      <c r="O243" s="320">
        <f>O235/P62</f>
        <v>0.85837320574162679</v>
      </c>
      <c r="P243" s="485">
        <f>O243</f>
        <v>0.85837320574162679</v>
      </c>
      <c r="Q243" s="320">
        <f>Q235/SUM(Q62,O62,N62,M62)</f>
        <v>0.98564102564102563</v>
      </c>
      <c r="R243" s="320">
        <f>R235/SUM(R62,Q62,O62,N62)</f>
        <v>0.98020833333333335</v>
      </c>
      <c r="S243" s="320">
        <f>S235/SUM(S62,R62,Q62,O62)</f>
        <v>0.80628272251308897</v>
      </c>
      <c r="T243" s="320">
        <f>T235/U62</f>
        <v>0.55165289256198347</v>
      </c>
      <c r="U243" s="485">
        <f>T243</f>
        <v>0.55165289256198347</v>
      </c>
      <c r="V243" s="320">
        <f>V235/SUM(V62,T62,S62,R62)</f>
        <v>0.41176470588235292</v>
      </c>
      <c r="W243" s="320">
        <f>W235/SUM(W62,V62,T62,S62)</f>
        <v>2.4342915811088295</v>
      </c>
      <c r="X243" s="320">
        <f>X235/SUM(X62,W62,V62,T62)</f>
        <v>2.2857142857142856</v>
      </c>
      <c r="Y243" s="320">
        <f>Y235/Z62</f>
        <v>2.2461538461538462</v>
      </c>
      <c r="Z243" s="485">
        <f>Y243</f>
        <v>2.2461538461538462</v>
      </c>
      <c r="AA243" s="320">
        <f>AA235/SUM(AA62,Y62,X62,W62)</f>
        <v>2.4156626506024095</v>
      </c>
      <c r="AB243" s="320">
        <f>AB235/SUM(AB62,AA62,Y62,X62)</f>
        <v>2.4790794979079496</v>
      </c>
      <c r="AC243" s="320">
        <f>AC235/SUM(AC62,AB62,AA62,Y62)</f>
        <v>2.3558974358974361</v>
      </c>
      <c r="AD243" s="320">
        <f>AD235/AE62</f>
        <v>2.0778443113772456</v>
      </c>
      <c r="AE243" s="485">
        <f>AD243</f>
        <v>2.0778443113772456</v>
      </c>
      <c r="AF243" s="320">
        <f>AF235/SUM(AF62,AD62,AC62,AB62)</f>
        <v>1.9832347140039448</v>
      </c>
      <c r="AG243" s="320">
        <f>AG235/SUM(AG62,AF62,AD62,AC62)</f>
        <v>1.9846005774783446</v>
      </c>
      <c r="AH243" s="320">
        <f>AH235/SUM(AH62,AG62,AF62,AD62)</f>
        <v>1.873477038425492</v>
      </c>
      <c r="AI243" s="320">
        <f>AI235/AJ62</f>
        <v>1.7424812030075187</v>
      </c>
      <c r="AJ243" s="485">
        <f>AI243</f>
        <v>1.7424812030075187</v>
      </c>
      <c r="AK243" s="320">
        <f>AK235/SUM(AK62,AI62,AH62,AG62)</f>
        <v>2.4109589041095889</v>
      </c>
      <c r="AL243" s="320">
        <f>AL235/SUM(AL62,AK62,AI62,AH62)</f>
        <v>3.1435018050541514</v>
      </c>
      <c r="AM243" s="320">
        <f>AM235/SUM(AM62,AL62,AK62,AI62)</f>
        <v>3.0806890299184042</v>
      </c>
      <c r="AN243" s="320">
        <f>AN235/AO62</f>
        <v>2.922043010752688</v>
      </c>
      <c r="AO243" s="485">
        <f>AN243</f>
        <v>2.922043010752688</v>
      </c>
      <c r="AP243" s="320">
        <f>AP235/SUM(AP62,AN62,AM62,AL62)</f>
        <v>2.9186046511627906</v>
      </c>
      <c r="AQ243" s="320">
        <f>AQ235/SUM(AQ62,AP62,AN62,AM62)</f>
        <v>2.9124218051831994</v>
      </c>
      <c r="AR243" s="320">
        <f>AR235/SUM(AR62,AQ62,AP62,AN62)</f>
        <v>2.6509274873524453</v>
      </c>
      <c r="AS243" s="320">
        <f>AS235/AT62</f>
        <v>2.3985330073349633</v>
      </c>
      <c r="AT243" s="485">
        <f>AS243</f>
        <v>2.3985330073349633</v>
      </c>
      <c r="AU243" s="320">
        <f>AU235/SUM(AU62,AS62,AR62,AQ62)</f>
        <v>2.3306836248012717</v>
      </c>
      <c r="AV243" s="320">
        <f>AV235/SUM(AV62,AU62,AS62,AR62)</f>
        <v>2.263157894736842</v>
      </c>
      <c r="AW243" s="320">
        <f>AW235/SUM(AW62,AV62,AU62,AS62)</f>
        <v>2.2706459525756335</v>
      </c>
      <c r="AX243" s="320">
        <f>AX235/AY62</f>
        <v>2.3125533731853118</v>
      </c>
      <c r="AY243" s="485">
        <f>AX243</f>
        <v>2.3125533731853118</v>
      </c>
      <c r="AZ243" s="320">
        <f>AZ235/SUM(AZ62,AX62,AW62,AV62)</f>
        <v>2.3238848604702262</v>
      </c>
      <c r="BA243" s="320">
        <f>BA235/SUM(BA62,AZ62,AX62,AW62)</f>
        <v>1.8484438430311232</v>
      </c>
      <c r="BB243" s="320">
        <f>BB235/SUM(BB62,BA62,AY62,AX62)</f>
        <v>1.1612741409581138</v>
      </c>
      <c r="BC243" s="320">
        <f>BC235/BD62</f>
        <v>2.0964833183047791</v>
      </c>
      <c r="BD243" s="485">
        <f>BC243</f>
        <v>2.0964833183047791</v>
      </c>
      <c r="BE243" s="320">
        <f>BE235/SUM(BE62,BC62,BB62,BA62)</f>
        <v>2.11098319134239</v>
      </c>
      <c r="BF243" s="320">
        <f>BF235/SUM(BF62,BE62,BC62,BB62)</f>
        <v>2.3702690378476974</v>
      </c>
      <c r="BG243" s="320">
        <f>BG235/SUM(BG62,BF62,BE62,BC62)</f>
        <v>2.3447640966628307</v>
      </c>
      <c r="BH243" s="320">
        <f>BH235/BI62</f>
        <v>2.2380300957592341</v>
      </c>
      <c r="BI243" s="485">
        <f>BH243</f>
        <v>2.2380300957592341</v>
      </c>
      <c r="BJ243" s="320">
        <f>BJ235/SUM(BJ62,BH62,BG62,BF62)</f>
        <v>2.1178587494376968</v>
      </c>
      <c r="BK243" s="320">
        <f>BK235/SUM(BK62,BJ62,BH62,BG62)</f>
        <v>1.9424836601307189</v>
      </c>
      <c r="BL243" s="320">
        <f>BL235/SUM(BL62,BK62,BJ62,BH62)</f>
        <v>1.851883932438285</v>
      </c>
      <c r="BM243" s="320">
        <f>BM235/BN62</f>
        <v>1.7763496143958868</v>
      </c>
      <c r="BN243" s="485">
        <f>BM243</f>
        <v>1.7763496143958868</v>
      </c>
      <c r="BO243" s="320">
        <f>BO235/SUM(BO62,BM62,BL62,BK62)</f>
        <v>1.8130046748831279</v>
      </c>
      <c r="BP243" s="320">
        <f>BP235/SUM(BP62,BO62,BM62,BL62)</f>
        <v>1.860325621251071</v>
      </c>
      <c r="BQ243" s="320">
        <f>BQ235/SUM(BQ62,BP62,BO62,BM62)</f>
        <v>1.8667798048366568</v>
      </c>
      <c r="BR243" s="320">
        <f>BR235/BS62</f>
        <v>1.7147796024200519</v>
      </c>
      <c r="BS243" s="485">
        <f>BR243</f>
        <v>1.7147796024200519</v>
      </c>
      <c r="BT243" s="320">
        <f>BT235/SUM(BT62,BR62,BQ62,BP62)</f>
        <v>1.6056701030927836</v>
      </c>
      <c r="BU243" s="320">
        <f>BU235/SUM(BU62,BT62,BR62,BQ62)</f>
        <v>1.5756802721088434</v>
      </c>
      <c r="BV243" s="320">
        <f>BV235/SUM(BV62,BU62,BT62,BR62)</f>
        <v>1.5347639484978541</v>
      </c>
      <c r="BW243" s="320">
        <f>BW235/BX62</f>
        <v>1.5369583687340698</v>
      </c>
      <c r="BX243" s="485">
        <f>BW243</f>
        <v>1.5369583687340698</v>
      </c>
      <c r="BY243" s="320">
        <f>BY235/SUM(BY62,BW62,BV62,BU62)</f>
        <v>1.5189456342668863</v>
      </c>
      <c r="BZ243" s="320">
        <f>BZ235/SUM(BZ62,BY62,BW62,BV62)</f>
        <v>1.5358581788879935</v>
      </c>
      <c r="CA243" s="320">
        <f>CA235/SUM(CA62,BZ62,BY62,BW62)</f>
        <v>1.4396825396825397</v>
      </c>
      <c r="CB243" s="320">
        <f>CB235/CC62</f>
        <v>1.5614320585842147</v>
      </c>
      <c r="CC243" s="485">
        <f>CB243</f>
        <v>1.5614320585842147</v>
      </c>
      <c r="CD243" s="320">
        <f ca="1">CD235/SUM(CD62,CB62,CA62,BZ62)</f>
        <v>1.6331699346405228</v>
      </c>
      <c r="CE243" s="320">
        <f ca="1">CE235/SUM(CE62,CD62,CB62,CA62)</f>
        <v>1.7121090617481958</v>
      </c>
      <c r="CF243" s="320">
        <f ca="1">CF235/SUM(CF62,CE62,CD62,CB62)</f>
        <v>1.622778675282714</v>
      </c>
      <c r="CG243" s="320">
        <f ca="1">CG235/CH62</f>
        <v>1.3775193798449612</v>
      </c>
      <c r="CH243" s="485">
        <f ca="1">CG243</f>
        <v>1.3775193798449612</v>
      </c>
      <c r="CI243" s="320">
        <f>CI235/SUM(CI62,CG62,CF62,CE62)</f>
        <v>1.3211289092295957</v>
      </c>
      <c r="CJ243" s="320">
        <f>CJ235/SUM(CJ62,CI62,CG62,CF62)</f>
        <v>1.4015625</v>
      </c>
      <c r="CK243" s="320">
        <f ca="1">CK235/SUM(CK62,CJ62,CI62,CG62)</f>
        <v>1.4562108126234623</v>
      </c>
      <c r="CL243" s="320">
        <f ca="1">CL235/CM62</f>
        <v>1.4511520618501932</v>
      </c>
      <c r="CM243" s="485">
        <f ca="1">CL243</f>
        <v>1.4511520618501932</v>
      </c>
      <c r="CN243" s="320">
        <f ca="1">CN235/SUM(CN62,CL62,CK62,CJ62)</f>
        <v>1.3869694547250369</v>
      </c>
      <c r="CO243" s="320">
        <f ca="1">CO235/SUM(CO62,CN62,CL62,CK62)</f>
        <v>1.5974551530763292</v>
      </c>
      <c r="CP243" s="320">
        <f ca="1">CP235/SUM(CP62,CO62,CN62,CL62)</f>
        <v>1.599354590619392</v>
      </c>
      <c r="CQ243" s="320">
        <f ca="1">CQ235/CR62</f>
        <v>1.5340822239052234</v>
      </c>
      <c r="CR243" s="485">
        <f ca="1">CQ243</f>
        <v>1.5340822239052234</v>
      </c>
      <c r="CS243" s="320">
        <f ca="1">CS235/SUM(CS62,CQ62,CP62,CO62)</f>
        <v>1.4557338255972869</v>
      </c>
      <c r="CT243" s="320">
        <f ca="1">CT235/SUM(CT62,CS62,CQ62,CP62)</f>
        <v>1.6561873047000917</v>
      </c>
      <c r="CU243" s="320">
        <f ca="1">CU235/SUM(CU62,CT62,CS62,CQ62)</f>
        <v>1.6607435044717536</v>
      </c>
      <c r="CV243" s="320">
        <f ca="1">CV235/CW62</f>
        <v>1.5831672402839447</v>
      </c>
      <c r="CW243" s="485">
        <f ca="1">CV243</f>
        <v>1.5831672402839447</v>
      </c>
      <c r="CX243" s="320">
        <f ca="1">CX235/SUM(CX62,CV62,CU62,CT62)</f>
        <v>1.5213661184479303</v>
      </c>
      <c r="CY243" s="320">
        <f ca="1">CY235/SUM(CY62,CX62,CV62,CU62)</f>
        <v>1.723703387526216</v>
      </c>
      <c r="CZ243" s="320">
        <f ca="1">CZ235/SUM(CZ62,CY62,CX62,CV62)</f>
        <v>1.7406388693289199</v>
      </c>
      <c r="DA243" s="320">
        <f ca="1">DA235/DB62</f>
        <v>1.6786973866042572</v>
      </c>
      <c r="DB243" s="485">
        <f ca="1">DA243</f>
        <v>1.6786973866042572</v>
      </c>
      <c r="DC243" s="320">
        <f ca="1">DC235/SUM(DC62,DA62,CZ62,CY62)</f>
        <v>1.6166719791985977</v>
      </c>
      <c r="DD243" s="320">
        <f ca="1">DD235/SUM(DD62,DC62,DA62,CZ62)</f>
        <v>1.8193155804549632</v>
      </c>
      <c r="DE243" s="320">
        <f ca="1">DE235/SUM(DE62,DD62,DC62,DA62)</f>
        <v>1.8433314509105008</v>
      </c>
      <c r="DF243" s="320">
        <f ca="1">DF235/DG62</f>
        <v>1.7900817496220012</v>
      </c>
      <c r="DG243" s="485">
        <f ca="1">DF243</f>
        <v>1.7900817496220012</v>
      </c>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c r="HB243"/>
      <c r="HC243"/>
      <c r="HD243"/>
      <c r="HE243"/>
      <c r="HF243"/>
      <c r="HG243"/>
      <c r="HH243"/>
      <c r="HI243"/>
      <c r="HJ243"/>
      <c r="HK243"/>
      <c r="HL243"/>
      <c r="HM243"/>
      <c r="HN243"/>
      <c r="HO243"/>
      <c r="HP243"/>
      <c r="HQ243"/>
      <c r="HR243"/>
    </row>
    <row r="244" spans="1:226" s="19" customFormat="1" x14ac:dyDescent="0.2">
      <c r="A244" s="80" t="s">
        <v>286</v>
      </c>
      <c r="B244" s="320"/>
      <c r="C244" s="320"/>
      <c r="D244" s="320"/>
      <c r="E244" s="320"/>
      <c r="F244" s="485"/>
      <c r="G244" s="320">
        <f>G235/SUM(H62,I62,J62,L62)</f>
        <v>0.76510721247563351</v>
      </c>
      <c r="H244" s="320">
        <f>H235/SUM(I62,J62,L62,M62)</f>
        <v>0.6625592417061611</v>
      </c>
      <c r="I244" s="320">
        <f>I242/SUM(J62,L62,M62,N62)</f>
        <v>0.69470699432892247</v>
      </c>
      <c r="J244" s="320">
        <f>J235/P62</f>
        <v>0.7971291866028708</v>
      </c>
      <c r="K244" s="485">
        <f>J244</f>
        <v>0.7971291866028708</v>
      </c>
      <c r="L244" s="320">
        <f>L235/SUM(M62,N62,O62,Q62)</f>
        <v>0.89128205128205129</v>
      </c>
      <c r="M244" s="320">
        <f>M235/SUM(N62,O62,Q62,R62)</f>
        <v>0.94791666666666663</v>
      </c>
      <c r="N244" s="320">
        <f>N242/SUM(O62,Q62,R62,S62)</f>
        <v>0.98010471204188476</v>
      </c>
      <c r="O244" s="320">
        <f>O235/U62</f>
        <v>0.92665289256198347</v>
      </c>
      <c r="P244" s="485">
        <f>O244</f>
        <v>0.92665289256198347</v>
      </c>
      <c r="Q244" s="320">
        <f>Q235/SUM(R62,S62,T62,V62)</f>
        <v>1.009453781512605</v>
      </c>
      <c r="R244" s="320">
        <f>R235/SUM(S62,T62,V62,W62)</f>
        <v>0.96611909650924022</v>
      </c>
      <c r="S244" s="320">
        <f>S242/SUM(T62,V62,W62,X62)</f>
        <v>0.7857142857142857</v>
      </c>
      <c r="T244" s="320">
        <f>T235/Z62</f>
        <v>0.5476923076923077</v>
      </c>
      <c r="U244" s="485">
        <f>T244</f>
        <v>0.5476923076923077</v>
      </c>
      <c r="V244" s="320">
        <f>V235/SUM(W62,X62,Y62,AA62)</f>
        <v>0.39357429718875503</v>
      </c>
      <c r="W244" s="320">
        <f>W235/SUM(X62,Y62,AA62,AB62)</f>
        <v>2.4801255230125525</v>
      </c>
      <c r="X244" s="320">
        <f>X242/SUM(Y62,AA62,AB62,AC62)</f>
        <v>2.2974358974358973</v>
      </c>
      <c r="Y244" s="320">
        <f>Y235/AE62</f>
        <v>2.1856287425149699</v>
      </c>
      <c r="Z244" s="485">
        <f>Y244</f>
        <v>2.1856287425149699</v>
      </c>
      <c r="AA244" s="320">
        <f>AA235/SUM(AB62,AC62,AD62,AF62)</f>
        <v>2.3727810650887573</v>
      </c>
      <c r="AB244" s="320">
        <f>AB235/SUM(AC62,AD62,AF62,AG62)</f>
        <v>2.2810394610202116</v>
      </c>
      <c r="AC244" s="320">
        <f>AC242/SUM(AD62,AF62,AG62,AH62)</f>
        <v>2.1527647610121838</v>
      </c>
      <c r="AD244" s="320">
        <f>AD235/AJ62</f>
        <v>1.9567669172932332</v>
      </c>
      <c r="AE244" s="485">
        <f>AD244</f>
        <v>1.9567669172932332</v>
      </c>
      <c r="AF244" s="320">
        <f>AF235/SUM(AG62,AH62,AI62,AK62)</f>
        <v>1.8365296803652968</v>
      </c>
      <c r="AG244" s="320">
        <f>AG235/SUM(AH62,AI62,AK62,AL62)</f>
        <v>1.8610108303249098</v>
      </c>
      <c r="AH244" s="320">
        <f>AH242/SUM(AI62,AK62,AL62,AM62)</f>
        <v>1.8123300090661831</v>
      </c>
      <c r="AI244" s="320">
        <f>AI235/AO62</f>
        <v>1.6612903225806452</v>
      </c>
      <c r="AJ244" s="485">
        <f>AI244</f>
        <v>1.6612903225806452</v>
      </c>
      <c r="AK244" s="320">
        <f>AK235/SUM(AL62,AM62,AN62,AP62)</f>
        <v>2.3613595706618962</v>
      </c>
      <c r="AL244" s="320">
        <f>AL235/SUM(AM62,AN62,AP62,AQ62)</f>
        <v>3.1126005361930296</v>
      </c>
      <c r="AM244" s="320">
        <f>AM242/SUM(AN62,AP62,AQ62,AR62)</f>
        <v>2.8650927487352447</v>
      </c>
      <c r="AN244" s="320">
        <f>AN235/AT62</f>
        <v>2.6577017114914425</v>
      </c>
      <c r="AO244" s="485">
        <f>AN244</f>
        <v>2.6577017114914425</v>
      </c>
      <c r="AP244" s="320">
        <f>AP235/SUM(AQ62,AR62,AS62,AU62)</f>
        <v>2.5937996820349762</v>
      </c>
      <c r="AQ244" s="320">
        <f>AQ235/SUM(AR62,AS62,AU62,AV62)</f>
        <v>2.5600942655145325</v>
      </c>
      <c r="AR244" s="320">
        <f>AR242/SUM(AS62,AU62,AV62,AW62)</f>
        <v>2.5707277187244482</v>
      </c>
      <c r="AS244" s="320">
        <f>AS235/AY62</f>
        <v>2.5132365499573015</v>
      </c>
      <c r="AT244" s="485">
        <f>AS244</f>
        <v>2.5132365499573015</v>
      </c>
      <c r="AU244" s="320">
        <f>AU235/SUM(AV62,AW62,AX62,AZ62)</f>
        <v>2.5770160404306748</v>
      </c>
      <c r="AV244" s="320">
        <f>AV235/SUM(AW62,AX62,AZ62,BA62)</f>
        <v>2.5990076680198468</v>
      </c>
      <c r="AW244" s="320">
        <f>AW242/SUM(AX62,AZ62,BA62,BB62)</f>
        <v>2.5148290695041884</v>
      </c>
      <c r="AX244" s="320">
        <f>AX235/BD62</f>
        <v>2.4418394950405773</v>
      </c>
      <c r="AY244" s="485">
        <f>AX244</f>
        <v>2.4418394950405773</v>
      </c>
      <c r="AZ244" s="320">
        <f>AZ235/SUM(BA62,BB62,BC62,BE62)</f>
        <v>2.4351830531890397</v>
      </c>
      <c r="BA244" s="320">
        <f>BA235/SUM(BB62,BC62,BE62,BF62)</f>
        <v>1.8686730506155951</v>
      </c>
      <c r="BB244" s="320">
        <f>BB235/SUM(BC62,BD62,BF62,BG62)</f>
        <v>1.1953014069962566</v>
      </c>
      <c r="BC244" s="320">
        <f>BC235/BI62</f>
        <v>2.1203830369357046</v>
      </c>
      <c r="BD244" s="485">
        <f>BC244</f>
        <v>2.1203830369357046</v>
      </c>
      <c r="BE244" s="320">
        <f>BE235/SUM(BF62,BG62,BH62,BJ62)</f>
        <v>2.0620782726045883</v>
      </c>
      <c r="BF244" s="320">
        <f>BF235/SUM(BG62,BH62,BJ62,BK62)</f>
        <v>2.2649237472766885</v>
      </c>
      <c r="BG244" s="320">
        <f>BG242/SUM(BH62,BJ62,BK62,BL62)</f>
        <v>2.206149848419229</v>
      </c>
      <c r="BH244" s="320">
        <f>BH235/BN62</f>
        <v>2.1028277634961441</v>
      </c>
      <c r="BI244" s="485">
        <f>BH244</f>
        <v>2.1028277634961441</v>
      </c>
      <c r="BJ244" s="320">
        <f>BJ235/SUM(BK62,BL62,BM62,BO62)</f>
        <v>2.0008499787505314</v>
      </c>
      <c r="BK244" s="320">
        <f>BK235/SUM(BL62,BM62,BO62,BP62)</f>
        <v>1.9100257069408741</v>
      </c>
      <c r="BL244" s="320">
        <f>BL242/SUM(BM62,BO62,BP62,BQ62)</f>
        <v>1.8141705557912602</v>
      </c>
      <c r="BM244" s="320">
        <f>BM235/BS62</f>
        <v>1.7917026793431288</v>
      </c>
      <c r="BN244" s="485">
        <f>BM244</f>
        <v>1.7917026793431288</v>
      </c>
      <c r="BO244" s="320">
        <f>BO235/SUM(BP62,BQ62,BR62,BT62)</f>
        <v>1.8324742268041236</v>
      </c>
      <c r="BP244" s="320">
        <f>BP235/SUM(BQ62,BR62,BT62,BU62)</f>
        <v>1.8460884353741496</v>
      </c>
      <c r="BQ244" s="320">
        <f>BQ242/SUM(BR62,BT62,BU62,BV62)</f>
        <v>1.8884120171673819</v>
      </c>
      <c r="BR244" s="320">
        <f>BR235/BX62</f>
        <v>1.685641461342396</v>
      </c>
      <c r="BS244" s="485">
        <f>BR244</f>
        <v>1.685641461342396</v>
      </c>
      <c r="BT244" s="320">
        <f>BT235/SUM(BU62,BV62,BW62,BY62)</f>
        <v>1.5395387149917628</v>
      </c>
      <c r="BU244" s="320">
        <f>BU235/SUM(BV62,BW62,BY62,BZ62)</f>
        <v>1.4931506849315068</v>
      </c>
      <c r="BV244" s="320">
        <f>BV242/SUM(BW62,BY62,BZ62,CA62)</f>
        <v>1.4190476190476191</v>
      </c>
      <c r="BW244" s="320">
        <f>BW235/CC62</f>
        <v>1.4719283970707893</v>
      </c>
      <c r="BX244" s="485">
        <f>BW244</f>
        <v>1.4719283970707893</v>
      </c>
      <c r="BY244" s="320">
        <f>BY235/SUM(BZ62,CA62,CB62,CD62)</f>
        <v>1.5065359477124183</v>
      </c>
      <c r="BZ244" s="320">
        <f>BZ235/SUM(CA62,CB62,CD62,CE62)</f>
        <v>1.5284683239775461</v>
      </c>
      <c r="CA244" s="320">
        <f>CA242/SUM(CB62,CD62,CE62,CF62)</f>
        <v>1.4652665589660743</v>
      </c>
      <c r="CB244" s="320">
        <f>CB235/CH62</f>
        <v>1.4875968992248061</v>
      </c>
      <c r="CC244" s="485">
        <f>CB244</f>
        <v>1.4875968992248061</v>
      </c>
      <c r="CD244" s="320">
        <f ca="1">CD235/SUM(CE62,CF62,CG62,CI62)</f>
        <v>1.5247902364607171</v>
      </c>
      <c r="CE244" s="320">
        <f ca="1">CE235/SUM(CF62,CG62,CI62,CJ62)</f>
        <v>1.66796875</v>
      </c>
      <c r="CF244" s="320">
        <f ca="1">CF242/SUM(CG62,CI62,CJ62,CK62)</f>
        <v>1.5564946346482555</v>
      </c>
      <c r="CG244" s="320">
        <f ca="1">CG235/CM62</f>
        <v>1.3745720825320873</v>
      </c>
      <c r="CH244" s="485">
        <f ca="1">CG244</f>
        <v>1.3745720825320873</v>
      </c>
      <c r="CI244" s="320">
        <f ca="1">CI235/SUM(CJ62,CK62,CL62,CN62)</f>
        <v>1.3288274603720485</v>
      </c>
      <c r="CJ244" s="320">
        <f ca="1">CJ235/SUM(CK62,CL62,CN62,CO62)</f>
        <v>1.3651965637512584</v>
      </c>
      <c r="CK244" s="320">
        <f ca="1">CK242/SUM(CL62,CN62,CO62,CP62)</f>
        <v>1.4104299455662399</v>
      </c>
      <c r="CL244" s="320">
        <f ca="1">CL235/CR62</f>
        <v>1.4016319399561266</v>
      </c>
      <c r="CM244" s="485">
        <f ca="1">CL244</f>
        <v>1.4016319399561266</v>
      </c>
      <c r="CN244" s="320">
        <f ca="1">CN235/SUM(CO62,CP62,CQ62,CS62)</f>
        <v>1.3326798860535445</v>
      </c>
      <c r="CO244" s="320">
        <f ca="1">CO235/SUM(CP62,CQ62,CS62,CT62)</f>
        <v>1.5289195121031034</v>
      </c>
      <c r="CP244" s="320">
        <f ca="1">CP242/SUM(CQ62,CS62,CT62,CU62)</f>
        <v>1.5330804363976798</v>
      </c>
      <c r="CQ244" s="320">
        <f ca="1">CQ235/CW62</f>
        <v>1.4567161498220542</v>
      </c>
      <c r="CR244" s="485">
        <f ca="1">CQ244</f>
        <v>1.4567161498220542</v>
      </c>
      <c r="CS244" s="320" t="s">
        <v>198</v>
      </c>
      <c r="CT244" s="320" t="s">
        <v>198</v>
      </c>
      <c r="CU244" s="320" t="s">
        <v>198</v>
      </c>
      <c r="CV244" s="320" t="s">
        <v>198</v>
      </c>
      <c r="CW244" s="485" t="str">
        <f>CV244</f>
        <v>-</v>
      </c>
      <c r="CX244" s="320" t="s">
        <v>198</v>
      </c>
      <c r="CY244" s="320" t="s">
        <v>198</v>
      </c>
      <c r="CZ244" s="320" t="s">
        <v>198</v>
      </c>
      <c r="DA244" s="320" t="s">
        <v>198</v>
      </c>
      <c r="DB244" s="485" t="str">
        <f>DA244</f>
        <v>-</v>
      </c>
      <c r="DC244" s="320" t="s">
        <v>198</v>
      </c>
      <c r="DD244" s="320" t="s">
        <v>198</v>
      </c>
      <c r="DE244" s="320" t="s">
        <v>198</v>
      </c>
      <c r="DF244" s="320" t="s">
        <v>198</v>
      </c>
      <c r="DG244" s="485" t="str">
        <f>DF244</f>
        <v>-</v>
      </c>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c r="GS244"/>
      <c r="GT244"/>
      <c r="GU244"/>
      <c r="GV244"/>
      <c r="GW244"/>
      <c r="GX244"/>
      <c r="GY244"/>
      <c r="GZ244"/>
      <c r="HA244"/>
      <c r="HB244"/>
      <c r="HC244"/>
      <c r="HD244"/>
      <c r="HE244"/>
      <c r="HF244"/>
      <c r="HG244"/>
      <c r="HH244"/>
      <c r="HI244"/>
      <c r="HJ244"/>
      <c r="HK244"/>
      <c r="HL244"/>
      <c r="HM244"/>
      <c r="HN244"/>
      <c r="HO244"/>
      <c r="HP244"/>
      <c r="HQ244"/>
      <c r="HR244"/>
    </row>
    <row r="245" spans="1:226" s="19" customFormat="1" x14ac:dyDescent="0.2">
      <c r="A245" s="80" t="s">
        <v>170</v>
      </c>
      <c r="B245" s="21"/>
      <c r="C245" s="21"/>
      <c r="D245" s="21"/>
      <c r="E245" s="21"/>
      <c r="F245" s="482"/>
      <c r="G245" s="21">
        <f>G163</f>
        <v>1760</v>
      </c>
      <c r="H245" s="21">
        <f t="shared" ref="H245:AT245" si="550">H163</f>
        <v>1712</v>
      </c>
      <c r="I245" s="21">
        <f t="shared" si="550"/>
        <v>1599</v>
      </c>
      <c r="J245" s="21">
        <f t="shared" si="550"/>
        <v>1366</v>
      </c>
      <c r="K245" s="482">
        <f t="shared" si="550"/>
        <v>1366</v>
      </c>
      <c r="L245" s="21">
        <f t="shared" si="550"/>
        <v>1302</v>
      </c>
      <c r="M245" s="21">
        <f t="shared" si="550"/>
        <v>1256</v>
      </c>
      <c r="N245" s="21">
        <f t="shared" si="550"/>
        <v>1325</v>
      </c>
      <c r="O245" s="21">
        <f t="shared" si="550"/>
        <v>1215</v>
      </c>
      <c r="P245" s="482">
        <f t="shared" si="550"/>
        <v>1215</v>
      </c>
      <c r="Q245" s="21">
        <f t="shared" si="550"/>
        <v>1157</v>
      </c>
      <c r="R245" s="21">
        <f t="shared" si="550"/>
        <v>1185</v>
      </c>
      <c r="S245" s="21">
        <f t="shared" si="550"/>
        <v>1333</v>
      </c>
      <c r="T245" s="21">
        <f t="shared" si="550"/>
        <v>1540</v>
      </c>
      <c r="U245" s="482">
        <f t="shared" si="550"/>
        <v>1540</v>
      </c>
      <c r="V245" s="21">
        <f t="shared" si="550"/>
        <v>1644</v>
      </c>
      <c r="W245" s="21">
        <f t="shared" si="550"/>
        <v>-457</v>
      </c>
      <c r="X245" s="21">
        <f t="shared" si="550"/>
        <v>-346</v>
      </c>
      <c r="Y245" s="21">
        <f t="shared" si="550"/>
        <v>-553</v>
      </c>
      <c r="Z245" s="482">
        <f t="shared" si="550"/>
        <v>-553</v>
      </c>
      <c r="AA245" s="21">
        <f t="shared" si="550"/>
        <v>-532</v>
      </c>
      <c r="AB245" s="21">
        <f t="shared" si="550"/>
        <v>-528</v>
      </c>
      <c r="AC245" s="21">
        <f t="shared" si="550"/>
        <v>-427</v>
      </c>
      <c r="AD245" s="21">
        <f t="shared" si="550"/>
        <v>-156</v>
      </c>
      <c r="AE245" s="482">
        <f t="shared" si="550"/>
        <v>-156</v>
      </c>
      <c r="AF245" s="21">
        <f t="shared" si="550"/>
        <v>-55</v>
      </c>
      <c r="AG245" s="21">
        <f t="shared" si="550"/>
        <v>-33</v>
      </c>
      <c r="AH245" s="21">
        <f t="shared" si="550"/>
        <v>92</v>
      </c>
      <c r="AI245" s="21">
        <f t="shared" si="550"/>
        <v>171</v>
      </c>
      <c r="AJ245" s="482">
        <f t="shared" si="550"/>
        <v>171</v>
      </c>
      <c r="AK245" s="21">
        <f t="shared" si="550"/>
        <v>-637</v>
      </c>
      <c r="AL245" s="21">
        <f t="shared" si="550"/>
        <v>-554</v>
      </c>
      <c r="AM245" s="21">
        <f t="shared" si="550"/>
        <v>-472</v>
      </c>
      <c r="AN245" s="21">
        <f t="shared" si="550"/>
        <v>-370</v>
      </c>
      <c r="AO245" s="482">
        <f t="shared" si="550"/>
        <v>-370</v>
      </c>
      <c r="AP245" s="21">
        <f t="shared" si="550"/>
        <v>-364</v>
      </c>
      <c r="AQ245" s="21">
        <f t="shared" si="550"/>
        <v>-403</v>
      </c>
      <c r="AR245" s="21">
        <f t="shared" si="550"/>
        <v>-309</v>
      </c>
      <c r="AS245" s="21">
        <f t="shared" si="550"/>
        <v>-175</v>
      </c>
      <c r="AT245" s="482">
        <f t="shared" si="550"/>
        <v>-175</v>
      </c>
      <c r="AU245" s="21">
        <f t="shared" ref="AU245:BZ245" si="551">AU163</f>
        <v>-47</v>
      </c>
      <c r="AV245" s="21">
        <f t="shared" si="551"/>
        <v>27</v>
      </c>
      <c r="AW245" s="21">
        <f t="shared" si="551"/>
        <v>180</v>
      </c>
      <c r="AX245" s="21">
        <f t="shared" si="551"/>
        <v>83</v>
      </c>
      <c r="AY245" s="482">
        <f t="shared" si="551"/>
        <v>83</v>
      </c>
      <c r="AZ245" s="21">
        <f t="shared" si="551"/>
        <v>279</v>
      </c>
      <c r="BA245" s="21">
        <f t="shared" si="551"/>
        <v>124</v>
      </c>
      <c r="BB245" s="21">
        <f>BB163</f>
        <v>-82</v>
      </c>
      <c r="BC245" s="21">
        <f t="shared" si="551"/>
        <v>-86</v>
      </c>
      <c r="BD245" s="482">
        <f t="shared" si="551"/>
        <v>-86</v>
      </c>
      <c r="BE245" s="21">
        <f t="shared" si="551"/>
        <v>-76</v>
      </c>
      <c r="BF245" s="21">
        <f t="shared" si="551"/>
        <v>-199</v>
      </c>
      <c r="BG245" s="21">
        <f t="shared" si="551"/>
        <v>-106</v>
      </c>
      <c r="BH245" s="21">
        <f t="shared" si="551"/>
        <v>-135</v>
      </c>
      <c r="BI245" s="482">
        <f t="shared" si="551"/>
        <v>-135</v>
      </c>
      <c r="BJ245" s="21">
        <f t="shared" si="551"/>
        <v>-20</v>
      </c>
      <c r="BK245" s="21">
        <f t="shared" si="551"/>
        <v>56</v>
      </c>
      <c r="BL245" s="21">
        <f t="shared" si="551"/>
        <v>152</v>
      </c>
      <c r="BM245" s="21">
        <f t="shared" si="551"/>
        <v>146</v>
      </c>
      <c r="BN245" s="482">
        <f t="shared" si="551"/>
        <v>146</v>
      </c>
      <c r="BO245" s="21">
        <f t="shared" si="551"/>
        <v>81</v>
      </c>
      <c r="BP245" s="21">
        <f t="shared" si="551"/>
        <v>156</v>
      </c>
      <c r="BQ245" s="21">
        <f t="shared" si="551"/>
        <v>53</v>
      </c>
      <c r="BR245" s="21">
        <f t="shared" si="551"/>
        <v>154</v>
      </c>
      <c r="BS245" s="482">
        <f t="shared" si="551"/>
        <v>154</v>
      </c>
      <c r="BT245" s="21">
        <f t="shared" si="551"/>
        <v>169</v>
      </c>
      <c r="BU245" s="21">
        <f t="shared" si="551"/>
        <v>281</v>
      </c>
      <c r="BV245" s="21">
        <f t="shared" si="551"/>
        <v>302</v>
      </c>
      <c r="BW245" s="21">
        <f t="shared" si="551"/>
        <v>118</v>
      </c>
      <c r="BX245" s="482">
        <f t="shared" si="551"/>
        <v>118</v>
      </c>
      <c r="BY245" s="21">
        <f t="shared" si="551"/>
        <v>119</v>
      </c>
      <c r="BZ245" s="21">
        <f t="shared" si="551"/>
        <v>198</v>
      </c>
      <c r="CA245" s="21">
        <f t="shared" ref="CA245:CW245" si="552">CA163</f>
        <v>259</v>
      </c>
      <c r="CB245" s="21">
        <f t="shared" si="552"/>
        <v>297</v>
      </c>
      <c r="CC245" s="482">
        <f t="shared" si="552"/>
        <v>297</v>
      </c>
      <c r="CD245" s="21">
        <f t="shared" si="552"/>
        <v>289</v>
      </c>
      <c r="CE245" s="21">
        <f t="shared" si="552"/>
        <v>270</v>
      </c>
      <c r="CF245" s="21">
        <f t="shared" si="552"/>
        <v>404</v>
      </c>
      <c r="CG245" s="21">
        <f t="shared" si="552"/>
        <v>542</v>
      </c>
      <c r="CH245" s="482">
        <f t="shared" si="552"/>
        <v>542</v>
      </c>
      <c r="CI245" s="21">
        <f t="shared" si="552"/>
        <v>592</v>
      </c>
      <c r="CJ245" s="21">
        <f t="shared" si="552"/>
        <v>760</v>
      </c>
      <c r="CK245" s="21">
        <f t="shared" ca="1" si="552"/>
        <v>668.27475922127405</v>
      </c>
      <c r="CL245" s="21">
        <f t="shared" ca="1" si="552"/>
        <v>582.17537031417623</v>
      </c>
      <c r="CM245" s="482">
        <f t="shared" ca="1" si="552"/>
        <v>582.17537031417623</v>
      </c>
      <c r="CN245" s="21">
        <f t="shared" ca="1" si="552"/>
        <v>575.92140344074551</v>
      </c>
      <c r="CO245" s="21">
        <f t="shared" ca="1" si="552"/>
        <v>526.93079953297502</v>
      </c>
      <c r="CP245" s="21">
        <f t="shared" ca="1" si="552"/>
        <v>492.2235834512885</v>
      </c>
      <c r="CQ245" s="21">
        <f t="shared" ca="1" si="552"/>
        <v>491.26390182351952</v>
      </c>
      <c r="CR245" s="482">
        <f t="shared" ca="1" si="552"/>
        <v>491.26390182351952</v>
      </c>
      <c r="CS245" s="21">
        <f t="shared" ca="1" si="552"/>
        <v>485.07317636899097</v>
      </c>
      <c r="CT245" s="21">
        <f t="shared" ca="1" si="552"/>
        <v>428.09226579214055</v>
      </c>
      <c r="CU245" s="21">
        <f t="shared" ca="1" si="552"/>
        <v>390.29500671511505</v>
      </c>
      <c r="CV245" s="21">
        <f t="shared" ca="1" si="552"/>
        <v>387.61833433025095</v>
      </c>
      <c r="CW245" s="482">
        <f t="shared" ca="1" si="552"/>
        <v>387.61833433025095</v>
      </c>
      <c r="CX245" s="21">
        <f t="shared" ref="CX245:DG245" ca="1" si="553">CX163</f>
        <v>374.76304033858014</v>
      </c>
      <c r="CY245" s="21">
        <f t="shared" ca="1" si="553"/>
        <v>309.78053507780578</v>
      </c>
      <c r="CZ245" s="21">
        <f t="shared" ca="1" si="553"/>
        <v>263.85444870893207</v>
      </c>
      <c r="DA245" s="21">
        <f t="shared" ca="1" si="553"/>
        <v>253.36880486813061</v>
      </c>
      <c r="DB245" s="482">
        <f t="shared" ca="1" si="553"/>
        <v>253.36880486813061</v>
      </c>
      <c r="DC245" s="21">
        <f t="shared" ca="1" si="553"/>
        <v>232.54249354165313</v>
      </c>
      <c r="DD245" s="21">
        <f t="shared" ca="1" si="553"/>
        <v>158.26357048543287</v>
      </c>
      <c r="DE245" s="21">
        <f t="shared" ca="1" si="553"/>
        <v>102.83962156010784</v>
      </c>
      <c r="DF245" s="21">
        <f t="shared" ca="1" si="553"/>
        <v>83.098286320529951</v>
      </c>
      <c r="DG245" s="482">
        <f t="shared" ca="1" si="553"/>
        <v>83.098286320529951</v>
      </c>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c r="GS245"/>
      <c r="GT245"/>
      <c r="GU245"/>
      <c r="GV245"/>
      <c r="GW245"/>
      <c r="GX245"/>
      <c r="GY245"/>
      <c r="GZ245"/>
      <c r="HA245"/>
      <c r="HB245"/>
      <c r="HC245"/>
      <c r="HD245"/>
      <c r="HE245"/>
      <c r="HF245"/>
      <c r="HG245"/>
      <c r="HH245"/>
      <c r="HI245"/>
      <c r="HJ245"/>
      <c r="HK245"/>
      <c r="HL245"/>
      <c r="HM245"/>
      <c r="HN245"/>
      <c r="HO245"/>
      <c r="HP245"/>
      <c r="HQ245"/>
      <c r="HR245"/>
    </row>
    <row r="246" spans="1:226" s="19" customFormat="1" x14ac:dyDescent="0.2">
      <c r="A246" s="80" t="s">
        <v>171</v>
      </c>
      <c r="B246" s="43"/>
      <c r="C246" s="43"/>
      <c r="D246" s="43"/>
      <c r="E246" s="43"/>
      <c r="F246" s="407"/>
      <c r="G246" s="43">
        <f>G241/(G241+G245)</f>
        <v>0.35625457205559619</v>
      </c>
      <c r="H246" s="43">
        <f t="shared" ref="H246:AW246" si="554">H241/(H241+H245)</f>
        <v>0.33976089471654453</v>
      </c>
      <c r="I246" s="43">
        <f t="shared" si="554"/>
        <v>0.36648177496038037</v>
      </c>
      <c r="J246" s="43">
        <f t="shared" si="554"/>
        <v>0.42508417508417506</v>
      </c>
      <c r="K246" s="407">
        <f t="shared" si="554"/>
        <v>0.42508417508417506</v>
      </c>
      <c r="L246" s="43">
        <f t="shared" si="554"/>
        <v>0.43733794295592049</v>
      </c>
      <c r="M246" s="43">
        <f t="shared" si="554"/>
        <v>0.45745140388768901</v>
      </c>
      <c r="N246" s="43">
        <f t="shared" si="554"/>
        <v>0.45696721311475408</v>
      </c>
      <c r="O246" s="43">
        <f t="shared" si="554"/>
        <v>0.46803852889667252</v>
      </c>
      <c r="P246" s="407">
        <f t="shared" si="554"/>
        <v>0.46803852889667252</v>
      </c>
      <c r="Q246" s="43">
        <f t="shared" si="554"/>
        <v>0.4980477223427332</v>
      </c>
      <c r="R246" s="43">
        <f t="shared" si="554"/>
        <v>0.49076063601203268</v>
      </c>
      <c r="S246" s="43">
        <f t="shared" si="554"/>
        <v>0.4209383145091225</v>
      </c>
      <c r="T246" s="43">
        <f t="shared" si="554"/>
        <v>0.33217692974848223</v>
      </c>
      <c r="U246" s="407">
        <f t="shared" si="554"/>
        <v>0.33217692974848223</v>
      </c>
      <c r="V246" s="43">
        <f t="shared" si="554"/>
        <v>0.28240942819729375</v>
      </c>
      <c r="W246" s="43">
        <f t="shared" si="554"/>
        <v>1.2064137308039746</v>
      </c>
      <c r="X246" s="43">
        <f t="shared" si="554"/>
        <v>1.1582075903063558</v>
      </c>
      <c r="Y246" s="43">
        <f t="shared" si="554"/>
        <v>1.2865284974093265</v>
      </c>
      <c r="Z246" s="407">
        <f t="shared" si="554"/>
        <v>1.2865284974093265</v>
      </c>
      <c r="AA246" s="43">
        <f t="shared" si="554"/>
        <v>1.247787610619469</v>
      </c>
      <c r="AB246" s="43">
        <f t="shared" si="554"/>
        <v>1.2496453900709219</v>
      </c>
      <c r="AC246" s="43">
        <f t="shared" si="554"/>
        <v>1.1977767484946735</v>
      </c>
      <c r="AD246" s="43">
        <f t="shared" si="554"/>
        <v>1.0736543909348442</v>
      </c>
      <c r="AE246" s="407">
        <f t="shared" si="554"/>
        <v>1.0736543909348442</v>
      </c>
      <c r="AF246" s="43">
        <f t="shared" si="554"/>
        <v>1.0258215962441315</v>
      </c>
      <c r="AG246" s="43">
        <f t="shared" si="554"/>
        <v>1.0149456521739131</v>
      </c>
      <c r="AH246" s="43">
        <f t="shared" si="554"/>
        <v>0.95932802829354558</v>
      </c>
      <c r="AI246" s="43">
        <f t="shared" si="554"/>
        <v>0.92251925690983239</v>
      </c>
      <c r="AJ246" s="407">
        <f t="shared" si="554"/>
        <v>0.92251925690983239</v>
      </c>
      <c r="AK246" s="43">
        <f t="shared" si="554"/>
        <v>1.2879746835443038</v>
      </c>
      <c r="AL246" s="43">
        <f t="shared" si="554"/>
        <v>1.1726394515425367</v>
      </c>
      <c r="AM246" s="43">
        <f t="shared" si="554"/>
        <v>1.1471321695760599</v>
      </c>
      <c r="AN246" s="43">
        <f t="shared" si="554"/>
        <v>1.1191626409017714</v>
      </c>
      <c r="AO246" s="407">
        <f t="shared" si="554"/>
        <v>1.1191626409017714</v>
      </c>
      <c r="AP246" s="43">
        <f t="shared" si="554"/>
        <v>1.118066818034382</v>
      </c>
      <c r="AQ246" s="43">
        <f t="shared" si="554"/>
        <v>1.1364713850321706</v>
      </c>
      <c r="AR246" s="43">
        <f t="shared" si="554"/>
        <v>1.1046747967479675</v>
      </c>
      <c r="AS246" s="43">
        <f t="shared" si="554"/>
        <v>1.0588433086751849</v>
      </c>
      <c r="AT246" s="407">
        <f t="shared" si="554"/>
        <v>1.0588433086751849</v>
      </c>
      <c r="AU246" s="43">
        <f t="shared" si="554"/>
        <v>1.0150544522741831</v>
      </c>
      <c r="AV246" s="43">
        <f t="shared" si="554"/>
        <v>0.99118223383409532</v>
      </c>
      <c r="AW246" s="43">
        <f t="shared" si="554"/>
        <v>0.94371482176360222</v>
      </c>
      <c r="AX246" s="43">
        <f t="shared" ref="AX246:CC246" si="555">AX241/(AX241+AX245)</f>
        <v>0.97116052814454479</v>
      </c>
      <c r="AY246" s="407">
        <f t="shared" si="555"/>
        <v>0.97116052814454479</v>
      </c>
      <c r="AZ246" s="43">
        <f t="shared" si="555"/>
        <v>0.91305702711124959</v>
      </c>
      <c r="BA246" s="43">
        <f t="shared" si="555"/>
        <v>0.95141065830721006</v>
      </c>
      <c r="BB246" s="43">
        <f t="shared" si="555"/>
        <v>1.0343671416596816</v>
      </c>
      <c r="BC246" s="43">
        <f t="shared" si="555"/>
        <v>1.0344275420336269</v>
      </c>
      <c r="BD246" s="407">
        <f t="shared" si="555"/>
        <v>1.0344275420336269</v>
      </c>
      <c r="BE246" s="43">
        <f t="shared" si="555"/>
        <v>1.0305711987127917</v>
      </c>
      <c r="BF246" s="43">
        <f t="shared" si="555"/>
        <v>1.0737856878012606</v>
      </c>
      <c r="BG246" s="43">
        <f t="shared" si="555"/>
        <v>1.0386297376093294</v>
      </c>
      <c r="BH246" s="43">
        <f t="shared" si="555"/>
        <v>1.0522041763341068</v>
      </c>
      <c r="BI246" s="407">
        <f t="shared" si="555"/>
        <v>1.0522041763341068</v>
      </c>
      <c r="BJ246" s="43">
        <f t="shared" si="555"/>
        <v>1.0066644451849383</v>
      </c>
      <c r="BK246" s="43">
        <f t="shared" si="555"/>
        <v>0.97948717948717945</v>
      </c>
      <c r="BL246" s="43">
        <f t="shared" si="555"/>
        <v>0.94397346111315883</v>
      </c>
      <c r="BM246" s="43">
        <f t="shared" si="555"/>
        <v>0.94201747418586179</v>
      </c>
      <c r="BN246" s="407">
        <f t="shared" si="555"/>
        <v>0.94201747418586179</v>
      </c>
      <c r="BO246" s="43">
        <f t="shared" si="555"/>
        <v>0.96807252660622778</v>
      </c>
      <c r="BP246" s="43">
        <f t="shared" si="555"/>
        <v>0.94152923538230882</v>
      </c>
      <c r="BQ246" s="43">
        <f t="shared" si="555"/>
        <v>0.97974780282766527</v>
      </c>
      <c r="BR246" s="43">
        <f t="shared" si="555"/>
        <v>0.93757600324280499</v>
      </c>
      <c r="BS246" s="407">
        <f t="shared" si="555"/>
        <v>0.93757600324280499</v>
      </c>
      <c r="BT246" s="43">
        <f t="shared" si="555"/>
        <v>0.92937735060593396</v>
      </c>
      <c r="BU246" s="43">
        <f t="shared" si="555"/>
        <v>0.90484253301727058</v>
      </c>
      <c r="BV246" s="43">
        <f t="shared" si="555"/>
        <v>0.8776337115072933</v>
      </c>
      <c r="BW246" s="43">
        <f t="shared" si="555"/>
        <v>0.94889562581203979</v>
      </c>
      <c r="BX246" s="407">
        <f t="shared" si="555"/>
        <v>0.94889562581203979</v>
      </c>
      <c r="BY246" s="43">
        <f t="shared" si="555"/>
        <v>0.94927536231884058</v>
      </c>
      <c r="BZ246" s="43">
        <f t="shared" si="555"/>
        <v>0.92060946271050526</v>
      </c>
      <c r="CA246" s="43">
        <f t="shared" si="555"/>
        <v>0.89585846401286695</v>
      </c>
      <c r="CB246" s="43">
        <f t="shared" si="555"/>
        <v>0.88651127244936956</v>
      </c>
      <c r="CC246" s="407">
        <f t="shared" si="555"/>
        <v>0.88651127244936956</v>
      </c>
      <c r="CD246" s="43">
        <f t="shared" ref="CD246:CW246" si="556">CD241/(CD241+CD245)</f>
        <v>0.89280415430267057</v>
      </c>
      <c r="CE246" s="43">
        <f t="shared" si="556"/>
        <v>0.90422135509045765</v>
      </c>
      <c r="CF246" s="43">
        <f t="shared" si="556"/>
        <v>0.85794655414908583</v>
      </c>
      <c r="CG246" s="43">
        <f t="shared" si="556"/>
        <v>0.80197296309828281</v>
      </c>
      <c r="CH246" s="407">
        <f t="shared" si="556"/>
        <v>0.80197296309828281</v>
      </c>
      <c r="CI246" s="43">
        <f t="shared" si="556"/>
        <v>0.78796561604584525</v>
      </c>
      <c r="CJ246" s="43">
        <f t="shared" si="556"/>
        <v>0.75024646730200462</v>
      </c>
      <c r="CK246" s="43">
        <f t="shared" ca="1" si="556"/>
        <v>0.77994376928130948</v>
      </c>
      <c r="CL246" s="43">
        <f t="shared" ca="1" si="556"/>
        <v>0.80246327448469246</v>
      </c>
      <c r="CM246" s="407">
        <f t="shared" ca="1" si="556"/>
        <v>0.80246327448469246</v>
      </c>
      <c r="CN246" s="43">
        <f t="shared" ca="1" si="556"/>
        <v>0.79951940309201519</v>
      </c>
      <c r="CO246" s="43">
        <f t="shared" ca="1" si="556"/>
        <v>0.83084849113383308</v>
      </c>
      <c r="CP246" s="43">
        <f t="shared" ca="1" si="556"/>
        <v>0.8418583757193232</v>
      </c>
      <c r="CQ246" s="43">
        <f t="shared" ca="1" si="556"/>
        <v>0.83805593448245885</v>
      </c>
      <c r="CR246" s="407">
        <f t="shared" ca="1" si="556"/>
        <v>0.83805593448245885</v>
      </c>
      <c r="CS246" s="43">
        <f t="shared" ca="1" si="556"/>
        <v>0.83550030672755449</v>
      </c>
      <c r="CT246" s="43">
        <f t="shared" ca="1" si="556"/>
        <v>0.86584559532327454</v>
      </c>
      <c r="CU246" s="43">
        <f t="shared" ca="1" si="556"/>
        <v>0.87757758645528561</v>
      </c>
      <c r="CV246" s="43">
        <f t="shared" ca="1" si="556"/>
        <v>0.87528893009922726</v>
      </c>
      <c r="CW246" s="407">
        <f t="shared" ca="1" si="556"/>
        <v>0.87528893009922726</v>
      </c>
      <c r="CX246" s="43">
        <f t="shared" ref="CX246:DG246" ca="1" si="557">CX241/(CX241+CX245)</f>
        <v>0.87621771759856004</v>
      </c>
      <c r="CY246" s="43">
        <f t="shared" ca="1" si="557"/>
        <v>0.90526295710812021</v>
      </c>
      <c r="CZ246" s="43">
        <f t="shared" ca="1" si="557"/>
        <v>0.91926479067859856</v>
      </c>
      <c r="DA246" s="43">
        <f t="shared" ca="1" si="557"/>
        <v>0.92054007964406648</v>
      </c>
      <c r="DB246" s="407">
        <f t="shared" ca="1" si="557"/>
        <v>0.92054007964406648</v>
      </c>
      <c r="DC246" s="43">
        <f t="shared" ca="1" si="557"/>
        <v>0.92491382644985243</v>
      </c>
      <c r="DD246" s="43">
        <f t="shared" ca="1" si="557"/>
        <v>0.95261384212783917</v>
      </c>
      <c r="DE246" s="43">
        <f t="shared" ca="1" si="557"/>
        <v>0.96920800541149243</v>
      </c>
      <c r="DF246" s="43">
        <f t="shared" ca="1" si="557"/>
        <v>0.9745194372522209</v>
      </c>
      <c r="DG246" s="407">
        <f t="shared" ca="1" si="557"/>
        <v>0.9745194372522209</v>
      </c>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c r="HB246"/>
      <c r="HC246"/>
      <c r="HD246"/>
      <c r="HE246"/>
      <c r="HF246"/>
      <c r="HG246"/>
      <c r="HH246"/>
      <c r="HI246"/>
      <c r="HJ246"/>
      <c r="HK246"/>
      <c r="HL246"/>
      <c r="HM246"/>
      <c r="HN246"/>
      <c r="HO246"/>
      <c r="HP246"/>
      <c r="HQ246"/>
      <c r="HR246"/>
    </row>
    <row r="247" spans="1:226" s="19" customFormat="1" x14ac:dyDescent="0.2">
      <c r="A247" s="80"/>
      <c r="F247" s="455"/>
      <c r="K247" s="455"/>
      <c r="P247" s="455"/>
      <c r="U247" s="455"/>
      <c r="Z247" s="455"/>
      <c r="AE247" s="455"/>
      <c r="AJ247" s="455"/>
      <c r="AO247" s="455"/>
      <c r="AT247" s="455"/>
      <c r="AY247" s="455"/>
      <c r="BD247" s="455"/>
      <c r="BI247" s="455"/>
      <c r="BN247" s="455"/>
      <c r="BS247" s="455"/>
      <c r="BX247" s="455"/>
      <c r="CC247" s="455"/>
      <c r="CH247" s="455"/>
      <c r="CM247" s="455"/>
      <c r="CR247" s="455"/>
      <c r="CW247" s="455"/>
      <c r="DB247" s="455"/>
      <c r="DG247" s="455"/>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c r="HB247"/>
      <c r="HC247"/>
      <c r="HD247"/>
      <c r="HE247"/>
      <c r="HF247"/>
      <c r="HG247"/>
      <c r="HH247"/>
      <c r="HI247"/>
      <c r="HJ247"/>
      <c r="HK247"/>
      <c r="HL247"/>
      <c r="HM247"/>
      <c r="HN247"/>
      <c r="HO247"/>
      <c r="HP247"/>
      <c r="HQ247"/>
      <c r="HR247"/>
    </row>
    <row r="248" spans="1:226" s="19" customFormat="1" x14ac:dyDescent="0.2">
      <c r="A248" s="79" t="s">
        <v>172</v>
      </c>
      <c r="F248" s="455"/>
      <c r="K248" s="455"/>
      <c r="P248" s="455"/>
      <c r="U248" s="455"/>
      <c r="Z248" s="455"/>
      <c r="AE248" s="455"/>
      <c r="AJ248" s="455"/>
      <c r="AO248" s="455"/>
      <c r="AT248" s="455"/>
      <c r="AY248" s="455"/>
      <c r="BD248" s="455"/>
      <c r="BI248" s="455"/>
      <c r="BN248" s="455"/>
      <c r="BS248" s="455"/>
      <c r="BX248" s="455"/>
      <c r="CC248" s="455"/>
      <c r="CH248" s="455"/>
      <c r="CM248" s="455"/>
      <c r="CR248" s="455"/>
      <c r="CW248" s="455"/>
      <c r="DB248" s="455"/>
      <c r="DG248" s="455"/>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c r="GS248"/>
      <c r="GT248"/>
      <c r="GU248"/>
      <c r="GV248"/>
      <c r="GW248"/>
      <c r="GX248"/>
      <c r="GY248"/>
      <c r="GZ248"/>
      <c r="HA248"/>
      <c r="HB248"/>
      <c r="HC248"/>
      <c r="HD248"/>
      <c r="HE248"/>
      <c r="HF248"/>
      <c r="HG248"/>
      <c r="HH248"/>
      <c r="HI248"/>
      <c r="HJ248"/>
      <c r="HK248"/>
      <c r="HL248"/>
      <c r="HM248"/>
      <c r="HN248"/>
      <c r="HO248"/>
      <c r="HP248"/>
      <c r="HQ248"/>
      <c r="HR248"/>
    </row>
    <row r="249" spans="1:226" s="19" customFormat="1" x14ac:dyDescent="0.2">
      <c r="A249" s="80" t="s">
        <v>197</v>
      </c>
      <c r="B249" s="21"/>
      <c r="C249" s="21"/>
      <c r="D249" s="21"/>
      <c r="E249" s="21"/>
      <c r="F249" s="482"/>
      <c r="G249" s="21">
        <f>G54</f>
        <v>178</v>
      </c>
      <c r="H249" s="21">
        <f>H54</f>
        <v>157</v>
      </c>
      <c r="I249" s="21">
        <f>I54</f>
        <v>176</v>
      </c>
      <c r="J249" s="21">
        <f>J54</f>
        <v>248</v>
      </c>
      <c r="K249" s="482">
        <f>K54</f>
        <v>759</v>
      </c>
      <c r="L249" s="21">
        <f t="shared" ref="L249:AT249" si="558">L54</f>
        <v>261</v>
      </c>
      <c r="M249" s="21">
        <f t="shared" si="558"/>
        <v>177</v>
      </c>
      <c r="N249" s="21">
        <f t="shared" si="558"/>
        <v>175</v>
      </c>
      <c r="O249" s="21">
        <f t="shared" si="558"/>
        <v>241</v>
      </c>
      <c r="P249" s="482">
        <f t="shared" si="558"/>
        <v>854</v>
      </c>
      <c r="Q249" s="21">
        <f t="shared" si="558"/>
        <v>187</v>
      </c>
      <c r="R249" s="21">
        <f t="shared" si="558"/>
        <v>159</v>
      </c>
      <c r="S249" s="21">
        <f t="shared" si="558"/>
        <v>178</v>
      </c>
      <c r="T249" s="21">
        <f t="shared" si="558"/>
        <v>249</v>
      </c>
      <c r="U249" s="482">
        <f t="shared" si="558"/>
        <v>773</v>
      </c>
      <c r="V249" s="21">
        <f t="shared" si="558"/>
        <v>171</v>
      </c>
      <c r="W249" s="21">
        <f t="shared" si="558"/>
        <v>182</v>
      </c>
      <c r="X249" s="21">
        <f t="shared" si="558"/>
        <v>182</v>
      </c>
      <c r="Y249" s="21">
        <f t="shared" si="558"/>
        <v>250</v>
      </c>
      <c r="Z249" s="482">
        <f t="shared" si="558"/>
        <v>785</v>
      </c>
      <c r="AA249" s="21">
        <f t="shared" si="558"/>
        <v>185</v>
      </c>
      <c r="AB249" s="21">
        <f t="shared" si="558"/>
        <v>151</v>
      </c>
      <c r="AC249" s="21">
        <f t="shared" si="558"/>
        <v>203</v>
      </c>
      <c r="AD249" s="21">
        <f t="shared" si="558"/>
        <v>275</v>
      </c>
      <c r="AE249" s="482">
        <f t="shared" si="558"/>
        <v>814</v>
      </c>
      <c r="AF249" s="21">
        <f t="shared" si="558"/>
        <v>205</v>
      </c>
      <c r="AG249" s="21">
        <f t="shared" si="558"/>
        <v>165</v>
      </c>
      <c r="AH249" s="21">
        <f t="shared" si="558"/>
        <v>229</v>
      </c>
      <c r="AI249" s="21">
        <f t="shared" si="558"/>
        <v>273</v>
      </c>
      <c r="AJ249" s="482">
        <f t="shared" si="558"/>
        <v>872</v>
      </c>
      <c r="AK249" s="21">
        <f t="shared" si="558"/>
        <v>234</v>
      </c>
      <c r="AL249" s="21">
        <f t="shared" si="558"/>
        <v>177</v>
      </c>
      <c r="AM249" s="21">
        <f t="shared" si="558"/>
        <v>216</v>
      </c>
      <c r="AN249" s="21">
        <f t="shared" si="558"/>
        <v>284</v>
      </c>
      <c r="AO249" s="482">
        <f t="shared" si="558"/>
        <v>911</v>
      </c>
      <c r="AP249" s="21">
        <f t="shared" si="558"/>
        <v>237</v>
      </c>
      <c r="AQ249" s="21">
        <f t="shared" si="558"/>
        <v>182</v>
      </c>
      <c r="AR249" s="21">
        <f t="shared" si="558"/>
        <v>290</v>
      </c>
      <c r="AS249" s="21">
        <f t="shared" si="558"/>
        <v>328</v>
      </c>
      <c r="AT249" s="482">
        <f t="shared" si="558"/>
        <v>1037</v>
      </c>
      <c r="AU249" s="21">
        <f t="shared" ref="AU249:BD249" si="559">AU54</f>
        <v>267</v>
      </c>
      <c r="AV249" s="21">
        <f t="shared" si="559"/>
        <v>196</v>
      </c>
      <c r="AW249" s="21">
        <f t="shared" si="559"/>
        <v>245</v>
      </c>
      <c r="AX249" s="21">
        <f t="shared" si="559"/>
        <v>278</v>
      </c>
      <c r="AY249" s="482">
        <f t="shared" si="559"/>
        <v>986</v>
      </c>
      <c r="AZ249" s="21">
        <f t="shared" si="559"/>
        <v>236.75</v>
      </c>
      <c r="BA249" s="21">
        <f t="shared" si="559"/>
        <v>170.75</v>
      </c>
      <c r="BB249" s="21">
        <f>BB54</f>
        <v>242.75</v>
      </c>
      <c r="BC249" s="21">
        <f t="shared" si="559"/>
        <v>285.75</v>
      </c>
      <c r="BD249" s="482">
        <f t="shared" si="559"/>
        <v>936</v>
      </c>
      <c r="BE249" s="21">
        <f t="shared" ref="BE249:CV249" si="560">BE54</f>
        <v>212.5</v>
      </c>
      <c r="BF249" s="21">
        <f t="shared" si="560"/>
        <v>181.5</v>
      </c>
      <c r="BG249" s="21">
        <f t="shared" si="560"/>
        <v>228.5</v>
      </c>
      <c r="BH249" s="21">
        <f t="shared" si="560"/>
        <v>294</v>
      </c>
      <c r="BI249" s="482">
        <f t="shared" si="560"/>
        <v>916.5</v>
      </c>
      <c r="BJ249" s="21">
        <f t="shared" si="560"/>
        <v>229.5</v>
      </c>
      <c r="BK249" s="21">
        <f t="shared" si="560"/>
        <v>214.5</v>
      </c>
      <c r="BL249" s="21">
        <f t="shared" si="560"/>
        <v>235.5</v>
      </c>
      <c r="BM249" s="21">
        <f t="shared" si="560"/>
        <v>305.5</v>
      </c>
      <c r="BN249" s="482">
        <f t="shared" si="560"/>
        <v>985</v>
      </c>
      <c r="BO249" s="21">
        <f t="shared" si="560"/>
        <v>239</v>
      </c>
      <c r="BP249" s="21">
        <f t="shared" si="560"/>
        <v>206</v>
      </c>
      <c r="BQ249" s="21">
        <f t="shared" si="560"/>
        <v>249</v>
      </c>
      <c r="BR249" s="21">
        <f t="shared" si="560"/>
        <v>283</v>
      </c>
      <c r="BS249" s="482">
        <f t="shared" si="560"/>
        <v>977</v>
      </c>
      <c r="BT249" s="21">
        <f t="shared" si="560"/>
        <v>247</v>
      </c>
      <c r="BU249" s="21">
        <f t="shared" si="560"/>
        <v>221</v>
      </c>
      <c r="BV249" s="21">
        <f t="shared" si="560"/>
        <v>241</v>
      </c>
      <c r="BW249" s="21">
        <f t="shared" si="560"/>
        <v>299</v>
      </c>
      <c r="BX249" s="482">
        <f t="shared" si="560"/>
        <v>1008</v>
      </c>
      <c r="BY249" s="21">
        <f t="shared" si="560"/>
        <v>286</v>
      </c>
      <c r="BZ249" s="21">
        <f t="shared" si="560"/>
        <v>249</v>
      </c>
      <c r="CA249" s="21">
        <f t="shared" si="560"/>
        <v>261</v>
      </c>
      <c r="CB249" s="21">
        <f t="shared" si="560"/>
        <v>268</v>
      </c>
      <c r="CC249" s="482">
        <f t="shared" si="560"/>
        <v>1064</v>
      </c>
      <c r="CD249" s="21">
        <f t="shared" si="560"/>
        <v>281</v>
      </c>
      <c r="CE249" s="21">
        <f t="shared" si="560"/>
        <v>272</v>
      </c>
      <c r="CF249" s="21">
        <f t="shared" si="560"/>
        <v>253</v>
      </c>
      <c r="CG249" s="21">
        <f t="shared" si="560"/>
        <v>321</v>
      </c>
      <c r="CH249" s="482">
        <f t="shared" si="560"/>
        <v>1127</v>
      </c>
      <c r="CI249" s="21">
        <f t="shared" si="560"/>
        <v>303</v>
      </c>
      <c r="CJ249" s="21">
        <f t="shared" si="560"/>
        <v>241</v>
      </c>
      <c r="CK249" s="21">
        <f t="shared" si="560"/>
        <v>262.33874018076563</v>
      </c>
      <c r="CL249" s="21">
        <f t="shared" ca="1" si="560"/>
        <v>322.65282494227728</v>
      </c>
      <c r="CM249" s="482">
        <f t="shared" ca="1" si="560"/>
        <v>1128.9915651230428</v>
      </c>
      <c r="CN249" s="21">
        <f t="shared" si="560"/>
        <v>312.06246817266214</v>
      </c>
      <c r="CO249" s="21">
        <f t="shared" si="560"/>
        <v>249.74600268046552</v>
      </c>
      <c r="CP249" s="21">
        <f t="shared" si="560"/>
        <v>279.01555473323771</v>
      </c>
      <c r="CQ249" s="21">
        <f t="shared" ca="1" si="560"/>
        <v>326.5670939563031</v>
      </c>
      <c r="CR249" s="482">
        <f t="shared" ca="1" si="560"/>
        <v>1167.3911195426685</v>
      </c>
      <c r="CS249" s="21">
        <f t="shared" si="560"/>
        <v>328.37764532194353</v>
      </c>
      <c r="CT249" s="21">
        <f t="shared" si="560"/>
        <v>264.62529360504089</v>
      </c>
      <c r="CU249" s="21">
        <f t="shared" si="560"/>
        <v>294.801499590074</v>
      </c>
      <c r="CV249" s="21">
        <f t="shared" ca="1" si="560"/>
        <v>344.53201054448499</v>
      </c>
      <c r="CW249" s="482">
        <f t="shared" ref="CW249:DG249" ca="1" si="561">CW54</f>
        <v>1232.3364490615434</v>
      </c>
      <c r="CX249" s="21">
        <f t="shared" si="561"/>
        <v>340.02444313342909</v>
      </c>
      <c r="CY249" s="21">
        <f t="shared" si="561"/>
        <v>274.92922093547628</v>
      </c>
      <c r="CZ249" s="21">
        <f t="shared" si="561"/>
        <v>305.37760250780855</v>
      </c>
      <c r="DA249" s="21">
        <f t="shared" ca="1" si="561"/>
        <v>355.98721934383695</v>
      </c>
      <c r="DB249" s="482">
        <f t="shared" ca="1" si="561"/>
        <v>1276.3184859205508</v>
      </c>
      <c r="DC249" s="21">
        <f t="shared" si="561"/>
        <v>351.54975284539864</v>
      </c>
      <c r="DD249" s="21">
        <f t="shared" si="561"/>
        <v>285.10857657580488</v>
      </c>
      <c r="DE249" s="21">
        <f t="shared" si="561"/>
        <v>315.78811101670141</v>
      </c>
      <c r="DF249" s="21">
        <f t="shared" ca="1" si="561"/>
        <v>367.23267865288517</v>
      </c>
      <c r="DG249" s="482">
        <f t="shared" ca="1" si="561"/>
        <v>1319.67911909079</v>
      </c>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c r="GS249"/>
      <c r="GT249"/>
      <c r="GU249"/>
      <c r="GV249"/>
      <c r="GW249"/>
      <c r="GX249"/>
      <c r="GY249"/>
      <c r="GZ249"/>
      <c r="HA249"/>
      <c r="HB249"/>
      <c r="HC249"/>
      <c r="HD249"/>
      <c r="HE249"/>
      <c r="HF249"/>
      <c r="HG249"/>
      <c r="HH249"/>
      <c r="HI249"/>
      <c r="HJ249"/>
      <c r="HK249"/>
      <c r="HL249"/>
      <c r="HM249"/>
      <c r="HN249"/>
      <c r="HO249"/>
      <c r="HP249"/>
      <c r="HQ249"/>
      <c r="HR249"/>
    </row>
    <row r="250" spans="1:226" s="19" customFormat="1" x14ac:dyDescent="0.2">
      <c r="A250" s="80" t="s">
        <v>173</v>
      </c>
      <c r="B250" s="32"/>
      <c r="C250" s="32"/>
      <c r="D250" s="32"/>
      <c r="E250" s="32"/>
      <c r="F250" s="486"/>
      <c r="G250" s="32">
        <f>G77</f>
        <v>0.28846153846153844</v>
      </c>
      <c r="H250" s="32">
        <f>H77</f>
        <v>0.44</v>
      </c>
      <c r="I250" s="32">
        <f>I77</f>
        <v>0.49494949494949497</v>
      </c>
      <c r="J250" s="32">
        <f>J77</f>
        <v>0.33043478260869563</v>
      </c>
      <c r="K250" s="486">
        <f>K77</f>
        <v>0.36249999999999999</v>
      </c>
      <c r="L250" s="32">
        <f t="shared" ref="L250:AT250" si="562">L77</f>
        <v>0.35245901639344263</v>
      </c>
      <c r="M250" s="32">
        <f t="shared" si="562"/>
        <v>0.38732394366197181</v>
      </c>
      <c r="N250" s="32">
        <f t="shared" si="562"/>
        <v>0.35260115606936415</v>
      </c>
      <c r="O250" s="32">
        <f t="shared" si="562"/>
        <v>0.3512396694214876</v>
      </c>
      <c r="P250" s="486">
        <f t="shared" si="562"/>
        <v>0.35830212234706615</v>
      </c>
      <c r="Q250" s="32">
        <f t="shared" si="562"/>
        <v>0.3539325842696629</v>
      </c>
      <c r="R250" s="32">
        <f t="shared" si="562"/>
        <v>0.34415584415584416</v>
      </c>
      <c r="S250" s="32">
        <f t="shared" si="562"/>
        <v>0.34659090909090912</v>
      </c>
      <c r="T250" s="32">
        <f t="shared" si="562"/>
        <v>0.34836065573770492</v>
      </c>
      <c r="U250" s="486">
        <f t="shared" si="562"/>
        <v>0.34840425531914893</v>
      </c>
      <c r="V250" s="32">
        <f t="shared" si="562"/>
        <v>0.3473053892215569</v>
      </c>
      <c r="W250" s="32">
        <f t="shared" si="562"/>
        <v>0.29896907216494845</v>
      </c>
      <c r="X250" s="32">
        <f t="shared" si="562"/>
        <v>0.15328467153284672</v>
      </c>
      <c r="Y250" s="32">
        <f t="shared" si="562"/>
        <v>0.32467532467532467</v>
      </c>
      <c r="Z250" s="486">
        <f t="shared" si="562"/>
        <v>0.29080932784636487</v>
      </c>
      <c r="AA250" s="32">
        <f t="shared" si="562"/>
        <v>0.29870129870129869</v>
      </c>
      <c r="AB250" s="32">
        <f t="shared" si="562"/>
        <v>0.30833333333333335</v>
      </c>
      <c r="AC250" s="32">
        <f t="shared" si="562"/>
        <v>0.34523809523809523</v>
      </c>
      <c r="AD250" s="32">
        <f t="shared" si="562"/>
        <v>0.32701421800947866</v>
      </c>
      <c r="AE250" s="486">
        <f t="shared" si="562"/>
        <v>0.32159264931087289</v>
      </c>
      <c r="AF250" s="32">
        <f t="shared" si="562"/>
        <v>0.36</v>
      </c>
      <c r="AG250" s="32">
        <f t="shared" si="562"/>
        <v>0.33088235294117646</v>
      </c>
      <c r="AH250" s="32">
        <f t="shared" si="562"/>
        <v>0.33160621761658032</v>
      </c>
      <c r="AI250" s="32">
        <f t="shared" si="562"/>
        <v>0.31380753138075312</v>
      </c>
      <c r="AJ250" s="486">
        <f t="shared" si="562"/>
        <v>0.33243606998654107</v>
      </c>
      <c r="AK250" s="32">
        <f t="shared" si="562"/>
        <v>0.36206896551724138</v>
      </c>
      <c r="AL250" s="32">
        <f t="shared" si="562"/>
        <v>0.28125</v>
      </c>
      <c r="AM250" s="32">
        <f t="shared" si="562"/>
        <v>0.33774834437086093</v>
      </c>
      <c r="AN250" s="32">
        <f t="shared" si="562"/>
        <v>0.34166666666666667</v>
      </c>
      <c r="AO250" s="486">
        <f t="shared" si="562"/>
        <v>0.33477633477633478</v>
      </c>
      <c r="AP250" s="32">
        <f t="shared" si="562"/>
        <v>0.31182795698924731</v>
      </c>
      <c r="AQ250" s="32">
        <f t="shared" si="562"/>
        <v>0.34351145038167941</v>
      </c>
      <c r="AR250" s="32">
        <f t="shared" si="562"/>
        <v>0.34334763948497854</v>
      </c>
      <c r="AS250" s="32">
        <f t="shared" si="562"/>
        <v>0.34865900383141762</v>
      </c>
      <c r="AT250" s="486">
        <f t="shared" si="562"/>
        <v>0.33785450061652283</v>
      </c>
      <c r="AU250" s="32">
        <f t="shared" ref="AU250:BD250" si="563">AU77</f>
        <v>0.35483870967741937</v>
      </c>
      <c r="AV250" s="32">
        <f t="shared" si="563"/>
        <v>0.32116788321167883</v>
      </c>
      <c r="AW250" s="32">
        <f t="shared" si="563"/>
        <v>0.31578947368421051</v>
      </c>
      <c r="AX250" s="32">
        <f t="shared" si="563"/>
        <v>0.38016528925619836</v>
      </c>
      <c r="AY250" s="486">
        <f>AY77</f>
        <v>0.34658385093167704</v>
      </c>
      <c r="AZ250" s="32">
        <f t="shared" si="563"/>
        <v>0.30693069306930693</v>
      </c>
      <c r="BA250" s="32">
        <f t="shared" si="563"/>
        <v>0.35599999999999998</v>
      </c>
      <c r="BB250" s="32">
        <f>BB77</f>
        <v>0.35616438356164382</v>
      </c>
      <c r="BC250" s="32">
        <f>BC77</f>
        <v>0.3346456692913386</v>
      </c>
      <c r="BD250" s="486">
        <f t="shared" si="563"/>
        <v>0.33736419001218027</v>
      </c>
      <c r="BE250" s="32">
        <f t="shared" ref="BE250:CU250" si="564">BE77</f>
        <v>0.30481283422459893</v>
      </c>
      <c r="BF250" s="32">
        <f t="shared" si="564"/>
        <v>0.32258064516129031</v>
      </c>
      <c r="BG250" s="32">
        <f t="shared" si="564"/>
        <v>0.32323232323232326</v>
      </c>
      <c r="BH250" s="32">
        <f>BH77</f>
        <v>0.30677290836653387</v>
      </c>
      <c r="BI250" s="486">
        <f t="shared" si="564"/>
        <v>0.31352718078381797</v>
      </c>
      <c r="BJ250" s="32">
        <f t="shared" si="564"/>
        <v>0.31443298969072164</v>
      </c>
      <c r="BK250" s="32">
        <f t="shared" si="564"/>
        <v>0.34574468085106386</v>
      </c>
      <c r="BL250" s="32">
        <f t="shared" si="564"/>
        <v>0.33663366336633666</v>
      </c>
      <c r="BM250" s="32">
        <f>BM77</f>
        <v>0.31598513011152418</v>
      </c>
      <c r="BN250" s="486">
        <f t="shared" si="564"/>
        <v>0.32708089097303633</v>
      </c>
      <c r="BO250" s="32">
        <f t="shared" si="564"/>
        <v>0.34123222748815168</v>
      </c>
      <c r="BP250" s="32">
        <f t="shared" si="564"/>
        <v>0.35652173913043478</v>
      </c>
      <c r="BQ250" s="32">
        <f t="shared" si="564"/>
        <v>0.33362831858407083</v>
      </c>
      <c r="BR250" s="32">
        <f>BR77</f>
        <v>0.35057034220532318</v>
      </c>
      <c r="BS250" s="486">
        <f t="shared" si="564"/>
        <v>0.34524886877828054</v>
      </c>
      <c r="BT250" s="32">
        <f t="shared" si="564"/>
        <v>0.33532110091743117</v>
      </c>
      <c r="BU250" s="32">
        <f t="shared" si="564"/>
        <v>0.34923857868020303</v>
      </c>
      <c r="BV250" s="32">
        <f t="shared" si="564"/>
        <v>0.3354838709677419</v>
      </c>
      <c r="BW250" s="32">
        <f>BW77</f>
        <v>0.34602076124567471</v>
      </c>
      <c r="BX250" s="486">
        <f t="shared" si="564"/>
        <v>0.34169381107491853</v>
      </c>
      <c r="BY250" s="32">
        <f t="shared" si="564"/>
        <v>0.34469696969696972</v>
      </c>
      <c r="BZ250" s="32">
        <f t="shared" si="564"/>
        <v>0.34521739130434786</v>
      </c>
      <c r="CA250" s="32">
        <f t="shared" si="564"/>
        <v>0.32911392405063289</v>
      </c>
      <c r="CB250" s="32">
        <f>CB77</f>
        <v>0.34523809523809523</v>
      </c>
      <c r="CC250" s="486">
        <f t="shared" si="564"/>
        <v>0.34120040691759917</v>
      </c>
      <c r="CD250" s="32">
        <f t="shared" si="564"/>
        <v>0.32148260211800306</v>
      </c>
      <c r="CE250" s="32">
        <f t="shared" si="564"/>
        <v>0.33995584988962474</v>
      </c>
      <c r="CF250" s="32">
        <f t="shared" si="564"/>
        <v>0.30303030303030304</v>
      </c>
      <c r="CG250" s="32">
        <f>CG77</f>
        <v>0.31482735274204471</v>
      </c>
      <c r="CH250" s="486">
        <f t="shared" si="564"/>
        <v>0.3192106790481718</v>
      </c>
      <c r="CI250" s="32">
        <f t="shared" si="564"/>
        <v>0.31182795698924731</v>
      </c>
      <c r="CJ250" s="32">
        <f t="shared" si="564"/>
        <v>-2.643171806167401E-2</v>
      </c>
      <c r="CK250" s="32">
        <f t="shared" si="564"/>
        <v>0.3</v>
      </c>
      <c r="CL250" s="32">
        <f ca="1">CL77</f>
        <v>0.30752910323550336</v>
      </c>
      <c r="CM250" s="486">
        <f t="shared" si="564"/>
        <v>0.23449999999999999</v>
      </c>
      <c r="CN250" s="32">
        <f t="shared" si="564"/>
        <v>0.25</v>
      </c>
      <c r="CO250" s="32">
        <f t="shared" si="564"/>
        <v>0.25</v>
      </c>
      <c r="CP250" s="32">
        <f t="shared" si="564"/>
        <v>0.25</v>
      </c>
      <c r="CQ250" s="32">
        <f ca="1">CQ77</f>
        <v>0.24999999999999992</v>
      </c>
      <c r="CR250" s="486">
        <f t="shared" si="564"/>
        <v>0.25</v>
      </c>
      <c r="CS250" s="32">
        <f t="shared" si="564"/>
        <v>0.25</v>
      </c>
      <c r="CT250" s="32">
        <f t="shared" si="564"/>
        <v>0.25</v>
      </c>
      <c r="CU250" s="32">
        <f t="shared" si="564"/>
        <v>0.25</v>
      </c>
      <c r="CV250" s="32">
        <f t="shared" ref="CV250:DG250" ca="1" si="565">CV77</f>
        <v>0.25000000000000006</v>
      </c>
      <c r="CW250" s="486">
        <f t="shared" si="565"/>
        <v>0.25</v>
      </c>
      <c r="CX250" s="32">
        <f t="shared" si="565"/>
        <v>0.25</v>
      </c>
      <c r="CY250" s="32">
        <f t="shared" si="565"/>
        <v>0.25</v>
      </c>
      <c r="CZ250" s="32">
        <f t="shared" si="565"/>
        <v>0.25</v>
      </c>
      <c r="DA250" s="32">
        <f t="shared" ca="1" si="565"/>
        <v>0.24999999999999992</v>
      </c>
      <c r="DB250" s="486">
        <f t="shared" si="565"/>
        <v>0.25</v>
      </c>
      <c r="DC250" s="32">
        <f t="shared" si="565"/>
        <v>0.25</v>
      </c>
      <c r="DD250" s="32">
        <f t="shared" si="565"/>
        <v>0.25</v>
      </c>
      <c r="DE250" s="32">
        <f t="shared" si="565"/>
        <v>0.25</v>
      </c>
      <c r="DF250" s="32">
        <f t="shared" ca="1" si="565"/>
        <v>0.25</v>
      </c>
      <c r="DG250" s="486">
        <f t="shared" si="565"/>
        <v>0.25</v>
      </c>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c r="GS250"/>
      <c r="GT250"/>
      <c r="GU250"/>
      <c r="GV250"/>
      <c r="GW250"/>
      <c r="GX250"/>
      <c r="GY250"/>
      <c r="GZ250"/>
      <c r="HA250"/>
      <c r="HB250"/>
      <c r="HC250"/>
      <c r="HD250"/>
      <c r="HE250"/>
      <c r="HF250"/>
      <c r="HG250"/>
      <c r="HH250"/>
      <c r="HI250"/>
      <c r="HJ250"/>
      <c r="HK250"/>
      <c r="HL250"/>
      <c r="HM250"/>
      <c r="HN250"/>
      <c r="HO250"/>
      <c r="HP250"/>
      <c r="HQ250"/>
      <c r="HR250"/>
    </row>
    <row r="251" spans="1:226" s="19" customFormat="1" x14ac:dyDescent="0.2">
      <c r="A251" s="80" t="s">
        <v>67</v>
      </c>
      <c r="B251" s="130"/>
      <c r="C251" s="130"/>
      <c r="D251" s="130"/>
      <c r="E251" s="130"/>
      <c r="F251" s="462"/>
      <c r="G251" s="130">
        <f t="shared" ref="G251:AT251" si="566">G249*(1-G250)</f>
        <v>126.65384615384616</v>
      </c>
      <c r="H251" s="130">
        <f t="shared" si="566"/>
        <v>87.92</v>
      </c>
      <c r="I251" s="130">
        <f t="shared" si="566"/>
        <v>88.888888888888872</v>
      </c>
      <c r="J251" s="130">
        <f t="shared" si="566"/>
        <v>166.05217391304348</v>
      </c>
      <c r="K251" s="462">
        <f t="shared" si="566"/>
        <v>483.86249999999995</v>
      </c>
      <c r="L251" s="130">
        <f t="shared" si="566"/>
        <v>169.00819672131146</v>
      </c>
      <c r="M251" s="130">
        <f t="shared" si="566"/>
        <v>108.44366197183101</v>
      </c>
      <c r="N251" s="130">
        <f t="shared" si="566"/>
        <v>113.29479768786128</v>
      </c>
      <c r="O251" s="130">
        <f t="shared" si="566"/>
        <v>156.35123966942149</v>
      </c>
      <c r="P251" s="462">
        <f t="shared" si="566"/>
        <v>548.00998751560553</v>
      </c>
      <c r="Q251" s="130">
        <f t="shared" si="566"/>
        <v>120.81460674157304</v>
      </c>
      <c r="R251" s="130">
        <f t="shared" si="566"/>
        <v>104.27922077922079</v>
      </c>
      <c r="S251" s="130">
        <f t="shared" si="566"/>
        <v>116.30681818181817</v>
      </c>
      <c r="T251" s="130">
        <f t="shared" si="566"/>
        <v>162.25819672131146</v>
      </c>
      <c r="U251" s="462">
        <f t="shared" si="566"/>
        <v>503.68351063829795</v>
      </c>
      <c r="V251" s="130">
        <f t="shared" si="566"/>
        <v>111.61077844311376</v>
      </c>
      <c r="W251" s="130">
        <f t="shared" si="566"/>
        <v>127.58762886597937</v>
      </c>
      <c r="X251" s="130">
        <f t="shared" si="566"/>
        <v>154.10218978102188</v>
      </c>
      <c r="Y251" s="130">
        <f t="shared" si="566"/>
        <v>168.83116883116884</v>
      </c>
      <c r="Z251" s="462">
        <f t="shared" si="566"/>
        <v>556.71467764060367</v>
      </c>
      <c r="AA251" s="130">
        <f t="shared" si="566"/>
        <v>129.74025974025975</v>
      </c>
      <c r="AB251" s="130">
        <f t="shared" si="566"/>
        <v>104.44166666666666</v>
      </c>
      <c r="AC251" s="130">
        <f t="shared" si="566"/>
        <v>132.91666666666666</v>
      </c>
      <c r="AD251" s="130">
        <f t="shared" si="566"/>
        <v>185.07109004739337</v>
      </c>
      <c r="AE251" s="462">
        <f t="shared" si="566"/>
        <v>552.22358346094938</v>
      </c>
      <c r="AF251" s="130">
        <f t="shared" si="566"/>
        <v>131.19999999999999</v>
      </c>
      <c r="AG251" s="130">
        <f t="shared" si="566"/>
        <v>110.4044117647059</v>
      </c>
      <c r="AH251" s="130">
        <f t="shared" si="566"/>
        <v>153.06217616580309</v>
      </c>
      <c r="AI251" s="130">
        <f t="shared" si="566"/>
        <v>187.3305439330544</v>
      </c>
      <c r="AJ251" s="462">
        <f t="shared" si="566"/>
        <v>582.11574697173614</v>
      </c>
      <c r="AK251" s="130">
        <f t="shared" si="566"/>
        <v>149.27586206896552</v>
      </c>
      <c r="AL251" s="130">
        <f t="shared" si="566"/>
        <v>127.21875</v>
      </c>
      <c r="AM251" s="130">
        <f t="shared" si="566"/>
        <v>143.04635761589404</v>
      </c>
      <c r="AN251" s="130">
        <f t="shared" si="566"/>
        <v>186.96666666666667</v>
      </c>
      <c r="AO251" s="462">
        <f t="shared" si="566"/>
        <v>606.01875901875894</v>
      </c>
      <c r="AP251" s="130">
        <f t="shared" si="566"/>
        <v>163.09677419354841</v>
      </c>
      <c r="AQ251" s="130">
        <f t="shared" si="566"/>
        <v>119.48091603053435</v>
      </c>
      <c r="AR251" s="130">
        <f t="shared" si="566"/>
        <v>190.42918454935619</v>
      </c>
      <c r="AS251" s="130">
        <f t="shared" si="566"/>
        <v>213.63984674329501</v>
      </c>
      <c r="AT251" s="462">
        <f t="shared" si="566"/>
        <v>686.64488286066592</v>
      </c>
      <c r="AU251" s="130">
        <f t="shared" ref="AU251:BD251" si="567">AU249*(1-AU250)</f>
        <v>172.25806451612902</v>
      </c>
      <c r="AV251" s="130">
        <f t="shared" si="567"/>
        <v>133.05109489051094</v>
      </c>
      <c r="AW251" s="130">
        <f t="shared" si="567"/>
        <v>167.63157894736844</v>
      </c>
      <c r="AX251" s="130">
        <f t="shared" si="567"/>
        <v>172.31404958677683</v>
      </c>
      <c r="AY251" s="462">
        <f>AY249*(1-AY250)</f>
        <v>644.26832298136651</v>
      </c>
      <c r="AZ251" s="130">
        <f t="shared" si="567"/>
        <v>164.08415841584159</v>
      </c>
      <c r="BA251" s="130">
        <f t="shared" si="567"/>
        <v>109.96300000000001</v>
      </c>
      <c r="BB251" s="130">
        <f t="shared" si="567"/>
        <v>156.29109589041096</v>
      </c>
      <c r="BC251" s="130">
        <f>BC249*(1-BC250)</f>
        <v>190.12499999999997</v>
      </c>
      <c r="BD251" s="462">
        <f t="shared" si="567"/>
        <v>620.22711814859929</v>
      </c>
      <c r="BE251" s="130">
        <f t="shared" ref="BE251:CU251" si="568">BE249*(1-BE250)</f>
        <v>147.72727272727272</v>
      </c>
      <c r="BF251" s="130">
        <f t="shared" si="568"/>
        <v>122.95161290322582</v>
      </c>
      <c r="BG251" s="130">
        <f t="shared" si="568"/>
        <v>154.64141414141412</v>
      </c>
      <c r="BH251" s="130">
        <f>BH249*(1-BH250)</f>
        <v>203.80876494023906</v>
      </c>
      <c r="BI251" s="462">
        <f t="shared" si="568"/>
        <v>629.15233881163078</v>
      </c>
      <c r="BJ251" s="130">
        <f t="shared" si="568"/>
        <v>157.33762886597938</v>
      </c>
      <c r="BK251" s="130">
        <f t="shared" si="568"/>
        <v>140.33776595744681</v>
      </c>
      <c r="BL251" s="130">
        <f t="shared" si="568"/>
        <v>156.2227722772277</v>
      </c>
      <c r="BM251" s="130">
        <f>BM249*(1-BM250)</f>
        <v>208.96654275092936</v>
      </c>
      <c r="BN251" s="462">
        <f t="shared" si="568"/>
        <v>662.82532239155921</v>
      </c>
      <c r="BO251" s="130">
        <f t="shared" si="568"/>
        <v>157.44549763033177</v>
      </c>
      <c r="BP251" s="130">
        <f t="shared" si="568"/>
        <v>132.55652173913046</v>
      </c>
      <c r="BQ251" s="130">
        <f t="shared" si="568"/>
        <v>165.92654867256635</v>
      </c>
      <c r="BR251" s="130">
        <f>BR249*(1-BR250)</f>
        <v>183.78859315589352</v>
      </c>
      <c r="BS251" s="462">
        <f t="shared" si="568"/>
        <v>639.69185520361987</v>
      </c>
      <c r="BT251" s="130">
        <f t="shared" si="568"/>
        <v>164.1756880733945</v>
      </c>
      <c r="BU251" s="130">
        <f t="shared" si="568"/>
        <v>143.81827411167512</v>
      </c>
      <c r="BV251" s="130">
        <f t="shared" si="568"/>
        <v>160.1483870967742</v>
      </c>
      <c r="BW251" s="130">
        <f>BW249*(1-BW250)</f>
        <v>195.53979238754326</v>
      </c>
      <c r="BX251" s="462">
        <f t="shared" si="568"/>
        <v>663.57263843648207</v>
      </c>
      <c r="BY251" s="130">
        <f t="shared" si="568"/>
        <v>187.41666666666666</v>
      </c>
      <c r="BZ251" s="130">
        <f t="shared" si="568"/>
        <v>163.04086956521738</v>
      </c>
      <c r="CA251" s="130">
        <f t="shared" si="568"/>
        <v>175.10126582278482</v>
      </c>
      <c r="CB251" s="130">
        <f>CB249*(1-CB250)</f>
        <v>175.47619047619048</v>
      </c>
      <c r="CC251" s="462">
        <f t="shared" si="568"/>
        <v>700.96276703967453</v>
      </c>
      <c r="CD251" s="130">
        <f t="shared" si="568"/>
        <v>190.66338880484113</v>
      </c>
      <c r="CE251" s="130">
        <f t="shared" si="568"/>
        <v>179.53200883002208</v>
      </c>
      <c r="CF251" s="130">
        <f t="shared" si="568"/>
        <v>176.33333333333334</v>
      </c>
      <c r="CG251" s="130">
        <f>CG249*(1-CG250)</f>
        <v>219.94041976980367</v>
      </c>
      <c r="CH251" s="462">
        <f t="shared" si="568"/>
        <v>767.24956471271037</v>
      </c>
      <c r="CI251" s="130">
        <f t="shared" si="568"/>
        <v>208.51612903225808</v>
      </c>
      <c r="CJ251" s="130">
        <f t="shared" si="568"/>
        <v>247.37004405286342</v>
      </c>
      <c r="CK251" s="130">
        <f t="shared" si="568"/>
        <v>183.63711812653594</v>
      </c>
      <c r="CL251" s="130">
        <f ca="1">CL249*(1-CL250)</f>
        <v>223.42769103137687</v>
      </c>
      <c r="CM251" s="462">
        <f t="shared" ca="1" si="568"/>
        <v>864.24304310168941</v>
      </c>
      <c r="CN251" s="130">
        <f t="shared" si="568"/>
        <v>234.04685112949659</v>
      </c>
      <c r="CO251" s="130">
        <f t="shared" si="568"/>
        <v>187.30950201034915</v>
      </c>
      <c r="CP251" s="130">
        <f t="shared" si="568"/>
        <v>209.26166604992829</v>
      </c>
      <c r="CQ251" s="130">
        <f ca="1">CQ249*(1-CQ250)</f>
        <v>244.92532046722735</v>
      </c>
      <c r="CR251" s="462">
        <f t="shared" ca="1" si="568"/>
        <v>875.54333965700141</v>
      </c>
      <c r="CS251" s="130">
        <f t="shared" si="568"/>
        <v>246.28323399145765</v>
      </c>
      <c r="CT251" s="130">
        <f t="shared" si="568"/>
        <v>198.46897020378066</v>
      </c>
      <c r="CU251" s="130">
        <f t="shared" si="568"/>
        <v>221.10112469255552</v>
      </c>
      <c r="CV251" s="130">
        <f t="shared" ref="CV251:DG251" ca="1" si="569">CV249*(1-CV250)</f>
        <v>258.39900790836373</v>
      </c>
      <c r="CW251" s="462">
        <f t="shared" ca="1" si="569"/>
        <v>924.25233679615758</v>
      </c>
      <c r="CX251" s="130">
        <f t="shared" si="569"/>
        <v>255.01833235007183</v>
      </c>
      <c r="CY251" s="130">
        <f t="shared" si="569"/>
        <v>206.19691570160722</v>
      </c>
      <c r="CZ251" s="130">
        <f t="shared" si="569"/>
        <v>229.03320188085641</v>
      </c>
      <c r="DA251" s="130">
        <f t="shared" ca="1" si="569"/>
        <v>266.99041450787774</v>
      </c>
      <c r="DB251" s="462">
        <f t="shared" ca="1" si="569"/>
        <v>957.23886444041307</v>
      </c>
      <c r="DC251" s="130">
        <f t="shared" si="569"/>
        <v>263.66231463404898</v>
      </c>
      <c r="DD251" s="130">
        <f t="shared" si="569"/>
        <v>213.83143243185367</v>
      </c>
      <c r="DE251" s="130">
        <f t="shared" si="569"/>
        <v>236.84108326252607</v>
      </c>
      <c r="DF251" s="130">
        <f t="shared" ca="1" si="569"/>
        <v>275.42450898966388</v>
      </c>
      <c r="DG251" s="462">
        <f t="shared" ca="1" si="569"/>
        <v>989.75933931809254</v>
      </c>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c r="FX251"/>
      <c r="FY251"/>
      <c r="FZ251"/>
      <c r="GA251"/>
      <c r="GB251"/>
      <c r="GC251"/>
      <c r="GD251"/>
      <c r="GE251"/>
      <c r="GF251"/>
      <c r="GG251"/>
      <c r="GH251"/>
      <c r="GI251"/>
      <c r="GJ251"/>
      <c r="GK251"/>
      <c r="GL251"/>
      <c r="GM251"/>
      <c r="GN251"/>
      <c r="GO251"/>
      <c r="GP251"/>
      <c r="GQ251"/>
      <c r="GR251"/>
      <c r="GS251"/>
      <c r="GT251"/>
      <c r="GU251"/>
      <c r="GV251"/>
      <c r="GW251"/>
      <c r="GX251"/>
      <c r="GY251"/>
      <c r="GZ251"/>
      <c r="HA251"/>
      <c r="HB251"/>
      <c r="HC251"/>
      <c r="HD251"/>
      <c r="HE251"/>
      <c r="HF251"/>
      <c r="HG251"/>
      <c r="HH251"/>
      <c r="HI251"/>
      <c r="HJ251"/>
      <c r="HK251"/>
      <c r="HL251"/>
      <c r="HM251"/>
      <c r="HN251"/>
      <c r="HO251"/>
      <c r="HP251"/>
      <c r="HQ251"/>
      <c r="HR251"/>
    </row>
    <row r="252" spans="1:226" s="19" customFormat="1" x14ac:dyDescent="0.2">
      <c r="A252" s="80" t="s">
        <v>174</v>
      </c>
      <c r="B252" s="130"/>
      <c r="C252" s="130"/>
      <c r="D252" s="130"/>
      <c r="E252" s="130"/>
      <c r="F252" s="462"/>
      <c r="G252" s="535" t="s">
        <v>198</v>
      </c>
      <c r="H252" s="535" t="s">
        <v>198</v>
      </c>
      <c r="I252" s="535" t="s">
        <v>198</v>
      </c>
      <c r="J252" s="535" t="s">
        <v>198</v>
      </c>
      <c r="K252" s="462">
        <f>K251</f>
        <v>483.86249999999995</v>
      </c>
      <c r="L252" s="130">
        <f>SUM(H251,I251,J251,L251)</f>
        <v>511.86925952324384</v>
      </c>
      <c r="M252" s="130">
        <f>SUM(I251,J251,L251,M251)</f>
        <v>532.3929214950748</v>
      </c>
      <c r="N252" s="130">
        <f>SUM(J251,L251,M251,N251)</f>
        <v>556.79883029404732</v>
      </c>
      <c r="O252" s="130">
        <f>SUM(L251,M251,N251,O251)</f>
        <v>547.09789605042522</v>
      </c>
      <c r="P252" s="462">
        <f>P251</f>
        <v>548.00998751560553</v>
      </c>
      <c r="Q252" s="130">
        <f>SUM(M251,N251,O251,Q251)</f>
        <v>498.90430607068686</v>
      </c>
      <c r="R252" s="130">
        <f>SUM(N251,O251,Q251,R251)</f>
        <v>494.73986487807662</v>
      </c>
      <c r="S252" s="130">
        <f>SUM(O251,Q251,R251,S251)</f>
        <v>497.75188537203348</v>
      </c>
      <c r="T252" s="130">
        <f>SUM(Q251,R251,S251,T251)</f>
        <v>503.65884242392349</v>
      </c>
      <c r="U252" s="462">
        <f>U251</f>
        <v>503.68351063829795</v>
      </c>
      <c r="V252" s="130">
        <f>SUM(R251,S251,T251,V251)</f>
        <v>494.45501412546423</v>
      </c>
      <c r="W252" s="130">
        <f>SUM(S251,T251,V251,W251)</f>
        <v>517.76342221222274</v>
      </c>
      <c r="X252" s="130">
        <f>SUM(T251,V251,W251,X251)</f>
        <v>555.55879381142654</v>
      </c>
      <c r="Y252" s="130">
        <f>SUM(V251,W251,X251,Y251)</f>
        <v>562.13176592128389</v>
      </c>
      <c r="Z252" s="462">
        <f>Z251</f>
        <v>556.71467764060367</v>
      </c>
      <c r="AA252" s="130">
        <f>SUM(W251,X251,Y251,AA251)</f>
        <v>580.26124721842984</v>
      </c>
      <c r="AB252" s="130">
        <f>SUM(X251,Y251,AA251,AB251)</f>
        <v>557.11528501911721</v>
      </c>
      <c r="AC252" s="130">
        <f>SUM(Y251,AA251,AB251,AC251)</f>
        <v>535.9297619047619</v>
      </c>
      <c r="AD252" s="130">
        <f>SUM(AA251,AB251,AC251,AD251)</f>
        <v>552.16968312098641</v>
      </c>
      <c r="AE252" s="462">
        <f>AE251</f>
        <v>552.22358346094938</v>
      </c>
      <c r="AF252" s="130">
        <f>SUM(AB251,AC251,AD251,AF251)</f>
        <v>553.62942338072662</v>
      </c>
      <c r="AG252" s="130">
        <f>SUM(AC251,AD251,AF251,AG251)</f>
        <v>559.59216847876587</v>
      </c>
      <c r="AH252" s="130">
        <f>SUM(AD251,AF251,AG251,AH251)</f>
        <v>579.73767797790242</v>
      </c>
      <c r="AI252" s="130">
        <f>SUM(AF251,AG251,AH251,AI251)</f>
        <v>581.99713186356337</v>
      </c>
      <c r="AJ252" s="462">
        <f>AJ251</f>
        <v>582.11574697173614</v>
      </c>
      <c r="AK252" s="130">
        <f>SUM(AG251,AH251,AI251,AK251)</f>
        <v>600.0729939325289</v>
      </c>
      <c r="AL252" s="130">
        <f>SUM(AH251,AI251,AK251,AL251)</f>
        <v>616.88733216782293</v>
      </c>
      <c r="AM252" s="130">
        <f>SUM(AI251,AK251,AL251,AM251)</f>
        <v>606.87151361791393</v>
      </c>
      <c r="AN252" s="130">
        <f>SUM(AK251,AL251,AM251,AN251)</f>
        <v>606.50763635152623</v>
      </c>
      <c r="AO252" s="462">
        <f>AO251</f>
        <v>606.01875901875894</v>
      </c>
      <c r="AP252" s="130">
        <f>SUM(AL251,AM251,AN251,AP251)</f>
        <v>620.32854847610918</v>
      </c>
      <c r="AQ252" s="130">
        <f>SUM(AM251,AN251,AP251,AQ251)</f>
        <v>612.59071450664351</v>
      </c>
      <c r="AR252" s="130">
        <f>SUM(AN251,AP251,AQ251,AR251)</f>
        <v>659.97354144010569</v>
      </c>
      <c r="AS252" s="130">
        <f>SUM(AP251,AQ251,AR251,AS251)</f>
        <v>686.64672151673392</v>
      </c>
      <c r="AT252" s="462">
        <f>AT251</f>
        <v>686.64488286066592</v>
      </c>
      <c r="AU252" s="130">
        <f>SUM(AQ251,AR251,AS251,AU251)</f>
        <v>695.80801183931453</v>
      </c>
      <c r="AV252" s="130">
        <f>SUM(AR251,AS251,AU251,AV251)</f>
        <v>709.37819069929117</v>
      </c>
      <c r="AW252" s="130">
        <f>SUM(AS251,AU251,AV251,AW251)</f>
        <v>686.58058509730347</v>
      </c>
      <c r="AX252" s="130">
        <f>SUM(AU251,AV251,AW251,AX251)</f>
        <v>645.25478794078526</v>
      </c>
      <c r="AY252" s="462">
        <f>AY251</f>
        <v>644.26832298136651</v>
      </c>
      <c r="AZ252" s="130">
        <f>SUM(AV251,AW251,AX251,AZ251)</f>
        <v>637.0808818404978</v>
      </c>
      <c r="BA252" s="130">
        <f>SUM(AW251,AX251,AZ251,BA251)</f>
        <v>613.99278694998679</v>
      </c>
      <c r="BB252" s="130">
        <f>SUM(AX251,AY251,BA251,BB251)</f>
        <v>1082.8364684585542</v>
      </c>
      <c r="BC252" s="130">
        <f>SUM(AZ251,BA251,BB251,BC251)</f>
        <v>620.46325430625257</v>
      </c>
      <c r="BD252" s="462">
        <f>BD251</f>
        <v>620.22711814859929</v>
      </c>
      <c r="BE252" s="130">
        <f>SUM(BA251,BB251,BC251,BE251)</f>
        <v>604.10636861768364</v>
      </c>
      <c r="BF252" s="130">
        <f>SUM(BB251,BC251,BE251,BF251)</f>
        <v>617.09498152090953</v>
      </c>
      <c r="BG252" s="130">
        <f>SUM(BC251,BE251,BF251,BG251)</f>
        <v>615.44529977191257</v>
      </c>
      <c r="BH252" s="130">
        <f>SUM(BE251,BF251,BG251,BH251)</f>
        <v>629.12906471215172</v>
      </c>
      <c r="BI252" s="462">
        <f>BI251</f>
        <v>629.15233881163078</v>
      </c>
      <c r="BJ252" s="130">
        <f>SUM(BF251,BG251,BH251,BJ251)</f>
        <v>638.73942085085832</v>
      </c>
      <c r="BK252" s="130">
        <f>SUM(BG251,BH251,BJ251,BK251)</f>
        <v>656.12557390507936</v>
      </c>
      <c r="BL252" s="130">
        <f>SUM(BH251,BJ251,BK251,BL251)</f>
        <v>657.70693204089298</v>
      </c>
      <c r="BM252" s="130">
        <f>SUM(BJ251,BK251,BL251,BM251)</f>
        <v>662.86470985158326</v>
      </c>
      <c r="BN252" s="462">
        <f>BN251</f>
        <v>662.82532239155921</v>
      </c>
      <c r="BO252" s="130">
        <f>SUM(BK251,BL251,BM251,BO251)</f>
        <v>662.97257861593562</v>
      </c>
      <c r="BP252" s="130">
        <f>SUM(BL251,BM251,BO251,BP251)</f>
        <v>655.19133439761936</v>
      </c>
      <c r="BQ252" s="130">
        <f>SUM(BM251,BO251,BP251,BQ251)</f>
        <v>664.89511079295789</v>
      </c>
      <c r="BR252" s="130">
        <f>SUM(BO251,BP251,BQ251,BR251)</f>
        <v>639.71716119792211</v>
      </c>
      <c r="BS252" s="462">
        <f>BS251</f>
        <v>639.69185520361987</v>
      </c>
      <c r="BT252" s="130">
        <f>SUM(BP251,BQ251,BR251,BT251)</f>
        <v>646.44735164098483</v>
      </c>
      <c r="BU252" s="130">
        <f>SUM(BQ251,BR251,BT251,BU251)</f>
        <v>657.70910401352955</v>
      </c>
      <c r="BV252" s="130">
        <f>SUM(BR251,BT251,BU251,BV251)</f>
        <v>651.93094243773737</v>
      </c>
      <c r="BW252" s="130">
        <f>SUM(BT251,BU251,BV251,BW251)</f>
        <v>663.68214166938708</v>
      </c>
      <c r="BX252" s="462">
        <f>BX251</f>
        <v>663.57263843648207</v>
      </c>
      <c r="BY252" s="130">
        <f>SUM(BU251,BV251,BW251,BY251)</f>
        <v>686.92312026265915</v>
      </c>
      <c r="BZ252" s="130">
        <f>SUM(BV251,BW251,BY251,BZ251)</f>
        <v>706.14571571620149</v>
      </c>
      <c r="CA252" s="130">
        <f>SUM(BW251,BY251,BZ251,CA251)</f>
        <v>721.09859444221217</v>
      </c>
      <c r="CB252" s="130">
        <f>SUM(BY251,BZ251,CA251,CB251)</f>
        <v>701.03499253085931</v>
      </c>
      <c r="CC252" s="462">
        <f>CC251</f>
        <v>700.96276703967453</v>
      </c>
      <c r="CD252" s="130">
        <f>SUM(BZ251,CA251,CB251,CD251)</f>
        <v>704.28171466903382</v>
      </c>
      <c r="CE252" s="130">
        <f>SUM(CA251,CB251,CD251,CE251)</f>
        <v>720.77285393383852</v>
      </c>
      <c r="CF252" s="130">
        <f>SUM(CB251,CD251,CE251,CF251)</f>
        <v>722.00492144438704</v>
      </c>
      <c r="CG252" s="130">
        <f>SUM(CD251,CE251,CF251,CG251)</f>
        <v>766.46915073800028</v>
      </c>
      <c r="CH252" s="462">
        <f>CH251</f>
        <v>767.24956471271037</v>
      </c>
      <c r="CI252" s="130">
        <f>SUM(CE251,CF251,CG251,CI251)</f>
        <v>784.3218909654172</v>
      </c>
      <c r="CJ252" s="130">
        <f>SUM(CF251,CG251,CI251,CJ251)</f>
        <v>852.1599261882584</v>
      </c>
      <c r="CK252" s="130">
        <f>SUM(CG251,CI251,CJ251,CK251)</f>
        <v>859.46371098146108</v>
      </c>
      <c r="CL252" s="130">
        <f ca="1">SUM(CI251,CJ251,CK251,CL251)</f>
        <v>862.95098224303433</v>
      </c>
      <c r="CM252" s="462">
        <f ca="1">CM251</f>
        <v>864.24304310168941</v>
      </c>
      <c r="CN252" s="130">
        <f ca="1">SUM(CJ251,CK251,CL251,CN251)</f>
        <v>888.48170434027293</v>
      </c>
      <c r="CO252" s="130">
        <f ca="1">SUM(CK251,CL251,CN251,CO251)</f>
        <v>828.42116229775866</v>
      </c>
      <c r="CP252" s="130">
        <f ca="1">SUM(CL251,CN251,CO251,CP251)</f>
        <v>854.0457102211509</v>
      </c>
      <c r="CQ252" s="130">
        <f ca="1">SUM(CN251,CO251,CP251,CQ251)</f>
        <v>875.54333965700141</v>
      </c>
      <c r="CR252" s="462">
        <f ca="1">CR251</f>
        <v>875.54333965700141</v>
      </c>
      <c r="CS252" s="130">
        <f ca="1">SUM(CO251,CP251,CQ251,CS251)</f>
        <v>887.77972251896244</v>
      </c>
      <c r="CT252" s="130">
        <f ca="1">SUM(CP251,CQ251,CS251,CT251)</f>
        <v>898.93919071239407</v>
      </c>
      <c r="CU252" s="130">
        <f ca="1">SUM(CQ251,CS251,CT251,CU251)</f>
        <v>910.77864935502112</v>
      </c>
      <c r="CV252" s="130">
        <f ca="1">SUM(CS251,CT251,CU251,CV251)</f>
        <v>924.25233679615758</v>
      </c>
      <c r="CW252" s="462">
        <f ca="1">CW251</f>
        <v>924.25233679615758</v>
      </c>
      <c r="CX252" s="130">
        <f ca="1">SUM(CT251,CU251,CV251,CX251)</f>
        <v>932.98743515477167</v>
      </c>
      <c r="CY252" s="130">
        <f ca="1">SUM(CU251,CV251,CX251,CY251)</f>
        <v>940.71538065259824</v>
      </c>
      <c r="CZ252" s="130">
        <f ca="1">SUM(CV251,CX251,CY251,CZ251)</f>
        <v>948.64745784089916</v>
      </c>
      <c r="DA252" s="130">
        <f ca="1">SUM(CX251,CY251,CZ251,DA251)</f>
        <v>957.23886444041318</v>
      </c>
      <c r="DB252" s="462">
        <f ca="1">DB251</f>
        <v>957.23886444041307</v>
      </c>
      <c r="DC252" s="130">
        <f ca="1">SUM(CY251,CZ251,DA251,DC251)</f>
        <v>965.88284672439045</v>
      </c>
      <c r="DD252" s="130">
        <f ca="1">SUM(CZ251,DA251,DC251,DD251)</f>
        <v>973.51736345463678</v>
      </c>
      <c r="DE252" s="130">
        <f ca="1">SUM(DA251,DC251,DD251,DE251)</f>
        <v>981.32524483630664</v>
      </c>
      <c r="DF252" s="130">
        <f ca="1">SUM(DC251,DD251,DE251,DF251)</f>
        <v>989.75933931809266</v>
      </c>
      <c r="DG252" s="462">
        <f ca="1">DG251</f>
        <v>989.75933931809254</v>
      </c>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c r="FX252"/>
      <c r="FY252"/>
      <c r="FZ252"/>
      <c r="GA252"/>
      <c r="GB252"/>
      <c r="GC252"/>
      <c r="GD252"/>
      <c r="GE252"/>
      <c r="GF252"/>
      <c r="GG252"/>
      <c r="GH252"/>
      <c r="GI252"/>
      <c r="GJ252"/>
      <c r="GK252"/>
      <c r="GL252"/>
      <c r="GM252"/>
      <c r="GN252"/>
      <c r="GO252"/>
      <c r="GP252"/>
      <c r="GQ252"/>
      <c r="GR252"/>
      <c r="GS252"/>
      <c r="GT252"/>
      <c r="GU252"/>
      <c r="GV252"/>
      <c r="GW252"/>
      <c r="GX252"/>
      <c r="GY252"/>
      <c r="GZ252"/>
      <c r="HA252"/>
      <c r="HB252"/>
      <c r="HC252"/>
      <c r="HD252"/>
      <c r="HE252"/>
      <c r="HF252"/>
      <c r="HG252"/>
      <c r="HH252"/>
      <c r="HI252"/>
      <c r="HJ252"/>
      <c r="HK252"/>
      <c r="HL252"/>
      <c r="HM252"/>
      <c r="HN252"/>
      <c r="HO252"/>
      <c r="HP252"/>
      <c r="HQ252"/>
      <c r="HR252"/>
    </row>
    <row r="253" spans="1:226" s="19" customFormat="1" x14ac:dyDescent="0.2">
      <c r="A253" s="80" t="s">
        <v>175</v>
      </c>
      <c r="B253" s="21"/>
      <c r="C253" s="21"/>
      <c r="D253" s="21"/>
      <c r="E253" s="21"/>
      <c r="F253" s="482"/>
      <c r="G253" s="21">
        <f>SUM(G241,G245)</f>
        <v>2734</v>
      </c>
      <c r="H253" s="21">
        <f t="shared" ref="H253:AW253" si="570">SUM(H241,H245)</f>
        <v>2593</v>
      </c>
      <c r="I253" s="21">
        <f t="shared" si="570"/>
        <v>2524</v>
      </c>
      <c r="J253" s="21">
        <f t="shared" si="570"/>
        <v>2376</v>
      </c>
      <c r="K253" s="482">
        <f t="shared" si="570"/>
        <v>2376</v>
      </c>
      <c r="L253" s="21">
        <f t="shared" si="570"/>
        <v>2314</v>
      </c>
      <c r="M253" s="21">
        <f t="shared" si="570"/>
        <v>2315</v>
      </c>
      <c r="N253" s="21">
        <f t="shared" si="570"/>
        <v>2440</v>
      </c>
      <c r="O253" s="21">
        <f t="shared" si="570"/>
        <v>2284</v>
      </c>
      <c r="P253" s="482">
        <f t="shared" si="570"/>
        <v>2284</v>
      </c>
      <c r="Q253" s="21">
        <f t="shared" si="570"/>
        <v>2305</v>
      </c>
      <c r="R253" s="21">
        <f t="shared" si="570"/>
        <v>2327</v>
      </c>
      <c r="S253" s="21">
        <f t="shared" si="570"/>
        <v>2302</v>
      </c>
      <c r="T253" s="21">
        <f t="shared" si="570"/>
        <v>2306</v>
      </c>
      <c r="U253" s="482">
        <f t="shared" si="570"/>
        <v>2306</v>
      </c>
      <c r="V253" s="21">
        <f t="shared" si="570"/>
        <v>2291</v>
      </c>
      <c r="W253" s="21">
        <f t="shared" si="570"/>
        <v>2214</v>
      </c>
      <c r="X253" s="21">
        <f t="shared" si="570"/>
        <v>2187</v>
      </c>
      <c r="Y253" s="21">
        <f t="shared" si="570"/>
        <v>1930</v>
      </c>
      <c r="Z253" s="482">
        <f t="shared" si="570"/>
        <v>1930</v>
      </c>
      <c r="AA253" s="21">
        <f t="shared" si="570"/>
        <v>2147</v>
      </c>
      <c r="AB253" s="21">
        <f t="shared" si="570"/>
        <v>2115</v>
      </c>
      <c r="AC253" s="21">
        <f t="shared" si="570"/>
        <v>2159</v>
      </c>
      <c r="AD253" s="21">
        <f t="shared" si="570"/>
        <v>2118</v>
      </c>
      <c r="AE253" s="482">
        <f t="shared" si="570"/>
        <v>2118</v>
      </c>
      <c r="AF253" s="21">
        <f t="shared" si="570"/>
        <v>2130</v>
      </c>
      <c r="AG253" s="21">
        <f t="shared" si="570"/>
        <v>2208</v>
      </c>
      <c r="AH253" s="21">
        <f t="shared" si="570"/>
        <v>2262</v>
      </c>
      <c r="AI253" s="21">
        <f t="shared" si="570"/>
        <v>2207</v>
      </c>
      <c r="AJ253" s="482">
        <f t="shared" si="570"/>
        <v>2207</v>
      </c>
      <c r="AK253" s="21">
        <f t="shared" si="570"/>
        <v>2212</v>
      </c>
      <c r="AL253" s="21">
        <f t="shared" si="570"/>
        <v>3209</v>
      </c>
      <c r="AM253" s="21">
        <f t="shared" si="570"/>
        <v>3208</v>
      </c>
      <c r="AN253" s="21">
        <f t="shared" si="570"/>
        <v>3105</v>
      </c>
      <c r="AO253" s="482">
        <f t="shared" si="570"/>
        <v>3105</v>
      </c>
      <c r="AP253" s="21">
        <f t="shared" si="570"/>
        <v>3083</v>
      </c>
      <c r="AQ253" s="21">
        <f t="shared" si="570"/>
        <v>2953</v>
      </c>
      <c r="AR253" s="21">
        <f t="shared" si="570"/>
        <v>2952</v>
      </c>
      <c r="AS253" s="21">
        <f t="shared" si="570"/>
        <v>2974</v>
      </c>
      <c r="AT253" s="482">
        <f t="shared" si="570"/>
        <v>2974</v>
      </c>
      <c r="AU253" s="21">
        <f t="shared" si="570"/>
        <v>3122</v>
      </c>
      <c r="AV253" s="21">
        <f t="shared" si="570"/>
        <v>3062</v>
      </c>
      <c r="AW253" s="21">
        <f t="shared" si="570"/>
        <v>3198</v>
      </c>
      <c r="AX253" s="21">
        <f t="shared" ref="AX253:CA253" si="571">SUM(AX241,AX245)</f>
        <v>2878</v>
      </c>
      <c r="AY253" s="482">
        <f t="shared" si="571"/>
        <v>2878</v>
      </c>
      <c r="AZ253" s="21">
        <f t="shared" si="571"/>
        <v>3209</v>
      </c>
      <c r="BA253" s="21">
        <f t="shared" si="571"/>
        <v>2552</v>
      </c>
      <c r="BB253" s="21">
        <f>SUM(BB241,BB245)</f>
        <v>2386</v>
      </c>
      <c r="BC253" s="21">
        <f t="shared" si="571"/>
        <v>2498</v>
      </c>
      <c r="BD253" s="482">
        <f t="shared" si="571"/>
        <v>2498</v>
      </c>
      <c r="BE253" s="21">
        <f t="shared" si="571"/>
        <v>2486</v>
      </c>
      <c r="BF253" s="21">
        <f t="shared" si="571"/>
        <v>2697</v>
      </c>
      <c r="BG253" s="21">
        <f t="shared" si="571"/>
        <v>2744</v>
      </c>
      <c r="BH253" s="21">
        <f t="shared" si="571"/>
        <v>2586</v>
      </c>
      <c r="BI253" s="482">
        <f t="shared" si="571"/>
        <v>2586</v>
      </c>
      <c r="BJ253" s="21">
        <f t="shared" si="571"/>
        <v>3001</v>
      </c>
      <c r="BK253" s="21">
        <f t="shared" si="571"/>
        <v>2730</v>
      </c>
      <c r="BL253" s="21">
        <f t="shared" si="571"/>
        <v>2713</v>
      </c>
      <c r="BM253" s="21">
        <f t="shared" si="571"/>
        <v>2518</v>
      </c>
      <c r="BN253" s="482">
        <f t="shared" si="571"/>
        <v>2518</v>
      </c>
      <c r="BO253" s="21">
        <f t="shared" si="571"/>
        <v>2537</v>
      </c>
      <c r="BP253" s="21">
        <f t="shared" si="571"/>
        <v>2668</v>
      </c>
      <c r="BQ253" s="21">
        <f t="shared" si="571"/>
        <v>2617</v>
      </c>
      <c r="BR253" s="21">
        <f t="shared" si="571"/>
        <v>2467</v>
      </c>
      <c r="BS253" s="482">
        <f t="shared" si="571"/>
        <v>2467</v>
      </c>
      <c r="BT253" s="21">
        <f t="shared" si="571"/>
        <v>2393</v>
      </c>
      <c r="BU253" s="21">
        <f t="shared" si="571"/>
        <v>2953</v>
      </c>
      <c r="BV253" s="21">
        <f t="shared" si="571"/>
        <v>2468</v>
      </c>
      <c r="BW253" s="21">
        <f t="shared" si="571"/>
        <v>2309</v>
      </c>
      <c r="BX253" s="482">
        <f t="shared" si="571"/>
        <v>2309</v>
      </c>
      <c r="BY253" s="21">
        <f t="shared" si="571"/>
        <v>2346</v>
      </c>
      <c r="BZ253" s="21">
        <f t="shared" si="571"/>
        <v>2494</v>
      </c>
      <c r="CA253" s="21">
        <f t="shared" si="571"/>
        <v>2487</v>
      </c>
      <c r="CB253" s="21">
        <f>SUM(CB241,CB245)</f>
        <v>2617</v>
      </c>
      <c r="CC253" s="482">
        <f>SUM(CC241,CC245)</f>
        <v>2617</v>
      </c>
      <c r="CD253" s="21">
        <f t="shared" ref="CD253:CW253" si="572">SUM(CD241,CD245)</f>
        <v>2696</v>
      </c>
      <c r="CE253" s="21">
        <f t="shared" si="572"/>
        <v>2819</v>
      </c>
      <c r="CF253" s="21">
        <f t="shared" si="572"/>
        <v>2844</v>
      </c>
      <c r="CG253" s="21">
        <f t="shared" si="572"/>
        <v>2737</v>
      </c>
      <c r="CH253" s="482">
        <f t="shared" si="572"/>
        <v>2737</v>
      </c>
      <c r="CI253" s="21">
        <f t="shared" si="572"/>
        <v>2792</v>
      </c>
      <c r="CJ253" s="21">
        <f t="shared" si="572"/>
        <v>3043</v>
      </c>
      <c r="CK253" s="21">
        <f t="shared" ca="1" si="572"/>
        <v>3036.8363442322375</v>
      </c>
      <c r="CL253" s="21">
        <f t="shared" ca="1" si="572"/>
        <v>2947.1753609131397</v>
      </c>
      <c r="CM253" s="482">
        <f t="shared" ca="1" si="572"/>
        <v>2947.1753609131397</v>
      </c>
      <c r="CN253" s="21">
        <f t="shared" ca="1" si="572"/>
        <v>2872.7039540144528</v>
      </c>
      <c r="CO253" s="21">
        <f t="shared" ca="1" si="572"/>
        <v>3115.1409943962367</v>
      </c>
      <c r="CP253" s="21">
        <f t="shared" ca="1" si="572"/>
        <v>3112.5491829884595</v>
      </c>
      <c r="CQ253" s="21">
        <f t="shared" ca="1" si="572"/>
        <v>3033.5406256075967</v>
      </c>
      <c r="CR253" s="482">
        <f t="shared" ca="1" si="572"/>
        <v>3033.5406256075967</v>
      </c>
      <c r="CS253" s="21">
        <f t="shared" ca="1" si="572"/>
        <v>2948.7786069339936</v>
      </c>
      <c r="CT253" s="21">
        <f t="shared" ca="1" si="572"/>
        <v>3191.041448275389</v>
      </c>
      <c r="CU253" s="21">
        <f t="shared" ca="1" si="572"/>
        <v>3188.1008992896632</v>
      </c>
      <c r="CV253" s="21">
        <f t="shared" ca="1" si="572"/>
        <v>3108.1309352783392</v>
      </c>
      <c r="CW253" s="482">
        <f t="shared" ca="1" si="572"/>
        <v>3108.1309352783392</v>
      </c>
      <c r="CX253" s="21">
        <f t="shared" ref="CX253:DG253" ca="1" si="573">SUM(CX241,CX245)</f>
        <v>3027.5984015481408</v>
      </c>
      <c r="CY253" s="21">
        <f t="shared" ca="1" si="573"/>
        <v>3269.8987177734466</v>
      </c>
      <c r="CZ253" s="21">
        <f t="shared" ca="1" si="573"/>
        <v>3268.145966632047</v>
      </c>
      <c r="DA253" s="21">
        <f t="shared" ca="1" si="573"/>
        <v>3188.6365318916496</v>
      </c>
      <c r="DB253" s="482">
        <f t="shared" ca="1" si="573"/>
        <v>3188.6365318916496</v>
      </c>
      <c r="DC253" s="21">
        <f t="shared" ca="1" si="573"/>
        <v>3097.008178028218</v>
      </c>
      <c r="DD253" s="21">
        <f t="shared" ca="1" si="573"/>
        <v>3339.869227473534</v>
      </c>
      <c r="DE253" s="21">
        <f t="shared" ca="1" si="573"/>
        <v>3339.8168236393049</v>
      </c>
      <c r="DF253" s="21">
        <f t="shared" ca="1" si="573"/>
        <v>3261.2421924540467</v>
      </c>
      <c r="DG253" s="482">
        <f t="shared" ca="1" si="573"/>
        <v>3261.2421924540467</v>
      </c>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c r="HB253"/>
      <c r="HC253"/>
      <c r="HD253"/>
      <c r="HE253"/>
      <c r="HF253"/>
      <c r="HG253"/>
      <c r="HH253"/>
      <c r="HI253"/>
      <c r="HJ253"/>
      <c r="HK253"/>
      <c r="HL253"/>
      <c r="HM253"/>
      <c r="HN253"/>
      <c r="HO253"/>
      <c r="HP253"/>
      <c r="HQ253"/>
      <c r="HR253"/>
    </row>
    <row r="254" spans="1:226" s="19" customFormat="1" x14ac:dyDescent="0.2">
      <c r="A254" s="80" t="s">
        <v>176</v>
      </c>
      <c r="B254" s="43"/>
      <c r="C254" s="43"/>
      <c r="D254" s="43"/>
      <c r="E254" s="43"/>
      <c r="F254" s="407"/>
      <c r="G254" s="379" t="s">
        <v>198</v>
      </c>
      <c r="H254" s="379" t="s">
        <v>198</v>
      </c>
      <c r="I254" s="379" t="s">
        <v>198</v>
      </c>
      <c r="J254" s="379" t="s">
        <v>198</v>
      </c>
      <c r="K254" s="407">
        <f>K251/AVERAGE(G253:J253)</f>
        <v>0.18924904664124376</v>
      </c>
      <c r="L254" s="43">
        <f>L252/AVERAGE(H253,I253,J253,L253)</f>
        <v>0.20877710187549459</v>
      </c>
      <c r="M254" s="43">
        <f>M252/AVERAGE(I253,J253,L253,M253)</f>
        <v>0.22348322866830719</v>
      </c>
      <c r="N254" s="43">
        <f>N252/AVERAGE(J253,L253,M253,N253)</f>
        <v>0.23580681007688611</v>
      </c>
      <c r="O254" s="43">
        <f>O252/AVERAGE(L253,M253,N253,O253)</f>
        <v>0.23397750285488089</v>
      </c>
      <c r="P254" s="407">
        <f>P251/AVERAGE(L253:O253)</f>
        <v>0.23436757725461585</v>
      </c>
      <c r="Q254" s="43">
        <f>Q252/AVERAGE(M253,N253,O253,Q253)</f>
        <v>0.21357204883162964</v>
      </c>
      <c r="R254" s="43">
        <f>R252/AVERAGE(N253,O253,Q253,R253)</f>
        <v>0.2115176848559541</v>
      </c>
      <c r="S254" s="43">
        <f>S252/AVERAGE(O253,Q253,R253,S253)</f>
        <v>0.21599127158690973</v>
      </c>
      <c r="T254" s="43">
        <f>T252/AVERAGE(Q253,R253,S253,T253)</f>
        <v>0.2180341309194474</v>
      </c>
      <c r="U254" s="407">
        <f>U251/AVERAGE(Q253:T253)</f>
        <v>0.21804480980012897</v>
      </c>
      <c r="V254" s="43">
        <f>V252/AVERAGE(R253,S253,T253,V253)</f>
        <v>0.21437459966419434</v>
      </c>
      <c r="W254" s="43">
        <f>W252/AVERAGE(S253,T253,V253,W253)</f>
        <v>0.22726365509150565</v>
      </c>
      <c r="X254" s="43">
        <f>X252/AVERAGE(T253,V253,W253,X253)</f>
        <v>0.24696990167211672</v>
      </c>
      <c r="Y254" s="43">
        <f>Y252/AVERAGE(V253,W253,X253,Y253)</f>
        <v>0.26078949938356943</v>
      </c>
      <c r="Z254" s="407">
        <f>Z251/AVERAGE(V253:Y253)</f>
        <v>0.25827635241967234</v>
      </c>
      <c r="AA254" s="43">
        <f>AA252/AVERAGE(W253,X253,Y253,AA253)</f>
        <v>0.27377270451447505</v>
      </c>
      <c r="AB254" s="43">
        <f>AB252/AVERAGE(X253,Y253,AA253,AB253)</f>
        <v>0.26595788758520933</v>
      </c>
      <c r="AC254" s="43">
        <f>AC252/AVERAGE(Y253,AA253,AB253,AC253)</f>
        <v>0.25670207731038769</v>
      </c>
      <c r="AD254" s="43">
        <f>AD252/AVERAGE(AA253,AB253,AC253,AD253)</f>
        <v>0.25865777403489232</v>
      </c>
      <c r="AE254" s="407">
        <f>AE251/AVERAGE(AA253:AD253)</f>
        <v>0.25868302305232432</v>
      </c>
      <c r="AF254" s="43">
        <f>AF252/AVERAGE(AB253,AC253,AD253,AF253)</f>
        <v>0.25985891733430022</v>
      </c>
      <c r="AG254" s="43">
        <f>AG252/AVERAGE(AC253,AD253,AF253,AG253)</f>
        <v>0.25982224885839389</v>
      </c>
      <c r="AH254" s="43">
        <f>AH252/AVERAGE(AD253,AF253,AG253,AH253)</f>
        <v>0.26599572286207956</v>
      </c>
      <c r="AI254" s="43">
        <f>AI252/AVERAGE(AF253,AG253,AH253,AI253)</f>
        <v>0.26433388525652929</v>
      </c>
      <c r="AJ254" s="407">
        <f>AJ251/AVERAGE(AF253:AI253)</f>
        <v>0.26438775836118367</v>
      </c>
      <c r="AK254" s="43">
        <f>AK252/AVERAGE(AG253,AH253,AI253,AK253)</f>
        <v>0.27002947190123922</v>
      </c>
      <c r="AL254" s="43">
        <f>AL252/AVERAGE(AH253,AI253,AK253,AL253)</f>
        <v>0.24949942655928126</v>
      </c>
      <c r="AM254" s="43">
        <f>AM252/AVERAGE(AI253,AK253,AL253,AM253)</f>
        <v>0.22402049229158874</v>
      </c>
      <c r="AN254" s="43">
        <f>AN252/AVERAGE(AK253,AL253,AM253,AN253)</f>
        <v>0.20675221965281276</v>
      </c>
      <c r="AO254" s="407">
        <f>AO251/AVERAGE(AK253:AN253)</f>
        <v>0.20658556639466813</v>
      </c>
      <c r="AP254" s="43">
        <f>AP252/AVERAGE(AL253,AM253,AN253,AP253)</f>
        <v>0.19685158222169272</v>
      </c>
      <c r="AQ254" s="43">
        <f>AQ252/AVERAGE(AM253,AN253,AP253,AQ253)</f>
        <v>0.19842601490214382</v>
      </c>
      <c r="AR254" s="43">
        <f>AR252/AVERAGE(AN253,AP253,AQ253,AR253)</f>
        <v>0.21829936043665119</v>
      </c>
      <c r="AS254" s="43">
        <f>AS252/AVERAGE(AP253,AQ253,AR253,AS253)</f>
        <v>0.2296093367385835</v>
      </c>
      <c r="AT254" s="407">
        <f>AT251/AVERAGE(AP253:AS253)</f>
        <v>0.22960872190625845</v>
      </c>
      <c r="AU254" s="43">
        <f>AU252/AVERAGE(AQ253,AR253,AS253,AU253)</f>
        <v>0.2319166775566418</v>
      </c>
      <c r="AV254" s="43">
        <f>AV252/AVERAGE(AR253,AS253,AU253,AV253)</f>
        <v>0.23431154110628941</v>
      </c>
      <c r="AW254" s="43">
        <f>AW252/AVERAGE(AS253,AU253,AV253,AW253)</f>
        <v>0.22226629494894901</v>
      </c>
      <c r="AX254" s="43">
        <f>AX252/AVERAGE(AU253,AV253,AW253,AX253)</f>
        <v>0.21052358497252374</v>
      </c>
      <c r="AY254" s="407">
        <f>AY251/AVERAGE(AU253:AX253)</f>
        <v>0.21020173669865139</v>
      </c>
      <c r="AZ254" s="43">
        <f>AZ252/AVERAGE(AV253,AW253,AX253,AZ253)</f>
        <v>0.20639212175929303</v>
      </c>
      <c r="BA254" s="43">
        <f>BA252/AVERAGE(AW253,AX253,AZ253,BA253)</f>
        <v>0.20748256718762753</v>
      </c>
      <c r="BB254" s="43">
        <f>BB252/AVERAGE(AX253,AY253,BA253,BB253)</f>
        <v>0.40502579706697373</v>
      </c>
      <c r="BC254" s="43">
        <f>BC252/AVERAGE(AZ253,BA253,BB253,BC253)</f>
        <v>0.23314730081963458</v>
      </c>
      <c r="BD254" s="407">
        <f>BD251/AVERAGE(AZ253:BC253)</f>
        <v>0.23305856952507253</v>
      </c>
      <c r="BE254" s="43">
        <f>BE252/AVERAGE(BA253,BB253,BC253,BE253)</f>
        <v>0.24354217642317422</v>
      </c>
      <c r="BF254" s="43">
        <f>BF252/AVERAGE(BB253,BC253,BE253,BF253)</f>
        <v>0.24519518486973657</v>
      </c>
      <c r="BG254" s="43">
        <f>BG252/AVERAGE(BC253,BE253,BF253,BG253)</f>
        <v>0.23614208144725662</v>
      </c>
      <c r="BH254" s="43">
        <f>BH252/AVERAGE(BE253,BF253,BG253,BH253)</f>
        <v>0.23937184998084343</v>
      </c>
      <c r="BI254" s="407">
        <f>BI251/AVERAGE(BE253:BH253)</f>
        <v>0.23938070534067565</v>
      </c>
      <c r="BJ254" s="43">
        <f>BJ252/AVERAGE(BF253,BG253,BH253,BJ253)</f>
        <v>0.23167915155997762</v>
      </c>
      <c r="BK254" s="43">
        <f>BK252/AVERAGE(BG253,BH253,BJ253,BK253)</f>
        <v>0.23727531829132242</v>
      </c>
      <c r="BL254" s="43">
        <f>BL252/AVERAGE(BH253,BJ253,BK253,BL253)</f>
        <v>0.23851565985163845</v>
      </c>
      <c r="BM254" s="43">
        <f>BM252/AVERAGE(BJ253,BK253,BL253,BM253)</f>
        <v>0.24187728876175268</v>
      </c>
      <c r="BN254" s="407">
        <f>BN251/AVERAGE(BJ253:BM253)</f>
        <v>0.24186291639903637</v>
      </c>
      <c r="BO254" s="43">
        <f>BO252/AVERAGE(BK253,BL253,BM253,BO253)</f>
        <v>0.25260909834861328</v>
      </c>
      <c r="BP254" s="43">
        <f>BP252/AVERAGE(BL253,BM253,BO253,BP253)</f>
        <v>0.25112737999142176</v>
      </c>
      <c r="BQ254" s="43">
        <f>BQ252/AVERAGE(BM253,BO253,BP253,BQ253)</f>
        <v>0.25721280881739184</v>
      </c>
      <c r="BR254" s="43">
        <f>BR252/AVERAGE(BO253,BP253,BQ253,BR253)</f>
        <v>0.24869945036365909</v>
      </c>
      <c r="BS254" s="407">
        <f>BS251/AVERAGE(BO253:BR253)</f>
        <v>0.24868961228637179</v>
      </c>
      <c r="BT254" s="43">
        <f>BT252/AVERAGE(BP253,BQ253,BR253,BT253)</f>
        <v>0.25488313519605121</v>
      </c>
      <c r="BU254" s="43">
        <f>BU252/AVERAGE(BQ253,BR253,BT253,BU253)</f>
        <v>0.25223743202819926</v>
      </c>
      <c r="BV254" s="43">
        <f>BV252/AVERAGE(BR253,BT253,BU253,BV253)</f>
        <v>0.25364495377404428</v>
      </c>
      <c r="BW254" s="43">
        <f>BW252/AVERAGE(BT253,BU253,BV253,BW253)</f>
        <v>0.26224721591203676</v>
      </c>
      <c r="BX254" s="407">
        <f>BX251/AVERAGE(BT253:BW253)</f>
        <v>0.26220394682860104</v>
      </c>
      <c r="BY254" s="43">
        <f>BY252/AVERAGE(BU253,BV253,BW253,BY253)</f>
        <v>0.27269675278390598</v>
      </c>
      <c r="BZ254" s="43">
        <f>BZ252/AVERAGE(BV253,BW253,BY253,BZ253)</f>
        <v>0.29370727491575399</v>
      </c>
      <c r="CA254" s="43">
        <f>CA252/AVERAGE(BW253,BY253,BZ253,CA253)</f>
        <v>0.29933524053225913</v>
      </c>
      <c r="CB254" s="43">
        <f>CB252/AVERAGE(BY253,BZ253,CA253,CB253)</f>
        <v>0.28199315870106972</v>
      </c>
      <c r="CC254" s="407">
        <f>CC251/AVERAGE(BY253:CB253)</f>
        <v>0.28196410580839681</v>
      </c>
      <c r="CD254" s="43">
        <f>CD252/AVERAGE(BZ253,CA253,CB253,CD253)</f>
        <v>0.27366687960716296</v>
      </c>
      <c r="CE254" s="43">
        <f>CE252/AVERAGE(CA253,CB253,CD253,CE253)</f>
        <v>0.27150309970198266</v>
      </c>
      <c r="CF254" s="43">
        <f>CF252/AVERAGE(CB253,CD253,CE253,CF253)</f>
        <v>0.26312132705699237</v>
      </c>
      <c r="CG254" s="43">
        <f>CG252/AVERAGE(CD253,CE253,CF253,CG253)</f>
        <v>0.27630466861499647</v>
      </c>
      <c r="CH254" s="407">
        <f>CH251/AVERAGE(CD253:CG253)</f>
        <v>0.27658600025692515</v>
      </c>
      <c r="CI254" s="43">
        <f>CI252/AVERAGE(CE253,CF253,CG253,CI253)</f>
        <v>0.28031518619207191</v>
      </c>
      <c r="CJ254" s="43">
        <f>CJ252/AVERAGE(CF253,CG253,CI253,CJ253)</f>
        <v>0.29858441702461752</v>
      </c>
      <c r="CK254" s="43">
        <f ca="1">CK252/AVERAGE(CG253,CI253,CJ253,CK253)</f>
        <v>0.29614121019407053</v>
      </c>
      <c r="CL254" s="43">
        <f ca="1">CL252/AVERAGE(CI253,CJ253,CK253,CL253)</f>
        <v>0.29205520859831313</v>
      </c>
      <c r="CM254" s="407">
        <f ca="1">CM251/AVERAGE(CI253:CL253)</f>
        <v>0.29249249079783662</v>
      </c>
      <c r="CN254" s="43">
        <f ca="1">CN252/AVERAGE(CJ253,CK253,CL253,CN253)</f>
        <v>0.29865644853668832</v>
      </c>
      <c r="CO254" s="43">
        <f ca="1">CO252/AVERAGE(CK253,CL253,CN253,CO253)</f>
        <v>0.2767895360830897</v>
      </c>
      <c r="CP254" s="43">
        <f ca="1">CP252/AVERAGE(CL253,CN253,CO253,CP253)</f>
        <v>0.28355784484700541</v>
      </c>
      <c r="CQ254" s="43">
        <f ca="1">CQ252/AVERAGE(CN253,CO253,CP253,CQ253)</f>
        <v>0.28862635482737159</v>
      </c>
      <c r="CR254" s="407">
        <f ca="1">CR251/AVERAGE(CN253:CQ253)</f>
        <v>0.28862635482737159</v>
      </c>
      <c r="CS254" s="43">
        <f ca="1">CS252/AVERAGE(CO253,CP253,CQ253,CS253)</f>
        <v>0.29083670379393167</v>
      </c>
      <c r="CT254" s="43">
        <f ca="1">CT252/AVERAGE(CP253,CQ253,CS253,CT253)</f>
        <v>0.29267321693794568</v>
      </c>
      <c r="CU254" s="43">
        <f ca="1">CU252/AVERAGE(CQ253,CS253,CT253,CU253)</f>
        <v>0.2947155216081378</v>
      </c>
      <c r="CV254" s="43">
        <f ca="1">CV252/AVERAGE(CS253,CT253,CU253,CV253)</f>
        <v>0.29728159547353017</v>
      </c>
      <c r="CW254" s="407">
        <f ca="1">CW251/AVERAGE(CS253:CV253)</f>
        <v>0.29728159547353017</v>
      </c>
      <c r="CX254" s="43">
        <f ca="1">CX252/AVERAGE(CT253,CU253,CV253,CX253)</f>
        <v>0.2982011989202854</v>
      </c>
      <c r="CY254" s="43">
        <f ca="1">CY252/AVERAGE(CU253,CV253,CX253,CY253)</f>
        <v>0.29878851104288917</v>
      </c>
      <c r="CZ254" s="43">
        <f ca="1">CZ252/AVERAGE(CV253,CX253,CY253,CZ253)</f>
        <v>0.29940488326576126</v>
      </c>
      <c r="DA254" s="43">
        <f ca="1">DA252/AVERAGE(CX253,CY253,CZ253,DA253)</f>
        <v>0.30020946478265453</v>
      </c>
      <c r="DB254" s="407">
        <f ca="1">DB251/AVERAGE(CX253:DA253)</f>
        <v>0.30020946478265453</v>
      </c>
      <c r="DC254" s="43">
        <f ca="1">DC252/AVERAGE(CY253,CZ253,DA253,DC253)</f>
        <v>0.30128079900369559</v>
      </c>
      <c r="DD254" s="43">
        <f ca="1">DD252/AVERAGE(CZ253,DA253,DC253,DD253)</f>
        <v>0.30201428320618295</v>
      </c>
      <c r="DE254" s="43">
        <f ca="1">DE252/AVERAGE(DA253,DC253,DD253,DE253)</f>
        <v>0.30275363210499157</v>
      </c>
      <c r="DF254" s="43">
        <f ca="1">DF252/AVERAGE(DC253,DD253,DE253,DF253)</f>
        <v>0.303655212700294</v>
      </c>
      <c r="DG254" s="407">
        <f ca="1">DG251/AVERAGE(DC253:DF253)</f>
        <v>0.30365521270029394</v>
      </c>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c r="HB254"/>
      <c r="HC254"/>
      <c r="HD254"/>
      <c r="HE254"/>
      <c r="HF254"/>
      <c r="HG254"/>
      <c r="HH254"/>
      <c r="HI254"/>
      <c r="HJ254"/>
      <c r="HK254"/>
      <c r="HL254"/>
      <c r="HM254"/>
      <c r="HN254"/>
      <c r="HO254"/>
      <c r="HP254"/>
      <c r="HQ254"/>
      <c r="HR254"/>
    </row>
    <row r="255" spans="1:226" s="19" customFormat="1" x14ac:dyDescent="0.2">
      <c r="A255" s="80"/>
      <c r="F255" s="455"/>
      <c r="K255" s="455"/>
      <c r="P255" s="455"/>
      <c r="U255" s="455"/>
      <c r="Z255" s="455"/>
      <c r="AE255" s="455"/>
      <c r="AJ255" s="455"/>
      <c r="AO255" s="455"/>
      <c r="AT255" s="455"/>
      <c r="AY255" s="455"/>
      <c r="BD255" s="455"/>
      <c r="BI255" s="455"/>
      <c r="BN255" s="455"/>
      <c r="BS255" s="455"/>
      <c r="BX255" s="455"/>
      <c r="CC255" s="455"/>
      <c r="CH255" s="455"/>
      <c r="CM255" s="455"/>
      <c r="CR255" s="455"/>
      <c r="CW255" s="455"/>
      <c r="DB255" s="455"/>
      <c r="DG255" s="4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c r="FX255"/>
      <c r="FY255"/>
      <c r="FZ255"/>
      <c r="GA255"/>
      <c r="GB255"/>
      <c r="GC255"/>
      <c r="GD255"/>
      <c r="GE255"/>
      <c r="GF255"/>
      <c r="GG255"/>
      <c r="GH255"/>
      <c r="GI255"/>
      <c r="GJ255"/>
      <c r="GK255"/>
      <c r="GL255"/>
      <c r="GM255"/>
      <c r="GN255"/>
      <c r="GO255"/>
      <c r="GP255"/>
      <c r="GQ255"/>
      <c r="GR255"/>
      <c r="GS255"/>
      <c r="GT255"/>
      <c r="GU255"/>
      <c r="GV255"/>
      <c r="GW255"/>
      <c r="GX255"/>
      <c r="GY255"/>
      <c r="GZ255"/>
      <c r="HA255"/>
      <c r="HB255"/>
      <c r="HC255"/>
      <c r="HD255"/>
      <c r="HE255"/>
      <c r="HF255"/>
      <c r="HG255"/>
      <c r="HH255"/>
      <c r="HI255"/>
      <c r="HJ255"/>
      <c r="HK255"/>
      <c r="HL255"/>
      <c r="HM255"/>
      <c r="HN255"/>
      <c r="HO255"/>
      <c r="HP255"/>
      <c r="HQ255"/>
      <c r="HR255"/>
    </row>
    <row r="256" spans="1:226" s="19" customFormat="1" x14ac:dyDescent="0.2">
      <c r="A256" s="80" t="s">
        <v>177</v>
      </c>
      <c r="B256" s="130"/>
      <c r="C256" s="130"/>
      <c r="D256" s="130"/>
      <c r="E256" s="130"/>
      <c r="F256" s="462"/>
      <c r="G256" s="130">
        <f>G216</f>
        <v>47.335937500000007</v>
      </c>
      <c r="H256" s="130">
        <f t="shared" ref="H256:AT256" si="574">H216</f>
        <v>59.357673267326732</v>
      </c>
      <c r="I256" s="130">
        <f t="shared" si="574"/>
        <v>52.441638370118852</v>
      </c>
      <c r="J256" s="130">
        <f t="shared" si="574"/>
        <v>41.756</v>
      </c>
      <c r="K256" s="462">
        <f t="shared" si="574"/>
        <v>48.367705133830626</v>
      </c>
      <c r="L256" s="130">
        <f t="shared" si="574"/>
        <v>42.018612132352942</v>
      </c>
      <c r="M256" s="130">
        <f t="shared" si="574"/>
        <v>48.108618951612904</v>
      </c>
      <c r="N256" s="130">
        <f t="shared" si="574"/>
        <v>47.433558558558559</v>
      </c>
      <c r="O256" s="130">
        <f t="shared" si="574"/>
        <v>41.0625</v>
      </c>
      <c r="P256" s="462">
        <f t="shared" si="574"/>
        <v>44.029662921348311</v>
      </c>
      <c r="Q256" s="130">
        <f t="shared" si="574"/>
        <v>42.462088388214909</v>
      </c>
      <c r="R256" s="130">
        <f t="shared" si="574"/>
        <v>50.04032258064516</v>
      </c>
      <c r="S256" s="130">
        <f t="shared" si="574"/>
        <v>50.546875</v>
      </c>
      <c r="T256" s="130">
        <f t="shared" si="574"/>
        <v>45.625</v>
      </c>
      <c r="U256" s="462">
        <f t="shared" si="574"/>
        <v>46.505791505791507</v>
      </c>
      <c r="V256" s="130">
        <f t="shared" si="574"/>
        <v>46.782994923857864</v>
      </c>
      <c r="W256" s="130">
        <f t="shared" si="574"/>
        <v>51.879393673110719</v>
      </c>
      <c r="X256" s="130">
        <f t="shared" si="574"/>
        <v>51.689082278481017</v>
      </c>
      <c r="Y256" s="130">
        <f t="shared" si="574"/>
        <v>45.364657631954351</v>
      </c>
      <c r="Z256" s="462">
        <f t="shared" si="574"/>
        <v>48.168872843963101</v>
      </c>
      <c r="AA256" s="130">
        <f t="shared" si="574"/>
        <v>47.698863636363633</v>
      </c>
      <c r="AB256" s="130">
        <f t="shared" si="574"/>
        <v>51.073845541401269</v>
      </c>
      <c r="AC256" s="130">
        <f t="shared" si="574"/>
        <v>49.601181683899561</v>
      </c>
      <c r="AD256" s="130">
        <f t="shared" si="574"/>
        <v>41.136287061994608</v>
      </c>
      <c r="AE256" s="462">
        <f t="shared" si="574"/>
        <v>46.083798882681563</v>
      </c>
      <c r="AF256" s="130">
        <f t="shared" si="574"/>
        <v>42.45946455505279</v>
      </c>
      <c r="AG256" s="130">
        <f t="shared" si="574"/>
        <v>47.481416275430355</v>
      </c>
      <c r="AH256" s="130">
        <f t="shared" si="574"/>
        <v>44.45845170454546</v>
      </c>
      <c r="AI256" s="130">
        <f t="shared" si="574"/>
        <v>39.845833333333331</v>
      </c>
      <c r="AJ256" s="462">
        <f t="shared" si="574"/>
        <v>42.698113207547166</v>
      </c>
      <c r="AK256" s="130">
        <f t="shared" si="574"/>
        <v>41.133087201125178</v>
      </c>
      <c r="AL256" s="130">
        <f t="shared" si="574"/>
        <v>48.593528995756721</v>
      </c>
      <c r="AM256" s="130">
        <f t="shared" si="574"/>
        <v>47.24846625766871</v>
      </c>
      <c r="AN256" s="130">
        <f t="shared" si="574"/>
        <v>42.565751445086704</v>
      </c>
      <c r="AO256" s="462">
        <f t="shared" si="574"/>
        <v>44.040348612007747</v>
      </c>
      <c r="AP256" s="130">
        <f t="shared" si="574"/>
        <v>44.681417274939172</v>
      </c>
      <c r="AQ256" s="130">
        <f t="shared" si="574"/>
        <v>51.624999999999993</v>
      </c>
      <c r="AR256" s="130">
        <f t="shared" si="574"/>
        <v>50.070196211096082</v>
      </c>
      <c r="AS256" s="130">
        <f t="shared" si="574"/>
        <v>43.324108241082413</v>
      </c>
      <c r="AT256" s="462">
        <f t="shared" si="574"/>
        <v>46.612757731958759</v>
      </c>
      <c r="AU256" s="130">
        <f t="shared" ref="AU256:BD256" si="575">AU216</f>
        <v>48.032986111111114</v>
      </c>
      <c r="AV256" s="130">
        <f t="shared" si="575"/>
        <v>53.273505830903794</v>
      </c>
      <c r="AW256" s="130">
        <f t="shared" si="575"/>
        <v>53.239831697054697</v>
      </c>
      <c r="AX256" s="130">
        <f t="shared" si="575"/>
        <v>45.281092964824118</v>
      </c>
      <c r="AY256" s="462">
        <f t="shared" si="575"/>
        <v>49.008919382504288</v>
      </c>
      <c r="AZ256" s="130">
        <f t="shared" si="575"/>
        <v>47.695921985815609</v>
      </c>
      <c r="BA256" s="130">
        <f t="shared" si="575"/>
        <v>51.934133915574968</v>
      </c>
      <c r="BB256" s="130">
        <f>BB216</f>
        <v>53.010116598079563</v>
      </c>
      <c r="BC256" s="130">
        <f t="shared" si="575"/>
        <v>44.53479689366786</v>
      </c>
      <c r="BD256" s="462">
        <f t="shared" si="575"/>
        <v>48.51859364435429</v>
      </c>
      <c r="BE256" s="130">
        <f t="shared" ref="BE256:CV256" si="576">BE216</f>
        <v>47.428359683794469</v>
      </c>
      <c r="BF256" s="130">
        <f t="shared" si="576"/>
        <v>54.826680672268907</v>
      </c>
      <c r="BG256" s="130">
        <f t="shared" si="576"/>
        <v>51.102258663366335</v>
      </c>
      <c r="BH256" s="130">
        <f t="shared" si="576"/>
        <v>43.299830124575308</v>
      </c>
      <c r="BI256" s="462">
        <f t="shared" si="576"/>
        <v>47.943742098609363</v>
      </c>
      <c r="BJ256" s="130">
        <f t="shared" si="576"/>
        <v>48.073462041884817</v>
      </c>
      <c r="BK256" s="130">
        <f t="shared" si="576"/>
        <v>51.792158792650916</v>
      </c>
      <c r="BL256" s="130">
        <f t="shared" si="576"/>
        <v>50.087102689486549</v>
      </c>
      <c r="BM256" s="130">
        <f t="shared" si="576"/>
        <v>44.625144175317182</v>
      </c>
      <c r="BN256" s="462">
        <f t="shared" si="576"/>
        <v>47.67393335409529</v>
      </c>
      <c r="BO256" s="130">
        <f t="shared" si="576"/>
        <v>50.073287220026351</v>
      </c>
      <c r="BP256" s="130">
        <f t="shared" si="576"/>
        <v>54.834827357237721</v>
      </c>
      <c r="BQ256" s="130">
        <f t="shared" si="576"/>
        <v>52.661978508217452</v>
      </c>
      <c r="BR256" s="130">
        <f t="shared" si="576"/>
        <v>44.451023391812861</v>
      </c>
      <c r="BS256" s="462">
        <f t="shared" si="576"/>
        <v>49.283090563647875</v>
      </c>
      <c r="BT256" s="130">
        <f t="shared" si="576"/>
        <v>46.155523255813954</v>
      </c>
      <c r="BU256" s="130">
        <f t="shared" si="576"/>
        <v>49.756630012936618</v>
      </c>
      <c r="BV256" s="130">
        <f t="shared" si="576"/>
        <v>50.783605527638187</v>
      </c>
      <c r="BW256" s="130">
        <f t="shared" si="576"/>
        <v>44.439935064935064</v>
      </c>
      <c r="BX256" s="462">
        <f t="shared" si="576"/>
        <v>47.003761755485897</v>
      </c>
      <c r="BY256" s="130">
        <f t="shared" si="576"/>
        <v>47.294934640522882</v>
      </c>
      <c r="BZ256" s="130">
        <f t="shared" si="576"/>
        <v>52.545302013422813</v>
      </c>
      <c r="CA256" s="130">
        <f t="shared" si="576"/>
        <v>53.229166666666671</v>
      </c>
      <c r="CB256" s="130">
        <f t="shared" si="576"/>
        <v>47.192869415807564</v>
      </c>
      <c r="CC256" s="462">
        <f t="shared" si="576"/>
        <v>49.528295921593418</v>
      </c>
      <c r="CD256" s="130">
        <f t="shared" si="576"/>
        <v>51.590909090909093</v>
      </c>
      <c r="CE256" s="130">
        <f t="shared" si="576"/>
        <v>56.722972972972968</v>
      </c>
      <c r="CF256" s="130">
        <f t="shared" si="576"/>
        <v>55.776148730350663</v>
      </c>
      <c r="CG256" s="130">
        <f t="shared" si="576"/>
        <v>49.397346368715084</v>
      </c>
      <c r="CH256" s="462">
        <f t="shared" si="576"/>
        <v>52.572380375529988</v>
      </c>
      <c r="CI256" s="130">
        <f t="shared" si="576"/>
        <v>50.81091293833132</v>
      </c>
      <c r="CJ256" s="130">
        <f t="shared" si="576"/>
        <v>54.048946716232955</v>
      </c>
      <c r="CK256" s="130">
        <f t="shared" si="576"/>
        <v>56.004562891448614</v>
      </c>
      <c r="CL256" s="130">
        <f t="shared" ca="1" si="576"/>
        <v>52.567384141892632</v>
      </c>
      <c r="CM256" s="462">
        <f t="shared" ca="1" si="576"/>
        <v>53.093982229216472</v>
      </c>
      <c r="CN256" s="130">
        <f t="shared" ca="1" si="576"/>
        <v>53.553458179645233</v>
      </c>
      <c r="CO256" s="130">
        <f t="shared" si="576"/>
        <v>55.994925883795013</v>
      </c>
      <c r="CP256" s="130">
        <f t="shared" si="576"/>
        <v>57.852437867590162</v>
      </c>
      <c r="CQ256" s="130">
        <f t="shared" ca="1" si="576"/>
        <v>55.283095116979531</v>
      </c>
      <c r="CR256" s="462">
        <f t="shared" ca="1" si="576"/>
        <v>55.423384391056452</v>
      </c>
      <c r="CS256" s="130">
        <f t="shared" ca="1" si="576"/>
        <v>55.479390129413162</v>
      </c>
      <c r="CT256" s="130">
        <f t="shared" si="576"/>
        <v>57.830420513231694</v>
      </c>
      <c r="CU256" s="130">
        <f t="shared" si="576"/>
        <v>59.632233413295978</v>
      </c>
      <c r="CV256" s="130">
        <f t="shared" ca="1" si="576"/>
        <v>57.079957074624794</v>
      </c>
      <c r="CW256" s="462">
        <f t="shared" ref="CW256:DG256" ca="1" si="577">CW216</f>
        <v>57.278924841700508</v>
      </c>
      <c r="CX256" s="130">
        <f t="shared" ca="1" si="577"/>
        <v>57.351913958376031</v>
      </c>
      <c r="CY256" s="130">
        <f t="shared" si="577"/>
        <v>59.664672943770015</v>
      </c>
      <c r="CZ256" s="130">
        <f t="shared" si="577"/>
        <v>61.412961626796452</v>
      </c>
      <c r="DA256" s="130">
        <f t="shared" ca="1" si="577"/>
        <v>58.878255781996153</v>
      </c>
      <c r="DB256" s="462">
        <f t="shared" ca="1" si="577"/>
        <v>59.11368726284757</v>
      </c>
      <c r="DC256" s="130">
        <f t="shared" ca="1" si="577"/>
        <v>59.222875576232603</v>
      </c>
      <c r="DD256" s="130">
        <f t="shared" si="577"/>
        <v>61.497663892931456</v>
      </c>
      <c r="DE256" s="130">
        <f t="shared" si="577"/>
        <v>63.194629434299713</v>
      </c>
      <c r="DF256" s="130">
        <f t="shared" ca="1" si="577"/>
        <v>60.678000159328242</v>
      </c>
      <c r="DG256" s="462">
        <f t="shared" ca="1" si="577"/>
        <v>60.947837416526916</v>
      </c>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c r="FX256"/>
      <c r="FY256"/>
      <c r="FZ256"/>
      <c r="GA256"/>
      <c r="GB256"/>
      <c r="GC256"/>
      <c r="GD256"/>
      <c r="GE256"/>
      <c r="GF256"/>
      <c r="GG256"/>
      <c r="GH256"/>
      <c r="GI256"/>
      <c r="GJ256"/>
      <c r="GK256"/>
      <c r="GL256"/>
      <c r="GM256"/>
      <c r="GN256"/>
      <c r="GO256"/>
      <c r="GP256"/>
      <c r="GQ256"/>
      <c r="GR256"/>
      <c r="GS256"/>
      <c r="GT256"/>
      <c r="GU256"/>
      <c r="GV256"/>
      <c r="GW256"/>
      <c r="GX256"/>
      <c r="GY256"/>
      <c r="GZ256"/>
      <c r="HA256"/>
      <c r="HB256"/>
      <c r="HC256"/>
      <c r="HD256"/>
      <c r="HE256"/>
      <c r="HF256"/>
      <c r="HG256"/>
      <c r="HH256"/>
      <c r="HI256"/>
      <c r="HJ256"/>
      <c r="HK256"/>
      <c r="HL256"/>
      <c r="HM256"/>
      <c r="HN256"/>
      <c r="HO256"/>
      <c r="HP256"/>
      <c r="HQ256"/>
      <c r="HR256"/>
    </row>
    <row r="257" spans="1:226" s="19" customFormat="1" x14ac:dyDescent="0.2">
      <c r="A257" s="80" t="s">
        <v>178</v>
      </c>
      <c r="B257" s="130"/>
      <c r="C257" s="130"/>
      <c r="D257" s="130"/>
      <c r="E257" s="130"/>
      <c r="F257" s="462"/>
      <c r="G257" s="130">
        <f>G213</f>
        <v>44.697662601626014</v>
      </c>
      <c r="H257" s="130">
        <f t="shared" ref="H257:AT257" si="578">H213</f>
        <v>43.773252536640356</v>
      </c>
      <c r="I257" s="130">
        <f t="shared" si="578"/>
        <v>40.050097751710652</v>
      </c>
      <c r="J257" s="130">
        <f t="shared" si="578"/>
        <v>39.557845744680854</v>
      </c>
      <c r="K257" s="462">
        <f t="shared" si="578"/>
        <v>42.525857782197917</v>
      </c>
      <c r="L257" s="130">
        <f t="shared" si="578"/>
        <v>37.083930276981853</v>
      </c>
      <c r="M257" s="130">
        <f t="shared" si="578"/>
        <v>34.341927645788338</v>
      </c>
      <c r="N257" s="130">
        <f t="shared" si="578"/>
        <v>35.147816486751715</v>
      </c>
      <c r="O257" s="130">
        <f t="shared" si="578"/>
        <v>36.476236979166664</v>
      </c>
      <c r="P257" s="462">
        <f t="shared" si="578"/>
        <v>36.975627413127413</v>
      </c>
      <c r="Q257" s="130">
        <f t="shared" si="578"/>
        <v>38.187127236580515</v>
      </c>
      <c r="R257" s="130">
        <f t="shared" si="578"/>
        <v>35.904891304347828</v>
      </c>
      <c r="S257" s="130">
        <f t="shared" si="578"/>
        <v>34.251308277830638</v>
      </c>
      <c r="T257" s="130">
        <f t="shared" si="578"/>
        <v>34.805907172995781</v>
      </c>
      <c r="U257" s="462">
        <f t="shared" si="578"/>
        <v>36.675396444017295</v>
      </c>
      <c r="V257" s="130">
        <f t="shared" si="578"/>
        <v>36.787333015267173</v>
      </c>
      <c r="W257" s="130">
        <f t="shared" si="578"/>
        <v>33.716875000000002</v>
      </c>
      <c r="X257" s="130">
        <f t="shared" si="578"/>
        <v>31.719037753222835</v>
      </c>
      <c r="Y257" s="130">
        <f t="shared" si="578"/>
        <v>29.54346092503987</v>
      </c>
      <c r="Z257" s="462">
        <f t="shared" si="578"/>
        <v>33.455560619872379</v>
      </c>
      <c r="AA257" s="130">
        <f t="shared" si="578"/>
        <v>31.945765398550723</v>
      </c>
      <c r="AB257" s="130">
        <f t="shared" si="578"/>
        <v>31.688792293233082</v>
      </c>
      <c r="AC257" s="130">
        <f t="shared" si="578"/>
        <v>30.088050993949871</v>
      </c>
      <c r="AD257" s="130">
        <f t="shared" si="578"/>
        <v>28.398881728582261</v>
      </c>
      <c r="AE257" s="462">
        <f t="shared" si="578"/>
        <v>30.982558139534881</v>
      </c>
      <c r="AF257" s="130">
        <f t="shared" si="578"/>
        <v>31.792097329888026</v>
      </c>
      <c r="AG257" s="130">
        <f t="shared" si="578"/>
        <v>31.784173478655767</v>
      </c>
      <c r="AH257" s="130">
        <f t="shared" si="578"/>
        <v>30.110294117647058</v>
      </c>
      <c r="AI257" s="130">
        <f t="shared" si="578"/>
        <v>30.07719494047619</v>
      </c>
      <c r="AJ257" s="462">
        <f t="shared" si="578"/>
        <v>31.447080668454714</v>
      </c>
      <c r="AK257" s="130">
        <f t="shared" si="578"/>
        <v>31.96327683615819</v>
      </c>
      <c r="AL257" s="130">
        <f t="shared" si="578"/>
        <v>30.968064924114671</v>
      </c>
      <c r="AM257" s="130">
        <f t="shared" si="578"/>
        <v>28.764320029563933</v>
      </c>
      <c r="AN257" s="130">
        <f t="shared" si="578"/>
        <v>29.328177257525084</v>
      </c>
      <c r="AO257" s="462">
        <f t="shared" si="578"/>
        <v>30.816992224540112</v>
      </c>
      <c r="AP257" s="130">
        <f t="shared" si="578"/>
        <v>31.647398843930635</v>
      </c>
      <c r="AQ257" s="130">
        <f t="shared" si="578"/>
        <v>32.41776315789474</v>
      </c>
      <c r="AR257" s="130">
        <f t="shared" si="578"/>
        <v>29.267592592592589</v>
      </c>
      <c r="AS257" s="130">
        <f t="shared" si="578"/>
        <v>28.682916666666667</v>
      </c>
      <c r="AT257" s="462">
        <f t="shared" si="578"/>
        <v>30.968073394495413</v>
      </c>
      <c r="AU257" s="130">
        <f t="shared" ref="AU257:BD257" si="579">AU213</f>
        <v>33.054489639293941</v>
      </c>
      <c r="AV257" s="130">
        <f t="shared" si="579"/>
        <v>33.082818930041149</v>
      </c>
      <c r="AW257" s="130">
        <f t="shared" si="579"/>
        <v>34.706196581196579</v>
      </c>
      <c r="AX257" s="130">
        <f t="shared" si="579"/>
        <v>35.12071378586424</v>
      </c>
      <c r="AY257" s="462">
        <f t="shared" si="579"/>
        <v>34.407909820405045</v>
      </c>
      <c r="AZ257" s="130">
        <f t="shared" si="579"/>
        <v>36.903633491311219</v>
      </c>
      <c r="BA257" s="130">
        <f t="shared" si="579"/>
        <v>35.602205258693807</v>
      </c>
      <c r="BB257" s="130">
        <f>BB213</f>
        <v>32.854198619631902</v>
      </c>
      <c r="BC257" s="130">
        <f t="shared" si="579"/>
        <v>31.524966261808366</v>
      </c>
      <c r="BD257" s="462">
        <f t="shared" si="579"/>
        <v>34.720703498375073</v>
      </c>
      <c r="BE257" s="130">
        <f t="shared" ref="BE257:CV257" si="580">BE213</f>
        <v>33.703065134099617</v>
      </c>
      <c r="BF257" s="130">
        <f t="shared" si="580"/>
        <v>34.676494676494677</v>
      </c>
      <c r="BG257" s="130">
        <f t="shared" si="580"/>
        <v>34.0640613847252</v>
      </c>
      <c r="BH257" s="130">
        <f t="shared" si="580"/>
        <v>33.545181700194682</v>
      </c>
      <c r="BI257" s="462">
        <f t="shared" si="580"/>
        <v>34.524140453547922</v>
      </c>
      <c r="BJ257" s="130">
        <f t="shared" si="580"/>
        <v>36.793254857997006</v>
      </c>
      <c r="BK257" s="130">
        <f t="shared" si="580"/>
        <v>34.916037735849052</v>
      </c>
      <c r="BL257" s="130">
        <f t="shared" si="580"/>
        <v>34.646585279547061</v>
      </c>
      <c r="BM257" s="130">
        <f t="shared" si="580"/>
        <v>33.680510665804782</v>
      </c>
      <c r="BN257" s="462">
        <f t="shared" si="580"/>
        <v>35.467899697670283</v>
      </c>
      <c r="BO257" s="130">
        <f t="shared" si="580"/>
        <v>36.894080416976912</v>
      </c>
      <c r="BP257" s="130">
        <f t="shared" si="580"/>
        <v>35.055905963302756</v>
      </c>
      <c r="BQ257" s="130">
        <f t="shared" si="580"/>
        <v>35.070461200585655</v>
      </c>
      <c r="BR257" s="130">
        <f t="shared" si="580"/>
        <v>33.433951235804948</v>
      </c>
      <c r="BS257" s="462">
        <f t="shared" si="580"/>
        <v>35.507072905331881</v>
      </c>
      <c r="BT257" s="130">
        <f t="shared" si="580"/>
        <v>33.78004807692308</v>
      </c>
      <c r="BU257" s="130">
        <f t="shared" si="580"/>
        <v>31.479553903345725</v>
      </c>
      <c r="BV257" s="130">
        <f t="shared" si="580"/>
        <v>32.598590292648112</v>
      </c>
      <c r="BW257" s="130">
        <f t="shared" si="580"/>
        <v>30.680394990366089</v>
      </c>
      <c r="BX257" s="462">
        <f t="shared" si="580"/>
        <v>32.543412908930151</v>
      </c>
      <c r="BY257" s="130">
        <f t="shared" si="580"/>
        <v>32.528327338129493</v>
      </c>
      <c r="BZ257" s="130">
        <f t="shared" si="580"/>
        <v>32.090148698884754</v>
      </c>
      <c r="CA257" s="130">
        <f t="shared" si="580"/>
        <v>32.123071528751758</v>
      </c>
      <c r="CB257" s="130">
        <f t="shared" si="580"/>
        <v>31.338671874999999</v>
      </c>
      <c r="CC257" s="462">
        <f t="shared" si="580"/>
        <v>32.489498350980725</v>
      </c>
      <c r="CD257" s="130">
        <f t="shared" si="580"/>
        <v>33.610100485100482</v>
      </c>
      <c r="CE257" s="130">
        <f t="shared" si="580"/>
        <v>32.709815078236133</v>
      </c>
      <c r="CF257" s="130">
        <f t="shared" si="580"/>
        <v>33.423324306025727</v>
      </c>
      <c r="CG257" s="130">
        <f t="shared" si="580"/>
        <v>31.386232544019432</v>
      </c>
      <c r="CH257" s="462">
        <f t="shared" si="580"/>
        <v>33.120709861041355</v>
      </c>
      <c r="CI257" s="130">
        <f t="shared" si="580"/>
        <v>33.336666666666666</v>
      </c>
      <c r="CJ257" s="130">
        <f t="shared" si="580"/>
        <v>34.379855225988699</v>
      </c>
      <c r="CK257" s="130">
        <f t="shared" si="580"/>
        <v>35.531653878749609</v>
      </c>
      <c r="CL257" s="130">
        <f t="shared" ca="1" si="580"/>
        <v>34.425799176547777</v>
      </c>
      <c r="CM257" s="462">
        <f t="shared" ca="1" si="580"/>
        <v>34.811981728800866</v>
      </c>
      <c r="CN257" s="130">
        <f t="shared" ca="1" si="580"/>
        <v>36.151353919575328</v>
      </c>
      <c r="CO257" s="130">
        <f t="shared" si="580"/>
        <v>36.03547377537005</v>
      </c>
      <c r="CP257" s="130">
        <f t="shared" si="580"/>
        <v>37.291796857152029</v>
      </c>
      <c r="CQ257" s="130">
        <f t="shared" ca="1" si="580"/>
        <v>36.826528308847138</v>
      </c>
      <c r="CR257" s="462">
        <f t="shared" ca="1" si="580"/>
        <v>37.029329361040681</v>
      </c>
      <c r="CS257" s="130">
        <f t="shared" ca="1" si="580"/>
        <v>38.172949290862135</v>
      </c>
      <c r="CT257" s="130">
        <f t="shared" si="580"/>
        <v>37.892835350685388</v>
      </c>
      <c r="CU257" s="130">
        <f t="shared" si="580"/>
        <v>39.066677220468542</v>
      </c>
      <c r="CV257" s="130">
        <f t="shared" ca="1" si="580"/>
        <v>38.581451779279774</v>
      </c>
      <c r="CW257" s="462">
        <f t="shared" ref="CW257:DG257" ca="1" si="581">CW213</f>
        <v>38.922326888617256</v>
      </c>
      <c r="CX257" s="130">
        <f t="shared" ca="1" si="581"/>
        <v>40.071871924039286</v>
      </c>
      <c r="CY257" s="130">
        <f t="shared" si="581"/>
        <v>39.749062062174289</v>
      </c>
      <c r="CZ257" s="130">
        <f t="shared" si="581"/>
        <v>40.842458952306771</v>
      </c>
      <c r="DA257" s="130">
        <f t="shared" ca="1" si="581"/>
        <v>40.337558266509596</v>
      </c>
      <c r="DB257" s="462">
        <f t="shared" ca="1" si="581"/>
        <v>40.767483343454153</v>
      </c>
      <c r="DC257" s="130">
        <f t="shared" ca="1" si="581"/>
        <v>41.969318327079748</v>
      </c>
      <c r="DD257" s="130">
        <f t="shared" si="581"/>
        <v>41.604134305423884</v>
      </c>
      <c r="DE257" s="130">
        <f t="shared" si="581"/>
        <v>42.619149356748785</v>
      </c>
      <c r="DF257" s="130">
        <f t="shared" ca="1" si="581"/>
        <v>42.094855183268798</v>
      </c>
      <c r="DG257" s="462">
        <f t="shared" ca="1" si="581"/>
        <v>42.612070640294981</v>
      </c>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c r="FX257"/>
      <c r="FY257"/>
      <c r="FZ257"/>
      <c r="GA257"/>
      <c r="GB257"/>
      <c r="GC257"/>
      <c r="GD257"/>
      <c r="GE257"/>
      <c r="GF257"/>
      <c r="GG257"/>
      <c r="GH257"/>
      <c r="GI257"/>
      <c r="GJ257"/>
      <c r="GK257"/>
      <c r="GL257"/>
      <c r="GM257"/>
      <c r="GN257"/>
      <c r="GO257"/>
      <c r="GP257"/>
      <c r="GQ257"/>
      <c r="GR257"/>
      <c r="GS257"/>
      <c r="GT257"/>
      <c r="GU257"/>
      <c r="GV257"/>
      <c r="GW257"/>
      <c r="GX257"/>
      <c r="GY257"/>
      <c r="GZ257"/>
      <c r="HA257"/>
      <c r="HB257"/>
      <c r="HC257"/>
      <c r="HD257"/>
      <c r="HE257"/>
      <c r="HF257"/>
      <c r="HG257"/>
      <c r="HH257"/>
      <c r="HI257"/>
      <c r="HJ257"/>
      <c r="HK257"/>
      <c r="HL257"/>
      <c r="HM257"/>
      <c r="HN257"/>
      <c r="HO257"/>
      <c r="HP257"/>
      <c r="HQ257"/>
      <c r="HR257"/>
    </row>
    <row r="258" spans="1:226" s="19" customFormat="1" x14ac:dyDescent="0.2">
      <c r="A258" s="80" t="s">
        <v>179</v>
      </c>
      <c r="B258" s="130"/>
      <c r="C258" s="130"/>
      <c r="D258" s="130"/>
      <c r="E258" s="130"/>
      <c r="F258" s="462"/>
      <c r="G258" s="130">
        <f>-G222</f>
        <v>-50.024553571428577</v>
      </c>
      <c r="H258" s="130">
        <f t="shared" ref="H258:AT258" si="582">-H222</f>
        <v>-55.292079207920793</v>
      </c>
      <c r="I258" s="130">
        <f t="shared" si="582"/>
        <v>-47.639006791171475</v>
      </c>
      <c r="J258" s="130">
        <f t="shared" si="582"/>
        <v>-46.208999999999996</v>
      </c>
      <c r="K258" s="462">
        <f t="shared" si="582"/>
        <v>-51.570864414216764</v>
      </c>
      <c r="L258" s="130">
        <f t="shared" si="582"/>
        <v>-51.076516544117645</v>
      </c>
      <c r="M258" s="130">
        <f t="shared" si="582"/>
        <v>-49.580393145161288</v>
      </c>
      <c r="N258" s="130">
        <f t="shared" si="582"/>
        <v>-46.693693693693696</v>
      </c>
      <c r="O258" s="130">
        <f t="shared" si="582"/>
        <v>-44.900793650793645</v>
      </c>
      <c r="P258" s="462">
        <f t="shared" si="582"/>
        <v>-52.65842696629214</v>
      </c>
      <c r="Q258" s="130">
        <f t="shared" si="582"/>
        <v>-46.969237435008665</v>
      </c>
      <c r="R258" s="130">
        <f t="shared" si="582"/>
        <v>-44.759250474383308</v>
      </c>
      <c r="S258" s="130">
        <f t="shared" si="582"/>
        <v>-42.109375</v>
      </c>
      <c r="T258" s="130">
        <f t="shared" si="582"/>
        <v>-43.567262830482115</v>
      </c>
      <c r="U258" s="462">
        <f t="shared" si="582"/>
        <v>-48.697983697983695</v>
      </c>
      <c r="V258" s="130">
        <f t="shared" si="582"/>
        <v>-46.088197969543145</v>
      </c>
      <c r="W258" s="130">
        <f t="shared" si="582"/>
        <v>-46.50702987697715</v>
      </c>
      <c r="X258" s="130">
        <f t="shared" si="582"/>
        <v>-43.675830696202532</v>
      </c>
      <c r="Y258" s="130">
        <f t="shared" si="582"/>
        <v>-42.891405135520685</v>
      </c>
      <c r="Z258" s="462">
        <f t="shared" si="582"/>
        <v>-48.095667870036102</v>
      </c>
      <c r="AA258" s="130">
        <f t="shared" si="582"/>
        <v>-46.912225705329156</v>
      </c>
      <c r="AB258" s="130">
        <f t="shared" si="582"/>
        <v>-42.355692675159233</v>
      </c>
      <c r="AC258" s="130">
        <f t="shared" si="582"/>
        <v>-37.672636632200884</v>
      </c>
      <c r="AD258" s="130">
        <f t="shared" si="582"/>
        <v>-37.754380053908356</v>
      </c>
      <c r="AE258" s="462">
        <f t="shared" si="582"/>
        <v>-45.947858472998142</v>
      </c>
      <c r="AF258" s="130">
        <f t="shared" si="582"/>
        <v>-43.216440422322776</v>
      </c>
      <c r="AG258" s="130">
        <f t="shared" si="582"/>
        <v>-41.555164319248831</v>
      </c>
      <c r="AH258" s="130">
        <f t="shared" si="582"/>
        <v>-37.264737215909093</v>
      </c>
      <c r="AI258" s="130">
        <f t="shared" si="582"/>
        <v>-37.777499999999996</v>
      </c>
      <c r="AJ258" s="462">
        <f t="shared" si="582"/>
        <v>-43.572206095791003</v>
      </c>
      <c r="AK258" s="130">
        <f t="shared" si="582"/>
        <v>-41.51810829817159</v>
      </c>
      <c r="AL258" s="130">
        <f t="shared" si="582"/>
        <v>-40.655940594059409</v>
      </c>
      <c r="AM258" s="130">
        <f t="shared" si="582"/>
        <v>-36.5</v>
      </c>
      <c r="AN258" s="130">
        <f t="shared" si="582"/>
        <v>-39.98121387283237</v>
      </c>
      <c r="AO258" s="462">
        <f t="shared" si="582"/>
        <v>-44.005003227888963</v>
      </c>
      <c r="AP258" s="130">
        <f t="shared" si="582"/>
        <v>-44.958941605839414</v>
      </c>
      <c r="AQ258" s="130">
        <f t="shared" si="582"/>
        <v>-45.125</v>
      </c>
      <c r="AR258" s="130">
        <f t="shared" si="582"/>
        <v>-40.932848443843028</v>
      </c>
      <c r="AS258" s="130">
        <f t="shared" si="582"/>
        <v>-40.069188191881921</v>
      </c>
      <c r="AT258" s="462">
        <f t="shared" si="582"/>
        <v>-46.977287371134018</v>
      </c>
      <c r="AU258" s="130">
        <f t="shared" ref="AU258:BD258" si="583">-AU222</f>
        <v>-45.0546875</v>
      </c>
      <c r="AV258" s="130">
        <f t="shared" si="583"/>
        <v>-41.967018950437314</v>
      </c>
      <c r="AW258" s="130">
        <f t="shared" si="583"/>
        <v>-41.145687237026642</v>
      </c>
      <c r="AX258" s="130">
        <f t="shared" si="583"/>
        <v>-43.103015075376881</v>
      </c>
      <c r="AY258" s="462">
        <f t="shared" si="583"/>
        <v>-49.522298456260721</v>
      </c>
      <c r="AZ258" s="130">
        <f t="shared" si="583"/>
        <v>-51.061170212765958</v>
      </c>
      <c r="BA258" s="130">
        <f t="shared" si="583"/>
        <v>-46.820414847161572</v>
      </c>
      <c r="BB258" s="130">
        <f>-BB222</f>
        <v>-42.933813443072701</v>
      </c>
      <c r="BC258" s="130">
        <f t="shared" si="583"/>
        <v>-42.681451612903224</v>
      </c>
      <c r="BD258" s="462">
        <f t="shared" si="583"/>
        <v>-51.393678160919535</v>
      </c>
      <c r="BE258" s="130">
        <f t="shared" ref="BE258:CV258" si="584">-BE222</f>
        <v>-46.887351778656132</v>
      </c>
      <c r="BF258" s="130">
        <f t="shared" si="584"/>
        <v>-44.858193277310924</v>
      </c>
      <c r="BG258" s="130">
        <f t="shared" si="584"/>
        <v>-40.034808168316829</v>
      </c>
      <c r="BH258" s="130">
        <f t="shared" si="584"/>
        <v>-40.096262740656854</v>
      </c>
      <c r="BI258" s="462">
        <f t="shared" si="584"/>
        <v>-48.162926675094816</v>
      </c>
      <c r="BJ258" s="130">
        <f t="shared" si="584"/>
        <v>-47.774869109947645</v>
      </c>
      <c r="BK258" s="130">
        <f t="shared" si="584"/>
        <v>-45.086122047244096</v>
      </c>
      <c r="BL258" s="130">
        <f t="shared" si="584"/>
        <v>-42.111094132029343</v>
      </c>
      <c r="BM258" s="130">
        <f t="shared" si="584"/>
        <v>-42.2570645905421</v>
      </c>
      <c r="BN258" s="462">
        <f t="shared" si="584"/>
        <v>-46.889598255995018</v>
      </c>
      <c r="BO258" s="130">
        <f t="shared" si="584"/>
        <v>-47.308135704874836</v>
      </c>
      <c r="BP258" s="130">
        <f t="shared" si="584"/>
        <v>-44.413180610889775</v>
      </c>
      <c r="BQ258" s="130">
        <f t="shared" si="584"/>
        <v>-43.087073324905184</v>
      </c>
      <c r="BR258" s="130">
        <f t="shared" si="584"/>
        <v>-44.184210526315788</v>
      </c>
      <c r="BS258" s="462">
        <f t="shared" si="584"/>
        <v>-49.294648511716275</v>
      </c>
      <c r="BT258" s="130">
        <f t="shared" si="584"/>
        <v>-48.631298449612402</v>
      </c>
      <c r="BU258" s="130">
        <f t="shared" si="584"/>
        <v>-44.857697283311772</v>
      </c>
      <c r="BV258" s="130">
        <f t="shared" si="584"/>
        <v>-44.249371859296481</v>
      </c>
      <c r="BW258" s="130">
        <f t="shared" si="584"/>
        <v>-44.601534828807559</v>
      </c>
      <c r="BX258" s="462">
        <f t="shared" si="584"/>
        <v>-49.829937304075237</v>
      </c>
      <c r="BY258" s="130">
        <f t="shared" si="584"/>
        <v>-50.69444444444445</v>
      </c>
      <c r="BZ258" s="130">
        <f t="shared" si="584"/>
        <v>-48.074664429530195</v>
      </c>
      <c r="CA258" s="130">
        <f t="shared" si="584"/>
        <v>-46.911858974358971</v>
      </c>
      <c r="CB258" s="130">
        <f t="shared" si="584"/>
        <v>-47.358973487722317</v>
      </c>
      <c r="CC258" s="462">
        <f t="shared" si="584"/>
        <v>-51.996533486919475</v>
      </c>
      <c r="CD258" s="130">
        <f t="shared" ca="1" si="584"/>
        <v>-48.197086110549485</v>
      </c>
      <c r="CE258" s="130">
        <f t="shared" ca="1" si="584"/>
        <v>-44.717462632355527</v>
      </c>
      <c r="CF258" s="130">
        <f t="shared" ca="1" si="584"/>
        <v>-42.904963139438216</v>
      </c>
      <c r="CG258" s="130">
        <f t="shared" ca="1" si="584"/>
        <v>-41.811207389196447</v>
      </c>
      <c r="CH258" s="462">
        <f t="shared" ca="1" si="584"/>
        <v>-49.528288461717224</v>
      </c>
      <c r="CI258" s="130">
        <f t="shared" ca="1" si="584"/>
        <v>-45.636764513032816</v>
      </c>
      <c r="CJ258" s="130">
        <f t="shared" ca="1" si="584"/>
        <v>-72.721203199395461</v>
      </c>
      <c r="CK258" s="130">
        <f t="shared" ca="1" si="584"/>
        <v>-66.946463364145814</v>
      </c>
      <c r="CL258" s="130">
        <f t="shared" ca="1" si="584"/>
        <v>-38.771001420690006</v>
      </c>
      <c r="CM258" s="462">
        <f t="shared" ca="1" si="584"/>
        <v>-44.829578843511172</v>
      </c>
      <c r="CN258" s="130">
        <f t="shared" ca="1" si="584"/>
        <v>-43.940274754562026</v>
      </c>
      <c r="CO258" s="130">
        <f t="shared" ca="1" si="584"/>
        <v>-72.803684531427393</v>
      </c>
      <c r="CP258" s="130">
        <f t="shared" ca="1" si="584"/>
        <v>-67.093036367426208</v>
      </c>
      <c r="CQ258" s="130">
        <f t="shared" ca="1" si="584"/>
        <v>-39.408764894546579</v>
      </c>
      <c r="CR258" s="462">
        <f t="shared" ca="1" si="584"/>
        <v>-42.893366189530269</v>
      </c>
      <c r="CS258" s="130">
        <f t="shared" ca="1" si="584"/>
        <v>-43.96441201042132</v>
      </c>
      <c r="CT258" s="130">
        <f t="shared" ca="1" si="584"/>
        <v>-72.791105523338103</v>
      </c>
      <c r="CU258" s="130">
        <f t="shared" ca="1" si="584"/>
        <v>-67.116135796788711</v>
      </c>
      <c r="CV258" s="130">
        <f t="shared" ca="1" si="584"/>
        <v>-39.423385327500718</v>
      </c>
      <c r="CW258" s="462">
        <f t="shared" ref="CW258:DG258" ca="1" si="585">-CW222</f>
        <v>-42.903415547275529</v>
      </c>
      <c r="CX258" s="130">
        <f t="shared" ca="1" si="585"/>
        <v>-43.216929588504257</v>
      </c>
      <c r="CY258" s="130">
        <f t="shared" ca="1" si="585"/>
        <v>-71.298388921435887</v>
      </c>
      <c r="CZ258" s="130">
        <f t="shared" ca="1" si="585"/>
        <v>-65.725858826541526</v>
      </c>
      <c r="DA258" s="130">
        <f t="shared" ca="1" si="585"/>
        <v>-38.017860406605116</v>
      </c>
      <c r="DB258" s="462">
        <f t="shared" ca="1" si="585"/>
        <v>-42.092198896061902</v>
      </c>
      <c r="DC258" s="130">
        <f t="shared" ca="1" si="585"/>
        <v>-41.684019257469544</v>
      </c>
      <c r="DD258" s="130">
        <f t="shared" ca="1" si="585"/>
        <v>-69.806362640037761</v>
      </c>
      <c r="DE258" s="130">
        <f t="shared" ca="1" si="585"/>
        <v>-64.335044567249469</v>
      </c>
      <c r="DF258" s="130">
        <f t="shared" ca="1" si="585"/>
        <v>-36.61134739473826</v>
      </c>
      <c r="DG258" s="462">
        <f t="shared" ca="1" si="585"/>
        <v>-40.51791570276265</v>
      </c>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c r="FX258"/>
      <c r="FY258"/>
      <c r="FZ258"/>
      <c r="GA258"/>
      <c r="GB258"/>
      <c r="GC258"/>
      <c r="GD258"/>
      <c r="GE258"/>
      <c r="GF258"/>
      <c r="GG258"/>
      <c r="GH258"/>
      <c r="GI258"/>
      <c r="GJ258"/>
      <c r="GK258"/>
      <c r="GL258"/>
      <c r="GM258"/>
      <c r="GN258"/>
      <c r="GO258"/>
      <c r="GP258"/>
      <c r="GQ258"/>
      <c r="GR258"/>
      <c r="GS258"/>
      <c r="GT258"/>
      <c r="GU258"/>
      <c r="GV258"/>
      <c r="GW258"/>
      <c r="GX258"/>
      <c r="GY258"/>
      <c r="GZ258"/>
      <c r="HA258"/>
      <c r="HB258"/>
      <c r="HC258"/>
      <c r="HD258"/>
      <c r="HE258"/>
      <c r="HF258"/>
      <c r="HG258"/>
      <c r="HH258"/>
      <c r="HI258"/>
      <c r="HJ258"/>
      <c r="HK258"/>
      <c r="HL258"/>
      <c r="HM258"/>
      <c r="HN258"/>
      <c r="HO258"/>
      <c r="HP258"/>
      <c r="HQ258"/>
      <c r="HR258"/>
    </row>
    <row r="259" spans="1:226" s="19" customFormat="1" x14ac:dyDescent="0.2">
      <c r="A259" s="80" t="s">
        <v>180</v>
      </c>
      <c r="B259" s="130"/>
      <c r="C259" s="130"/>
      <c r="D259" s="130"/>
      <c r="E259" s="130"/>
      <c r="F259" s="462"/>
      <c r="G259" s="130">
        <f>SUM(G256:G258)</f>
        <v>42.009046530197445</v>
      </c>
      <c r="H259" s="130">
        <f t="shared" ref="H259:AT259" si="586">SUM(H256:H258)</f>
        <v>47.838846596046295</v>
      </c>
      <c r="I259" s="130">
        <f t="shared" si="586"/>
        <v>44.852729330658029</v>
      </c>
      <c r="J259" s="130">
        <f t="shared" si="586"/>
        <v>35.104845744680865</v>
      </c>
      <c r="K259" s="462">
        <f t="shared" si="586"/>
        <v>39.322698501811779</v>
      </c>
      <c r="L259" s="130">
        <f t="shared" si="586"/>
        <v>28.026025865217157</v>
      </c>
      <c r="M259" s="130">
        <f t="shared" si="586"/>
        <v>32.870153452239954</v>
      </c>
      <c r="N259" s="130">
        <f t="shared" si="586"/>
        <v>35.887681351616571</v>
      </c>
      <c r="O259" s="130">
        <f t="shared" si="586"/>
        <v>32.637943328373012</v>
      </c>
      <c r="P259" s="462">
        <f t="shared" si="586"/>
        <v>28.346863368183577</v>
      </c>
      <c r="Q259" s="130">
        <f t="shared" si="586"/>
        <v>33.679978189786766</v>
      </c>
      <c r="R259" s="130">
        <f t="shared" si="586"/>
        <v>41.185963410609688</v>
      </c>
      <c r="S259" s="130">
        <f t="shared" si="586"/>
        <v>42.688808277830645</v>
      </c>
      <c r="T259" s="130">
        <f t="shared" si="586"/>
        <v>36.863644342513659</v>
      </c>
      <c r="U259" s="462">
        <f t="shared" si="586"/>
        <v>34.483204251825107</v>
      </c>
      <c r="V259" s="130">
        <f t="shared" si="586"/>
        <v>37.482129969581891</v>
      </c>
      <c r="W259" s="130">
        <f t="shared" si="586"/>
        <v>39.089238796133579</v>
      </c>
      <c r="X259" s="130">
        <f t="shared" si="586"/>
        <v>39.732289335501314</v>
      </c>
      <c r="Y259" s="130">
        <f t="shared" si="586"/>
        <v>32.01671342147354</v>
      </c>
      <c r="Z259" s="462">
        <f t="shared" si="586"/>
        <v>33.528765593799385</v>
      </c>
      <c r="AA259" s="130">
        <f t="shared" si="586"/>
        <v>32.732403329585203</v>
      </c>
      <c r="AB259" s="130">
        <f t="shared" si="586"/>
        <v>40.406945159475114</v>
      </c>
      <c r="AC259" s="130">
        <f t="shared" si="586"/>
        <v>42.016596045648548</v>
      </c>
      <c r="AD259" s="130">
        <f t="shared" si="586"/>
        <v>31.780788736668519</v>
      </c>
      <c r="AE259" s="462">
        <f t="shared" si="586"/>
        <v>31.118498549218295</v>
      </c>
      <c r="AF259" s="130">
        <f t="shared" si="586"/>
        <v>31.035121462618037</v>
      </c>
      <c r="AG259" s="130">
        <f t="shared" si="586"/>
        <v>37.71042543483729</v>
      </c>
      <c r="AH259" s="130">
        <f t="shared" si="586"/>
        <v>37.304008606283418</v>
      </c>
      <c r="AI259" s="130">
        <f t="shared" si="586"/>
        <v>32.145528273809525</v>
      </c>
      <c r="AJ259" s="462">
        <f t="shared" si="586"/>
        <v>30.57298778021088</v>
      </c>
      <c r="AK259" s="130">
        <f t="shared" si="586"/>
        <v>31.578255739111775</v>
      </c>
      <c r="AL259" s="130">
        <f t="shared" si="586"/>
        <v>38.90565332581199</v>
      </c>
      <c r="AM259" s="130">
        <f t="shared" si="586"/>
        <v>39.512786287232643</v>
      </c>
      <c r="AN259" s="130">
        <f t="shared" si="586"/>
        <v>31.912714829779418</v>
      </c>
      <c r="AO259" s="462">
        <f t="shared" si="586"/>
        <v>30.8523376086589</v>
      </c>
      <c r="AP259" s="130">
        <f t="shared" si="586"/>
        <v>31.369874513030396</v>
      </c>
      <c r="AQ259" s="130">
        <f t="shared" si="586"/>
        <v>38.91776315789474</v>
      </c>
      <c r="AR259" s="130">
        <f t="shared" si="586"/>
        <v>38.404940359845639</v>
      </c>
      <c r="AS259" s="130">
        <f t="shared" si="586"/>
        <v>31.937836715867164</v>
      </c>
      <c r="AT259" s="462">
        <f t="shared" si="586"/>
        <v>30.603543755320153</v>
      </c>
      <c r="AU259" s="130">
        <f t="shared" ref="AU259:BD259" si="587">SUM(AU256:AU258)</f>
        <v>36.032788250405048</v>
      </c>
      <c r="AV259" s="130">
        <f t="shared" si="587"/>
        <v>44.389305810507629</v>
      </c>
      <c r="AW259" s="130">
        <f t="shared" si="587"/>
        <v>46.800341041224634</v>
      </c>
      <c r="AX259" s="130">
        <f t="shared" si="587"/>
        <v>37.298791675311485</v>
      </c>
      <c r="AY259" s="462">
        <f t="shared" si="587"/>
        <v>33.894530746648606</v>
      </c>
      <c r="AZ259" s="130">
        <f t="shared" si="587"/>
        <v>33.538385264360869</v>
      </c>
      <c r="BA259" s="130">
        <f t="shared" si="587"/>
        <v>40.715924327107203</v>
      </c>
      <c r="BB259" s="130">
        <f t="shared" si="587"/>
        <v>42.930501774638763</v>
      </c>
      <c r="BC259" s="130">
        <f t="shared" si="587"/>
        <v>33.378311542572995</v>
      </c>
      <c r="BD259" s="462">
        <f t="shared" si="587"/>
        <v>31.845618981809821</v>
      </c>
      <c r="BE259" s="130">
        <f t="shared" ref="BE259:CV259" si="588">SUM(BE256:BE258)</f>
        <v>34.244073039237954</v>
      </c>
      <c r="BF259" s="130">
        <f t="shared" si="588"/>
        <v>44.644982071452667</v>
      </c>
      <c r="BG259" s="130">
        <f t="shared" si="588"/>
        <v>45.131511879774706</v>
      </c>
      <c r="BH259" s="130">
        <f t="shared" si="588"/>
        <v>36.748749084113129</v>
      </c>
      <c r="BI259" s="462">
        <f t="shared" si="588"/>
        <v>34.304955877062461</v>
      </c>
      <c r="BJ259" s="130">
        <f t="shared" si="588"/>
        <v>37.091847789934178</v>
      </c>
      <c r="BK259" s="130">
        <f t="shared" si="588"/>
        <v>41.622074481255872</v>
      </c>
      <c r="BL259" s="130">
        <f t="shared" si="588"/>
        <v>42.622593837004267</v>
      </c>
      <c r="BM259" s="130">
        <f t="shared" si="588"/>
        <v>36.048590250579863</v>
      </c>
      <c r="BN259" s="462">
        <f t="shared" si="588"/>
        <v>36.252234795770555</v>
      </c>
      <c r="BO259" s="130">
        <f t="shared" si="588"/>
        <v>39.659231932128428</v>
      </c>
      <c r="BP259" s="130">
        <f t="shared" si="588"/>
        <v>45.477552709650702</v>
      </c>
      <c r="BQ259" s="130">
        <f t="shared" si="588"/>
        <v>44.645366383897915</v>
      </c>
      <c r="BR259" s="130">
        <f t="shared" si="588"/>
        <v>33.70076410130202</v>
      </c>
      <c r="BS259" s="462">
        <f t="shared" si="588"/>
        <v>35.495514957263481</v>
      </c>
      <c r="BT259" s="130">
        <f t="shared" si="588"/>
        <v>31.304272883124625</v>
      </c>
      <c r="BU259" s="130">
        <f t="shared" si="588"/>
        <v>36.378486632970571</v>
      </c>
      <c r="BV259" s="130">
        <f t="shared" si="588"/>
        <v>39.132823960989818</v>
      </c>
      <c r="BW259" s="130">
        <f t="shared" si="588"/>
        <v>30.518795226493594</v>
      </c>
      <c r="BX259" s="462">
        <f t="shared" si="588"/>
        <v>29.71723736034081</v>
      </c>
      <c r="BY259" s="130">
        <f t="shared" si="588"/>
        <v>29.128817534207919</v>
      </c>
      <c r="BZ259" s="130">
        <f t="shared" si="588"/>
        <v>36.560786282777379</v>
      </c>
      <c r="CA259" s="130">
        <f t="shared" si="588"/>
        <v>38.440379221059466</v>
      </c>
      <c r="CB259" s="130">
        <f t="shared" si="588"/>
        <v>31.172567803085251</v>
      </c>
      <c r="CC259" s="462">
        <f t="shared" si="588"/>
        <v>30.021260785654675</v>
      </c>
      <c r="CD259" s="130">
        <f t="shared" ca="1" si="588"/>
        <v>37.003923465460083</v>
      </c>
      <c r="CE259" s="130">
        <f t="shared" ca="1" si="588"/>
        <v>44.715325418853574</v>
      </c>
      <c r="CF259" s="130">
        <f t="shared" ca="1" si="588"/>
        <v>46.294509896938173</v>
      </c>
      <c r="CG259" s="130">
        <f t="shared" ca="1" si="588"/>
        <v>38.972371523538065</v>
      </c>
      <c r="CH259" s="462">
        <f t="shared" ca="1" si="588"/>
        <v>36.164801774854126</v>
      </c>
      <c r="CI259" s="130">
        <f t="shared" ca="1" si="588"/>
        <v>38.510815091965171</v>
      </c>
      <c r="CJ259" s="130">
        <f t="shared" ca="1" si="588"/>
        <v>15.707598742826193</v>
      </c>
      <c r="CK259" s="130">
        <f t="shared" ca="1" si="588"/>
        <v>24.589753406052409</v>
      </c>
      <c r="CL259" s="130">
        <f t="shared" ca="1" si="588"/>
        <v>48.222181897750396</v>
      </c>
      <c r="CM259" s="462">
        <f t="shared" ca="1" si="588"/>
        <v>43.076385114506166</v>
      </c>
      <c r="CN259" s="130">
        <f t="shared" ca="1" si="588"/>
        <v>45.764537344658535</v>
      </c>
      <c r="CO259" s="130">
        <f t="shared" ca="1" si="588"/>
        <v>19.226715127737663</v>
      </c>
      <c r="CP259" s="130">
        <f t="shared" ca="1" si="588"/>
        <v>28.051198357315982</v>
      </c>
      <c r="CQ259" s="130">
        <f t="shared" ca="1" si="588"/>
        <v>52.70085853128009</v>
      </c>
      <c r="CR259" s="462">
        <f t="shared" ca="1" si="588"/>
        <v>49.55934756256687</v>
      </c>
      <c r="CS259" s="130">
        <f t="shared" ca="1" si="588"/>
        <v>49.687927409853977</v>
      </c>
      <c r="CT259" s="130">
        <f t="shared" ca="1" si="588"/>
        <v>22.932150340578971</v>
      </c>
      <c r="CU259" s="130">
        <f t="shared" ca="1" si="588"/>
        <v>31.582774836975801</v>
      </c>
      <c r="CV259" s="130">
        <f t="shared" ca="1" si="588"/>
        <v>56.238023526403843</v>
      </c>
      <c r="CW259" s="462">
        <f t="shared" ref="CW259:DG259" ca="1" si="589">SUM(CW256:CW258)</f>
        <v>53.297836183042236</v>
      </c>
      <c r="CX259" s="130">
        <f t="shared" ca="1" si="589"/>
        <v>54.206856293911059</v>
      </c>
      <c r="CY259" s="130">
        <f t="shared" ca="1" si="589"/>
        <v>28.115346084508417</v>
      </c>
      <c r="CZ259" s="130">
        <f t="shared" ca="1" si="589"/>
        <v>36.529561752561705</v>
      </c>
      <c r="DA259" s="130">
        <f t="shared" ca="1" si="589"/>
        <v>61.197953641900632</v>
      </c>
      <c r="DB259" s="462">
        <f t="shared" ca="1" si="589"/>
        <v>57.788971710239821</v>
      </c>
      <c r="DC259" s="130">
        <f t="shared" ca="1" si="589"/>
        <v>59.508174645842814</v>
      </c>
      <c r="DD259" s="130">
        <f t="shared" ca="1" si="589"/>
        <v>33.295435558317578</v>
      </c>
      <c r="DE259" s="130">
        <f t="shared" ca="1" si="589"/>
        <v>41.478734223799023</v>
      </c>
      <c r="DF259" s="130">
        <f t="shared" ca="1" si="589"/>
        <v>66.16150794785878</v>
      </c>
      <c r="DG259" s="462">
        <f t="shared" ca="1" si="589"/>
        <v>63.041992354059246</v>
      </c>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c r="FX259"/>
      <c r="FY259"/>
      <c r="FZ259"/>
      <c r="GA259"/>
      <c r="GB259"/>
      <c r="GC259"/>
      <c r="GD259"/>
      <c r="GE259"/>
      <c r="GF259"/>
      <c r="GG259"/>
      <c r="GH259"/>
      <c r="GI259"/>
      <c r="GJ259"/>
      <c r="GK259"/>
      <c r="GL259"/>
      <c r="GM259"/>
      <c r="GN259"/>
      <c r="GO259"/>
      <c r="GP259"/>
      <c r="GQ259"/>
      <c r="GR259"/>
      <c r="GS259"/>
      <c r="GT259"/>
      <c r="GU259"/>
      <c r="GV259"/>
      <c r="GW259"/>
      <c r="GX259"/>
      <c r="GY259"/>
      <c r="GZ259"/>
      <c r="HA259"/>
      <c r="HB259"/>
      <c r="HC259"/>
      <c r="HD259"/>
      <c r="HE259"/>
      <c r="HF259"/>
      <c r="HG259"/>
      <c r="HH259"/>
      <c r="HI259"/>
      <c r="HJ259"/>
      <c r="HK259"/>
      <c r="HL259"/>
      <c r="HM259"/>
      <c r="HN259"/>
      <c r="HO259"/>
      <c r="HP259"/>
      <c r="HQ259"/>
      <c r="HR259"/>
    </row>
    <row r="260" spans="1:226" s="19" customFormat="1" x14ac:dyDescent="0.2">
      <c r="A260" s="80"/>
      <c r="F260" s="455"/>
      <c r="K260" s="455"/>
      <c r="P260" s="455"/>
      <c r="U260" s="455"/>
      <c r="Z260" s="455"/>
      <c r="AE260" s="455"/>
      <c r="AJ260" s="455"/>
      <c r="AO260" s="455"/>
      <c r="AT260" s="455"/>
      <c r="AY260" s="483"/>
      <c r="BD260" s="483"/>
      <c r="BI260" s="483"/>
      <c r="BN260" s="483"/>
      <c r="BS260" s="483"/>
      <c r="BX260" s="483"/>
      <c r="CC260" s="483"/>
      <c r="CH260" s="483"/>
      <c r="CM260" s="483"/>
      <c r="CR260" s="483"/>
      <c r="CW260" s="483"/>
      <c r="DB260" s="483"/>
      <c r="DG260" s="483"/>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c r="FX260"/>
      <c r="FY260"/>
      <c r="FZ260"/>
      <c r="GA260"/>
      <c r="GB260"/>
      <c r="GC260"/>
      <c r="GD260"/>
      <c r="GE260"/>
      <c r="GF260"/>
      <c r="GG260"/>
      <c r="GH260"/>
      <c r="GI260"/>
      <c r="GJ260"/>
      <c r="GK260"/>
      <c r="GL260"/>
      <c r="GM260"/>
      <c r="GN260"/>
      <c r="GO260"/>
      <c r="GP260"/>
      <c r="GQ260"/>
      <c r="GR260"/>
      <c r="GS260"/>
      <c r="GT260"/>
      <c r="GU260"/>
      <c r="GV260"/>
      <c r="GW260"/>
      <c r="GX260"/>
      <c r="GY260"/>
      <c r="GZ260"/>
      <c r="HA260"/>
      <c r="HB260"/>
      <c r="HC260"/>
      <c r="HD260"/>
      <c r="HE260"/>
      <c r="HF260"/>
      <c r="HG260"/>
      <c r="HH260"/>
      <c r="HI260"/>
      <c r="HJ260"/>
      <c r="HK260"/>
      <c r="HL260"/>
      <c r="HM260"/>
      <c r="HN260"/>
      <c r="HO260"/>
      <c r="HP260"/>
      <c r="HQ260"/>
      <c r="HR260"/>
    </row>
    <row r="261" spans="1:226" s="19" customFormat="1" x14ac:dyDescent="0.2">
      <c r="A261" s="128" t="s">
        <v>199</v>
      </c>
      <c r="F261" s="455"/>
      <c r="K261" s="455"/>
      <c r="P261" s="455"/>
      <c r="U261" s="455"/>
      <c r="Z261" s="455"/>
      <c r="AE261" s="455"/>
      <c r="AJ261" s="455"/>
      <c r="AO261" s="455"/>
      <c r="AT261" s="455"/>
      <c r="AY261" s="455"/>
      <c r="BD261" s="455"/>
      <c r="BI261" s="455"/>
      <c r="BN261" s="455"/>
      <c r="BS261" s="455"/>
      <c r="BX261" s="455"/>
      <c r="CC261" s="455"/>
      <c r="CH261" s="455"/>
      <c r="CM261" s="455"/>
      <c r="CR261" s="455"/>
      <c r="CW261" s="455"/>
      <c r="DB261" s="455"/>
      <c r="DG261" s="455"/>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c r="FX261"/>
      <c r="FY261"/>
      <c r="FZ261"/>
      <c r="GA261"/>
      <c r="GB261"/>
      <c r="GC261"/>
      <c r="GD261"/>
      <c r="GE261"/>
      <c r="GF261"/>
      <c r="GG261"/>
      <c r="GH261"/>
      <c r="GI261"/>
      <c r="GJ261"/>
      <c r="GK261"/>
      <c r="GL261"/>
      <c r="GM261"/>
      <c r="GN261"/>
      <c r="GO261"/>
      <c r="GP261"/>
      <c r="GQ261"/>
      <c r="GR261"/>
      <c r="GS261"/>
      <c r="GT261"/>
      <c r="GU261"/>
      <c r="GV261"/>
      <c r="GW261"/>
      <c r="GX261"/>
      <c r="GY261"/>
      <c r="GZ261"/>
      <c r="HA261"/>
      <c r="HB261"/>
      <c r="HC261"/>
      <c r="HD261"/>
      <c r="HE261"/>
      <c r="HF261"/>
      <c r="HG261"/>
      <c r="HH261"/>
      <c r="HI261"/>
      <c r="HJ261"/>
      <c r="HK261"/>
      <c r="HL261"/>
      <c r="HM261"/>
      <c r="HN261"/>
      <c r="HO261"/>
      <c r="HP261"/>
      <c r="HQ261"/>
      <c r="HR261"/>
    </row>
    <row r="262" spans="1:226" s="19" customFormat="1" x14ac:dyDescent="0.2">
      <c r="A262" s="80" t="s">
        <v>182</v>
      </c>
      <c r="B262" s="43"/>
      <c r="C262" s="43"/>
      <c r="D262" s="43"/>
      <c r="E262" s="43"/>
      <c r="F262" s="407"/>
      <c r="G262" s="43"/>
      <c r="H262" s="43"/>
      <c r="I262" s="43"/>
      <c r="J262" s="43"/>
      <c r="K262" s="407"/>
      <c r="L262" s="43">
        <f>-(L65/(AVERAGE(K241:L241))*4)</f>
        <v>3.165182987141444E-2</v>
      </c>
      <c r="M262" s="43">
        <f>-(M65/(AVERAGE(L241:M241))*4)</f>
        <v>3.0902945436986962E-2</v>
      </c>
      <c r="N262" s="43">
        <f>-(N65/(AVERAGE(M241:N241))*4)</f>
        <v>2.2079116835326588E-2</v>
      </c>
      <c r="O262" s="43">
        <f>-(O65/(AVERAGE(N241:O241))*4)</f>
        <v>2.197802197802198E-2</v>
      </c>
      <c r="P262" s="407">
        <f>-(P65/(AVERAGE(K241:O241)))</f>
        <v>2.6590693257359924E-2</v>
      </c>
      <c r="Q262" s="43">
        <f>-(Q65/(AVERAGE(P241:Q241))*4)</f>
        <v>2.165087956698241E-2</v>
      </c>
      <c r="R262" s="43">
        <f>-(R65/(AVERAGE(Q241:R241))*4)</f>
        <v>2.4454148471615721E-2</v>
      </c>
      <c r="S262" s="43">
        <f>-(S65/(AVERAGE(R241:S241))*4)</f>
        <v>3.0317385125532923E-2</v>
      </c>
      <c r="T262" s="43">
        <f>-(T65/(AVERAGE(S241:T241))*4)</f>
        <v>4.1498559077809798E-2</v>
      </c>
      <c r="U262" s="407">
        <f>-(U65/(AVERAGE(P241:T241)))</f>
        <v>2.9446407538280331E-2</v>
      </c>
      <c r="V262" s="43">
        <f>-(V65/(AVERAGE(U241:V241))*4)</f>
        <v>4.529370134465676E-2</v>
      </c>
      <c r="W262" s="43">
        <f>-(W65/(AVERAGE(V241:W241))*4)</f>
        <v>4.0988547317661245E-2</v>
      </c>
      <c r="X262" s="43">
        <f>-(X65/(AVERAGE(W241:X241))*4)</f>
        <v>4.1506533435818602E-2</v>
      </c>
      <c r="Y262" s="43">
        <f>-(Y65/(AVERAGE(X241:Y241))*4)</f>
        <v>4.3062200956937802E-2</v>
      </c>
      <c r="Z262" s="407">
        <f>-(Z65/(AVERAGE(U241:Y241)))</f>
        <v>4.3406593406593405E-2</v>
      </c>
      <c r="AA262" s="43">
        <f>-(AA65/(AVERAGE(Z241:AA241))*4)</f>
        <v>4.6493607129019759E-2</v>
      </c>
      <c r="AB262" s="43">
        <f>-(AB65/(AVERAGE(AA241:AB241))*4)</f>
        <v>4.8102217211574594E-2</v>
      </c>
      <c r="AC262" s="43">
        <f>-(AC65/(AVERAGE(AB241:AC241))*4)</f>
        <v>5.0487664945496273E-2</v>
      </c>
      <c r="AD262" s="43">
        <f>-(AD65/(AVERAGE(AC241:AD241))*4)</f>
        <v>5.2674897119341563E-2</v>
      </c>
      <c r="AE262" s="407">
        <f>-(AE65/(AVERAGE(Z241:AD241)))</f>
        <v>5.013817607579945E-2</v>
      </c>
      <c r="AF262" s="43">
        <f>-(AF65/(AVERAGE(AE241:AF241))*4)</f>
        <v>5.2029603050011211E-2</v>
      </c>
      <c r="AG262" s="43">
        <f>-(AG65/(AVERAGE(AF241:AG241))*4)</f>
        <v>5.2417532760957973E-2</v>
      </c>
      <c r="AH262" s="43">
        <f>-(AH65/(AVERAGE(AG241:AH241))*4)</f>
        <v>5.0782135570165497E-2</v>
      </c>
      <c r="AI262" s="43">
        <f>-(AI65/(AVERAGE(AH241:AI241))*4)</f>
        <v>5.1355206847360911E-2</v>
      </c>
      <c r="AJ262" s="407">
        <f>-(AJ65/(AVERAGE(AE241:AI241)))</f>
        <v>5.1806345131120486E-2</v>
      </c>
      <c r="AK262" s="43">
        <f>-(AK65/(AVERAGE(AJ241:AK241))*4)</f>
        <v>5.4042988741044011E-2</v>
      </c>
      <c r="AL262" s="43">
        <f>-(AL65/(AVERAGE(AK241:AL241))*4)</f>
        <v>5.5656382335148212E-2</v>
      </c>
      <c r="AM262" s="43">
        <f>-(AM65/(AVERAGE(AL241:AM241))*4)</f>
        <v>4.9442429128039769E-2</v>
      </c>
      <c r="AN262" s="43">
        <f>-(AN65/(AVERAGE(AM241:AN241))*4)</f>
        <v>4.8078266946191474E-2</v>
      </c>
      <c r="AO262" s="407">
        <f>-(AO65/(AVERAGE(AJ241:AN241)))</f>
        <v>5.3154464342213506E-2</v>
      </c>
      <c r="AP262" s="43">
        <f>-(AP65/(AVERAGE(AO241:AP241))*4)</f>
        <v>4.8540884137532506E-2</v>
      </c>
      <c r="AQ262" s="43">
        <f>-(AQ65/(AVERAGE(AP241:AQ241))*4)</f>
        <v>5.1741878582978094E-2</v>
      </c>
      <c r="AR262" s="43">
        <f>-(AR65/(AVERAGE(AQ241:AR241))*4)</f>
        <v>4.7151277013752456E-2</v>
      </c>
      <c r="AS262" s="43">
        <f>-(AS65/(AVERAGE(AR241:AS241))*4)</f>
        <v>4.4929797191887673E-2</v>
      </c>
      <c r="AT262" s="407">
        <f>-(AT65/(AVERAGE(AO241:AS241)))</f>
        <v>4.8238255033557047E-2</v>
      </c>
      <c r="AU262" s="43">
        <f>-(AU65/(AVERAGE(AT241:AU241))*4)</f>
        <v>4.5584045584045586E-2</v>
      </c>
      <c r="AV262" s="43">
        <f>-(AV65/(AVERAGE(AU241:AV241))*4)</f>
        <v>4.7711154094132818E-2</v>
      </c>
      <c r="AW262" s="43">
        <f>-(AW65/(AVERAGE(AV241:AW241))*4)</f>
        <v>4.4936395175945811E-2</v>
      </c>
      <c r="AX262" s="43">
        <f>-(AX65/(AVERAGE(AW241:AX241))*4)</f>
        <v>4.4039222432478924E-2</v>
      </c>
      <c r="AY262" s="487">
        <f>IF(AY65=0,"NA",-AY65/(AVERAGE(AT241:AX241)))</f>
        <v>4.5826190162204933E-2</v>
      </c>
      <c r="AZ262" s="43">
        <f>-(AZ65/(AVERAGE(AY241:AZ241))*4)</f>
        <v>4.4716157205240172E-2</v>
      </c>
      <c r="BA262" s="43">
        <f>-(BA65/(AVERAGE(AZ241:BA241))*4)</f>
        <v>4.9272116461366179E-2</v>
      </c>
      <c r="BB262" s="43">
        <f>-(BB65/(AVERAGE(BA241:BB241))*4)</f>
        <v>4.7385620915032678E-2</v>
      </c>
      <c r="BC262" s="43">
        <f>-(BC65/(AVERAGE(BB241:BC241))*4)</f>
        <v>4.5922406967537611E-2</v>
      </c>
      <c r="BD262" s="487">
        <f>IF(BD65=0,"NA",-BD65/(AVERAGE(AY241:BC241)))</f>
        <v>4.6573267701628174E-2</v>
      </c>
      <c r="BE262" s="43">
        <f>-(BE65/(AVERAGE(BD241:BE241))*4)</f>
        <v>4.5083560046638167E-2</v>
      </c>
      <c r="BF262" s="43">
        <f>-(BF65/(AVERAGE(BE241:BF241))*4)</f>
        <v>4.3972150971051664E-2</v>
      </c>
      <c r="BG262" s="43">
        <f>-(BG65/(AVERAGE(BF241:BG241))*4)</f>
        <v>4.5945005221023322E-2</v>
      </c>
      <c r="BH262" s="43">
        <f>-(BH65/(AVERAGE(BG241:BH241))*4)</f>
        <v>4.7388260635433492E-2</v>
      </c>
      <c r="BI262" s="487">
        <f>IF(BI65=0,"NA",-BI65/(AVERAGE(BD241:BH241)))</f>
        <v>4.5911995886285167E-2</v>
      </c>
      <c r="BJ262" s="43">
        <f>-(BJ65/(AVERAGE(BI241:BJ241))*4)</f>
        <v>4.5977011494252873E-2</v>
      </c>
      <c r="BK262" s="43">
        <f>-(BK65/(AVERAGE(BJ241:BK241))*4)</f>
        <v>4.6356453028972781E-2</v>
      </c>
      <c r="BL262" s="43">
        <f>-(BL65/(AVERAGE(BK241:BL241))*4)</f>
        <v>4.5845272206303724E-2</v>
      </c>
      <c r="BM262" s="43">
        <f>-(BM65/(AVERAGE(BL241:BM241))*4)</f>
        <v>4.2165011149401986E-2</v>
      </c>
      <c r="BN262" s="487">
        <f>IF(BN65=0,"NA",-BN65/(AVERAGE(BI241:BM241)))</f>
        <v>4.569630683946363E-2</v>
      </c>
      <c r="BO262" s="43">
        <f>-(BO65/(AVERAGE(BN241:BO241))*4)</f>
        <v>4.3082021541010769E-2</v>
      </c>
      <c r="BP262" s="43">
        <f>-(BP65/(AVERAGE(BO241:BP241))*4)</f>
        <v>4.1867954911433171E-2</v>
      </c>
      <c r="BQ262" s="43">
        <f>-(BQ65/(AVERAGE(BP241:BQ241))*4)</f>
        <v>3.9401103230890466E-2</v>
      </c>
      <c r="BR262" s="43">
        <f>-(BR65/(AVERAGE(BQ241:BR241))*4)</f>
        <v>4.2649169571457861E-2</v>
      </c>
      <c r="BS262" s="487">
        <f>IF(BS65=0,"NA",-BS65/(AVERAGE(BN241:BR241)))</f>
        <v>4.2154375051158217E-2</v>
      </c>
      <c r="BT262" s="43">
        <f>-(BT65/(AVERAGE(BS241:BT241))*4)</f>
        <v>4.5845272206303724E-2</v>
      </c>
      <c r="BU262" s="43">
        <f>-(BU65/(AVERAGE(BT241:BU241))*4)</f>
        <v>4.2483660130718956E-2</v>
      </c>
      <c r="BV262" s="43">
        <f>-(BV65/(AVERAGE(BU241:BV241))*4)</f>
        <v>4.1339396444811903E-2</v>
      </c>
      <c r="BW262" s="43">
        <f>-(BW65/(AVERAGE(BV241:BW241))*4)</f>
        <v>4.2230892816157904E-2</v>
      </c>
      <c r="BX262" s="487">
        <f>IF(BX65=0,"NA",-BX65/(AVERAGE(BS241:BW241)))</f>
        <v>4.3230157357772789E-2</v>
      </c>
      <c r="BY262" s="43">
        <f>-(BY65/(AVERAGE(BX241:BY241))*4)</f>
        <v>4.1647804436396561E-2</v>
      </c>
      <c r="BZ262" s="43">
        <f>-(BZ65/(AVERAGE(BY241:BZ241))*4)</f>
        <v>3.8912226398408134E-2</v>
      </c>
      <c r="CA262" s="43">
        <f>-(CA65/(AVERAGE(BZ241:CA241))*4)</f>
        <v>3.8903625110521665E-2</v>
      </c>
      <c r="CB262" s="43">
        <f>-(CB65/(AVERAGE(CA241:CB241))*4)</f>
        <v>3.6939313984168866E-2</v>
      </c>
      <c r="CC262" s="487">
        <f>IF(CC65=0,"NA",-CC65/(AVERAGE(BX241:CB241)))</f>
        <v>3.906943704492985E-2</v>
      </c>
      <c r="CD262" s="43">
        <f>-(CD65/(AVERAGE(CC241:CD241))*4)</f>
        <v>3.7232917283689444E-2</v>
      </c>
      <c r="CE262" s="43">
        <f>-(CE65/(AVERAGE(CD241:CE241))*4)</f>
        <v>3.5512510088781278E-2</v>
      </c>
      <c r="CF262" s="43">
        <f>-(CF65/(AVERAGE(CE241:CF241))*4)</f>
        <v>3.5277610743636001E-2</v>
      </c>
      <c r="CG262" s="43">
        <f>-(CG65/(AVERAGE(CF241:CG241))*4)</f>
        <v>3.7971952535059333E-2</v>
      </c>
      <c r="CH262" s="487">
        <f>IF(CH65=0,"NA",-CH65/(AVERAGE(CC241:CG241)))</f>
        <v>3.6940643103014023E-2</v>
      </c>
      <c r="CI262" s="43">
        <f>-(CI65/(AVERAGE(CH241:CI241))*4)</f>
        <v>3.8225255972696243E-2</v>
      </c>
      <c r="CJ262" s="43">
        <f>-(CJ65/(AVERAGE(CI241:CJ241))*4)</f>
        <v>3.5690385902297568E-2</v>
      </c>
      <c r="CK262" s="145">
        <v>3.7999999999999999E-2</v>
      </c>
      <c r="CL262" s="145">
        <f t="shared" ref="CL262:CL263" si="590">CK262</f>
        <v>3.7999999999999999E-2</v>
      </c>
      <c r="CM262" s="487">
        <f ca="1">IF(CM65=0,"NA",-CM65/(AVERAGE(CH241:CL241)))</f>
        <v>3.7496767837567037E-2</v>
      </c>
      <c r="CN262" s="145">
        <f>CL262</f>
        <v>3.7999999999999999E-2</v>
      </c>
      <c r="CO262" s="145">
        <f t="shared" ref="CO262:CQ263" si="591">CN262</f>
        <v>3.7999999999999999E-2</v>
      </c>
      <c r="CP262" s="145">
        <f t="shared" si="591"/>
        <v>3.7999999999999999E-2</v>
      </c>
      <c r="CQ262" s="145">
        <f t="shared" si="591"/>
        <v>3.7999999999999999E-2</v>
      </c>
      <c r="CR262" s="487">
        <f ca="1">IF(CR65=0,"NA",-CR65/(AVERAGE(CM241:CQ241)))</f>
        <v>3.8110519282288348E-2</v>
      </c>
      <c r="CS262" s="145">
        <f>CQ262</f>
        <v>3.7999999999999999E-2</v>
      </c>
      <c r="CT262" s="145">
        <f t="shared" ref="CT262:CV263" si="592">CS262</f>
        <v>3.7999999999999999E-2</v>
      </c>
      <c r="CU262" s="145">
        <f t="shared" si="592"/>
        <v>3.7999999999999999E-2</v>
      </c>
      <c r="CV262" s="145">
        <f t="shared" si="592"/>
        <v>3.7999999999999999E-2</v>
      </c>
      <c r="CW262" s="487">
        <f ca="1">IF(CW65=0,"NA",-CW65/(AVERAGE(CR241:CV241)))</f>
        <v>3.8093143949408992E-2</v>
      </c>
      <c r="CX262" s="145">
        <f>CV262</f>
        <v>3.7999999999999999E-2</v>
      </c>
      <c r="CY262" s="145">
        <f t="shared" ref="CY262:DA263" si="593">CX262</f>
        <v>3.7999999999999999E-2</v>
      </c>
      <c r="CZ262" s="145">
        <f t="shared" si="593"/>
        <v>3.7999999999999999E-2</v>
      </c>
      <c r="DA262" s="145">
        <f t="shared" si="593"/>
        <v>3.7999999999999999E-2</v>
      </c>
      <c r="DB262" s="487">
        <f ca="1">IF(DB65=0,"NA",-DB65/(AVERAGE(CW241:DA241)))</f>
        <v>3.8088906057343698E-2</v>
      </c>
      <c r="DC262" s="145">
        <f>DA262</f>
        <v>3.7999999999999999E-2</v>
      </c>
      <c r="DD262" s="145">
        <f t="shared" ref="DD262:DF263" si="594">DC262</f>
        <v>3.7999999999999999E-2</v>
      </c>
      <c r="DE262" s="145">
        <f t="shared" si="594"/>
        <v>3.7999999999999999E-2</v>
      </c>
      <c r="DF262" s="145">
        <f t="shared" si="594"/>
        <v>3.7999999999999999E-2</v>
      </c>
      <c r="DG262" s="487">
        <f ca="1">IF(DG65=0,"NA",-DG65/(AVERAGE(DB241:DF241)))</f>
        <v>3.8069681301998025E-2</v>
      </c>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c r="FX262"/>
      <c r="FY262"/>
      <c r="FZ262"/>
      <c r="GA262"/>
      <c r="GB262"/>
      <c r="GC262"/>
      <c r="GD262"/>
      <c r="GE262"/>
      <c r="GF262"/>
      <c r="GG262"/>
      <c r="GH262"/>
      <c r="GI262"/>
      <c r="GJ262"/>
      <c r="GK262"/>
      <c r="GL262"/>
      <c r="GM262"/>
      <c r="GN262"/>
      <c r="GO262"/>
      <c r="GP262"/>
      <c r="GQ262"/>
      <c r="GR262"/>
      <c r="GS262"/>
      <c r="GT262"/>
      <c r="GU262"/>
      <c r="GV262"/>
      <c r="GW262"/>
      <c r="GX262"/>
      <c r="GY262"/>
      <c r="GZ262"/>
      <c r="HA262"/>
      <c r="HB262"/>
      <c r="HC262"/>
      <c r="HD262"/>
      <c r="HE262"/>
      <c r="HF262"/>
      <c r="HG262"/>
      <c r="HH262"/>
      <c r="HI262"/>
      <c r="HJ262"/>
      <c r="HK262"/>
      <c r="HL262"/>
      <c r="HM262"/>
      <c r="HN262"/>
      <c r="HO262"/>
      <c r="HP262"/>
      <c r="HQ262"/>
      <c r="HR262"/>
    </row>
    <row r="263" spans="1:226" s="19" customFormat="1" x14ac:dyDescent="0.2">
      <c r="A263" s="80" t="s">
        <v>183</v>
      </c>
      <c r="F263" s="455"/>
      <c r="K263" s="455"/>
      <c r="P263" s="455"/>
      <c r="U263" s="455"/>
      <c r="Z263" s="455"/>
      <c r="AE263" s="455"/>
      <c r="AJ263" s="455"/>
      <c r="AO263" s="455"/>
      <c r="AT263" s="455"/>
      <c r="AW263" s="145"/>
      <c r="AX263" s="145"/>
      <c r="AY263" s="455"/>
      <c r="AZ263" s="145"/>
      <c r="BA263" s="145"/>
      <c r="BB263" s="145"/>
      <c r="BC263" s="145"/>
      <c r="BD263" s="407"/>
      <c r="BE263" s="145"/>
      <c r="BF263" s="145"/>
      <c r="BG263" s="145"/>
      <c r="BH263" s="145"/>
      <c r="BI263" s="407"/>
      <c r="BJ263" s="145"/>
      <c r="BK263" s="145"/>
      <c r="BL263" s="145"/>
      <c r="BM263" s="145"/>
      <c r="BN263" s="407"/>
      <c r="BO263" s="145"/>
      <c r="BP263" s="145"/>
      <c r="BQ263" s="145"/>
      <c r="BR263" s="145"/>
      <c r="BS263" s="407">
        <f>(BS66/(AVERAGE(BN237:BR237)))</f>
        <v>3.0193236714975848E-2</v>
      </c>
      <c r="BT263" s="145"/>
      <c r="BU263" s="145"/>
      <c r="BV263" s="145"/>
      <c r="BW263" s="145"/>
      <c r="BX263" s="407">
        <f>(BX66/(AVERAGE(BS237:BW237)))</f>
        <v>2.8722934158197082E-2</v>
      </c>
      <c r="BY263" s="145"/>
      <c r="BZ263" s="145"/>
      <c r="CA263" s="145"/>
      <c r="CB263" s="145"/>
      <c r="CC263" s="407">
        <f>(CC66/(AVERAGE(BX237:CB237)))</f>
        <v>1.7766497461928935E-2</v>
      </c>
      <c r="CD263" s="145"/>
      <c r="CE263" s="145"/>
      <c r="CF263" s="145"/>
      <c r="CG263" s="145"/>
      <c r="CH263" s="407">
        <f ca="1">(CH66/(AVERAGE(CC237:CG237)))</f>
        <v>-1.2548262548262551E-2</v>
      </c>
      <c r="CI263" s="570">
        <v>2.5000000000000001E-3</v>
      </c>
      <c r="CJ263" s="570">
        <v>2.5000000000000001E-3</v>
      </c>
      <c r="CK263" s="145">
        <v>2.5000000000000001E-3</v>
      </c>
      <c r="CL263" s="145">
        <f t="shared" si="590"/>
        <v>2.5000000000000001E-3</v>
      </c>
      <c r="CM263" s="407">
        <f ca="1">(CM66/(AVERAGE(CH237:CL237)))</f>
        <v>6.3748406289842749E-3</v>
      </c>
      <c r="CN263" s="145">
        <f>CL263+0</f>
        <v>2.5000000000000001E-3</v>
      </c>
      <c r="CO263" s="145">
        <f t="shared" si="591"/>
        <v>2.5000000000000001E-3</v>
      </c>
      <c r="CP263" s="145">
        <f t="shared" si="591"/>
        <v>2.5000000000000001E-3</v>
      </c>
      <c r="CQ263" s="145">
        <f t="shared" si="591"/>
        <v>2.5000000000000001E-3</v>
      </c>
      <c r="CR263" s="407">
        <f ca="1">(CR66/(AVERAGE(CM237:CQ237)))</f>
        <v>6.1349693251533744E-3</v>
      </c>
      <c r="CS263" s="145">
        <f>CQ263+0</f>
        <v>2.5000000000000001E-3</v>
      </c>
      <c r="CT263" s="145">
        <f t="shared" si="592"/>
        <v>2.5000000000000001E-3</v>
      </c>
      <c r="CU263" s="145">
        <f t="shared" si="592"/>
        <v>2.5000000000000001E-3</v>
      </c>
      <c r="CV263" s="145">
        <f t="shared" si="592"/>
        <v>2.5000000000000001E-3</v>
      </c>
      <c r="CW263" s="407">
        <f ca="1">(CW66/(AVERAGE(CR237:CV237)))</f>
        <v>0</v>
      </c>
      <c r="CX263" s="145">
        <f>CV263+0</f>
        <v>2.5000000000000001E-3</v>
      </c>
      <c r="CY263" s="145">
        <f t="shared" si="593"/>
        <v>2.5000000000000001E-3</v>
      </c>
      <c r="CZ263" s="145">
        <f t="shared" si="593"/>
        <v>2.5000000000000001E-3</v>
      </c>
      <c r="DA263" s="145">
        <f t="shared" si="593"/>
        <v>2.5000000000000001E-3</v>
      </c>
      <c r="DB263" s="407">
        <f ca="1">(DB66/(AVERAGE(CW237:DA237)))</f>
        <v>0</v>
      </c>
      <c r="DC263" s="145">
        <f>DA263+0</f>
        <v>2.5000000000000001E-3</v>
      </c>
      <c r="DD263" s="145">
        <f t="shared" si="594"/>
        <v>2.5000000000000001E-3</v>
      </c>
      <c r="DE263" s="145">
        <f t="shared" si="594"/>
        <v>2.5000000000000001E-3</v>
      </c>
      <c r="DF263" s="145">
        <f t="shared" si="594"/>
        <v>2.5000000000000001E-3</v>
      </c>
      <c r="DG263" s="407">
        <f ca="1">(DG66/(AVERAGE(DB237:DF237)))</f>
        <v>0</v>
      </c>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c r="FX263"/>
      <c r="FY263"/>
      <c r="FZ263"/>
      <c r="GA263"/>
      <c r="GB263"/>
      <c r="GC263"/>
      <c r="GD263"/>
      <c r="GE263"/>
      <c r="GF263"/>
      <c r="GG263"/>
      <c r="GH263"/>
      <c r="GI263"/>
      <c r="GJ263"/>
      <c r="GK263"/>
      <c r="GL263"/>
      <c r="GM263"/>
      <c r="GN263"/>
      <c r="GO263"/>
      <c r="GP263"/>
      <c r="GQ263"/>
      <c r="GR263"/>
      <c r="GS263"/>
      <c r="GT263"/>
      <c r="GU263"/>
      <c r="GV263"/>
      <c r="GW263"/>
      <c r="GX263"/>
      <c r="GY263"/>
      <c r="GZ263"/>
      <c r="HA263"/>
      <c r="HB263"/>
      <c r="HC263"/>
      <c r="HD263"/>
      <c r="HE263"/>
      <c r="HF263"/>
      <c r="HG263"/>
      <c r="HH263"/>
      <c r="HI263"/>
      <c r="HJ263"/>
      <c r="HK263"/>
      <c r="HL263"/>
      <c r="HM263"/>
      <c r="HN263"/>
      <c r="HO263"/>
      <c r="HP263"/>
      <c r="HQ263"/>
      <c r="HR263"/>
    </row>
    <row r="264" spans="1:226" s="19" customFormat="1" x14ac:dyDescent="0.2">
      <c r="A264" s="80"/>
      <c r="F264" s="455"/>
      <c r="K264" s="455"/>
      <c r="P264" s="455"/>
      <c r="U264" s="455"/>
      <c r="Z264" s="455"/>
      <c r="AE264" s="455"/>
      <c r="AJ264" s="455"/>
      <c r="AO264" s="455"/>
      <c r="AT264" s="455"/>
      <c r="AY264" s="455"/>
      <c r="BD264" s="455"/>
      <c r="BI264" s="455"/>
      <c r="BN264" s="455"/>
      <c r="BS264" s="455"/>
      <c r="BX264" s="455"/>
      <c r="CC264" s="455"/>
      <c r="CH264" s="455"/>
      <c r="CM264" s="455"/>
      <c r="CR264" s="455"/>
      <c r="CW264" s="455"/>
      <c r="DB264" s="455"/>
      <c r="DG264" s="455"/>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c r="FX264"/>
      <c r="FY264"/>
      <c r="FZ264"/>
      <c r="GA264"/>
      <c r="GB264"/>
      <c r="GC264"/>
      <c r="GD264"/>
      <c r="GE264"/>
      <c r="GF264"/>
      <c r="GG264"/>
      <c r="GH264"/>
      <c r="GI264"/>
      <c r="GJ264"/>
      <c r="GK264"/>
      <c r="GL264"/>
      <c r="GM264"/>
      <c r="GN264"/>
      <c r="GO264"/>
      <c r="GP264"/>
      <c r="GQ264"/>
      <c r="GR264"/>
      <c r="GS264"/>
      <c r="GT264"/>
      <c r="GU264"/>
      <c r="GV264"/>
      <c r="GW264"/>
      <c r="GX264"/>
      <c r="GY264"/>
      <c r="GZ264"/>
      <c r="HA264"/>
      <c r="HB264"/>
      <c r="HC264"/>
      <c r="HD264"/>
      <c r="HE264"/>
      <c r="HF264"/>
      <c r="HG264"/>
      <c r="HH264"/>
      <c r="HI264"/>
      <c r="HJ264"/>
      <c r="HK264"/>
      <c r="HL264"/>
      <c r="HM264"/>
      <c r="HN264"/>
      <c r="HO264"/>
      <c r="HP264"/>
      <c r="HQ264"/>
      <c r="HR264"/>
    </row>
    <row r="265" spans="1:226" s="19" customFormat="1" x14ac:dyDescent="0.2">
      <c r="A265" s="45" t="s">
        <v>290</v>
      </c>
      <c r="F265" s="455"/>
      <c r="K265" s="455"/>
      <c r="P265" s="455"/>
      <c r="U265" s="455"/>
      <c r="Z265" s="455"/>
      <c r="AE265" s="455"/>
      <c r="AJ265" s="455"/>
      <c r="AO265" s="455"/>
      <c r="AT265" s="455"/>
      <c r="AY265" s="407"/>
      <c r="BD265" s="407"/>
      <c r="BI265" s="407"/>
      <c r="BN265" s="407"/>
      <c r="BS265" s="407"/>
      <c r="BX265" s="407"/>
      <c r="CC265" s="407"/>
      <c r="CH265" s="407"/>
      <c r="CM265" s="407"/>
      <c r="CR265" s="407"/>
      <c r="CW265" s="407"/>
      <c r="DB265" s="407"/>
      <c r="DG265" s="407"/>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c r="FX265"/>
      <c r="FY265"/>
      <c r="FZ265"/>
      <c r="GA265"/>
      <c r="GB265"/>
      <c r="GC265"/>
      <c r="GD265"/>
      <c r="GE265"/>
      <c r="GF265"/>
      <c r="GG265"/>
      <c r="GH265"/>
      <c r="GI265"/>
      <c r="GJ265"/>
      <c r="GK265"/>
      <c r="GL265"/>
      <c r="GM265"/>
      <c r="GN265"/>
      <c r="GO265"/>
      <c r="GP265"/>
      <c r="GQ265"/>
      <c r="GR265"/>
      <c r="GS265"/>
      <c r="GT265"/>
      <c r="GU265"/>
      <c r="GV265"/>
      <c r="GW265"/>
      <c r="GX265"/>
      <c r="GY265"/>
      <c r="GZ265"/>
      <c r="HA265"/>
      <c r="HB265"/>
      <c r="HC265"/>
      <c r="HD265"/>
      <c r="HE265"/>
      <c r="HF265"/>
      <c r="HG265"/>
      <c r="HH265"/>
      <c r="HI265"/>
      <c r="HJ265"/>
      <c r="HK265"/>
      <c r="HL265"/>
      <c r="HM265"/>
      <c r="HN265"/>
      <c r="HO265"/>
      <c r="HP265"/>
      <c r="HQ265"/>
      <c r="HR265"/>
    </row>
    <row r="266" spans="1:226" s="19" customFormat="1" x14ac:dyDescent="0.2">
      <c r="A266" s="19" t="s">
        <v>315</v>
      </c>
      <c r="F266" s="482"/>
      <c r="K266" s="482"/>
      <c r="P266" s="482"/>
      <c r="U266" s="482"/>
      <c r="Z266" s="482"/>
      <c r="AE266" s="482">
        <f>AE74</f>
        <v>653</v>
      </c>
      <c r="AJ266" s="482">
        <f>AJ74</f>
        <v>743</v>
      </c>
      <c r="AK266" s="130"/>
      <c r="AL266" s="130"/>
      <c r="AM266" s="130"/>
      <c r="AN266" s="130"/>
      <c r="AO266" s="482">
        <f>AO74</f>
        <v>693</v>
      </c>
      <c r="AP266" s="130"/>
      <c r="AQ266" s="130"/>
      <c r="AR266" s="130"/>
      <c r="AS266" s="130"/>
      <c r="AT266" s="482">
        <f>AT74</f>
        <v>811</v>
      </c>
      <c r="AU266" s="130"/>
      <c r="AV266" s="130"/>
      <c r="AW266" s="130"/>
      <c r="AX266" s="130"/>
      <c r="AY266" s="482">
        <f>AY74</f>
        <v>805</v>
      </c>
      <c r="AZ266" s="130"/>
      <c r="BA266" s="130"/>
      <c r="BB266" s="130"/>
      <c r="BC266" s="130"/>
      <c r="BD266" s="482">
        <f>BD74</f>
        <v>821</v>
      </c>
      <c r="BE266" s="130"/>
      <c r="BF266" s="130"/>
      <c r="BG266" s="130"/>
      <c r="BH266" s="130"/>
      <c r="BI266" s="482">
        <f>BI74</f>
        <v>791</v>
      </c>
      <c r="BJ266" s="130"/>
      <c r="BK266" s="130"/>
      <c r="BL266" s="130"/>
      <c r="BM266" s="130"/>
      <c r="BN266" s="482">
        <f>BN74</f>
        <v>853</v>
      </c>
      <c r="BO266" s="130"/>
      <c r="BP266" s="130"/>
      <c r="BQ266" s="130"/>
      <c r="BR266" s="130"/>
      <c r="BS266" s="482">
        <f>BS74</f>
        <v>884</v>
      </c>
      <c r="BT266" s="130"/>
      <c r="BU266" s="130"/>
      <c r="BV266" s="130"/>
      <c r="BW266" s="130"/>
      <c r="BX266" s="482">
        <f>BX74</f>
        <v>921</v>
      </c>
      <c r="BY266" s="130"/>
      <c r="BZ266" s="130"/>
      <c r="CA266" s="130"/>
      <c r="CB266" s="130"/>
      <c r="CC266" s="482">
        <f>CC74</f>
        <v>983</v>
      </c>
      <c r="CD266" s="130"/>
      <c r="CE266" s="130"/>
      <c r="CF266" s="130"/>
      <c r="CG266" s="130"/>
      <c r="CH266" s="482">
        <f>CH74</f>
        <v>1033.8</v>
      </c>
      <c r="CI266" s="130"/>
      <c r="CJ266" s="130"/>
      <c r="CK266" s="130"/>
      <c r="CL266" s="130"/>
      <c r="CM266" s="482">
        <f ca="1">CM74</f>
        <v>1046.4122301100938</v>
      </c>
      <c r="CN266" s="130"/>
      <c r="CO266" s="130"/>
      <c r="CP266" s="130"/>
      <c r="CQ266" s="130"/>
      <c r="CR266" s="482">
        <f ca="1">CR74</f>
        <v>1075.7810308720946</v>
      </c>
      <c r="CS266" s="130"/>
      <c r="CT266" s="130"/>
      <c r="CU266" s="130"/>
      <c r="CV266" s="130"/>
      <c r="CW266" s="482">
        <f ca="1">CW74</f>
        <v>1131.1058249656492</v>
      </c>
      <c r="CX266" s="130"/>
      <c r="CY266" s="130"/>
      <c r="CZ266" s="130"/>
      <c r="DA266" s="130"/>
      <c r="DB266" s="482">
        <f ca="1">DB74</f>
        <v>1167.5897012753167</v>
      </c>
      <c r="DC266" s="130"/>
      <c r="DD266" s="130"/>
      <c r="DE266" s="130"/>
      <c r="DF266" s="130"/>
      <c r="DG266" s="482">
        <f ca="1">DG74</f>
        <v>1202.4514526695325</v>
      </c>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c r="FM266"/>
      <c r="FN266"/>
      <c r="FO266"/>
      <c r="FP266"/>
      <c r="FQ266"/>
      <c r="FR266"/>
      <c r="FS266"/>
      <c r="FT266"/>
      <c r="FU266"/>
      <c r="FV266"/>
      <c r="FW266"/>
      <c r="FX266"/>
      <c r="FY266"/>
      <c r="FZ266"/>
      <c r="GA266"/>
      <c r="GB266"/>
      <c r="GC266"/>
      <c r="GD266"/>
      <c r="GE266"/>
      <c r="GF266"/>
      <c r="GG266"/>
      <c r="GH266"/>
      <c r="GI266"/>
      <c r="GJ266"/>
      <c r="GK266"/>
      <c r="GL266"/>
      <c r="GM266"/>
      <c r="GN266"/>
      <c r="GO266"/>
      <c r="GP266"/>
      <c r="GQ266"/>
      <c r="GR266"/>
      <c r="GS266"/>
      <c r="GT266"/>
      <c r="GU266"/>
      <c r="GV266"/>
      <c r="GW266"/>
      <c r="GX266"/>
      <c r="GY266"/>
      <c r="GZ266"/>
      <c r="HA266"/>
      <c r="HB266"/>
      <c r="HC266"/>
      <c r="HD266"/>
      <c r="HE266"/>
      <c r="HF266"/>
      <c r="HG266"/>
      <c r="HH266"/>
      <c r="HI266"/>
      <c r="HJ266"/>
      <c r="HK266"/>
      <c r="HL266"/>
      <c r="HM266"/>
      <c r="HN266"/>
      <c r="HO266"/>
      <c r="HP266"/>
      <c r="HQ266"/>
      <c r="HR266"/>
    </row>
    <row r="267" spans="1:226" s="19" customFormat="1" x14ac:dyDescent="0.2">
      <c r="A267" s="19" t="s">
        <v>316</v>
      </c>
      <c r="F267" s="491"/>
      <c r="K267" s="491"/>
      <c r="P267" s="491"/>
      <c r="U267" s="491"/>
      <c r="Z267" s="491"/>
      <c r="AE267" s="491">
        <v>0</v>
      </c>
      <c r="AJ267" s="491">
        <v>4</v>
      </c>
      <c r="AO267" s="491">
        <v>48</v>
      </c>
      <c r="AT267" s="491">
        <v>10</v>
      </c>
      <c r="AY267" s="491">
        <v>4</v>
      </c>
      <c r="AZ267" s="74"/>
      <c r="BA267" s="74"/>
      <c r="BB267" s="74"/>
      <c r="BC267" s="74"/>
      <c r="BD267" s="488">
        <v>2</v>
      </c>
      <c r="BE267" s="74"/>
      <c r="BF267" s="74"/>
      <c r="BG267" s="74"/>
      <c r="BH267" s="74"/>
      <c r="BI267" s="488">
        <f>-BI48/2</f>
        <v>0</v>
      </c>
      <c r="BJ267" s="74"/>
      <c r="BK267" s="74"/>
      <c r="BL267" s="74"/>
      <c r="BM267" s="74"/>
      <c r="BN267" s="488">
        <f>-BN48/2</f>
        <v>0</v>
      </c>
      <c r="BO267" s="74"/>
      <c r="BP267" s="74"/>
      <c r="BQ267" s="74"/>
      <c r="BR267" s="74"/>
      <c r="BS267" s="488">
        <f>-BS48/2</f>
        <v>0</v>
      </c>
      <c r="BT267" s="74"/>
      <c r="BU267" s="74"/>
      <c r="BV267" s="74"/>
      <c r="BW267" s="74"/>
      <c r="BX267" s="488">
        <f>-BX48/2</f>
        <v>0</v>
      </c>
      <c r="BY267" s="74"/>
      <c r="BZ267" s="74"/>
      <c r="CA267" s="74"/>
      <c r="CB267" s="74"/>
      <c r="CC267" s="488">
        <f>-CC48/2</f>
        <v>0</v>
      </c>
      <c r="CD267" s="74"/>
      <c r="CE267" s="74"/>
      <c r="CF267" s="74"/>
      <c r="CG267" s="74"/>
      <c r="CH267" s="488">
        <f>-CH48/2</f>
        <v>0</v>
      </c>
      <c r="CI267" s="74"/>
      <c r="CJ267" s="74"/>
      <c r="CK267" s="74"/>
      <c r="CL267" s="74"/>
      <c r="CM267" s="488">
        <f>-CM48/2</f>
        <v>0</v>
      </c>
      <c r="CN267" s="74"/>
      <c r="CO267" s="74"/>
      <c r="CP267" s="74"/>
      <c r="CQ267" s="74"/>
      <c r="CR267" s="488">
        <f>-CR48/2</f>
        <v>0</v>
      </c>
      <c r="CS267" s="74"/>
      <c r="CT267" s="74"/>
      <c r="CU267" s="74"/>
      <c r="CV267" s="74"/>
      <c r="CW267" s="488">
        <f>-CW48/2</f>
        <v>0</v>
      </c>
      <c r="CX267" s="74"/>
      <c r="CY267" s="74"/>
      <c r="CZ267" s="74"/>
      <c r="DA267" s="74"/>
      <c r="DB267" s="488">
        <f>-DB48/2</f>
        <v>0</v>
      </c>
      <c r="DC267" s="74"/>
      <c r="DD267" s="74"/>
      <c r="DE267" s="74"/>
      <c r="DF267" s="74"/>
      <c r="DG267" s="488">
        <f>-DG48/2</f>
        <v>0</v>
      </c>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c r="FQ267"/>
      <c r="FR267"/>
      <c r="FS267"/>
      <c r="FT267"/>
      <c r="FU267"/>
      <c r="FV267"/>
      <c r="FW267"/>
      <c r="FX267"/>
      <c r="FY267"/>
      <c r="FZ267"/>
      <c r="GA267"/>
      <c r="GB267"/>
      <c r="GC267"/>
      <c r="GD267"/>
      <c r="GE267"/>
      <c r="GF267"/>
      <c r="GG267"/>
      <c r="GH267"/>
      <c r="GI267"/>
      <c r="GJ267"/>
      <c r="GK267"/>
      <c r="GL267"/>
      <c r="GM267"/>
      <c r="GN267"/>
      <c r="GO267"/>
      <c r="GP267"/>
      <c r="GQ267"/>
      <c r="GR267"/>
      <c r="GS267"/>
      <c r="GT267"/>
      <c r="GU267"/>
      <c r="GV267"/>
      <c r="GW267"/>
      <c r="GX267"/>
      <c r="GY267"/>
      <c r="GZ267"/>
      <c r="HA267"/>
      <c r="HB267"/>
      <c r="HC267"/>
      <c r="HD267"/>
      <c r="HE267"/>
      <c r="HF267"/>
      <c r="HG267"/>
      <c r="HH267"/>
      <c r="HI267"/>
      <c r="HJ267"/>
      <c r="HK267"/>
      <c r="HL267"/>
      <c r="HM267"/>
      <c r="HN267"/>
      <c r="HO267"/>
      <c r="HP267"/>
      <c r="HQ267"/>
      <c r="HR267"/>
    </row>
    <row r="268" spans="1:226" s="19" customFormat="1" x14ac:dyDescent="0.2">
      <c r="A268" s="19" t="s">
        <v>64</v>
      </c>
      <c r="F268" s="462"/>
      <c r="K268" s="462"/>
      <c r="P268" s="462"/>
      <c r="U268" s="462"/>
      <c r="Z268" s="462"/>
      <c r="AE268" s="462">
        <f>-AE65</f>
        <v>127</v>
      </c>
      <c r="AJ268" s="462">
        <f>-AJ65</f>
        <v>113</v>
      </c>
      <c r="AK268" s="130"/>
      <c r="AL268" s="130"/>
      <c r="AM268" s="130"/>
      <c r="AN268" s="130"/>
      <c r="AO268" s="462">
        <f>-AO65</f>
        <v>168</v>
      </c>
      <c r="AP268" s="130"/>
      <c r="AQ268" s="130"/>
      <c r="AR268" s="130"/>
      <c r="AS268" s="130"/>
      <c r="AT268" s="462">
        <f>-AT65</f>
        <v>161</v>
      </c>
      <c r="AU268" s="130"/>
      <c r="AV268" s="130"/>
      <c r="AW268" s="130"/>
      <c r="AX268" s="130"/>
      <c r="AY268" s="462">
        <f>-AY65</f>
        <v>139</v>
      </c>
      <c r="AZ268" s="130"/>
      <c r="BA268" s="130"/>
      <c r="BB268" s="130"/>
      <c r="BC268" s="130"/>
      <c r="BD268" s="462">
        <f>-BD65</f>
        <v>123</v>
      </c>
      <c r="BE268" s="130"/>
      <c r="BF268" s="130"/>
      <c r="BG268" s="130"/>
      <c r="BH268" s="130"/>
      <c r="BI268" s="462">
        <f>-BI65</f>
        <v>125</v>
      </c>
      <c r="BJ268" s="130"/>
      <c r="BK268" s="130"/>
      <c r="BL268" s="130"/>
      <c r="BM268" s="130"/>
      <c r="BN268" s="462">
        <f>-BN65</f>
        <v>122</v>
      </c>
      <c r="BO268" s="130"/>
      <c r="BP268" s="130"/>
      <c r="BQ268" s="130"/>
      <c r="BR268" s="130"/>
      <c r="BS268" s="462">
        <f>-BS65</f>
        <v>103</v>
      </c>
      <c r="BT268" s="130"/>
      <c r="BU268" s="130"/>
      <c r="BV268" s="130"/>
      <c r="BW268" s="130"/>
      <c r="BX268" s="462">
        <f>-BX65</f>
        <v>100</v>
      </c>
      <c r="BY268" s="130"/>
      <c r="BZ268" s="130"/>
      <c r="CA268" s="130"/>
      <c r="CB268" s="130"/>
      <c r="CC268" s="462">
        <f>-CC65</f>
        <v>88</v>
      </c>
      <c r="CD268" s="130"/>
      <c r="CE268" s="130"/>
      <c r="CF268" s="130"/>
      <c r="CG268" s="130"/>
      <c r="CH268" s="462">
        <f>-CH65</f>
        <v>88</v>
      </c>
      <c r="CI268" s="130"/>
      <c r="CJ268" s="130"/>
      <c r="CK268" s="130"/>
      <c r="CL268" s="130"/>
      <c r="CM268" s="462">
        <f ca="1">-CM65</f>
        <v>85.57933501294923</v>
      </c>
      <c r="CN268" s="130"/>
      <c r="CO268" s="130"/>
      <c r="CP268" s="130"/>
      <c r="CQ268" s="130"/>
      <c r="CR268" s="462">
        <f ca="1">-CR65</f>
        <v>94.610088670573774</v>
      </c>
      <c r="CS268" s="130"/>
      <c r="CT268" s="130"/>
      <c r="CU268" s="130"/>
      <c r="CV268" s="130"/>
      <c r="CW268" s="462">
        <f ca="1">-CW65</f>
        <v>101.23062409589437</v>
      </c>
      <c r="CX268" s="130"/>
      <c r="CY268" s="130"/>
      <c r="CZ268" s="130"/>
      <c r="DA268" s="130"/>
      <c r="DB268" s="462">
        <f ca="1">-DB65</f>
        <v>108.72878464523414</v>
      </c>
      <c r="DC268" s="130"/>
      <c r="DD268" s="130"/>
      <c r="DE268" s="130"/>
      <c r="DF268" s="130"/>
      <c r="DG268" s="462">
        <f ca="1">-DG65</f>
        <v>117.22766642125762</v>
      </c>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c r="FQ268"/>
      <c r="FR268"/>
      <c r="FS268"/>
      <c r="FT268"/>
      <c r="FU268"/>
      <c r="FV268"/>
      <c r="FW268"/>
      <c r="FX268"/>
      <c r="FY268"/>
      <c r="FZ268"/>
      <c r="GA268"/>
      <c r="GB268"/>
      <c r="GC268"/>
      <c r="GD268"/>
      <c r="GE268"/>
      <c r="GF268"/>
      <c r="GG268"/>
      <c r="GH268"/>
      <c r="GI268"/>
      <c r="GJ268"/>
      <c r="GK268"/>
      <c r="GL268"/>
      <c r="GM268"/>
      <c r="GN268"/>
      <c r="GO268"/>
      <c r="GP268"/>
      <c r="GQ268"/>
      <c r="GR268"/>
      <c r="GS268"/>
      <c r="GT268"/>
      <c r="GU268"/>
      <c r="GV268"/>
      <c r="GW268"/>
      <c r="GX268"/>
      <c r="GY268"/>
      <c r="GZ268"/>
      <c r="HA268"/>
      <c r="HB268"/>
      <c r="HC268"/>
      <c r="HD268"/>
      <c r="HE268"/>
      <c r="HF268"/>
      <c r="HG268"/>
      <c r="HH268"/>
      <c r="HI268"/>
      <c r="HJ268"/>
      <c r="HK268"/>
      <c r="HL268"/>
      <c r="HM268"/>
      <c r="HN268"/>
      <c r="HO268"/>
      <c r="HP268"/>
      <c r="HQ268"/>
      <c r="HR268"/>
    </row>
    <row r="269" spans="1:226" s="19" customFormat="1" x14ac:dyDescent="0.2">
      <c r="A269" s="19" t="s">
        <v>317</v>
      </c>
      <c r="F269" s="462"/>
      <c r="K269" s="462"/>
      <c r="P269" s="462"/>
      <c r="U269" s="462"/>
      <c r="Z269" s="462"/>
      <c r="AE269" s="462">
        <f>SUM(AE266:AE268)</f>
        <v>780</v>
      </c>
      <c r="AJ269" s="462">
        <f>SUM(AJ266:AJ268)</f>
        <v>860</v>
      </c>
      <c r="AO269" s="462">
        <f>SUM(AO266:AO268)</f>
        <v>909</v>
      </c>
      <c r="AT269" s="462">
        <f>SUM(AT266:AT268)</f>
        <v>982</v>
      </c>
      <c r="AY269" s="462">
        <f>SUM(AY266:AY268)</f>
        <v>948</v>
      </c>
      <c r="BD269" s="462">
        <f>SUM(BD266:BD268)</f>
        <v>946</v>
      </c>
      <c r="BE269" s="130"/>
      <c r="BF269" s="130"/>
      <c r="BG269" s="130"/>
      <c r="BH269" s="130"/>
      <c r="BI269" s="462">
        <f>SUM(BI266:BI268)</f>
        <v>916</v>
      </c>
      <c r="BJ269" s="130"/>
      <c r="BK269" s="130"/>
      <c r="BL269" s="130"/>
      <c r="BM269" s="130"/>
      <c r="BN269" s="462">
        <f>SUM(BN266:BN268)</f>
        <v>975</v>
      </c>
      <c r="BO269" s="130"/>
      <c r="BP269" s="130"/>
      <c r="BQ269" s="130"/>
      <c r="BR269" s="130"/>
      <c r="BS269" s="482">
        <f>SUM(BS266:BS268)</f>
        <v>987</v>
      </c>
      <c r="BT269" s="130"/>
      <c r="BU269" s="130"/>
      <c r="BV269" s="130"/>
      <c r="BW269" s="130"/>
      <c r="BX269" s="482">
        <f>SUM(BX266:BX268)</f>
        <v>1021</v>
      </c>
      <c r="BY269" s="130"/>
      <c r="BZ269" s="130"/>
      <c r="CA269" s="130"/>
      <c r="CB269" s="130"/>
      <c r="CC269" s="482">
        <f>SUM(CC266:CC268)</f>
        <v>1071</v>
      </c>
      <c r="CD269" s="130"/>
      <c r="CE269" s="130"/>
      <c r="CF269" s="130"/>
      <c r="CG269" s="130"/>
      <c r="CH269" s="482">
        <f>SUM(CH266:CH268)</f>
        <v>1121.8</v>
      </c>
      <c r="CI269" s="130"/>
      <c r="CJ269" s="130"/>
      <c r="CK269" s="130"/>
      <c r="CL269" s="130"/>
      <c r="CM269" s="482">
        <f ca="1">SUM(CM266:CM268)</f>
        <v>1131.9915651230431</v>
      </c>
      <c r="CN269" s="130"/>
      <c r="CO269" s="130"/>
      <c r="CP269" s="130"/>
      <c r="CQ269" s="130"/>
      <c r="CR269" s="482">
        <f ca="1">SUM(CR266:CR268)</f>
        <v>1170.3911195426683</v>
      </c>
      <c r="CS269" s="130"/>
      <c r="CT269" s="130"/>
      <c r="CU269" s="130"/>
      <c r="CV269" s="130"/>
      <c r="CW269" s="482">
        <f ca="1">SUM(CW266:CW268)</f>
        <v>1232.3364490615436</v>
      </c>
      <c r="CX269" s="130"/>
      <c r="CY269" s="130"/>
      <c r="CZ269" s="130"/>
      <c r="DA269" s="130"/>
      <c r="DB269" s="482">
        <f ca="1">SUM(DB266:DB268)</f>
        <v>1276.3184859205508</v>
      </c>
      <c r="DC269" s="130"/>
      <c r="DD269" s="130"/>
      <c r="DE269" s="130"/>
      <c r="DF269" s="130"/>
      <c r="DG269" s="482">
        <f ca="1">SUM(DG266:DG268)</f>
        <v>1319.6791190907902</v>
      </c>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c r="FM269"/>
      <c r="FN269"/>
      <c r="FO269"/>
      <c r="FP269"/>
      <c r="FQ269"/>
      <c r="FR269"/>
      <c r="FS269"/>
      <c r="FT269"/>
      <c r="FU269"/>
      <c r="FV269"/>
      <c r="FW269"/>
      <c r="FX269"/>
      <c r="FY269"/>
      <c r="FZ269"/>
      <c r="GA269"/>
      <c r="GB269"/>
      <c r="GC269"/>
      <c r="GD269"/>
      <c r="GE269"/>
      <c r="GF269"/>
      <c r="GG269"/>
      <c r="GH269"/>
      <c r="GI269"/>
      <c r="GJ269"/>
      <c r="GK269"/>
      <c r="GL269"/>
      <c r="GM269"/>
      <c r="GN269"/>
      <c r="GO269"/>
      <c r="GP269"/>
      <c r="GQ269"/>
      <c r="GR269"/>
      <c r="GS269"/>
      <c r="GT269"/>
      <c r="GU269"/>
      <c r="GV269"/>
      <c r="GW269"/>
      <c r="GX269"/>
      <c r="GY269"/>
      <c r="GZ269"/>
      <c r="HA269"/>
      <c r="HB269"/>
      <c r="HC269"/>
      <c r="HD269"/>
      <c r="HE269"/>
      <c r="HF269"/>
      <c r="HG269"/>
      <c r="HH269"/>
      <c r="HI269"/>
      <c r="HJ269"/>
      <c r="HK269"/>
      <c r="HL269"/>
      <c r="HM269"/>
      <c r="HN269"/>
      <c r="HO269"/>
      <c r="HP269"/>
      <c r="HQ269"/>
      <c r="HR269"/>
    </row>
    <row r="270" spans="1:226" s="19" customFormat="1" x14ac:dyDescent="0.2">
      <c r="A270" s="19" t="s">
        <v>318</v>
      </c>
      <c r="F270" s="462"/>
      <c r="K270" s="462"/>
      <c r="P270" s="462"/>
      <c r="U270" s="462"/>
      <c r="Z270" s="462"/>
      <c r="AE270" s="462">
        <f>AE269*(1-AE77)+1.2</f>
        <v>530.35773353751915</v>
      </c>
      <c r="AJ270" s="462">
        <f>AJ269*(1-AJ77)</f>
        <v>574.10497981157471</v>
      </c>
      <c r="AO270" s="462">
        <f>AO269*(1-AO77)</f>
        <v>604.68831168831161</v>
      </c>
      <c r="AT270" s="462">
        <f>AT269*(1-AT77)</f>
        <v>650.22688039457466</v>
      </c>
      <c r="AY270" s="462">
        <f>AY269*(1-AY77)+0.8</f>
        <v>620.23850931677021</v>
      </c>
      <c r="AZ270" s="43"/>
      <c r="BD270" s="462">
        <f>BD269*(1-BD77)</f>
        <v>626.85347624847748</v>
      </c>
      <c r="BE270" s="43"/>
      <c r="BF270" s="130"/>
      <c r="BG270" s="130"/>
      <c r="BH270" s="130"/>
      <c r="BI270" s="462">
        <f>BI269*(1-BI77)</f>
        <v>628.80910240202263</v>
      </c>
      <c r="BJ270" s="43"/>
      <c r="BK270" s="130"/>
      <c r="BL270" s="130"/>
      <c r="BM270" s="130"/>
      <c r="BN270" s="462">
        <f>BN269*(1-BN77)</f>
        <v>656.09613130128969</v>
      </c>
      <c r="BO270" s="43"/>
      <c r="BP270" s="130"/>
      <c r="BQ270" s="130"/>
      <c r="BR270" s="130"/>
      <c r="BS270" s="482">
        <f>BS269*(1-BS77)</f>
        <v>646.2393665158371</v>
      </c>
      <c r="BT270" s="43"/>
      <c r="BU270" s="130"/>
      <c r="BV270" s="130"/>
      <c r="BW270" s="130"/>
      <c r="BX270" s="482">
        <f>BX269*(1-BX77)</f>
        <v>672.1306188925081</v>
      </c>
      <c r="BY270" s="43"/>
      <c r="BZ270" s="130"/>
      <c r="CA270" s="130"/>
      <c r="CB270" s="130"/>
      <c r="CC270" s="482">
        <f>CC269*(1-CC77)</f>
        <v>705.57436419125133</v>
      </c>
      <c r="CD270" s="43"/>
      <c r="CE270" s="130"/>
      <c r="CF270" s="130"/>
      <c r="CG270" s="130"/>
      <c r="CH270" s="482">
        <f>CH269*(1-CH77)</f>
        <v>763.70946024376087</v>
      </c>
      <c r="CI270" s="43"/>
      <c r="CJ270" s="130"/>
      <c r="CK270" s="130"/>
      <c r="CL270" s="130"/>
      <c r="CM270" s="482">
        <f ca="1">CM269*(1-CM77)</f>
        <v>866.53954310168956</v>
      </c>
      <c r="CN270" s="43"/>
      <c r="CO270" s="130"/>
      <c r="CP270" s="130"/>
      <c r="CQ270" s="130"/>
      <c r="CR270" s="482">
        <f ca="1">CR269*(1-CR77)</f>
        <v>877.7933396570013</v>
      </c>
      <c r="CS270" s="43"/>
      <c r="CT270" s="130"/>
      <c r="CU270" s="130"/>
      <c r="CV270" s="130"/>
      <c r="CW270" s="482">
        <f ca="1">CW269*(1-CW77)</f>
        <v>924.25233679615769</v>
      </c>
      <c r="CX270" s="43"/>
      <c r="CY270" s="130"/>
      <c r="CZ270" s="130"/>
      <c r="DA270" s="130"/>
      <c r="DB270" s="482">
        <f ca="1">DB269*(1-DB77)</f>
        <v>957.23886444041307</v>
      </c>
      <c r="DC270" s="43"/>
      <c r="DD270" s="130"/>
      <c r="DE270" s="130"/>
      <c r="DF270" s="130"/>
      <c r="DG270" s="482">
        <f ca="1">DG269*(1-DG77)</f>
        <v>989.75933931809266</v>
      </c>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c r="FM270"/>
      <c r="FN270"/>
      <c r="FO270"/>
      <c r="FP270"/>
      <c r="FQ270"/>
      <c r="FR270"/>
      <c r="FS270"/>
      <c r="FT270"/>
      <c r="FU270"/>
      <c r="FV270"/>
      <c r="FW270"/>
      <c r="FX270"/>
      <c r="FY270"/>
      <c r="FZ270"/>
      <c r="GA270"/>
      <c r="GB270"/>
      <c r="GC270"/>
      <c r="GD270"/>
      <c r="GE270"/>
      <c r="GF270"/>
      <c r="GG270"/>
      <c r="GH270"/>
      <c r="GI270"/>
      <c r="GJ270"/>
      <c r="GK270"/>
      <c r="GL270"/>
      <c r="GM270"/>
      <c r="GN270"/>
      <c r="GO270"/>
      <c r="GP270"/>
      <c r="GQ270"/>
      <c r="GR270"/>
      <c r="GS270"/>
      <c r="GT270"/>
      <c r="GU270"/>
      <c r="GV270"/>
      <c r="GW270"/>
      <c r="GX270"/>
      <c r="GY270"/>
      <c r="GZ270"/>
      <c r="HA270"/>
      <c r="HB270"/>
      <c r="HC270"/>
      <c r="HD270"/>
      <c r="HE270"/>
      <c r="HF270"/>
      <c r="HG270"/>
      <c r="HH270"/>
      <c r="HI270"/>
      <c r="HJ270"/>
      <c r="HK270"/>
      <c r="HL270"/>
      <c r="HM270"/>
      <c r="HN270"/>
      <c r="HO270"/>
      <c r="HP270"/>
      <c r="HQ270"/>
      <c r="HR270"/>
    </row>
    <row r="271" spans="1:226" s="19" customFormat="1" x14ac:dyDescent="0.2">
      <c r="A271" s="19" t="s">
        <v>191</v>
      </c>
      <c r="F271" s="407"/>
      <c r="K271" s="407"/>
      <c r="P271" s="407"/>
      <c r="U271" s="407"/>
      <c r="Z271" s="407"/>
      <c r="AE271" s="407"/>
      <c r="AJ271" s="407">
        <f>AJ270/AE270-1</f>
        <v>8.2486298412693504E-2</v>
      </c>
      <c r="AO271" s="407">
        <f>AO270/AJ270-1</f>
        <v>5.3271323106750534E-2</v>
      </c>
      <c r="AT271" s="407">
        <f>AT270/AO270-1</f>
        <v>7.5309159820069471E-2</v>
      </c>
      <c r="AY271" s="407">
        <f>AY270/AT270-1</f>
        <v>-4.6119857517435636E-2</v>
      </c>
      <c r="AZ271" s="43"/>
      <c r="BD271" s="407">
        <f>BD270/AY270-1</f>
        <v>1.0665198681381494E-2</v>
      </c>
      <c r="BE271" s="43"/>
      <c r="BF271" s="130"/>
      <c r="BG271" s="130"/>
      <c r="BH271" s="130"/>
      <c r="BI271" s="407">
        <f>BI270/BD270-1</f>
        <v>3.1197500335309325E-3</v>
      </c>
      <c r="BJ271" s="43"/>
      <c r="BK271" s="130"/>
      <c r="BL271" s="130"/>
      <c r="BM271" s="130"/>
      <c r="BN271" s="407">
        <f>BN270/BI270-1</f>
        <v>4.3394774018111093E-2</v>
      </c>
      <c r="BO271" s="43"/>
      <c r="BP271" s="130"/>
      <c r="BQ271" s="130"/>
      <c r="BR271" s="130"/>
      <c r="BS271" s="407">
        <f>BS270/BN270-1</f>
        <v>-1.5023354528707289E-2</v>
      </c>
      <c r="BT271" s="43"/>
      <c r="BU271" s="130"/>
      <c r="BV271" s="130"/>
      <c r="BW271" s="130"/>
      <c r="BX271" s="407">
        <f>BX270/BS270-1</f>
        <v>4.0064492691403553E-2</v>
      </c>
      <c r="BY271" s="43"/>
      <c r="BZ271" s="130"/>
      <c r="CA271" s="130"/>
      <c r="CB271" s="130"/>
      <c r="CC271" s="407">
        <f>CC270/BX270-1</f>
        <v>4.9757806531488757E-2</v>
      </c>
      <c r="CD271" s="43"/>
      <c r="CE271" s="130"/>
      <c r="CF271" s="130"/>
      <c r="CG271" s="130"/>
      <c r="CH271" s="407">
        <f>CH270/CC270-1</f>
        <v>8.2394002677727007E-2</v>
      </c>
      <c r="CI271" s="43"/>
      <c r="CJ271" s="130"/>
      <c r="CK271" s="130"/>
      <c r="CL271" s="130"/>
      <c r="CM271" s="407">
        <f ca="1">CM270/CH270-1</f>
        <v>0.13464555333006789</v>
      </c>
      <c r="CN271" s="43"/>
      <c r="CO271" s="130"/>
      <c r="CP271" s="130"/>
      <c r="CQ271" s="130"/>
      <c r="CR271" s="407">
        <f ca="1">CR270/CM270-1</f>
        <v>1.2987054826176792E-2</v>
      </c>
      <c r="CS271" s="43"/>
      <c r="CT271" s="130"/>
      <c r="CU271" s="130"/>
      <c r="CV271" s="130"/>
      <c r="CW271" s="407">
        <f ca="1">CW270/CR270-1</f>
        <v>5.2927033095637732E-2</v>
      </c>
      <c r="CX271" s="43"/>
      <c r="CY271" s="130"/>
      <c r="CZ271" s="130"/>
      <c r="DA271" s="130"/>
      <c r="DB271" s="407">
        <f ca="1">DB270/CW270-1</f>
        <v>3.5689958608706718E-2</v>
      </c>
      <c r="DC271" s="43"/>
      <c r="DD271" s="130"/>
      <c r="DE271" s="130"/>
      <c r="DF271" s="130"/>
      <c r="DG271" s="407">
        <f ca="1">DG270/DB270-1</f>
        <v>3.397320782278368E-2</v>
      </c>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c r="FM271"/>
      <c r="FN271"/>
      <c r="FO271"/>
      <c r="FP271"/>
      <c r="FQ271"/>
      <c r="FR271"/>
      <c r="FS271"/>
      <c r="FT271"/>
      <c r="FU271"/>
      <c r="FV271"/>
      <c r="FW271"/>
      <c r="FX271"/>
      <c r="FY271"/>
      <c r="FZ271"/>
      <c r="GA271"/>
      <c r="GB271"/>
      <c r="GC271"/>
      <c r="GD271"/>
      <c r="GE271"/>
      <c r="GF271"/>
      <c r="GG271"/>
      <c r="GH271"/>
      <c r="GI271"/>
      <c r="GJ271"/>
      <c r="GK271"/>
      <c r="GL271"/>
      <c r="GM271"/>
      <c r="GN271"/>
      <c r="GO271"/>
      <c r="GP271"/>
      <c r="GQ271"/>
      <c r="GR271"/>
      <c r="GS271"/>
      <c r="GT271"/>
      <c r="GU271"/>
      <c r="GV271"/>
      <c r="GW271"/>
      <c r="GX271"/>
      <c r="GY271"/>
      <c r="GZ271"/>
      <c r="HA271"/>
      <c r="HB271"/>
      <c r="HC271"/>
      <c r="HD271"/>
      <c r="HE271"/>
      <c r="HF271"/>
      <c r="HG271"/>
      <c r="HH271"/>
      <c r="HI271"/>
      <c r="HJ271"/>
      <c r="HK271"/>
      <c r="HL271"/>
      <c r="HM271"/>
      <c r="HN271"/>
      <c r="HO271"/>
      <c r="HP271"/>
      <c r="HQ271"/>
      <c r="HR271"/>
    </row>
    <row r="272" spans="1:226" s="19" customFormat="1" ht="3" customHeight="1" x14ac:dyDescent="0.2">
      <c r="A272" s="45"/>
      <c r="F272" s="455"/>
      <c r="K272" s="455"/>
      <c r="P272" s="455"/>
      <c r="U272" s="455"/>
      <c r="Z272" s="455"/>
      <c r="AE272" s="455"/>
      <c r="AJ272" s="455"/>
      <c r="AO272" s="455"/>
      <c r="AT272" s="455"/>
      <c r="AY272" s="455"/>
      <c r="BD272" s="455"/>
      <c r="BE272" s="130"/>
      <c r="BF272" s="130"/>
      <c r="BG272" s="130"/>
      <c r="BH272" s="130"/>
      <c r="BI272" s="455"/>
      <c r="BJ272" s="130"/>
      <c r="BK272" s="130"/>
      <c r="BL272" s="130"/>
      <c r="BM272" s="130"/>
      <c r="BN272" s="455"/>
      <c r="BO272" s="130"/>
      <c r="BP272" s="130"/>
      <c r="BQ272" s="130"/>
      <c r="BR272" s="130"/>
      <c r="BS272" s="482"/>
      <c r="BT272" s="130"/>
      <c r="BU272" s="130"/>
      <c r="BV272" s="130"/>
      <c r="BW272" s="130"/>
      <c r="BX272" s="482"/>
      <c r="BY272" s="130"/>
      <c r="BZ272" s="130"/>
      <c r="CA272" s="130"/>
      <c r="CB272" s="130"/>
      <c r="CC272" s="482"/>
      <c r="CD272" s="130"/>
      <c r="CE272" s="130"/>
      <c r="CF272" s="130"/>
      <c r="CG272" s="130"/>
      <c r="CH272" s="482"/>
      <c r="CI272" s="130"/>
      <c r="CJ272" s="130"/>
      <c r="CK272" s="130"/>
      <c r="CL272" s="130"/>
      <c r="CM272" s="482"/>
      <c r="CN272" s="130"/>
      <c r="CO272" s="130"/>
      <c r="CP272" s="130"/>
      <c r="CQ272" s="130"/>
      <c r="CR272" s="482"/>
      <c r="CS272" s="130"/>
      <c r="CT272" s="130"/>
      <c r="CU272" s="130"/>
      <c r="CV272" s="130"/>
      <c r="CW272" s="482"/>
      <c r="CX272" s="130"/>
      <c r="CY272" s="130"/>
      <c r="CZ272" s="130"/>
      <c r="DA272" s="130"/>
      <c r="DB272" s="482"/>
      <c r="DC272" s="130"/>
      <c r="DD272" s="130"/>
      <c r="DE272" s="130"/>
      <c r="DF272" s="130"/>
      <c r="DG272" s="48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c r="FM272"/>
      <c r="FN272"/>
      <c r="FO272"/>
      <c r="FP272"/>
      <c r="FQ272"/>
      <c r="FR272"/>
      <c r="FS272"/>
      <c r="FT272"/>
      <c r="FU272"/>
      <c r="FV272"/>
      <c r="FW272"/>
      <c r="FX272"/>
      <c r="FY272"/>
      <c r="FZ272"/>
      <c r="GA272"/>
      <c r="GB272"/>
      <c r="GC272"/>
      <c r="GD272"/>
      <c r="GE272"/>
      <c r="GF272"/>
      <c r="GG272"/>
      <c r="GH272"/>
      <c r="GI272"/>
      <c r="GJ272"/>
      <c r="GK272"/>
      <c r="GL272"/>
      <c r="GM272"/>
      <c r="GN272"/>
      <c r="GO272"/>
      <c r="GP272"/>
      <c r="GQ272"/>
      <c r="GR272"/>
      <c r="GS272"/>
      <c r="GT272"/>
      <c r="GU272"/>
      <c r="GV272"/>
      <c r="GW272"/>
      <c r="GX272"/>
      <c r="GY272"/>
      <c r="GZ272"/>
      <c r="HA272"/>
      <c r="HB272"/>
      <c r="HC272"/>
      <c r="HD272"/>
      <c r="HE272"/>
      <c r="HF272"/>
      <c r="HG272"/>
      <c r="HH272"/>
      <c r="HI272"/>
      <c r="HJ272"/>
      <c r="HK272"/>
      <c r="HL272"/>
      <c r="HM272"/>
      <c r="HN272"/>
      <c r="HO272"/>
      <c r="HP272"/>
      <c r="HQ272"/>
      <c r="HR272"/>
    </row>
    <row r="273" spans="1:226" s="19" customFormat="1" x14ac:dyDescent="0.2">
      <c r="A273" s="19" t="s">
        <v>319</v>
      </c>
      <c r="F273" s="481"/>
      <c r="K273" s="481"/>
      <c r="P273" s="481"/>
      <c r="U273" s="481"/>
      <c r="Z273" s="481"/>
      <c r="AE273" s="481">
        <f>AE296</f>
        <v>2024</v>
      </c>
      <c r="AJ273" s="481">
        <f>AJ296</f>
        <v>2164.5</v>
      </c>
      <c r="AO273" s="481">
        <f>AO296</f>
        <v>2682</v>
      </c>
      <c r="AT273" s="481">
        <f>AT296</f>
        <v>3044.6</v>
      </c>
      <c r="AY273" s="481">
        <f>AY296</f>
        <v>2928</v>
      </c>
      <c r="AZ273" s="43"/>
      <c r="BD273" s="481">
        <f>BD296</f>
        <v>2691</v>
      </c>
      <c r="BE273" s="130"/>
      <c r="BF273" s="130"/>
      <c r="BG273" s="130"/>
      <c r="BH273" s="130"/>
      <c r="BI273" s="481">
        <f>BI296</f>
        <v>2543</v>
      </c>
      <c r="BJ273" s="130"/>
      <c r="BK273" s="130"/>
      <c r="BL273" s="130"/>
      <c r="BM273" s="130"/>
      <c r="BN273" s="481">
        <f>BN296</f>
        <v>2552</v>
      </c>
      <c r="BO273" s="130"/>
      <c r="BP273" s="130"/>
      <c r="BQ273" s="130"/>
      <c r="BR273" s="130"/>
      <c r="BS273" s="482">
        <f>BS296</f>
        <v>2492.5</v>
      </c>
      <c r="BT273" s="130"/>
      <c r="BU273" s="130"/>
      <c r="BV273" s="130"/>
      <c r="BW273" s="130"/>
      <c r="BX273" s="482">
        <f>BX296</f>
        <v>2388</v>
      </c>
      <c r="BY273" s="130"/>
      <c r="BZ273" s="130"/>
      <c r="CA273" s="130"/>
      <c r="CB273" s="130"/>
      <c r="CC273" s="482">
        <f>CC296</f>
        <v>2463</v>
      </c>
      <c r="CD273" s="130"/>
      <c r="CE273" s="130"/>
      <c r="CF273" s="130"/>
      <c r="CG273" s="130"/>
      <c r="CH273" s="482">
        <f ca="1">CH296</f>
        <v>2677</v>
      </c>
      <c r="CI273" s="130"/>
      <c r="CJ273" s="130"/>
      <c r="CK273" s="130"/>
      <c r="CL273" s="130"/>
      <c r="CM273" s="482">
        <f ca="1">CM296</f>
        <v>2842.0876804565696</v>
      </c>
      <c r="CN273" s="130"/>
      <c r="CO273" s="130"/>
      <c r="CP273" s="130"/>
      <c r="CQ273" s="130"/>
      <c r="CR273" s="482">
        <f ca="1">CR296</f>
        <v>2990.3579932603675</v>
      </c>
      <c r="CS273" s="130"/>
      <c r="CT273" s="130"/>
      <c r="CU273" s="130"/>
      <c r="CV273" s="130"/>
      <c r="CW273" s="482">
        <f ca="1">CW296</f>
        <v>3070.8357804429675</v>
      </c>
      <c r="CX273" s="130"/>
      <c r="CY273" s="130"/>
      <c r="CZ273" s="130"/>
      <c r="DA273" s="130"/>
      <c r="DB273" s="482">
        <f ca="1">DB296</f>
        <v>3148.3837335849939</v>
      </c>
      <c r="DC273" s="130"/>
      <c r="DD273" s="130"/>
      <c r="DE273" s="130"/>
      <c r="DF273" s="130"/>
      <c r="DG273" s="482">
        <f ca="1">DG296</f>
        <v>3224.9393621728473</v>
      </c>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c r="FM273"/>
      <c r="FN273"/>
      <c r="FO273"/>
      <c r="FP273"/>
      <c r="FQ273"/>
      <c r="FR273"/>
      <c r="FS273"/>
      <c r="FT273"/>
      <c r="FU273"/>
      <c r="FV273"/>
      <c r="FW273"/>
      <c r="FX273"/>
      <c r="FY273"/>
      <c r="FZ273"/>
      <c r="GA273"/>
      <c r="GB273"/>
      <c r="GC273"/>
      <c r="GD273"/>
      <c r="GE273"/>
      <c r="GF273"/>
      <c r="GG273"/>
      <c r="GH273"/>
      <c r="GI273"/>
      <c r="GJ273"/>
      <c r="GK273"/>
      <c r="GL273"/>
      <c r="GM273"/>
      <c r="GN273"/>
      <c r="GO273"/>
      <c r="GP273"/>
      <c r="GQ273"/>
      <c r="GR273"/>
      <c r="GS273"/>
      <c r="GT273"/>
      <c r="GU273"/>
      <c r="GV273"/>
      <c r="GW273"/>
      <c r="GX273"/>
      <c r="GY273"/>
      <c r="GZ273"/>
      <c r="HA273"/>
      <c r="HB273"/>
      <c r="HC273"/>
      <c r="HD273"/>
      <c r="HE273"/>
      <c r="HF273"/>
      <c r="HG273"/>
      <c r="HH273"/>
      <c r="HI273"/>
      <c r="HJ273"/>
      <c r="HK273"/>
      <c r="HL273"/>
      <c r="HM273"/>
      <c r="HN273"/>
      <c r="HO273"/>
      <c r="HP273"/>
      <c r="HQ273"/>
      <c r="HR273"/>
    </row>
    <row r="274" spans="1:226" s="19" customFormat="1" x14ac:dyDescent="0.2">
      <c r="A274" s="19" t="s">
        <v>320</v>
      </c>
      <c r="F274" s="482"/>
      <c r="K274" s="482"/>
      <c r="P274" s="482"/>
      <c r="U274" s="482"/>
      <c r="Z274" s="482"/>
      <c r="AE274" s="482">
        <f>AE275*AE273</f>
        <v>182.16</v>
      </c>
      <c r="AJ274" s="482">
        <f>AJ275*AJ273</f>
        <v>194.80500000000001</v>
      </c>
      <c r="AO274" s="482">
        <f>AO275*AO273</f>
        <v>241.38</v>
      </c>
      <c r="AT274" s="482">
        <f>AT275*AT273</f>
        <v>274.01400000000001</v>
      </c>
      <c r="AY274" s="482">
        <f>AY275*AY273</f>
        <v>263.52</v>
      </c>
      <c r="BD274" s="482">
        <f>BD275*BD273</f>
        <v>242.19</v>
      </c>
      <c r="BE274" s="130"/>
      <c r="BF274" s="130"/>
      <c r="BG274" s="130"/>
      <c r="BH274" s="130"/>
      <c r="BI274" s="482">
        <f>BI275*BI273</f>
        <v>228.87</v>
      </c>
      <c r="BJ274" s="130"/>
      <c r="BK274" s="130"/>
      <c r="BL274" s="130"/>
      <c r="BM274" s="130"/>
      <c r="BN274" s="482">
        <f>BN275*BN273</f>
        <v>229.67999999999998</v>
      </c>
      <c r="BO274" s="130"/>
      <c r="BP274" s="130"/>
      <c r="BQ274" s="130"/>
      <c r="BR274" s="130"/>
      <c r="BS274" s="482">
        <f>BS275*BS273</f>
        <v>224.32499999999999</v>
      </c>
      <c r="BT274" s="130"/>
      <c r="BU274" s="130"/>
      <c r="BV274" s="130"/>
      <c r="BW274" s="130"/>
      <c r="BX274" s="482">
        <f>BX275*BX273</f>
        <v>214.92</v>
      </c>
      <c r="BY274" s="130"/>
      <c r="BZ274" s="130"/>
      <c r="CA274" s="130"/>
      <c r="CB274" s="130"/>
      <c r="CC274" s="482">
        <f>CC275*CC273</f>
        <v>221.67</v>
      </c>
      <c r="CD274" s="130"/>
      <c r="CE274" s="130"/>
      <c r="CF274" s="130"/>
      <c r="CG274" s="130"/>
      <c r="CH274" s="482">
        <f ca="1">CH275*CH273</f>
        <v>240.92999999999998</v>
      </c>
      <c r="CI274" s="130"/>
      <c r="CJ274" s="130"/>
      <c r="CK274" s="130"/>
      <c r="CL274" s="130"/>
      <c r="CM274" s="482">
        <f ca="1">CM275*CM273</f>
        <v>255.78789124109124</v>
      </c>
      <c r="CN274" s="130"/>
      <c r="CO274" s="130"/>
      <c r="CP274" s="130"/>
      <c r="CQ274" s="130"/>
      <c r="CR274" s="482">
        <f ca="1">CR275*CR273</f>
        <v>269.13221939343305</v>
      </c>
      <c r="CS274" s="130"/>
      <c r="CT274" s="130"/>
      <c r="CU274" s="130"/>
      <c r="CV274" s="130"/>
      <c r="CW274" s="482">
        <f ca="1">CW275*CW273</f>
        <v>276.37522023986708</v>
      </c>
      <c r="CX274" s="130"/>
      <c r="CY274" s="130"/>
      <c r="CZ274" s="130"/>
      <c r="DA274" s="130"/>
      <c r="DB274" s="482">
        <f ca="1">DB275*DB273</f>
        <v>283.35453602264943</v>
      </c>
      <c r="DC274" s="130"/>
      <c r="DD274" s="130"/>
      <c r="DE274" s="130"/>
      <c r="DF274" s="130"/>
      <c r="DG274" s="482">
        <f ca="1">DG275*DG273</f>
        <v>290.24454259555625</v>
      </c>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c r="FQ274"/>
      <c r="FR274"/>
      <c r="FS274"/>
      <c r="FT274"/>
      <c r="FU274"/>
      <c r="FV274"/>
      <c r="FW274"/>
      <c r="FX274"/>
      <c r="FY274"/>
      <c r="FZ274"/>
      <c r="GA274"/>
      <c r="GB274"/>
      <c r="GC274"/>
      <c r="GD274"/>
      <c r="GE274"/>
      <c r="GF274"/>
      <c r="GG274"/>
      <c r="GH274"/>
      <c r="GI274"/>
      <c r="GJ274"/>
      <c r="GK274"/>
      <c r="GL274"/>
      <c r="GM274"/>
      <c r="GN274"/>
      <c r="GO274"/>
      <c r="GP274"/>
      <c r="GQ274"/>
      <c r="GR274"/>
      <c r="GS274"/>
      <c r="GT274"/>
      <c r="GU274"/>
      <c r="GV274"/>
      <c r="GW274"/>
      <c r="GX274"/>
      <c r="GY274"/>
      <c r="GZ274"/>
      <c r="HA274"/>
      <c r="HB274"/>
      <c r="HC274"/>
      <c r="HD274"/>
      <c r="HE274"/>
      <c r="HF274"/>
      <c r="HG274"/>
      <c r="HH274"/>
      <c r="HI274"/>
      <c r="HJ274"/>
      <c r="HK274"/>
      <c r="HL274"/>
      <c r="HM274"/>
      <c r="HN274"/>
      <c r="HO274"/>
      <c r="HP274"/>
      <c r="HQ274"/>
      <c r="HR274"/>
    </row>
    <row r="275" spans="1:226" s="19" customFormat="1" x14ac:dyDescent="0.2">
      <c r="A275" s="19" t="s">
        <v>321</v>
      </c>
      <c r="F275" s="489"/>
      <c r="K275" s="489"/>
      <c r="P275" s="489"/>
      <c r="U275" s="489"/>
      <c r="Z275" s="489"/>
      <c r="AE275" s="489">
        <v>0.09</v>
      </c>
      <c r="AJ275" s="489">
        <v>0.09</v>
      </c>
      <c r="AO275" s="489">
        <v>0.09</v>
      </c>
      <c r="AT275" s="489">
        <v>0.09</v>
      </c>
      <c r="AY275" s="489">
        <v>0.09</v>
      </c>
      <c r="BD275" s="489">
        <v>0.09</v>
      </c>
      <c r="BI275" s="489">
        <v>0.09</v>
      </c>
      <c r="BN275" s="489">
        <v>0.09</v>
      </c>
      <c r="BS275" s="489">
        <v>0.09</v>
      </c>
      <c r="BX275" s="489">
        <v>0.09</v>
      </c>
      <c r="CC275" s="489">
        <v>0.09</v>
      </c>
      <c r="CH275" s="489">
        <v>0.09</v>
      </c>
      <c r="CM275" s="489">
        <v>0.09</v>
      </c>
      <c r="CR275" s="489">
        <v>0.09</v>
      </c>
      <c r="CW275" s="489">
        <v>0.09</v>
      </c>
      <c r="DB275" s="489">
        <v>0.09</v>
      </c>
      <c r="DG275" s="489">
        <v>0.09</v>
      </c>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c r="FQ275"/>
      <c r="FR275"/>
      <c r="FS275"/>
      <c r="FT275"/>
      <c r="FU275"/>
      <c r="FV275"/>
      <c r="FW275"/>
      <c r="FX275"/>
      <c r="FY275"/>
      <c r="FZ275"/>
      <c r="GA275"/>
      <c r="GB275"/>
      <c r="GC275"/>
      <c r="GD275"/>
      <c r="GE275"/>
      <c r="GF275"/>
      <c r="GG275"/>
      <c r="GH275"/>
      <c r="GI275"/>
      <c r="GJ275"/>
      <c r="GK275"/>
      <c r="GL275"/>
      <c r="GM275"/>
      <c r="GN275"/>
      <c r="GO275"/>
      <c r="GP275"/>
      <c r="GQ275"/>
      <c r="GR275"/>
      <c r="GS275"/>
      <c r="GT275"/>
      <c r="GU275"/>
      <c r="GV275"/>
      <c r="GW275"/>
      <c r="GX275"/>
      <c r="GY275"/>
      <c r="GZ275"/>
      <c r="HA275"/>
      <c r="HB275"/>
      <c r="HC275"/>
      <c r="HD275"/>
      <c r="HE275"/>
      <c r="HF275"/>
      <c r="HG275"/>
      <c r="HH275"/>
      <c r="HI275"/>
      <c r="HJ275"/>
      <c r="HK275"/>
      <c r="HL275"/>
      <c r="HM275"/>
      <c r="HN275"/>
      <c r="HO275"/>
      <c r="HP275"/>
      <c r="HQ275"/>
      <c r="HR275"/>
    </row>
    <row r="276" spans="1:226" s="19" customFormat="1" ht="3" customHeight="1" x14ac:dyDescent="0.2">
      <c r="A276" s="45" t="s">
        <v>322</v>
      </c>
      <c r="F276" s="455"/>
      <c r="K276" s="455"/>
      <c r="P276" s="455"/>
      <c r="U276" s="455"/>
      <c r="Z276" s="455"/>
      <c r="AE276" s="455"/>
      <c r="AJ276" s="455"/>
      <c r="AO276" s="455"/>
      <c r="AT276" s="455"/>
      <c r="AY276" s="455"/>
      <c r="BD276" s="455"/>
      <c r="BI276" s="455"/>
      <c r="BN276" s="455"/>
      <c r="BS276" s="455"/>
      <c r="BX276" s="455"/>
      <c r="CC276" s="455"/>
      <c r="CH276" s="455"/>
      <c r="CM276" s="455"/>
      <c r="CR276" s="455"/>
      <c r="CW276" s="455"/>
      <c r="DB276" s="455"/>
      <c r="DG276" s="455"/>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c r="FD276"/>
      <c r="FE276"/>
      <c r="FF276"/>
      <c r="FG276"/>
      <c r="FH276"/>
      <c r="FI276"/>
      <c r="FJ276"/>
      <c r="FK276"/>
      <c r="FL276"/>
      <c r="FM276"/>
      <c r="FN276"/>
      <c r="FO276"/>
      <c r="FP276"/>
      <c r="FQ276"/>
      <c r="FR276"/>
      <c r="FS276"/>
      <c r="FT276"/>
      <c r="FU276"/>
      <c r="FV276"/>
      <c r="FW276"/>
      <c r="FX276"/>
      <c r="FY276"/>
      <c r="FZ276"/>
      <c r="GA276"/>
      <c r="GB276"/>
      <c r="GC276"/>
      <c r="GD276"/>
      <c r="GE276"/>
      <c r="GF276"/>
      <c r="GG276"/>
      <c r="GH276"/>
      <c r="GI276"/>
      <c r="GJ276"/>
      <c r="GK276"/>
      <c r="GL276"/>
      <c r="GM276"/>
      <c r="GN276"/>
      <c r="GO276"/>
      <c r="GP276"/>
      <c r="GQ276"/>
      <c r="GR276"/>
      <c r="GS276"/>
      <c r="GT276"/>
      <c r="GU276"/>
      <c r="GV276"/>
      <c r="GW276"/>
      <c r="GX276"/>
      <c r="GY276"/>
      <c r="GZ276"/>
      <c r="HA276"/>
      <c r="HB276"/>
      <c r="HC276"/>
      <c r="HD276"/>
      <c r="HE276"/>
      <c r="HF276"/>
      <c r="HG276"/>
      <c r="HH276"/>
      <c r="HI276"/>
      <c r="HJ276"/>
      <c r="HK276"/>
      <c r="HL276"/>
      <c r="HM276"/>
      <c r="HN276"/>
      <c r="HO276"/>
      <c r="HP276"/>
      <c r="HQ276"/>
      <c r="HR276"/>
    </row>
    <row r="277" spans="1:226" s="45" customFormat="1" x14ac:dyDescent="0.2">
      <c r="A277" s="45" t="s">
        <v>323</v>
      </c>
      <c r="F277" s="580"/>
      <c r="K277" s="580"/>
      <c r="P277" s="580"/>
      <c r="U277" s="580"/>
      <c r="Z277" s="580"/>
      <c r="AE277" s="580">
        <f>AE270-AE274</f>
        <v>348.19773353751918</v>
      </c>
      <c r="AJ277" s="580">
        <f>AJ270-AJ274</f>
        <v>379.2999798115747</v>
      </c>
      <c r="AO277" s="580">
        <f>AO270-AO274</f>
        <v>363.30831168831162</v>
      </c>
      <c r="AT277" s="580">
        <f>AT270-AT274</f>
        <v>376.21288039457465</v>
      </c>
      <c r="AX277" s="174"/>
      <c r="AY277" s="580">
        <f>AY270-AY274</f>
        <v>356.71850931677022</v>
      </c>
      <c r="BD277" s="580">
        <f>BD270-BD274</f>
        <v>384.66347624847748</v>
      </c>
      <c r="BI277" s="580">
        <f>BI270-BI274</f>
        <v>399.93910240202263</v>
      </c>
      <c r="BN277" s="580">
        <f>BN270-BN274</f>
        <v>426.41613130128974</v>
      </c>
      <c r="BS277" s="580">
        <f>BS270-BS274</f>
        <v>421.91436651583712</v>
      </c>
      <c r="BX277" s="580">
        <f>BX270-BX274</f>
        <v>457.21061889250814</v>
      </c>
      <c r="CC277" s="580">
        <f>CC270-CC274</f>
        <v>483.90436419125137</v>
      </c>
      <c r="CH277" s="580">
        <f ca="1">CH270-CH274</f>
        <v>522.77946024376092</v>
      </c>
      <c r="CM277" s="580">
        <f ca="1">CM270-CM274</f>
        <v>610.75165186059826</v>
      </c>
      <c r="CR277" s="580">
        <f ca="1">CR270-CR274</f>
        <v>608.66112026356825</v>
      </c>
      <c r="CW277" s="580">
        <f ca="1">CW270-CW274</f>
        <v>647.87711655629062</v>
      </c>
      <c r="DB277" s="580">
        <f ca="1">DB270-DB274</f>
        <v>673.88432841776364</v>
      </c>
      <c r="DG277" s="580">
        <f ca="1">DG270-DG274</f>
        <v>699.5147967225364</v>
      </c>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c r="FD277"/>
      <c r="FE277"/>
      <c r="FF277"/>
      <c r="FG277"/>
      <c r="FH277"/>
      <c r="FI277"/>
      <c r="FJ277"/>
      <c r="FK277"/>
      <c r="FL277"/>
      <c r="FM277"/>
      <c r="FN277"/>
      <c r="FO277"/>
      <c r="FP277"/>
      <c r="FQ277"/>
      <c r="FR277"/>
      <c r="FS277"/>
      <c r="FT277"/>
      <c r="FU277"/>
      <c r="FV277"/>
      <c r="FW277"/>
      <c r="FX277"/>
      <c r="FY277"/>
      <c r="FZ277"/>
      <c r="GA277"/>
      <c r="GB277"/>
      <c r="GC277"/>
      <c r="GD277"/>
      <c r="GE277"/>
      <c r="GF277"/>
      <c r="GG277"/>
      <c r="GH277"/>
      <c r="GI277"/>
      <c r="GJ277"/>
      <c r="GK277"/>
      <c r="GL277"/>
      <c r="GM277"/>
      <c r="GN277"/>
      <c r="GO277"/>
      <c r="GP277"/>
      <c r="GQ277"/>
      <c r="GR277"/>
      <c r="GS277"/>
      <c r="GT277"/>
      <c r="GU277"/>
      <c r="GV277"/>
      <c r="GW277"/>
      <c r="GX277"/>
      <c r="GY277"/>
      <c r="GZ277"/>
      <c r="HA277"/>
      <c r="HB277"/>
      <c r="HC277"/>
      <c r="HD277"/>
      <c r="HE277"/>
      <c r="HF277"/>
      <c r="HG277"/>
      <c r="HH277"/>
      <c r="HI277"/>
      <c r="HJ277"/>
      <c r="HK277"/>
      <c r="HL277"/>
      <c r="HM277"/>
      <c r="HN277"/>
      <c r="HO277"/>
      <c r="HP277"/>
      <c r="HQ277"/>
      <c r="HR277"/>
    </row>
    <row r="278" spans="1:226" s="45" customFormat="1" x14ac:dyDescent="0.2">
      <c r="A278" s="45" t="s">
        <v>191</v>
      </c>
      <c r="F278" s="408"/>
      <c r="K278" s="408"/>
      <c r="P278" s="408"/>
      <c r="U278" s="408"/>
      <c r="Z278" s="408"/>
      <c r="AE278" s="408"/>
      <c r="AJ278" s="408">
        <f>AJ277/AE277-1</f>
        <v>8.9323517295968102E-2</v>
      </c>
      <c r="AO278" s="408">
        <f>AO277/AJ277-1</f>
        <v>-4.2161004414519865E-2</v>
      </c>
      <c r="AT278" s="408">
        <f>AT277/AO277-1</f>
        <v>3.5519607702600764E-2</v>
      </c>
      <c r="AY278" s="408">
        <f>AY277/AT277-1</f>
        <v>-5.1817394070502343E-2</v>
      </c>
      <c r="BD278" s="408">
        <f>BD277/AY277-1</f>
        <v>7.8338987750399491E-2</v>
      </c>
      <c r="BI278" s="408">
        <f>BI277/BD277-1</f>
        <v>3.9711662522588176E-2</v>
      </c>
      <c r="BN278" s="408">
        <f>BN277/BI277-1</f>
        <v>6.6202651204263052E-2</v>
      </c>
      <c r="BS278" s="408">
        <f>BS277/BN277-1</f>
        <v>-1.0557210328123956E-2</v>
      </c>
      <c r="BX278" s="408">
        <f>BX277/BS277-1</f>
        <v>8.3657384478625252E-2</v>
      </c>
      <c r="CC278" s="408">
        <f>CC277/BX277-1</f>
        <v>5.8383913661941955E-2</v>
      </c>
      <c r="CH278" s="408">
        <f ca="1">CH277/CC277-1</f>
        <v>8.033632041629013E-2</v>
      </c>
      <c r="CM278" s="408">
        <f ca="1">CM277/CH277-1</f>
        <v>0.16827782708949157</v>
      </c>
      <c r="CR278" s="408">
        <f ca="1">CR277/CM277-1</f>
        <v>-3.422883246670505E-3</v>
      </c>
      <c r="CW278" s="408">
        <f ca="1">CW277/CR277-1</f>
        <v>6.4429934798103661E-2</v>
      </c>
      <c r="DB278" s="408">
        <f ca="1">DB277/CW277-1</f>
        <v>4.0142198569554477E-2</v>
      </c>
      <c r="DG278" s="408">
        <f ca="1">DG277/DB277-1</f>
        <v>3.8033928411647988E-2</v>
      </c>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c r="FD278"/>
      <c r="FE278"/>
      <c r="FF278"/>
      <c r="FG278"/>
      <c r="FH278"/>
      <c r="FI278"/>
      <c r="FJ278"/>
      <c r="FK278"/>
      <c r="FL278"/>
      <c r="FM278"/>
      <c r="FN278"/>
      <c r="FO278"/>
      <c r="FP278"/>
      <c r="FQ278"/>
      <c r="FR278"/>
      <c r="FS278"/>
      <c r="FT278"/>
      <c r="FU278"/>
      <c r="FV278"/>
      <c r="FW278"/>
      <c r="FX278"/>
      <c r="FY278"/>
      <c r="FZ278"/>
      <c r="GA278"/>
      <c r="GB278"/>
      <c r="GC278"/>
      <c r="GD278"/>
      <c r="GE278"/>
      <c r="GF278"/>
      <c r="GG278"/>
      <c r="GH278"/>
      <c r="GI278"/>
      <c r="GJ278"/>
      <c r="GK278"/>
      <c r="GL278"/>
      <c r="GM278"/>
      <c r="GN278"/>
      <c r="GO278"/>
      <c r="GP278"/>
      <c r="GQ278"/>
      <c r="GR278"/>
      <c r="GS278"/>
      <c r="GT278"/>
      <c r="GU278"/>
      <c r="GV278"/>
      <c r="GW278"/>
      <c r="GX278"/>
      <c r="GY278"/>
      <c r="GZ278"/>
      <c r="HA278"/>
      <c r="HB278"/>
      <c r="HC278"/>
      <c r="HD278"/>
      <c r="HE278"/>
      <c r="HF278"/>
      <c r="HG278"/>
      <c r="HH278"/>
      <c r="HI278"/>
      <c r="HJ278"/>
      <c r="HK278"/>
      <c r="HL278"/>
      <c r="HM278"/>
      <c r="HN278"/>
      <c r="HO278"/>
      <c r="HP278"/>
      <c r="HQ278"/>
      <c r="HR278"/>
    </row>
    <row r="279" spans="1:226" s="19" customFormat="1" ht="12.75" customHeight="1" x14ac:dyDescent="0.2">
      <c r="A279" s="19" t="s">
        <v>334</v>
      </c>
      <c r="F279" s="407"/>
      <c r="K279" s="407"/>
      <c r="P279" s="407"/>
      <c r="U279" s="407"/>
      <c r="Z279" s="407"/>
      <c r="AE279" s="407"/>
      <c r="AJ279" s="407"/>
      <c r="AO279" s="407">
        <f>AVERAGE(AO278,AJ278)</f>
        <v>2.3581256440724119E-2</v>
      </c>
      <c r="AT279" s="407">
        <f>AVERAGE(AT278,AO278)</f>
        <v>-3.3206983559595504E-3</v>
      </c>
      <c r="AY279" s="407">
        <f>AVERAGE(AY278,AT278)</f>
        <v>-8.1488931839507894E-3</v>
      </c>
      <c r="BD279" s="407">
        <f>AVERAGE(BD278,AY278)</f>
        <v>1.3260796839948574E-2</v>
      </c>
      <c r="BI279" s="407">
        <f>AVERAGE(BI278,BD278)</f>
        <v>5.9025325136493834E-2</v>
      </c>
      <c r="BN279" s="407">
        <f>AVERAGE(BN278,BI278)</f>
        <v>5.2957156863425614E-2</v>
      </c>
      <c r="BS279" s="407"/>
      <c r="BX279" s="407"/>
      <c r="CC279" s="407"/>
      <c r="CH279" s="407"/>
      <c r="CM279" s="407"/>
      <c r="CR279" s="407"/>
      <c r="CW279" s="407"/>
      <c r="DB279" s="407"/>
      <c r="DG279" s="407"/>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c r="FD279"/>
      <c r="FE279"/>
      <c r="FF279"/>
      <c r="FG279"/>
      <c r="FH279"/>
      <c r="FI279"/>
      <c r="FJ279"/>
      <c r="FK279"/>
      <c r="FL279"/>
      <c r="FM279"/>
      <c r="FN279"/>
      <c r="FO279"/>
      <c r="FP279"/>
      <c r="FQ279"/>
      <c r="FR279"/>
      <c r="FS279"/>
      <c r="FT279"/>
      <c r="FU279"/>
      <c r="FV279"/>
      <c r="FW279"/>
      <c r="FX279"/>
      <c r="FY279"/>
      <c r="FZ279"/>
      <c r="GA279"/>
      <c r="GB279"/>
      <c r="GC279"/>
      <c r="GD279"/>
      <c r="GE279"/>
      <c r="GF279"/>
      <c r="GG279"/>
      <c r="GH279"/>
      <c r="GI279"/>
      <c r="GJ279"/>
      <c r="GK279"/>
      <c r="GL279"/>
      <c r="GM279"/>
      <c r="GN279"/>
      <c r="GO279"/>
      <c r="GP279"/>
      <c r="GQ279"/>
      <c r="GR279"/>
      <c r="GS279"/>
      <c r="GT279"/>
      <c r="GU279"/>
      <c r="GV279"/>
      <c r="GW279"/>
      <c r="GX279"/>
      <c r="GY279"/>
      <c r="GZ279"/>
      <c r="HA279"/>
      <c r="HB279"/>
      <c r="HC279"/>
      <c r="HD279"/>
      <c r="HE279"/>
      <c r="HF279"/>
      <c r="HG279"/>
      <c r="HH279"/>
      <c r="HI279"/>
      <c r="HJ279"/>
      <c r="HK279"/>
      <c r="HL279"/>
      <c r="HM279"/>
      <c r="HN279"/>
      <c r="HO279"/>
      <c r="HP279"/>
      <c r="HQ279"/>
      <c r="HR279"/>
    </row>
    <row r="280" spans="1:226" s="19" customFormat="1" ht="3.75" customHeight="1" x14ac:dyDescent="0.2">
      <c r="F280" s="407"/>
      <c r="K280" s="407"/>
      <c r="P280" s="407"/>
      <c r="U280" s="407"/>
      <c r="Z280" s="407"/>
      <c r="AE280" s="407"/>
      <c r="AJ280" s="407"/>
      <c r="AO280" s="407"/>
      <c r="AT280" s="407"/>
      <c r="AY280" s="407"/>
      <c r="BD280" s="407"/>
      <c r="BI280" s="407"/>
      <c r="BN280" s="407"/>
      <c r="BS280" s="407"/>
      <c r="BX280" s="407"/>
      <c r="CC280" s="407"/>
      <c r="CH280" s="407"/>
      <c r="CM280" s="407"/>
      <c r="CR280" s="407"/>
      <c r="CW280" s="407"/>
      <c r="DB280" s="407"/>
      <c r="DG280" s="407"/>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c r="FD280"/>
      <c r="FE280"/>
      <c r="FF280"/>
      <c r="FG280"/>
      <c r="FH280"/>
      <c r="FI280"/>
      <c r="FJ280"/>
      <c r="FK280"/>
      <c r="FL280"/>
      <c r="FM280"/>
      <c r="FN280"/>
      <c r="FO280"/>
      <c r="FP280"/>
      <c r="FQ280"/>
      <c r="FR280"/>
      <c r="FS280"/>
      <c r="FT280"/>
      <c r="FU280"/>
      <c r="FV280"/>
      <c r="FW280"/>
      <c r="FX280"/>
      <c r="FY280"/>
      <c r="FZ280"/>
      <c r="GA280"/>
      <c r="GB280"/>
      <c r="GC280"/>
      <c r="GD280"/>
      <c r="GE280"/>
      <c r="GF280"/>
      <c r="GG280"/>
      <c r="GH280"/>
      <c r="GI280"/>
      <c r="GJ280"/>
      <c r="GK280"/>
      <c r="GL280"/>
      <c r="GM280"/>
      <c r="GN280"/>
      <c r="GO280"/>
      <c r="GP280"/>
      <c r="GQ280"/>
      <c r="GR280"/>
      <c r="GS280"/>
      <c r="GT280"/>
      <c r="GU280"/>
      <c r="GV280"/>
      <c r="GW280"/>
      <c r="GX280"/>
      <c r="GY280"/>
      <c r="GZ280"/>
      <c r="HA280"/>
      <c r="HB280"/>
      <c r="HC280"/>
      <c r="HD280"/>
      <c r="HE280"/>
      <c r="HF280"/>
      <c r="HG280"/>
      <c r="HH280"/>
      <c r="HI280"/>
      <c r="HJ280"/>
      <c r="HK280"/>
      <c r="HL280"/>
      <c r="HM280"/>
      <c r="HN280"/>
      <c r="HO280"/>
      <c r="HP280"/>
      <c r="HQ280"/>
      <c r="HR280"/>
    </row>
    <row r="281" spans="1:226" s="45" customFormat="1" x14ac:dyDescent="0.2">
      <c r="A281" s="19" t="s">
        <v>324</v>
      </c>
      <c r="F281" s="407"/>
      <c r="K281" s="407"/>
      <c r="P281" s="407"/>
      <c r="U281" s="407"/>
      <c r="Z281" s="407"/>
      <c r="AE281" s="407">
        <f>AE277/AE7</f>
        <v>7.4977978797915415E-2</v>
      </c>
      <c r="AJ281" s="407">
        <f>AJ277/AJ7</f>
        <v>7.8254586303192639E-2</v>
      </c>
      <c r="AO281" s="407">
        <f>AO277/AO7</f>
        <v>6.8899736713125659E-2</v>
      </c>
      <c r="AT281" s="407">
        <f>AT277/AT7</f>
        <v>6.9029886310931127E-2</v>
      </c>
      <c r="AY281" s="407">
        <f>AY277/AY7</f>
        <v>6.8154090431175054E-2</v>
      </c>
      <c r="BD281" s="407">
        <f>BD277/BD7</f>
        <v>7.3535361546258365E-2</v>
      </c>
      <c r="BI281" s="407">
        <f>BI277/BI7</f>
        <v>7.3141752450991707E-2</v>
      </c>
      <c r="BN281" s="407">
        <f>BN277/BN7</f>
        <v>7.5834275529306369E-2</v>
      </c>
      <c r="BS281" s="407">
        <f>BS277/BS7</f>
        <v>7.6516932628914971E-2</v>
      </c>
      <c r="BX281" s="407">
        <f>BX277/BX7</f>
        <v>8.0850684154289684E-2</v>
      </c>
      <c r="CC281" s="407">
        <f>CC277/CC7</f>
        <v>8.399659159716219E-2</v>
      </c>
      <c r="CH281" s="407">
        <f ca="1">CH277/CH7</f>
        <v>8.7523766992091231E-2</v>
      </c>
      <c r="CM281" s="407">
        <f ca="1">CM277/CM7</f>
        <v>9.9170260267421054E-2</v>
      </c>
      <c r="CR281" s="407">
        <f ca="1">CR277/CR7</f>
        <v>9.3714518641667285E-2</v>
      </c>
      <c r="CW281" s="407">
        <f ca="1">CW277/CW7</f>
        <v>9.746706783413929E-2</v>
      </c>
      <c r="DB281" s="407">
        <f ca="1">DB277/DB7</f>
        <v>9.9046547441076951E-2</v>
      </c>
      <c r="DG281" s="407">
        <f ca="1">DG277/DG7</f>
        <v>0.10043701479470396</v>
      </c>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c r="FD281"/>
      <c r="FE281"/>
      <c r="FF281"/>
      <c r="FG281"/>
      <c r="FH281"/>
      <c r="FI281"/>
      <c r="FJ281"/>
      <c r="FK281"/>
      <c r="FL281"/>
      <c r="FM281"/>
      <c r="FN281"/>
      <c r="FO281"/>
      <c r="FP281"/>
      <c r="FQ281"/>
      <c r="FR281"/>
      <c r="FS281"/>
      <c r="FT281"/>
      <c r="FU281"/>
      <c r="FV281"/>
      <c r="FW281"/>
      <c r="FX281"/>
      <c r="FY281"/>
      <c r="FZ281"/>
      <c r="GA281"/>
      <c r="GB281"/>
      <c r="GC281"/>
      <c r="GD281"/>
      <c r="GE281"/>
      <c r="GF281"/>
      <c r="GG281"/>
      <c r="GH281"/>
      <c r="GI281"/>
      <c r="GJ281"/>
      <c r="GK281"/>
      <c r="GL281"/>
      <c r="GM281"/>
      <c r="GN281"/>
      <c r="GO281"/>
      <c r="GP281"/>
      <c r="GQ281"/>
      <c r="GR281"/>
      <c r="GS281"/>
      <c r="GT281"/>
      <c r="GU281"/>
      <c r="GV281"/>
      <c r="GW281"/>
      <c r="GX281"/>
      <c r="GY281"/>
      <c r="GZ281"/>
      <c r="HA281"/>
      <c r="HB281"/>
      <c r="HC281"/>
      <c r="HD281"/>
      <c r="HE281"/>
      <c r="HF281"/>
      <c r="HG281"/>
      <c r="HH281"/>
      <c r="HI281"/>
      <c r="HJ281"/>
      <c r="HK281"/>
      <c r="HL281"/>
      <c r="HM281"/>
      <c r="HN281"/>
      <c r="HO281"/>
      <c r="HP281"/>
      <c r="HQ281"/>
      <c r="HR281"/>
    </row>
    <row r="282" spans="1:226" s="19" customFormat="1" x14ac:dyDescent="0.2">
      <c r="A282" s="45"/>
      <c r="F282" s="455"/>
      <c r="K282" s="455"/>
      <c r="P282" s="455"/>
      <c r="U282" s="455"/>
      <c r="Z282" s="455"/>
      <c r="AE282" s="455"/>
      <c r="AJ282" s="455"/>
      <c r="AO282" s="455"/>
      <c r="AT282" s="455"/>
      <c r="AY282" s="455"/>
      <c r="BD282" s="455"/>
      <c r="BI282" s="455"/>
      <c r="BN282" s="455"/>
      <c r="BS282" s="455"/>
      <c r="BX282" s="455"/>
      <c r="CC282" s="455"/>
      <c r="CH282" s="455"/>
      <c r="CM282" s="455"/>
      <c r="CR282" s="455"/>
      <c r="CW282" s="455"/>
      <c r="DB282" s="455"/>
      <c r="DG282" s="455"/>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c r="FD282"/>
      <c r="FE282"/>
      <c r="FF282"/>
      <c r="FG282"/>
      <c r="FH282"/>
      <c r="FI282"/>
      <c r="FJ282"/>
      <c r="FK282"/>
      <c r="FL282"/>
      <c r="FM282"/>
      <c r="FN282"/>
      <c r="FO282"/>
      <c r="FP282"/>
      <c r="FQ282"/>
      <c r="FR282"/>
      <c r="FS282"/>
      <c r="FT282"/>
      <c r="FU282"/>
      <c r="FV282"/>
      <c r="FW282"/>
      <c r="FX282"/>
      <c r="FY282"/>
      <c r="FZ282"/>
      <c r="GA282"/>
      <c r="GB282"/>
      <c r="GC282"/>
      <c r="GD282"/>
      <c r="GE282"/>
      <c r="GF282"/>
      <c r="GG282"/>
      <c r="GH282"/>
      <c r="GI282"/>
      <c r="GJ282"/>
      <c r="GK282"/>
      <c r="GL282"/>
      <c r="GM282"/>
      <c r="GN282"/>
      <c r="GO282"/>
      <c r="GP282"/>
      <c r="GQ282"/>
      <c r="GR282"/>
      <c r="GS282"/>
      <c r="GT282"/>
      <c r="GU282"/>
      <c r="GV282"/>
      <c r="GW282"/>
      <c r="GX282"/>
      <c r="GY282"/>
      <c r="GZ282"/>
      <c r="HA282"/>
      <c r="HB282"/>
      <c r="HC282"/>
      <c r="HD282"/>
      <c r="HE282"/>
      <c r="HF282"/>
      <c r="HG282"/>
      <c r="HH282"/>
      <c r="HI282"/>
      <c r="HJ282"/>
      <c r="HK282"/>
      <c r="HL282"/>
      <c r="HM282"/>
      <c r="HN282"/>
      <c r="HO282"/>
      <c r="HP282"/>
      <c r="HQ282"/>
      <c r="HR282"/>
    </row>
    <row r="283" spans="1:226" s="19" customFormat="1" x14ac:dyDescent="0.2">
      <c r="A283" s="19" t="s">
        <v>255</v>
      </c>
      <c r="B283" s="21"/>
      <c r="C283" s="21"/>
      <c r="D283" s="21"/>
      <c r="E283" s="21"/>
      <c r="F283" s="482"/>
      <c r="G283" s="21">
        <f>G142</f>
        <v>3832</v>
      </c>
      <c r="H283" s="21">
        <f t="shared" ref="H283:AW283" si="595">H142</f>
        <v>3753</v>
      </c>
      <c r="I283" s="21">
        <f t="shared" si="595"/>
        <v>3707</v>
      </c>
      <c r="J283" s="21">
        <f t="shared" si="595"/>
        <v>3643</v>
      </c>
      <c r="K283" s="482">
        <f t="shared" si="595"/>
        <v>3643</v>
      </c>
      <c r="L283" s="21">
        <f t="shared" si="595"/>
        <v>3474</v>
      </c>
      <c r="M283" s="21">
        <f t="shared" si="595"/>
        <v>3477</v>
      </c>
      <c r="N283" s="21">
        <f t="shared" si="595"/>
        <v>3831</v>
      </c>
      <c r="O283" s="21">
        <f t="shared" si="595"/>
        <v>3652</v>
      </c>
      <c r="P283" s="482">
        <f t="shared" si="595"/>
        <v>3652</v>
      </c>
      <c r="Q283" s="21">
        <f t="shared" si="595"/>
        <v>3558</v>
      </c>
      <c r="R283" s="21">
        <f t="shared" si="595"/>
        <v>3597</v>
      </c>
      <c r="S283" s="21">
        <f t="shared" si="595"/>
        <v>3710</v>
      </c>
      <c r="T283" s="21">
        <f t="shared" si="595"/>
        <v>3834</v>
      </c>
      <c r="U283" s="482">
        <f t="shared" si="595"/>
        <v>3834</v>
      </c>
      <c r="V283" s="21">
        <f t="shared" si="595"/>
        <v>3772</v>
      </c>
      <c r="W283" s="21">
        <f t="shared" si="595"/>
        <v>3710</v>
      </c>
      <c r="X283" s="21">
        <f t="shared" si="595"/>
        <v>3756</v>
      </c>
      <c r="Y283" s="21">
        <f t="shared" si="595"/>
        <v>3617</v>
      </c>
      <c r="Z283" s="482">
        <f t="shared" si="595"/>
        <v>3617</v>
      </c>
      <c r="AA283" s="21">
        <f t="shared" si="595"/>
        <v>3570</v>
      </c>
      <c r="AB283" s="21">
        <f t="shared" si="595"/>
        <v>3567</v>
      </c>
      <c r="AC283" s="21">
        <f t="shared" si="595"/>
        <v>3622</v>
      </c>
      <c r="AD283" s="21">
        <f t="shared" si="595"/>
        <v>3616</v>
      </c>
      <c r="AE283" s="482">
        <f t="shared" si="595"/>
        <v>3616</v>
      </c>
      <c r="AF283" s="21">
        <f t="shared" si="595"/>
        <v>3539</v>
      </c>
      <c r="AG283" s="21">
        <f t="shared" si="595"/>
        <v>3624</v>
      </c>
      <c r="AH283" s="21">
        <f t="shared" si="595"/>
        <v>3691</v>
      </c>
      <c r="AI283" s="21">
        <f t="shared" si="595"/>
        <v>3581</v>
      </c>
      <c r="AJ283" s="482">
        <f t="shared" si="595"/>
        <v>3581</v>
      </c>
      <c r="AK283" s="21">
        <f t="shared" si="595"/>
        <v>3673</v>
      </c>
      <c r="AL283" s="21">
        <f t="shared" si="595"/>
        <v>4853</v>
      </c>
      <c r="AM283" s="21">
        <f t="shared" si="595"/>
        <v>4750</v>
      </c>
      <c r="AN283" s="21">
        <f t="shared" si="595"/>
        <v>4708</v>
      </c>
      <c r="AO283" s="482">
        <f t="shared" si="595"/>
        <v>4708</v>
      </c>
      <c r="AP283" s="21">
        <f t="shared" si="595"/>
        <v>4587</v>
      </c>
      <c r="AQ283" s="21">
        <f t="shared" si="595"/>
        <v>4398</v>
      </c>
      <c r="AR283" s="21">
        <f t="shared" si="595"/>
        <v>4465</v>
      </c>
      <c r="AS283" s="21">
        <f t="shared" si="595"/>
        <v>4576</v>
      </c>
      <c r="AT283" s="482">
        <f t="shared" si="595"/>
        <v>4576</v>
      </c>
      <c r="AU283" s="21">
        <f t="shared" si="595"/>
        <v>4598</v>
      </c>
      <c r="AV283" s="21">
        <f t="shared" si="595"/>
        <v>4489</v>
      </c>
      <c r="AW283" s="21">
        <f t="shared" si="595"/>
        <v>4743</v>
      </c>
      <c r="AX283" s="21">
        <f t="shared" ref="AX283:CB283" si="596">AX142</f>
        <v>4555</v>
      </c>
      <c r="AY283" s="482">
        <f t="shared" si="596"/>
        <v>4555</v>
      </c>
      <c r="AZ283" s="21">
        <f t="shared" si="596"/>
        <v>4793</v>
      </c>
      <c r="BA283" s="21">
        <f t="shared" si="596"/>
        <v>4158</v>
      </c>
      <c r="BB283" s="21">
        <f t="shared" si="596"/>
        <v>4051</v>
      </c>
      <c r="BC283" s="21">
        <f t="shared" si="596"/>
        <v>4163</v>
      </c>
      <c r="BD283" s="482">
        <f t="shared" si="596"/>
        <v>4163</v>
      </c>
      <c r="BE283" s="21">
        <f t="shared" si="596"/>
        <v>4077</v>
      </c>
      <c r="BF283" s="21">
        <f t="shared" si="596"/>
        <v>4290</v>
      </c>
      <c r="BG283" s="21">
        <f t="shared" si="596"/>
        <v>4386</v>
      </c>
      <c r="BH283" s="21">
        <f t="shared" si="596"/>
        <v>4355</v>
      </c>
      <c r="BI283" s="482">
        <f t="shared" si="596"/>
        <v>4355</v>
      </c>
      <c r="BJ283" s="21">
        <f t="shared" si="596"/>
        <v>4747</v>
      </c>
      <c r="BK283" s="21">
        <f t="shared" si="596"/>
        <v>4502</v>
      </c>
      <c r="BL283" s="21">
        <f t="shared" si="596"/>
        <v>4523</v>
      </c>
      <c r="BM283" s="21">
        <f t="shared" si="596"/>
        <v>4311</v>
      </c>
      <c r="BN283" s="482">
        <f t="shared" si="596"/>
        <v>4311</v>
      </c>
      <c r="BO283" s="21">
        <f t="shared" si="596"/>
        <v>4301</v>
      </c>
      <c r="BP283" s="21">
        <f t="shared" si="596"/>
        <v>4388</v>
      </c>
      <c r="BQ283" s="21">
        <f t="shared" si="596"/>
        <v>4374</v>
      </c>
      <c r="BR283" s="21">
        <f t="shared" si="596"/>
        <v>4258</v>
      </c>
      <c r="BS283" s="482">
        <f t="shared" si="596"/>
        <v>4258</v>
      </c>
      <c r="BT283" s="21">
        <f t="shared" si="596"/>
        <v>4150</v>
      </c>
      <c r="BU283" s="21">
        <f t="shared" si="596"/>
        <v>4674</v>
      </c>
      <c r="BV283" s="21">
        <f t="shared" si="596"/>
        <v>4228</v>
      </c>
      <c r="BW283" s="21">
        <f t="shared" si="596"/>
        <v>4164</v>
      </c>
      <c r="BX283" s="482">
        <f t="shared" si="596"/>
        <v>4164</v>
      </c>
      <c r="BY283" s="21">
        <f t="shared" si="596"/>
        <v>4095</v>
      </c>
      <c r="BZ283" s="21">
        <f t="shared" si="596"/>
        <v>4175</v>
      </c>
      <c r="CA283" s="21">
        <f t="shared" si="596"/>
        <v>4284</v>
      </c>
      <c r="CB283" s="21">
        <f t="shared" si="596"/>
        <v>4518</v>
      </c>
      <c r="CC283" s="482">
        <f>CC142</f>
        <v>4518</v>
      </c>
      <c r="CD283" s="21">
        <f t="shared" ref="CD283:CW283" ca="1" si="597">CD142</f>
        <v>4466</v>
      </c>
      <c r="CE283" s="21">
        <f t="shared" ca="1" si="597"/>
        <v>4568</v>
      </c>
      <c r="CF283" s="21">
        <f t="shared" ca="1" si="597"/>
        <v>4629</v>
      </c>
      <c r="CG283" s="21">
        <f t="shared" ca="1" si="597"/>
        <v>4573</v>
      </c>
      <c r="CH283" s="482">
        <f t="shared" si="597"/>
        <v>4573</v>
      </c>
      <c r="CI283" s="21">
        <f t="shared" si="597"/>
        <v>4600</v>
      </c>
      <c r="CJ283" s="21">
        <f t="shared" si="597"/>
        <v>4758</v>
      </c>
      <c r="CK283" s="21">
        <f t="shared" ca="1" si="597"/>
        <v>4858.7249778818514</v>
      </c>
      <c r="CL283" s="21">
        <f t="shared" ca="1" si="597"/>
        <v>4854.2427213371529</v>
      </c>
      <c r="CM283" s="482">
        <f t="shared" ca="1" si="597"/>
        <v>4854.2427213371529</v>
      </c>
      <c r="CN283" s="21">
        <f t="shared" ca="1" si="597"/>
        <v>4790.0031388939478</v>
      </c>
      <c r="CO283" s="21">
        <f t="shared" ca="1" si="597"/>
        <v>4941.5632840317103</v>
      </c>
      <c r="CP283" s="21">
        <f t="shared" ca="1" si="597"/>
        <v>5049.7535749471799</v>
      </c>
      <c r="CQ283" s="21">
        <f t="shared" ca="1" si="597"/>
        <v>4989.6873062157811</v>
      </c>
      <c r="CR283" s="482">
        <f t="shared" ca="1" si="597"/>
        <v>4989.6873062157811</v>
      </c>
      <c r="CS283" s="21">
        <f t="shared" ca="1" si="597"/>
        <v>4909.3418722071247</v>
      </c>
      <c r="CT283" s="21">
        <f t="shared" ca="1" si="597"/>
        <v>5059.6563164319023</v>
      </c>
      <c r="CU283" s="21">
        <f t="shared" ca="1" si="597"/>
        <v>5169.035847805063</v>
      </c>
      <c r="CV283" s="21">
        <f t="shared" ca="1" si="597"/>
        <v>5106.9431807278033</v>
      </c>
      <c r="CW283" s="482">
        <f t="shared" ca="1" si="597"/>
        <v>5106.9431807278033</v>
      </c>
      <c r="CX283" s="21">
        <f t="shared" ref="CX283:DG283" ca="1" si="598">CX142</f>
        <v>5017.8890803040713</v>
      </c>
      <c r="CY283" s="21">
        <f t="shared" ca="1" si="598"/>
        <v>5167.5644636666011</v>
      </c>
      <c r="CZ283" s="21">
        <f t="shared" ca="1" si="598"/>
        <v>5278.7147184810547</v>
      </c>
      <c r="DA283" s="21">
        <f t="shared" ca="1" si="598"/>
        <v>5215.0749008968232</v>
      </c>
      <c r="DB283" s="482">
        <f t="shared" ca="1" si="598"/>
        <v>5215.0749008968232</v>
      </c>
      <c r="DC283" s="21">
        <f t="shared" ca="1" si="598"/>
        <v>5117.5980641601054</v>
      </c>
      <c r="DD283" s="21">
        <f t="shared" ca="1" si="598"/>
        <v>5267.162216262991</v>
      </c>
      <c r="DE283" s="21">
        <f t="shared" ca="1" si="598"/>
        <v>5380.5864976176817</v>
      </c>
      <c r="DF283" s="21">
        <f t="shared" ca="1" si="598"/>
        <v>5315.7967388318475</v>
      </c>
      <c r="DG283" s="482">
        <f t="shared" ca="1" si="598"/>
        <v>5315.7967388318475</v>
      </c>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c r="FC283"/>
      <c r="FD283"/>
      <c r="FE283"/>
      <c r="FF283"/>
      <c r="FG283"/>
      <c r="FH283"/>
      <c r="FI283"/>
      <c r="FJ283"/>
      <c r="FK283"/>
      <c r="FL283"/>
      <c r="FM283"/>
      <c r="FN283"/>
      <c r="FO283"/>
      <c r="FP283"/>
      <c r="FQ283"/>
      <c r="FR283"/>
      <c r="FS283"/>
      <c r="FT283"/>
      <c r="FU283"/>
      <c r="FV283"/>
      <c r="FW283"/>
      <c r="FX283"/>
      <c r="FY283"/>
      <c r="FZ283"/>
      <c r="GA283"/>
      <c r="GB283"/>
      <c r="GC283"/>
      <c r="GD283"/>
      <c r="GE283"/>
      <c r="GF283"/>
      <c r="GG283"/>
      <c r="GH283"/>
      <c r="GI283"/>
      <c r="GJ283"/>
      <c r="GK283"/>
      <c r="GL283"/>
      <c r="GM283"/>
      <c r="GN283"/>
      <c r="GO283"/>
      <c r="GP283"/>
      <c r="GQ283"/>
      <c r="GR283"/>
      <c r="GS283"/>
      <c r="GT283"/>
      <c r="GU283"/>
      <c r="GV283"/>
      <c r="GW283"/>
      <c r="GX283"/>
      <c r="GY283"/>
      <c r="GZ283"/>
      <c r="HA283"/>
      <c r="HB283"/>
      <c r="HC283"/>
      <c r="HD283"/>
      <c r="HE283"/>
      <c r="HF283"/>
      <c r="HG283"/>
      <c r="HH283"/>
      <c r="HI283"/>
      <c r="HJ283"/>
      <c r="HK283"/>
      <c r="HL283"/>
      <c r="HM283"/>
      <c r="HN283"/>
      <c r="HO283"/>
      <c r="HP283"/>
      <c r="HQ283"/>
      <c r="HR283"/>
    </row>
    <row r="284" spans="1:226" s="19" customFormat="1" x14ac:dyDescent="0.2">
      <c r="F284" s="455"/>
      <c r="K284" s="455"/>
      <c r="P284" s="455"/>
      <c r="U284" s="455"/>
      <c r="Z284" s="455"/>
      <c r="AE284" s="455"/>
      <c r="AJ284" s="455"/>
      <c r="AO284" s="455"/>
      <c r="AT284" s="455"/>
      <c r="AY284" s="455"/>
      <c r="BD284" s="455"/>
      <c r="BI284" s="455"/>
      <c r="BN284" s="455"/>
      <c r="BS284" s="455"/>
      <c r="BX284" s="455"/>
      <c r="CC284" s="455"/>
      <c r="CH284" s="455"/>
      <c r="CM284" s="455"/>
      <c r="CR284" s="455"/>
      <c r="CW284" s="455"/>
      <c r="DB284" s="455"/>
      <c r="DG284" s="455"/>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c r="FC284"/>
      <c r="FD284"/>
      <c r="FE284"/>
      <c r="FF284"/>
      <c r="FG284"/>
      <c r="FH284"/>
      <c r="FI284"/>
      <c r="FJ284"/>
      <c r="FK284"/>
      <c r="FL284"/>
      <c r="FM284"/>
      <c r="FN284"/>
      <c r="FO284"/>
      <c r="FP284"/>
      <c r="FQ284"/>
      <c r="FR284"/>
      <c r="FS284"/>
      <c r="FT284"/>
      <c r="FU284"/>
      <c r="FV284"/>
      <c r="FW284"/>
      <c r="FX284"/>
      <c r="FY284"/>
      <c r="FZ284"/>
      <c r="GA284"/>
      <c r="GB284"/>
      <c r="GC284"/>
      <c r="GD284"/>
      <c r="GE284"/>
      <c r="GF284"/>
      <c r="GG284"/>
      <c r="GH284"/>
      <c r="GI284"/>
      <c r="GJ284"/>
      <c r="GK284"/>
      <c r="GL284"/>
      <c r="GM284"/>
      <c r="GN284"/>
      <c r="GO284"/>
      <c r="GP284"/>
      <c r="GQ284"/>
      <c r="GR284"/>
      <c r="GS284"/>
      <c r="GT284"/>
      <c r="GU284"/>
      <c r="GV284"/>
      <c r="GW284"/>
      <c r="GX284"/>
      <c r="GY284"/>
      <c r="GZ284"/>
      <c r="HA284"/>
      <c r="HB284"/>
      <c r="HC284"/>
      <c r="HD284"/>
      <c r="HE284"/>
      <c r="HF284"/>
      <c r="HG284"/>
      <c r="HH284"/>
      <c r="HI284"/>
      <c r="HJ284"/>
      <c r="HK284"/>
      <c r="HL284"/>
      <c r="HM284"/>
      <c r="HN284"/>
      <c r="HO284"/>
      <c r="HP284"/>
      <c r="HQ284"/>
      <c r="HR284"/>
    </row>
    <row r="285" spans="1:226" s="19" customFormat="1" x14ac:dyDescent="0.2">
      <c r="A285" s="19" t="s">
        <v>256</v>
      </c>
      <c r="F285" s="455"/>
      <c r="K285" s="455"/>
      <c r="P285" s="455"/>
      <c r="U285" s="455"/>
      <c r="Z285" s="455"/>
      <c r="AE285" s="455"/>
      <c r="AJ285" s="455"/>
      <c r="AO285" s="455"/>
      <c r="AT285" s="455"/>
      <c r="AY285" s="455"/>
      <c r="BD285" s="455"/>
      <c r="BI285" s="455"/>
      <c r="BN285" s="455"/>
      <c r="BS285" s="455"/>
      <c r="BX285" s="455"/>
      <c r="CC285" s="455"/>
      <c r="CH285" s="455"/>
      <c r="CM285" s="455"/>
      <c r="CR285" s="455"/>
      <c r="CW285" s="455"/>
      <c r="DB285" s="455"/>
      <c r="DG285" s="45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c r="FC285"/>
      <c r="FD285"/>
      <c r="FE285"/>
      <c r="FF285"/>
      <c r="FG285"/>
      <c r="FH285"/>
      <c r="FI285"/>
      <c r="FJ285"/>
      <c r="FK285"/>
      <c r="FL285"/>
      <c r="FM285"/>
      <c r="FN285"/>
      <c r="FO285"/>
      <c r="FP285"/>
      <c r="FQ285"/>
      <c r="FR285"/>
      <c r="FS285"/>
      <c r="FT285"/>
      <c r="FU285"/>
      <c r="FV285"/>
      <c r="FW285"/>
      <c r="FX285"/>
      <c r="FY285"/>
      <c r="FZ285"/>
      <c r="GA285"/>
      <c r="GB285"/>
      <c r="GC285"/>
      <c r="GD285"/>
      <c r="GE285"/>
      <c r="GF285"/>
      <c r="GG285"/>
      <c r="GH285"/>
      <c r="GI285"/>
      <c r="GJ285"/>
      <c r="GK285"/>
      <c r="GL285"/>
      <c r="GM285"/>
      <c r="GN285"/>
      <c r="GO285"/>
      <c r="GP285"/>
      <c r="GQ285"/>
      <c r="GR285"/>
      <c r="GS285"/>
      <c r="GT285"/>
      <c r="GU285"/>
      <c r="GV285"/>
      <c r="GW285"/>
      <c r="GX285"/>
      <c r="GY285"/>
      <c r="GZ285"/>
      <c r="HA285"/>
      <c r="HB285"/>
      <c r="HC285"/>
      <c r="HD285"/>
      <c r="HE285"/>
      <c r="HF285"/>
      <c r="HG285"/>
      <c r="HH285"/>
      <c r="HI285"/>
      <c r="HJ285"/>
      <c r="HK285"/>
      <c r="HL285"/>
      <c r="HM285"/>
      <c r="HN285"/>
      <c r="HO285"/>
      <c r="HP285"/>
      <c r="HQ285"/>
      <c r="HR285"/>
    </row>
    <row r="286" spans="1:226" s="19" customFormat="1" x14ac:dyDescent="0.2">
      <c r="A286" s="19" t="s">
        <v>257</v>
      </c>
      <c r="B286" s="21"/>
      <c r="C286" s="21"/>
      <c r="D286" s="21"/>
      <c r="E286" s="21"/>
      <c r="F286" s="482"/>
      <c r="G286" s="21">
        <f>G147</f>
        <v>300</v>
      </c>
      <c r="H286" s="21">
        <f t="shared" ref="H286:BI288" si="599">H147</f>
        <v>312</v>
      </c>
      <c r="I286" s="21">
        <f t="shared" si="599"/>
        <v>303</v>
      </c>
      <c r="J286" s="21">
        <f t="shared" si="599"/>
        <v>330</v>
      </c>
      <c r="K286" s="482">
        <f t="shared" si="599"/>
        <v>330</v>
      </c>
      <c r="L286" s="21">
        <f t="shared" si="599"/>
        <v>279</v>
      </c>
      <c r="M286" s="21">
        <f t="shared" si="599"/>
        <v>260</v>
      </c>
      <c r="N286" s="21">
        <f t="shared" si="599"/>
        <v>308</v>
      </c>
      <c r="O286" s="21">
        <f t="shared" si="599"/>
        <v>312</v>
      </c>
      <c r="P286" s="482">
        <f t="shared" si="599"/>
        <v>312</v>
      </c>
      <c r="Q286" s="21">
        <f t="shared" si="599"/>
        <v>282</v>
      </c>
      <c r="R286" s="21">
        <f t="shared" si="599"/>
        <v>235</v>
      </c>
      <c r="S286" s="21">
        <f t="shared" si="599"/>
        <v>304</v>
      </c>
      <c r="T286" s="21">
        <f t="shared" si="599"/>
        <v>310</v>
      </c>
      <c r="U286" s="482">
        <f t="shared" si="599"/>
        <v>310</v>
      </c>
      <c r="V286" s="21">
        <f t="shared" si="599"/>
        <v>287</v>
      </c>
      <c r="W286" s="21">
        <f t="shared" si="599"/>
        <v>293</v>
      </c>
      <c r="X286" s="21">
        <f t="shared" si="599"/>
        <v>312</v>
      </c>
      <c r="Y286" s="21">
        <f t="shared" si="599"/>
        <v>347</v>
      </c>
      <c r="Z286" s="482">
        <f t="shared" si="599"/>
        <v>347</v>
      </c>
      <c r="AA286" s="21">
        <f t="shared" si="599"/>
        <v>309</v>
      </c>
      <c r="AB286" s="21">
        <f t="shared" si="599"/>
        <v>274</v>
      </c>
      <c r="AC286" s="21">
        <f t="shared" si="599"/>
        <v>285</v>
      </c>
      <c r="AD286" s="21">
        <f t="shared" si="599"/>
        <v>329</v>
      </c>
      <c r="AE286" s="482">
        <f t="shared" si="599"/>
        <v>329</v>
      </c>
      <c r="AF286" s="21">
        <f t="shared" si="599"/>
        <v>299</v>
      </c>
      <c r="AG286" s="21">
        <f t="shared" si="599"/>
        <v>283</v>
      </c>
      <c r="AH286" s="21">
        <f t="shared" si="599"/>
        <v>292</v>
      </c>
      <c r="AI286" s="21">
        <f t="shared" si="599"/>
        <v>329</v>
      </c>
      <c r="AJ286" s="482">
        <f t="shared" si="599"/>
        <v>329</v>
      </c>
      <c r="AK286" s="21">
        <f t="shared" si="599"/>
        <v>318</v>
      </c>
      <c r="AL286" s="21">
        <f t="shared" si="599"/>
        <v>312</v>
      </c>
      <c r="AM286" s="21">
        <f t="shared" si="599"/>
        <v>340</v>
      </c>
      <c r="AN286" s="21">
        <f t="shared" si="599"/>
        <v>418</v>
      </c>
      <c r="AO286" s="482">
        <f t="shared" si="599"/>
        <v>418</v>
      </c>
      <c r="AP286" s="21">
        <f t="shared" si="599"/>
        <v>392</v>
      </c>
      <c r="AQ286" s="21">
        <f t="shared" si="599"/>
        <v>330</v>
      </c>
      <c r="AR286" s="21">
        <f t="shared" si="599"/>
        <v>333</v>
      </c>
      <c r="AS286" s="21">
        <f t="shared" si="599"/>
        <v>381</v>
      </c>
      <c r="AT286" s="482">
        <f t="shared" si="599"/>
        <v>381</v>
      </c>
      <c r="AU286" s="21">
        <f t="shared" si="599"/>
        <v>330</v>
      </c>
      <c r="AV286" s="21">
        <f t="shared" si="599"/>
        <v>301</v>
      </c>
      <c r="AW286" s="21">
        <f t="shared" si="599"/>
        <v>342</v>
      </c>
      <c r="AX286" s="21">
        <f t="shared" si="599"/>
        <v>410</v>
      </c>
      <c r="AY286" s="482">
        <f t="shared" si="599"/>
        <v>410</v>
      </c>
      <c r="AZ286" s="21">
        <f t="shared" si="599"/>
        <v>379</v>
      </c>
      <c r="BA286" s="21">
        <f t="shared" si="599"/>
        <v>326</v>
      </c>
      <c r="BB286" s="21">
        <f t="shared" si="599"/>
        <v>360</v>
      </c>
      <c r="BC286" s="21">
        <f t="shared" si="599"/>
        <v>423</v>
      </c>
      <c r="BD286" s="482">
        <f t="shared" si="599"/>
        <v>423</v>
      </c>
      <c r="BE286" s="21">
        <f t="shared" si="599"/>
        <v>357</v>
      </c>
      <c r="BF286" s="21">
        <f t="shared" si="599"/>
        <v>345</v>
      </c>
      <c r="BG286" s="21">
        <f t="shared" si="599"/>
        <v>364</v>
      </c>
      <c r="BH286" s="21">
        <f t="shared" si="599"/>
        <v>412</v>
      </c>
      <c r="BI286" s="482">
        <f t="shared" si="599"/>
        <v>412</v>
      </c>
      <c r="BJ286" s="21">
        <f t="shared" ref="BJ286:BS286" si="600">BJ147</f>
        <v>388</v>
      </c>
      <c r="BK286" s="21">
        <f t="shared" si="600"/>
        <v>365</v>
      </c>
      <c r="BL286" s="21">
        <f t="shared" si="600"/>
        <v>390</v>
      </c>
      <c r="BM286" s="21">
        <f t="shared" si="600"/>
        <v>413</v>
      </c>
      <c r="BN286" s="482">
        <f t="shared" si="600"/>
        <v>413</v>
      </c>
      <c r="BO286" s="21">
        <f t="shared" si="600"/>
        <v>374</v>
      </c>
      <c r="BP286" s="21">
        <f t="shared" si="600"/>
        <v>359</v>
      </c>
      <c r="BQ286" s="21">
        <f t="shared" si="600"/>
        <v>388</v>
      </c>
      <c r="BR286" s="21">
        <f t="shared" si="600"/>
        <v>440</v>
      </c>
      <c r="BS286" s="482">
        <f t="shared" si="600"/>
        <v>440</v>
      </c>
      <c r="BT286" s="21">
        <f t="shared" ref="BT286:CR286" si="601">BT147</f>
        <v>385</v>
      </c>
      <c r="BU286" s="21">
        <f t="shared" si="601"/>
        <v>375</v>
      </c>
      <c r="BV286" s="21">
        <f t="shared" si="601"/>
        <v>397</v>
      </c>
      <c r="BW286" s="21">
        <f t="shared" si="601"/>
        <v>431</v>
      </c>
      <c r="BX286" s="482">
        <f t="shared" si="601"/>
        <v>431</v>
      </c>
      <c r="BY286" s="21">
        <f t="shared" si="601"/>
        <v>419</v>
      </c>
      <c r="BZ286" s="21">
        <f t="shared" si="601"/>
        <v>366</v>
      </c>
      <c r="CA286" s="21">
        <f t="shared" si="601"/>
        <v>436</v>
      </c>
      <c r="CB286" s="21">
        <f t="shared" si="601"/>
        <v>470.17827626918529</v>
      </c>
      <c r="CC286" s="482">
        <f>CC147</f>
        <v>470.17827626918529</v>
      </c>
      <c r="CD286" s="21">
        <f t="shared" ca="1" si="601"/>
        <v>378.09043927648577</v>
      </c>
      <c r="CE286" s="21">
        <f t="shared" ca="1" si="601"/>
        <v>383.45407503234151</v>
      </c>
      <c r="CF286" s="21">
        <f t="shared" ca="1" si="601"/>
        <v>394.2424623115578</v>
      </c>
      <c r="CG286" s="21">
        <f t="shared" ca="1" si="601"/>
        <v>425.94451003541906</v>
      </c>
      <c r="CH286" s="482">
        <f t="shared" ca="1" si="601"/>
        <v>425.94451003541906</v>
      </c>
      <c r="CI286" s="21">
        <f t="shared" ca="1" si="601"/>
        <v>401.26873385012919</v>
      </c>
      <c r="CJ286" s="21">
        <f t="shared" si="601"/>
        <v>885</v>
      </c>
      <c r="CK286" s="21">
        <f t="shared" ca="1" si="601"/>
        <v>384.87155763302212</v>
      </c>
      <c r="CL286" s="21">
        <f t="shared" ca="1" si="601"/>
        <v>420.95951062613619</v>
      </c>
      <c r="CM286" s="482">
        <f t="shared" ca="1" si="601"/>
        <v>420.95951062613619</v>
      </c>
      <c r="CN286" s="21">
        <f t="shared" ca="1" si="601"/>
        <v>427.43041839060345</v>
      </c>
      <c r="CO286" s="21">
        <f t="shared" si="601"/>
        <v>939.28473231011151</v>
      </c>
      <c r="CP286" s="21">
        <f t="shared" ca="1" si="601"/>
        <v>407.19983577550494</v>
      </c>
      <c r="CQ286" s="21">
        <f t="shared" ca="1" si="601"/>
        <v>430.55259247336585</v>
      </c>
      <c r="CR286" s="482">
        <f t="shared" ca="1" si="601"/>
        <v>430.55259247336585</v>
      </c>
      <c r="CS286" s="21">
        <f t="shared" ref="CS286:CV288" ca="1" si="602">CS147</f>
        <v>436.68751376790107</v>
      </c>
      <c r="CT286" s="21">
        <f t="shared" si="602"/>
        <v>960.15779236167918</v>
      </c>
      <c r="CU286" s="21">
        <f t="shared" ca="1" si="602"/>
        <v>416.04341293023202</v>
      </c>
      <c r="CV286" s="21">
        <f t="shared" ca="1" si="602"/>
        <v>439.56783856379025</v>
      </c>
      <c r="CW286" s="482">
        <f t="shared" ref="CW286:DG286" ca="1" si="603">CW147</f>
        <v>439.56783856379025</v>
      </c>
      <c r="CX286" s="21">
        <f t="shared" ca="1" si="603"/>
        <v>431.47534816678149</v>
      </c>
      <c r="CY286" s="21">
        <f t="shared" si="603"/>
        <v>967.27630855549182</v>
      </c>
      <c r="CZ286" s="21">
        <f t="shared" ca="1" si="603"/>
        <v>409.82728120950219</v>
      </c>
      <c r="DA286" s="21">
        <f t="shared" ca="1" si="603"/>
        <v>432.63949387394968</v>
      </c>
      <c r="DB286" s="482">
        <f t="shared" ca="1" si="603"/>
        <v>432.63949387394968</v>
      </c>
      <c r="DC286" s="21">
        <f t="shared" ca="1" si="603"/>
        <v>425.87175519358101</v>
      </c>
      <c r="DD286" s="21">
        <f t="shared" si="603"/>
        <v>974.33747657659592</v>
      </c>
      <c r="DE286" s="21">
        <f t="shared" ca="1" si="603"/>
        <v>403.18339872226869</v>
      </c>
      <c r="DF286" s="21">
        <f t="shared" ca="1" si="603"/>
        <v>425.26758204746437</v>
      </c>
      <c r="DG286" s="482">
        <f t="shared" ca="1" si="603"/>
        <v>425.26758204746437</v>
      </c>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c r="FC286"/>
      <c r="FD286"/>
      <c r="FE286"/>
      <c r="FF286"/>
      <c r="FG286"/>
      <c r="FH286"/>
      <c r="FI286"/>
      <c r="FJ286"/>
      <c r="FK286"/>
      <c r="FL286"/>
      <c r="FM286"/>
      <c r="FN286"/>
      <c r="FO286"/>
      <c r="FP286"/>
      <c r="FQ286"/>
      <c r="FR286"/>
      <c r="FS286"/>
      <c r="FT286"/>
      <c r="FU286"/>
      <c r="FV286"/>
      <c r="FW286"/>
      <c r="FX286"/>
      <c r="FY286"/>
      <c r="FZ286"/>
      <c r="GA286"/>
      <c r="GB286"/>
      <c r="GC286"/>
      <c r="GD286"/>
      <c r="GE286"/>
      <c r="GF286"/>
      <c r="GG286"/>
      <c r="GH286"/>
      <c r="GI286"/>
      <c r="GJ286"/>
      <c r="GK286"/>
      <c r="GL286"/>
      <c r="GM286"/>
      <c r="GN286"/>
      <c r="GO286"/>
      <c r="GP286"/>
      <c r="GQ286"/>
      <c r="GR286"/>
      <c r="GS286"/>
      <c r="GT286"/>
      <c r="GU286"/>
      <c r="GV286"/>
      <c r="GW286"/>
      <c r="GX286"/>
      <c r="GY286"/>
      <c r="GZ286"/>
      <c r="HA286"/>
      <c r="HB286"/>
      <c r="HC286"/>
      <c r="HD286"/>
      <c r="HE286"/>
      <c r="HF286"/>
      <c r="HG286"/>
      <c r="HH286"/>
      <c r="HI286"/>
      <c r="HJ286"/>
      <c r="HK286"/>
      <c r="HL286"/>
      <c r="HM286"/>
      <c r="HN286"/>
      <c r="HO286"/>
      <c r="HP286"/>
      <c r="HQ286"/>
      <c r="HR286"/>
    </row>
    <row r="287" spans="1:226" s="19" customFormat="1" x14ac:dyDescent="0.2">
      <c r="A287" s="19" t="s">
        <v>258</v>
      </c>
      <c r="B287" s="21"/>
      <c r="C287" s="21"/>
      <c r="D287" s="21"/>
      <c r="E287" s="21"/>
      <c r="F287" s="482"/>
      <c r="G287" s="21">
        <f t="shared" ref="G287:V288" si="604">G148</f>
        <v>420</v>
      </c>
      <c r="H287" s="21">
        <f t="shared" si="604"/>
        <v>439</v>
      </c>
      <c r="I287" s="21">
        <f t="shared" si="604"/>
        <v>455</v>
      </c>
      <c r="J287" s="21">
        <f t="shared" si="604"/>
        <v>510</v>
      </c>
      <c r="K287" s="482">
        <f t="shared" si="604"/>
        <v>510</v>
      </c>
      <c r="L287" s="21">
        <f t="shared" si="604"/>
        <v>450</v>
      </c>
      <c r="M287" s="21">
        <f t="shared" si="604"/>
        <v>460</v>
      </c>
      <c r="N287" s="21">
        <f t="shared" si="604"/>
        <v>509</v>
      </c>
      <c r="O287" s="21">
        <f t="shared" si="604"/>
        <v>537</v>
      </c>
      <c r="P287" s="482">
        <f t="shared" si="604"/>
        <v>537</v>
      </c>
      <c r="Q287" s="21">
        <f t="shared" si="604"/>
        <v>490</v>
      </c>
      <c r="R287" s="21">
        <f t="shared" si="604"/>
        <v>522</v>
      </c>
      <c r="S287" s="21">
        <f t="shared" si="604"/>
        <v>580</v>
      </c>
      <c r="T287" s="21">
        <f t="shared" si="604"/>
        <v>643</v>
      </c>
      <c r="U287" s="482">
        <f t="shared" si="604"/>
        <v>643</v>
      </c>
      <c r="V287" s="21">
        <f t="shared" si="604"/>
        <v>617</v>
      </c>
      <c r="W287" s="21">
        <f t="shared" si="599"/>
        <v>629</v>
      </c>
      <c r="X287" s="21">
        <f t="shared" si="599"/>
        <v>531</v>
      </c>
      <c r="Y287" s="21">
        <f t="shared" si="599"/>
        <v>614</v>
      </c>
      <c r="Z287" s="482">
        <f t="shared" si="599"/>
        <v>614</v>
      </c>
      <c r="AA287" s="21">
        <f t="shared" si="599"/>
        <v>404</v>
      </c>
      <c r="AB287" s="21">
        <f t="shared" si="599"/>
        <v>450</v>
      </c>
      <c r="AC287" s="21">
        <f t="shared" si="599"/>
        <v>437</v>
      </c>
      <c r="AD287" s="21">
        <f t="shared" si="599"/>
        <v>474</v>
      </c>
      <c r="AE287" s="482">
        <f t="shared" si="599"/>
        <v>474</v>
      </c>
      <c r="AF287" s="21">
        <f t="shared" si="599"/>
        <v>415</v>
      </c>
      <c r="AG287" s="21">
        <f t="shared" si="599"/>
        <v>435</v>
      </c>
      <c r="AH287" s="21">
        <f t="shared" si="599"/>
        <v>460</v>
      </c>
      <c r="AI287" s="21">
        <f t="shared" si="599"/>
        <v>507</v>
      </c>
      <c r="AJ287" s="482">
        <f t="shared" si="599"/>
        <v>507</v>
      </c>
      <c r="AK287" s="21">
        <f t="shared" si="599"/>
        <v>347</v>
      </c>
      <c r="AL287" s="21">
        <f t="shared" si="599"/>
        <v>389</v>
      </c>
      <c r="AM287" s="21">
        <f t="shared" si="599"/>
        <v>406</v>
      </c>
      <c r="AN287" s="21">
        <f t="shared" si="599"/>
        <v>440</v>
      </c>
      <c r="AO287" s="482">
        <f t="shared" si="599"/>
        <v>440</v>
      </c>
      <c r="AP287" s="21">
        <f t="shared" si="599"/>
        <v>367</v>
      </c>
      <c r="AQ287" s="21">
        <f t="shared" si="599"/>
        <v>430</v>
      </c>
      <c r="AR287" s="21">
        <f t="shared" si="599"/>
        <v>460</v>
      </c>
      <c r="AS287" s="21">
        <f t="shared" si="599"/>
        <v>472</v>
      </c>
      <c r="AT287" s="482">
        <f t="shared" si="599"/>
        <v>472</v>
      </c>
      <c r="AU287" s="21">
        <f t="shared" si="599"/>
        <v>405</v>
      </c>
      <c r="AV287" s="21">
        <f t="shared" si="599"/>
        <v>436</v>
      </c>
      <c r="AW287" s="21">
        <f t="shared" si="599"/>
        <v>478</v>
      </c>
      <c r="AX287" s="21">
        <f t="shared" si="599"/>
        <v>492</v>
      </c>
      <c r="AY287" s="482">
        <f t="shared" si="599"/>
        <v>492</v>
      </c>
      <c r="AZ287" s="21">
        <f t="shared" si="599"/>
        <v>425</v>
      </c>
      <c r="BA287" s="21">
        <f t="shared" si="599"/>
        <v>443</v>
      </c>
      <c r="BB287" s="21">
        <f t="shared" si="599"/>
        <v>452</v>
      </c>
      <c r="BC287" s="21">
        <f t="shared" si="599"/>
        <v>442</v>
      </c>
      <c r="BD287" s="482">
        <f t="shared" si="599"/>
        <v>442</v>
      </c>
      <c r="BE287" s="21">
        <f t="shared" si="599"/>
        <v>434</v>
      </c>
      <c r="BF287" s="21">
        <f t="shared" si="599"/>
        <v>438</v>
      </c>
      <c r="BG287" s="21">
        <f t="shared" si="599"/>
        <v>472</v>
      </c>
      <c r="BH287" s="21">
        <f t="shared" si="599"/>
        <v>494</v>
      </c>
      <c r="BI287" s="482">
        <f t="shared" si="599"/>
        <v>494</v>
      </c>
      <c r="BJ287" s="21">
        <f t="shared" ref="BJ287:BS287" si="605">BJ148</f>
        <v>458</v>
      </c>
      <c r="BK287" s="21">
        <f t="shared" si="605"/>
        <v>493</v>
      </c>
      <c r="BL287" s="21">
        <f t="shared" si="605"/>
        <v>503</v>
      </c>
      <c r="BM287" s="21">
        <f t="shared" si="605"/>
        <v>490</v>
      </c>
      <c r="BN287" s="482">
        <f t="shared" si="605"/>
        <v>490</v>
      </c>
      <c r="BO287" s="21">
        <f t="shared" si="605"/>
        <v>468</v>
      </c>
      <c r="BP287" s="21">
        <f t="shared" si="605"/>
        <v>480</v>
      </c>
      <c r="BQ287" s="21">
        <f t="shared" si="605"/>
        <v>481</v>
      </c>
      <c r="BR287" s="21">
        <f t="shared" si="605"/>
        <v>472</v>
      </c>
      <c r="BS287" s="482">
        <f t="shared" si="605"/>
        <v>472</v>
      </c>
      <c r="BT287" s="21">
        <f t="shared" ref="BT287:CR287" si="606">BT148</f>
        <v>478</v>
      </c>
      <c r="BU287" s="21">
        <f t="shared" si="606"/>
        <v>492</v>
      </c>
      <c r="BV287" s="21">
        <f t="shared" si="606"/>
        <v>533</v>
      </c>
      <c r="BW287" s="21">
        <f t="shared" si="606"/>
        <v>548</v>
      </c>
      <c r="BX287" s="482">
        <f t="shared" si="606"/>
        <v>548</v>
      </c>
      <c r="BY287" s="21">
        <f t="shared" si="606"/>
        <v>464</v>
      </c>
      <c r="BZ287" s="21">
        <f t="shared" si="606"/>
        <v>492</v>
      </c>
      <c r="CA287" s="21">
        <f t="shared" si="606"/>
        <v>519</v>
      </c>
      <c r="CB287" s="21">
        <f t="shared" si="606"/>
        <v>564.82172373081471</v>
      </c>
      <c r="CC287" s="482">
        <f>CC148</f>
        <v>564.82172373081471</v>
      </c>
      <c r="CD287" s="21">
        <f t="shared" ca="1" si="606"/>
        <v>495.90956072351423</v>
      </c>
      <c r="CE287" s="21">
        <f t="shared" ca="1" si="606"/>
        <v>494.54592496765849</v>
      </c>
      <c r="CF287" s="21">
        <f t="shared" ca="1" si="606"/>
        <v>553.7575376884422</v>
      </c>
      <c r="CG287" s="21">
        <f t="shared" ca="1" si="606"/>
        <v>579.05548996458094</v>
      </c>
      <c r="CH287" s="482">
        <f t="shared" ca="1" si="606"/>
        <v>579.05548996458094</v>
      </c>
      <c r="CI287" s="21">
        <f t="shared" ca="1" si="606"/>
        <v>510.73126614987081</v>
      </c>
      <c r="CJ287" s="21">
        <f t="shared" si="606"/>
        <v>0</v>
      </c>
      <c r="CK287" s="21">
        <f t="shared" ca="1" si="606"/>
        <v>579.49430954070317</v>
      </c>
      <c r="CL287" s="21">
        <f t="shared" ca="1" si="606"/>
        <v>613.5317106245202</v>
      </c>
      <c r="CM287" s="482">
        <f t="shared" ca="1" si="606"/>
        <v>613.5317106245202</v>
      </c>
      <c r="CN287" s="21">
        <f t="shared" ca="1" si="606"/>
        <v>544.02962493742677</v>
      </c>
      <c r="CO287" s="21">
        <f t="shared" si="606"/>
        <v>0</v>
      </c>
      <c r="CP287" s="21">
        <f t="shared" ca="1" si="606"/>
        <v>613.11360374105141</v>
      </c>
      <c r="CQ287" s="21">
        <f t="shared" ca="1" si="606"/>
        <v>627.51324511256985</v>
      </c>
      <c r="CR287" s="482">
        <f t="shared" ca="1" si="606"/>
        <v>627.51324511256985</v>
      </c>
      <c r="CS287" s="21">
        <f t="shared" ca="1" si="602"/>
        <v>555.81197338394986</v>
      </c>
      <c r="CT287" s="21">
        <f t="shared" si="602"/>
        <v>0</v>
      </c>
      <c r="CU287" s="21">
        <f t="shared" ca="1" si="602"/>
        <v>626.42922173232682</v>
      </c>
      <c r="CV287" s="21">
        <f t="shared" ca="1" si="602"/>
        <v>640.65260701303407</v>
      </c>
      <c r="CW287" s="482">
        <f t="shared" ref="CW287:DG287" ca="1" si="607">CW148</f>
        <v>640.65260701303407</v>
      </c>
      <c r="CX287" s="21">
        <f t="shared" ca="1" si="607"/>
        <v>567.90486997241101</v>
      </c>
      <c r="CY287" s="21">
        <f t="shared" si="607"/>
        <v>0</v>
      </c>
      <c r="CZ287" s="21">
        <f t="shared" ca="1" si="607"/>
        <v>640.09931065309786</v>
      </c>
      <c r="DA287" s="21">
        <f t="shared" ca="1" si="607"/>
        <v>654.13160986599564</v>
      </c>
      <c r="DB287" s="482">
        <f t="shared" ca="1" si="607"/>
        <v>654.13160986599564</v>
      </c>
      <c r="DC287" s="21">
        <f t="shared" ca="1" si="607"/>
        <v>580.31823267861455</v>
      </c>
      <c r="DD287" s="21">
        <f t="shared" si="607"/>
        <v>0</v>
      </c>
      <c r="DE287" s="21">
        <f t="shared" ca="1" si="607"/>
        <v>654.13532318914736</v>
      </c>
      <c r="DF287" s="21">
        <f t="shared" ca="1" si="607"/>
        <v>667.96103607827229</v>
      </c>
      <c r="DG287" s="482">
        <f t="shared" ca="1" si="607"/>
        <v>667.96103607827229</v>
      </c>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c r="FC287"/>
      <c r="FD287"/>
      <c r="FE287"/>
      <c r="FF287"/>
      <c r="FG287"/>
      <c r="FH287"/>
      <c r="FI287"/>
      <c r="FJ287"/>
      <c r="FK287"/>
      <c r="FL287"/>
      <c r="FM287"/>
      <c r="FN287"/>
      <c r="FO287"/>
      <c r="FP287"/>
      <c r="FQ287"/>
      <c r="FR287"/>
      <c r="FS287"/>
      <c r="FT287"/>
      <c r="FU287"/>
      <c r="FV287"/>
      <c r="FW287"/>
      <c r="FX287"/>
      <c r="FY287"/>
      <c r="FZ287"/>
      <c r="GA287"/>
      <c r="GB287"/>
      <c r="GC287"/>
      <c r="GD287"/>
      <c r="GE287"/>
      <c r="GF287"/>
      <c r="GG287"/>
      <c r="GH287"/>
      <c r="GI287"/>
      <c r="GJ287"/>
      <c r="GK287"/>
      <c r="GL287"/>
      <c r="GM287"/>
      <c r="GN287"/>
      <c r="GO287"/>
      <c r="GP287"/>
      <c r="GQ287"/>
      <c r="GR287"/>
      <c r="GS287"/>
      <c r="GT287"/>
      <c r="GU287"/>
      <c r="GV287"/>
      <c r="GW287"/>
      <c r="GX287"/>
      <c r="GY287"/>
      <c r="GZ287"/>
      <c r="HA287"/>
      <c r="HB287"/>
      <c r="HC287"/>
      <c r="HD287"/>
      <c r="HE287"/>
      <c r="HF287"/>
      <c r="HG287"/>
      <c r="HH287"/>
      <c r="HI287"/>
      <c r="HJ287"/>
      <c r="HK287"/>
      <c r="HL287"/>
      <c r="HM287"/>
      <c r="HN287"/>
      <c r="HO287"/>
      <c r="HP287"/>
      <c r="HQ287"/>
      <c r="HR287"/>
    </row>
    <row r="288" spans="1:226" s="19" customFormat="1" x14ac:dyDescent="0.2">
      <c r="A288" s="19" t="s">
        <v>259</v>
      </c>
      <c r="B288" s="21"/>
      <c r="C288" s="21"/>
      <c r="D288" s="21"/>
      <c r="E288" s="21"/>
      <c r="F288" s="482"/>
      <c r="G288" s="21">
        <f t="shared" si="604"/>
        <v>41</v>
      </c>
      <c r="H288" s="21">
        <f t="shared" si="599"/>
        <v>49</v>
      </c>
      <c r="I288" s="21">
        <f t="shared" si="599"/>
        <v>69</v>
      </c>
      <c r="J288" s="21">
        <f t="shared" si="599"/>
        <v>54</v>
      </c>
      <c r="K288" s="482">
        <f t="shared" si="599"/>
        <v>54</v>
      </c>
      <c r="L288" s="21">
        <f t="shared" si="599"/>
        <v>58</v>
      </c>
      <c r="M288" s="21">
        <f t="shared" si="599"/>
        <v>84</v>
      </c>
      <c r="N288" s="21">
        <f t="shared" si="599"/>
        <v>117</v>
      </c>
      <c r="O288" s="21">
        <f t="shared" si="599"/>
        <v>28</v>
      </c>
      <c r="P288" s="482">
        <f t="shared" si="599"/>
        <v>28</v>
      </c>
      <c r="Q288" s="21">
        <f t="shared" si="599"/>
        <v>2</v>
      </c>
      <c r="R288" s="21">
        <f t="shared" si="599"/>
        <v>22</v>
      </c>
      <c r="S288" s="21">
        <f t="shared" si="599"/>
        <v>41</v>
      </c>
      <c r="T288" s="21">
        <f t="shared" si="599"/>
        <v>24</v>
      </c>
      <c r="U288" s="482">
        <f t="shared" si="599"/>
        <v>24</v>
      </c>
      <c r="V288" s="21">
        <f t="shared" si="599"/>
        <v>18</v>
      </c>
      <c r="W288" s="21">
        <f t="shared" si="599"/>
        <v>0</v>
      </c>
      <c r="X288" s="21">
        <f t="shared" si="599"/>
        <v>33</v>
      </c>
      <c r="Y288" s="21">
        <f t="shared" si="599"/>
        <v>26</v>
      </c>
      <c r="Z288" s="482">
        <f t="shared" si="599"/>
        <v>26</v>
      </c>
      <c r="AA288" s="21">
        <f t="shared" si="599"/>
        <v>0</v>
      </c>
      <c r="AB288" s="21">
        <f t="shared" si="599"/>
        <v>24</v>
      </c>
      <c r="AC288" s="21">
        <f t="shared" si="599"/>
        <v>36</v>
      </c>
      <c r="AD288" s="21">
        <f t="shared" si="599"/>
        <v>19</v>
      </c>
      <c r="AE288" s="482">
        <f t="shared" si="599"/>
        <v>19</v>
      </c>
      <c r="AF288" s="21">
        <f t="shared" si="599"/>
        <v>26</v>
      </c>
      <c r="AG288" s="21">
        <f t="shared" si="599"/>
        <v>24</v>
      </c>
      <c r="AH288" s="21">
        <f t="shared" si="599"/>
        <v>24</v>
      </c>
      <c r="AI288" s="21">
        <f t="shared" si="599"/>
        <v>17</v>
      </c>
      <c r="AJ288" s="482">
        <f t="shared" si="599"/>
        <v>17</v>
      </c>
      <c r="AK288" s="21">
        <f t="shared" si="599"/>
        <v>116</v>
      </c>
      <c r="AL288" s="21">
        <f t="shared" si="599"/>
        <v>90</v>
      </c>
      <c r="AM288" s="21">
        <f t="shared" si="599"/>
        <v>70</v>
      </c>
      <c r="AN288" s="21">
        <f t="shared" si="599"/>
        <v>48</v>
      </c>
      <c r="AO288" s="482">
        <f t="shared" si="599"/>
        <v>48</v>
      </c>
      <c r="AP288" s="21">
        <f t="shared" si="599"/>
        <v>75</v>
      </c>
      <c r="AQ288" s="21">
        <f t="shared" si="599"/>
        <v>32</v>
      </c>
      <c r="AR288" s="21">
        <f t="shared" si="599"/>
        <v>65</v>
      </c>
      <c r="AS288" s="21">
        <f t="shared" si="599"/>
        <v>86</v>
      </c>
      <c r="AT288" s="482">
        <f t="shared" si="599"/>
        <v>86</v>
      </c>
      <c r="AU288" s="21">
        <f t="shared" si="599"/>
        <v>99</v>
      </c>
      <c r="AV288" s="21">
        <f t="shared" si="599"/>
        <v>35</v>
      </c>
      <c r="AW288" s="21">
        <f t="shared" si="599"/>
        <v>66</v>
      </c>
      <c r="AX288" s="21">
        <f t="shared" si="599"/>
        <v>74</v>
      </c>
      <c r="AY288" s="482">
        <f t="shared" si="599"/>
        <v>74</v>
      </c>
      <c r="AZ288" s="21">
        <f t="shared" si="599"/>
        <v>87</v>
      </c>
      <c r="BA288" s="21">
        <f t="shared" si="599"/>
        <v>104</v>
      </c>
      <c r="BB288" s="21">
        <f t="shared" si="599"/>
        <v>77</v>
      </c>
      <c r="BC288" s="21">
        <f t="shared" si="599"/>
        <v>41</v>
      </c>
      <c r="BD288" s="482">
        <f t="shared" si="599"/>
        <v>41</v>
      </c>
      <c r="BE288" s="21">
        <f t="shared" si="599"/>
        <v>37</v>
      </c>
      <c r="BF288" s="21">
        <f t="shared" si="599"/>
        <v>28</v>
      </c>
      <c r="BG288" s="21">
        <f t="shared" si="599"/>
        <v>15</v>
      </c>
      <c r="BH288" s="21">
        <f t="shared" si="599"/>
        <v>5</v>
      </c>
      <c r="BI288" s="482">
        <f t="shared" si="599"/>
        <v>5</v>
      </c>
      <c r="BJ288" s="21">
        <f t="shared" ref="BJ288:BS288" si="608">BJ149</f>
        <v>27</v>
      </c>
      <c r="BK288" s="21">
        <f t="shared" si="608"/>
        <v>10</v>
      </c>
      <c r="BL288" s="21">
        <f t="shared" si="608"/>
        <v>23</v>
      </c>
      <c r="BM288" s="21">
        <f t="shared" si="608"/>
        <v>29</v>
      </c>
      <c r="BN288" s="482">
        <f t="shared" si="608"/>
        <v>29</v>
      </c>
      <c r="BO288" s="21">
        <f t="shared" si="608"/>
        <v>42</v>
      </c>
      <c r="BP288" s="21">
        <f t="shared" si="608"/>
        <v>0</v>
      </c>
      <c r="BQ288" s="21">
        <f t="shared" si="608"/>
        <v>0</v>
      </c>
      <c r="BR288" s="21">
        <f t="shared" si="608"/>
        <v>8</v>
      </c>
      <c r="BS288" s="482">
        <f t="shared" si="608"/>
        <v>8</v>
      </c>
      <c r="BT288" s="21">
        <f t="shared" ref="BT288:CR288" si="609">BT149</f>
        <v>42</v>
      </c>
      <c r="BU288" s="21">
        <f t="shared" si="609"/>
        <v>0</v>
      </c>
      <c r="BV288" s="21">
        <f t="shared" si="609"/>
        <v>0</v>
      </c>
      <c r="BW288" s="21">
        <f t="shared" si="609"/>
        <v>31</v>
      </c>
      <c r="BX288" s="482">
        <f t="shared" si="609"/>
        <v>31</v>
      </c>
      <c r="BY288" s="21">
        <f t="shared" si="609"/>
        <v>37</v>
      </c>
      <c r="BZ288" s="21">
        <f t="shared" si="609"/>
        <v>0</v>
      </c>
      <c r="CA288" s="21">
        <f t="shared" si="609"/>
        <v>0</v>
      </c>
      <c r="CB288" s="21">
        <f t="shared" si="609"/>
        <v>0</v>
      </c>
      <c r="CC288" s="482">
        <f t="shared" si="609"/>
        <v>0</v>
      </c>
      <c r="CD288" s="21">
        <f t="shared" si="609"/>
        <v>30</v>
      </c>
      <c r="CE288" s="21">
        <f t="shared" ca="1" si="609"/>
        <v>0</v>
      </c>
      <c r="CF288" s="21">
        <f t="shared" ca="1" si="609"/>
        <v>0</v>
      </c>
      <c r="CG288" s="21">
        <f t="shared" si="609"/>
        <v>0</v>
      </c>
      <c r="CH288" s="482">
        <f t="shared" si="609"/>
        <v>0</v>
      </c>
      <c r="CI288" s="21">
        <f t="shared" si="609"/>
        <v>51</v>
      </c>
      <c r="CJ288" s="21">
        <f t="shared" si="609"/>
        <v>0</v>
      </c>
      <c r="CK288" s="21">
        <f t="shared" ca="1" si="609"/>
        <v>0</v>
      </c>
      <c r="CL288" s="21">
        <f t="shared" ca="1" si="609"/>
        <v>0</v>
      </c>
      <c r="CM288" s="482">
        <f t="shared" ca="1" si="609"/>
        <v>0</v>
      </c>
      <c r="CN288" s="21">
        <f t="shared" si="609"/>
        <v>53.836826137415954</v>
      </c>
      <c r="CO288" s="21">
        <f t="shared" si="609"/>
        <v>0</v>
      </c>
      <c r="CP288" s="21">
        <f t="shared" ca="1" si="609"/>
        <v>0</v>
      </c>
      <c r="CQ288" s="21">
        <f t="shared" ca="1" si="609"/>
        <v>0</v>
      </c>
      <c r="CR288" s="482">
        <f t="shared" ca="1" si="609"/>
        <v>0</v>
      </c>
      <c r="CS288" s="21">
        <f t="shared" si="602"/>
        <v>55.10184451359968</v>
      </c>
      <c r="CT288" s="21">
        <f t="shared" si="602"/>
        <v>0</v>
      </c>
      <c r="CU288" s="21">
        <f t="shared" ca="1" si="602"/>
        <v>0</v>
      </c>
      <c r="CV288" s="21">
        <f t="shared" ca="1" si="602"/>
        <v>0</v>
      </c>
      <c r="CW288" s="482">
        <f t="shared" ref="CW288:DG288" ca="1" si="610">CW149</f>
        <v>0</v>
      </c>
      <c r="CX288" s="21">
        <f t="shared" si="610"/>
        <v>56.402269521711659</v>
      </c>
      <c r="CY288" s="21">
        <f t="shared" si="610"/>
        <v>0</v>
      </c>
      <c r="CZ288" s="21">
        <f t="shared" ca="1" si="610"/>
        <v>0</v>
      </c>
      <c r="DA288" s="21">
        <f t="shared" ca="1" si="610"/>
        <v>0</v>
      </c>
      <c r="DB288" s="482">
        <f t="shared" ca="1" si="610"/>
        <v>0</v>
      </c>
      <c r="DC288" s="21">
        <f t="shared" si="610"/>
        <v>57.739279923263673</v>
      </c>
      <c r="DD288" s="21">
        <f t="shared" si="610"/>
        <v>0</v>
      </c>
      <c r="DE288" s="21">
        <f t="shared" ca="1" si="610"/>
        <v>0</v>
      </c>
      <c r="DF288" s="21">
        <f t="shared" ca="1" si="610"/>
        <v>0</v>
      </c>
      <c r="DG288" s="482">
        <f t="shared" ca="1" si="610"/>
        <v>0</v>
      </c>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c r="FC288"/>
      <c r="FD288"/>
      <c r="FE288"/>
      <c r="FF288"/>
      <c r="FG288"/>
      <c r="FH288"/>
      <c r="FI288"/>
      <c r="FJ288"/>
      <c r="FK288"/>
      <c r="FL288"/>
      <c r="FM288"/>
      <c r="FN288"/>
      <c r="FO288"/>
      <c r="FP288"/>
      <c r="FQ288"/>
      <c r="FR288"/>
      <c r="FS288"/>
      <c r="FT288"/>
      <c r="FU288"/>
      <c r="FV288"/>
      <c r="FW288"/>
      <c r="FX288"/>
      <c r="FY288"/>
      <c r="FZ288"/>
      <c r="GA288"/>
      <c r="GB288"/>
      <c r="GC288"/>
      <c r="GD288"/>
      <c r="GE288"/>
      <c r="GF288"/>
      <c r="GG288"/>
      <c r="GH288"/>
      <c r="GI288"/>
      <c r="GJ288"/>
      <c r="GK288"/>
      <c r="GL288"/>
      <c r="GM288"/>
      <c r="GN288"/>
      <c r="GO288"/>
      <c r="GP288"/>
      <c r="GQ288"/>
      <c r="GR288"/>
      <c r="GS288"/>
      <c r="GT288"/>
      <c r="GU288"/>
      <c r="GV288"/>
      <c r="GW288"/>
      <c r="GX288"/>
      <c r="GY288"/>
      <c r="GZ288"/>
      <c r="HA288"/>
      <c r="HB288"/>
      <c r="HC288"/>
      <c r="HD288"/>
      <c r="HE288"/>
      <c r="HF288"/>
      <c r="HG288"/>
      <c r="HH288"/>
      <c r="HI288"/>
      <c r="HJ288"/>
      <c r="HK288"/>
      <c r="HL288"/>
      <c r="HM288"/>
      <c r="HN288"/>
      <c r="HO288"/>
      <c r="HP288"/>
      <c r="HQ288"/>
      <c r="HR288"/>
    </row>
    <row r="289" spans="1:226" s="19" customFormat="1" x14ac:dyDescent="0.2">
      <c r="A289" s="19" t="s">
        <v>260</v>
      </c>
      <c r="B289" s="21"/>
      <c r="C289" s="21"/>
      <c r="D289" s="21"/>
      <c r="E289" s="21"/>
      <c r="F289" s="482"/>
      <c r="G289" s="21">
        <f>G153</f>
        <v>212</v>
      </c>
      <c r="H289" s="21">
        <f t="shared" ref="H289:BI289" si="611">H153</f>
        <v>232</v>
      </c>
      <c r="I289" s="21">
        <f t="shared" si="611"/>
        <v>240</v>
      </c>
      <c r="J289" s="21">
        <f t="shared" si="611"/>
        <v>231</v>
      </c>
      <c r="K289" s="482">
        <f t="shared" si="611"/>
        <v>231</v>
      </c>
      <c r="L289" s="21">
        <f t="shared" si="611"/>
        <v>232</v>
      </c>
      <c r="M289" s="21">
        <f t="shared" si="611"/>
        <v>235</v>
      </c>
      <c r="N289" s="21">
        <f t="shared" si="611"/>
        <v>335</v>
      </c>
      <c r="O289" s="21">
        <f t="shared" si="611"/>
        <v>376</v>
      </c>
      <c r="P289" s="482">
        <f t="shared" si="611"/>
        <v>376</v>
      </c>
      <c r="Q289" s="21">
        <f t="shared" si="611"/>
        <v>361</v>
      </c>
      <c r="R289" s="21">
        <f t="shared" si="611"/>
        <v>373</v>
      </c>
      <c r="S289" s="21">
        <f t="shared" si="611"/>
        <v>372</v>
      </c>
      <c r="T289" s="21">
        <f t="shared" si="611"/>
        <v>377</v>
      </c>
      <c r="U289" s="482">
        <f t="shared" si="611"/>
        <v>377</v>
      </c>
      <c r="V289" s="21">
        <f t="shared" si="611"/>
        <v>385</v>
      </c>
      <c r="W289" s="21">
        <f t="shared" si="611"/>
        <v>390</v>
      </c>
      <c r="X289" s="21">
        <f t="shared" si="611"/>
        <v>531</v>
      </c>
      <c r="Y289" s="21">
        <f t="shared" si="611"/>
        <v>618</v>
      </c>
      <c r="Z289" s="482">
        <f t="shared" si="611"/>
        <v>618</v>
      </c>
      <c r="AA289" s="21">
        <f t="shared" si="611"/>
        <v>624</v>
      </c>
      <c r="AB289" s="21">
        <f t="shared" si="611"/>
        <v>631</v>
      </c>
      <c r="AC289" s="21">
        <f t="shared" si="611"/>
        <v>638</v>
      </c>
      <c r="AD289" s="21">
        <f t="shared" si="611"/>
        <v>547</v>
      </c>
      <c r="AE289" s="482">
        <f t="shared" si="611"/>
        <v>547</v>
      </c>
      <c r="AF289" s="21">
        <f t="shared" si="611"/>
        <v>549</v>
      </c>
      <c r="AG289" s="21">
        <f t="shared" si="611"/>
        <v>562</v>
      </c>
      <c r="AH289" s="21">
        <f t="shared" si="611"/>
        <v>556</v>
      </c>
      <c r="AI289" s="21">
        <f t="shared" si="611"/>
        <v>516</v>
      </c>
      <c r="AJ289" s="482">
        <f t="shared" si="611"/>
        <v>516</v>
      </c>
      <c r="AK289" s="21">
        <f t="shared" si="611"/>
        <v>592</v>
      </c>
      <c r="AL289" s="21">
        <f t="shared" si="611"/>
        <v>596</v>
      </c>
      <c r="AM289" s="21">
        <f t="shared" si="611"/>
        <v>596</v>
      </c>
      <c r="AN289" s="21">
        <f t="shared" si="611"/>
        <v>600</v>
      </c>
      <c r="AO289" s="482">
        <f t="shared" si="611"/>
        <v>600</v>
      </c>
      <c r="AP289" s="21">
        <f t="shared" si="611"/>
        <v>595</v>
      </c>
      <c r="AQ289" s="21">
        <f t="shared" si="611"/>
        <v>587</v>
      </c>
      <c r="AR289" s="21">
        <f t="shared" si="611"/>
        <v>581</v>
      </c>
      <c r="AS289" s="21">
        <f t="shared" si="611"/>
        <v>640</v>
      </c>
      <c r="AT289" s="482">
        <f t="shared" si="611"/>
        <v>640</v>
      </c>
      <c r="AU289" s="21">
        <f t="shared" si="611"/>
        <v>617</v>
      </c>
      <c r="AV289" s="21">
        <f t="shared" si="611"/>
        <v>626</v>
      </c>
      <c r="AW289" s="21">
        <f t="shared" si="611"/>
        <v>610</v>
      </c>
      <c r="AX289" s="21">
        <f t="shared" si="611"/>
        <v>677</v>
      </c>
      <c r="AY289" s="482">
        <f t="shared" si="611"/>
        <v>677</v>
      </c>
      <c r="AZ289" s="21">
        <f t="shared" si="611"/>
        <v>669</v>
      </c>
      <c r="BA289" s="21">
        <f t="shared" si="611"/>
        <v>704</v>
      </c>
      <c r="BB289" s="21">
        <f t="shared" si="611"/>
        <v>715</v>
      </c>
      <c r="BC289" s="21">
        <f t="shared" si="611"/>
        <v>619</v>
      </c>
      <c r="BD289" s="482">
        <f t="shared" si="611"/>
        <v>619</v>
      </c>
      <c r="BE289" s="21">
        <f t="shared" si="611"/>
        <v>626</v>
      </c>
      <c r="BF289" s="21">
        <f t="shared" si="611"/>
        <v>641</v>
      </c>
      <c r="BG289" s="21">
        <f t="shared" si="611"/>
        <v>634</v>
      </c>
      <c r="BH289" s="21">
        <f t="shared" si="611"/>
        <v>739</v>
      </c>
      <c r="BI289" s="482">
        <f t="shared" si="611"/>
        <v>739</v>
      </c>
      <c r="BJ289" s="21">
        <f t="shared" ref="BJ289:BS289" si="612">BJ153</f>
        <v>738</v>
      </c>
      <c r="BK289" s="21">
        <f t="shared" si="612"/>
        <v>788</v>
      </c>
      <c r="BL289" s="21">
        <f t="shared" si="612"/>
        <v>787</v>
      </c>
      <c r="BM289" s="21">
        <f t="shared" si="612"/>
        <v>742</v>
      </c>
      <c r="BN289" s="482">
        <f t="shared" si="612"/>
        <v>742</v>
      </c>
      <c r="BO289" s="21">
        <f t="shared" si="612"/>
        <v>762</v>
      </c>
      <c r="BP289" s="21">
        <f t="shared" si="612"/>
        <v>765</v>
      </c>
      <c r="BQ289" s="21">
        <f t="shared" si="612"/>
        <v>764</v>
      </c>
      <c r="BR289" s="21">
        <f t="shared" si="612"/>
        <v>768</v>
      </c>
      <c r="BS289" s="482">
        <f t="shared" si="612"/>
        <v>768</v>
      </c>
      <c r="BT289" s="21">
        <f t="shared" ref="BT289:CR289" si="613">BT153</f>
        <v>762</v>
      </c>
      <c r="BU289" s="21">
        <f t="shared" si="613"/>
        <v>773</v>
      </c>
      <c r="BV289" s="21">
        <f t="shared" si="613"/>
        <v>733</v>
      </c>
      <c r="BW289" s="21">
        <f t="shared" si="613"/>
        <v>750</v>
      </c>
      <c r="BX289" s="482">
        <f t="shared" si="613"/>
        <v>750</v>
      </c>
      <c r="BY289" s="21">
        <f t="shared" si="613"/>
        <v>741</v>
      </c>
      <c r="BZ289" s="21">
        <f t="shared" si="613"/>
        <v>740</v>
      </c>
      <c r="CA289" s="21">
        <f t="shared" si="613"/>
        <v>735</v>
      </c>
      <c r="CB289" s="21">
        <f t="shared" si="613"/>
        <v>784</v>
      </c>
      <c r="CC289" s="482">
        <f>CC153</f>
        <v>784</v>
      </c>
      <c r="CD289" s="21">
        <f t="shared" si="613"/>
        <v>783</v>
      </c>
      <c r="CE289" s="21">
        <f t="shared" si="613"/>
        <v>794</v>
      </c>
      <c r="CF289" s="21">
        <f t="shared" si="613"/>
        <v>788</v>
      </c>
      <c r="CG289" s="21">
        <f t="shared" si="613"/>
        <v>770</v>
      </c>
      <c r="CH289" s="482">
        <f t="shared" si="613"/>
        <v>770</v>
      </c>
      <c r="CI289" s="21">
        <f t="shared" si="613"/>
        <v>783</v>
      </c>
      <c r="CJ289" s="21">
        <f t="shared" si="613"/>
        <v>791</v>
      </c>
      <c r="CK289" s="21">
        <f t="shared" si="613"/>
        <v>807.32131419713323</v>
      </c>
      <c r="CL289" s="21">
        <f t="shared" ca="1" si="613"/>
        <v>808.52422041333955</v>
      </c>
      <c r="CM289" s="482">
        <f t="shared" ca="1" si="613"/>
        <v>808.52422041333955</v>
      </c>
      <c r="CN289" s="21">
        <f t="shared" si="613"/>
        <v>826.55362481562133</v>
      </c>
      <c r="CO289" s="21">
        <f t="shared" si="613"/>
        <v>845.45278053537538</v>
      </c>
      <c r="CP289" s="21">
        <f t="shared" si="613"/>
        <v>863.21394327888311</v>
      </c>
      <c r="CQ289" s="21">
        <f t="shared" ca="1" si="613"/>
        <v>832.15673781845021</v>
      </c>
      <c r="CR289" s="482">
        <f t="shared" ca="1" si="613"/>
        <v>832.15673781845021</v>
      </c>
      <c r="CS289" s="21">
        <f t="shared" ref="CS289:CV290" si="614">CS153</f>
        <v>845.97537753232439</v>
      </c>
      <c r="CT289" s="21">
        <f t="shared" si="614"/>
        <v>865.77053849845038</v>
      </c>
      <c r="CU289" s="21">
        <f t="shared" si="614"/>
        <v>883.52246513266164</v>
      </c>
      <c r="CV289" s="21">
        <f t="shared" ca="1" si="614"/>
        <v>851.16207689763291</v>
      </c>
      <c r="CW289" s="482">
        <f t="shared" ref="CW289:DG289" ca="1" si="615">CW153</f>
        <v>851.16207689763291</v>
      </c>
      <c r="CX289" s="21">
        <f t="shared" si="615"/>
        <v>865.94072618627899</v>
      </c>
      <c r="CY289" s="21">
        <f t="shared" si="615"/>
        <v>886.67234329408666</v>
      </c>
      <c r="CZ289" s="21">
        <f t="shared" si="615"/>
        <v>904.40384954514786</v>
      </c>
      <c r="DA289" s="21">
        <f t="shared" ca="1" si="615"/>
        <v>870.69048646717977</v>
      </c>
      <c r="DB289" s="482">
        <f t="shared" ca="1" si="615"/>
        <v>870.69048646717977</v>
      </c>
      <c r="DC289" s="21">
        <f t="shared" si="615"/>
        <v>886.46776823363643</v>
      </c>
      <c r="DD289" s="21">
        <f t="shared" si="615"/>
        <v>908.17808453057103</v>
      </c>
      <c r="DE289" s="21">
        <f t="shared" si="615"/>
        <v>925.87735989099701</v>
      </c>
      <c r="DF289" s="21">
        <f t="shared" ca="1" si="615"/>
        <v>890.75928369926623</v>
      </c>
      <c r="DG289" s="482">
        <f t="shared" ca="1" si="615"/>
        <v>890.75928369926623</v>
      </c>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c r="FC289"/>
      <c r="FD289"/>
      <c r="FE289"/>
      <c r="FF289"/>
      <c r="FG289"/>
      <c r="FH289"/>
      <c r="FI289"/>
      <c r="FJ289"/>
      <c r="FK289"/>
      <c r="FL289"/>
      <c r="FM289"/>
      <c r="FN289"/>
      <c r="FO289"/>
      <c r="FP289"/>
      <c r="FQ289"/>
      <c r="FR289"/>
      <c r="FS289"/>
      <c r="FT289"/>
      <c r="FU289"/>
      <c r="FV289"/>
      <c r="FW289"/>
      <c r="FX289"/>
      <c r="FY289"/>
      <c r="FZ289"/>
      <c r="GA289"/>
      <c r="GB289"/>
      <c r="GC289"/>
      <c r="GD289"/>
      <c r="GE289"/>
      <c r="GF289"/>
      <c r="GG289"/>
      <c r="GH289"/>
      <c r="GI289"/>
      <c r="GJ289"/>
      <c r="GK289"/>
      <c r="GL289"/>
      <c r="GM289"/>
      <c r="GN289"/>
      <c r="GO289"/>
      <c r="GP289"/>
      <c r="GQ289"/>
      <c r="GR289"/>
      <c r="GS289"/>
      <c r="GT289"/>
      <c r="GU289"/>
      <c r="GV289"/>
      <c r="GW289"/>
      <c r="GX289"/>
      <c r="GY289"/>
      <c r="GZ289"/>
      <c r="HA289"/>
      <c r="HB289"/>
      <c r="HC289"/>
      <c r="HD289"/>
      <c r="HE289"/>
      <c r="HF289"/>
      <c r="HG289"/>
      <c r="HH289"/>
      <c r="HI289"/>
      <c r="HJ289"/>
      <c r="HK289"/>
      <c r="HL289"/>
      <c r="HM289"/>
      <c r="HN289"/>
      <c r="HO289"/>
      <c r="HP289"/>
      <c r="HQ289"/>
      <c r="HR289"/>
    </row>
    <row r="290" spans="1:226" s="19" customFormat="1" x14ac:dyDescent="0.2">
      <c r="A290" s="19" t="s">
        <v>261</v>
      </c>
      <c r="B290" s="21"/>
      <c r="C290" s="21"/>
      <c r="D290" s="21"/>
      <c r="E290" s="21"/>
      <c r="F290" s="482"/>
      <c r="G290" s="21">
        <f>G154</f>
        <v>125</v>
      </c>
      <c r="H290" s="21">
        <f t="shared" ref="H290:BI290" si="616">H154</f>
        <v>128</v>
      </c>
      <c r="I290" s="21">
        <f t="shared" si="616"/>
        <v>116</v>
      </c>
      <c r="J290" s="21">
        <f t="shared" si="616"/>
        <v>142</v>
      </c>
      <c r="K290" s="482">
        <f t="shared" si="616"/>
        <v>142</v>
      </c>
      <c r="L290" s="21">
        <f t="shared" si="616"/>
        <v>141</v>
      </c>
      <c r="M290" s="21">
        <f t="shared" si="616"/>
        <v>123</v>
      </c>
      <c r="N290" s="21">
        <f t="shared" si="616"/>
        <v>122</v>
      </c>
      <c r="O290" s="21">
        <f t="shared" si="616"/>
        <v>115</v>
      </c>
      <c r="P290" s="482">
        <f t="shared" si="616"/>
        <v>115</v>
      </c>
      <c r="Q290" s="21">
        <f t="shared" si="616"/>
        <v>118</v>
      </c>
      <c r="R290" s="21">
        <f t="shared" si="616"/>
        <v>118</v>
      </c>
      <c r="S290" s="21">
        <f t="shared" si="616"/>
        <v>111</v>
      </c>
      <c r="T290" s="21">
        <f t="shared" si="616"/>
        <v>174</v>
      </c>
      <c r="U290" s="482">
        <f t="shared" si="616"/>
        <v>174</v>
      </c>
      <c r="V290" s="21">
        <f t="shared" si="616"/>
        <v>174</v>
      </c>
      <c r="W290" s="21">
        <f t="shared" si="616"/>
        <v>184</v>
      </c>
      <c r="X290" s="21">
        <f t="shared" si="616"/>
        <v>162</v>
      </c>
      <c r="Y290" s="21">
        <f t="shared" si="616"/>
        <v>82</v>
      </c>
      <c r="Z290" s="482">
        <f t="shared" si="616"/>
        <v>82</v>
      </c>
      <c r="AA290" s="21">
        <f t="shared" si="616"/>
        <v>86</v>
      </c>
      <c r="AB290" s="21">
        <f t="shared" si="616"/>
        <v>73</v>
      </c>
      <c r="AC290" s="21">
        <f t="shared" si="616"/>
        <v>67</v>
      </c>
      <c r="AD290" s="21">
        <f t="shared" si="616"/>
        <v>129</v>
      </c>
      <c r="AE290" s="482">
        <f t="shared" si="616"/>
        <v>129</v>
      </c>
      <c r="AF290" s="21">
        <f t="shared" si="616"/>
        <v>120</v>
      </c>
      <c r="AG290" s="21">
        <f t="shared" si="616"/>
        <v>112</v>
      </c>
      <c r="AH290" s="21">
        <f t="shared" si="616"/>
        <v>97</v>
      </c>
      <c r="AI290" s="21">
        <f t="shared" si="616"/>
        <v>5</v>
      </c>
      <c r="AJ290" s="482">
        <f t="shared" si="616"/>
        <v>5</v>
      </c>
      <c r="AK290" s="21">
        <f t="shared" si="616"/>
        <v>88</v>
      </c>
      <c r="AL290" s="21">
        <f t="shared" si="616"/>
        <v>257</v>
      </c>
      <c r="AM290" s="21">
        <f t="shared" si="616"/>
        <v>130</v>
      </c>
      <c r="AN290" s="21">
        <f t="shared" si="616"/>
        <v>97</v>
      </c>
      <c r="AO290" s="482">
        <f t="shared" si="616"/>
        <v>97</v>
      </c>
      <c r="AP290" s="21">
        <f t="shared" si="616"/>
        <v>75</v>
      </c>
      <c r="AQ290" s="21">
        <f t="shared" si="616"/>
        <v>66</v>
      </c>
      <c r="AR290" s="21">
        <f t="shared" si="616"/>
        <v>74</v>
      </c>
      <c r="AS290" s="21">
        <f t="shared" si="616"/>
        <v>23</v>
      </c>
      <c r="AT290" s="482">
        <f t="shared" si="616"/>
        <v>23</v>
      </c>
      <c r="AU290" s="21">
        <f t="shared" si="616"/>
        <v>25</v>
      </c>
      <c r="AV290" s="21">
        <f t="shared" si="616"/>
        <v>29</v>
      </c>
      <c r="AW290" s="21">
        <f t="shared" si="616"/>
        <v>49</v>
      </c>
      <c r="AX290" s="21">
        <f t="shared" si="616"/>
        <v>24</v>
      </c>
      <c r="AY290" s="482">
        <f t="shared" si="616"/>
        <v>24</v>
      </c>
      <c r="AZ290" s="21">
        <f t="shared" si="616"/>
        <v>24</v>
      </c>
      <c r="BA290" s="21">
        <f t="shared" si="616"/>
        <v>29</v>
      </c>
      <c r="BB290" s="21">
        <f t="shared" si="616"/>
        <v>61</v>
      </c>
      <c r="BC290" s="21">
        <f t="shared" si="616"/>
        <v>140</v>
      </c>
      <c r="BD290" s="482">
        <f t="shared" si="616"/>
        <v>140</v>
      </c>
      <c r="BE290" s="21">
        <f t="shared" si="616"/>
        <v>137</v>
      </c>
      <c r="BF290" s="21">
        <f t="shared" si="616"/>
        <v>141</v>
      </c>
      <c r="BG290" s="21">
        <f t="shared" si="616"/>
        <v>157</v>
      </c>
      <c r="BH290" s="21">
        <f t="shared" si="616"/>
        <v>119</v>
      </c>
      <c r="BI290" s="482">
        <f t="shared" si="616"/>
        <v>119</v>
      </c>
      <c r="BJ290" s="21">
        <f t="shared" ref="BJ290:BS290" si="617">BJ154</f>
        <v>135</v>
      </c>
      <c r="BK290" s="21">
        <f t="shared" si="617"/>
        <v>116</v>
      </c>
      <c r="BL290" s="21">
        <f t="shared" si="617"/>
        <v>107</v>
      </c>
      <c r="BM290" s="21">
        <f t="shared" si="617"/>
        <v>119</v>
      </c>
      <c r="BN290" s="482">
        <f t="shared" si="617"/>
        <v>119</v>
      </c>
      <c r="BO290" s="21">
        <f t="shared" si="617"/>
        <v>118</v>
      </c>
      <c r="BP290" s="21">
        <f t="shared" si="617"/>
        <v>116</v>
      </c>
      <c r="BQ290" s="21">
        <f t="shared" si="617"/>
        <v>124</v>
      </c>
      <c r="BR290" s="21">
        <f t="shared" si="617"/>
        <v>103</v>
      </c>
      <c r="BS290" s="482">
        <f t="shared" si="617"/>
        <v>103</v>
      </c>
      <c r="BT290" s="21">
        <f t="shared" ref="BT290:CR290" si="618">BT154</f>
        <v>90</v>
      </c>
      <c r="BU290" s="21">
        <f t="shared" si="618"/>
        <v>81</v>
      </c>
      <c r="BV290" s="21">
        <f t="shared" si="618"/>
        <v>97</v>
      </c>
      <c r="BW290" s="21">
        <f t="shared" si="618"/>
        <v>95</v>
      </c>
      <c r="BX290" s="482">
        <f t="shared" si="618"/>
        <v>95</v>
      </c>
      <c r="BY290" s="21">
        <f t="shared" si="618"/>
        <v>88</v>
      </c>
      <c r="BZ290" s="21">
        <f t="shared" si="618"/>
        <v>83</v>
      </c>
      <c r="CA290" s="21">
        <f t="shared" si="618"/>
        <v>107</v>
      </c>
      <c r="CB290" s="21">
        <f t="shared" si="618"/>
        <v>82</v>
      </c>
      <c r="CC290" s="482">
        <f t="shared" si="618"/>
        <v>82</v>
      </c>
      <c r="CD290" s="21">
        <f t="shared" si="618"/>
        <v>83</v>
      </c>
      <c r="CE290" s="21">
        <f t="shared" si="618"/>
        <v>77</v>
      </c>
      <c r="CF290" s="21">
        <f t="shared" si="618"/>
        <v>49</v>
      </c>
      <c r="CG290" s="21">
        <f t="shared" si="618"/>
        <v>61</v>
      </c>
      <c r="CH290" s="482">
        <f t="shared" si="618"/>
        <v>61</v>
      </c>
      <c r="CI290" s="21">
        <f t="shared" si="618"/>
        <v>62</v>
      </c>
      <c r="CJ290" s="21">
        <f t="shared" si="618"/>
        <v>39</v>
      </c>
      <c r="CK290" s="21">
        <f t="shared" si="618"/>
        <v>50.201452278755752</v>
      </c>
      <c r="CL290" s="21">
        <f t="shared" ca="1" si="618"/>
        <v>64.051918760017813</v>
      </c>
      <c r="CM290" s="482">
        <f t="shared" ca="1" si="618"/>
        <v>64.051918760017813</v>
      </c>
      <c r="CN290" s="21">
        <f t="shared" si="618"/>
        <v>65.448690598427234</v>
      </c>
      <c r="CO290" s="21">
        <f t="shared" si="618"/>
        <v>41.684776789986898</v>
      </c>
      <c r="CP290" s="21">
        <f t="shared" si="618"/>
        <v>53.6770091632808</v>
      </c>
      <c r="CQ290" s="21">
        <f t="shared" ca="1" si="618"/>
        <v>65.9241052037993</v>
      </c>
      <c r="CR290" s="482">
        <f t="shared" ca="1" si="618"/>
        <v>65.9241052037993</v>
      </c>
      <c r="CS290" s="21">
        <f t="shared" si="614"/>
        <v>66.986556075356461</v>
      </c>
      <c r="CT290" s="21">
        <f t="shared" si="614"/>
        <v>42.686537296383769</v>
      </c>
      <c r="CU290" s="21">
        <f t="shared" si="614"/>
        <v>54.939848720178198</v>
      </c>
      <c r="CV290" s="21">
        <f t="shared" ca="1" si="614"/>
        <v>67.42972297500728</v>
      </c>
      <c r="CW290" s="482">
        <f t="shared" ref="CW290:DG290" ca="1" si="619">CW154</f>
        <v>67.42972297500728</v>
      </c>
      <c r="CX290" s="21">
        <f t="shared" si="619"/>
        <v>68.56746490874751</v>
      </c>
      <c r="CY290" s="21">
        <f t="shared" si="619"/>
        <v>43.717094043576964</v>
      </c>
      <c r="CZ290" s="21">
        <f t="shared" si="619"/>
        <v>56.238310441259195</v>
      </c>
      <c r="DA290" s="21">
        <f t="shared" ca="1" si="619"/>
        <v>68.97677879804931</v>
      </c>
      <c r="DB290" s="482">
        <f t="shared" ca="1" si="619"/>
        <v>68.97677879804931</v>
      </c>
      <c r="DC290" s="21">
        <f t="shared" si="619"/>
        <v>70.192850102791127</v>
      </c>
      <c r="DD290" s="21">
        <f t="shared" si="619"/>
        <v>44.777427682291112</v>
      </c>
      <c r="DE290" s="21">
        <f t="shared" si="619"/>
        <v>57.573592175963014</v>
      </c>
      <c r="DF290" s="21">
        <f t="shared" ca="1" si="619"/>
        <v>70.566644552799005</v>
      </c>
      <c r="DG290" s="482">
        <f t="shared" ca="1" si="619"/>
        <v>70.566644552799005</v>
      </c>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c r="FC290"/>
      <c r="FD290"/>
      <c r="FE290"/>
      <c r="FF290"/>
      <c r="FG290"/>
      <c r="FH290"/>
      <c r="FI290"/>
      <c r="FJ290"/>
      <c r="FK290"/>
      <c r="FL290"/>
      <c r="FM290"/>
      <c r="FN290"/>
      <c r="FO290"/>
      <c r="FP290"/>
      <c r="FQ290"/>
      <c r="FR290"/>
      <c r="FS290"/>
      <c r="FT290"/>
      <c r="FU290"/>
      <c r="FV290"/>
      <c r="FW290"/>
      <c r="FX290"/>
      <c r="FY290"/>
      <c r="FZ290"/>
      <c r="GA290"/>
      <c r="GB290"/>
      <c r="GC290"/>
      <c r="GD290"/>
      <c r="GE290"/>
      <c r="GF290"/>
      <c r="GG290"/>
      <c r="GH290"/>
      <c r="GI290"/>
      <c r="GJ290"/>
      <c r="GK290"/>
      <c r="GL290"/>
      <c r="GM290"/>
      <c r="GN290"/>
      <c r="GO290"/>
      <c r="GP290"/>
      <c r="GQ290"/>
      <c r="GR290"/>
      <c r="GS290"/>
      <c r="GT290"/>
      <c r="GU290"/>
      <c r="GV290"/>
      <c r="GW290"/>
      <c r="GX290"/>
      <c r="GY290"/>
      <c r="GZ290"/>
      <c r="HA290"/>
      <c r="HB290"/>
      <c r="HC290"/>
      <c r="HD290"/>
      <c r="HE290"/>
      <c r="HF290"/>
      <c r="HG290"/>
      <c r="HH290"/>
      <c r="HI290"/>
      <c r="HJ290"/>
      <c r="HK290"/>
      <c r="HL290"/>
      <c r="HM290"/>
      <c r="HN290"/>
      <c r="HO290"/>
      <c r="HP290"/>
      <c r="HQ290"/>
      <c r="HR290"/>
    </row>
    <row r="291" spans="1:226" s="19" customFormat="1" x14ac:dyDescent="0.2">
      <c r="A291" s="19" t="s">
        <v>262</v>
      </c>
      <c r="B291" s="21"/>
      <c r="C291" s="21"/>
      <c r="D291" s="21"/>
      <c r="E291" s="21"/>
      <c r="F291" s="482"/>
      <c r="G291" s="21">
        <f>SUM(G286:G290)</f>
        <v>1098</v>
      </c>
      <c r="H291" s="21">
        <f t="shared" ref="H291:BI291" si="620">SUM(H286:H290)</f>
        <v>1160</v>
      </c>
      <c r="I291" s="21">
        <f t="shared" si="620"/>
        <v>1183</v>
      </c>
      <c r="J291" s="21">
        <f t="shared" si="620"/>
        <v>1267</v>
      </c>
      <c r="K291" s="482">
        <f t="shared" si="620"/>
        <v>1267</v>
      </c>
      <c r="L291" s="21">
        <f t="shared" si="620"/>
        <v>1160</v>
      </c>
      <c r="M291" s="21">
        <f t="shared" si="620"/>
        <v>1162</v>
      </c>
      <c r="N291" s="21">
        <f t="shared" si="620"/>
        <v>1391</v>
      </c>
      <c r="O291" s="21">
        <f t="shared" si="620"/>
        <v>1368</v>
      </c>
      <c r="P291" s="482">
        <f t="shared" si="620"/>
        <v>1368</v>
      </c>
      <c r="Q291" s="21">
        <f t="shared" si="620"/>
        <v>1253</v>
      </c>
      <c r="R291" s="21">
        <f t="shared" si="620"/>
        <v>1270</v>
      </c>
      <c r="S291" s="21">
        <f t="shared" si="620"/>
        <v>1408</v>
      </c>
      <c r="T291" s="21">
        <f t="shared" si="620"/>
        <v>1528</v>
      </c>
      <c r="U291" s="482">
        <f t="shared" si="620"/>
        <v>1528</v>
      </c>
      <c r="V291" s="21">
        <f t="shared" si="620"/>
        <v>1481</v>
      </c>
      <c r="W291" s="21">
        <f t="shared" si="620"/>
        <v>1496</v>
      </c>
      <c r="X291" s="21">
        <f t="shared" si="620"/>
        <v>1569</v>
      </c>
      <c r="Y291" s="21">
        <f t="shared" si="620"/>
        <v>1687</v>
      </c>
      <c r="Z291" s="482">
        <f t="shared" si="620"/>
        <v>1687</v>
      </c>
      <c r="AA291" s="21">
        <f t="shared" si="620"/>
        <v>1423</v>
      </c>
      <c r="AB291" s="21">
        <f t="shared" si="620"/>
        <v>1452</v>
      </c>
      <c r="AC291" s="21">
        <f t="shared" si="620"/>
        <v>1463</v>
      </c>
      <c r="AD291" s="21">
        <f t="shared" si="620"/>
        <v>1498</v>
      </c>
      <c r="AE291" s="482">
        <f t="shared" si="620"/>
        <v>1498</v>
      </c>
      <c r="AF291" s="21">
        <f t="shared" si="620"/>
        <v>1409</v>
      </c>
      <c r="AG291" s="21">
        <f t="shared" si="620"/>
        <v>1416</v>
      </c>
      <c r="AH291" s="21">
        <f t="shared" si="620"/>
        <v>1429</v>
      </c>
      <c r="AI291" s="21">
        <f t="shared" si="620"/>
        <v>1374</v>
      </c>
      <c r="AJ291" s="482">
        <f t="shared" si="620"/>
        <v>1374</v>
      </c>
      <c r="AK291" s="21">
        <f t="shared" si="620"/>
        <v>1461</v>
      </c>
      <c r="AL291" s="21">
        <f t="shared" si="620"/>
        <v>1644</v>
      </c>
      <c r="AM291" s="21">
        <f t="shared" si="620"/>
        <v>1542</v>
      </c>
      <c r="AN291" s="21">
        <f t="shared" si="620"/>
        <v>1603</v>
      </c>
      <c r="AO291" s="482">
        <f t="shared" si="620"/>
        <v>1603</v>
      </c>
      <c r="AP291" s="21">
        <f t="shared" si="620"/>
        <v>1504</v>
      </c>
      <c r="AQ291" s="21">
        <f t="shared" si="620"/>
        <v>1445</v>
      </c>
      <c r="AR291" s="21">
        <f t="shared" si="620"/>
        <v>1513</v>
      </c>
      <c r="AS291" s="21">
        <f t="shared" si="620"/>
        <v>1602</v>
      </c>
      <c r="AT291" s="482">
        <f t="shared" si="620"/>
        <v>1602</v>
      </c>
      <c r="AU291" s="21">
        <f t="shared" si="620"/>
        <v>1476</v>
      </c>
      <c r="AV291" s="21">
        <f t="shared" si="620"/>
        <v>1427</v>
      </c>
      <c r="AW291" s="21">
        <f t="shared" si="620"/>
        <v>1545</v>
      </c>
      <c r="AX291" s="21">
        <f t="shared" si="620"/>
        <v>1677</v>
      </c>
      <c r="AY291" s="482">
        <f t="shared" si="620"/>
        <v>1677</v>
      </c>
      <c r="AZ291" s="21">
        <f t="shared" si="620"/>
        <v>1584</v>
      </c>
      <c r="BA291" s="21">
        <f t="shared" si="620"/>
        <v>1606</v>
      </c>
      <c r="BB291" s="21">
        <f t="shared" si="620"/>
        <v>1665</v>
      </c>
      <c r="BC291" s="21">
        <f t="shared" si="620"/>
        <v>1665</v>
      </c>
      <c r="BD291" s="482">
        <f t="shared" si="620"/>
        <v>1665</v>
      </c>
      <c r="BE291" s="21">
        <f t="shared" si="620"/>
        <v>1591</v>
      </c>
      <c r="BF291" s="21">
        <f t="shared" si="620"/>
        <v>1593</v>
      </c>
      <c r="BG291" s="21">
        <f t="shared" si="620"/>
        <v>1642</v>
      </c>
      <c r="BH291" s="21">
        <f t="shared" si="620"/>
        <v>1769</v>
      </c>
      <c r="BI291" s="482">
        <f t="shared" si="620"/>
        <v>1769</v>
      </c>
      <c r="BJ291" s="21">
        <f t="shared" ref="BJ291:CV291" si="621">SUM(BJ286:BJ290)</f>
        <v>1746</v>
      </c>
      <c r="BK291" s="21">
        <f t="shared" si="621"/>
        <v>1772</v>
      </c>
      <c r="BL291" s="21">
        <f t="shared" si="621"/>
        <v>1810</v>
      </c>
      <c r="BM291" s="21">
        <f t="shared" si="621"/>
        <v>1793</v>
      </c>
      <c r="BN291" s="482">
        <f>SUM(BN286:BN290)</f>
        <v>1793</v>
      </c>
      <c r="BO291" s="21">
        <f t="shared" si="621"/>
        <v>1764</v>
      </c>
      <c r="BP291" s="21">
        <f t="shared" si="621"/>
        <v>1720</v>
      </c>
      <c r="BQ291" s="21">
        <f t="shared" si="621"/>
        <v>1757</v>
      </c>
      <c r="BR291" s="21">
        <f t="shared" si="621"/>
        <v>1791</v>
      </c>
      <c r="BS291" s="482">
        <f t="shared" si="621"/>
        <v>1791</v>
      </c>
      <c r="BT291" s="21">
        <f t="shared" si="621"/>
        <v>1757</v>
      </c>
      <c r="BU291" s="21">
        <f t="shared" si="621"/>
        <v>1721</v>
      </c>
      <c r="BV291" s="21">
        <f t="shared" si="621"/>
        <v>1760</v>
      </c>
      <c r="BW291" s="21">
        <f t="shared" si="621"/>
        <v>1855</v>
      </c>
      <c r="BX291" s="482">
        <f t="shared" si="621"/>
        <v>1855</v>
      </c>
      <c r="BY291" s="21">
        <f t="shared" si="621"/>
        <v>1749</v>
      </c>
      <c r="BZ291" s="21">
        <f t="shared" si="621"/>
        <v>1681</v>
      </c>
      <c r="CA291" s="21">
        <f t="shared" si="621"/>
        <v>1797</v>
      </c>
      <c r="CB291" s="21">
        <f t="shared" si="621"/>
        <v>1901</v>
      </c>
      <c r="CC291" s="482">
        <f>SUM(CC286:CC290)</f>
        <v>1901</v>
      </c>
      <c r="CD291" s="21">
        <f t="shared" ca="1" si="621"/>
        <v>1770</v>
      </c>
      <c r="CE291" s="21">
        <f t="shared" ca="1" si="621"/>
        <v>1749</v>
      </c>
      <c r="CF291" s="21">
        <f t="shared" ca="1" si="621"/>
        <v>1785</v>
      </c>
      <c r="CG291" s="21">
        <f t="shared" ca="1" si="621"/>
        <v>1836</v>
      </c>
      <c r="CH291" s="482">
        <f t="shared" ca="1" si="621"/>
        <v>1836</v>
      </c>
      <c r="CI291" s="21">
        <f t="shared" ca="1" si="621"/>
        <v>1808</v>
      </c>
      <c r="CJ291" s="21">
        <f t="shared" si="621"/>
        <v>1715</v>
      </c>
      <c r="CK291" s="21">
        <f t="shared" ca="1" si="621"/>
        <v>1821.8886336496143</v>
      </c>
      <c r="CL291" s="21">
        <f t="shared" ca="1" si="621"/>
        <v>1907.0673604240139</v>
      </c>
      <c r="CM291" s="482">
        <f t="shared" ca="1" si="621"/>
        <v>1907.0673604240139</v>
      </c>
      <c r="CN291" s="21">
        <f t="shared" ca="1" si="621"/>
        <v>1917.2991848794948</v>
      </c>
      <c r="CO291" s="21">
        <f t="shared" si="621"/>
        <v>1826.4222896354738</v>
      </c>
      <c r="CP291" s="21">
        <f t="shared" ca="1" si="621"/>
        <v>1937.2043919587204</v>
      </c>
      <c r="CQ291" s="21">
        <f t="shared" ca="1" si="621"/>
        <v>1956.1466806081853</v>
      </c>
      <c r="CR291" s="482">
        <f t="shared" ca="1" si="621"/>
        <v>1956.1466806081853</v>
      </c>
      <c r="CS291" s="21">
        <f t="shared" ca="1" si="621"/>
        <v>1960.5632652731315</v>
      </c>
      <c r="CT291" s="21">
        <f t="shared" si="621"/>
        <v>1868.6148681565132</v>
      </c>
      <c r="CU291" s="21">
        <f t="shared" ca="1" si="621"/>
        <v>1980.9349485153987</v>
      </c>
      <c r="CV291" s="21">
        <f t="shared" ca="1" si="621"/>
        <v>1998.8122454494644</v>
      </c>
      <c r="CW291" s="482">
        <f t="shared" ref="CW291:DG291" ca="1" si="622">SUM(CW286:CW290)</f>
        <v>1998.8122454494644</v>
      </c>
      <c r="CX291" s="21">
        <f t="shared" ca="1" si="622"/>
        <v>1990.2906787559307</v>
      </c>
      <c r="CY291" s="21">
        <f t="shared" si="622"/>
        <v>1897.6657458931554</v>
      </c>
      <c r="CZ291" s="21">
        <f t="shared" ca="1" si="622"/>
        <v>2010.5687518490072</v>
      </c>
      <c r="DA291" s="21">
        <f t="shared" ca="1" si="622"/>
        <v>2026.4383690051743</v>
      </c>
      <c r="DB291" s="482">
        <f t="shared" ca="1" si="622"/>
        <v>2026.4383690051743</v>
      </c>
      <c r="DC291" s="21">
        <f t="shared" ca="1" si="622"/>
        <v>2020.5898861318869</v>
      </c>
      <c r="DD291" s="21">
        <f t="shared" si="622"/>
        <v>1927.2929887894579</v>
      </c>
      <c r="DE291" s="21">
        <f t="shared" ca="1" si="622"/>
        <v>2040.7696739783762</v>
      </c>
      <c r="DF291" s="21">
        <f t="shared" ca="1" si="622"/>
        <v>2054.5545463778017</v>
      </c>
      <c r="DG291" s="482">
        <f t="shared" ca="1" si="622"/>
        <v>2054.5545463778017</v>
      </c>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c r="FC291"/>
      <c r="FD291"/>
      <c r="FE291"/>
      <c r="FF291"/>
      <c r="FG291"/>
      <c r="FH291"/>
      <c r="FI291"/>
      <c r="FJ291"/>
      <c r="FK291"/>
      <c r="FL291"/>
      <c r="FM291"/>
      <c r="FN291"/>
      <c r="FO291"/>
      <c r="FP291"/>
      <c r="FQ291"/>
      <c r="FR291"/>
      <c r="FS291"/>
      <c r="FT291"/>
      <c r="FU291"/>
      <c r="FV291"/>
      <c r="FW291"/>
      <c r="FX291"/>
      <c r="FY291"/>
      <c r="FZ291"/>
      <c r="GA291"/>
      <c r="GB291"/>
      <c r="GC291"/>
      <c r="GD291"/>
      <c r="GE291"/>
      <c r="GF291"/>
      <c r="GG291"/>
      <c r="GH291"/>
      <c r="GI291"/>
      <c r="GJ291"/>
      <c r="GK291"/>
      <c r="GL291"/>
      <c r="GM291"/>
      <c r="GN291"/>
      <c r="GO291"/>
      <c r="GP291"/>
      <c r="GQ291"/>
      <c r="GR291"/>
      <c r="GS291"/>
      <c r="GT291"/>
      <c r="GU291"/>
      <c r="GV291"/>
      <c r="GW291"/>
      <c r="GX291"/>
      <c r="GY291"/>
      <c r="GZ291"/>
      <c r="HA291"/>
      <c r="HB291"/>
      <c r="HC291"/>
      <c r="HD291"/>
      <c r="HE291"/>
      <c r="HF291"/>
      <c r="HG291"/>
      <c r="HH291"/>
      <c r="HI291"/>
      <c r="HJ291"/>
      <c r="HK291"/>
      <c r="HL291"/>
      <c r="HM291"/>
      <c r="HN291"/>
      <c r="HO291"/>
      <c r="HP291"/>
      <c r="HQ291"/>
      <c r="HR291"/>
    </row>
    <row r="292" spans="1:226" s="19" customFormat="1" x14ac:dyDescent="0.2">
      <c r="F292" s="455"/>
      <c r="K292" s="455"/>
      <c r="P292" s="455"/>
      <c r="U292" s="455"/>
      <c r="Z292" s="455"/>
      <c r="AE292" s="455"/>
      <c r="AJ292" s="455"/>
      <c r="AO292" s="455"/>
      <c r="AT292" s="455"/>
      <c r="AY292" s="455"/>
      <c r="BD292" s="455"/>
      <c r="BI292" s="455"/>
      <c r="BN292" s="455"/>
      <c r="BS292" s="455"/>
      <c r="BX292" s="455"/>
      <c r="CC292" s="455"/>
      <c r="CH292" s="455"/>
      <c r="CM292" s="455"/>
      <c r="CR292" s="455"/>
      <c r="CW292" s="455"/>
      <c r="DB292" s="455"/>
      <c r="DG292" s="455"/>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c r="FC292"/>
      <c r="FD292"/>
      <c r="FE292"/>
      <c r="FF292"/>
      <c r="FG292"/>
      <c r="FH292"/>
      <c r="FI292"/>
      <c r="FJ292"/>
      <c r="FK292"/>
      <c r="FL292"/>
      <c r="FM292"/>
      <c r="FN292"/>
      <c r="FO292"/>
      <c r="FP292"/>
      <c r="FQ292"/>
      <c r="FR292"/>
      <c r="FS292"/>
      <c r="FT292"/>
      <c r="FU292"/>
      <c r="FV292"/>
      <c r="FW292"/>
      <c r="FX292"/>
      <c r="FY292"/>
      <c r="FZ292"/>
      <c r="GA292"/>
      <c r="GB292"/>
      <c r="GC292"/>
      <c r="GD292"/>
      <c r="GE292"/>
      <c r="GF292"/>
      <c r="GG292"/>
      <c r="GH292"/>
      <c r="GI292"/>
      <c r="GJ292"/>
      <c r="GK292"/>
      <c r="GL292"/>
      <c r="GM292"/>
      <c r="GN292"/>
      <c r="GO292"/>
      <c r="GP292"/>
      <c r="GQ292"/>
      <c r="GR292"/>
      <c r="GS292"/>
      <c r="GT292"/>
      <c r="GU292"/>
      <c r="GV292"/>
      <c r="GW292"/>
      <c r="GX292"/>
      <c r="GY292"/>
      <c r="GZ292"/>
      <c r="HA292"/>
      <c r="HB292"/>
      <c r="HC292"/>
      <c r="HD292"/>
      <c r="HE292"/>
      <c r="HF292"/>
      <c r="HG292"/>
      <c r="HH292"/>
      <c r="HI292"/>
      <c r="HJ292"/>
      <c r="HK292"/>
      <c r="HL292"/>
      <c r="HM292"/>
      <c r="HN292"/>
      <c r="HO292"/>
      <c r="HP292"/>
      <c r="HQ292"/>
      <c r="HR292"/>
    </row>
    <row r="293" spans="1:226" s="19" customFormat="1" x14ac:dyDescent="0.2">
      <c r="A293" s="19" t="s">
        <v>263</v>
      </c>
      <c r="B293" s="73"/>
      <c r="C293" s="73"/>
      <c r="D293" s="73"/>
      <c r="E293" s="73"/>
      <c r="F293" s="481"/>
      <c r="G293" s="73">
        <f>G283-G291</f>
        <v>2734</v>
      </c>
      <c r="H293" s="73">
        <f t="shared" ref="H293:AW293" si="623">H283-H291</f>
        <v>2593</v>
      </c>
      <c r="I293" s="73">
        <f t="shared" si="623"/>
        <v>2524</v>
      </c>
      <c r="J293" s="73">
        <f t="shared" si="623"/>
        <v>2376</v>
      </c>
      <c r="K293" s="481">
        <f t="shared" si="623"/>
        <v>2376</v>
      </c>
      <c r="L293" s="73">
        <f t="shared" si="623"/>
        <v>2314</v>
      </c>
      <c r="M293" s="73">
        <f t="shared" si="623"/>
        <v>2315</v>
      </c>
      <c r="N293" s="73">
        <f>N283-N291</f>
        <v>2440</v>
      </c>
      <c r="O293" s="73">
        <f t="shared" si="623"/>
        <v>2284</v>
      </c>
      <c r="P293" s="481">
        <f t="shared" si="623"/>
        <v>2284</v>
      </c>
      <c r="Q293" s="73">
        <f t="shared" si="623"/>
        <v>2305</v>
      </c>
      <c r="R293" s="73">
        <f t="shared" si="623"/>
        <v>2327</v>
      </c>
      <c r="S293" s="73">
        <f t="shared" si="623"/>
        <v>2302</v>
      </c>
      <c r="T293" s="73">
        <f t="shared" si="623"/>
        <v>2306</v>
      </c>
      <c r="U293" s="481">
        <f t="shared" si="623"/>
        <v>2306</v>
      </c>
      <c r="V293" s="73">
        <f t="shared" si="623"/>
        <v>2291</v>
      </c>
      <c r="W293" s="73">
        <f t="shared" si="623"/>
        <v>2214</v>
      </c>
      <c r="X293" s="73">
        <f t="shared" si="623"/>
        <v>2187</v>
      </c>
      <c r="Y293" s="73">
        <f t="shared" si="623"/>
        <v>1930</v>
      </c>
      <c r="Z293" s="481">
        <f t="shared" si="623"/>
        <v>1930</v>
      </c>
      <c r="AA293" s="73">
        <f t="shared" si="623"/>
        <v>2147</v>
      </c>
      <c r="AB293" s="73">
        <f t="shared" si="623"/>
        <v>2115</v>
      </c>
      <c r="AC293" s="73">
        <f t="shared" si="623"/>
        <v>2159</v>
      </c>
      <c r="AD293" s="73">
        <f t="shared" si="623"/>
        <v>2118</v>
      </c>
      <c r="AE293" s="481">
        <f t="shared" si="623"/>
        <v>2118</v>
      </c>
      <c r="AF293" s="73">
        <f t="shared" si="623"/>
        <v>2130</v>
      </c>
      <c r="AG293" s="73">
        <f t="shared" si="623"/>
        <v>2208</v>
      </c>
      <c r="AH293" s="73">
        <f t="shared" si="623"/>
        <v>2262</v>
      </c>
      <c r="AI293" s="73">
        <f t="shared" si="623"/>
        <v>2207</v>
      </c>
      <c r="AJ293" s="481">
        <f t="shared" si="623"/>
        <v>2207</v>
      </c>
      <c r="AK293" s="73">
        <f t="shared" si="623"/>
        <v>2212</v>
      </c>
      <c r="AL293" s="73">
        <f t="shared" si="623"/>
        <v>3209</v>
      </c>
      <c r="AM293" s="73">
        <f t="shared" si="623"/>
        <v>3208</v>
      </c>
      <c r="AN293" s="73">
        <f t="shared" si="623"/>
        <v>3105</v>
      </c>
      <c r="AO293" s="481">
        <f t="shared" si="623"/>
        <v>3105</v>
      </c>
      <c r="AP293" s="73">
        <f t="shared" si="623"/>
        <v>3083</v>
      </c>
      <c r="AQ293" s="73">
        <f t="shared" si="623"/>
        <v>2953</v>
      </c>
      <c r="AR293" s="73">
        <f t="shared" si="623"/>
        <v>2952</v>
      </c>
      <c r="AS293" s="73">
        <f t="shared" si="623"/>
        <v>2974</v>
      </c>
      <c r="AT293" s="481">
        <f t="shared" si="623"/>
        <v>2974</v>
      </c>
      <c r="AU293" s="73">
        <f t="shared" si="623"/>
        <v>3122</v>
      </c>
      <c r="AV293" s="73">
        <f t="shared" si="623"/>
        <v>3062</v>
      </c>
      <c r="AW293" s="73">
        <f t="shared" si="623"/>
        <v>3198</v>
      </c>
      <c r="AX293" s="73">
        <f t="shared" ref="AX293:CB293" si="624">AX283-AX291</f>
        <v>2878</v>
      </c>
      <c r="AY293" s="481">
        <f t="shared" si="624"/>
        <v>2878</v>
      </c>
      <c r="AZ293" s="73">
        <f t="shared" si="624"/>
        <v>3209</v>
      </c>
      <c r="BA293" s="73">
        <f t="shared" si="624"/>
        <v>2552</v>
      </c>
      <c r="BB293" s="73">
        <f t="shared" si="624"/>
        <v>2386</v>
      </c>
      <c r="BC293" s="73">
        <f t="shared" si="624"/>
        <v>2498</v>
      </c>
      <c r="BD293" s="481">
        <f t="shared" si="624"/>
        <v>2498</v>
      </c>
      <c r="BE293" s="73">
        <f t="shared" si="624"/>
        <v>2486</v>
      </c>
      <c r="BF293" s="73">
        <f t="shared" si="624"/>
        <v>2697</v>
      </c>
      <c r="BG293" s="73">
        <f>BG283-BG291</f>
        <v>2744</v>
      </c>
      <c r="BH293" s="73">
        <f t="shared" si="624"/>
        <v>2586</v>
      </c>
      <c r="BI293" s="481">
        <f>BI283-BI291</f>
        <v>2586</v>
      </c>
      <c r="BJ293" s="73">
        <f t="shared" si="624"/>
        <v>3001</v>
      </c>
      <c r="BK293" s="73">
        <f t="shared" si="624"/>
        <v>2730</v>
      </c>
      <c r="BL293" s="73">
        <f t="shared" si="624"/>
        <v>2713</v>
      </c>
      <c r="BM293" s="73">
        <f t="shared" si="624"/>
        <v>2518</v>
      </c>
      <c r="BN293" s="481">
        <f>BN283-BN291</f>
        <v>2518</v>
      </c>
      <c r="BO293" s="73">
        <f t="shared" si="624"/>
        <v>2537</v>
      </c>
      <c r="BP293" s="73">
        <f t="shared" si="624"/>
        <v>2668</v>
      </c>
      <c r="BQ293" s="73">
        <f t="shared" si="624"/>
        <v>2617</v>
      </c>
      <c r="BR293" s="73">
        <f t="shared" si="624"/>
        <v>2467</v>
      </c>
      <c r="BS293" s="481">
        <f t="shared" si="624"/>
        <v>2467</v>
      </c>
      <c r="BT293" s="73">
        <f t="shared" si="624"/>
        <v>2393</v>
      </c>
      <c r="BU293" s="73">
        <f t="shared" si="624"/>
        <v>2953</v>
      </c>
      <c r="BV293" s="73">
        <f t="shared" si="624"/>
        <v>2468</v>
      </c>
      <c r="BW293" s="73">
        <f t="shared" si="624"/>
        <v>2309</v>
      </c>
      <c r="BX293" s="481">
        <f t="shared" si="624"/>
        <v>2309</v>
      </c>
      <c r="BY293" s="73">
        <f t="shared" si="624"/>
        <v>2346</v>
      </c>
      <c r="BZ293" s="73">
        <f t="shared" si="624"/>
        <v>2494</v>
      </c>
      <c r="CA293" s="73">
        <f t="shared" si="624"/>
        <v>2487</v>
      </c>
      <c r="CB293" s="73">
        <f t="shared" si="624"/>
        <v>2617</v>
      </c>
      <c r="CC293" s="481">
        <f>CC283-CC291</f>
        <v>2617</v>
      </c>
      <c r="CD293" s="73">
        <f t="shared" ref="CD293:CW293" ca="1" si="625">CD283-CD291</f>
        <v>2696</v>
      </c>
      <c r="CE293" s="73">
        <f t="shared" ca="1" si="625"/>
        <v>2819</v>
      </c>
      <c r="CF293" s="73">
        <f t="shared" ca="1" si="625"/>
        <v>2844</v>
      </c>
      <c r="CG293" s="73">
        <f t="shared" ca="1" si="625"/>
        <v>2737</v>
      </c>
      <c r="CH293" s="481">
        <f t="shared" ca="1" si="625"/>
        <v>2737</v>
      </c>
      <c r="CI293" s="73">
        <f t="shared" ca="1" si="625"/>
        <v>2792</v>
      </c>
      <c r="CJ293" s="73">
        <f t="shared" si="625"/>
        <v>3043</v>
      </c>
      <c r="CK293" s="73">
        <f t="shared" ca="1" si="625"/>
        <v>3036.836344232237</v>
      </c>
      <c r="CL293" s="73">
        <f t="shared" ca="1" si="625"/>
        <v>2947.1753609131392</v>
      </c>
      <c r="CM293" s="481">
        <f t="shared" ca="1" si="625"/>
        <v>2947.1753609131392</v>
      </c>
      <c r="CN293" s="73">
        <f t="shared" ca="1" si="625"/>
        <v>2872.7039540144533</v>
      </c>
      <c r="CO293" s="73">
        <f t="shared" ca="1" si="625"/>
        <v>3115.1409943962362</v>
      </c>
      <c r="CP293" s="73">
        <f t="shared" ca="1" si="625"/>
        <v>3112.5491829884595</v>
      </c>
      <c r="CQ293" s="73">
        <f t="shared" ca="1" si="625"/>
        <v>3033.5406256075958</v>
      </c>
      <c r="CR293" s="481">
        <f t="shared" ca="1" si="625"/>
        <v>3033.5406256075958</v>
      </c>
      <c r="CS293" s="73">
        <f t="shared" ca="1" si="625"/>
        <v>2948.7786069339932</v>
      </c>
      <c r="CT293" s="73">
        <f t="shared" ca="1" si="625"/>
        <v>3191.041448275389</v>
      </c>
      <c r="CU293" s="73">
        <f t="shared" ca="1" si="625"/>
        <v>3188.1008992896641</v>
      </c>
      <c r="CV293" s="73">
        <f t="shared" ca="1" si="625"/>
        <v>3108.1309352783392</v>
      </c>
      <c r="CW293" s="481">
        <f t="shared" ca="1" si="625"/>
        <v>3108.1309352783392</v>
      </c>
      <c r="CX293" s="73">
        <f t="shared" ref="CX293:DG293" ca="1" si="626">CX283-CX291</f>
        <v>3027.5984015481408</v>
      </c>
      <c r="CY293" s="73">
        <f t="shared" ca="1" si="626"/>
        <v>3269.8987177734457</v>
      </c>
      <c r="CZ293" s="73">
        <f t="shared" ca="1" si="626"/>
        <v>3268.1459666320475</v>
      </c>
      <c r="DA293" s="73">
        <f t="shared" ca="1" si="626"/>
        <v>3188.6365318916487</v>
      </c>
      <c r="DB293" s="481">
        <f t="shared" ca="1" si="626"/>
        <v>3188.6365318916487</v>
      </c>
      <c r="DC293" s="73">
        <f t="shared" ca="1" si="626"/>
        <v>3097.0081780282185</v>
      </c>
      <c r="DD293" s="73">
        <f t="shared" ca="1" si="626"/>
        <v>3339.8692274735331</v>
      </c>
      <c r="DE293" s="73">
        <f t="shared" ca="1" si="626"/>
        <v>3339.8168236393058</v>
      </c>
      <c r="DF293" s="73">
        <f t="shared" ca="1" si="626"/>
        <v>3261.2421924540458</v>
      </c>
      <c r="DG293" s="481">
        <f t="shared" ca="1" si="626"/>
        <v>3261.2421924540458</v>
      </c>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c r="FC293"/>
      <c r="FD293"/>
      <c r="FE293"/>
      <c r="FF293"/>
      <c r="FG293"/>
      <c r="FH293"/>
      <c r="FI293"/>
      <c r="FJ293"/>
      <c r="FK293"/>
      <c r="FL293"/>
      <c r="FM293"/>
      <c r="FN293"/>
      <c r="FO293"/>
      <c r="FP293"/>
      <c r="FQ293"/>
      <c r="FR293"/>
      <c r="FS293"/>
      <c r="FT293"/>
      <c r="FU293"/>
      <c r="FV293"/>
      <c r="FW293"/>
      <c r="FX293"/>
      <c r="FY293"/>
      <c r="FZ293"/>
      <c r="GA293"/>
      <c r="GB293"/>
      <c r="GC293"/>
      <c r="GD293"/>
      <c r="GE293"/>
      <c r="GF293"/>
      <c r="GG293"/>
      <c r="GH293"/>
      <c r="GI293"/>
      <c r="GJ293"/>
      <c r="GK293"/>
      <c r="GL293"/>
      <c r="GM293"/>
      <c r="GN293"/>
      <c r="GO293"/>
      <c r="GP293"/>
      <c r="GQ293"/>
      <c r="GR293"/>
      <c r="GS293"/>
      <c r="GT293"/>
      <c r="GU293"/>
      <c r="GV293"/>
      <c r="GW293"/>
      <c r="GX293"/>
      <c r="GY293"/>
      <c r="GZ293"/>
      <c r="HA293"/>
      <c r="HB293"/>
      <c r="HC293"/>
      <c r="HD293"/>
      <c r="HE293"/>
      <c r="HF293"/>
      <c r="HG293"/>
      <c r="HH293"/>
      <c r="HI293"/>
      <c r="HJ293"/>
      <c r="HK293"/>
      <c r="HL293"/>
      <c r="HM293"/>
      <c r="HN293"/>
      <c r="HO293"/>
      <c r="HP293"/>
      <c r="HQ293"/>
      <c r="HR293"/>
    </row>
    <row r="294" spans="1:226" s="19" customFormat="1" x14ac:dyDescent="0.2">
      <c r="A294" s="19" t="s">
        <v>313</v>
      </c>
      <c r="B294" s="73"/>
      <c r="C294" s="73"/>
      <c r="D294" s="73"/>
      <c r="E294" s="73"/>
      <c r="F294" s="481"/>
      <c r="G294" s="73"/>
      <c r="H294" s="73"/>
      <c r="I294" s="73"/>
      <c r="J294" s="73"/>
      <c r="K294" s="481"/>
      <c r="L294" s="73"/>
      <c r="M294" s="73"/>
      <c r="N294" s="73"/>
      <c r="O294" s="73"/>
      <c r="P294" s="481"/>
      <c r="Q294" s="73"/>
      <c r="R294" s="73"/>
      <c r="S294" s="73"/>
      <c r="T294" s="73"/>
      <c r="U294" s="481"/>
      <c r="V294" s="73"/>
      <c r="W294" s="73"/>
      <c r="X294" s="73"/>
      <c r="Y294" s="73"/>
      <c r="Z294" s="481"/>
      <c r="AA294" s="73"/>
      <c r="AB294" s="73"/>
      <c r="AC294" s="73"/>
      <c r="AD294" s="73"/>
      <c r="AE294" s="481"/>
      <c r="AF294" s="73"/>
      <c r="AG294" s="73"/>
      <c r="AH294" s="73"/>
      <c r="AI294" s="73"/>
      <c r="AJ294" s="481">
        <f>AJ267</f>
        <v>4</v>
      </c>
      <c r="AK294" s="73"/>
      <c r="AL294" s="73"/>
      <c r="AM294" s="73"/>
      <c r="AN294" s="73"/>
      <c r="AO294" s="481">
        <f>AO267</f>
        <v>48</v>
      </c>
      <c r="AP294" s="73"/>
      <c r="AQ294" s="73"/>
      <c r="AR294" s="73"/>
      <c r="AS294" s="73"/>
      <c r="AT294" s="481">
        <f>AT267</f>
        <v>10</v>
      </c>
      <c r="AU294" s="73"/>
      <c r="AV294" s="73"/>
      <c r="AW294" s="73"/>
      <c r="AX294" s="73"/>
      <c r="AY294" s="481">
        <f>AY267</f>
        <v>4</v>
      </c>
      <c r="AZ294" s="73"/>
      <c r="BA294" s="73"/>
      <c r="BB294" s="73"/>
      <c r="BC294" s="73"/>
      <c r="BD294" s="481">
        <f>BD267</f>
        <v>2</v>
      </c>
      <c r="BE294" s="73"/>
      <c r="BF294" s="73"/>
      <c r="BG294" s="73"/>
      <c r="BH294" s="73"/>
      <c r="BI294" s="481">
        <f>BI267</f>
        <v>0</v>
      </c>
      <c r="BJ294" s="73"/>
      <c r="BK294" s="73"/>
      <c r="BL294" s="73"/>
      <c r="BM294" s="73"/>
      <c r="BN294" s="481">
        <f>BN267</f>
        <v>0</v>
      </c>
      <c r="BO294" s="73"/>
      <c r="BP294" s="73"/>
      <c r="BQ294" s="73"/>
      <c r="BR294" s="73"/>
      <c r="BS294" s="481">
        <f>BS267</f>
        <v>0</v>
      </c>
      <c r="BT294" s="73"/>
      <c r="BU294" s="73"/>
      <c r="BV294" s="73"/>
      <c r="BW294" s="73"/>
      <c r="BX294" s="481">
        <f>BX267</f>
        <v>0</v>
      </c>
      <c r="BY294" s="73"/>
      <c r="BZ294" s="73"/>
      <c r="CA294" s="73"/>
      <c r="CB294" s="73"/>
      <c r="CC294" s="481">
        <f>CC267</f>
        <v>0</v>
      </c>
      <c r="CD294" s="73"/>
      <c r="CE294" s="73"/>
      <c r="CF294" s="73"/>
      <c r="CG294" s="73"/>
      <c r="CH294" s="481">
        <f>CH267</f>
        <v>0</v>
      </c>
      <c r="CI294" s="73"/>
      <c r="CJ294" s="73"/>
      <c r="CK294" s="73"/>
      <c r="CL294" s="73"/>
      <c r="CM294" s="481">
        <f>CM267</f>
        <v>0</v>
      </c>
      <c r="CN294" s="73"/>
      <c r="CO294" s="73"/>
      <c r="CP294" s="73"/>
      <c r="CQ294" s="73"/>
      <c r="CR294" s="481">
        <f>CR267</f>
        <v>0</v>
      </c>
      <c r="CS294" s="73"/>
      <c r="CT294" s="73"/>
      <c r="CU294" s="73"/>
      <c r="CV294" s="73"/>
      <c r="CW294" s="481">
        <f>CW267</f>
        <v>0</v>
      </c>
      <c r="CX294" s="73"/>
      <c r="CY294" s="73"/>
      <c r="CZ294" s="73"/>
      <c r="DA294" s="73"/>
      <c r="DB294" s="481">
        <f>DB267</f>
        <v>0</v>
      </c>
      <c r="DC294" s="73"/>
      <c r="DD294" s="73"/>
      <c r="DE294" s="73"/>
      <c r="DF294" s="73"/>
      <c r="DG294" s="481">
        <f>DG267</f>
        <v>0</v>
      </c>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c r="FC294"/>
      <c r="FD294"/>
      <c r="FE294"/>
      <c r="FF294"/>
      <c r="FG294"/>
      <c r="FH294"/>
      <c r="FI294"/>
      <c r="FJ294"/>
      <c r="FK294"/>
      <c r="FL294"/>
      <c r="FM294"/>
      <c r="FN294"/>
      <c r="FO294"/>
      <c r="FP294"/>
      <c r="FQ294"/>
      <c r="FR294"/>
      <c r="FS294"/>
      <c r="FT294"/>
      <c r="FU294"/>
      <c r="FV294"/>
      <c r="FW294"/>
      <c r="FX294"/>
      <c r="FY294"/>
      <c r="FZ294"/>
      <c r="GA294"/>
      <c r="GB294"/>
      <c r="GC294"/>
      <c r="GD294"/>
      <c r="GE294"/>
      <c r="GF294"/>
      <c r="GG294"/>
      <c r="GH294"/>
      <c r="GI294"/>
      <c r="GJ294"/>
      <c r="GK294"/>
      <c r="GL294"/>
      <c r="GM294"/>
      <c r="GN294"/>
      <c r="GO294"/>
      <c r="GP294"/>
      <c r="GQ294"/>
      <c r="GR294"/>
      <c r="GS294"/>
      <c r="GT294"/>
      <c r="GU294"/>
      <c r="GV294"/>
      <c r="GW294"/>
      <c r="GX294"/>
      <c r="GY294"/>
      <c r="GZ294"/>
      <c r="HA294"/>
      <c r="HB294"/>
      <c r="HC294"/>
      <c r="HD294"/>
      <c r="HE294"/>
      <c r="HF294"/>
      <c r="HG294"/>
      <c r="HH294"/>
      <c r="HI294"/>
      <c r="HJ294"/>
      <c r="HK294"/>
      <c r="HL294"/>
      <c r="HM294"/>
      <c r="HN294"/>
      <c r="HO294"/>
      <c r="HP294"/>
      <c r="HQ294"/>
      <c r="HR294"/>
    </row>
    <row r="295" spans="1:226" s="19" customFormat="1" x14ac:dyDescent="0.2">
      <c r="A295" s="19" t="s">
        <v>314</v>
      </c>
      <c r="B295" s="73"/>
      <c r="C295" s="73"/>
      <c r="D295" s="73"/>
      <c r="E295" s="73"/>
      <c r="F295" s="481"/>
      <c r="G295" s="73"/>
      <c r="H295" s="73"/>
      <c r="I295" s="73"/>
      <c r="J295" s="73"/>
      <c r="K295" s="481"/>
      <c r="L295" s="73"/>
      <c r="M295" s="73"/>
      <c r="N295" s="73"/>
      <c r="O295" s="73"/>
      <c r="P295" s="481"/>
      <c r="Q295" s="73"/>
      <c r="R295" s="73"/>
      <c r="S295" s="73"/>
      <c r="T295" s="73"/>
      <c r="U295" s="481"/>
      <c r="V295" s="73"/>
      <c r="W295" s="73"/>
      <c r="X295" s="73"/>
      <c r="Y295" s="73"/>
      <c r="Z295" s="481"/>
      <c r="AA295" s="73"/>
      <c r="AB295" s="73"/>
      <c r="AC295" s="73"/>
      <c r="AD295" s="73"/>
      <c r="AE295" s="481"/>
      <c r="AF295" s="73"/>
      <c r="AG295" s="73"/>
      <c r="AH295" s="73"/>
      <c r="AI295" s="73"/>
      <c r="AJ295" s="481">
        <f>AJ293+AJ294</f>
        <v>2211</v>
      </c>
      <c r="AK295" s="73"/>
      <c r="AL295" s="73"/>
      <c r="AM295" s="73"/>
      <c r="AN295" s="73"/>
      <c r="AO295" s="481">
        <f>AO293+AO294</f>
        <v>3153</v>
      </c>
      <c r="AP295" s="73"/>
      <c r="AQ295" s="73"/>
      <c r="AR295" s="73"/>
      <c r="AS295" s="73"/>
      <c r="AT295" s="481">
        <f>AT293+AT294</f>
        <v>2984</v>
      </c>
      <c r="AU295" s="73"/>
      <c r="AV295" s="73"/>
      <c r="AW295" s="73"/>
      <c r="AX295" s="73"/>
      <c r="AY295" s="481">
        <f>AY293+AY294</f>
        <v>2882</v>
      </c>
      <c r="AZ295" s="73"/>
      <c r="BA295" s="73"/>
      <c r="BB295" s="73"/>
      <c r="BC295" s="73"/>
      <c r="BD295" s="481">
        <f>BD293+BD294</f>
        <v>2500</v>
      </c>
      <c r="BE295" s="73"/>
      <c r="BF295" s="73"/>
      <c r="BG295" s="73"/>
      <c r="BH295" s="73"/>
      <c r="BI295" s="481">
        <f>BI293+BI294</f>
        <v>2586</v>
      </c>
      <c r="BJ295" s="73"/>
      <c r="BK295" s="73"/>
      <c r="BL295" s="73"/>
      <c r="BM295" s="73"/>
      <c r="BN295" s="481">
        <f>BN293+BN294</f>
        <v>2518</v>
      </c>
      <c r="BO295" s="73"/>
      <c r="BP295" s="73"/>
      <c r="BQ295" s="73"/>
      <c r="BR295" s="73"/>
      <c r="BS295" s="481">
        <f>BS293+BS294</f>
        <v>2467</v>
      </c>
      <c r="BT295" s="73"/>
      <c r="BU295" s="73"/>
      <c r="BV295" s="73"/>
      <c r="BW295" s="73"/>
      <c r="BX295" s="481">
        <f>BX293+BX294</f>
        <v>2309</v>
      </c>
      <c r="BY295" s="73"/>
      <c r="BZ295" s="73"/>
      <c r="CA295" s="73"/>
      <c r="CB295" s="73"/>
      <c r="CC295" s="481">
        <f>CC293+CC294</f>
        <v>2617</v>
      </c>
      <c r="CD295" s="73"/>
      <c r="CE295" s="73"/>
      <c r="CF295" s="73"/>
      <c r="CG295" s="73"/>
      <c r="CH295" s="481">
        <f ca="1">CH293+CH294</f>
        <v>2737</v>
      </c>
      <c r="CI295" s="73"/>
      <c r="CJ295" s="73"/>
      <c r="CK295" s="73"/>
      <c r="CL295" s="73"/>
      <c r="CM295" s="481">
        <f ca="1">CM293+CM294</f>
        <v>2947.1753609131392</v>
      </c>
      <c r="CN295" s="73"/>
      <c r="CO295" s="73"/>
      <c r="CP295" s="73"/>
      <c r="CQ295" s="73"/>
      <c r="CR295" s="481">
        <f ca="1">CR293+CR294</f>
        <v>3033.5406256075958</v>
      </c>
      <c r="CS295" s="73"/>
      <c r="CT295" s="73"/>
      <c r="CU295" s="73"/>
      <c r="CV295" s="73"/>
      <c r="CW295" s="481">
        <f ca="1">CW293+CW294</f>
        <v>3108.1309352783392</v>
      </c>
      <c r="CX295" s="73"/>
      <c r="CY295" s="73"/>
      <c r="CZ295" s="73"/>
      <c r="DA295" s="73"/>
      <c r="DB295" s="481">
        <f ca="1">DB293+DB294</f>
        <v>3188.6365318916487</v>
      </c>
      <c r="DC295" s="73"/>
      <c r="DD295" s="73"/>
      <c r="DE295" s="73"/>
      <c r="DF295" s="73"/>
      <c r="DG295" s="481">
        <f ca="1">DG293+DG294</f>
        <v>3261.2421924540458</v>
      </c>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c r="FC295"/>
      <c r="FD295"/>
      <c r="FE295"/>
      <c r="FF295"/>
      <c r="FG295"/>
      <c r="FH295"/>
      <c r="FI295"/>
      <c r="FJ295"/>
      <c r="FK295"/>
      <c r="FL295"/>
      <c r="FM295"/>
      <c r="FN295"/>
      <c r="FO295"/>
      <c r="FP295"/>
      <c r="FQ295"/>
      <c r="FR295"/>
      <c r="FS295"/>
      <c r="FT295"/>
      <c r="FU295"/>
      <c r="FV295"/>
      <c r="FW295"/>
      <c r="FX295"/>
      <c r="FY295"/>
      <c r="FZ295"/>
      <c r="GA295"/>
      <c r="GB295"/>
      <c r="GC295"/>
      <c r="GD295"/>
      <c r="GE295"/>
      <c r="GF295"/>
      <c r="GG295"/>
      <c r="GH295"/>
      <c r="GI295"/>
      <c r="GJ295"/>
      <c r="GK295"/>
      <c r="GL295"/>
      <c r="GM295"/>
      <c r="GN295"/>
      <c r="GO295"/>
      <c r="GP295"/>
      <c r="GQ295"/>
      <c r="GR295"/>
      <c r="GS295"/>
      <c r="GT295"/>
      <c r="GU295"/>
      <c r="GV295"/>
      <c r="GW295"/>
      <c r="GX295"/>
      <c r="GY295"/>
      <c r="GZ295"/>
      <c r="HA295"/>
      <c r="HB295"/>
      <c r="HC295"/>
      <c r="HD295"/>
      <c r="HE295"/>
      <c r="HF295"/>
      <c r="HG295"/>
      <c r="HH295"/>
      <c r="HI295"/>
      <c r="HJ295"/>
      <c r="HK295"/>
      <c r="HL295"/>
      <c r="HM295"/>
      <c r="HN295"/>
      <c r="HO295"/>
      <c r="HP295"/>
      <c r="HQ295"/>
      <c r="HR295"/>
    </row>
    <row r="296" spans="1:226" s="19" customFormat="1" x14ac:dyDescent="0.2">
      <c r="A296" s="19" t="s">
        <v>264</v>
      </c>
      <c r="B296" s="73"/>
      <c r="C296" s="73"/>
      <c r="D296" s="73"/>
      <c r="E296" s="73"/>
      <c r="F296" s="490"/>
      <c r="G296" s="73">
        <f>G293</f>
        <v>2734</v>
      </c>
      <c r="H296" s="73">
        <f>AVERAGE(G293:H293)</f>
        <v>2663.5</v>
      </c>
      <c r="I296" s="73">
        <f>AVERAGE(H293:I293)</f>
        <v>2558.5</v>
      </c>
      <c r="J296" s="73">
        <f>AVERAGE(I293:J293)</f>
        <v>2450</v>
      </c>
      <c r="K296" s="490">
        <f>AVERAGE(G293:J293)</f>
        <v>2556.75</v>
      </c>
      <c r="L296" s="73">
        <f>AVERAGE(K293:L293)</f>
        <v>2345</v>
      </c>
      <c r="M296" s="73">
        <f>AVERAGE(L293:M293)</f>
        <v>2314.5</v>
      </c>
      <c r="N296" s="73">
        <f>AVERAGE(M293:N293)</f>
        <v>2377.5</v>
      </c>
      <c r="O296" s="73">
        <f>AVERAGE(N293:O293)</f>
        <v>2362</v>
      </c>
      <c r="P296" s="490">
        <f>AVERAGE(P293,K293)</f>
        <v>2330</v>
      </c>
      <c r="Q296" s="73">
        <f>AVERAGE(P293:Q293)</f>
        <v>2294.5</v>
      </c>
      <c r="R296" s="73">
        <f>AVERAGE(Q293:R293)</f>
        <v>2316</v>
      </c>
      <c r="S296" s="73">
        <f>AVERAGE(R293:S293)</f>
        <v>2314.5</v>
      </c>
      <c r="T296" s="73">
        <f>AVERAGE(S293:T293)</f>
        <v>2304</v>
      </c>
      <c r="U296" s="490">
        <f>AVERAGE(U293,P293)</f>
        <v>2295</v>
      </c>
      <c r="V296" s="73">
        <f>AVERAGE(U293:V293)</f>
        <v>2298.5</v>
      </c>
      <c r="W296" s="73">
        <f>AVERAGE(V293:W293)</f>
        <v>2252.5</v>
      </c>
      <c r="X296" s="73">
        <f>AVERAGE(W293:X293)</f>
        <v>2200.5</v>
      </c>
      <c r="Y296" s="73">
        <f>AVERAGE(X293:Y293)</f>
        <v>2058.5</v>
      </c>
      <c r="Z296" s="490">
        <f>AVERAGE(Z293,U293)</f>
        <v>2118</v>
      </c>
      <c r="AA296" s="73">
        <f>AVERAGE(Z293:AA293)</f>
        <v>2038.5</v>
      </c>
      <c r="AB296" s="73">
        <f>AVERAGE(AA293:AB293)</f>
        <v>2131</v>
      </c>
      <c r="AC296" s="73">
        <f>AVERAGE(AB293:AC293)</f>
        <v>2137</v>
      </c>
      <c r="AD296" s="73">
        <f>AVERAGE(AC293:AD293)</f>
        <v>2138.5</v>
      </c>
      <c r="AE296" s="490">
        <f>AVERAGE(AE293,Z293)</f>
        <v>2024</v>
      </c>
      <c r="AF296" s="73">
        <f>AVERAGE(AE293:AF293)</f>
        <v>2124</v>
      </c>
      <c r="AG296" s="73">
        <f>AVERAGE(AF293:AG293)</f>
        <v>2169</v>
      </c>
      <c r="AH296" s="73">
        <f>AVERAGE(AG293:AH293)</f>
        <v>2235</v>
      </c>
      <c r="AI296" s="73">
        <f>AVERAGE(AH293:AI293)</f>
        <v>2234.5</v>
      </c>
      <c r="AJ296" s="490">
        <f>AVERAGE(AJ295,AE293)</f>
        <v>2164.5</v>
      </c>
      <c r="AK296" s="73">
        <f>AVERAGE(AJ293:AK293)</f>
        <v>2209.5</v>
      </c>
      <c r="AL296" s="73">
        <f>AVERAGE(AK293:AL293)</f>
        <v>2710.5</v>
      </c>
      <c r="AM296" s="73">
        <f>AVERAGE(AL293:AM293)</f>
        <v>3208.5</v>
      </c>
      <c r="AN296" s="73">
        <f>AVERAGE(AM293:AN293)</f>
        <v>3156.5</v>
      </c>
      <c r="AO296" s="490">
        <f>AVERAGE(AO295,AJ295)</f>
        <v>2682</v>
      </c>
      <c r="AP296" s="73">
        <f>AVERAGE(AO293:AP293)</f>
        <v>3094</v>
      </c>
      <c r="AQ296" s="73">
        <f>AVERAGE(AP293:AQ293)</f>
        <v>3018</v>
      </c>
      <c r="AR296" s="73">
        <f>AVERAGE(AQ293:AR293)</f>
        <v>2952.5</v>
      </c>
      <c r="AS296" s="73">
        <f>AVERAGE(AR293:AS293)</f>
        <v>2963</v>
      </c>
      <c r="AT296" s="490">
        <f>AVERAGE(AT295,AO295)-23.9</f>
        <v>3044.6</v>
      </c>
      <c r="AU296" s="73">
        <f>AVERAGE(AT293:AU293)</f>
        <v>3048</v>
      </c>
      <c r="AV296" s="73">
        <f>AVERAGE(AU293:AV293)</f>
        <v>3092</v>
      </c>
      <c r="AW296" s="73">
        <f>AVERAGE(AV293:AW293)</f>
        <v>3130</v>
      </c>
      <c r="AX296" s="73">
        <f>AVERAGE(AW293:AX293)</f>
        <v>3038</v>
      </c>
      <c r="AY296" s="490">
        <f>AVERAGE(AY295,AT295)-5</f>
        <v>2928</v>
      </c>
      <c r="AZ296" s="73">
        <f>AVERAGE(AY293:AZ293)</f>
        <v>3043.5</v>
      </c>
      <c r="BA296" s="73">
        <f>AVERAGE(AZ293:BA293)</f>
        <v>2880.5</v>
      </c>
      <c r="BB296" s="73">
        <f>AVERAGE(BA293:BB293)</f>
        <v>2469</v>
      </c>
      <c r="BC296" s="73">
        <f>AVERAGE(BB293:BC293)</f>
        <v>2442</v>
      </c>
      <c r="BD296" s="490">
        <f>AVERAGE(BD295,AY295)</f>
        <v>2691</v>
      </c>
      <c r="BE296" s="73">
        <f>AVERAGE(BD293:BE293)</f>
        <v>2492</v>
      </c>
      <c r="BF296" s="73">
        <f>AVERAGE(BE293:BF293)</f>
        <v>2591.5</v>
      </c>
      <c r="BG296" s="73">
        <f>AVERAGE(BF293:BG293)</f>
        <v>2720.5</v>
      </c>
      <c r="BH296" s="73">
        <f>AVERAGE(BG293:BH293)</f>
        <v>2665</v>
      </c>
      <c r="BI296" s="490">
        <f>AVERAGE(BI295,BD295)</f>
        <v>2543</v>
      </c>
      <c r="BJ296" s="73">
        <f>AVERAGE(BI293:BJ293)</f>
        <v>2793.5</v>
      </c>
      <c r="BK296" s="73">
        <f>AVERAGE(BJ293:BK293)</f>
        <v>2865.5</v>
      </c>
      <c r="BL296" s="73">
        <f>AVERAGE(BK293:BL293)</f>
        <v>2721.5</v>
      </c>
      <c r="BM296" s="73">
        <f>AVERAGE(BL293:BM293)</f>
        <v>2615.5</v>
      </c>
      <c r="BN296" s="490">
        <f>AVERAGE(BN295,BI295)</f>
        <v>2552</v>
      </c>
      <c r="BO296" s="73">
        <f>AVERAGE(BN293:BO293)</f>
        <v>2527.5</v>
      </c>
      <c r="BP296" s="73">
        <f>AVERAGE(BO293:BP293)</f>
        <v>2602.5</v>
      </c>
      <c r="BQ296" s="73">
        <f>AVERAGE(BP293:BQ293)</f>
        <v>2642.5</v>
      </c>
      <c r="BR296" s="73">
        <f>AVERAGE(BQ293:BR293)</f>
        <v>2542</v>
      </c>
      <c r="BS296" s="490">
        <f>AVERAGE(BS295,BN295)</f>
        <v>2492.5</v>
      </c>
      <c r="BT296" s="73">
        <f>AVERAGE(BS293:BT293)</f>
        <v>2430</v>
      </c>
      <c r="BU296" s="73">
        <f>AVERAGE(BT293:BU293)</f>
        <v>2673</v>
      </c>
      <c r="BV296" s="73">
        <f>AVERAGE(BU293:BV293)</f>
        <v>2710.5</v>
      </c>
      <c r="BW296" s="73">
        <f>AVERAGE(BV293:BW293)</f>
        <v>2388.5</v>
      </c>
      <c r="BX296" s="490">
        <f>AVERAGE(BX295,BS295)</f>
        <v>2388</v>
      </c>
      <c r="BY296" s="73">
        <f>AVERAGE(BX293:BY293)</f>
        <v>2327.5</v>
      </c>
      <c r="BZ296" s="73">
        <f>AVERAGE(BY293:BZ293)</f>
        <v>2420</v>
      </c>
      <c r="CA296" s="73">
        <f>AVERAGE(BZ293:CA293)</f>
        <v>2490.5</v>
      </c>
      <c r="CB296" s="73">
        <f>AVERAGE(CA293:CB293)</f>
        <v>2552</v>
      </c>
      <c r="CC296" s="490">
        <f>AVERAGE(CC295,BX295)</f>
        <v>2463</v>
      </c>
      <c r="CD296" s="73">
        <f ca="1">AVERAGE(CC293:CD293)</f>
        <v>2656.5</v>
      </c>
      <c r="CE296" s="73">
        <f ca="1">AVERAGE(CD293:CE293)</f>
        <v>2757.5</v>
      </c>
      <c r="CF296" s="73">
        <f ca="1">AVERAGE(CE293:CF293)</f>
        <v>2831.5</v>
      </c>
      <c r="CG296" s="73">
        <f ca="1">AVERAGE(CF293:CG293)</f>
        <v>2790.5</v>
      </c>
      <c r="CH296" s="490">
        <f ca="1">AVERAGE(CH295,CC295)</f>
        <v>2677</v>
      </c>
      <c r="CI296" s="73">
        <f ca="1">AVERAGE(CH293:CI293)</f>
        <v>2764.5</v>
      </c>
      <c r="CJ296" s="73">
        <f ca="1">AVERAGE(CI293:CJ293)</f>
        <v>2917.5</v>
      </c>
      <c r="CK296" s="73">
        <f ca="1">AVERAGE(CJ293:CK293)</f>
        <v>3039.9181721161185</v>
      </c>
      <c r="CL296" s="73">
        <f ca="1">AVERAGE(CK293:CL293)</f>
        <v>2992.0058525726881</v>
      </c>
      <c r="CM296" s="490">
        <f ca="1">AVERAGE(CM295,CH295)</f>
        <v>2842.0876804565696</v>
      </c>
      <c r="CN296" s="73">
        <f ca="1">AVERAGE(CM293:CN293)</f>
        <v>2909.9396574637963</v>
      </c>
      <c r="CO296" s="73">
        <f ca="1">AVERAGE(CN293:CO293)</f>
        <v>2993.9224742053448</v>
      </c>
      <c r="CP296" s="73">
        <f ca="1">AVERAGE(CO293:CP293)</f>
        <v>3113.8450886923479</v>
      </c>
      <c r="CQ296" s="73">
        <f ca="1">AVERAGE(CP293:CQ293)</f>
        <v>3073.0449042980276</v>
      </c>
      <c r="CR296" s="490">
        <f ca="1">AVERAGE(CR295,CM295)</f>
        <v>2990.3579932603675</v>
      </c>
      <c r="CS296" s="73">
        <f ca="1">AVERAGE(CR293:CS293)</f>
        <v>2991.1596162707947</v>
      </c>
      <c r="CT296" s="73">
        <f ca="1">AVERAGE(CS293:CT293)</f>
        <v>3069.9100276046911</v>
      </c>
      <c r="CU296" s="73">
        <f ca="1">AVERAGE(CT293:CU293)</f>
        <v>3189.5711737825268</v>
      </c>
      <c r="CV296" s="73">
        <f ca="1">AVERAGE(CU293:CV293)</f>
        <v>3148.1159172840016</v>
      </c>
      <c r="CW296" s="490">
        <f ca="1">AVERAGE(CW295,CR295)</f>
        <v>3070.8357804429675</v>
      </c>
      <c r="CX296" s="73">
        <f ca="1">AVERAGE(CW293:CX293)</f>
        <v>3067.86466841324</v>
      </c>
      <c r="CY296" s="73">
        <f ca="1">AVERAGE(CX293:CY293)</f>
        <v>3148.748559660793</v>
      </c>
      <c r="CZ296" s="73">
        <f ca="1">AVERAGE(CY293:CZ293)</f>
        <v>3269.0223422027466</v>
      </c>
      <c r="DA296" s="73">
        <f ca="1">AVERAGE(CZ293:DA293)</f>
        <v>3228.3912492618483</v>
      </c>
      <c r="DB296" s="490">
        <f ca="1">AVERAGE(DB295,CW295)</f>
        <v>3148.3837335849939</v>
      </c>
      <c r="DC296" s="73">
        <f ca="1">AVERAGE(DB293:DC293)</f>
        <v>3142.8223549599334</v>
      </c>
      <c r="DD296" s="73">
        <f ca="1">AVERAGE(DC293:DD293)</f>
        <v>3218.4387027508756</v>
      </c>
      <c r="DE296" s="73">
        <f ca="1">AVERAGE(DD293:DE293)</f>
        <v>3339.8430255564194</v>
      </c>
      <c r="DF296" s="73">
        <f ca="1">AVERAGE(DE293:DF293)</f>
        <v>3300.5295080466758</v>
      </c>
      <c r="DG296" s="490">
        <f ca="1">AVERAGE(DG295,DB295)</f>
        <v>3224.9393621728473</v>
      </c>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c r="FC296"/>
      <c r="FD296"/>
      <c r="FE296"/>
      <c r="FF296"/>
      <c r="FG296"/>
      <c r="FH296"/>
      <c r="FI296"/>
      <c r="FJ296"/>
      <c r="FK296"/>
      <c r="FL296"/>
      <c r="FM296"/>
      <c r="FN296"/>
      <c r="FO296"/>
      <c r="FP296"/>
      <c r="FQ296"/>
      <c r="FR296"/>
      <c r="FS296"/>
      <c r="FT296"/>
      <c r="FU296"/>
      <c r="FV296"/>
      <c r="FW296"/>
      <c r="FX296"/>
      <c r="FY296"/>
      <c r="FZ296"/>
      <c r="GA296"/>
      <c r="GB296"/>
      <c r="GC296"/>
      <c r="GD296"/>
      <c r="GE296"/>
      <c r="GF296"/>
      <c r="GG296"/>
      <c r="GH296"/>
      <c r="GI296"/>
      <c r="GJ296"/>
      <c r="GK296"/>
      <c r="GL296"/>
      <c r="GM296"/>
      <c r="GN296"/>
      <c r="GO296"/>
      <c r="GP296"/>
      <c r="GQ296"/>
      <c r="GR296"/>
      <c r="GS296"/>
      <c r="GT296"/>
      <c r="GU296"/>
      <c r="GV296"/>
      <c r="GW296"/>
      <c r="GX296"/>
      <c r="GY296"/>
      <c r="GZ296"/>
      <c r="HA296"/>
      <c r="HB296"/>
      <c r="HC296"/>
      <c r="HD296"/>
      <c r="HE296"/>
      <c r="HF296"/>
      <c r="HG296"/>
      <c r="HH296"/>
      <c r="HI296"/>
      <c r="HJ296"/>
      <c r="HK296"/>
      <c r="HL296"/>
      <c r="HM296"/>
      <c r="HN296"/>
      <c r="HO296"/>
      <c r="HP296"/>
      <c r="HQ296"/>
      <c r="HR296"/>
    </row>
    <row r="297" spans="1:226" s="19" customFormat="1" x14ac:dyDescent="0.2">
      <c r="F297" s="73"/>
      <c r="K297" s="73"/>
      <c r="P297" s="73"/>
      <c r="U297" s="73"/>
      <c r="Z297" s="73"/>
      <c r="AE297" s="73"/>
      <c r="AJ297" s="73"/>
      <c r="AO297" s="73"/>
      <c r="AY297" s="20"/>
      <c r="BD297" s="20"/>
      <c r="BI297" s="20"/>
      <c r="BN297" s="20"/>
      <c r="BS297" s="20"/>
      <c r="BX297" s="20"/>
      <c r="CC297" s="20"/>
      <c r="CH297" s="20"/>
      <c r="CM297" s="20"/>
      <c r="CR297" s="20"/>
      <c r="CW297" s="20"/>
      <c r="DB297" s="20"/>
      <c r="DG297" s="20"/>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c r="FC297"/>
      <c r="FD297"/>
      <c r="FE297"/>
      <c r="FF297"/>
      <c r="FG297"/>
      <c r="FH297"/>
      <c r="FI297"/>
      <c r="FJ297"/>
      <c r="FK297"/>
      <c r="FL297"/>
      <c r="FM297"/>
      <c r="FN297"/>
      <c r="FO297"/>
      <c r="FP297"/>
      <c r="FQ297"/>
      <c r="FR297"/>
      <c r="FS297"/>
      <c r="FT297"/>
      <c r="FU297"/>
      <c r="FV297"/>
      <c r="FW297"/>
      <c r="FX297"/>
      <c r="FY297"/>
      <c r="FZ297"/>
      <c r="GA297"/>
      <c r="GB297"/>
      <c r="GC297"/>
      <c r="GD297"/>
      <c r="GE297"/>
      <c r="GF297"/>
      <c r="GG297"/>
      <c r="GH297"/>
      <c r="GI297"/>
      <c r="GJ297"/>
      <c r="GK297"/>
      <c r="GL297"/>
      <c r="GM297"/>
      <c r="GN297"/>
      <c r="GO297"/>
      <c r="GP297"/>
      <c r="GQ297"/>
      <c r="GR297"/>
      <c r="GS297"/>
      <c r="GT297"/>
      <c r="GU297"/>
      <c r="GV297"/>
      <c r="GW297"/>
      <c r="GX297"/>
      <c r="GY297"/>
      <c r="GZ297"/>
      <c r="HA297"/>
      <c r="HB297"/>
      <c r="HC297"/>
      <c r="HD297"/>
      <c r="HE297"/>
      <c r="HF297"/>
      <c r="HG297"/>
      <c r="HH297"/>
      <c r="HI297"/>
      <c r="HJ297"/>
      <c r="HK297"/>
      <c r="HL297"/>
      <c r="HM297"/>
      <c r="HN297"/>
      <c r="HO297"/>
      <c r="HP297"/>
      <c r="HQ297"/>
      <c r="HR297"/>
    </row>
    <row r="298" spans="1:226" s="19" customFormat="1" x14ac:dyDescent="0.2">
      <c r="AO298" s="500"/>
      <c r="AP298" s="500"/>
      <c r="AQ298" s="500"/>
      <c r="AR298" s="500"/>
      <c r="AS298" s="500"/>
      <c r="AT298" s="500"/>
      <c r="AU298" s="500"/>
      <c r="AV298" s="500"/>
      <c r="AW298" s="500"/>
      <c r="AY298" s="20"/>
      <c r="BD298" s="20"/>
      <c r="BI298" s="20"/>
      <c r="BN298" s="20"/>
      <c r="BS298" s="20"/>
      <c r="BX298" s="20"/>
      <c r="CC298" s="20"/>
      <c r="CH298" s="20"/>
      <c r="CM298" s="20"/>
      <c r="CR298" s="20"/>
      <c r="CW298" s="20"/>
      <c r="DB298" s="20"/>
      <c r="DG298" s="20"/>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c r="FC298"/>
      <c r="FD298"/>
      <c r="FE298"/>
      <c r="FF298"/>
      <c r="FG298"/>
      <c r="FH298"/>
      <c r="FI298"/>
      <c r="FJ298"/>
      <c r="FK298"/>
      <c r="FL298"/>
      <c r="FM298"/>
      <c r="FN298"/>
      <c r="FO298"/>
      <c r="FP298"/>
      <c r="FQ298"/>
      <c r="FR298"/>
      <c r="FS298"/>
      <c r="FT298"/>
      <c r="FU298"/>
      <c r="FV298"/>
      <c r="FW298"/>
      <c r="FX298"/>
      <c r="FY298"/>
      <c r="FZ298"/>
      <c r="GA298"/>
      <c r="GB298"/>
      <c r="GC298"/>
      <c r="GD298"/>
      <c r="GE298"/>
      <c r="GF298"/>
      <c r="GG298"/>
      <c r="GH298"/>
      <c r="GI298"/>
      <c r="GJ298"/>
      <c r="GK298"/>
      <c r="GL298"/>
      <c r="GM298"/>
      <c r="GN298"/>
      <c r="GO298"/>
      <c r="GP298"/>
      <c r="GQ298"/>
      <c r="GR298"/>
      <c r="GS298"/>
      <c r="GT298"/>
      <c r="GU298"/>
      <c r="GV298"/>
      <c r="GW298"/>
      <c r="GX298"/>
      <c r="GY298"/>
      <c r="GZ298"/>
      <c r="HA298"/>
      <c r="HB298"/>
      <c r="HC298"/>
      <c r="HD298"/>
      <c r="HE298"/>
      <c r="HF298"/>
      <c r="HG298"/>
      <c r="HH298"/>
      <c r="HI298"/>
      <c r="HJ298"/>
      <c r="HK298"/>
      <c r="HL298"/>
      <c r="HM298"/>
      <c r="HN298"/>
      <c r="HO298"/>
      <c r="HP298"/>
      <c r="HQ298"/>
      <c r="HR298"/>
    </row>
    <row r="299" spans="1:226" s="19" customFormat="1" hidden="1" outlineLevel="1" x14ac:dyDescent="0.2">
      <c r="A299" s="19" t="s">
        <v>308</v>
      </c>
      <c r="AK299" s="499" t="s">
        <v>209</v>
      </c>
      <c r="AL299" s="499" t="s">
        <v>209</v>
      </c>
      <c r="AM299" s="499" t="s">
        <v>209</v>
      </c>
      <c r="AN299" s="500">
        <v>0.04</v>
      </c>
      <c r="AO299" s="500">
        <v>-0.01</v>
      </c>
      <c r="AP299" s="500">
        <v>-0.02</v>
      </c>
      <c r="AQ299" s="500">
        <v>0.01</v>
      </c>
      <c r="AR299" s="573">
        <f>AT299-AP299-AQ299-AS299</f>
        <v>-1.999999999999999E-2</v>
      </c>
      <c r="AS299" s="500">
        <v>-0.1</v>
      </c>
      <c r="AT299" s="500">
        <v>-0.13</v>
      </c>
      <c r="AU299" s="500">
        <v>-0.04</v>
      </c>
      <c r="AV299" s="500">
        <v>-0.03</v>
      </c>
      <c r="AW299" s="500">
        <v>-7.0000000000000007E-2</v>
      </c>
      <c r="AX299" s="500">
        <v>-0.05</v>
      </c>
      <c r="AY299" s="500">
        <v>-0.25</v>
      </c>
      <c r="BD299" s="20"/>
      <c r="BI299" s="20"/>
      <c r="BN299" s="20"/>
      <c r="BS299" s="20"/>
      <c r="BX299" s="20"/>
      <c r="CC299" s="20"/>
      <c r="CH299" s="20"/>
      <c r="CM299" s="20"/>
      <c r="CR299" s="20"/>
      <c r="CW299" s="20"/>
      <c r="DB299" s="20"/>
      <c r="DG299" s="20"/>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c r="FC299"/>
      <c r="FD299"/>
      <c r="FE299"/>
      <c r="FF299"/>
      <c r="FG299"/>
      <c r="FH299"/>
      <c r="FI299"/>
      <c r="FJ299"/>
      <c r="FK299"/>
      <c r="FL299"/>
      <c r="FM299"/>
      <c r="FN299"/>
      <c r="FO299"/>
      <c r="FP299"/>
      <c r="FQ299"/>
      <c r="FR299"/>
      <c r="FS299"/>
      <c r="FT299"/>
      <c r="FU299"/>
      <c r="FV299"/>
      <c r="FW299"/>
      <c r="FX299"/>
      <c r="FY299"/>
      <c r="FZ299"/>
      <c r="GA299"/>
      <c r="GB299"/>
      <c r="GC299"/>
      <c r="GD299"/>
      <c r="GE299"/>
      <c r="GF299"/>
      <c r="GG299"/>
      <c r="GH299"/>
      <c r="GI299"/>
      <c r="GJ299"/>
      <c r="GK299"/>
      <c r="GL299"/>
      <c r="GM299"/>
      <c r="GN299"/>
      <c r="GO299"/>
      <c r="GP299"/>
      <c r="GQ299"/>
      <c r="GR299"/>
      <c r="GS299"/>
      <c r="GT299"/>
      <c r="GU299"/>
      <c r="GV299"/>
      <c r="GW299"/>
      <c r="GX299"/>
      <c r="GY299"/>
      <c r="GZ299"/>
      <c r="HA299"/>
      <c r="HB299"/>
      <c r="HC299"/>
      <c r="HD299"/>
      <c r="HE299"/>
      <c r="HF299"/>
      <c r="HG299"/>
      <c r="HH299"/>
      <c r="HI299"/>
      <c r="HJ299"/>
      <c r="HK299"/>
      <c r="HL299"/>
      <c r="HM299"/>
      <c r="HN299"/>
      <c r="HO299"/>
      <c r="HP299"/>
      <c r="HQ299"/>
      <c r="HR299"/>
    </row>
    <row r="300" spans="1:226" s="19" customFormat="1" hidden="1" outlineLevel="1" x14ac:dyDescent="0.2">
      <c r="A300" s="19" t="s">
        <v>309</v>
      </c>
      <c r="AK300" s="499" t="s">
        <v>209</v>
      </c>
      <c r="AL300" s="499" t="s">
        <v>209</v>
      </c>
      <c r="AM300" s="499" t="s">
        <v>209</v>
      </c>
      <c r="AN300" s="499" t="s">
        <v>209</v>
      </c>
      <c r="AO300" s="499" t="s">
        <v>209</v>
      </c>
      <c r="AP300" s="499" t="s">
        <v>209</v>
      </c>
      <c r="AQ300" s="499" t="s">
        <v>209</v>
      </c>
      <c r="AR300" s="499" t="s">
        <v>209</v>
      </c>
      <c r="AS300" s="499" t="s">
        <v>209</v>
      </c>
      <c r="AT300" s="499" t="s">
        <v>209</v>
      </c>
      <c r="AU300" s="499" t="s">
        <v>209</v>
      </c>
      <c r="AV300" s="500">
        <v>-0.06</v>
      </c>
      <c r="AW300" s="500" t="s">
        <v>209</v>
      </c>
      <c r="AX300" s="500" t="s">
        <v>209</v>
      </c>
      <c r="AY300" s="499" t="s">
        <v>209</v>
      </c>
      <c r="BD300" s="20"/>
      <c r="BI300" s="20"/>
      <c r="BN300" s="20"/>
      <c r="BQ300" s="130">
        <f>AVERAGE(BM256,BO256,BP256,BQ256)</f>
        <v>50.548809315199676</v>
      </c>
      <c r="BS300" s="20"/>
      <c r="BX300" s="20"/>
      <c r="CC300" s="20"/>
      <c r="CH300" s="20"/>
      <c r="CM300" s="20"/>
      <c r="CR300" s="20"/>
      <c r="CW300" s="20"/>
      <c r="DB300" s="20"/>
      <c r="DG300" s="2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c r="FC300"/>
      <c r="FD300"/>
      <c r="FE300"/>
      <c r="FF300"/>
      <c r="FG300"/>
      <c r="FH300"/>
      <c r="FI300"/>
      <c r="FJ300"/>
      <c r="FK300"/>
      <c r="FL300"/>
      <c r="FM300"/>
      <c r="FN300"/>
      <c r="FO300"/>
      <c r="FP300"/>
      <c r="FQ300"/>
      <c r="FR300"/>
      <c r="FS300"/>
      <c r="FT300"/>
      <c r="FU300"/>
      <c r="FV300"/>
      <c r="FW300"/>
      <c r="FX300"/>
      <c r="FY300"/>
      <c r="FZ300"/>
      <c r="GA300"/>
      <c r="GB300"/>
      <c r="GC300"/>
      <c r="GD300"/>
      <c r="GE300"/>
      <c r="GF300"/>
      <c r="GG300"/>
      <c r="GH300"/>
      <c r="GI300"/>
      <c r="GJ300"/>
      <c r="GK300"/>
      <c r="GL300"/>
      <c r="GM300"/>
      <c r="GN300"/>
      <c r="GO300"/>
      <c r="GP300"/>
      <c r="GQ300"/>
      <c r="GR300"/>
      <c r="GS300"/>
      <c r="GT300"/>
      <c r="GU300"/>
      <c r="GV300"/>
      <c r="GW300"/>
      <c r="GX300"/>
      <c r="GY300"/>
      <c r="GZ300"/>
      <c r="HA300"/>
      <c r="HB300"/>
      <c r="HC300"/>
      <c r="HD300"/>
      <c r="HE300"/>
      <c r="HF300"/>
      <c r="HG300"/>
      <c r="HH300"/>
      <c r="HI300"/>
      <c r="HJ300"/>
      <c r="HK300"/>
      <c r="HL300"/>
      <c r="HM300"/>
      <c r="HN300"/>
      <c r="HO300"/>
      <c r="HP300"/>
      <c r="HQ300"/>
      <c r="HR300"/>
    </row>
    <row r="301" spans="1:226" s="19" customFormat="1" hidden="1" outlineLevel="1" x14ac:dyDescent="0.2">
      <c r="AK301" s="30"/>
      <c r="AL301" s="30"/>
      <c r="AM301" s="30"/>
      <c r="AN301" s="500"/>
      <c r="AO301" s="500"/>
      <c r="AP301" s="500"/>
      <c r="AQ301" s="500"/>
      <c r="AR301" s="500"/>
      <c r="AS301" s="500"/>
      <c r="AT301" s="500"/>
      <c r="AU301" s="500"/>
      <c r="AV301" s="500"/>
      <c r="AW301" s="500"/>
      <c r="AY301" s="20"/>
      <c r="BD301" s="20"/>
      <c r="BI301" s="20"/>
      <c r="BN301" s="20"/>
      <c r="BQ301" s="130">
        <f>AVERAGE(BM257,BO257,BP257,BQ257)</f>
        <v>35.175239561667524</v>
      </c>
      <c r="BS301" s="20"/>
      <c r="BX301" s="20"/>
      <c r="CC301" s="20"/>
      <c r="CH301" s="20"/>
      <c r="CM301" s="20"/>
      <c r="CR301" s="20"/>
      <c r="CW301" s="20"/>
      <c r="DB301" s="20"/>
      <c r="DG301" s="20"/>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c r="FC301"/>
      <c r="FD301"/>
      <c r="FE301"/>
      <c r="FF301"/>
      <c r="FG301"/>
      <c r="FH301"/>
      <c r="FI301"/>
      <c r="FJ301"/>
      <c r="FK301"/>
      <c r="FL301"/>
      <c r="FM301"/>
      <c r="FN301"/>
      <c r="FO301"/>
      <c r="FP301"/>
      <c r="FQ301"/>
      <c r="FR301"/>
      <c r="FS301"/>
      <c r="FT301"/>
      <c r="FU301"/>
      <c r="FV301"/>
      <c r="FW301"/>
      <c r="FX301"/>
      <c r="FY301"/>
      <c r="FZ301"/>
      <c r="GA301"/>
      <c r="GB301"/>
      <c r="GC301"/>
      <c r="GD301"/>
      <c r="GE301"/>
      <c r="GF301"/>
      <c r="GG301"/>
      <c r="GH301"/>
      <c r="GI301"/>
      <c r="GJ301"/>
      <c r="GK301"/>
      <c r="GL301"/>
      <c r="GM301"/>
      <c r="GN301"/>
      <c r="GO301"/>
      <c r="GP301"/>
      <c r="GQ301"/>
      <c r="GR301"/>
      <c r="GS301"/>
      <c r="GT301"/>
      <c r="GU301"/>
      <c r="GV301"/>
      <c r="GW301"/>
      <c r="GX301"/>
      <c r="GY301"/>
      <c r="GZ301"/>
      <c r="HA301"/>
      <c r="HB301"/>
      <c r="HC301"/>
      <c r="HD301"/>
      <c r="HE301"/>
      <c r="HF301"/>
      <c r="HG301"/>
      <c r="HH301"/>
      <c r="HI301"/>
      <c r="HJ301"/>
      <c r="HK301"/>
      <c r="HL301"/>
      <c r="HM301"/>
      <c r="HN301"/>
      <c r="HO301"/>
      <c r="HP301"/>
      <c r="HQ301"/>
      <c r="HR301"/>
    </row>
    <row r="302" spans="1:226" s="19" customFormat="1" hidden="1" outlineLevel="1" x14ac:dyDescent="0.2">
      <c r="AY302" s="20"/>
      <c r="BD302" s="20"/>
      <c r="BI302" s="20"/>
      <c r="BN302" s="20"/>
      <c r="BQ302" s="130">
        <f>-AVERAGE(BM258,BO258,BP258,BQ258)</f>
        <v>44.266363557802975</v>
      </c>
      <c r="BS302" s="20"/>
      <c r="BX302" s="20"/>
      <c r="CC302" s="20"/>
      <c r="CH302" s="20"/>
      <c r="CM302" s="20"/>
      <c r="CR302" s="20"/>
      <c r="CW302" s="20"/>
      <c r="DB302" s="20"/>
      <c r="DG302" s="20"/>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c r="FC302"/>
      <c r="FD302"/>
      <c r="FE302"/>
      <c r="FF302"/>
      <c r="FG302"/>
      <c r="FH302"/>
      <c r="FI302"/>
      <c r="FJ302"/>
      <c r="FK302"/>
      <c r="FL302"/>
      <c r="FM302"/>
      <c r="FN302"/>
      <c r="FO302"/>
      <c r="FP302"/>
      <c r="FQ302"/>
      <c r="FR302"/>
      <c r="FS302"/>
      <c r="FT302"/>
      <c r="FU302"/>
      <c r="FV302"/>
      <c r="FW302"/>
      <c r="FX302"/>
      <c r="FY302"/>
      <c r="FZ302"/>
      <c r="GA302"/>
      <c r="GB302"/>
      <c r="GC302"/>
      <c r="GD302"/>
      <c r="GE302"/>
      <c r="GF302"/>
      <c r="GG302"/>
      <c r="GH302"/>
      <c r="GI302"/>
      <c r="GJ302"/>
      <c r="GK302"/>
      <c r="GL302"/>
      <c r="GM302"/>
      <c r="GN302"/>
      <c r="GO302"/>
      <c r="GP302"/>
      <c r="GQ302"/>
      <c r="GR302"/>
      <c r="GS302"/>
      <c r="GT302"/>
      <c r="GU302"/>
      <c r="GV302"/>
      <c r="GW302"/>
      <c r="GX302"/>
      <c r="GY302"/>
      <c r="GZ302"/>
      <c r="HA302"/>
      <c r="HB302"/>
      <c r="HC302"/>
      <c r="HD302"/>
      <c r="HE302"/>
      <c r="HF302"/>
      <c r="HG302"/>
      <c r="HH302"/>
      <c r="HI302"/>
      <c r="HJ302"/>
      <c r="HK302"/>
      <c r="HL302"/>
      <c r="HM302"/>
      <c r="HN302"/>
      <c r="HO302"/>
      <c r="HP302"/>
      <c r="HQ302"/>
      <c r="HR302"/>
    </row>
    <row r="303" spans="1:226" s="19" customFormat="1" hidden="1" outlineLevel="1" x14ac:dyDescent="0.2">
      <c r="A303" s="19" t="s">
        <v>335</v>
      </c>
      <c r="AM303" s="381"/>
      <c r="AN303" s="381"/>
      <c r="AO303" s="381">
        <f t="shared" ref="AO303:AW303" si="627">AO299*AO98/(1-AO77)</f>
        <v>-2.1346805206073753</v>
      </c>
      <c r="AP303" s="381">
        <f t="shared" si="627"/>
        <v>-4.0646812499999996</v>
      </c>
      <c r="AQ303" s="381">
        <f t="shared" si="627"/>
        <v>2.1378743023255815</v>
      </c>
      <c r="AR303" s="381">
        <f t="shared" si="627"/>
        <v>-4.2861035294117622</v>
      </c>
      <c r="AS303" s="381">
        <f t="shared" si="627"/>
        <v>-21.690635294117648</v>
      </c>
      <c r="AT303" s="381">
        <f t="shared" si="627"/>
        <v>-27.695106312849155</v>
      </c>
      <c r="AU303" s="495">
        <f t="shared" si="627"/>
        <v>-8.7333819999999989</v>
      </c>
      <c r="AV303" s="495">
        <f t="shared" si="627"/>
        <v>-6.2546245161290317</v>
      </c>
      <c r="AW303" s="495">
        <f t="shared" si="627"/>
        <v>-14.529124615384617</v>
      </c>
      <c r="AY303" s="20"/>
      <c r="BD303" s="20"/>
      <c r="BI303" s="20"/>
      <c r="BN303" s="20"/>
      <c r="BS303" s="20"/>
      <c r="BX303" s="20"/>
      <c r="CC303" s="20"/>
      <c r="CH303" s="20"/>
      <c r="CM303" s="20"/>
      <c r="CR303" s="20"/>
      <c r="CW303" s="20"/>
      <c r="DB303" s="20"/>
      <c r="DG303" s="20"/>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c r="FC303"/>
      <c r="FD303"/>
      <c r="FE303"/>
      <c r="FF303"/>
      <c r="FG303"/>
      <c r="FH303"/>
      <c r="FI303"/>
      <c r="FJ303"/>
      <c r="FK303"/>
      <c r="FL303"/>
      <c r="FM303"/>
      <c r="FN303"/>
      <c r="FO303"/>
      <c r="FP303"/>
      <c r="FQ303"/>
      <c r="FR303"/>
      <c r="FS303"/>
      <c r="FT303"/>
      <c r="FU303"/>
      <c r="FV303"/>
      <c r="FW303"/>
      <c r="FX303"/>
      <c r="FY303"/>
      <c r="FZ303"/>
      <c r="GA303"/>
      <c r="GB303"/>
      <c r="GC303"/>
      <c r="GD303"/>
      <c r="GE303"/>
      <c r="GF303"/>
      <c r="GG303"/>
      <c r="GH303"/>
      <c r="GI303"/>
      <c r="GJ303"/>
      <c r="GK303"/>
      <c r="GL303"/>
      <c r="GM303"/>
      <c r="GN303"/>
      <c r="GO303"/>
      <c r="GP303"/>
      <c r="GQ303"/>
      <c r="GR303"/>
      <c r="GS303"/>
      <c r="GT303"/>
      <c r="GU303"/>
      <c r="GV303"/>
      <c r="GW303"/>
      <c r="GX303"/>
      <c r="GY303"/>
      <c r="GZ303"/>
      <c r="HA303"/>
      <c r="HB303"/>
      <c r="HC303"/>
      <c r="HD303"/>
      <c r="HE303"/>
      <c r="HF303"/>
      <c r="HG303"/>
      <c r="HH303"/>
      <c r="HI303"/>
      <c r="HJ303"/>
      <c r="HK303"/>
      <c r="HL303"/>
      <c r="HM303"/>
      <c r="HN303"/>
      <c r="HO303"/>
      <c r="HP303"/>
      <c r="HQ303"/>
      <c r="HR303"/>
    </row>
    <row r="304" spans="1:226" s="19" customFormat="1" hidden="1" outlineLevel="1" x14ac:dyDescent="0.2">
      <c r="A304" s="19" t="s">
        <v>336</v>
      </c>
      <c r="AN304" s="381"/>
      <c r="AO304" s="381">
        <f>SegmentData!AP30*Financials!AJ7</f>
        <v>58.164000000000001</v>
      </c>
      <c r="AP304" s="381">
        <f>SegmentData!AQ30*Financials!AK7</f>
        <v>4.9560000000000004</v>
      </c>
      <c r="AQ304" s="381">
        <f>SegmentData!AR30*Financials!AL7</f>
        <v>-33.207999999999998</v>
      </c>
      <c r="AR304" s="381">
        <f>SegmentData!AS30*Financials!AM7</f>
        <v>-41.942999999999998</v>
      </c>
      <c r="AS304" s="381">
        <f>SegmentData!AT30*Financials!AN7</f>
        <v>-37.375</v>
      </c>
      <c r="AT304" s="381">
        <f>SegmentData!AU30*Financials!AO7</f>
        <v>-100.187</v>
      </c>
      <c r="AU304" s="495">
        <f>SegmentData!AV30*Financials!AP7</f>
        <v>-20.759999999999998</v>
      </c>
      <c r="AV304" s="495">
        <f>SegmentData!AW30*Financials!AQ7</f>
        <v>19.456</v>
      </c>
      <c r="AW304" s="495">
        <f>SegmentData!AX30*Financials!AR7</f>
        <v>-4.0499999999999989</v>
      </c>
      <c r="AY304" s="20"/>
      <c r="BD304" s="20"/>
      <c r="BI304" s="20"/>
      <c r="BN304" s="20"/>
      <c r="BS304" s="20"/>
      <c r="BX304" s="20"/>
      <c r="CC304" s="20"/>
      <c r="CH304" s="20"/>
      <c r="CM304" s="20"/>
      <c r="CR304" s="20"/>
      <c r="CW304" s="20"/>
      <c r="DB304" s="20"/>
      <c r="DG304" s="20"/>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c r="FC304"/>
      <c r="FD304"/>
      <c r="FE304"/>
      <c r="FF304"/>
      <c r="FG304"/>
      <c r="FH304"/>
      <c r="FI304"/>
      <c r="FJ304"/>
      <c r="FK304"/>
      <c r="FL304"/>
      <c r="FM304"/>
      <c r="FN304"/>
      <c r="FO304"/>
      <c r="FP304"/>
      <c r="FQ304"/>
      <c r="FR304"/>
      <c r="FS304"/>
      <c r="FT304"/>
      <c r="FU304"/>
      <c r="FV304"/>
      <c r="FW304"/>
      <c r="FX304"/>
      <c r="FY304"/>
      <c r="FZ304"/>
      <c r="GA304"/>
      <c r="GB304"/>
      <c r="GC304"/>
      <c r="GD304"/>
      <c r="GE304"/>
      <c r="GF304"/>
      <c r="GG304"/>
      <c r="GH304"/>
      <c r="GI304"/>
      <c r="GJ304"/>
      <c r="GK304"/>
      <c r="GL304"/>
      <c r="GM304"/>
      <c r="GN304"/>
      <c r="GO304"/>
      <c r="GP304"/>
      <c r="GQ304"/>
      <c r="GR304"/>
      <c r="GS304"/>
      <c r="GT304"/>
      <c r="GU304"/>
      <c r="GV304"/>
      <c r="GW304"/>
      <c r="GX304"/>
      <c r="GY304"/>
      <c r="GZ304"/>
      <c r="HA304"/>
      <c r="HB304"/>
      <c r="HC304"/>
      <c r="HD304"/>
      <c r="HE304"/>
      <c r="HF304"/>
      <c r="HG304"/>
      <c r="HH304"/>
      <c r="HI304"/>
      <c r="HJ304"/>
      <c r="HK304"/>
      <c r="HL304"/>
      <c r="HM304"/>
      <c r="HN304"/>
      <c r="HO304"/>
      <c r="HP304"/>
      <c r="HQ304"/>
      <c r="HR304"/>
    </row>
    <row r="305" spans="40:226" s="19" customFormat="1" hidden="1" outlineLevel="1" x14ac:dyDescent="0.2">
      <c r="AN305" s="43"/>
      <c r="AO305" s="38">
        <f t="shared" ref="AO305:AW305" si="628">AO303/AO304</f>
        <v>-3.6701061147915812E-2</v>
      </c>
      <c r="AP305" s="38">
        <f t="shared" si="628"/>
        <v>-0.82015360169491514</v>
      </c>
      <c r="AQ305" s="38">
        <f t="shared" si="628"/>
        <v>-6.437829144560292E-2</v>
      </c>
      <c r="AR305" s="38">
        <f t="shared" si="628"/>
        <v>0.10218876879125867</v>
      </c>
      <c r="AS305" s="38">
        <f t="shared" si="628"/>
        <v>0.58035144599645883</v>
      </c>
      <c r="AT305" s="38">
        <f t="shared" si="628"/>
        <v>0.27643413130295502</v>
      </c>
      <c r="AU305" s="50">
        <f t="shared" si="628"/>
        <v>0.42068314065510598</v>
      </c>
      <c r="AV305" s="50">
        <f t="shared" si="628"/>
        <v>-0.32147535547538197</v>
      </c>
      <c r="AW305" s="50">
        <f t="shared" si="628"/>
        <v>3.587438176638178</v>
      </c>
      <c r="AY305" s="20"/>
      <c r="BD305" s="20"/>
      <c r="BI305" s="20"/>
      <c r="BN305" s="20"/>
      <c r="BS305" s="20"/>
      <c r="BX305" s="20"/>
      <c r="CC305" s="20"/>
      <c r="CH305" s="20"/>
      <c r="CM305" s="20"/>
      <c r="CR305" s="20"/>
      <c r="CW305" s="20"/>
      <c r="DB305" s="20"/>
      <c r="DG305" s="20"/>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c r="FC305"/>
      <c r="FD305"/>
      <c r="FE305"/>
      <c r="FF305"/>
      <c r="FG305"/>
      <c r="FH305"/>
      <c r="FI305"/>
      <c r="FJ305"/>
      <c r="FK305"/>
      <c r="FL305"/>
      <c r="FM305"/>
      <c r="FN305"/>
      <c r="FO305"/>
      <c r="FP305"/>
      <c r="FQ305"/>
      <c r="FR305"/>
      <c r="FS305"/>
      <c r="FT305"/>
      <c r="FU305"/>
      <c r="FV305"/>
      <c r="FW305"/>
      <c r="FX305"/>
      <c r="FY305"/>
      <c r="FZ305"/>
      <c r="GA305"/>
      <c r="GB305"/>
      <c r="GC305"/>
      <c r="GD305"/>
      <c r="GE305"/>
      <c r="GF305"/>
      <c r="GG305"/>
      <c r="GH305"/>
      <c r="GI305"/>
      <c r="GJ305"/>
      <c r="GK305"/>
      <c r="GL305"/>
      <c r="GM305"/>
      <c r="GN305"/>
      <c r="GO305"/>
      <c r="GP305"/>
      <c r="GQ305"/>
      <c r="GR305"/>
      <c r="GS305"/>
      <c r="GT305"/>
      <c r="GU305"/>
      <c r="GV305"/>
      <c r="GW305"/>
      <c r="GX305"/>
      <c r="GY305"/>
      <c r="GZ305"/>
      <c r="HA305"/>
      <c r="HB305"/>
      <c r="HC305"/>
      <c r="HD305"/>
      <c r="HE305"/>
      <c r="HF305"/>
      <c r="HG305"/>
      <c r="HH305"/>
      <c r="HI305"/>
      <c r="HJ305"/>
      <c r="HK305"/>
      <c r="HL305"/>
      <c r="HM305"/>
      <c r="HN305"/>
      <c r="HO305"/>
      <c r="HP305"/>
      <c r="HQ305"/>
      <c r="HR305"/>
    </row>
    <row r="306" spans="40:226" s="19" customFormat="1" collapsed="1" x14ac:dyDescent="0.2">
      <c r="AY306" s="20"/>
      <c r="BD306" s="20"/>
      <c r="BI306" s="20"/>
      <c r="BN306" s="20"/>
      <c r="BS306" s="20"/>
      <c r="BX306" s="20"/>
      <c r="CC306" s="20"/>
      <c r="CH306" s="20"/>
      <c r="CM306" s="20"/>
      <c r="CR306" s="20"/>
      <c r="CW306" s="20"/>
      <c r="DB306" s="20"/>
      <c r="DG306" s="20"/>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c r="FC306"/>
      <c r="FD306"/>
      <c r="FE306"/>
      <c r="FF306"/>
      <c r="FG306"/>
      <c r="FH306"/>
      <c r="FI306"/>
      <c r="FJ306"/>
      <c r="FK306"/>
      <c r="FL306"/>
      <c r="FM306"/>
      <c r="FN306"/>
      <c r="FO306"/>
      <c r="FP306"/>
      <c r="FQ306"/>
      <c r="FR306"/>
      <c r="FS306"/>
      <c r="FT306"/>
      <c r="FU306"/>
      <c r="FV306"/>
      <c r="FW306"/>
      <c r="FX306"/>
      <c r="FY306"/>
      <c r="FZ306"/>
      <c r="GA306"/>
      <c r="GB306"/>
      <c r="GC306"/>
      <c r="GD306"/>
      <c r="GE306"/>
      <c r="GF306"/>
      <c r="GG306"/>
      <c r="GH306"/>
      <c r="GI306"/>
      <c r="GJ306"/>
      <c r="GK306"/>
      <c r="GL306"/>
      <c r="GM306"/>
      <c r="GN306"/>
      <c r="GO306"/>
      <c r="GP306"/>
      <c r="GQ306"/>
      <c r="GR306"/>
      <c r="GS306"/>
      <c r="GT306"/>
      <c r="GU306"/>
      <c r="GV306"/>
      <c r="GW306"/>
      <c r="GX306"/>
      <c r="GY306"/>
      <c r="GZ306"/>
      <c r="HA306"/>
      <c r="HB306"/>
      <c r="HC306"/>
      <c r="HD306"/>
      <c r="HE306"/>
      <c r="HF306"/>
      <c r="HG306"/>
      <c r="HH306"/>
      <c r="HI306"/>
      <c r="HJ306"/>
      <c r="HK306"/>
      <c r="HL306"/>
      <c r="HM306"/>
      <c r="HN306"/>
      <c r="HO306"/>
      <c r="HP306"/>
      <c r="HQ306"/>
      <c r="HR306"/>
    </row>
    <row r="307" spans="40:226" s="19" customFormat="1" x14ac:dyDescent="0.2">
      <c r="AY307" s="20"/>
      <c r="BD307" s="20"/>
      <c r="BI307" s="20"/>
      <c r="BN307" s="20"/>
      <c r="BS307" s="20"/>
      <c r="BX307" s="20"/>
      <c r="CC307" s="20"/>
      <c r="CH307" s="20"/>
      <c r="CM307" s="20"/>
      <c r="CR307" s="20"/>
      <c r="CW307" s="20"/>
      <c r="DB307" s="20"/>
      <c r="DG307" s="20"/>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c r="FC307"/>
      <c r="FD307"/>
      <c r="FE307"/>
      <c r="FF307"/>
      <c r="FG307"/>
      <c r="FH307"/>
      <c r="FI307"/>
      <c r="FJ307"/>
      <c r="FK307"/>
      <c r="FL307"/>
      <c r="FM307"/>
      <c r="FN307"/>
      <c r="FO307"/>
      <c r="FP307"/>
      <c r="FQ307"/>
      <c r="FR307"/>
      <c r="FS307"/>
      <c r="FT307"/>
      <c r="FU307"/>
      <c r="FV307"/>
      <c r="FW307"/>
      <c r="FX307"/>
      <c r="FY307"/>
      <c r="FZ307"/>
      <c r="GA307"/>
      <c r="GB307"/>
      <c r="GC307"/>
      <c r="GD307"/>
      <c r="GE307"/>
      <c r="GF307"/>
      <c r="GG307"/>
      <c r="GH307"/>
      <c r="GI307"/>
      <c r="GJ307"/>
      <c r="GK307"/>
      <c r="GL307"/>
      <c r="GM307"/>
      <c r="GN307"/>
      <c r="GO307"/>
      <c r="GP307"/>
      <c r="GQ307"/>
      <c r="GR307"/>
      <c r="GS307"/>
      <c r="GT307"/>
      <c r="GU307"/>
      <c r="GV307"/>
      <c r="GW307"/>
      <c r="GX307"/>
      <c r="GY307"/>
      <c r="GZ307"/>
      <c r="HA307"/>
      <c r="HB307"/>
      <c r="HC307"/>
      <c r="HD307"/>
      <c r="HE307"/>
      <c r="HF307"/>
      <c r="HG307"/>
      <c r="HH307"/>
      <c r="HI307"/>
      <c r="HJ307"/>
      <c r="HK307"/>
      <c r="HL307"/>
      <c r="HM307"/>
      <c r="HN307"/>
      <c r="HO307"/>
      <c r="HP307"/>
      <c r="HQ307"/>
      <c r="HR307"/>
    </row>
    <row r="308" spans="40:226" s="19" customFormat="1" x14ac:dyDescent="0.2">
      <c r="AY308" s="20"/>
      <c r="BD308" s="20"/>
      <c r="BI308" s="20"/>
      <c r="BN308" s="20"/>
      <c r="BS308" s="20"/>
      <c r="BX308" s="20"/>
      <c r="CC308" s="20"/>
      <c r="CH308" s="20"/>
      <c r="CM308" s="20"/>
      <c r="CR308" s="20"/>
      <c r="CW308" s="20"/>
      <c r="DB308" s="20"/>
      <c r="DG308" s="20"/>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c r="FC308"/>
      <c r="FD308"/>
      <c r="FE308"/>
      <c r="FF308"/>
      <c r="FG308"/>
      <c r="FH308"/>
      <c r="FI308"/>
      <c r="FJ308"/>
      <c r="FK308"/>
      <c r="FL308"/>
      <c r="FM308"/>
      <c r="FN308"/>
      <c r="FO308"/>
      <c r="FP308"/>
      <c r="FQ308"/>
      <c r="FR308"/>
      <c r="FS308"/>
      <c r="FT308"/>
      <c r="FU308"/>
      <c r="FV308"/>
      <c r="FW308"/>
      <c r="FX308"/>
      <c r="FY308"/>
      <c r="FZ308"/>
      <c r="GA308"/>
      <c r="GB308"/>
      <c r="GC308"/>
      <c r="GD308"/>
      <c r="GE308"/>
      <c r="GF308"/>
      <c r="GG308"/>
      <c r="GH308"/>
      <c r="GI308"/>
      <c r="GJ308"/>
      <c r="GK308"/>
      <c r="GL308"/>
      <c r="GM308"/>
      <c r="GN308"/>
      <c r="GO308"/>
      <c r="GP308"/>
      <c r="GQ308"/>
      <c r="GR308"/>
      <c r="GS308"/>
      <c r="GT308"/>
      <c r="GU308"/>
      <c r="GV308"/>
      <c r="GW308"/>
      <c r="GX308"/>
      <c r="GY308"/>
      <c r="GZ308"/>
      <c r="HA308"/>
      <c r="HB308"/>
      <c r="HC308"/>
      <c r="HD308"/>
      <c r="HE308"/>
      <c r="HF308"/>
      <c r="HG308"/>
      <c r="HH308"/>
      <c r="HI308"/>
      <c r="HJ308"/>
      <c r="HK308"/>
      <c r="HL308"/>
      <c r="HM308"/>
      <c r="HN308"/>
      <c r="HO308"/>
      <c r="HP308"/>
      <c r="HQ308"/>
      <c r="HR308"/>
    </row>
    <row r="309" spans="40:226" s="19" customFormat="1" x14ac:dyDescent="0.2">
      <c r="AY309" s="20"/>
      <c r="BD309" s="20"/>
      <c r="BI309" s="20"/>
      <c r="BN309" s="20"/>
      <c r="BS309" s="20"/>
      <c r="BX309" s="20"/>
      <c r="CC309" s="20"/>
      <c r="CH309" s="20"/>
      <c r="CM309" s="20"/>
      <c r="CR309" s="20"/>
      <c r="CW309" s="20"/>
      <c r="DB309" s="20"/>
      <c r="DG309" s="20"/>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row>
    <row r="310" spans="40:226" s="19" customFormat="1" x14ac:dyDescent="0.2">
      <c r="AY310" s="20"/>
      <c r="BD310" s="20"/>
      <c r="BI310" s="20"/>
      <c r="BN310" s="20"/>
      <c r="BS310" s="20"/>
      <c r="BX310" s="20"/>
      <c r="CC310" s="20"/>
      <c r="CH310" s="20"/>
      <c r="CM310" s="20"/>
      <c r="CR310" s="20"/>
      <c r="CW310" s="20"/>
      <c r="DB310" s="20"/>
      <c r="DG310" s="2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c r="FC310"/>
      <c r="FD310"/>
      <c r="FE310"/>
      <c r="FF310"/>
      <c r="FG310"/>
      <c r="FH310"/>
      <c r="FI310"/>
      <c r="FJ310"/>
      <c r="FK310"/>
      <c r="FL310"/>
      <c r="FM310"/>
      <c r="FN310"/>
      <c r="FO310"/>
      <c r="FP310"/>
      <c r="FQ310"/>
      <c r="FR310"/>
      <c r="FS310"/>
      <c r="FT310"/>
      <c r="FU310"/>
      <c r="FV310"/>
      <c r="FW310"/>
      <c r="FX310"/>
      <c r="FY310"/>
      <c r="FZ310"/>
      <c r="GA310"/>
      <c r="GB310"/>
      <c r="GC310"/>
      <c r="GD310"/>
      <c r="GE310"/>
      <c r="GF310"/>
      <c r="GG310"/>
      <c r="GH310"/>
      <c r="GI310"/>
      <c r="GJ310"/>
      <c r="GK310"/>
      <c r="GL310"/>
      <c r="GM310"/>
      <c r="GN310"/>
      <c r="GO310"/>
      <c r="GP310"/>
      <c r="GQ310"/>
      <c r="GR310"/>
      <c r="GS310"/>
      <c r="GT310"/>
      <c r="GU310"/>
      <c r="GV310"/>
      <c r="GW310"/>
      <c r="GX310"/>
      <c r="GY310"/>
      <c r="GZ310"/>
      <c r="HA310"/>
      <c r="HB310"/>
      <c r="HC310"/>
      <c r="HD310"/>
      <c r="HE310"/>
      <c r="HF310"/>
      <c r="HG310"/>
      <c r="HH310"/>
      <c r="HI310"/>
      <c r="HJ310"/>
      <c r="HK310"/>
      <c r="HL310"/>
      <c r="HM310"/>
      <c r="HN310"/>
      <c r="HO310"/>
      <c r="HP310"/>
      <c r="HQ310"/>
      <c r="HR310"/>
    </row>
    <row r="311" spans="40:226" s="19" customFormat="1" x14ac:dyDescent="0.2">
      <c r="AY311" s="20"/>
      <c r="BD311" s="20"/>
      <c r="BI311" s="20"/>
      <c r="BN311" s="20"/>
      <c r="BS311" s="20"/>
      <c r="BX311" s="20"/>
      <c r="CC311" s="20"/>
      <c r="CH311" s="20"/>
      <c r="CM311" s="20"/>
      <c r="CR311" s="20"/>
      <c r="CW311" s="20"/>
      <c r="DB311" s="20"/>
      <c r="DG311" s="20"/>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c r="FC311"/>
      <c r="FD311"/>
      <c r="FE311"/>
      <c r="FF311"/>
      <c r="FG311"/>
      <c r="FH311"/>
      <c r="FI311"/>
      <c r="FJ311"/>
      <c r="FK311"/>
      <c r="FL311"/>
      <c r="FM311"/>
      <c r="FN311"/>
      <c r="FO311"/>
      <c r="FP311"/>
      <c r="FQ311"/>
      <c r="FR311"/>
      <c r="FS311"/>
      <c r="FT311"/>
      <c r="FU311"/>
      <c r="FV311"/>
      <c r="FW311"/>
      <c r="FX311"/>
      <c r="FY311"/>
      <c r="FZ311"/>
      <c r="GA311"/>
      <c r="GB311"/>
      <c r="GC311"/>
      <c r="GD311"/>
      <c r="GE311"/>
      <c r="GF311"/>
      <c r="GG311"/>
      <c r="GH311"/>
      <c r="GI311"/>
      <c r="GJ311"/>
      <c r="GK311"/>
      <c r="GL311"/>
      <c r="GM311"/>
      <c r="GN311"/>
      <c r="GO311"/>
      <c r="GP311"/>
      <c r="GQ311"/>
      <c r="GR311"/>
      <c r="GS311"/>
      <c r="GT311"/>
      <c r="GU311"/>
      <c r="GV311"/>
      <c r="GW311"/>
      <c r="GX311"/>
      <c r="GY311"/>
      <c r="GZ311"/>
      <c r="HA311"/>
      <c r="HB311"/>
      <c r="HC311"/>
      <c r="HD311"/>
      <c r="HE311"/>
      <c r="HF311"/>
      <c r="HG311"/>
      <c r="HH311"/>
      <c r="HI311"/>
      <c r="HJ311"/>
      <c r="HK311"/>
      <c r="HL311"/>
      <c r="HM311"/>
      <c r="HN311"/>
      <c r="HO311"/>
      <c r="HP311"/>
      <c r="HQ311"/>
      <c r="HR311"/>
    </row>
    <row r="312" spans="40:226" s="19" customFormat="1" x14ac:dyDescent="0.2">
      <c r="AY312" s="20"/>
      <c r="BD312" s="20"/>
      <c r="BI312" s="20"/>
      <c r="BN312" s="20"/>
      <c r="BS312" s="20"/>
      <c r="BX312" s="20"/>
      <c r="CC312" s="20"/>
      <c r="CH312" s="20"/>
      <c r="CM312" s="20"/>
      <c r="CR312" s="20"/>
      <c r="CW312" s="20"/>
      <c r="DB312" s="20"/>
      <c r="DG312" s="20"/>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c r="FC312"/>
      <c r="FD312"/>
      <c r="FE312"/>
      <c r="FF312"/>
      <c r="FG312"/>
      <c r="FH312"/>
      <c r="FI312"/>
      <c r="FJ312"/>
      <c r="FK312"/>
      <c r="FL312"/>
      <c r="FM312"/>
      <c r="FN312"/>
      <c r="FO312"/>
      <c r="FP312"/>
      <c r="FQ312"/>
      <c r="FR312"/>
      <c r="FS312"/>
      <c r="FT312"/>
      <c r="FU312"/>
      <c r="FV312"/>
      <c r="FW312"/>
      <c r="FX312"/>
      <c r="FY312"/>
      <c r="FZ312"/>
      <c r="GA312"/>
      <c r="GB312"/>
      <c r="GC312"/>
      <c r="GD312"/>
      <c r="GE312"/>
      <c r="GF312"/>
      <c r="GG312"/>
      <c r="GH312"/>
      <c r="GI312"/>
      <c r="GJ312"/>
      <c r="GK312"/>
      <c r="GL312"/>
      <c r="GM312"/>
      <c r="GN312"/>
      <c r="GO312"/>
      <c r="GP312"/>
      <c r="GQ312"/>
      <c r="GR312"/>
      <c r="GS312"/>
      <c r="GT312"/>
      <c r="GU312"/>
      <c r="GV312"/>
      <c r="GW312"/>
      <c r="GX312"/>
      <c r="GY312"/>
      <c r="GZ312"/>
      <c r="HA312"/>
      <c r="HB312"/>
      <c r="HC312"/>
      <c r="HD312"/>
      <c r="HE312"/>
      <c r="HF312"/>
      <c r="HG312"/>
      <c r="HH312"/>
      <c r="HI312"/>
      <c r="HJ312"/>
      <c r="HK312"/>
      <c r="HL312"/>
      <c r="HM312"/>
      <c r="HN312"/>
      <c r="HO312"/>
      <c r="HP312"/>
      <c r="HQ312"/>
      <c r="HR312"/>
    </row>
    <row r="313" spans="40:226" s="19" customFormat="1" x14ac:dyDescent="0.2">
      <c r="AY313" s="20"/>
      <c r="BD313" s="20"/>
      <c r="BI313" s="20"/>
      <c r="BN313" s="20"/>
      <c r="BS313" s="20"/>
      <c r="BX313" s="20"/>
      <c r="CC313" s="20"/>
      <c r="CH313" s="20"/>
      <c r="CM313" s="20"/>
      <c r="CR313" s="20"/>
      <c r="CW313" s="20"/>
      <c r="DB313" s="20"/>
      <c r="DG313" s="20"/>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c r="FC313"/>
      <c r="FD313"/>
      <c r="FE313"/>
      <c r="FF313"/>
      <c r="FG313"/>
      <c r="FH313"/>
      <c r="FI313"/>
      <c r="FJ313"/>
      <c r="FK313"/>
      <c r="FL313"/>
      <c r="FM313"/>
      <c r="FN313"/>
      <c r="FO313"/>
      <c r="FP313"/>
      <c r="FQ313"/>
      <c r="FR313"/>
      <c r="FS313"/>
      <c r="FT313"/>
      <c r="FU313"/>
      <c r="FV313"/>
      <c r="FW313"/>
      <c r="FX313"/>
      <c r="FY313"/>
      <c r="FZ313"/>
      <c r="GA313"/>
      <c r="GB313"/>
      <c r="GC313"/>
      <c r="GD313"/>
      <c r="GE313"/>
      <c r="GF313"/>
      <c r="GG313"/>
      <c r="GH313"/>
      <c r="GI313"/>
      <c r="GJ313"/>
      <c r="GK313"/>
      <c r="GL313"/>
      <c r="GM313"/>
      <c r="GN313"/>
      <c r="GO313"/>
      <c r="GP313"/>
      <c r="GQ313"/>
      <c r="GR313"/>
      <c r="GS313"/>
      <c r="GT313"/>
      <c r="GU313"/>
      <c r="GV313"/>
      <c r="GW313"/>
      <c r="GX313"/>
      <c r="GY313"/>
      <c r="GZ313"/>
      <c r="HA313"/>
      <c r="HB313"/>
      <c r="HC313"/>
      <c r="HD313"/>
      <c r="HE313"/>
      <c r="HF313"/>
      <c r="HG313"/>
      <c r="HH313"/>
      <c r="HI313"/>
      <c r="HJ313"/>
      <c r="HK313"/>
      <c r="HL313"/>
      <c r="HM313"/>
      <c r="HN313"/>
      <c r="HO313"/>
      <c r="HP313"/>
      <c r="HQ313"/>
      <c r="HR313"/>
    </row>
    <row r="314" spans="40:226" s="19" customFormat="1" x14ac:dyDescent="0.2">
      <c r="AY314" s="20"/>
      <c r="BD314" s="20"/>
      <c r="BI314" s="20"/>
      <c r="BN314" s="20"/>
      <c r="BS314" s="20"/>
      <c r="BX314" s="20"/>
      <c r="CC314" s="20"/>
      <c r="CH314" s="20"/>
      <c r="CM314" s="20"/>
      <c r="CR314" s="20"/>
      <c r="CW314" s="20"/>
      <c r="DB314" s="20"/>
      <c r="DG314" s="20"/>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c r="FC314"/>
      <c r="FD314"/>
      <c r="FE314"/>
      <c r="FF314"/>
      <c r="FG314"/>
      <c r="FH314"/>
      <c r="FI314"/>
      <c r="FJ314"/>
      <c r="FK314"/>
      <c r="FL314"/>
      <c r="FM314"/>
      <c r="FN314"/>
      <c r="FO314"/>
      <c r="FP314"/>
      <c r="FQ314"/>
      <c r="FR314"/>
      <c r="FS314"/>
      <c r="FT314"/>
      <c r="FU314"/>
      <c r="FV314"/>
      <c r="FW314"/>
      <c r="FX314"/>
      <c r="FY314"/>
      <c r="FZ314"/>
      <c r="GA314"/>
      <c r="GB314"/>
      <c r="GC314"/>
      <c r="GD314"/>
      <c r="GE314"/>
      <c r="GF314"/>
      <c r="GG314"/>
      <c r="GH314"/>
      <c r="GI314"/>
      <c r="GJ314"/>
      <c r="GK314"/>
      <c r="GL314"/>
      <c r="GM314"/>
      <c r="GN314"/>
      <c r="GO314"/>
      <c r="GP314"/>
      <c r="GQ314"/>
      <c r="GR314"/>
      <c r="GS314"/>
      <c r="GT314"/>
      <c r="GU314"/>
      <c r="GV314"/>
      <c r="GW314"/>
      <c r="GX314"/>
      <c r="GY314"/>
      <c r="GZ314"/>
      <c r="HA314"/>
      <c r="HB314"/>
      <c r="HC314"/>
      <c r="HD314"/>
      <c r="HE314"/>
      <c r="HF314"/>
      <c r="HG314"/>
      <c r="HH314"/>
      <c r="HI314"/>
      <c r="HJ314"/>
      <c r="HK314"/>
      <c r="HL314"/>
      <c r="HM314"/>
      <c r="HN314"/>
      <c r="HO314"/>
      <c r="HP314"/>
      <c r="HQ314"/>
      <c r="HR314"/>
    </row>
    <row r="315" spans="40:226" s="19" customFormat="1" x14ac:dyDescent="0.2">
      <c r="AY315" s="20"/>
      <c r="BD315" s="20"/>
      <c r="BI315" s="20"/>
      <c r="BN315" s="20"/>
      <c r="BS315" s="20"/>
      <c r="BX315" s="20"/>
      <c r="CC315" s="20"/>
      <c r="CH315" s="20"/>
      <c r="CM315" s="20"/>
      <c r="CR315" s="20"/>
      <c r="CW315" s="20"/>
      <c r="DB315" s="20"/>
      <c r="DG315" s="20"/>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c r="FC315"/>
      <c r="FD315"/>
      <c r="FE315"/>
      <c r="FF315"/>
      <c r="FG315"/>
      <c r="FH315"/>
      <c r="FI315"/>
      <c r="FJ315"/>
      <c r="FK315"/>
      <c r="FL315"/>
      <c r="FM315"/>
      <c r="FN315"/>
      <c r="FO315"/>
      <c r="FP315"/>
      <c r="FQ315"/>
      <c r="FR315"/>
      <c r="FS315"/>
      <c r="FT315"/>
      <c r="FU315"/>
      <c r="FV315"/>
      <c r="FW315"/>
      <c r="FX315"/>
      <c r="FY315"/>
      <c r="FZ315"/>
      <c r="GA315"/>
      <c r="GB315"/>
      <c r="GC315"/>
      <c r="GD315"/>
      <c r="GE315"/>
      <c r="GF315"/>
      <c r="GG315"/>
      <c r="GH315"/>
      <c r="GI315"/>
      <c r="GJ315"/>
      <c r="GK315"/>
      <c r="GL315"/>
      <c r="GM315"/>
      <c r="GN315"/>
      <c r="GO315"/>
      <c r="GP315"/>
      <c r="GQ315"/>
      <c r="GR315"/>
      <c r="GS315"/>
      <c r="GT315"/>
      <c r="GU315"/>
      <c r="GV315"/>
      <c r="GW315"/>
      <c r="GX315"/>
      <c r="GY315"/>
      <c r="GZ315"/>
      <c r="HA315"/>
      <c r="HB315"/>
      <c r="HC315"/>
      <c r="HD315"/>
      <c r="HE315"/>
      <c r="HF315"/>
      <c r="HG315"/>
      <c r="HH315"/>
      <c r="HI315"/>
      <c r="HJ315"/>
      <c r="HK315"/>
      <c r="HL315"/>
      <c r="HM315"/>
      <c r="HN315"/>
      <c r="HO315"/>
      <c r="HP315"/>
      <c r="HQ315"/>
      <c r="HR315"/>
    </row>
    <row r="316" spans="40:226" s="19" customFormat="1" x14ac:dyDescent="0.2">
      <c r="AY316" s="20"/>
      <c r="BD316" s="20"/>
      <c r="BI316" s="20"/>
      <c r="BN316" s="20"/>
      <c r="BS316" s="20"/>
      <c r="BX316" s="20"/>
      <c r="CC316" s="20"/>
      <c r="CH316" s="20"/>
      <c r="CM316" s="20"/>
      <c r="CR316" s="20"/>
      <c r="CW316" s="20"/>
      <c r="DB316" s="20"/>
      <c r="DG316" s="20"/>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c r="FC316"/>
      <c r="FD316"/>
      <c r="FE316"/>
      <c r="FF316"/>
      <c r="FG316"/>
      <c r="FH316"/>
      <c r="FI316"/>
      <c r="FJ316"/>
      <c r="FK316"/>
      <c r="FL316"/>
      <c r="FM316"/>
      <c r="FN316"/>
      <c r="FO316"/>
      <c r="FP316"/>
      <c r="FQ316"/>
      <c r="FR316"/>
      <c r="FS316"/>
      <c r="FT316"/>
      <c r="FU316"/>
      <c r="FV316"/>
      <c r="FW316"/>
      <c r="FX316"/>
      <c r="FY316"/>
      <c r="FZ316"/>
      <c r="GA316"/>
      <c r="GB316"/>
      <c r="GC316"/>
      <c r="GD316"/>
      <c r="GE316"/>
      <c r="GF316"/>
      <c r="GG316"/>
      <c r="GH316"/>
      <c r="GI316"/>
      <c r="GJ316"/>
      <c r="GK316"/>
      <c r="GL316"/>
      <c r="GM316"/>
      <c r="GN316"/>
      <c r="GO316"/>
      <c r="GP316"/>
      <c r="GQ316"/>
      <c r="GR316"/>
      <c r="GS316"/>
      <c r="GT316"/>
      <c r="GU316"/>
      <c r="GV316"/>
      <c r="GW316"/>
      <c r="GX316"/>
      <c r="GY316"/>
      <c r="GZ316"/>
      <c r="HA316"/>
      <c r="HB316"/>
      <c r="HC316"/>
      <c r="HD316"/>
      <c r="HE316"/>
      <c r="HF316"/>
      <c r="HG316"/>
      <c r="HH316"/>
      <c r="HI316"/>
      <c r="HJ316"/>
      <c r="HK316"/>
      <c r="HL316"/>
      <c r="HM316"/>
      <c r="HN316"/>
      <c r="HO316"/>
      <c r="HP316"/>
      <c r="HQ316"/>
      <c r="HR316"/>
    </row>
    <row r="317" spans="40:226" s="19" customFormat="1" x14ac:dyDescent="0.2">
      <c r="AY317" s="20"/>
      <c r="BD317" s="20"/>
      <c r="BI317" s="20"/>
      <c r="BN317" s="20"/>
      <c r="BS317" s="20"/>
      <c r="BX317" s="20"/>
      <c r="CC317" s="20"/>
      <c r="CH317" s="20"/>
      <c r="CM317" s="20"/>
      <c r="CR317" s="20"/>
      <c r="CW317" s="20"/>
      <c r="DB317" s="20"/>
      <c r="DG317" s="20"/>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c r="FC317"/>
      <c r="FD317"/>
      <c r="FE317"/>
      <c r="FF317"/>
      <c r="FG317"/>
      <c r="FH317"/>
      <c r="FI317"/>
      <c r="FJ317"/>
      <c r="FK317"/>
      <c r="FL317"/>
      <c r="FM317"/>
      <c r="FN317"/>
      <c r="FO317"/>
      <c r="FP317"/>
      <c r="FQ317"/>
      <c r="FR317"/>
      <c r="FS317"/>
      <c r="FT317"/>
      <c r="FU317"/>
      <c r="FV317"/>
      <c r="FW317"/>
      <c r="FX317"/>
      <c r="FY317"/>
      <c r="FZ317"/>
      <c r="GA317"/>
      <c r="GB317"/>
      <c r="GC317"/>
      <c r="GD317"/>
      <c r="GE317"/>
      <c r="GF317"/>
      <c r="GG317"/>
      <c r="GH317"/>
      <c r="GI317"/>
      <c r="GJ317"/>
      <c r="GK317"/>
      <c r="GL317"/>
      <c r="GM317"/>
      <c r="GN317"/>
      <c r="GO317"/>
      <c r="GP317"/>
      <c r="GQ317"/>
      <c r="GR317"/>
      <c r="GS317"/>
      <c r="GT317"/>
      <c r="GU317"/>
      <c r="GV317"/>
      <c r="GW317"/>
      <c r="GX317"/>
      <c r="GY317"/>
      <c r="GZ317"/>
      <c r="HA317"/>
      <c r="HB317"/>
      <c r="HC317"/>
      <c r="HD317"/>
      <c r="HE317"/>
      <c r="HF317"/>
      <c r="HG317"/>
      <c r="HH317"/>
      <c r="HI317"/>
      <c r="HJ317"/>
      <c r="HK317"/>
      <c r="HL317"/>
      <c r="HM317"/>
      <c r="HN317"/>
      <c r="HO317"/>
      <c r="HP317"/>
      <c r="HQ317"/>
      <c r="HR317"/>
    </row>
    <row r="318" spans="40:226" s="19" customFormat="1" x14ac:dyDescent="0.2">
      <c r="AY318" s="20"/>
      <c r="BD318" s="20"/>
      <c r="BI318" s="20"/>
      <c r="BN318" s="20"/>
      <c r="BS318" s="20"/>
      <c r="BX318" s="20"/>
      <c r="CC318" s="20"/>
      <c r="CH318" s="20"/>
      <c r="CM318" s="20"/>
      <c r="CR318" s="20"/>
      <c r="CW318" s="20"/>
      <c r="DB318" s="20"/>
      <c r="DG318" s="20"/>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c r="FC318"/>
      <c r="FD318"/>
      <c r="FE318"/>
      <c r="FF318"/>
      <c r="FG318"/>
      <c r="FH318"/>
      <c r="FI318"/>
      <c r="FJ318"/>
      <c r="FK318"/>
      <c r="FL318"/>
      <c r="FM318"/>
      <c r="FN318"/>
      <c r="FO318"/>
      <c r="FP318"/>
      <c r="FQ318"/>
      <c r="FR318"/>
      <c r="FS318"/>
      <c r="FT318"/>
      <c r="FU318"/>
      <c r="FV318"/>
      <c r="FW318"/>
      <c r="FX318"/>
      <c r="FY318"/>
      <c r="FZ318"/>
      <c r="GA318"/>
      <c r="GB318"/>
      <c r="GC318"/>
      <c r="GD318"/>
      <c r="GE318"/>
      <c r="GF318"/>
      <c r="GG318"/>
      <c r="GH318"/>
      <c r="GI318"/>
      <c r="GJ318"/>
      <c r="GK318"/>
      <c r="GL318"/>
      <c r="GM318"/>
      <c r="GN318"/>
      <c r="GO318"/>
      <c r="GP318"/>
      <c r="GQ318"/>
      <c r="GR318"/>
      <c r="GS318"/>
      <c r="GT318"/>
      <c r="GU318"/>
      <c r="GV318"/>
      <c r="GW318"/>
      <c r="GX318"/>
      <c r="GY318"/>
      <c r="GZ318"/>
      <c r="HA318"/>
      <c r="HB318"/>
      <c r="HC318"/>
      <c r="HD318"/>
      <c r="HE318"/>
      <c r="HF318"/>
      <c r="HG318"/>
      <c r="HH318"/>
      <c r="HI318"/>
      <c r="HJ318"/>
      <c r="HK318"/>
      <c r="HL318"/>
      <c r="HM318"/>
      <c r="HN318"/>
      <c r="HO318"/>
      <c r="HP318"/>
      <c r="HQ318"/>
      <c r="HR318"/>
    </row>
    <row r="319" spans="40:226" s="19" customFormat="1" x14ac:dyDescent="0.2">
      <c r="AY319" s="20"/>
      <c r="BD319" s="20"/>
      <c r="BI319" s="20"/>
      <c r="BN319" s="20"/>
      <c r="BS319" s="20"/>
      <c r="BX319" s="20"/>
      <c r="CC319" s="20"/>
      <c r="CH319" s="20"/>
      <c r="CM319" s="20"/>
      <c r="CR319" s="20"/>
      <c r="CW319" s="20"/>
      <c r="DB319" s="20"/>
      <c r="DG319" s="20"/>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c r="FC319"/>
      <c r="FD319"/>
      <c r="FE319"/>
      <c r="FF319"/>
      <c r="FG319"/>
      <c r="FH319"/>
      <c r="FI319"/>
      <c r="FJ319"/>
      <c r="FK319"/>
      <c r="FL319"/>
      <c r="FM319"/>
      <c r="FN319"/>
      <c r="FO319"/>
      <c r="FP319"/>
      <c r="FQ319"/>
      <c r="FR319"/>
      <c r="FS319"/>
      <c r="FT319"/>
      <c r="FU319"/>
      <c r="FV319"/>
      <c r="FW319"/>
      <c r="FX319"/>
      <c r="FY319"/>
      <c r="FZ319"/>
      <c r="GA319"/>
      <c r="GB319"/>
      <c r="GC319"/>
      <c r="GD319"/>
      <c r="GE319"/>
      <c r="GF319"/>
      <c r="GG319"/>
      <c r="GH319"/>
      <c r="GI319"/>
      <c r="GJ319"/>
      <c r="GK319"/>
      <c r="GL319"/>
      <c r="GM319"/>
      <c r="GN319"/>
      <c r="GO319"/>
      <c r="GP319"/>
      <c r="GQ319"/>
      <c r="GR319"/>
      <c r="GS319"/>
      <c r="GT319"/>
      <c r="GU319"/>
      <c r="GV319"/>
      <c r="GW319"/>
      <c r="GX319"/>
      <c r="GY319"/>
      <c r="GZ319"/>
      <c r="HA319"/>
      <c r="HB319"/>
      <c r="HC319"/>
      <c r="HD319"/>
      <c r="HE319"/>
      <c r="HF319"/>
      <c r="HG319"/>
      <c r="HH319"/>
      <c r="HI319"/>
      <c r="HJ319"/>
      <c r="HK319"/>
      <c r="HL319"/>
      <c r="HM319"/>
      <c r="HN319"/>
      <c r="HO319"/>
      <c r="HP319"/>
      <c r="HQ319"/>
      <c r="HR319"/>
    </row>
    <row r="320" spans="40:226" s="19" customFormat="1" x14ac:dyDescent="0.2">
      <c r="AY320" s="20"/>
      <c r="BD320" s="20"/>
      <c r="BI320" s="20"/>
      <c r="BN320" s="20"/>
      <c r="BS320" s="20"/>
      <c r="BX320" s="20"/>
      <c r="CC320" s="20"/>
      <c r="CH320" s="20"/>
      <c r="CM320" s="20"/>
      <c r="CR320" s="20"/>
      <c r="CW320" s="20"/>
      <c r="DB320" s="20"/>
      <c r="DG320" s="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c r="FC320"/>
      <c r="FD320"/>
      <c r="FE320"/>
      <c r="FF320"/>
      <c r="FG320"/>
      <c r="FH320"/>
      <c r="FI320"/>
      <c r="FJ320"/>
      <c r="FK320"/>
      <c r="FL320"/>
      <c r="FM320"/>
      <c r="FN320"/>
      <c r="FO320"/>
      <c r="FP320"/>
      <c r="FQ320"/>
      <c r="FR320"/>
      <c r="FS320"/>
      <c r="FT320"/>
      <c r="FU320"/>
      <c r="FV320"/>
      <c r="FW320"/>
      <c r="FX320"/>
      <c r="FY320"/>
      <c r="FZ320"/>
      <c r="GA320"/>
      <c r="GB320"/>
      <c r="GC320"/>
      <c r="GD320"/>
      <c r="GE320"/>
      <c r="GF320"/>
      <c r="GG320"/>
      <c r="GH320"/>
      <c r="GI320"/>
      <c r="GJ320"/>
      <c r="GK320"/>
      <c r="GL320"/>
      <c r="GM320"/>
      <c r="GN320"/>
      <c r="GO320"/>
      <c r="GP320"/>
      <c r="GQ320"/>
      <c r="GR320"/>
      <c r="GS320"/>
      <c r="GT320"/>
      <c r="GU320"/>
      <c r="GV320"/>
      <c r="GW320"/>
      <c r="GX320"/>
      <c r="GY320"/>
      <c r="GZ320"/>
      <c r="HA320"/>
      <c r="HB320"/>
      <c r="HC320"/>
      <c r="HD320"/>
      <c r="HE320"/>
      <c r="HF320"/>
      <c r="HG320"/>
      <c r="HH320"/>
      <c r="HI320"/>
      <c r="HJ320"/>
      <c r="HK320"/>
      <c r="HL320"/>
      <c r="HM320"/>
      <c r="HN320"/>
      <c r="HO320"/>
      <c r="HP320"/>
      <c r="HQ320"/>
      <c r="HR320"/>
    </row>
    <row r="321" spans="1:226" s="19" customFormat="1" x14ac:dyDescent="0.2">
      <c r="AY321" s="20"/>
      <c r="BD321" s="20"/>
      <c r="BI321" s="20"/>
      <c r="BN321" s="20"/>
      <c r="BS321" s="20"/>
      <c r="BX321" s="20"/>
      <c r="CC321" s="20"/>
      <c r="CH321" s="20"/>
      <c r="CM321" s="20"/>
      <c r="CR321" s="20"/>
      <c r="CW321" s="20"/>
      <c r="DB321" s="20"/>
      <c r="DG321" s="20"/>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c r="FC321"/>
      <c r="FD321"/>
      <c r="FE321"/>
      <c r="FF321"/>
      <c r="FG321"/>
      <c r="FH321"/>
      <c r="FI321"/>
      <c r="FJ321"/>
      <c r="FK321"/>
      <c r="FL321"/>
      <c r="FM321"/>
      <c r="FN321"/>
      <c r="FO321"/>
      <c r="FP321"/>
      <c r="FQ321"/>
      <c r="FR321"/>
      <c r="FS321"/>
      <c r="FT321"/>
      <c r="FU321"/>
      <c r="FV321"/>
      <c r="FW321"/>
      <c r="FX321"/>
      <c r="FY321"/>
      <c r="FZ321"/>
      <c r="GA321"/>
      <c r="GB321"/>
      <c r="GC321"/>
      <c r="GD321"/>
      <c r="GE321"/>
      <c r="GF321"/>
      <c r="GG321"/>
      <c r="GH321"/>
      <c r="GI321"/>
      <c r="GJ321"/>
      <c r="GK321"/>
      <c r="GL321"/>
      <c r="GM321"/>
      <c r="GN321"/>
      <c r="GO321"/>
      <c r="GP321"/>
      <c r="GQ321"/>
      <c r="GR321"/>
      <c r="GS321"/>
      <c r="GT321"/>
      <c r="GU321"/>
      <c r="GV321"/>
      <c r="GW321"/>
      <c r="GX321"/>
      <c r="GY321"/>
      <c r="GZ321"/>
      <c r="HA321"/>
      <c r="HB321"/>
      <c r="HC321"/>
      <c r="HD321"/>
      <c r="HE321"/>
      <c r="HF321"/>
      <c r="HG321"/>
      <c r="HH321"/>
      <c r="HI321"/>
      <c r="HJ321"/>
      <c r="HK321"/>
      <c r="HL321"/>
      <c r="HM321"/>
      <c r="HN321"/>
      <c r="HO321"/>
      <c r="HP321"/>
      <c r="HQ321"/>
      <c r="HR321"/>
    </row>
    <row r="322" spans="1:226" s="19" customFormat="1" x14ac:dyDescent="0.2">
      <c r="AY322" s="20"/>
      <c r="BD322" s="20"/>
      <c r="BI322" s="20"/>
      <c r="BN322" s="20"/>
      <c r="BS322" s="20"/>
      <c r="BX322" s="20"/>
      <c r="CC322" s="20"/>
      <c r="CH322" s="20"/>
      <c r="CM322" s="20"/>
      <c r="CR322" s="20"/>
      <c r="CW322" s="20"/>
      <c r="DB322" s="20"/>
      <c r="DG322" s="20"/>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c r="FC322"/>
      <c r="FD322"/>
      <c r="FE322"/>
      <c r="FF322"/>
      <c r="FG322"/>
      <c r="FH322"/>
      <c r="FI322"/>
      <c r="FJ322"/>
      <c r="FK322"/>
      <c r="FL322"/>
      <c r="FM322"/>
      <c r="FN322"/>
      <c r="FO322"/>
      <c r="FP322"/>
      <c r="FQ322"/>
      <c r="FR322"/>
      <c r="FS322"/>
      <c r="FT322"/>
      <c r="FU322"/>
      <c r="FV322"/>
      <c r="FW322"/>
      <c r="FX322"/>
      <c r="FY322"/>
      <c r="FZ322"/>
      <c r="GA322"/>
      <c r="GB322"/>
      <c r="GC322"/>
      <c r="GD322"/>
      <c r="GE322"/>
      <c r="GF322"/>
      <c r="GG322"/>
      <c r="GH322"/>
      <c r="GI322"/>
      <c r="GJ322"/>
      <c r="GK322"/>
      <c r="GL322"/>
      <c r="GM322"/>
      <c r="GN322"/>
      <c r="GO322"/>
      <c r="GP322"/>
      <c r="GQ322"/>
      <c r="GR322"/>
      <c r="GS322"/>
      <c r="GT322"/>
      <c r="GU322"/>
      <c r="GV322"/>
      <c r="GW322"/>
      <c r="GX322"/>
      <c r="GY322"/>
      <c r="GZ322"/>
      <c r="HA322"/>
      <c r="HB322"/>
      <c r="HC322"/>
      <c r="HD322"/>
      <c r="HE322"/>
      <c r="HF322"/>
      <c r="HG322"/>
      <c r="HH322"/>
      <c r="HI322"/>
      <c r="HJ322"/>
      <c r="HK322"/>
      <c r="HL322"/>
      <c r="HM322"/>
      <c r="HN322"/>
      <c r="HO322"/>
      <c r="HP322"/>
      <c r="HQ322"/>
      <c r="HR322"/>
    </row>
    <row r="323" spans="1:226" s="19" customFormat="1" x14ac:dyDescent="0.2">
      <c r="AY323" s="20"/>
      <c r="BD323" s="20"/>
      <c r="BI323" s="20"/>
      <c r="BN323" s="20"/>
      <c r="BS323" s="20"/>
      <c r="BX323" s="20"/>
      <c r="CC323" s="20"/>
      <c r="CH323" s="20"/>
      <c r="CM323" s="20"/>
      <c r="CR323" s="20"/>
      <c r="CW323" s="20"/>
      <c r="DB323" s="20"/>
      <c r="DG323" s="20"/>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c r="FC323"/>
      <c r="FD323"/>
      <c r="FE323"/>
      <c r="FF323"/>
      <c r="FG323"/>
      <c r="FH323"/>
      <c r="FI323"/>
      <c r="FJ323"/>
      <c r="FK323"/>
      <c r="FL323"/>
      <c r="FM323"/>
      <c r="FN323"/>
      <c r="FO323"/>
      <c r="FP323"/>
      <c r="FQ323"/>
      <c r="FR323"/>
      <c r="FS323"/>
      <c r="FT323"/>
      <c r="FU323"/>
      <c r="FV323"/>
      <c r="FW323"/>
      <c r="FX323"/>
      <c r="FY323"/>
      <c r="FZ323"/>
      <c r="GA323"/>
      <c r="GB323"/>
      <c r="GC323"/>
      <c r="GD323"/>
      <c r="GE323"/>
      <c r="GF323"/>
      <c r="GG323"/>
      <c r="GH323"/>
      <c r="GI323"/>
      <c r="GJ323"/>
      <c r="GK323"/>
      <c r="GL323"/>
      <c r="GM323"/>
      <c r="GN323"/>
      <c r="GO323"/>
      <c r="GP323"/>
      <c r="GQ323"/>
      <c r="GR323"/>
      <c r="GS323"/>
      <c r="GT323"/>
      <c r="GU323"/>
      <c r="GV323"/>
      <c r="GW323"/>
      <c r="GX323"/>
      <c r="GY323"/>
      <c r="GZ323"/>
      <c r="HA323"/>
      <c r="HB323"/>
      <c r="HC323"/>
      <c r="HD323"/>
      <c r="HE323"/>
      <c r="HF323"/>
      <c r="HG323"/>
      <c r="HH323"/>
      <c r="HI323"/>
      <c r="HJ323"/>
      <c r="HK323"/>
      <c r="HL323"/>
      <c r="HM323"/>
      <c r="HN323"/>
      <c r="HO323"/>
      <c r="HP323"/>
      <c r="HQ323"/>
      <c r="HR323"/>
    </row>
    <row r="324" spans="1:226" s="19" customFormat="1" x14ac:dyDescent="0.2">
      <c r="AY324" s="20"/>
      <c r="BD324" s="20"/>
      <c r="BI324" s="20"/>
      <c r="BN324" s="20"/>
      <c r="BS324" s="20"/>
      <c r="BX324" s="20"/>
      <c r="CC324" s="20"/>
      <c r="CH324" s="20"/>
      <c r="CM324" s="20"/>
      <c r="CR324" s="20"/>
      <c r="CW324" s="20"/>
      <c r="DB324" s="20"/>
      <c r="DG324" s="20"/>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c r="FC324"/>
      <c r="FD324"/>
      <c r="FE324"/>
      <c r="FF324"/>
      <c r="FG324"/>
      <c r="FH324"/>
      <c r="FI324"/>
      <c r="FJ324"/>
      <c r="FK324"/>
      <c r="FL324"/>
      <c r="FM324"/>
      <c r="FN324"/>
      <c r="FO324"/>
      <c r="FP324"/>
      <c r="FQ324"/>
      <c r="FR324"/>
      <c r="FS324"/>
      <c r="FT324"/>
      <c r="FU324"/>
      <c r="FV324"/>
      <c r="FW324"/>
      <c r="FX324"/>
      <c r="FY324"/>
      <c r="FZ324"/>
      <c r="GA324"/>
      <c r="GB324"/>
      <c r="GC324"/>
      <c r="GD324"/>
      <c r="GE324"/>
      <c r="GF324"/>
      <c r="GG324"/>
      <c r="GH324"/>
      <c r="GI324"/>
      <c r="GJ324"/>
      <c r="GK324"/>
      <c r="GL324"/>
      <c r="GM324"/>
      <c r="GN324"/>
      <c r="GO324"/>
      <c r="GP324"/>
      <c r="GQ324"/>
      <c r="GR324"/>
      <c r="GS324"/>
      <c r="GT324"/>
      <c r="GU324"/>
      <c r="GV324"/>
      <c r="GW324"/>
      <c r="GX324"/>
      <c r="GY324"/>
      <c r="GZ324"/>
      <c r="HA324"/>
      <c r="HB324"/>
      <c r="HC324"/>
      <c r="HD324"/>
      <c r="HE324"/>
      <c r="HF324"/>
      <c r="HG324"/>
      <c r="HH324"/>
      <c r="HI324"/>
      <c r="HJ324"/>
      <c r="HK324"/>
      <c r="HL324"/>
      <c r="HM324"/>
      <c r="HN324"/>
      <c r="HO324"/>
      <c r="HP324"/>
      <c r="HQ324"/>
      <c r="HR324"/>
    </row>
    <row r="325" spans="1:226" s="19" customFormat="1" x14ac:dyDescent="0.2">
      <c r="AY325" s="20"/>
      <c r="BD325" s="20"/>
      <c r="BI325" s="20"/>
      <c r="BN325" s="20"/>
      <c r="BS325" s="20"/>
      <c r="BX325" s="20"/>
      <c r="CC325" s="20"/>
      <c r="CH325" s="20"/>
      <c r="CM325" s="20"/>
      <c r="CR325" s="20"/>
      <c r="CW325" s="20"/>
      <c r="DB325" s="20"/>
      <c r="DG325" s="20"/>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c r="FC325"/>
      <c r="FD325"/>
      <c r="FE325"/>
      <c r="FF325"/>
      <c r="FG325"/>
      <c r="FH325"/>
      <c r="FI325"/>
      <c r="FJ325"/>
      <c r="FK325"/>
      <c r="FL325"/>
      <c r="FM325"/>
      <c r="FN325"/>
      <c r="FO325"/>
      <c r="FP325"/>
      <c r="FQ325"/>
      <c r="FR325"/>
      <c r="FS325"/>
      <c r="FT325"/>
      <c r="FU325"/>
      <c r="FV325"/>
      <c r="FW325"/>
      <c r="FX325"/>
      <c r="FY325"/>
      <c r="FZ325"/>
      <c r="GA325"/>
      <c r="GB325"/>
      <c r="GC325"/>
      <c r="GD325"/>
      <c r="GE325"/>
      <c r="GF325"/>
      <c r="GG325"/>
      <c r="GH325"/>
      <c r="GI325"/>
      <c r="GJ325"/>
      <c r="GK325"/>
      <c r="GL325"/>
      <c r="GM325"/>
      <c r="GN325"/>
      <c r="GO325"/>
      <c r="GP325"/>
      <c r="GQ325"/>
      <c r="GR325"/>
      <c r="GS325"/>
      <c r="GT325"/>
      <c r="GU325"/>
      <c r="GV325"/>
      <c r="GW325"/>
      <c r="GX325"/>
      <c r="GY325"/>
      <c r="GZ325"/>
      <c r="HA325"/>
      <c r="HB325"/>
      <c r="HC325"/>
      <c r="HD325"/>
      <c r="HE325"/>
      <c r="HF325"/>
      <c r="HG325"/>
      <c r="HH325"/>
      <c r="HI325"/>
      <c r="HJ325"/>
      <c r="HK325"/>
      <c r="HL325"/>
      <c r="HM325"/>
      <c r="HN325"/>
      <c r="HO325"/>
      <c r="HP325"/>
      <c r="HQ325"/>
      <c r="HR325"/>
    </row>
    <row r="326" spans="1:226" s="19" customFormat="1" x14ac:dyDescent="0.2">
      <c r="AY326" s="20"/>
      <c r="BD326" s="20"/>
      <c r="BI326" s="20"/>
      <c r="BN326" s="20"/>
      <c r="BS326" s="20"/>
      <c r="BX326" s="20"/>
      <c r="CC326" s="20"/>
      <c r="CH326" s="20"/>
      <c r="CM326" s="20"/>
      <c r="CR326" s="20"/>
      <c r="CW326" s="20"/>
      <c r="DB326" s="20"/>
      <c r="DG326" s="20"/>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c r="FC326"/>
      <c r="FD326"/>
      <c r="FE326"/>
      <c r="FF326"/>
      <c r="FG326"/>
      <c r="FH326"/>
      <c r="FI326"/>
      <c r="FJ326"/>
      <c r="FK326"/>
      <c r="FL326"/>
      <c r="FM326"/>
      <c r="FN326"/>
      <c r="FO326"/>
      <c r="FP326"/>
      <c r="FQ326"/>
      <c r="FR326"/>
      <c r="FS326"/>
      <c r="FT326"/>
      <c r="FU326"/>
      <c r="FV326"/>
      <c r="FW326"/>
      <c r="FX326"/>
      <c r="FY326"/>
      <c r="FZ326"/>
      <c r="GA326"/>
      <c r="GB326"/>
      <c r="GC326"/>
      <c r="GD326"/>
      <c r="GE326"/>
      <c r="GF326"/>
      <c r="GG326"/>
      <c r="GH326"/>
      <c r="GI326"/>
      <c r="GJ326"/>
      <c r="GK326"/>
      <c r="GL326"/>
      <c r="GM326"/>
      <c r="GN326"/>
      <c r="GO326"/>
      <c r="GP326"/>
      <c r="GQ326"/>
      <c r="GR326"/>
      <c r="GS326"/>
      <c r="GT326"/>
      <c r="GU326"/>
      <c r="GV326"/>
      <c r="GW326"/>
      <c r="GX326"/>
      <c r="GY326"/>
      <c r="GZ326"/>
      <c r="HA326"/>
      <c r="HB326"/>
      <c r="HC326"/>
      <c r="HD326"/>
      <c r="HE326"/>
      <c r="HF326"/>
      <c r="HG326"/>
      <c r="HH326"/>
      <c r="HI326"/>
      <c r="HJ326"/>
      <c r="HK326"/>
      <c r="HL326"/>
      <c r="HM326"/>
      <c r="HN326"/>
      <c r="HO326"/>
      <c r="HP326"/>
      <c r="HQ326"/>
      <c r="HR326"/>
    </row>
    <row r="327" spans="1:226" s="19" customFormat="1" x14ac:dyDescent="0.2">
      <c r="AY327" s="20"/>
      <c r="BD327" s="20"/>
      <c r="BI327" s="20"/>
      <c r="BN327" s="20"/>
      <c r="BS327" s="20"/>
      <c r="BX327" s="20"/>
      <c r="CC327" s="20"/>
      <c r="CH327" s="20"/>
      <c r="CM327" s="20"/>
      <c r="CR327" s="20"/>
      <c r="CW327" s="20"/>
      <c r="DB327" s="20"/>
      <c r="DG327" s="20"/>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c r="FC327"/>
      <c r="FD327"/>
      <c r="FE327"/>
      <c r="FF327"/>
      <c r="FG327"/>
      <c r="FH327"/>
      <c r="FI327"/>
      <c r="FJ327"/>
      <c r="FK327"/>
      <c r="FL327"/>
      <c r="FM327"/>
      <c r="FN327"/>
      <c r="FO327"/>
      <c r="FP327"/>
      <c r="FQ327"/>
      <c r="FR327"/>
      <c r="FS327"/>
      <c r="FT327"/>
      <c r="FU327"/>
      <c r="FV327"/>
      <c r="FW327"/>
      <c r="FX327"/>
      <c r="FY327"/>
      <c r="FZ327"/>
      <c r="GA327"/>
      <c r="GB327"/>
      <c r="GC327"/>
      <c r="GD327"/>
      <c r="GE327"/>
      <c r="GF327"/>
      <c r="GG327"/>
      <c r="GH327"/>
      <c r="GI327"/>
      <c r="GJ327"/>
      <c r="GK327"/>
      <c r="GL327"/>
      <c r="GM327"/>
      <c r="GN327"/>
      <c r="GO327"/>
      <c r="GP327"/>
      <c r="GQ327"/>
      <c r="GR327"/>
      <c r="GS327"/>
      <c r="GT327"/>
      <c r="GU327"/>
      <c r="GV327"/>
      <c r="GW327"/>
      <c r="GX327"/>
      <c r="GY327"/>
      <c r="GZ327"/>
      <c r="HA327"/>
      <c r="HB327"/>
      <c r="HC327"/>
      <c r="HD327"/>
      <c r="HE327"/>
      <c r="HF327"/>
      <c r="HG327"/>
      <c r="HH327"/>
      <c r="HI327"/>
      <c r="HJ327"/>
      <c r="HK327"/>
      <c r="HL327"/>
      <c r="HM327"/>
      <c r="HN327"/>
      <c r="HO327"/>
      <c r="HP327"/>
      <c r="HQ327"/>
      <c r="HR327"/>
    </row>
    <row r="328" spans="1:226" hidden="1" outlineLevel="1" x14ac:dyDescent="0.2"/>
    <row r="329" spans="1:226" s="19" customFormat="1" hidden="1" outlineLevel="1" x14ac:dyDescent="0.2">
      <c r="A329" s="328" t="s">
        <v>295</v>
      </c>
      <c r="B329" s="331"/>
      <c r="C329" s="331"/>
      <c r="D329" s="331"/>
      <c r="E329" s="331"/>
      <c r="F329" s="331"/>
      <c r="G329" s="331" t="s">
        <v>301</v>
      </c>
      <c r="H329" s="331" t="s">
        <v>301</v>
      </c>
      <c r="I329" s="331" t="s">
        <v>301</v>
      </c>
      <c r="J329" s="331" t="s">
        <v>301</v>
      </c>
      <c r="K329" s="331" t="s">
        <v>301</v>
      </c>
      <c r="L329" s="331">
        <f t="shared" ref="L329:BS329" si="629">L9</f>
        <v>0.10402439024390239</v>
      </c>
      <c r="M329" s="331">
        <f t="shared" si="629"/>
        <v>9.3968432919955006E-2</v>
      </c>
      <c r="N329" s="331">
        <f t="shared" si="629"/>
        <v>2.1089931573802546E-2</v>
      </c>
      <c r="O329" s="331">
        <f t="shared" si="629"/>
        <v>3.6276595744680777E-2</v>
      </c>
      <c r="P329" s="331">
        <f t="shared" si="629"/>
        <v>6.033316757831917E-2</v>
      </c>
      <c r="Q329" s="331">
        <f ca="1">Q9</f>
        <v>1.4999999999999999E-2</v>
      </c>
      <c r="R329" s="331">
        <f ca="1">R9</f>
        <v>1.4999999999999999E-2</v>
      </c>
      <c r="S329" s="331">
        <f ca="1">S9</f>
        <v>5.5000000000000007E-2</v>
      </c>
      <c r="T329" s="331">
        <f ca="1">T9</f>
        <v>7.0000000000000007E-2</v>
      </c>
      <c r="U329" s="331">
        <f ca="1">U9</f>
        <v>3.3000000000000002E-2</v>
      </c>
      <c r="V329" s="331">
        <f t="shared" si="629"/>
        <v>3.8749502982107331E-2</v>
      </c>
      <c r="W329" s="331">
        <f t="shared" si="629"/>
        <v>8.5956521739130376E-2</v>
      </c>
      <c r="X329" s="331">
        <f t="shared" si="629"/>
        <v>3.2301617507136116E-2</v>
      </c>
      <c r="Y329" s="331">
        <f t="shared" si="629"/>
        <v>5.722784810126591E-2</v>
      </c>
      <c r="Z329" s="331">
        <f t="shared" si="629"/>
        <v>4.9300816914944819E-2</v>
      </c>
      <c r="AA329" s="331">
        <f t="shared" si="629"/>
        <v>4.343511450381677E-2</v>
      </c>
      <c r="AB329" s="331">
        <f t="shared" si="629"/>
        <v>6.800000000000006E-2</v>
      </c>
      <c r="AC329" s="331">
        <f t="shared" si="629"/>
        <v>6.7377532228360959E-2</v>
      </c>
      <c r="AD329" s="331">
        <f t="shared" si="629"/>
        <v>5.5834130781499118E-2</v>
      </c>
      <c r="AE329" s="331">
        <f t="shared" si="629"/>
        <v>5.5340929808568862E-2</v>
      </c>
      <c r="AF329" s="331">
        <f t="shared" si="629"/>
        <v>5.1630434782608647E-2</v>
      </c>
      <c r="AG329" s="331">
        <f t="shared" si="629"/>
        <v>3.4774436090225569E-2</v>
      </c>
      <c r="AH329" s="331">
        <f t="shared" si="629"/>
        <v>6.3601555747623162E-2</v>
      </c>
      <c r="AI329" s="331">
        <f t="shared" si="629"/>
        <v>-3.0462471569370018E-3</v>
      </c>
      <c r="AJ329" s="331">
        <f t="shared" si="629"/>
        <v>3.4712316968130826E-2</v>
      </c>
      <c r="AK329" s="331">
        <f t="shared" si="629"/>
        <v>4.1183462532299785E-2</v>
      </c>
      <c r="AL329" s="331">
        <f t="shared" si="629"/>
        <v>3.5202543142597562E-2</v>
      </c>
      <c r="AM329" s="331">
        <f t="shared" si="629"/>
        <v>3.3249798549556724E-2</v>
      </c>
      <c r="AN329" s="331">
        <f t="shared" si="629"/>
        <v>7.5351190476190474E-2</v>
      </c>
      <c r="AO329" s="331">
        <f t="shared" si="629"/>
        <v>4.688941613369095E-2</v>
      </c>
      <c r="AP329" s="331">
        <f t="shared" si="629"/>
        <v>8.3029862792574544E-2</v>
      </c>
      <c r="AQ329" s="331">
        <f t="shared" si="629"/>
        <v>3.2295109612141659E-2</v>
      </c>
      <c r="AR329" s="331">
        <f t="shared" si="629"/>
        <v>3.5782705099778288E-2</v>
      </c>
      <c r="AS329" s="331">
        <f t="shared" si="629"/>
        <v>3.2344481605351166E-2</v>
      </c>
      <c r="AT329" s="331">
        <f t="shared" si="629"/>
        <v>4.356722928124411E-2</v>
      </c>
      <c r="AU329" s="331">
        <f t="shared" si="629"/>
        <v>1.132947976878616E-2</v>
      </c>
      <c r="AV329" s="331">
        <f t="shared" si="629"/>
        <v>3.5809210526315763E-2</v>
      </c>
      <c r="AW329" s="331">
        <f t="shared" si="629"/>
        <v>1.4851851851851883E-2</v>
      </c>
      <c r="AX329" s="331">
        <f t="shared" si="629"/>
        <v>2.2333333333333327E-2</v>
      </c>
      <c r="AY329" s="331">
        <f t="shared" si="629"/>
        <v>2.0412844036697294E-2</v>
      </c>
      <c r="AZ329" s="331">
        <f t="shared" si="629"/>
        <v>-1.2E-2</v>
      </c>
      <c r="BA329" s="331">
        <f t="shared" si="629"/>
        <v>-2.9999999999999992E-3</v>
      </c>
      <c r="BB329" s="331">
        <f t="shared" si="629"/>
        <v>9.0000000000000011E-3</v>
      </c>
      <c r="BC329" s="331">
        <f t="shared" si="629"/>
        <v>3.2088873337998598E-2</v>
      </c>
      <c r="BD329" s="331">
        <f t="shared" si="629"/>
        <v>8.426824608330101E-3</v>
      </c>
      <c r="BE329" s="331">
        <f t="shared" si="629"/>
        <v>2.3805687203791399E-2</v>
      </c>
      <c r="BF329" s="331">
        <f t="shared" si="629"/>
        <v>4.0623409669211179E-2</v>
      </c>
      <c r="BG329" s="331">
        <f t="shared" si="629"/>
        <v>5.9386503067484622E-2</v>
      </c>
      <c r="BH329" s="331">
        <f t="shared" si="629"/>
        <v>3.481106612685559E-2</v>
      </c>
      <c r="BI329" s="331">
        <f t="shared" si="629"/>
        <v>3.958382718409479E-2</v>
      </c>
      <c r="BJ329" s="331">
        <f t="shared" si="629"/>
        <v>1.8287356321838984E-2</v>
      </c>
      <c r="BK329" s="331">
        <f t="shared" si="629"/>
        <v>7.1176085176085216E-2</v>
      </c>
      <c r="BL329" s="331">
        <f t="shared" si="629"/>
        <v>1.5565310492505417E-2</v>
      </c>
      <c r="BM329" s="331">
        <f t="shared" si="629"/>
        <v>1.2893575600259603E-2</v>
      </c>
      <c r="BN329" s="331">
        <f t="shared" ca="1" si="629"/>
        <v>2.7879846378931965E-2</v>
      </c>
      <c r="BO329" s="331">
        <f t="shared" si="629"/>
        <v>1.8736920777279495E-2</v>
      </c>
      <c r="BP329" s="331">
        <f t="shared" si="629"/>
        <v>6.1698113207547638E-3</v>
      </c>
      <c r="BQ329" s="331">
        <f t="shared" si="629"/>
        <v>-1.2625619249823361E-3</v>
      </c>
      <c r="BR329" s="331">
        <f t="shared" si="629"/>
        <v>-4.3206205559146692E-3</v>
      </c>
      <c r="BS329" s="331">
        <f t="shared" si="629"/>
        <v>4.4063667081628921E-3</v>
      </c>
      <c r="BT329" s="331">
        <f t="shared" ref="BT329:CV329" si="630">BT9</f>
        <v>2.5701414743112369E-2</v>
      </c>
      <c r="BU329" s="331">
        <f t="shared" si="630"/>
        <v>5.6287461773700337E-2</v>
      </c>
      <c r="BV329" s="331">
        <f t="shared" si="630"/>
        <v>4.5622254758418843E-2</v>
      </c>
      <c r="BW329" s="331">
        <f t="shared" si="630"/>
        <v>6.0080160320641326E-2</v>
      </c>
      <c r="BX329" s="331">
        <f t="shared" si="630"/>
        <v>4.7225426187885416E-2</v>
      </c>
      <c r="BY329" s="331">
        <f t="shared" si="630"/>
        <v>5.610650887573973E-2</v>
      </c>
      <c r="BZ329" s="331">
        <f t="shared" si="630"/>
        <v>2.7000000000000003E-2</v>
      </c>
      <c r="CA329" s="331">
        <f t="shared" si="630"/>
        <v>5.0844396859386215E-2</v>
      </c>
      <c r="CB329" s="331">
        <f t="shared" ca="1" si="630"/>
        <v>3.7876364804110572E-2</v>
      </c>
      <c r="CC329" s="331">
        <f t="shared" ca="1" si="630"/>
        <v>4.2860742705570297E-2</v>
      </c>
      <c r="CD329" s="331">
        <f t="shared" si="630"/>
        <v>3.7129496402877771E-2</v>
      </c>
      <c r="CE329" s="331">
        <f t="shared" si="630"/>
        <v>4.4353159851301061E-2</v>
      </c>
      <c r="CF329" s="331">
        <f t="shared" si="630"/>
        <v>1.6764375876577767E-2</v>
      </c>
      <c r="CG329" s="331">
        <f t="shared" si="630"/>
        <v>2.0374999999999928E-2</v>
      </c>
      <c r="CH329" s="331">
        <f t="shared" si="630"/>
        <v>2.8075225655268203E-2</v>
      </c>
      <c r="CI329" s="331">
        <f t="shared" si="630"/>
        <v>4.3201663201663257E-2</v>
      </c>
      <c r="CJ329" s="331">
        <f t="shared" ca="1" si="630"/>
        <v>1.2906402144151665E-2</v>
      </c>
      <c r="CK329" s="331">
        <f t="shared" si="630"/>
        <v>2.8486797562626946E-2</v>
      </c>
      <c r="CL329" s="331">
        <f t="shared" ca="1" si="630"/>
        <v>3.6174012498678021E-2</v>
      </c>
      <c r="CM329" s="331">
        <f t="shared" si="630"/>
        <v>3.0493889167922318E-2</v>
      </c>
      <c r="CN329" s="331">
        <f t="shared" si="630"/>
        <v>2.2506666666666668E-2</v>
      </c>
      <c r="CO329" s="331">
        <f t="shared" si="630"/>
        <v>3.0918079096045197E-2</v>
      </c>
      <c r="CP329" s="331">
        <f t="shared" si="630"/>
        <v>3.0973980462089601E-2</v>
      </c>
      <c r="CQ329" s="331">
        <f t="shared" ca="1" si="630"/>
        <v>1.7779192319277826E-2</v>
      </c>
      <c r="CR329" s="331">
        <f t="shared" ca="1" si="630"/>
        <v>2.5193588952900459E-2</v>
      </c>
      <c r="CS329" s="331">
        <f t="shared" si="630"/>
        <v>2.349726882032047E-2</v>
      </c>
      <c r="CT329" s="331">
        <f t="shared" si="630"/>
        <v>2.4031806897848167E-2</v>
      </c>
      <c r="CU329" s="331">
        <f t="shared" si="630"/>
        <v>2.3526637876859914E-2</v>
      </c>
      <c r="CV329" s="331">
        <f t="shared" ca="1" si="630"/>
        <v>2.2838653123216535E-2</v>
      </c>
      <c r="CW329" s="331">
        <f t="shared" ref="CW329:DG329" ca="1" si="631">CW9</f>
        <v>2.3448649723776565E-2</v>
      </c>
      <c r="CX329" s="331">
        <f t="shared" si="631"/>
        <v>2.3600389779892532E-2</v>
      </c>
      <c r="CY329" s="331">
        <f t="shared" si="631"/>
        <v>2.4142430200833051E-2</v>
      </c>
      <c r="CZ329" s="331">
        <f t="shared" si="631"/>
        <v>2.3634242745996278E-2</v>
      </c>
      <c r="DA329" s="331">
        <f t="shared" ca="1" si="631"/>
        <v>2.2943232669299408E-2</v>
      </c>
      <c r="DB329" s="331">
        <f t="shared" ca="1" si="631"/>
        <v>2.3555215646870555E-2</v>
      </c>
      <c r="DC329" s="331">
        <f t="shared" si="631"/>
        <v>2.3704904304202714E-2</v>
      </c>
      <c r="DD329" s="331">
        <f t="shared" si="631"/>
        <v>2.4254440097441213E-2</v>
      </c>
      <c r="DE329" s="331">
        <f t="shared" si="631"/>
        <v>2.3743276144444624E-2</v>
      </c>
      <c r="DF329" s="331">
        <f t="shared" ca="1" si="631"/>
        <v>2.3049289666085149E-2</v>
      </c>
      <c r="DG329" s="331">
        <f t="shared" ca="1" si="631"/>
        <v>2.3663207693157912E-2</v>
      </c>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c r="FC329"/>
      <c r="FD329"/>
      <c r="FE329"/>
      <c r="FF329"/>
      <c r="FG329"/>
      <c r="FH329"/>
      <c r="FI329"/>
      <c r="FJ329"/>
      <c r="FK329"/>
      <c r="FL329"/>
      <c r="FM329"/>
      <c r="FN329"/>
      <c r="FO329"/>
      <c r="FP329"/>
      <c r="FQ329"/>
      <c r="FR329"/>
      <c r="FS329"/>
      <c r="FT329"/>
      <c r="FU329"/>
      <c r="FV329"/>
      <c r="FW329"/>
      <c r="FX329"/>
      <c r="FY329"/>
      <c r="FZ329"/>
      <c r="GA329"/>
      <c r="GB329"/>
      <c r="GC329"/>
      <c r="GD329"/>
      <c r="GE329"/>
      <c r="GF329"/>
      <c r="GG329"/>
      <c r="GH329"/>
      <c r="GI329"/>
      <c r="GJ329"/>
      <c r="GK329"/>
      <c r="GL329"/>
      <c r="GM329"/>
      <c r="GN329"/>
      <c r="GO329"/>
      <c r="GP329"/>
      <c r="GQ329"/>
      <c r="GR329"/>
      <c r="GS329"/>
      <c r="GT329"/>
      <c r="GU329"/>
      <c r="GV329"/>
      <c r="GW329"/>
      <c r="GX329"/>
      <c r="GY329"/>
      <c r="GZ329"/>
      <c r="HA329"/>
      <c r="HB329"/>
      <c r="HC329"/>
      <c r="HD329"/>
      <c r="HE329"/>
      <c r="HF329"/>
      <c r="HG329"/>
      <c r="HH329"/>
      <c r="HI329"/>
      <c r="HJ329"/>
      <c r="HK329"/>
      <c r="HL329"/>
      <c r="HM329"/>
      <c r="HN329"/>
      <c r="HO329"/>
      <c r="HP329"/>
      <c r="HQ329"/>
      <c r="HR329"/>
    </row>
    <row r="330" spans="1:226" s="19" customFormat="1" hidden="1" outlineLevel="1" x14ac:dyDescent="0.2">
      <c r="A330" s="329" t="s">
        <v>296</v>
      </c>
      <c r="B330" s="38"/>
      <c r="C330" s="38"/>
      <c r="D330" s="38"/>
      <c r="E330" s="38"/>
      <c r="F330" s="38"/>
      <c r="G330" s="38" t="s">
        <v>301</v>
      </c>
      <c r="H330" s="38" t="s">
        <v>301</v>
      </c>
      <c r="I330" s="38" t="s">
        <v>301</v>
      </c>
      <c r="J330" s="38" t="s">
        <v>301</v>
      </c>
      <c r="K330" s="38" t="s">
        <v>301</v>
      </c>
      <c r="L330" s="38">
        <f>SegmentData!H30</f>
        <v>-0.01</v>
      </c>
      <c r="M330" s="38">
        <f>SegmentData!I30</f>
        <v>-0.01</v>
      </c>
      <c r="N330" s="38">
        <f>SegmentData!J30</f>
        <v>-0.01</v>
      </c>
      <c r="O330" s="38">
        <f>SegmentData!K30</f>
        <v>-0.01</v>
      </c>
      <c r="P330" s="38">
        <f>SegmentData!L30</f>
        <v>-0.01</v>
      </c>
      <c r="Q330" s="38">
        <f>SegmentData!M30</f>
        <v>-0.02</v>
      </c>
      <c r="R330" s="38">
        <f>SegmentData!N30</f>
        <v>-0.03</v>
      </c>
      <c r="S330" s="38">
        <f>SegmentData!O30</f>
        <v>-5.0000000000000001E-3</v>
      </c>
      <c r="T330" s="38">
        <f>SegmentData!P30</f>
        <v>5.0000000000000001E-3</v>
      </c>
      <c r="U330" s="38">
        <f>SegmentData!Q30</f>
        <v>-0.01</v>
      </c>
      <c r="V330" s="38">
        <f>SegmentData!R30</f>
        <v>5.0000000000000001E-3</v>
      </c>
      <c r="W330" s="38">
        <f>SegmentData!S30</f>
        <v>1.4999999999999999E-2</v>
      </c>
      <c r="X330" s="38">
        <f>SegmentData!T30</f>
        <v>1.4999999999999999E-2</v>
      </c>
      <c r="Y330" s="38">
        <f>SegmentData!U30</f>
        <v>6.0000000000000001E-3</v>
      </c>
      <c r="Z330" s="38">
        <f>SegmentData!V30</f>
        <v>1.2E-2</v>
      </c>
      <c r="AA330" s="38">
        <f>SegmentData!W30</f>
        <v>3.0000000000000001E-3</v>
      </c>
      <c r="AB330" s="38">
        <f>SegmentData!X30</f>
        <v>1E-3</v>
      </c>
      <c r="AC330" s="38">
        <f>SegmentData!Y30</f>
        <v>1E-3</v>
      </c>
      <c r="AD330" s="38">
        <f>SegmentData!Z30</f>
        <v>1E-3</v>
      </c>
      <c r="AE330" s="38">
        <f>SegmentData!AA30</f>
        <v>5.0000000000000001E-3</v>
      </c>
      <c r="AF330" s="38">
        <f>SegmentData!AB30</f>
        <v>0.01</v>
      </c>
      <c r="AG330" s="38">
        <f>SegmentData!AC30</f>
        <v>-4.0000000000000001E-3</v>
      </c>
      <c r="AH330" s="38">
        <f>SegmentData!AD30</f>
        <v>-2E-3</v>
      </c>
      <c r="AI330" s="38">
        <f>SegmentData!AE30</f>
        <v>-4.0000000000000001E-3</v>
      </c>
      <c r="AJ330" s="38">
        <f>SegmentData!AF30</f>
        <v>3.0000000000000001E-3</v>
      </c>
      <c r="AK330" s="38">
        <f>SegmentData!AG30</f>
        <v>0</v>
      </c>
      <c r="AL330" s="38">
        <f>SegmentData!AH30</f>
        <v>0</v>
      </c>
      <c r="AM330" s="38">
        <f>SegmentData!AI30</f>
        <v>1E-3</v>
      </c>
      <c r="AN330" s="38">
        <f>SegmentData!AJ30</f>
        <v>6.0000000000000001E-3</v>
      </c>
      <c r="AO330" s="38">
        <f>SegmentData!AK30</f>
        <v>2E-3</v>
      </c>
      <c r="AP330" s="38">
        <f>SegmentData!AL30</f>
        <v>8.0000000000000002E-3</v>
      </c>
      <c r="AQ330" s="38">
        <f>SegmentData!AM30</f>
        <v>1.4E-2</v>
      </c>
      <c r="AR330" s="38">
        <f>SegmentData!AN30</f>
        <v>1.6E-2</v>
      </c>
      <c r="AS330" s="38">
        <f>SegmentData!AO30</f>
        <v>1.0999999999999999E-2</v>
      </c>
      <c r="AT330" s="38">
        <f>SegmentData!AP30</f>
        <v>1.2E-2</v>
      </c>
      <c r="AU330" s="38">
        <f>SegmentData!AQ30</f>
        <v>4.0000000000000001E-3</v>
      </c>
      <c r="AV330" s="38">
        <f>SegmentData!AR30</f>
        <v>-2.8000000000000001E-2</v>
      </c>
      <c r="AW330" s="38">
        <f>SegmentData!AS30</f>
        <v>-3.1E-2</v>
      </c>
      <c r="AX330" s="38">
        <f>SegmentData!AT30</f>
        <v>-2.5000000000000001E-2</v>
      </c>
      <c r="AY330" s="38">
        <f>SegmentData!AU30</f>
        <v>-1.9E-2</v>
      </c>
      <c r="AZ330" s="38">
        <f>SegmentData!AV30</f>
        <v>-1.4999999999999999E-2</v>
      </c>
      <c r="BA330" s="38">
        <f>SegmentData!AW30</f>
        <v>1.6E-2</v>
      </c>
      <c r="BB330" s="38">
        <f>SegmentData!AX30</f>
        <v>-2.9999999999999992E-3</v>
      </c>
      <c r="BC330" s="38">
        <f>SegmentData!AY30</f>
        <v>-1.0999999999999999E-2</v>
      </c>
      <c r="BD330" s="38">
        <f>SegmentData!AZ30</f>
        <v>-4.0000000000000001E-3</v>
      </c>
      <c r="BE330" s="38">
        <f>SegmentData!BA30</f>
        <v>-1.4000000000000002E-2</v>
      </c>
      <c r="BF330" s="38">
        <f>SegmentData!BB30</f>
        <v>-2.1999999999999999E-2</v>
      </c>
      <c r="BG330" s="38">
        <f>SegmentData!BC30</f>
        <v>0.01</v>
      </c>
      <c r="BH330" s="38">
        <f>SegmentData!BD30</f>
        <v>1.2999999999999999E-2</v>
      </c>
      <c r="BI330" s="38">
        <f>SegmentData!BE30</f>
        <v>-3.0000000000000009E-3</v>
      </c>
      <c r="BJ330" s="38">
        <f>SegmentData!BF30</f>
        <v>7.0000000000000001E-3</v>
      </c>
      <c r="BK330" s="38">
        <f>SegmentData!BG30</f>
        <v>-5.0000000000000001E-3</v>
      </c>
      <c r="BL330" s="38">
        <f>SegmentData!BH30</f>
        <v>-2E-3</v>
      </c>
      <c r="BM330" s="38">
        <f>SegmentData!BI30</f>
        <v>-0.01</v>
      </c>
      <c r="BN330" s="38">
        <f>SegmentData!BJ30</f>
        <v>-2.7644809787803482E-3</v>
      </c>
      <c r="BO330" s="38">
        <f>SegmentData!BK30</f>
        <v>-8.0000000000000002E-3</v>
      </c>
      <c r="BP330" s="38">
        <f>SegmentData!BL30</f>
        <v>-1E-3</v>
      </c>
      <c r="BQ330" s="38">
        <f>SegmentData!BM30</f>
        <v>-7.0000000000000001E-3</v>
      </c>
      <c r="BR330" s="38">
        <f>SegmentData!BN30</f>
        <v>-8.9999999999999993E-3</v>
      </c>
      <c r="BS330" s="38">
        <f ca="1">SegmentData!BO30</f>
        <v>-6.4625091441111934E-3</v>
      </c>
      <c r="BT330" s="38">
        <f>SegmentData!BP30</f>
        <v>-1.4999999999999999E-2</v>
      </c>
      <c r="BU330" s="38">
        <f>SegmentData!BQ30</f>
        <v>-1.9E-2</v>
      </c>
      <c r="BV330" s="38">
        <f>SegmentData!BR30</f>
        <v>-3.2000000000000001E-2</v>
      </c>
      <c r="BW330" s="38">
        <f>SegmentData!BS30</f>
        <v>-2.8000000000000001E-2</v>
      </c>
      <c r="BX330" s="38">
        <f>SegmentData!BT30</f>
        <v>-2.3791036813089101E-2</v>
      </c>
      <c r="BY330" s="38">
        <f>SegmentData!BU30</f>
        <v>-1.9E-2</v>
      </c>
      <c r="BZ330" s="38">
        <f>SegmentData!BV30</f>
        <v>-2.8000000000000001E-2</v>
      </c>
      <c r="CA330" s="38">
        <f>SegmentData!BW30</f>
        <v>-0.02</v>
      </c>
      <c r="CB330" s="38">
        <f>SegmentData!BX30</f>
        <v>-0.02</v>
      </c>
      <c r="CC330" s="38">
        <f>SegmentData!BY30</f>
        <v>-2.1654153064925647E-2</v>
      </c>
      <c r="CD330" s="38">
        <f>SegmentData!BZ30</f>
        <v>-2.8000000000000001E-2</v>
      </c>
      <c r="CE330" s="38">
        <f>SegmentData!CA30</f>
        <v>-2.7E-2</v>
      </c>
      <c r="CF330" s="38">
        <f>SegmentData!CB30</f>
        <v>-3.3000000000000002E-2</v>
      </c>
      <c r="CG330" s="38">
        <f>SegmentData!CC30</f>
        <v>-2.3E-2</v>
      </c>
      <c r="CH330" s="38">
        <f ca="1">SegmentData!CD30</f>
        <v>-2.762422634836428E-2</v>
      </c>
      <c r="CI330" s="38">
        <f>SegmentData!CE30</f>
        <v>-1.9E-2</v>
      </c>
      <c r="CJ330" s="38">
        <f>SegmentData!CF30</f>
        <v>-1.9E-2</v>
      </c>
      <c r="CK330" s="38">
        <f>SegmentData!CG30</f>
        <v>-1E-3</v>
      </c>
      <c r="CL330" s="38">
        <f>SegmentData!CH30</f>
        <v>-1E-3</v>
      </c>
      <c r="CM330" s="38">
        <f>SegmentData!CI30</f>
        <v>-9.5453914250998098E-3</v>
      </c>
      <c r="CN330" s="38">
        <f>SegmentData!CJ30</f>
        <v>0</v>
      </c>
      <c r="CO330" s="38">
        <f>SegmentData!CK30</f>
        <v>0</v>
      </c>
      <c r="CP330" s="38">
        <f>SegmentData!CL30</f>
        <v>3.7719731905855075E-3</v>
      </c>
      <c r="CQ330" s="38">
        <f>SegmentData!CM30</f>
        <v>2.3003922393746414E-4</v>
      </c>
      <c r="CR330" s="38">
        <f>SegmentData!CN30</f>
        <v>9.9616256559849304E-4</v>
      </c>
      <c r="CS330" s="38">
        <f>SegmentData!CO30</f>
        <v>-3.2159580898832967E-3</v>
      </c>
      <c r="CT330" s="38">
        <f>SegmentData!CP30</f>
        <v>-5.6634914853228755E-4</v>
      </c>
      <c r="CU330" s="38">
        <f>SegmentData!CQ30</f>
        <v>-9.9925212857274962E-4</v>
      </c>
      <c r="CV330" s="38">
        <f ca="1">SegmentData!CR30</f>
        <v>0</v>
      </c>
      <c r="CW330" s="38">
        <f ca="1">SegmentData!CS30</f>
        <v>-1.1590217463554786E-3</v>
      </c>
      <c r="CX330" s="38">
        <f>SegmentData!CT30</f>
        <v>0</v>
      </c>
      <c r="CY330" s="38">
        <f>SegmentData!CU30</f>
        <v>0</v>
      </c>
      <c r="CZ330" s="38">
        <f>SegmentData!CV30</f>
        <v>0</v>
      </c>
      <c r="DA330" s="38">
        <f ca="1">SegmentData!CW30</f>
        <v>0</v>
      </c>
      <c r="DB330" s="38">
        <f ca="1">SegmentData!CX30</f>
        <v>0</v>
      </c>
      <c r="DC330" s="38">
        <f>SegmentData!CY30</f>
        <v>0</v>
      </c>
      <c r="DD330" s="38">
        <f>SegmentData!CZ30</f>
        <v>0</v>
      </c>
      <c r="DE330" s="38">
        <f>SegmentData!DA30</f>
        <v>0</v>
      </c>
      <c r="DF330" s="38">
        <f ca="1">SegmentData!DB30</f>
        <v>0</v>
      </c>
      <c r="DG330" s="38">
        <f ca="1">SegmentData!DC30</f>
        <v>0</v>
      </c>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c r="FC330"/>
      <c r="FD330"/>
      <c r="FE330"/>
      <c r="FF330"/>
      <c r="FG330"/>
      <c r="FH330"/>
      <c r="FI330"/>
      <c r="FJ330"/>
      <c r="FK330"/>
      <c r="FL330"/>
      <c r="FM330"/>
      <c r="FN330"/>
      <c r="FO330"/>
      <c r="FP330"/>
      <c r="FQ330"/>
      <c r="FR330"/>
      <c r="FS330"/>
      <c r="FT330"/>
      <c r="FU330"/>
      <c r="FV330"/>
      <c r="FW330"/>
      <c r="FX330"/>
      <c r="FY330"/>
      <c r="FZ330"/>
      <c r="GA330"/>
      <c r="GB330"/>
      <c r="GC330"/>
      <c r="GD330"/>
      <c r="GE330"/>
      <c r="GF330"/>
      <c r="GG330"/>
      <c r="GH330"/>
      <c r="GI330"/>
      <c r="GJ330"/>
      <c r="GK330"/>
      <c r="GL330"/>
      <c r="GM330"/>
      <c r="GN330"/>
      <c r="GO330"/>
      <c r="GP330"/>
      <c r="GQ330"/>
      <c r="GR330"/>
      <c r="GS330"/>
      <c r="GT330"/>
      <c r="GU330"/>
      <c r="GV330"/>
      <c r="GW330"/>
      <c r="GX330"/>
      <c r="GY330"/>
      <c r="GZ330"/>
      <c r="HA330"/>
      <c r="HB330"/>
      <c r="HC330"/>
      <c r="HD330"/>
      <c r="HE330"/>
      <c r="HF330"/>
      <c r="HG330"/>
      <c r="HH330"/>
      <c r="HI330"/>
      <c r="HJ330"/>
      <c r="HK330"/>
      <c r="HL330"/>
      <c r="HM330"/>
      <c r="HN330"/>
      <c r="HO330"/>
      <c r="HP330"/>
      <c r="HQ330"/>
      <c r="HR330"/>
    </row>
    <row r="331" spans="1:226" s="19" customFormat="1" hidden="1" outlineLevel="1" x14ac:dyDescent="0.2">
      <c r="A331" s="329" t="s">
        <v>297</v>
      </c>
      <c r="B331" s="30"/>
      <c r="C331" s="30"/>
      <c r="D331" s="30"/>
      <c r="E331" s="30"/>
      <c r="F331" s="30"/>
      <c r="G331" s="30">
        <v>0</v>
      </c>
      <c r="H331" s="30">
        <v>0</v>
      </c>
      <c r="I331" s="30">
        <v>0</v>
      </c>
      <c r="J331" s="30">
        <v>0</v>
      </c>
      <c r="K331" s="30">
        <v>0</v>
      </c>
      <c r="L331" s="30">
        <v>0</v>
      </c>
      <c r="M331" s="30">
        <v>0</v>
      </c>
      <c r="N331" s="30">
        <v>0</v>
      </c>
      <c r="O331" s="30">
        <v>0</v>
      </c>
      <c r="P331" s="30">
        <v>0</v>
      </c>
      <c r="Q331" s="30">
        <v>0</v>
      </c>
      <c r="R331" s="30">
        <v>0</v>
      </c>
      <c r="S331" s="30">
        <v>0</v>
      </c>
      <c r="T331" s="30">
        <v>0</v>
      </c>
      <c r="U331" s="30">
        <v>0</v>
      </c>
      <c r="V331" s="30">
        <v>0</v>
      </c>
      <c r="W331" s="30">
        <v>0</v>
      </c>
      <c r="X331" s="30">
        <v>0</v>
      </c>
      <c r="Y331" s="30">
        <v>0</v>
      </c>
      <c r="Z331" s="30">
        <v>0</v>
      </c>
      <c r="AA331" s="30">
        <v>0</v>
      </c>
      <c r="AB331" s="30">
        <v>0</v>
      </c>
      <c r="AC331" s="30">
        <v>0</v>
      </c>
      <c r="AD331" s="30">
        <v>0</v>
      </c>
      <c r="AE331" s="30">
        <v>0</v>
      </c>
      <c r="AF331" s="30">
        <v>0</v>
      </c>
      <c r="AG331" s="30">
        <v>0</v>
      </c>
      <c r="AH331" s="30">
        <v>0</v>
      </c>
      <c r="AI331" s="30">
        <v>0</v>
      </c>
      <c r="AJ331" s="30">
        <v>0</v>
      </c>
      <c r="AK331" s="30">
        <v>0</v>
      </c>
      <c r="AL331" s="30">
        <v>0</v>
      </c>
      <c r="AM331" s="30">
        <v>0</v>
      </c>
      <c r="AN331" s="30">
        <v>0</v>
      </c>
      <c r="AO331" s="30">
        <v>0</v>
      </c>
      <c r="AP331" s="30">
        <v>0</v>
      </c>
      <c r="AQ331" s="30">
        <v>0</v>
      </c>
      <c r="AR331" s="30">
        <v>0</v>
      </c>
      <c r="AS331" s="30">
        <v>0</v>
      </c>
      <c r="AT331" s="30">
        <v>0</v>
      </c>
      <c r="AU331" s="30">
        <v>0</v>
      </c>
      <c r="AV331" s="30">
        <v>0</v>
      </c>
      <c r="AW331" s="30">
        <v>0</v>
      </c>
      <c r="AX331" s="30">
        <v>0</v>
      </c>
      <c r="AY331" s="30">
        <v>0</v>
      </c>
      <c r="AZ331" s="30">
        <v>0</v>
      </c>
      <c r="BA331" s="30">
        <v>0</v>
      </c>
      <c r="BB331" s="30">
        <v>0</v>
      </c>
      <c r="BC331" s="30">
        <v>0</v>
      </c>
      <c r="BD331" s="30">
        <v>0</v>
      </c>
      <c r="BE331" s="30">
        <v>0</v>
      </c>
      <c r="BF331" s="30">
        <v>0</v>
      </c>
      <c r="BG331" s="30">
        <v>0</v>
      </c>
      <c r="BH331" s="30">
        <v>0</v>
      </c>
      <c r="BI331" s="30">
        <v>0</v>
      </c>
      <c r="BJ331" s="30">
        <v>0</v>
      </c>
      <c r="BK331" s="30">
        <v>0</v>
      </c>
      <c r="BL331" s="30">
        <v>0</v>
      </c>
      <c r="BM331" s="30">
        <v>0</v>
      </c>
      <c r="BN331" s="30">
        <v>0</v>
      </c>
      <c r="BO331" s="30">
        <v>0</v>
      </c>
      <c r="BP331" s="30">
        <v>0</v>
      </c>
      <c r="BQ331" s="30">
        <v>0</v>
      </c>
      <c r="BR331" s="30">
        <v>0</v>
      </c>
      <c r="BS331" s="30">
        <v>0</v>
      </c>
      <c r="BT331" s="30">
        <v>0</v>
      </c>
      <c r="BU331" s="30">
        <v>0</v>
      </c>
      <c r="BV331" s="30">
        <v>0</v>
      </c>
      <c r="BW331" s="30">
        <v>0</v>
      </c>
      <c r="BX331" s="30">
        <v>0</v>
      </c>
      <c r="BY331" s="30">
        <v>0</v>
      </c>
      <c r="BZ331" s="30">
        <v>0</v>
      </c>
      <c r="CA331" s="30">
        <v>0</v>
      </c>
      <c r="CB331" s="30">
        <v>0</v>
      </c>
      <c r="CC331" s="30">
        <v>0</v>
      </c>
      <c r="CD331" s="30">
        <v>0</v>
      </c>
      <c r="CE331" s="30">
        <v>0</v>
      </c>
      <c r="CF331" s="30">
        <v>0</v>
      </c>
      <c r="CG331" s="30">
        <v>0</v>
      </c>
      <c r="CH331" s="30">
        <v>0</v>
      </c>
      <c r="CI331" s="30">
        <v>0</v>
      </c>
      <c r="CJ331" s="30">
        <v>0</v>
      </c>
      <c r="CK331" s="30">
        <v>0</v>
      </c>
      <c r="CL331" s="30">
        <v>0</v>
      </c>
      <c r="CM331" s="30">
        <v>0</v>
      </c>
      <c r="CN331" s="30">
        <v>0</v>
      </c>
      <c r="CO331" s="30">
        <v>0</v>
      </c>
      <c r="CP331" s="30">
        <v>0</v>
      </c>
      <c r="CQ331" s="30">
        <v>0</v>
      </c>
      <c r="CR331" s="30">
        <v>0</v>
      </c>
      <c r="CS331" s="30">
        <v>0</v>
      </c>
      <c r="CT331" s="30">
        <v>0</v>
      </c>
      <c r="CU331" s="30">
        <v>0</v>
      </c>
      <c r="CV331" s="30">
        <v>0</v>
      </c>
      <c r="CW331" s="30">
        <v>0</v>
      </c>
      <c r="CX331" s="30">
        <v>0</v>
      </c>
      <c r="CY331" s="30">
        <v>0</v>
      </c>
      <c r="CZ331" s="30">
        <v>0</v>
      </c>
      <c r="DA331" s="30">
        <v>0</v>
      </c>
      <c r="DB331" s="30">
        <v>0</v>
      </c>
      <c r="DC331" s="30">
        <v>0</v>
      </c>
      <c r="DD331" s="30">
        <v>0</v>
      </c>
      <c r="DE331" s="30">
        <v>0</v>
      </c>
      <c r="DF331" s="30">
        <v>0</v>
      </c>
      <c r="DG331" s="30">
        <v>0</v>
      </c>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c r="FC331"/>
      <c r="FD331"/>
      <c r="FE331"/>
      <c r="FF331"/>
      <c r="FG331"/>
      <c r="FH331"/>
      <c r="FI331"/>
      <c r="FJ331"/>
      <c r="FK331"/>
      <c r="FL331"/>
      <c r="FM331"/>
      <c r="FN331"/>
      <c r="FO331"/>
      <c r="FP331"/>
      <c r="FQ331"/>
      <c r="FR331"/>
      <c r="FS331"/>
      <c r="FT331"/>
      <c r="FU331"/>
      <c r="FV331"/>
      <c r="FW331"/>
      <c r="FX331"/>
      <c r="FY331"/>
      <c r="FZ331"/>
      <c r="GA331"/>
      <c r="GB331"/>
      <c r="GC331"/>
      <c r="GD331"/>
      <c r="GE331"/>
      <c r="GF331"/>
      <c r="GG331"/>
      <c r="GH331"/>
      <c r="GI331"/>
      <c r="GJ331"/>
      <c r="GK331"/>
      <c r="GL331"/>
      <c r="GM331"/>
      <c r="GN331"/>
      <c r="GO331"/>
      <c r="GP331"/>
      <c r="GQ331"/>
      <c r="GR331"/>
      <c r="GS331"/>
      <c r="GT331"/>
      <c r="GU331"/>
      <c r="GV331"/>
      <c r="GW331"/>
      <c r="GX331"/>
      <c r="GY331"/>
      <c r="GZ331"/>
      <c r="HA331"/>
      <c r="HB331"/>
      <c r="HC331"/>
      <c r="HD331"/>
      <c r="HE331"/>
      <c r="HF331"/>
      <c r="HG331"/>
      <c r="HH331"/>
      <c r="HI331"/>
      <c r="HJ331"/>
      <c r="HK331"/>
      <c r="HL331"/>
      <c r="HM331"/>
      <c r="HN331"/>
      <c r="HO331"/>
      <c r="HP331"/>
      <c r="HQ331"/>
      <c r="HR331"/>
    </row>
    <row r="332" spans="1:226" s="19" customFormat="1" hidden="1" outlineLevel="1" x14ac:dyDescent="0.2">
      <c r="A332" s="329" t="s">
        <v>298</v>
      </c>
      <c r="B332" s="30"/>
      <c r="C332" s="30"/>
      <c r="D332" s="30"/>
      <c r="E332" s="30"/>
      <c r="F332" s="30"/>
      <c r="G332" s="30">
        <f>SegmentData!H19</f>
        <v>854</v>
      </c>
      <c r="H332" s="30">
        <f>SegmentData!I19</f>
        <v>749</v>
      </c>
      <c r="I332" s="30">
        <f>SegmentData!J19</f>
        <v>902</v>
      </c>
      <c r="J332" s="30">
        <f>SegmentData!K19</f>
        <v>998</v>
      </c>
      <c r="K332" s="30">
        <f>SegmentData!L19</f>
        <v>3503</v>
      </c>
      <c r="L332" s="30">
        <f>SegmentData!M19</f>
        <v>934</v>
      </c>
      <c r="M332" s="30">
        <f>SegmentData!N19</f>
        <v>810</v>
      </c>
      <c r="N332" s="30">
        <f>SegmentData!O19</f>
        <v>893</v>
      </c>
      <c r="O332" s="30">
        <f>SegmentData!P19</f>
        <v>1014</v>
      </c>
      <c r="P332" s="30">
        <f>SegmentData!Q19</f>
        <v>3651</v>
      </c>
      <c r="Q332" s="30">
        <f>SegmentData!R19</f>
        <v>890</v>
      </c>
      <c r="R332" s="30">
        <f>SegmentData!S19</f>
        <v>791</v>
      </c>
      <c r="S332" s="30">
        <f>SegmentData!T19</f>
        <v>919</v>
      </c>
      <c r="T332" s="30">
        <f>SegmentData!U19</f>
        <v>1063</v>
      </c>
      <c r="U332" s="30">
        <f>SegmentData!V19</f>
        <v>3663</v>
      </c>
      <c r="V332" s="30">
        <f>SegmentData!W19</f>
        <v>920</v>
      </c>
      <c r="W332" s="30">
        <f>SegmentData!X19</f>
        <v>846</v>
      </c>
      <c r="X332" s="30">
        <f>SegmentData!Y19</f>
        <v>936</v>
      </c>
      <c r="Y332" s="30">
        <f>SegmentData!Z19</f>
        <v>1099</v>
      </c>
      <c r="Z332" s="30">
        <f>SegmentData!AA19</f>
        <v>3801</v>
      </c>
      <c r="AA332" s="30">
        <f>SegmentData!AB19</f>
        <v>949</v>
      </c>
      <c r="AB332" s="30">
        <f>SegmentData!AC19</f>
        <v>900</v>
      </c>
      <c r="AC332" s="30">
        <f>SegmentData!AD19</f>
        <v>997</v>
      </c>
      <c r="AD332" s="30">
        <f>SegmentData!AE19</f>
        <v>1159</v>
      </c>
      <c r="AE332" s="30">
        <f>SegmentData!AF19</f>
        <v>4005</v>
      </c>
      <c r="AF332" s="30">
        <f>SegmentData!AG19</f>
        <v>1000</v>
      </c>
      <c r="AG332" s="30">
        <f>SegmentData!AH19</f>
        <v>923</v>
      </c>
      <c r="AH332" s="30">
        <f>SegmentData!AI19</f>
        <v>1056</v>
      </c>
      <c r="AI332" s="30">
        <f>SegmentData!AJ19</f>
        <v>1151</v>
      </c>
      <c r="AJ332" s="30">
        <f>SegmentData!AK19</f>
        <v>4130</v>
      </c>
      <c r="AK332" s="30">
        <f>SegmentData!AL19</f>
        <v>1049</v>
      </c>
      <c r="AL332" s="30">
        <f>SegmentData!AM19</f>
        <v>977</v>
      </c>
      <c r="AM332" s="30">
        <f>SegmentData!AN19</f>
        <v>1143</v>
      </c>
      <c r="AN332" s="30">
        <f>SegmentData!AO19</f>
        <v>1271</v>
      </c>
      <c r="AO332" s="30">
        <f>SegmentData!AP19</f>
        <v>4440</v>
      </c>
      <c r="AP332" s="30">
        <f>SegmentData!AQ19</f>
        <v>1167</v>
      </c>
      <c r="AQ332" s="30">
        <f>SegmentData!AR19</f>
        <v>1007</v>
      </c>
      <c r="AR332" s="30">
        <f>SegmentData!AS19</f>
        <v>1142</v>
      </c>
      <c r="AS332" s="30">
        <f>SegmentData!AT19</f>
        <v>1274</v>
      </c>
      <c r="AT332" s="30">
        <f>SegmentData!AU19</f>
        <v>4590</v>
      </c>
      <c r="AU332" s="332" t="s">
        <v>301</v>
      </c>
      <c r="AV332" s="332" t="s">
        <v>301</v>
      </c>
      <c r="AW332" s="332" t="s">
        <v>301</v>
      </c>
      <c r="AX332" s="332" t="s">
        <v>301</v>
      </c>
      <c r="AY332" s="332" t="s">
        <v>301</v>
      </c>
      <c r="AZ332" s="332" t="s">
        <v>301</v>
      </c>
      <c r="BA332" s="332" t="s">
        <v>301</v>
      </c>
      <c r="BB332" s="332" t="s">
        <v>301</v>
      </c>
      <c r="BC332" s="332" t="s">
        <v>301</v>
      </c>
      <c r="BD332" s="332" t="s">
        <v>301</v>
      </c>
      <c r="BE332" s="332" t="s">
        <v>301</v>
      </c>
      <c r="BF332" s="332" t="s">
        <v>301</v>
      </c>
      <c r="BG332" s="332" t="s">
        <v>301</v>
      </c>
      <c r="BH332" s="332" t="s">
        <v>301</v>
      </c>
      <c r="BI332" s="332" t="s">
        <v>301</v>
      </c>
      <c r="BJ332" s="332" t="s">
        <v>301</v>
      </c>
      <c r="BK332" s="332" t="s">
        <v>301</v>
      </c>
      <c r="BL332" s="332" t="s">
        <v>301</v>
      </c>
      <c r="BM332" s="332" t="s">
        <v>301</v>
      </c>
      <c r="BN332" s="332" t="s">
        <v>301</v>
      </c>
      <c r="BO332" s="332" t="s">
        <v>301</v>
      </c>
      <c r="BP332" s="332" t="s">
        <v>301</v>
      </c>
      <c r="BQ332" s="332" t="s">
        <v>301</v>
      </c>
      <c r="BR332" s="332" t="s">
        <v>301</v>
      </c>
      <c r="BS332" s="332" t="s">
        <v>301</v>
      </c>
      <c r="BT332" s="332" t="s">
        <v>301</v>
      </c>
      <c r="BU332" s="332" t="s">
        <v>301</v>
      </c>
      <c r="BV332" s="332" t="s">
        <v>301</v>
      </c>
      <c r="BW332" s="332" t="s">
        <v>301</v>
      </c>
      <c r="BX332" s="332" t="s">
        <v>301</v>
      </c>
      <c r="BY332" s="332" t="s">
        <v>301</v>
      </c>
      <c r="BZ332" s="332" t="s">
        <v>301</v>
      </c>
      <c r="CA332" s="332" t="s">
        <v>301</v>
      </c>
      <c r="CB332" s="332" t="s">
        <v>301</v>
      </c>
      <c r="CC332" s="332" t="s">
        <v>301</v>
      </c>
      <c r="CD332" s="332" t="s">
        <v>301</v>
      </c>
      <c r="CE332" s="332" t="s">
        <v>301</v>
      </c>
      <c r="CF332" s="332" t="s">
        <v>301</v>
      </c>
      <c r="CG332" s="332" t="s">
        <v>301</v>
      </c>
      <c r="CH332" s="332" t="s">
        <v>301</v>
      </c>
      <c r="CI332" s="332" t="s">
        <v>301</v>
      </c>
      <c r="CJ332" s="332" t="s">
        <v>301</v>
      </c>
      <c r="CK332" s="332" t="s">
        <v>301</v>
      </c>
      <c r="CL332" s="332" t="s">
        <v>301</v>
      </c>
      <c r="CM332" s="332" t="s">
        <v>301</v>
      </c>
      <c r="CN332" s="332" t="s">
        <v>301</v>
      </c>
      <c r="CO332" s="332" t="s">
        <v>301</v>
      </c>
      <c r="CP332" s="332" t="s">
        <v>301</v>
      </c>
      <c r="CQ332" s="332" t="s">
        <v>301</v>
      </c>
      <c r="CR332" s="332" t="s">
        <v>301</v>
      </c>
      <c r="CS332" s="332" t="s">
        <v>301</v>
      </c>
      <c r="CT332" s="332" t="s">
        <v>301</v>
      </c>
      <c r="CU332" s="332" t="s">
        <v>301</v>
      </c>
      <c r="CV332" s="332" t="s">
        <v>301</v>
      </c>
      <c r="CW332" s="332" t="s">
        <v>301</v>
      </c>
      <c r="CX332" s="332" t="s">
        <v>301</v>
      </c>
      <c r="CY332" s="332" t="s">
        <v>301</v>
      </c>
      <c r="CZ332" s="332" t="s">
        <v>301</v>
      </c>
      <c r="DA332" s="332" t="s">
        <v>301</v>
      </c>
      <c r="DB332" s="332" t="s">
        <v>301</v>
      </c>
      <c r="DC332" s="332" t="s">
        <v>301</v>
      </c>
      <c r="DD332" s="332" t="s">
        <v>301</v>
      </c>
      <c r="DE332" s="332" t="s">
        <v>301</v>
      </c>
      <c r="DF332" s="332" t="s">
        <v>301</v>
      </c>
      <c r="DG332" s="332" t="s">
        <v>301</v>
      </c>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c r="FC332"/>
      <c r="FD332"/>
      <c r="FE332"/>
      <c r="FF332"/>
      <c r="FG332"/>
      <c r="FH332"/>
      <c r="FI332"/>
      <c r="FJ332"/>
      <c r="FK332"/>
      <c r="FL332"/>
      <c r="FM332"/>
      <c r="FN332"/>
      <c r="FO332"/>
      <c r="FP332"/>
      <c r="FQ332"/>
      <c r="FR332"/>
      <c r="FS332"/>
      <c r="FT332"/>
      <c r="FU332"/>
      <c r="FV332"/>
      <c r="FW332"/>
      <c r="FX332"/>
      <c r="FY332"/>
      <c r="FZ332"/>
      <c r="GA332"/>
      <c r="GB332"/>
      <c r="GC332"/>
      <c r="GD332"/>
      <c r="GE332"/>
      <c r="GF332"/>
      <c r="GG332"/>
      <c r="GH332"/>
      <c r="GI332"/>
      <c r="GJ332"/>
      <c r="GK332"/>
      <c r="GL332"/>
      <c r="GM332"/>
      <c r="GN332"/>
      <c r="GO332"/>
      <c r="GP332"/>
      <c r="GQ332"/>
      <c r="GR332"/>
      <c r="GS332"/>
      <c r="GT332"/>
      <c r="GU332"/>
      <c r="GV332"/>
      <c r="GW332"/>
      <c r="GX332"/>
      <c r="GY332"/>
      <c r="GZ332"/>
      <c r="HA332"/>
      <c r="HB332"/>
      <c r="HC332"/>
      <c r="HD332"/>
      <c r="HE332"/>
      <c r="HF332"/>
      <c r="HG332"/>
      <c r="HH332"/>
      <c r="HI332"/>
      <c r="HJ332"/>
      <c r="HK332"/>
      <c r="HL332"/>
      <c r="HM332"/>
      <c r="HN332"/>
      <c r="HO332"/>
      <c r="HP332"/>
      <c r="HQ332"/>
      <c r="HR332"/>
    </row>
    <row r="333" spans="1:226" s="19" customFormat="1" hidden="1" outlineLevel="1" x14ac:dyDescent="0.2">
      <c r="A333" s="329" t="s">
        <v>299</v>
      </c>
      <c r="B333" s="332"/>
      <c r="C333" s="332"/>
      <c r="D333" s="332"/>
      <c r="E333" s="332"/>
      <c r="F333" s="332"/>
      <c r="G333" s="332" t="s">
        <v>301</v>
      </c>
      <c r="H333" s="332" t="s">
        <v>301</v>
      </c>
      <c r="I333" s="332" t="s">
        <v>301</v>
      </c>
      <c r="J333" s="332" t="s">
        <v>301</v>
      </c>
      <c r="K333" s="332" t="s">
        <v>301</v>
      </c>
      <c r="L333" s="332" t="s">
        <v>301</v>
      </c>
      <c r="M333" s="332" t="s">
        <v>301</v>
      </c>
      <c r="N333" s="332" t="s">
        <v>301</v>
      </c>
      <c r="O333" s="332" t="s">
        <v>301</v>
      </c>
      <c r="P333" s="332" t="s">
        <v>301</v>
      </c>
      <c r="Q333" s="332" t="s">
        <v>301</v>
      </c>
      <c r="R333" s="332" t="s">
        <v>301</v>
      </c>
      <c r="S333" s="332" t="s">
        <v>301</v>
      </c>
      <c r="T333" s="332" t="s">
        <v>301</v>
      </c>
      <c r="U333" s="332" t="s">
        <v>301</v>
      </c>
      <c r="V333" s="332" t="s">
        <v>301</v>
      </c>
      <c r="W333" s="332" t="s">
        <v>301</v>
      </c>
      <c r="X333" s="332" t="s">
        <v>301</v>
      </c>
      <c r="Y333" s="332" t="s">
        <v>301</v>
      </c>
      <c r="Z333" s="332" t="s">
        <v>301</v>
      </c>
      <c r="AA333" s="332" t="s">
        <v>301</v>
      </c>
      <c r="AB333" s="332" t="s">
        <v>301</v>
      </c>
      <c r="AC333" s="332" t="s">
        <v>301</v>
      </c>
      <c r="AD333" s="332" t="s">
        <v>301</v>
      </c>
      <c r="AE333" s="332" t="s">
        <v>301</v>
      </c>
      <c r="AF333" s="332" t="s">
        <v>301</v>
      </c>
      <c r="AG333" s="332" t="s">
        <v>301</v>
      </c>
      <c r="AH333" s="332" t="s">
        <v>301</v>
      </c>
      <c r="AI333" s="332" t="s">
        <v>301</v>
      </c>
      <c r="AJ333" s="332" t="s">
        <v>301</v>
      </c>
      <c r="AK333" s="332" t="s">
        <v>301</v>
      </c>
      <c r="AL333" s="332" t="s">
        <v>301</v>
      </c>
      <c r="AM333" s="332" t="s">
        <v>301</v>
      </c>
      <c r="AN333" s="332" t="s">
        <v>301</v>
      </c>
      <c r="AO333" s="332" t="s">
        <v>301</v>
      </c>
      <c r="AP333" s="332" t="s">
        <v>301</v>
      </c>
      <c r="AQ333" s="332" t="s">
        <v>301</v>
      </c>
      <c r="AR333" s="332" t="s">
        <v>301</v>
      </c>
      <c r="AS333" s="332" t="s">
        <v>301</v>
      </c>
      <c r="AT333" s="332" t="s">
        <v>301</v>
      </c>
      <c r="AU333" s="332" t="s">
        <v>301</v>
      </c>
      <c r="AV333" s="332" t="s">
        <v>301</v>
      </c>
      <c r="AW333" s="332" t="s">
        <v>301</v>
      </c>
      <c r="AX333" s="332" t="s">
        <v>301</v>
      </c>
      <c r="AY333" s="332" t="s">
        <v>301</v>
      </c>
      <c r="AZ333" s="332" t="s">
        <v>301</v>
      </c>
      <c r="BA333" s="332" t="s">
        <v>301</v>
      </c>
      <c r="BB333" s="332" t="s">
        <v>301</v>
      </c>
      <c r="BC333" s="332" t="s">
        <v>301</v>
      </c>
      <c r="BD333" s="332" t="s">
        <v>301</v>
      </c>
      <c r="BE333" s="332" t="s">
        <v>301</v>
      </c>
      <c r="BF333" s="332" t="s">
        <v>301</v>
      </c>
      <c r="BG333" s="332" t="s">
        <v>301</v>
      </c>
      <c r="BH333" s="332" t="s">
        <v>301</v>
      </c>
      <c r="BI333" s="332" t="s">
        <v>301</v>
      </c>
      <c r="BJ333" s="332" t="s">
        <v>301</v>
      </c>
      <c r="BK333" s="332" t="s">
        <v>301</v>
      </c>
      <c r="BL333" s="332" t="s">
        <v>301</v>
      </c>
      <c r="BM333" s="332" t="s">
        <v>301</v>
      </c>
      <c r="BN333" s="332" t="s">
        <v>301</v>
      </c>
      <c r="BO333" s="332" t="s">
        <v>301</v>
      </c>
      <c r="BP333" s="332" t="s">
        <v>301</v>
      </c>
      <c r="BQ333" s="332" t="s">
        <v>301</v>
      </c>
      <c r="BR333" s="332" t="s">
        <v>301</v>
      </c>
      <c r="BS333" s="332" t="s">
        <v>301</v>
      </c>
      <c r="BT333" s="332" t="s">
        <v>301</v>
      </c>
      <c r="BU333" s="332" t="s">
        <v>301</v>
      </c>
      <c r="BV333" s="332" t="s">
        <v>301</v>
      </c>
      <c r="BW333" s="332" t="s">
        <v>301</v>
      </c>
      <c r="BX333" s="332" t="s">
        <v>301</v>
      </c>
      <c r="BY333" s="332" t="s">
        <v>301</v>
      </c>
      <c r="BZ333" s="332" t="s">
        <v>301</v>
      </c>
      <c r="CA333" s="332" t="s">
        <v>301</v>
      </c>
      <c r="CB333" s="332" t="s">
        <v>301</v>
      </c>
      <c r="CC333" s="332" t="s">
        <v>301</v>
      </c>
      <c r="CD333" s="332" t="s">
        <v>301</v>
      </c>
      <c r="CE333" s="332" t="s">
        <v>301</v>
      </c>
      <c r="CF333" s="332" t="s">
        <v>301</v>
      </c>
      <c r="CG333" s="332" t="s">
        <v>301</v>
      </c>
      <c r="CH333" s="332" t="s">
        <v>301</v>
      </c>
      <c r="CI333" s="332" t="s">
        <v>301</v>
      </c>
      <c r="CJ333" s="332" t="s">
        <v>301</v>
      </c>
      <c r="CK333" s="332" t="s">
        <v>301</v>
      </c>
      <c r="CL333" s="332" t="s">
        <v>301</v>
      </c>
      <c r="CM333" s="332" t="s">
        <v>301</v>
      </c>
      <c r="CN333" s="332" t="s">
        <v>301</v>
      </c>
      <c r="CO333" s="332" t="s">
        <v>301</v>
      </c>
      <c r="CP333" s="332" t="s">
        <v>301</v>
      </c>
      <c r="CQ333" s="332" t="s">
        <v>301</v>
      </c>
      <c r="CR333" s="332" t="s">
        <v>301</v>
      </c>
      <c r="CS333" s="332" t="s">
        <v>301</v>
      </c>
      <c r="CT333" s="332" t="s">
        <v>301</v>
      </c>
      <c r="CU333" s="332" t="s">
        <v>301</v>
      </c>
      <c r="CV333" s="332" t="s">
        <v>301</v>
      </c>
      <c r="CW333" s="332" t="s">
        <v>301</v>
      </c>
      <c r="CX333" s="332" t="s">
        <v>301</v>
      </c>
      <c r="CY333" s="332" t="s">
        <v>301</v>
      </c>
      <c r="CZ333" s="332" t="s">
        <v>301</v>
      </c>
      <c r="DA333" s="332" t="s">
        <v>301</v>
      </c>
      <c r="DB333" s="332" t="s">
        <v>301</v>
      </c>
      <c r="DC333" s="332" t="s">
        <v>301</v>
      </c>
      <c r="DD333" s="332" t="s">
        <v>301</v>
      </c>
      <c r="DE333" s="332" t="s">
        <v>301</v>
      </c>
      <c r="DF333" s="332" t="s">
        <v>301</v>
      </c>
      <c r="DG333" s="332" t="s">
        <v>301</v>
      </c>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c r="FC333"/>
      <c r="FD333"/>
      <c r="FE333"/>
      <c r="FF333"/>
      <c r="FG333"/>
      <c r="FH333"/>
      <c r="FI333"/>
      <c r="FJ333"/>
      <c r="FK333"/>
      <c r="FL333"/>
      <c r="FM333"/>
      <c r="FN333"/>
      <c r="FO333"/>
      <c r="FP333"/>
      <c r="FQ333"/>
      <c r="FR333"/>
      <c r="FS333"/>
      <c r="FT333"/>
      <c r="FU333"/>
      <c r="FV333"/>
      <c r="FW333"/>
      <c r="FX333"/>
      <c r="FY333"/>
      <c r="FZ333"/>
      <c r="GA333"/>
      <c r="GB333"/>
      <c r="GC333"/>
      <c r="GD333"/>
      <c r="GE333"/>
      <c r="GF333"/>
      <c r="GG333"/>
      <c r="GH333"/>
      <c r="GI333"/>
      <c r="GJ333"/>
      <c r="GK333"/>
      <c r="GL333"/>
      <c r="GM333"/>
      <c r="GN333"/>
      <c r="GO333"/>
      <c r="GP333"/>
      <c r="GQ333"/>
      <c r="GR333"/>
      <c r="GS333"/>
      <c r="GT333"/>
      <c r="GU333"/>
      <c r="GV333"/>
      <c r="GW333"/>
      <c r="GX333"/>
      <c r="GY333"/>
      <c r="GZ333"/>
      <c r="HA333"/>
      <c r="HB333"/>
      <c r="HC333"/>
      <c r="HD333"/>
      <c r="HE333"/>
      <c r="HF333"/>
      <c r="HG333"/>
      <c r="HH333"/>
      <c r="HI333"/>
      <c r="HJ333"/>
      <c r="HK333"/>
      <c r="HL333"/>
      <c r="HM333"/>
      <c r="HN333"/>
      <c r="HO333"/>
      <c r="HP333"/>
      <c r="HQ333"/>
      <c r="HR333"/>
    </row>
    <row r="334" spans="1:226" s="19" customFormat="1" hidden="1" outlineLevel="1" x14ac:dyDescent="0.2">
      <c r="A334" s="329" t="s">
        <v>300</v>
      </c>
      <c r="B334" s="30"/>
      <c r="C334" s="30"/>
      <c r="D334" s="30"/>
      <c r="E334" s="30"/>
      <c r="F334" s="30"/>
      <c r="G334" s="30">
        <f>G185</f>
        <v>-11</v>
      </c>
      <c r="H334" s="30">
        <f t="shared" ref="H334:BS334" si="632">H185</f>
        <v>7</v>
      </c>
      <c r="I334" s="30">
        <f t="shared" si="632"/>
        <v>17</v>
      </c>
      <c r="J334" s="30">
        <f t="shared" si="632"/>
        <v>55</v>
      </c>
      <c r="K334" s="30">
        <f t="shared" si="632"/>
        <v>68</v>
      </c>
      <c r="L334" s="30">
        <f t="shared" si="632"/>
        <v>-14</v>
      </c>
      <c r="M334" s="30">
        <f t="shared" si="632"/>
        <v>0</v>
      </c>
      <c r="N334" s="30">
        <f t="shared" si="632"/>
        <v>9</v>
      </c>
      <c r="O334" s="30">
        <f t="shared" si="632"/>
        <v>17</v>
      </c>
      <c r="P334" s="30">
        <f t="shared" si="632"/>
        <v>12</v>
      </c>
      <c r="Q334" s="30">
        <f t="shared" si="632"/>
        <v>-9</v>
      </c>
      <c r="R334" s="30">
        <f t="shared" si="632"/>
        <v>-14</v>
      </c>
      <c r="S334" s="30">
        <f t="shared" si="632"/>
        <v>4</v>
      </c>
      <c r="T334" s="30">
        <f t="shared" si="632"/>
        <v>-47</v>
      </c>
      <c r="U334" s="30">
        <f t="shared" si="632"/>
        <v>-66</v>
      </c>
      <c r="V334" s="30">
        <f t="shared" si="632"/>
        <v>-8</v>
      </c>
      <c r="W334" s="30">
        <f t="shared" si="632"/>
        <v>0</v>
      </c>
      <c r="X334" s="30">
        <f t="shared" si="632"/>
        <v>3</v>
      </c>
      <c r="Y334" s="30">
        <f t="shared" si="632"/>
        <v>2</v>
      </c>
      <c r="Z334" s="30">
        <f t="shared" si="632"/>
        <v>-3</v>
      </c>
      <c r="AA334" s="30">
        <f t="shared" si="632"/>
        <v>-2</v>
      </c>
      <c r="AB334" s="30">
        <f t="shared" si="632"/>
        <v>38</v>
      </c>
      <c r="AC334" s="30">
        <f t="shared" si="632"/>
        <v>-16</v>
      </c>
      <c r="AD334" s="30">
        <f t="shared" si="632"/>
        <v>-1</v>
      </c>
      <c r="AE334" s="30">
        <f t="shared" si="632"/>
        <v>19</v>
      </c>
      <c r="AF334" s="30">
        <f t="shared" si="632"/>
        <v>-2</v>
      </c>
      <c r="AG334" s="30">
        <f t="shared" si="632"/>
        <v>-56</v>
      </c>
      <c r="AH334" s="30">
        <f t="shared" si="632"/>
        <v>-62</v>
      </c>
      <c r="AI334" s="30">
        <f t="shared" si="632"/>
        <v>-1</v>
      </c>
      <c r="AJ334" s="30">
        <f t="shared" si="632"/>
        <v>-121</v>
      </c>
      <c r="AK334" s="30">
        <f t="shared" si="632"/>
        <v>-2</v>
      </c>
      <c r="AL334" s="30">
        <f t="shared" si="632"/>
        <v>-912</v>
      </c>
      <c r="AM334" s="30">
        <f t="shared" si="632"/>
        <v>1</v>
      </c>
      <c r="AN334" s="30">
        <f t="shared" si="632"/>
        <v>1</v>
      </c>
      <c r="AO334" s="30">
        <f t="shared" si="632"/>
        <v>-912</v>
      </c>
      <c r="AP334" s="30">
        <f t="shared" si="632"/>
        <v>-1</v>
      </c>
      <c r="AQ334" s="30">
        <f t="shared" si="632"/>
        <v>1</v>
      </c>
      <c r="AR334" s="30">
        <f t="shared" si="632"/>
        <v>-2</v>
      </c>
      <c r="AS334" s="30">
        <f t="shared" si="632"/>
        <v>2</v>
      </c>
      <c r="AT334" s="30">
        <f t="shared" si="632"/>
        <v>0</v>
      </c>
      <c r="AU334" s="30">
        <f t="shared" si="632"/>
        <v>1</v>
      </c>
      <c r="AV334" s="30">
        <f t="shared" si="632"/>
        <v>0</v>
      </c>
      <c r="AW334" s="30">
        <f t="shared" si="632"/>
        <v>-18</v>
      </c>
      <c r="AX334" s="30">
        <f t="shared" si="632"/>
        <v>-11</v>
      </c>
      <c r="AY334" s="30">
        <f t="shared" si="632"/>
        <v>-28</v>
      </c>
      <c r="AZ334" s="30">
        <f t="shared" si="632"/>
        <v>0</v>
      </c>
      <c r="BA334" s="30">
        <f t="shared" si="632"/>
        <v>812.6</v>
      </c>
      <c r="BB334" s="30">
        <f t="shared" si="632"/>
        <v>0</v>
      </c>
      <c r="BC334" s="30">
        <f t="shared" si="632"/>
        <v>0</v>
      </c>
      <c r="BD334" s="30">
        <f t="shared" si="632"/>
        <v>812.6</v>
      </c>
      <c r="BE334" s="30">
        <f t="shared" si="632"/>
        <v>0</v>
      </c>
      <c r="BF334" s="30">
        <f t="shared" si="632"/>
        <v>0</v>
      </c>
      <c r="BG334" s="30">
        <f t="shared" si="632"/>
        <v>0</v>
      </c>
      <c r="BH334" s="30">
        <f t="shared" si="632"/>
        <v>0</v>
      </c>
      <c r="BI334" s="30">
        <f t="shared" si="632"/>
        <v>0</v>
      </c>
      <c r="BJ334" s="30">
        <f t="shared" si="632"/>
        <v>0</v>
      </c>
      <c r="BK334" s="30">
        <f t="shared" si="632"/>
        <v>108</v>
      </c>
      <c r="BL334" s="30">
        <f t="shared" si="632"/>
        <v>-1</v>
      </c>
      <c r="BM334" s="30">
        <f t="shared" si="632"/>
        <v>32</v>
      </c>
      <c r="BN334" s="30">
        <f t="shared" si="632"/>
        <v>139</v>
      </c>
      <c r="BO334" s="30">
        <f t="shared" si="632"/>
        <v>0</v>
      </c>
      <c r="BP334" s="30">
        <f t="shared" si="632"/>
        <v>1</v>
      </c>
      <c r="BQ334" s="30">
        <f t="shared" si="632"/>
        <v>-2</v>
      </c>
      <c r="BR334" s="30">
        <f t="shared" si="632"/>
        <v>1</v>
      </c>
      <c r="BS334" s="30">
        <f t="shared" si="632"/>
        <v>0</v>
      </c>
      <c r="BT334" s="30">
        <f t="shared" ref="BT334:CV334" si="633">BT185</f>
        <v>2</v>
      </c>
      <c r="BU334" s="30">
        <f t="shared" si="633"/>
        <v>1</v>
      </c>
      <c r="BV334" s="30">
        <f t="shared" si="633"/>
        <v>0</v>
      </c>
      <c r="BW334" s="30">
        <f t="shared" si="633"/>
        <v>16</v>
      </c>
      <c r="BX334" s="30">
        <f t="shared" si="633"/>
        <v>19</v>
      </c>
      <c r="BY334" s="30">
        <f t="shared" si="633"/>
        <v>12</v>
      </c>
      <c r="BZ334" s="30">
        <f t="shared" si="633"/>
        <v>0</v>
      </c>
      <c r="CA334" s="30">
        <f t="shared" si="633"/>
        <v>0</v>
      </c>
      <c r="CB334" s="30">
        <f t="shared" si="633"/>
        <v>-270</v>
      </c>
      <c r="CC334" s="30">
        <f t="shared" si="633"/>
        <v>-258</v>
      </c>
      <c r="CD334" s="30">
        <f t="shared" si="633"/>
        <v>1</v>
      </c>
      <c r="CE334" s="30">
        <f t="shared" si="633"/>
        <v>2</v>
      </c>
      <c r="CF334" s="30">
        <f t="shared" si="633"/>
        <v>22</v>
      </c>
      <c r="CG334" s="30">
        <f t="shared" si="633"/>
        <v>1</v>
      </c>
      <c r="CH334" s="30">
        <f t="shared" si="633"/>
        <v>26</v>
      </c>
      <c r="CI334" s="30">
        <f t="shared" si="633"/>
        <v>13</v>
      </c>
      <c r="CJ334" s="30">
        <f t="shared" si="633"/>
        <v>2</v>
      </c>
      <c r="CK334" s="30">
        <f t="shared" si="633"/>
        <v>0</v>
      </c>
      <c r="CL334" s="30">
        <f t="shared" si="633"/>
        <v>0</v>
      </c>
      <c r="CM334" s="30">
        <f t="shared" si="633"/>
        <v>15</v>
      </c>
      <c r="CN334" s="30">
        <f t="shared" si="633"/>
        <v>0</v>
      </c>
      <c r="CO334" s="30">
        <f t="shared" si="633"/>
        <v>0</v>
      </c>
      <c r="CP334" s="30">
        <f t="shared" si="633"/>
        <v>0</v>
      </c>
      <c r="CQ334" s="30">
        <f t="shared" si="633"/>
        <v>0</v>
      </c>
      <c r="CR334" s="30">
        <f t="shared" si="633"/>
        <v>0</v>
      </c>
      <c r="CS334" s="30">
        <f t="shared" si="633"/>
        <v>0</v>
      </c>
      <c r="CT334" s="30">
        <f t="shared" si="633"/>
        <v>0</v>
      </c>
      <c r="CU334" s="30">
        <f t="shared" si="633"/>
        <v>0</v>
      </c>
      <c r="CV334" s="30">
        <f t="shared" si="633"/>
        <v>0</v>
      </c>
      <c r="CW334" s="30">
        <f t="shared" ref="CW334:DG334" si="634">CW185</f>
        <v>0</v>
      </c>
      <c r="CX334" s="30">
        <f t="shared" si="634"/>
        <v>0</v>
      </c>
      <c r="CY334" s="30">
        <f t="shared" si="634"/>
        <v>0</v>
      </c>
      <c r="CZ334" s="30">
        <f t="shared" si="634"/>
        <v>0</v>
      </c>
      <c r="DA334" s="30">
        <f t="shared" si="634"/>
        <v>0</v>
      </c>
      <c r="DB334" s="30">
        <f t="shared" si="634"/>
        <v>0</v>
      </c>
      <c r="DC334" s="30">
        <f t="shared" si="634"/>
        <v>0</v>
      </c>
      <c r="DD334" s="30">
        <f t="shared" si="634"/>
        <v>0</v>
      </c>
      <c r="DE334" s="30">
        <f t="shared" si="634"/>
        <v>0</v>
      </c>
      <c r="DF334" s="30">
        <f t="shared" si="634"/>
        <v>0</v>
      </c>
      <c r="DG334" s="30">
        <f t="shared" si="634"/>
        <v>0</v>
      </c>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c r="FC334"/>
      <c r="FD334"/>
      <c r="FE334"/>
      <c r="FF334"/>
      <c r="FG334"/>
      <c r="FH334"/>
      <c r="FI334"/>
      <c r="FJ334"/>
      <c r="FK334"/>
      <c r="FL334"/>
      <c r="FM334"/>
      <c r="FN334"/>
      <c r="FO334"/>
      <c r="FP334"/>
      <c r="FQ334"/>
      <c r="FR334"/>
      <c r="FS334"/>
      <c r="FT334"/>
      <c r="FU334"/>
      <c r="FV334"/>
      <c r="FW334"/>
      <c r="FX334"/>
      <c r="FY334"/>
      <c r="FZ334"/>
      <c r="GA334"/>
      <c r="GB334"/>
      <c r="GC334"/>
      <c r="GD334"/>
      <c r="GE334"/>
      <c r="GF334"/>
      <c r="GG334"/>
      <c r="GH334"/>
      <c r="GI334"/>
      <c r="GJ334"/>
      <c r="GK334"/>
      <c r="GL334"/>
      <c r="GM334"/>
      <c r="GN334"/>
      <c r="GO334"/>
      <c r="GP334"/>
      <c r="GQ334"/>
      <c r="GR334"/>
      <c r="GS334"/>
      <c r="GT334"/>
      <c r="GU334"/>
      <c r="GV334"/>
      <c r="GW334"/>
      <c r="GX334"/>
      <c r="GY334"/>
      <c r="GZ334"/>
      <c r="HA334"/>
      <c r="HB334"/>
      <c r="HC334"/>
      <c r="HD334"/>
      <c r="HE334"/>
      <c r="HF334"/>
      <c r="HG334"/>
      <c r="HH334"/>
      <c r="HI334"/>
      <c r="HJ334"/>
      <c r="HK334"/>
      <c r="HL334"/>
      <c r="HM334"/>
      <c r="HN334"/>
      <c r="HO334"/>
      <c r="HP334"/>
      <c r="HQ334"/>
      <c r="HR334"/>
    </row>
    <row r="335" spans="1:226" s="19" customFormat="1" hidden="1" outlineLevel="1" x14ac:dyDescent="0.2">
      <c r="A335" s="19" t="s">
        <v>302</v>
      </c>
      <c r="B335" s="330"/>
      <c r="C335" s="330"/>
      <c r="D335" s="330"/>
      <c r="E335" s="330"/>
      <c r="F335" s="330"/>
      <c r="G335" s="330">
        <f>G8</f>
        <v>2.1806853582554409E-2</v>
      </c>
      <c r="H335" s="330">
        <f t="shared" ref="H335:BS335" si="635">H8</f>
        <v>1.2557077625570789E-2</v>
      </c>
      <c r="I335" s="330">
        <f t="shared" si="635"/>
        <v>6.3409563409563496E-2</v>
      </c>
      <c r="J335" s="330">
        <f t="shared" si="635"/>
        <v>2.3593466424682408E-2</v>
      </c>
      <c r="K335" s="330">
        <f t="shared" si="635"/>
        <v>3.0489367153471614E-2</v>
      </c>
      <c r="L335" s="330">
        <f t="shared" si="635"/>
        <v>6.4024390243902385E-2</v>
      </c>
      <c r="M335" s="330">
        <f t="shared" si="635"/>
        <v>4.3968432919955003E-2</v>
      </c>
      <c r="N335" s="330">
        <f t="shared" si="635"/>
        <v>-3.910068426197455E-3</v>
      </c>
      <c r="O335" s="330">
        <f t="shared" si="635"/>
        <v>2.1276595744680771E-2</v>
      </c>
      <c r="P335" s="330">
        <f t="shared" si="635"/>
        <v>3.0333167578319165E-2</v>
      </c>
      <c r="Q335" s="330" t="s">
        <v>301</v>
      </c>
      <c r="R335" s="330" t="s">
        <v>301</v>
      </c>
      <c r="S335" s="330" t="s">
        <v>301</v>
      </c>
      <c r="T335" s="330" t="s">
        <v>301</v>
      </c>
      <c r="U335" s="330" t="s">
        <v>301</v>
      </c>
      <c r="V335" s="330">
        <f t="shared" si="635"/>
        <v>4.1749502982107334E-2</v>
      </c>
      <c r="W335" s="330">
        <f t="shared" si="635"/>
        <v>8.6956521739130377E-2</v>
      </c>
      <c r="X335" s="330">
        <f t="shared" si="635"/>
        <v>3.3301617507136116E-2</v>
      </c>
      <c r="Y335" s="330">
        <f t="shared" si="635"/>
        <v>5.8227848101265911E-2</v>
      </c>
      <c r="Z335" s="330">
        <f t="shared" si="635"/>
        <v>5.4300816914944816E-2</v>
      </c>
      <c r="AA335" s="330">
        <f t="shared" si="635"/>
        <v>5.3435114503816772E-2</v>
      </c>
      <c r="AB335" s="330">
        <f t="shared" si="635"/>
        <v>6.4000000000000057E-2</v>
      </c>
      <c r="AC335" s="330">
        <f t="shared" si="635"/>
        <v>6.5377532228360957E-2</v>
      </c>
      <c r="AD335" s="330">
        <f t="shared" si="635"/>
        <v>5.1834130781499121E-2</v>
      </c>
      <c r="AE335" s="330">
        <f t="shared" si="635"/>
        <v>5.8340929808568864E-2</v>
      </c>
      <c r="AF335" s="330">
        <f t="shared" si="635"/>
        <v>5.1630434782608647E-2</v>
      </c>
      <c r="AG335" s="330">
        <f t="shared" si="635"/>
        <v>3.4774436090225569E-2</v>
      </c>
      <c r="AH335" s="330">
        <f t="shared" si="635"/>
        <v>7.260155574762317E-2</v>
      </c>
      <c r="AI335" s="330">
        <f t="shared" si="635"/>
        <v>1.8953752843062999E-2</v>
      </c>
      <c r="AJ335" s="330">
        <f t="shared" si="635"/>
        <v>4.3712316968130827E-2</v>
      </c>
      <c r="AK335" s="330">
        <f t="shared" si="635"/>
        <v>6.7183462532299787E-2</v>
      </c>
      <c r="AL335" s="330">
        <f t="shared" si="635"/>
        <v>7.7202543142597557E-2</v>
      </c>
      <c r="AM335" s="330">
        <f t="shared" si="635"/>
        <v>9.0249798549556726E-2</v>
      </c>
      <c r="AN335" s="330">
        <f t="shared" si="635"/>
        <v>0.11235119047619047</v>
      </c>
      <c r="AO335" s="330">
        <f t="shared" si="635"/>
        <v>8.7889416133690945E-2</v>
      </c>
      <c r="AP335" s="330">
        <f t="shared" si="635"/>
        <v>0.11702986279257455</v>
      </c>
      <c r="AQ335" s="330">
        <f t="shared" si="635"/>
        <v>2.5295109612141653E-2</v>
      </c>
      <c r="AR335" s="330">
        <f t="shared" si="635"/>
        <v>-2.2172949002217113E-3</v>
      </c>
      <c r="AS335" s="330">
        <f t="shared" si="635"/>
        <v>3.3444816053511683E-3</v>
      </c>
      <c r="AT335" s="330">
        <f t="shared" si="635"/>
        <v>3.3567229281244115E-2</v>
      </c>
      <c r="AU335" s="330">
        <f t="shared" si="635"/>
        <v>-5.8526011560693592E-2</v>
      </c>
      <c r="AV335" s="330">
        <f t="shared" si="635"/>
        <v>-8.2236842105265495E-4</v>
      </c>
      <c r="AW335" s="330">
        <f t="shared" si="635"/>
        <v>-4.6666666666666634E-2</v>
      </c>
      <c r="AX335" s="330">
        <f t="shared" si="635"/>
        <v>-4.7333333333333338E-2</v>
      </c>
      <c r="AY335" s="330">
        <f t="shared" si="635"/>
        <v>-3.9633027522935738E-2</v>
      </c>
      <c r="AZ335" s="330">
        <f t="shared" si="635"/>
        <v>-2.839600920951646E-2</v>
      </c>
      <c r="BA335" s="330">
        <f t="shared" si="635"/>
        <v>-2.9629629629629672E-2</v>
      </c>
      <c r="BB335" s="330">
        <f t="shared" si="635"/>
        <v>1.3209013209013243E-2</v>
      </c>
      <c r="BC335" s="330">
        <f t="shared" si="635"/>
        <v>3.7088873337998596E-2</v>
      </c>
      <c r="BD335" s="330">
        <f t="shared" si="635"/>
        <v>-5.7317539166990006E-4</v>
      </c>
      <c r="BE335" s="330">
        <f t="shared" si="635"/>
        <v>3.0805687203791399E-2</v>
      </c>
      <c r="BF335" s="330">
        <f t="shared" si="635"/>
        <v>3.5623409669211181E-2</v>
      </c>
      <c r="BG335" s="330">
        <f t="shared" si="635"/>
        <v>7.4386503067484622E-2</v>
      </c>
      <c r="BH335" s="330">
        <f t="shared" si="635"/>
        <v>3.9811066126855588E-2</v>
      </c>
      <c r="BI335" s="330">
        <f t="shared" si="635"/>
        <v>4.5306824698910342E-2</v>
      </c>
      <c r="BJ335" s="330">
        <f t="shared" si="635"/>
        <v>2.5287356321838983E-2</v>
      </c>
      <c r="BK335" s="330">
        <f t="shared" si="635"/>
        <v>8.5176085176085214E-2</v>
      </c>
      <c r="BL335" s="330">
        <f t="shared" si="635"/>
        <v>8.565310492505418E-3</v>
      </c>
      <c r="BM335" s="330">
        <f t="shared" si="635"/>
        <v>3.8935756002596023E-3</v>
      </c>
      <c r="BN335" s="330">
        <f t="shared" si="635"/>
        <v>2.8346744696415405E-2</v>
      </c>
      <c r="BO335" s="330">
        <f t="shared" si="635"/>
        <v>3.7369207772794955E-3</v>
      </c>
      <c r="BP335" s="330">
        <f t="shared" si="635"/>
        <v>-1.2830188679245236E-2</v>
      </c>
      <c r="BQ335" s="330">
        <f t="shared" si="635"/>
        <v>-3.3262561924982337E-2</v>
      </c>
      <c r="BR335" s="330">
        <f t="shared" si="635"/>
        <v>-3.232062055591467E-2</v>
      </c>
      <c r="BS335" s="330">
        <f t="shared" si="635"/>
        <v>-1.9384670104926172E-2</v>
      </c>
      <c r="BT335" s="330">
        <f t="shared" ref="BT335:CV335" si="636">BT8</f>
        <v>6.7014147431123661E-3</v>
      </c>
      <c r="BU335" s="330">
        <f t="shared" si="636"/>
        <v>2.828746177370034E-2</v>
      </c>
      <c r="BV335" s="330">
        <f t="shared" si="636"/>
        <v>2.5622254758418839E-2</v>
      </c>
      <c r="BW335" s="330">
        <f t="shared" si="636"/>
        <v>4.0080160320641323E-2</v>
      </c>
      <c r="BX335" s="330">
        <f t="shared" si="636"/>
        <v>2.5571273122959814E-2</v>
      </c>
      <c r="BY335" s="330">
        <f t="shared" si="636"/>
        <v>2.8106508875739733E-2</v>
      </c>
      <c r="BZ335" s="330">
        <f t="shared" si="636"/>
        <v>0</v>
      </c>
      <c r="CA335" s="330">
        <f t="shared" si="636"/>
        <v>1.7844396859386213E-2</v>
      </c>
      <c r="CB335" s="330">
        <f t="shared" si="636"/>
        <v>2.7617212588310958E-2</v>
      </c>
      <c r="CC335" s="330">
        <f t="shared" si="636"/>
        <v>1.8744473916887605E-2</v>
      </c>
      <c r="CD335" s="330">
        <f t="shared" si="636"/>
        <v>3.8129496402877772E-2</v>
      </c>
      <c r="CE335" s="330">
        <f t="shared" si="636"/>
        <v>4.5353159851301061E-2</v>
      </c>
      <c r="CF335" s="330">
        <f t="shared" si="636"/>
        <v>3.576437587657777E-2</v>
      </c>
      <c r="CG335" s="330">
        <f t="shared" si="636"/>
        <v>2.9374999999999929E-2</v>
      </c>
      <c r="CH335" s="330">
        <f t="shared" si="636"/>
        <v>3.6799166811317452E-2</v>
      </c>
      <c r="CI335" s="330">
        <f t="shared" si="636"/>
        <v>3.9501039501039559E-2</v>
      </c>
      <c r="CJ335" s="330">
        <f t="shared" si="636"/>
        <v>7.1123755334281391E-3</v>
      </c>
      <c r="CK335" s="330">
        <f t="shared" si="636"/>
        <v>2.4519434260321438E-2</v>
      </c>
      <c r="CL335" s="330">
        <f t="shared" ca="1" si="636"/>
        <v>5.0031455082259146E-2</v>
      </c>
      <c r="CM335" s="330">
        <f t="shared" ca="1" si="636"/>
        <v>3.107601053456821E-2</v>
      </c>
      <c r="CN335" s="330">
        <f t="shared" si="636"/>
        <v>5.5624041910116606E-2</v>
      </c>
      <c r="CO335" s="330">
        <f t="shared" si="636"/>
        <v>6.8840430512484563E-2</v>
      </c>
      <c r="CP335" s="330">
        <f t="shared" si="636"/>
        <v>6.9232198009455459E-2</v>
      </c>
      <c r="CQ335" s="330">
        <f t="shared" ca="1" si="636"/>
        <v>2.9229201560627471E-2</v>
      </c>
      <c r="CR335" s="330">
        <f t="shared" ca="1" si="636"/>
        <v>5.4594458547873925E-2</v>
      </c>
      <c r="CS335" s="330">
        <f t="shared" si="636"/>
        <v>2.3497268820320549E-2</v>
      </c>
      <c r="CT335" s="330">
        <f t="shared" si="636"/>
        <v>2.4031806897848229E-2</v>
      </c>
      <c r="CU335" s="330">
        <f t="shared" si="636"/>
        <v>2.3526637876859935E-2</v>
      </c>
      <c r="CV335" s="330">
        <f t="shared" ca="1" si="636"/>
        <v>2.2838653123216091E-2</v>
      </c>
      <c r="CW335" s="330">
        <f t="shared" ref="CW335:DG335" ca="1" si="637">CW8</f>
        <v>2.3448649723776249E-2</v>
      </c>
      <c r="CX335" s="330">
        <f t="shared" si="637"/>
        <v>2.3600389779892428E-2</v>
      </c>
      <c r="CY335" s="330">
        <f t="shared" si="637"/>
        <v>2.4142430200832843E-2</v>
      </c>
      <c r="CZ335" s="330">
        <f t="shared" si="637"/>
        <v>2.3634242745996126E-2</v>
      </c>
      <c r="DA335" s="330">
        <f t="shared" ca="1" si="637"/>
        <v>2.2943232669299762E-2</v>
      </c>
      <c r="DB335" s="330">
        <f t="shared" ca="1" si="637"/>
        <v>2.3555215646870797E-2</v>
      </c>
      <c r="DC335" s="330">
        <f t="shared" si="637"/>
        <v>2.3704904304202579E-2</v>
      </c>
      <c r="DD335" s="330">
        <f t="shared" si="637"/>
        <v>2.4254440097441377E-2</v>
      </c>
      <c r="DE335" s="330">
        <f t="shared" si="637"/>
        <v>2.3743276144444714E-2</v>
      </c>
      <c r="DF335" s="330">
        <f t="shared" ca="1" si="637"/>
        <v>2.3049289666084993E-2</v>
      </c>
      <c r="DG335" s="330">
        <f t="shared" ca="1" si="637"/>
        <v>2.3663207693157551E-2</v>
      </c>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c r="FC335"/>
      <c r="FD335"/>
      <c r="FE335"/>
      <c r="FF335"/>
      <c r="FG335"/>
      <c r="FH335"/>
      <c r="FI335"/>
      <c r="FJ335"/>
      <c r="FK335"/>
      <c r="FL335"/>
      <c r="FM335"/>
      <c r="FN335"/>
      <c r="FO335"/>
      <c r="FP335"/>
      <c r="FQ335"/>
      <c r="FR335"/>
      <c r="FS335"/>
      <c r="FT335"/>
      <c r="FU335"/>
      <c r="FV335"/>
      <c r="FW335"/>
      <c r="FX335"/>
      <c r="FY335"/>
      <c r="FZ335"/>
      <c r="GA335"/>
      <c r="GB335"/>
      <c r="GC335"/>
      <c r="GD335"/>
      <c r="GE335"/>
      <c r="GF335"/>
      <c r="GG335"/>
      <c r="GH335"/>
      <c r="GI335"/>
      <c r="GJ335"/>
      <c r="GK335"/>
      <c r="GL335"/>
      <c r="GM335"/>
      <c r="GN335"/>
      <c r="GO335"/>
      <c r="GP335"/>
      <c r="GQ335"/>
      <c r="GR335"/>
      <c r="GS335"/>
      <c r="GT335"/>
      <c r="GU335"/>
      <c r="GV335"/>
      <c r="GW335"/>
      <c r="GX335"/>
      <c r="GY335"/>
      <c r="GZ335"/>
      <c r="HA335"/>
      <c r="HB335"/>
      <c r="HC335"/>
      <c r="HD335"/>
      <c r="HE335"/>
      <c r="HF335"/>
      <c r="HG335"/>
      <c r="HH335"/>
      <c r="HI335"/>
      <c r="HJ335"/>
      <c r="HK335"/>
      <c r="HL335"/>
      <c r="HM335"/>
      <c r="HN335"/>
      <c r="HO335"/>
      <c r="HP335"/>
      <c r="HQ335"/>
      <c r="HR335"/>
    </row>
    <row r="336" spans="1:226" s="685" customFormat="1" hidden="1" outlineLevel="1" x14ac:dyDescent="0.2">
      <c r="A336" s="685" t="s">
        <v>413</v>
      </c>
      <c r="B336" s="845"/>
      <c r="C336" s="845"/>
      <c r="D336" s="845"/>
      <c r="E336" s="845"/>
      <c r="F336" s="845"/>
      <c r="G336" s="845"/>
      <c r="H336" s="845"/>
      <c r="I336" s="845"/>
      <c r="J336" s="845"/>
      <c r="K336" s="845"/>
      <c r="L336" s="845"/>
      <c r="M336" s="845"/>
      <c r="N336" s="845"/>
      <c r="O336" s="845"/>
      <c r="P336" s="845"/>
      <c r="Q336" s="845"/>
      <c r="R336" s="845"/>
      <c r="S336" s="845"/>
      <c r="T336" s="845"/>
      <c r="U336" s="845"/>
      <c r="V336" s="845"/>
      <c r="W336" s="845"/>
      <c r="X336" s="845"/>
      <c r="Y336" s="845"/>
      <c r="Z336" s="845"/>
      <c r="AA336" s="845"/>
      <c r="AB336" s="845"/>
      <c r="AC336" s="845"/>
      <c r="AD336" s="845"/>
      <c r="AE336" s="845"/>
      <c r="AF336" s="845"/>
      <c r="AG336" s="845"/>
      <c r="AH336" s="845"/>
      <c r="AI336" s="845"/>
      <c r="AJ336" s="845"/>
      <c r="AK336" s="845"/>
      <c r="AL336" s="845"/>
      <c r="AM336" s="845"/>
      <c r="AN336" s="845"/>
      <c r="AO336" s="845"/>
      <c r="AP336" s="845"/>
      <c r="AQ336" s="845"/>
      <c r="AR336" s="845"/>
      <c r="AS336" s="845"/>
      <c r="AT336" s="845"/>
      <c r="AU336" s="845"/>
      <c r="AV336" s="845"/>
      <c r="AW336" s="845"/>
      <c r="AX336" s="845"/>
      <c r="AY336" s="845"/>
      <c r="AZ336" s="845"/>
      <c r="BA336" s="845"/>
      <c r="BB336" s="845"/>
      <c r="BC336" s="845"/>
      <c r="BD336" s="845"/>
      <c r="BE336" s="845"/>
      <c r="BF336" s="845"/>
      <c r="BG336" s="845"/>
      <c r="BH336" s="845"/>
      <c r="BI336" s="845">
        <v>0.35</v>
      </c>
      <c r="BJ336" s="845">
        <v>0.35</v>
      </c>
      <c r="BK336" s="845">
        <v>0.35</v>
      </c>
      <c r="BL336" s="845">
        <v>0.35</v>
      </c>
      <c r="BM336" s="845">
        <v>0.35</v>
      </c>
      <c r="BN336" s="845">
        <v>0.35</v>
      </c>
      <c r="BO336" s="845">
        <v>0.35</v>
      </c>
      <c r="BP336" s="845">
        <v>0.35</v>
      </c>
      <c r="BQ336" s="845">
        <v>0.35</v>
      </c>
      <c r="BR336" s="845">
        <v>0.35</v>
      </c>
      <c r="BS336" s="845">
        <v>0.35</v>
      </c>
      <c r="BT336" s="845">
        <v>0.35</v>
      </c>
      <c r="BU336" s="845">
        <v>0.35</v>
      </c>
      <c r="BV336" s="845">
        <v>0.35</v>
      </c>
      <c r="BW336" s="845">
        <v>0.35</v>
      </c>
      <c r="BX336" s="845">
        <v>0.35</v>
      </c>
      <c r="BY336" s="845">
        <v>0.35</v>
      </c>
      <c r="BZ336" s="845">
        <v>0.35</v>
      </c>
      <c r="CA336" s="845">
        <v>0.35</v>
      </c>
      <c r="CB336" s="845">
        <v>0.35</v>
      </c>
      <c r="CC336" s="845">
        <v>0.35</v>
      </c>
      <c r="CD336" s="845">
        <v>0.35</v>
      </c>
      <c r="CE336" s="845">
        <v>0.35</v>
      </c>
      <c r="CF336" s="845">
        <v>0.35</v>
      </c>
      <c r="CG336" s="845">
        <v>0.35</v>
      </c>
      <c r="CH336" s="845">
        <v>0.35</v>
      </c>
      <c r="CI336" s="845">
        <v>0.35</v>
      </c>
      <c r="CJ336" s="845">
        <v>0.35</v>
      </c>
      <c r="CK336" s="845">
        <v>0.21</v>
      </c>
      <c r="CL336" s="845">
        <v>0.21</v>
      </c>
      <c r="CM336" s="845">
        <v>0.21</v>
      </c>
      <c r="CN336" s="845">
        <v>0.21</v>
      </c>
      <c r="CO336" s="845">
        <v>0.21</v>
      </c>
      <c r="CP336" s="845">
        <v>0.21</v>
      </c>
      <c r="CQ336" s="845">
        <v>0.21</v>
      </c>
      <c r="CR336" s="845">
        <v>0.21</v>
      </c>
      <c r="CS336" s="845">
        <v>0.21</v>
      </c>
      <c r="CT336" s="845">
        <v>0.21</v>
      </c>
      <c r="CU336" s="845">
        <v>0.21</v>
      </c>
      <c r="CV336" s="845">
        <v>0.21</v>
      </c>
      <c r="CW336" s="845">
        <v>0.21</v>
      </c>
      <c r="CX336" s="845">
        <v>0.21</v>
      </c>
      <c r="CY336" s="845">
        <v>0.21</v>
      </c>
      <c r="CZ336" s="845">
        <v>0.21</v>
      </c>
      <c r="DA336" s="845">
        <v>0.21</v>
      </c>
      <c r="DB336" s="845">
        <v>0.21</v>
      </c>
      <c r="DC336" s="845">
        <v>0.21</v>
      </c>
      <c r="DD336" s="845">
        <v>0.21</v>
      </c>
      <c r="DE336" s="845">
        <v>0.21</v>
      </c>
      <c r="DF336" s="845">
        <v>0.21</v>
      </c>
      <c r="DG336" s="845">
        <v>0.21</v>
      </c>
      <c r="DJ336"/>
      <c r="DK336"/>
      <c r="DL336"/>
      <c r="DM336"/>
      <c r="DN336"/>
      <c r="DO336"/>
      <c r="DP336" s="754"/>
      <c r="DQ336" s="754"/>
      <c r="DR336" s="754"/>
      <c r="DS336" s="754"/>
      <c r="DT336" s="754"/>
      <c r="DU336" s="754"/>
      <c r="DV336" s="754"/>
      <c r="DW336" s="754"/>
      <c r="DX336" s="754"/>
      <c r="DY336" s="754"/>
      <c r="DZ336" s="754"/>
      <c r="EA336" s="754"/>
      <c r="EB336" s="754"/>
      <c r="EC336" s="754"/>
      <c r="ED336" s="754"/>
      <c r="EE336" s="754"/>
      <c r="EF336" s="754"/>
      <c r="EG336" s="754"/>
      <c r="EH336" s="754"/>
      <c r="EI336" s="754"/>
      <c r="EJ336" s="754"/>
      <c r="EK336" s="754"/>
      <c r="EL336" s="754"/>
      <c r="EM336" s="754"/>
      <c r="EN336" s="754"/>
      <c r="EO336" s="754"/>
      <c r="EP336" s="754"/>
      <c r="EQ336" s="754"/>
      <c r="ER336" s="754"/>
      <c r="ES336" s="754"/>
      <c r="ET336" s="754"/>
      <c r="EU336" s="754"/>
      <c r="EV336" s="754"/>
      <c r="EW336" s="754"/>
      <c r="EX336" s="754"/>
      <c r="EY336" s="754"/>
      <c r="EZ336" s="754"/>
      <c r="FA336" s="754"/>
      <c r="FB336" s="754"/>
      <c r="FC336" s="754"/>
      <c r="FD336" s="754"/>
      <c r="FE336" s="754"/>
      <c r="FF336" s="754"/>
      <c r="FG336" s="754"/>
      <c r="FH336" s="754"/>
      <c r="FI336" s="754"/>
      <c r="FJ336" s="754"/>
      <c r="FK336" s="754"/>
      <c r="FL336" s="754"/>
      <c r="FM336" s="754"/>
      <c r="FN336" s="754"/>
      <c r="FO336" s="754"/>
      <c r="FP336" s="754"/>
      <c r="FQ336" s="754"/>
      <c r="FR336" s="754"/>
      <c r="FS336" s="754"/>
      <c r="FT336" s="754"/>
      <c r="FU336" s="754"/>
      <c r="FV336" s="754"/>
      <c r="FW336" s="754"/>
      <c r="FX336" s="754"/>
      <c r="FY336" s="754"/>
      <c r="FZ336" s="754"/>
      <c r="GA336" s="754"/>
      <c r="GB336" s="754"/>
      <c r="GC336" s="754"/>
      <c r="GD336" s="754"/>
      <c r="GE336" s="754"/>
      <c r="GF336" s="754"/>
      <c r="GG336" s="754"/>
      <c r="GH336" s="754"/>
      <c r="GI336" s="754"/>
      <c r="GJ336" s="754"/>
      <c r="GK336" s="754"/>
      <c r="GL336" s="754"/>
      <c r="GM336" s="754"/>
      <c r="GN336" s="754"/>
      <c r="GO336" s="754"/>
      <c r="GP336" s="754"/>
      <c r="GQ336" s="754"/>
      <c r="GR336" s="754"/>
      <c r="GS336" s="754"/>
      <c r="GT336" s="754"/>
      <c r="GU336" s="754"/>
      <c r="GV336" s="754"/>
      <c r="GW336" s="754"/>
      <c r="GX336" s="754"/>
      <c r="GY336" s="754"/>
      <c r="GZ336" s="754"/>
      <c r="HA336" s="754"/>
      <c r="HB336" s="754"/>
      <c r="HC336" s="754"/>
      <c r="HD336" s="754"/>
      <c r="HE336" s="754"/>
      <c r="HF336" s="754"/>
      <c r="HG336" s="754"/>
      <c r="HH336" s="754"/>
      <c r="HI336" s="754"/>
      <c r="HJ336" s="754"/>
      <c r="HK336" s="754"/>
      <c r="HL336" s="754"/>
      <c r="HM336" s="754"/>
      <c r="HN336" s="754"/>
      <c r="HO336" s="754"/>
      <c r="HP336" s="754"/>
      <c r="HQ336" s="754"/>
      <c r="HR336" s="754"/>
    </row>
    <row r="337" spans="1:226" s="19" customFormat="1" collapsed="1" x14ac:dyDescent="0.2">
      <c r="AY337" s="20"/>
      <c r="BD337" s="20"/>
      <c r="BI337" s="20"/>
      <c r="BN337" s="20"/>
      <c r="BS337" s="20"/>
      <c r="BX337" s="20"/>
      <c r="CC337" s="20"/>
      <c r="CH337" s="20"/>
      <c r="CM337" s="20"/>
      <c r="CR337" s="20"/>
      <c r="CW337" s="20"/>
      <c r="DB337" s="20"/>
      <c r="DG337" s="20"/>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c r="FC337"/>
      <c r="FD337"/>
      <c r="FE337"/>
      <c r="FF337"/>
      <c r="FG337"/>
      <c r="FH337"/>
      <c r="FI337"/>
      <c r="FJ337"/>
      <c r="FK337"/>
      <c r="FL337"/>
      <c r="FM337"/>
      <c r="FN337"/>
      <c r="FO337"/>
      <c r="FP337"/>
      <c r="FQ337"/>
      <c r="FR337"/>
      <c r="FS337"/>
      <c r="FT337"/>
      <c r="FU337"/>
      <c r="FV337"/>
      <c r="FW337"/>
      <c r="FX337"/>
      <c r="FY337"/>
      <c r="FZ337"/>
      <c r="GA337"/>
      <c r="GB337"/>
      <c r="GC337"/>
      <c r="GD337"/>
      <c r="GE337"/>
      <c r="GF337"/>
      <c r="GG337"/>
      <c r="GH337"/>
      <c r="GI337"/>
      <c r="GJ337"/>
      <c r="GK337"/>
      <c r="GL337"/>
      <c r="GM337"/>
      <c r="GN337"/>
      <c r="GO337"/>
      <c r="GP337"/>
      <c r="GQ337"/>
      <c r="GR337"/>
      <c r="GS337"/>
      <c r="GT337"/>
      <c r="GU337"/>
      <c r="GV337"/>
      <c r="GW337"/>
      <c r="GX337"/>
      <c r="GY337"/>
      <c r="GZ337"/>
      <c r="HA337"/>
      <c r="HB337"/>
      <c r="HC337"/>
      <c r="HD337"/>
      <c r="HE337"/>
      <c r="HF337"/>
      <c r="HG337"/>
      <c r="HH337"/>
      <c r="HI337"/>
      <c r="HJ337"/>
      <c r="HK337"/>
      <c r="HL337"/>
      <c r="HM337"/>
      <c r="HN337"/>
      <c r="HO337"/>
      <c r="HP337"/>
      <c r="HQ337"/>
      <c r="HR337"/>
    </row>
    <row r="338" spans="1:226" s="19" customFormat="1" x14ac:dyDescent="0.2">
      <c r="AY338" s="20"/>
      <c r="BD338" s="20"/>
      <c r="BI338" s="20"/>
      <c r="BN338" s="20"/>
      <c r="BS338" s="20"/>
      <c r="BX338" s="20"/>
      <c r="CC338" s="20"/>
      <c r="CH338" s="20"/>
      <c r="CM338" s="20"/>
      <c r="CR338" s="20"/>
      <c r="CW338" s="20"/>
      <c r="DB338" s="20"/>
      <c r="DG338" s="20"/>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c r="FC338"/>
      <c r="FD338"/>
      <c r="FE338"/>
      <c r="FF338"/>
      <c r="FG338"/>
      <c r="FH338"/>
      <c r="FI338"/>
      <c r="FJ338"/>
      <c r="FK338"/>
      <c r="FL338"/>
      <c r="FM338"/>
      <c r="FN338"/>
      <c r="FO338"/>
      <c r="FP338"/>
      <c r="FQ338"/>
      <c r="FR338"/>
      <c r="FS338"/>
      <c r="FT338"/>
      <c r="FU338"/>
      <c r="FV338"/>
      <c r="FW338"/>
      <c r="FX338"/>
      <c r="FY338"/>
      <c r="FZ338"/>
      <c r="GA338"/>
      <c r="GB338"/>
      <c r="GC338"/>
      <c r="GD338"/>
      <c r="GE338"/>
      <c r="GF338"/>
      <c r="GG338"/>
      <c r="GH338"/>
      <c r="GI338"/>
      <c r="GJ338"/>
      <c r="GK338"/>
      <c r="GL338"/>
      <c r="GM338"/>
      <c r="GN338"/>
      <c r="GO338"/>
      <c r="GP338"/>
      <c r="GQ338"/>
      <c r="GR338"/>
      <c r="GS338"/>
      <c r="GT338"/>
      <c r="GU338"/>
      <c r="GV338"/>
      <c r="GW338"/>
      <c r="GX338"/>
      <c r="GY338"/>
      <c r="GZ338"/>
      <c r="HA338"/>
      <c r="HB338"/>
      <c r="HC338"/>
      <c r="HD338"/>
      <c r="HE338"/>
      <c r="HF338"/>
      <c r="HG338"/>
      <c r="HH338"/>
      <c r="HI338"/>
      <c r="HJ338"/>
      <c r="HK338"/>
      <c r="HL338"/>
      <c r="HM338"/>
      <c r="HN338"/>
      <c r="HO338"/>
      <c r="HP338"/>
      <c r="HQ338"/>
      <c r="HR338"/>
    </row>
    <row r="339" spans="1:226" s="19" customFormat="1" x14ac:dyDescent="0.2">
      <c r="AY339" s="20"/>
      <c r="BD339" s="20"/>
      <c r="BI339" s="20"/>
      <c r="BN339" s="20"/>
      <c r="BS339" s="20"/>
      <c r="BX339" s="20"/>
      <c r="CC339" s="20"/>
      <c r="CH339" s="20"/>
      <c r="CM339" s="20"/>
      <c r="CR339" s="20"/>
      <c r="CW339" s="20"/>
      <c r="DB339" s="20"/>
      <c r="DG339" s="20"/>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c r="FC339"/>
      <c r="FD339"/>
      <c r="FE339"/>
      <c r="FF339"/>
      <c r="FG339"/>
      <c r="FH339"/>
      <c r="FI339"/>
      <c r="FJ339"/>
      <c r="FK339"/>
      <c r="FL339"/>
      <c r="FM339"/>
      <c r="FN339"/>
      <c r="FO339"/>
      <c r="FP339"/>
      <c r="FQ339"/>
      <c r="FR339"/>
      <c r="FS339"/>
      <c r="FT339"/>
      <c r="FU339"/>
      <c r="FV339"/>
      <c r="FW339"/>
      <c r="FX339"/>
      <c r="FY339"/>
      <c r="FZ339"/>
      <c r="GA339"/>
      <c r="GB339"/>
      <c r="GC339"/>
      <c r="GD339"/>
      <c r="GE339"/>
      <c r="GF339"/>
      <c r="GG339"/>
      <c r="GH339"/>
      <c r="GI339"/>
      <c r="GJ339"/>
      <c r="GK339"/>
      <c r="GL339"/>
      <c r="GM339"/>
      <c r="GN339"/>
      <c r="GO339"/>
      <c r="GP339"/>
      <c r="GQ339"/>
      <c r="GR339"/>
      <c r="GS339"/>
      <c r="GT339"/>
      <c r="GU339"/>
      <c r="GV339"/>
      <c r="GW339"/>
      <c r="GX339"/>
      <c r="GY339"/>
      <c r="GZ339"/>
      <c r="HA339"/>
      <c r="HB339"/>
      <c r="HC339"/>
      <c r="HD339"/>
      <c r="HE339"/>
      <c r="HF339"/>
      <c r="HG339"/>
      <c r="HH339"/>
      <c r="HI339"/>
      <c r="HJ339"/>
      <c r="HK339"/>
      <c r="HL339"/>
      <c r="HM339"/>
      <c r="HN339"/>
      <c r="HO339"/>
      <c r="HP339"/>
      <c r="HQ339"/>
      <c r="HR339"/>
    </row>
    <row r="340" spans="1:226" s="19" customFormat="1" x14ac:dyDescent="0.2">
      <c r="AY340" s="20"/>
      <c r="BD340" s="20"/>
      <c r="BI340" s="20"/>
      <c r="BN340" s="20"/>
      <c r="BS340" s="20"/>
      <c r="BX340" s="20"/>
      <c r="CC340" s="20"/>
      <c r="CH340" s="20"/>
      <c r="CM340" s="20"/>
      <c r="CR340" s="20"/>
      <c r="CW340" s="20"/>
      <c r="DB340" s="20"/>
      <c r="DG340" s="2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c r="FC340"/>
      <c r="FD340"/>
      <c r="FE340"/>
      <c r="FF340"/>
      <c r="FG340"/>
      <c r="FH340"/>
      <c r="FI340"/>
      <c r="FJ340"/>
      <c r="FK340"/>
      <c r="FL340"/>
      <c r="FM340"/>
      <c r="FN340"/>
      <c r="FO340"/>
      <c r="FP340"/>
      <c r="FQ340"/>
      <c r="FR340"/>
      <c r="FS340"/>
      <c r="FT340"/>
      <c r="FU340"/>
      <c r="FV340"/>
      <c r="FW340"/>
      <c r="FX340"/>
      <c r="FY340"/>
      <c r="FZ340"/>
      <c r="GA340"/>
      <c r="GB340"/>
      <c r="GC340"/>
      <c r="GD340"/>
      <c r="GE340"/>
      <c r="GF340"/>
      <c r="GG340"/>
      <c r="GH340"/>
      <c r="GI340"/>
      <c r="GJ340"/>
      <c r="GK340"/>
      <c r="GL340"/>
      <c r="GM340"/>
      <c r="GN340"/>
      <c r="GO340"/>
      <c r="GP340"/>
      <c r="GQ340"/>
      <c r="GR340"/>
      <c r="GS340"/>
      <c r="GT340"/>
      <c r="GU340"/>
      <c r="GV340"/>
      <c r="GW340"/>
      <c r="GX340"/>
      <c r="GY340"/>
      <c r="GZ340"/>
      <c r="HA340"/>
      <c r="HB340"/>
      <c r="HC340"/>
      <c r="HD340"/>
      <c r="HE340"/>
      <c r="HF340"/>
      <c r="HG340"/>
      <c r="HH340"/>
      <c r="HI340"/>
      <c r="HJ340"/>
      <c r="HK340"/>
      <c r="HL340"/>
      <c r="HM340"/>
      <c r="HN340"/>
      <c r="HO340"/>
      <c r="HP340"/>
      <c r="HQ340"/>
      <c r="HR340"/>
    </row>
    <row r="341" spans="1:226" s="19" customFormat="1" hidden="1" outlineLevel="1" x14ac:dyDescent="0.2">
      <c r="A341" s="45" t="s">
        <v>346</v>
      </c>
      <c r="AY341" s="20"/>
      <c r="BD341" s="20"/>
      <c r="BI341" s="20"/>
      <c r="BN341" s="20"/>
      <c r="BS341" s="20"/>
      <c r="BX341" s="20"/>
      <c r="CC341" s="20"/>
      <c r="CH341" s="20"/>
      <c r="CM341" s="20"/>
      <c r="CR341" s="20"/>
      <c r="CW341" s="20"/>
      <c r="DB341" s="20"/>
      <c r="DG341" s="20"/>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c r="FC341"/>
      <c r="FD341"/>
      <c r="FE341"/>
      <c r="FF341"/>
      <c r="FG341"/>
      <c r="FH341"/>
      <c r="FI341"/>
      <c r="FJ341"/>
      <c r="FK341"/>
      <c r="FL341"/>
      <c r="FM341"/>
      <c r="FN341"/>
      <c r="FO341"/>
      <c r="FP341"/>
      <c r="FQ341"/>
      <c r="FR341"/>
      <c r="FS341"/>
      <c r="FT341"/>
      <c r="FU341"/>
      <c r="FV341"/>
      <c r="FW341"/>
      <c r="FX341"/>
      <c r="FY341"/>
      <c r="FZ341"/>
      <c r="GA341"/>
      <c r="GB341"/>
      <c r="GC341"/>
      <c r="GD341"/>
      <c r="GE341"/>
      <c r="GF341"/>
      <c r="GG341"/>
      <c r="GH341"/>
      <c r="GI341"/>
      <c r="GJ341"/>
      <c r="GK341"/>
      <c r="GL341"/>
      <c r="GM341"/>
      <c r="GN341"/>
      <c r="GO341"/>
      <c r="GP341"/>
      <c r="GQ341"/>
      <c r="GR341"/>
      <c r="GS341"/>
      <c r="GT341"/>
      <c r="GU341"/>
      <c r="GV341"/>
      <c r="GW341"/>
      <c r="GX341"/>
      <c r="GY341"/>
      <c r="GZ341"/>
      <c r="HA341"/>
      <c r="HB341"/>
      <c r="HC341"/>
      <c r="HD341"/>
      <c r="HE341"/>
      <c r="HF341"/>
      <c r="HG341"/>
      <c r="HH341"/>
      <c r="HI341"/>
      <c r="HJ341"/>
      <c r="HK341"/>
      <c r="HL341"/>
      <c r="HM341"/>
      <c r="HN341"/>
      <c r="HO341"/>
      <c r="HP341"/>
      <c r="HQ341"/>
      <c r="HR341"/>
    </row>
    <row r="342" spans="1:226" s="19" customFormat="1" hidden="1" outlineLevel="1" x14ac:dyDescent="0.2">
      <c r="A342" s="19" t="s">
        <v>332</v>
      </c>
      <c r="AK342" s="73">
        <f>(AK142-AK132-AK131)-AK147-AK148-AK149</f>
        <v>2683</v>
      </c>
      <c r="AL342" s="73">
        <f t="shared" ref="AL342:BI342" si="638">(AL142-AL132-AL131)-AL147-AL148-AL149</f>
        <v>3782</v>
      </c>
      <c r="AM342" s="73">
        <f t="shared" si="638"/>
        <v>3652</v>
      </c>
      <c r="AN342" s="73">
        <f t="shared" si="638"/>
        <v>3588</v>
      </c>
      <c r="AO342" s="73">
        <f t="shared" si="638"/>
        <v>3588</v>
      </c>
      <c r="AP342" s="73">
        <f t="shared" si="638"/>
        <v>3569</v>
      </c>
      <c r="AQ342" s="73">
        <f t="shared" si="638"/>
        <v>3509</v>
      </c>
      <c r="AR342" s="73">
        <f t="shared" si="638"/>
        <v>3490</v>
      </c>
      <c r="AS342" s="73">
        <f t="shared" si="638"/>
        <v>3431</v>
      </c>
      <c r="AT342" s="73">
        <f t="shared" si="638"/>
        <v>3431</v>
      </c>
      <c r="AU342" s="73">
        <f t="shared" si="638"/>
        <v>3527</v>
      </c>
      <c r="AV342" s="73">
        <f t="shared" si="638"/>
        <v>3563</v>
      </c>
      <c r="AW342" s="73">
        <f t="shared" si="638"/>
        <v>3616</v>
      </c>
      <c r="AX342" s="73">
        <f t="shared" si="638"/>
        <v>3492</v>
      </c>
      <c r="AY342" s="73">
        <f t="shared" si="638"/>
        <v>3492</v>
      </c>
      <c r="AZ342" s="73">
        <f t="shared" si="638"/>
        <v>3616</v>
      </c>
      <c r="BA342" s="73">
        <f t="shared" si="638"/>
        <v>2906</v>
      </c>
      <c r="BB342" s="73">
        <f t="shared" si="638"/>
        <v>3009</v>
      </c>
      <c r="BC342" s="73">
        <f t="shared" si="638"/>
        <v>2998</v>
      </c>
      <c r="BD342" s="73">
        <f t="shared" si="638"/>
        <v>2998</v>
      </c>
      <c r="BE342" s="73">
        <f t="shared" si="638"/>
        <v>2979</v>
      </c>
      <c r="BF342" s="73">
        <f t="shared" si="638"/>
        <v>3182</v>
      </c>
      <c r="BG342" s="73">
        <f t="shared" si="638"/>
        <v>3232</v>
      </c>
      <c r="BH342" s="73">
        <f t="shared" si="638"/>
        <v>3177</v>
      </c>
      <c r="BI342" s="73">
        <f t="shared" si="638"/>
        <v>3177</v>
      </c>
      <c r="BJ342" s="73">
        <f>(BJ142-BJ132-BJ131)-BJ147-BJ148-BJ149</f>
        <v>3207</v>
      </c>
      <c r="BK342" s="73">
        <f>(BK142-BK132-BK131)-BK147-BK148-BK149</f>
        <v>3189</v>
      </c>
      <c r="BL342" s="73">
        <f>(BL142-BL132-BL131)-BL147-BL148-BL149</f>
        <v>3184</v>
      </c>
      <c r="BM342" s="73">
        <f>(BM142-BM132-BM131)-BM147-BM148-BM149</f>
        <v>3080</v>
      </c>
      <c r="BN342" s="73">
        <f>(BN142-BN132-BN131)-BN147-BN148-BN149</f>
        <v>3080</v>
      </c>
      <c r="BO342" s="73">
        <f t="shared" ref="BO342:CC342" si="639">(BO142-BO132-BO131)-BO147-BO148-BO149</f>
        <v>3094</v>
      </c>
      <c r="BP342" s="73">
        <f t="shared" si="639"/>
        <v>3208</v>
      </c>
      <c r="BQ342" s="73">
        <f t="shared" si="639"/>
        <v>3141</v>
      </c>
      <c r="BR342" s="73">
        <f t="shared" si="639"/>
        <v>3009</v>
      </c>
      <c r="BS342" s="73">
        <f t="shared" si="639"/>
        <v>3009</v>
      </c>
      <c r="BT342" s="73">
        <f t="shared" si="639"/>
        <v>2890</v>
      </c>
      <c r="BU342" s="73">
        <f t="shared" si="639"/>
        <v>2988</v>
      </c>
      <c r="BV342" s="73">
        <f t="shared" si="639"/>
        <v>2920</v>
      </c>
      <c r="BW342" s="73">
        <f t="shared" si="639"/>
        <v>2772</v>
      </c>
      <c r="BX342" s="73">
        <f t="shared" si="639"/>
        <v>2772</v>
      </c>
      <c r="BY342" s="73">
        <f t="shared" si="639"/>
        <v>2792</v>
      </c>
      <c r="BZ342" s="73">
        <f t="shared" si="639"/>
        <v>2927</v>
      </c>
      <c r="CA342" s="73">
        <f t="shared" si="639"/>
        <v>2915</v>
      </c>
      <c r="CB342" s="73">
        <f t="shared" si="639"/>
        <v>3082</v>
      </c>
      <c r="CC342" s="73">
        <f t="shared" si="639"/>
        <v>3082</v>
      </c>
      <c r="CD342" s="73">
        <f t="shared" ref="CD342:CW342" ca="1" si="640">(CD142-CD132-CD131)-CD147-CD148-CD149</f>
        <v>3154</v>
      </c>
      <c r="CE342" s="73">
        <f t="shared" ca="1" si="640"/>
        <v>3276</v>
      </c>
      <c r="CF342" s="73">
        <f t="shared" ca="1" si="640"/>
        <v>3250</v>
      </c>
      <c r="CG342" s="73">
        <f t="shared" ca="1" si="640"/>
        <v>3150</v>
      </c>
      <c r="CH342" s="73">
        <f t="shared" ca="1" si="640"/>
        <v>3150</v>
      </c>
      <c r="CI342" s="73">
        <f t="shared" ca="1" si="640"/>
        <v>3169</v>
      </c>
      <c r="CJ342" s="73">
        <f t="shared" si="640"/>
        <v>3384</v>
      </c>
      <c r="CK342" s="73">
        <f t="shared" ca="1" si="640"/>
        <v>3405.3591107081256</v>
      </c>
      <c r="CL342" s="73">
        <f t="shared" ca="1" si="640"/>
        <v>3330.7515000864964</v>
      </c>
      <c r="CM342" s="73">
        <f t="shared" ca="1" si="640"/>
        <v>3330.7515000864964</v>
      </c>
      <c r="CN342" s="73">
        <f t="shared" ca="1" si="640"/>
        <v>3275.7062694285019</v>
      </c>
      <c r="CO342" s="73">
        <f t="shared" ca="1" si="640"/>
        <v>3513.2785517215989</v>
      </c>
      <c r="CP342" s="73">
        <f t="shared" ca="1" si="640"/>
        <v>3540.4401354306237</v>
      </c>
      <c r="CQ342" s="73">
        <f t="shared" ca="1" si="640"/>
        <v>3442.6214686298454</v>
      </c>
      <c r="CR342" s="73">
        <f t="shared" ca="1" si="640"/>
        <v>3442.6214686298454</v>
      </c>
      <c r="CS342" s="73">
        <f t="shared" ca="1" si="640"/>
        <v>3372.7405405416739</v>
      </c>
      <c r="CT342" s="73">
        <f t="shared" ca="1" si="640"/>
        <v>3610.4985240702231</v>
      </c>
      <c r="CU342" s="73">
        <f t="shared" ca="1" si="640"/>
        <v>3637.5632131425041</v>
      </c>
      <c r="CV342" s="73">
        <f t="shared" ca="1" si="640"/>
        <v>3537.7227351509791</v>
      </c>
      <c r="CW342" s="73">
        <f t="shared" ca="1" si="640"/>
        <v>3537.7227351509791</v>
      </c>
      <c r="DB342" s="20"/>
      <c r="DG342" s="20"/>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c r="FC342"/>
      <c r="FD342"/>
      <c r="FE342"/>
      <c r="FF342"/>
      <c r="FG342"/>
      <c r="FH342"/>
      <c r="FI342"/>
      <c r="FJ342"/>
      <c r="FK342"/>
      <c r="FL342"/>
      <c r="FM342"/>
      <c r="FN342"/>
      <c r="FO342"/>
      <c r="FP342"/>
      <c r="FQ342"/>
      <c r="FR342"/>
      <c r="FS342"/>
      <c r="FT342"/>
      <c r="FU342"/>
      <c r="FV342"/>
      <c r="FW342"/>
      <c r="FX342"/>
      <c r="FY342"/>
      <c r="FZ342"/>
      <c r="GA342"/>
      <c r="GB342"/>
      <c r="GC342"/>
      <c r="GD342"/>
      <c r="GE342"/>
      <c r="GF342"/>
      <c r="GG342"/>
      <c r="GH342"/>
      <c r="GI342"/>
      <c r="GJ342"/>
      <c r="GK342"/>
      <c r="GL342"/>
      <c r="GM342"/>
      <c r="GN342"/>
      <c r="GO342"/>
      <c r="GP342"/>
      <c r="GQ342"/>
      <c r="GR342"/>
      <c r="GS342"/>
      <c r="GT342"/>
      <c r="GU342"/>
      <c r="GV342"/>
      <c r="GW342"/>
      <c r="GX342"/>
      <c r="GY342"/>
      <c r="GZ342"/>
      <c r="HA342"/>
      <c r="HB342"/>
      <c r="HC342"/>
      <c r="HD342"/>
      <c r="HE342"/>
      <c r="HF342"/>
      <c r="HG342"/>
      <c r="HH342"/>
      <c r="HI342"/>
      <c r="HJ342"/>
      <c r="HK342"/>
      <c r="HL342"/>
      <c r="HM342"/>
      <c r="HN342"/>
      <c r="HO342"/>
      <c r="HP342"/>
      <c r="HQ342"/>
      <c r="HR342"/>
    </row>
    <row r="343" spans="1:226" s="19" customFormat="1" hidden="1" outlineLevel="1" x14ac:dyDescent="0.2">
      <c r="A343" s="19" t="s">
        <v>311</v>
      </c>
      <c r="AK343" s="21">
        <f>AK50</f>
        <v>207</v>
      </c>
      <c r="AL343" s="21">
        <f t="shared" ref="AL343:BI343" si="641">AL50</f>
        <v>172</v>
      </c>
      <c r="AM343" s="21">
        <f t="shared" si="641"/>
        <v>199</v>
      </c>
      <c r="AN343" s="21">
        <f t="shared" si="641"/>
        <v>274</v>
      </c>
      <c r="AO343" s="21">
        <f t="shared" si="641"/>
        <v>852</v>
      </c>
      <c r="AP343" s="21">
        <f t="shared" si="641"/>
        <v>231</v>
      </c>
      <c r="AQ343" s="21">
        <f t="shared" si="641"/>
        <v>179</v>
      </c>
      <c r="AR343" s="21">
        <f t="shared" si="641"/>
        <v>271</v>
      </c>
      <c r="AS343" s="21">
        <f t="shared" si="641"/>
        <v>317</v>
      </c>
      <c r="AT343" s="21">
        <f t="shared" si="641"/>
        <v>998</v>
      </c>
      <c r="AU343" s="21">
        <f t="shared" si="641"/>
        <v>261</v>
      </c>
      <c r="AV343" s="21">
        <f t="shared" si="641"/>
        <v>190</v>
      </c>
      <c r="AW343" s="21">
        <f t="shared" si="641"/>
        <v>244</v>
      </c>
      <c r="AX343" s="21">
        <f t="shared" si="641"/>
        <v>274</v>
      </c>
      <c r="AY343" s="21">
        <f t="shared" si="641"/>
        <v>969</v>
      </c>
      <c r="AZ343" s="21">
        <f t="shared" si="641"/>
        <v>233</v>
      </c>
      <c r="BA343" s="21">
        <f t="shared" si="641"/>
        <v>167</v>
      </c>
      <c r="BB343" s="21">
        <f t="shared" si="641"/>
        <v>239</v>
      </c>
      <c r="BC343" s="21">
        <f t="shared" si="641"/>
        <v>282</v>
      </c>
      <c r="BD343" s="21">
        <f t="shared" si="641"/>
        <v>921</v>
      </c>
      <c r="BE343" s="21">
        <f t="shared" si="641"/>
        <v>210</v>
      </c>
      <c r="BF343" s="21">
        <f t="shared" si="641"/>
        <v>179</v>
      </c>
      <c r="BG343" s="21">
        <f t="shared" si="641"/>
        <v>226</v>
      </c>
      <c r="BH343" s="21">
        <f t="shared" si="641"/>
        <v>288</v>
      </c>
      <c r="BI343" s="21">
        <f t="shared" si="641"/>
        <v>903</v>
      </c>
      <c r="BJ343" s="21">
        <f>BJ50</f>
        <v>227</v>
      </c>
      <c r="BK343" s="21">
        <f>BK50</f>
        <v>212</v>
      </c>
      <c r="BL343" s="21">
        <f>BL50</f>
        <v>233</v>
      </c>
      <c r="BM343" s="21">
        <f>BM50</f>
        <v>303</v>
      </c>
      <c r="BN343" s="21">
        <f>BN50</f>
        <v>975</v>
      </c>
      <c r="BO343" s="21">
        <f t="shared" ref="BO343:CC343" si="642">BO50</f>
        <v>239</v>
      </c>
      <c r="BP343" s="21">
        <f t="shared" si="642"/>
        <v>206</v>
      </c>
      <c r="BQ343" s="21">
        <f t="shared" si="642"/>
        <v>249</v>
      </c>
      <c r="BR343" s="21">
        <f t="shared" si="642"/>
        <v>283</v>
      </c>
      <c r="BS343" s="21">
        <f t="shared" si="642"/>
        <v>977</v>
      </c>
      <c r="BT343" s="21">
        <f t="shared" si="642"/>
        <v>247</v>
      </c>
      <c r="BU343" s="21">
        <f t="shared" si="642"/>
        <v>221</v>
      </c>
      <c r="BV343" s="21">
        <f t="shared" si="642"/>
        <v>241</v>
      </c>
      <c r="BW343" s="21">
        <f t="shared" si="642"/>
        <v>299</v>
      </c>
      <c r="BX343" s="21">
        <f t="shared" si="642"/>
        <v>1008</v>
      </c>
      <c r="BY343" s="21">
        <f t="shared" si="642"/>
        <v>286</v>
      </c>
      <c r="BZ343" s="21">
        <f t="shared" si="642"/>
        <v>249</v>
      </c>
      <c r="CA343" s="21">
        <f t="shared" si="642"/>
        <v>261</v>
      </c>
      <c r="CB343" s="21">
        <f t="shared" si="642"/>
        <v>268</v>
      </c>
      <c r="CC343" s="21">
        <f t="shared" si="642"/>
        <v>1064</v>
      </c>
      <c r="CD343" s="21">
        <f t="shared" ref="CD343:CW343" si="643">CD50</f>
        <v>281</v>
      </c>
      <c r="CE343" s="21">
        <f t="shared" si="643"/>
        <v>272</v>
      </c>
      <c r="CF343" s="21">
        <f t="shared" si="643"/>
        <v>253</v>
      </c>
      <c r="CG343" s="21">
        <f t="shared" si="643"/>
        <v>321</v>
      </c>
      <c r="CH343" s="21">
        <f t="shared" si="643"/>
        <v>1127</v>
      </c>
      <c r="CI343" s="21">
        <f t="shared" si="643"/>
        <v>303</v>
      </c>
      <c r="CJ343" s="21">
        <f t="shared" si="643"/>
        <v>241</v>
      </c>
      <c r="CK343" s="21">
        <f t="shared" si="643"/>
        <v>262.33874018076563</v>
      </c>
      <c r="CL343" s="21">
        <f t="shared" ca="1" si="643"/>
        <v>322.65282494227728</v>
      </c>
      <c r="CM343" s="21">
        <f t="shared" ca="1" si="643"/>
        <v>1128.9915651230428</v>
      </c>
      <c r="CN343" s="21">
        <f t="shared" si="643"/>
        <v>312.06246817266214</v>
      </c>
      <c r="CO343" s="21">
        <f t="shared" si="643"/>
        <v>249.74600268046552</v>
      </c>
      <c r="CP343" s="21">
        <f t="shared" si="643"/>
        <v>279.01555473323771</v>
      </c>
      <c r="CQ343" s="21">
        <f t="shared" ca="1" si="643"/>
        <v>326.5670939563031</v>
      </c>
      <c r="CR343" s="21">
        <f t="shared" ca="1" si="643"/>
        <v>1167.3911195426685</v>
      </c>
      <c r="CS343" s="21">
        <f t="shared" si="643"/>
        <v>328.37764532194353</v>
      </c>
      <c r="CT343" s="21">
        <f t="shared" si="643"/>
        <v>264.62529360504089</v>
      </c>
      <c r="CU343" s="21">
        <f t="shared" si="643"/>
        <v>294.801499590074</v>
      </c>
      <c r="CV343" s="21">
        <f t="shared" ca="1" si="643"/>
        <v>344.53201054448499</v>
      </c>
      <c r="CW343" s="21">
        <f t="shared" ca="1" si="643"/>
        <v>1232.3364490615434</v>
      </c>
      <c r="DB343" s="20"/>
      <c r="DG343" s="20"/>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c r="FC343"/>
      <c r="FD343"/>
      <c r="FE343"/>
      <c r="FF343"/>
      <c r="FG343"/>
      <c r="FH343"/>
      <c r="FI343"/>
      <c r="FJ343"/>
      <c r="FK343"/>
      <c r="FL343"/>
      <c r="FM343"/>
      <c r="FN343"/>
      <c r="FO343"/>
      <c r="FP343"/>
      <c r="FQ343"/>
      <c r="FR343"/>
      <c r="FS343"/>
      <c r="FT343"/>
      <c r="FU343"/>
      <c r="FV343"/>
      <c r="FW343"/>
      <c r="FX343"/>
      <c r="FY343"/>
      <c r="FZ343"/>
      <c r="GA343"/>
      <c r="GB343"/>
      <c r="GC343"/>
      <c r="GD343"/>
      <c r="GE343"/>
      <c r="GF343"/>
      <c r="GG343"/>
      <c r="GH343"/>
      <c r="GI343"/>
      <c r="GJ343"/>
      <c r="GK343"/>
      <c r="GL343"/>
      <c r="GM343"/>
      <c r="GN343"/>
      <c r="GO343"/>
      <c r="GP343"/>
      <c r="GQ343"/>
      <c r="GR343"/>
      <c r="GS343"/>
      <c r="GT343"/>
      <c r="GU343"/>
      <c r="GV343"/>
      <c r="GW343"/>
      <c r="GX343"/>
      <c r="GY343"/>
      <c r="GZ343"/>
      <c r="HA343"/>
      <c r="HB343"/>
      <c r="HC343"/>
      <c r="HD343"/>
      <c r="HE343"/>
      <c r="HF343"/>
      <c r="HG343"/>
      <c r="HH343"/>
      <c r="HI343"/>
      <c r="HJ343"/>
      <c r="HK343"/>
      <c r="HL343"/>
      <c r="HM343"/>
      <c r="HN343"/>
      <c r="HO343"/>
      <c r="HP343"/>
      <c r="HQ343"/>
      <c r="HR343"/>
    </row>
    <row r="344" spans="1:226" s="19" customFormat="1" hidden="1" outlineLevel="1" x14ac:dyDescent="0.2">
      <c r="A344" s="19" t="s">
        <v>173</v>
      </c>
      <c r="AK344" s="32">
        <f>AK77</f>
        <v>0.36206896551724138</v>
      </c>
      <c r="AL344" s="32">
        <f t="shared" ref="AL344:BI344" si="644">AL77</f>
        <v>0.28125</v>
      </c>
      <c r="AM344" s="32">
        <f t="shared" si="644"/>
        <v>0.33774834437086093</v>
      </c>
      <c r="AN344" s="32">
        <f t="shared" si="644"/>
        <v>0.34166666666666667</v>
      </c>
      <c r="AO344" s="32">
        <f t="shared" si="644"/>
        <v>0.33477633477633478</v>
      </c>
      <c r="AP344" s="32">
        <f t="shared" si="644"/>
        <v>0.31182795698924731</v>
      </c>
      <c r="AQ344" s="32">
        <f t="shared" si="644"/>
        <v>0.34351145038167941</v>
      </c>
      <c r="AR344" s="32">
        <f t="shared" si="644"/>
        <v>0.34334763948497854</v>
      </c>
      <c r="AS344" s="32">
        <f t="shared" si="644"/>
        <v>0.34865900383141762</v>
      </c>
      <c r="AT344" s="32">
        <f t="shared" si="644"/>
        <v>0.33785450061652283</v>
      </c>
      <c r="AU344" s="32">
        <f t="shared" si="644"/>
        <v>0.35483870967741937</v>
      </c>
      <c r="AV344" s="32">
        <f t="shared" si="644"/>
        <v>0.32116788321167883</v>
      </c>
      <c r="AW344" s="32">
        <f t="shared" si="644"/>
        <v>0.31578947368421051</v>
      </c>
      <c r="AX344" s="32">
        <f t="shared" si="644"/>
        <v>0.38016528925619836</v>
      </c>
      <c r="AY344" s="32">
        <f t="shared" si="644"/>
        <v>0.34658385093167704</v>
      </c>
      <c r="AZ344" s="32">
        <f t="shared" si="644"/>
        <v>0.30693069306930693</v>
      </c>
      <c r="BA344" s="32">
        <f t="shared" si="644"/>
        <v>0.35599999999999998</v>
      </c>
      <c r="BB344" s="32">
        <f t="shared" si="644"/>
        <v>0.35616438356164382</v>
      </c>
      <c r="BC344" s="32">
        <f t="shared" si="644"/>
        <v>0.3346456692913386</v>
      </c>
      <c r="BD344" s="32">
        <f t="shared" si="644"/>
        <v>0.33736419001218027</v>
      </c>
      <c r="BE344" s="32">
        <f t="shared" si="644"/>
        <v>0.30481283422459893</v>
      </c>
      <c r="BF344" s="32">
        <f t="shared" si="644"/>
        <v>0.32258064516129031</v>
      </c>
      <c r="BG344" s="32">
        <f t="shared" si="644"/>
        <v>0.32323232323232326</v>
      </c>
      <c r="BH344" s="32">
        <f t="shared" si="644"/>
        <v>0.30677290836653387</v>
      </c>
      <c r="BI344" s="32">
        <f t="shared" si="644"/>
        <v>0.31352718078381797</v>
      </c>
      <c r="BJ344" s="32">
        <f>BJ77</f>
        <v>0.31443298969072164</v>
      </c>
      <c r="BK344" s="32">
        <f>BK77</f>
        <v>0.34574468085106386</v>
      </c>
      <c r="BL344" s="32">
        <f>BL77</f>
        <v>0.33663366336633666</v>
      </c>
      <c r="BM344" s="32">
        <f>BM77</f>
        <v>0.31598513011152418</v>
      </c>
      <c r="BN344" s="32">
        <f>BN77</f>
        <v>0.32708089097303633</v>
      </c>
      <c r="BO344" s="32">
        <f t="shared" ref="BO344:CC344" si="645">BO77</f>
        <v>0.34123222748815168</v>
      </c>
      <c r="BP344" s="32">
        <f t="shared" si="645"/>
        <v>0.35652173913043478</v>
      </c>
      <c r="BQ344" s="32">
        <f t="shared" si="645"/>
        <v>0.33362831858407083</v>
      </c>
      <c r="BR344" s="32">
        <f t="shared" si="645"/>
        <v>0.35057034220532318</v>
      </c>
      <c r="BS344" s="32">
        <f t="shared" si="645"/>
        <v>0.34524886877828054</v>
      </c>
      <c r="BT344" s="32">
        <f t="shared" si="645"/>
        <v>0.33532110091743117</v>
      </c>
      <c r="BU344" s="32">
        <f t="shared" si="645"/>
        <v>0.34923857868020303</v>
      </c>
      <c r="BV344" s="32">
        <f t="shared" si="645"/>
        <v>0.3354838709677419</v>
      </c>
      <c r="BW344" s="32">
        <f t="shared" si="645"/>
        <v>0.34602076124567471</v>
      </c>
      <c r="BX344" s="32">
        <f t="shared" si="645"/>
        <v>0.34169381107491853</v>
      </c>
      <c r="BY344" s="32">
        <f t="shared" si="645"/>
        <v>0.34469696969696972</v>
      </c>
      <c r="BZ344" s="32">
        <f t="shared" si="645"/>
        <v>0.34521739130434786</v>
      </c>
      <c r="CA344" s="32">
        <f t="shared" si="645"/>
        <v>0.32911392405063289</v>
      </c>
      <c r="CB344" s="32">
        <f t="shared" si="645"/>
        <v>0.34523809523809523</v>
      </c>
      <c r="CC344" s="32">
        <f t="shared" si="645"/>
        <v>0.34120040691759917</v>
      </c>
      <c r="CD344" s="32">
        <f t="shared" ref="CD344:CW344" si="646">CD77</f>
        <v>0.32148260211800306</v>
      </c>
      <c r="CE344" s="32">
        <f t="shared" si="646"/>
        <v>0.33995584988962474</v>
      </c>
      <c r="CF344" s="32">
        <f t="shared" si="646"/>
        <v>0.30303030303030304</v>
      </c>
      <c r="CG344" s="32">
        <f t="shared" si="646"/>
        <v>0.31482735274204471</v>
      </c>
      <c r="CH344" s="32">
        <f t="shared" si="646"/>
        <v>0.3192106790481718</v>
      </c>
      <c r="CI344" s="32">
        <f t="shared" si="646"/>
        <v>0.31182795698924731</v>
      </c>
      <c r="CJ344" s="32">
        <f t="shared" si="646"/>
        <v>-2.643171806167401E-2</v>
      </c>
      <c r="CK344" s="32">
        <f t="shared" si="646"/>
        <v>0.3</v>
      </c>
      <c r="CL344" s="32">
        <f t="shared" ca="1" si="646"/>
        <v>0.30752910323550336</v>
      </c>
      <c r="CM344" s="32">
        <f t="shared" si="646"/>
        <v>0.23449999999999999</v>
      </c>
      <c r="CN344" s="32">
        <f t="shared" si="646"/>
        <v>0.25</v>
      </c>
      <c r="CO344" s="32">
        <f t="shared" si="646"/>
        <v>0.25</v>
      </c>
      <c r="CP344" s="32">
        <f t="shared" si="646"/>
        <v>0.25</v>
      </c>
      <c r="CQ344" s="32">
        <f t="shared" ca="1" si="646"/>
        <v>0.24999999999999992</v>
      </c>
      <c r="CR344" s="32">
        <f t="shared" si="646"/>
        <v>0.25</v>
      </c>
      <c r="CS344" s="32">
        <f t="shared" si="646"/>
        <v>0.25</v>
      </c>
      <c r="CT344" s="32">
        <f t="shared" si="646"/>
        <v>0.25</v>
      </c>
      <c r="CU344" s="32">
        <f t="shared" si="646"/>
        <v>0.25</v>
      </c>
      <c r="CV344" s="32">
        <f t="shared" ca="1" si="646"/>
        <v>0.25000000000000006</v>
      </c>
      <c r="CW344" s="32">
        <f t="shared" si="646"/>
        <v>0.25</v>
      </c>
      <c r="DB344" s="20"/>
      <c r="DG344" s="20"/>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c r="FC344"/>
      <c r="FD344"/>
      <c r="FE344"/>
      <c r="FF344"/>
      <c r="FG344"/>
      <c r="FH344"/>
      <c r="FI344"/>
      <c r="FJ344"/>
      <c r="FK344"/>
      <c r="FL344"/>
      <c r="FM344"/>
      <c r="FN344"/>
      <c r="FO344"/>
      <c r="FP344"/>
      <c r="FQ344"/>
      <c r="FR344"/>
      <c r="FS344"/>
      <c r="FT344"/>
      <c r="FU344"/>
      <c r="FV344"/>
      <c r="FW344"/>
      <c r="FX344"/>
      <c r="FY344"/>
      <c r="FZ344"/>
      <c r="GA344"/>
      <c r="GB344"/>
      <c r="GC344"/>
      <c r="GD344"/>
      <c r="GE344"/>
      <c r="GF344"/>
      <c r="GG344"/>
      <c r="GH344"/>
      <c r="GI344"/>
      <c r="GJ344"/>
      <c r="GK344"/>
      <c r="GL344"/>
      <c r="GM344"/>
      <c r="GN344"/>
      <c r="GO344"/>
      <c r="GP344"/>
      <c r="GQ344"/>
      <c r="GR344"/>
      <c r="GS344"/>
      <c r="GT344"/>
      <c r="GU344"/>
      <c r="GV344"/>
      <c r="GW344"/>
      <c r="GX344"/>
      <c r="GY344"/>
      <c r="GZ344"/>
      <c r="HA344"/>
      <c r="HB344"/>
      <c r="HC344"/>
      <c r="HD344"/>
      <c r="HE344"/>
      <c r="HF344"/>
      <c r="HG344"/>
      <c r="HH344"/>
      <c r="HI344"/>
      <c r="HJ344"/>
      <c r="HK344"/>
      <c r="HL344"/>
      <c r="HM344"/>
      <c r="HN344"/>
      <c r="HO344"/>
      <c r="HP344"/>
      <c r="HQ344"/>
      <c r="HR344"/>
    </row>
    <row r="345" spans="1:226" s="19" customFormat="1" hidden="1" outlineLevel="1" x14ac:dyDescent="0.2">
      <c r="A345" s="19" t="s">
        <v>67</v>
      </c>
      <c r="AK345" s="130">
        <f>AK343*(1-AK344)</f>
        <v>132.05172413793105</v>
      </c>
      <c r="AL345" s="130">
        <f t="shared" ref="AL345:BI345" si="647">AL343*(1-AL344)</f>
        <v>123.625</v>
      </c>
      <c r="AM345" s="130">
        <f t="shared" si="647"/>
        <v>131.78807947019868</v>
      </c>
      <c r="AN345" s="130">
        <f t="shared" si="647"/>
        <v>180.38333333333333</v>
      </c>
      <c r="AO345" s="130">
        <f t="shared" si="647"/>
        <v>566.77056277056272</v>
      </c>
      <c r="AP345" s="130">
        <f t="shared" si="647"/>
        <v>158.96774193548387</v>
      </c>
      <c r="AQ345" s="130">
        <f t="shared" si="647"/>
        <v>117.51145038167938</v>
      </c>
      <c r="AR345" s="130">
        <f t="shared" si="647"/>
        <v>177.95278969957081</v>
      </c>
      <c r="AS345" s="130">
        <f t="shared" si="647"/>
        <v>206.4750957854406</v>
      </c>
      <c r="AT345" s="130">
        <f t="shared" si="647"/>
        <v>660.8212083847103</v>
      </c>
      <c r="AU345" s="130">
        <f t="shared" si="647"/>
        <v>168.38709677419354</v>
      </c>
      <c r="AV345" s="130">
        <f t="shared" si="647"/>
        <v>128.978102189781</v>
      </c>
      <c r="AW345" s="130">
        <f t="shared" si="647"/>
        <v>166.94736842105263</v>
      </c>
      <c r="AX345" s="130">
        <f t="shared" si="647"/>
        <v>169.83471074380162</v>
      </c>
      <c r="AY345" s="130">
        <f t="shared" si="647"/>
        <v>633.16024844720505</v>
      </c>
      <c r="AZ345" s="130">
        <f t="shared" si="647"/>
        <v>161.48514851485146</v>
      </c>
      <c r="BA345" s="130">
        <f t="shared" si="647"/>
        <v>107.548</v>
      </c>
      <c r="BB345" s="130">
        <f t="shared" si="647"/>
        <v>153.87671232876713</v>
      </c>
      <c r="BC345" s="130">
        <f t="shared" si="647"/>
        <v>187.62992125984249</v>
      </c>
      <c r="BD345" s="130">
        <f t="shared" si="647"/>
        <v>610.287580998782</v>
      </c>
      <c r="BE345" s="130">
        <f t="shared" si="647"/>
        <v>145.98930481283423</v>
      </c>
      <c r="BF345" s="130">
        <f t="shared" si="647"/>
        <v>121.25806451612904</v>
      </c>
      <c r="BG345" s="130">
        <f t="shared" si="647"/>
        <v>152.94949494949492</v>
      </c>
      <c r="BH345" s="130">
        <f t="shared" si="647"/>
        <v>199.64940239043827</v>
      </c>
      <c r="BI345" s="130">
        <f t="shared" si="647"/>
        <v>619.88495575221236</v>
      </c>
      <c r="BJ345" s="130">
        <f>BJ343*(1-BJ344)</f>
        <v>155.6237113402062</v>
      </c>
      <c r="BK345" s="130">
        <f>BK343*(1-BK344)</f>
        <v>138.70212765957447</v>
      </c>
      <c r="BL345" s="130">
        <f>BL343*(1-BL344)</f>
        <v>154.56435643564356</v>
      </c>
      <c r="BM345" s="130">
        <f>BM343*(1-BM344)</f>
        <v>207.25650557620818</v>
      </c>
      <c r="BN345" s="130">
        <f>BN343*(1-BN344)</f>
        <v>656.09613130128969</v>
      </c>
      <c r="BO345" s="130">
        <f t="shared" ref="BO345:CC345" si="648">BO343*(1-BO344)</f>
        <v>157.44549763033177</v>
      </c>
      <c r="BP345" s="130">
        <f t="shared" si="648"/>
        <v>132.55652173913046</v>
      </c>
      <c r="BQ345" s="130">
        <f t="shared" si="648"/>
        <v>165.92654867256635</v>
      </c>
      <c r="BR345" s="130">
        <f t="shared" si="648"/>
        <v>183.78859315589352</v>
      </c>
      <c r="BS345" s="130">
        <f t="shared" si="648"/>
        <v>639.69185520361987</v>
      </c>
      <c r="BT345" s="130">
        <f t="shared" si="648"/>
        <v>164.1756880733945</v>
      </c>
      <c r="BU345" s="130">
        <f t="shared" si="648"/>
        <v>143.81827411167512</v>
      </c>
      <c r="BV345" s="130">
        <f t="shared" si="648"/>
        <v>160.1483870967742</v>
      </c>
      <c r="BW345" s="130">
        <f t="shared" si="648"/>
        <v>195.53979238754326</v>
      </c>
      <c r="BX345" s="130">
        <f t="shared" si="648"/>
        <v>663.57263843648207</v>
      </c>
      <c r="BY345" s="130">
        <f t="shared" si="648"/>
        <v>187.41666666666666</v>
      </c>
      <c r="BZ345" s="130">
        <f t="shared" si="648"/>
        <v>163.04086956521738</v>
      </c>
      <c r="CA345" s="130">
        <f t="shared" si="648"/>
        <v>175.10126582278482</v>
      </c>
      <c r="CB345" s="130">
        <f t="shared" si="648"/>
        <v>175.47619047619048</v>
      </c>
      <c r="CC345" s="130">
        <f t="shared" si="648"/>
        <v>700.96276703967453</v>
      </c>
      <c r="CD345" s="130">
        <f t="shared" ref="CD345:CW345" si="649">CD343*(1-CD344)</f>
        <v>190.66338880484113</v>
      </c>
      <c r="CE345" s="130">
        <f t="shared" si="649"/>
        <v>179.53200883002208</v>
      </c>
      <c r="CF345" s="130">
        <f t="shared" si="649"/>
        <v>176.33333333333334</v>
      </c>
      <c r="CG345" s="130">
        <f t="shared" si="649"/>
        <v>219.94041976980367</v>
      </c>
      <c r="CH345" s="130">
        <f t="shared" si="649"/>
        <v>767.24956471271037</v>
      </c>
      <c r="CI345" s="130">
        <f t="shared" si="649"/>
        <v>208.51612903225808</v>
      </c>
      <c r="CJ345" s="130">
        <f t="shared" si="649"/>
        <v>247.37004405286342</v>
      </c>
      <c r="CK345" s="130">
        <f t="shared" si="649"/>
        <v>183.63711812653594</v>
      </c>
      <c r="CL345" s="130">
        <f t="shared" ca="1" si="649"/>
        <v>223.42769103137687</v>
      </c>
      <c r="CM345" s="130">
        <f t="shared" ca="1" si="649"/>
        <v>864.24304310168941</v>
      </c>
      <c r="CN345" s="130">
        <f t="shared" si="649"/>
        <v>234.04685112949659</v>
      </c>
      <c r="CO345" s="130">
        <f t="shared" si="649"/>
        <v>187.30950201034915</v>
      </c>
      <c r="CP345" s="130">
        <f t="shared" si="649"/>
        <v>209.26166604992829</v>
      </c>
      <c r="CQ345" s="130">
        <f t="shared" ca="1" si="649"/>
        <v>244.92532046722735</v>
      </c>
      <c r="CR345" s="130">
        <f t="shared" ca="1" si="649"/>
        <v>875.54333965700141</v>
      </c>
      <c r="CS345" s="130">
        <f t="shared" si="649"/>
        <v>246.28323399145765</v>
      </c>
      <c r="CT345" s="130">
        <f t="shared" si="649"/>
        <v>198.46897020378066</v>
      </c>
      <c r="CU345" s="130">
        <f t="shared" si="649"/>
        <v>221.10112469255552</v>
      </c>
      <c r="CV345" s="130">
        <f t="shared" ca="1" si="649"/>
        <v>258.39900790836373</v>
      </c>
      <c r="CW345" s="130">
        <f t="shared" ca="1" si="649"/>
        <v>924.25233679615758</v>
      </c>
      <c r="DB345" s="20"/>
      <c r="DG345" s="20"/>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c r="FC345"/>
      <c r="FD345"/>
      <c r="FE345"/>
      <c r="FF345"/>
      <c r="FG345"/>
      <c r="FH345"/>
      <c r="FI345"/>
      <c r="FJ345"/>
      <c r="FK345"/>
      <c r="FL345"/>
      <c r="FM345"/>
      <c r="FN345"/>
      <c r="FO345"/>
      <c r="FP345"/>
      <c r="FQ345"/>
      <c r="FR345"/>
      <c r="FS345"/>
      <c r="FT345"/>
      <c r="FU345"/>
      <c r="FV345"/>
      <c r="FW345"/>
      <c r="FX345"/>
      <c r="FY345"/>
      <c r="FZ345"/>
      <c r="GA345"/>
      <c r="GB345"/>
      <c r="GC345"/>
      <c r="GD345"/>
      <c r="GE345"/>
      <c r="GF345"/>
      <c r="GG345"/>
      <c r="GH345"/>
      <c r="GI345"/>
      <c r="GJ345"/>
      <c r="GK345"/>
      <c r="GL345"/>
      <c r="GM345"/>
      <c r="GN345"/>
      <c r="GO345"/>
      <c r="GP345"/>
      <c r="GQ345"/>
      <c r="GR345"/>
      <c r="GS345"/>
      <c r="GT345"/>
      <c r="GU345"/>
      <c r="GV345"/>
      <c r="GW345"/>
      <c r="GX345"/>
      <c r="GY345"/>
      <c r="GZ345"/>
      <c r="HA345"/>
      <c r="HB345"/>
      <c r="HC345"/>
      <c r="HD345"/>
      <c r="HE345"/>
      <c r="HF345"/>
      <c r="HG345"/>
      <c r="HH345"/>
      <c r="HI345"/>
      <c r="HJ345"/>
      <c r="HK345"/>
      <c r="HL345"/>
      <c r="HM345"/>
      <c r="HN345"/>
      <c r="HO345"/>
      <c r="HP345"/>
      <c r="HQ345"/>
      <c r="HR345"/>
    </row>
    <row r="346" spans="1:226" s="19" customFormat="1" hidden="1" outlineLevel="1" x14ac:dyDescent="0.2">
      <c r="A346" s="19" t="s">
        <v>172</v>
      </c>
      <c r="AP346" s="378">
        <f>(AL345+AM345+AN345+AP345)/AVERAGE(AL342,AM342,AN342,AP342)</f>
        <v>0.16304959351354009</v>
      </c>
      <c r="AQ346" s="378">
        <f>(AM345+AN345+AP345+AQ345)/AVERAGE(AM342,AN342,AP342,AQ342)</f>
        <v>0.16445051127830573</v>
      </c>
      <c r="AR346" s="378">
        <f>(AN345+AP345+AQ345+AR345)/AVERAGE(AN342,AP342,AQ342,AR342)</f>
        <v>0.17937703174627506</v>
      </c>
      <c r="AS346" s="378">
        <f>SUM(AP345:AS345)/AVERAGE(AP342:AS342)</f>
        <v>0.18884408252080137</v>
      </c>
      <c r="AT346" s="378">
        <f>AT345/AVERAGE(AO342,AT342)</f>
        <v>0.18829497318270702</v>
      </c>
      <c r="AU346" s="378">
        <f>(AQ345+AR345+AS345+AU345)/AVERAGE(AQ342,AR342,AS342,AU342)</f>
        <v>0.19211189586326127</v>
      </c>
      <c r="AV346" s="378">
        <f>(AR345+AS345+AU345+AV345)/AVERAGE(AR342,AS342,AU342,AV342)</f>
        <v>0.19464508870144484</v>
      </c>
      <c r="AW346" s="378">
        <f>(AS345+AU345+AV345+AW345)/AVERAGE(AS342,AU342,AV342,AW342)</f>
        <v>0.1897963254355147</v>
      </c>
      <c r="AX346" s="378">
        <f>SUM(AU345:AX345)/AVERAGE(AU342:AX342)</f>
        <v>0.17865819921927842</v>
      </c>
      <c r="AY346" s="378">
        <f>AY345/AVERAGE(AT342,AY342)</f>
        <v>0.18291499305133757</v>
      </c>
      <c r="AZ346" s="378">
        <f>(AV345+AW345+AX345+AZ345)/AVERAGE(AV342,AW342,AX342,AZ342)</f>
        <v>0.17561288720360796</v>
      </c>
      <c r="BA346" s="378">
        <f>(AW345+AX345+AZ345+BA345)/AVERAGE(AW342,AX342,AZ342,BA342)</f>
        <v>0.17778876821121223</v>
      </c>
      <c r="BB346" s="378">
        <f>(AX345+AZ345+BA345+BB345)/AVERAGE(AX342,AZ342,BA342,BB342)</f>
        <v>0.18206083746830076</v>
      </c>
      <c r="BC346" s="378">
        <f>SUM(AZ345:BC345)/AVERAGE(AZ342:BC342)</f>
        <v>0.19492051467905216</v>
      </c>
      <c r="BD346" s="378">
        <f>BD345/AVERAGE(AY342,BD342)</f>
        <v>0.18807013281934731</v>
      </c>
      <c r="BE346" s="378">
        <f>(BA345+BB345+BC345+BE345)/AVERAGE(BA342,BB342,BC342,BE342)</f>
        <v>0.20014932337754585</v>
      </c>
      <c r="BF346" s="378">
        <f>(BB345+BC345+BE345+BF345)/AVERAGE(BB342,BC342,BE342,BF342)</f>
        <v>0.20011637176777541</v>
      </c>
      <c r="BG346" s="378">
        <f>(BC345+BE345+BF345+BG345)/AVERAGE(BC342,BE342,BF342,BG342)</f>
        <v>0.19621557115270782</v>
      </c>
      <c r="BH346" s="378">
        <f>SUM(BE345:BH345)/AVERAGE(BE342:BH342)</f>
        <v>0.19724622646583817</v>
      </c>
      <c r="BI346" s="378">
        <f>BI345/AVERAGE(BD342,BI342)</f>
        <v>0.20077245530436028</v>
      </c>
      <c r="BJ346" s="378">
        <f>(BF345+BG345+BH345+BJ345)/AVERAGE(BF342,BG342,BH342,BJ342)</f>
        <v>0.19674345153813672</v>
      </c>
      <c r="BK346" s="378">
        <f>(BG345+BH345+BJ345+BK345)/AVERAGE(BG342,BH342,BJ342,BK342)</f>
        <v>0.20208504063716168</v>
      </c>
      <c r="BL346" s="378">
        <f>(BH345+BJ345+BK345+BL345)/AVERAGE(BH342,BJ342,BK342,BL342)</f>
        <v>0.203351759136431</v>
      </c>
      <c r="BM346" s="378">
        <f>SUM(BJ345:BM345)/AVERAGE(BJ342:BM342)</f>
        <v>0.20731333365296445</v>
      </c>
      <c r="BN346" s="378">
        <f>BN345/AVERAGE(BI342,BN342)</f>
        <v>0.20971588023055449</v>
      </c>
      <c r="BO346" s="378">
        <f>(BK345+BL345+BM345+BO345)/AVERAGE(BK342,BL342,BM342,BO342)</f>
        <v>0.2097612137727769</v>
      </c>
      <c r="BP346" s="378">
        <f>(BL345+BM345+BO345+BP345)/AVERAGE(BL342,BM342,BO342,BP342)</f>
        <v>0.20748778652914654</v>
      </c>
      <c r="BQ346" s="378">
        <f>(BM345+BO345+BP345+BQ345)/AVERAGE(BM342,BO342,BP342,BQ342)</f>
        <v>0.21182945735630021</v>
      </c>
      <c r="BR346" s="378">
        <f>SUM(BO345:BR345)/AVERAGE(BO342:BR342)</f>
        <v>0.20549860623126312</v>
      </c>
      <c r="BS346" s="378">
        <f>BS345/AVERAGE(BN342,BS342)</f>
        <v>0.21011392846234844</v>
      </c>
      <c r="BT346" s="378">
        <f>(BP345+BQ345+BR345+BT345)/AVERAGE(BP342,BQ342,BR342,BT342)</f>
        <v>0.21111931797550126</v>
      </c>
      <c r="BU346" s="378">
        <f>(BQ345+BR345+BT345+BU345)/AVERAGE(BQ342,BR342,BT342,BU342)</f>
        <v>0.21872600732076142</v>
      </c>
      <c r="BV346" s="378">
        <f>(BR345+BT345+BU345+BV345)/AVERAGE(BR342,BT342,BU342,BV342)</f>
        <v>0.22086251967061485</v>
      </c>
      <c r="BW346" s="378">
        <f>SUM(BT345:BW345)/AVERAGE(BT342:BW342)</f>
        <v>0.22944931431958066</v>
      </c>
      <c r="BX346" s="378">
        <f>BX345/AVERAGE(BS342,BX342)</f>
        <v>0.22957019146738697</v>
      </c>
      <c r="BY346" s="378">
        <f>(BU345+BV345+BW345+BY345)/AVERAGE(BU342,BV342,BW342,BY342)</f>
        <v>0.23951294290887698</v>
      </c>
      <c r="BZ346" s="378">
        <f>(BV345+BW345+BY345+BZ345)/AVERAGE(BV342,BW342,BY342,BZ342)</f>
        <v>0.24753158030539005</v>
      </c>
      <c r="CA346" s="378">
        <f>(BW345+BY345+BZ345+CA345)/AVERAGE(BW342,BY342,BZ342,CA342)</f>
        <v>0.25288395386365498</v>
      </c>
      <c r="CB346" s="378">
        <f>SUM(BY345:CB345)/AVERAGE(BY342:CB342)</f>
        <v>0.23934277655543165</v>
      </c>
      <c r="CC346" s="378">
        <f>CC345/AVERAGE(BX342,CC342)</f>
        <v>0.23948164230942076</v>
      </c>
      <c r="CD346" s="378">
        <f ca="1">(BZ345+CA345+CB345+CD345)/AVERAGE(BZ342,CA342,CB342,CD342)</f>
        <v>0.23324448242061063</v>
      </c>
      <c r="CE346" s="378">
        <f ca="1">(CA345+CB345+CD345+CE345)/AVERAGE(CA342,CB342,CD342,CE342)</f>
        <v>0.2320022061427017</v>
      </c>
      <c r="CF346" s="378">
        <f ca="1">(CB345+CD345+CE345+CF345)/AVERAGE(CB342,CD342,CE342,CF342)</f>
        <v>0.22629836121121674</v>
      </c>
      <c r="CG346" s="378">
        <f ca="1">SUM(CD345:CG345)/AVERAGE(CD342:CG342)</f>
        <v>0.23896154348807491</v>
      </c>
      <c r="CH346" s="378">
        <f ca="1">CH345/AVERAGE(CC342,CH342)</f>
        <v>0.24622900022872604</v>
      </c>
      <c r="CI346" s="378">
        <f ca="1">(CE345+CF345+CG345+CI345)/AVERAGE(CE342,CF342,CG342,CI342)</f>
        <v>0.24424192789892321</v>
      </c>
      <c r="CJ346" s="378">
        <f ca="1">(CF345+CG345+CI345+CJ345)/AVERAGE(CF342,CG342,CI342,CJ342)</f>
        <v>0.26315445879356392</v>
      </c>
      <c r="CK346" s="378">
        <f ca="1">(CG345+CI345+CJ345+CK345)/AVERAGE(CG342,CI342,CJ342,CK342)</f>
        <v>0.26226431660065558</v>
      </c>
      <c r="CL346" s="378">
        <f ca="1">SUM(CI345:CL345)/AVERAGE(CI342:CL342)</f>
        <v>0.25974679796616851</v>
      </c>
      <c r="CM346" s="378">
        <f ca="1">CM345/AVERAGE(CH342,CM342)</f>
        <v>0.2667107489278534</v>
      </c>
      <c r="CN346" s="378">
        <f ca="1">(CJ345+CK345+CL345+CN345)/AVERAGE(CJ342,CK342,CL342,CN342)</f>
        <v>0.26530123912099168</v>
      </c>
      <c r="CO346" s="378">
        <f ca="1">(CK345+CL345+CN345+CO345)/AVERAGE(CK342,CL342,CN342,CO342)</f>
        <v>0.24500268156071506</v>
      </c>
      <c r="CP346" s="378">
        <f ca="1">(CL345+CN345+CO345+CP345)/AVERAGE(CL342,CN342,CO342,CP342)</f>
        <v>0.25008336105477191</v>
      </c>
      <c r="CQ346" s="378">
        <f ca="1">SUM(CN345:CQ345)/AVERAGE(CN342:CQ342)</f>
        <v>0.25429578513597395</v>
      </c>
      <c r="CR346" s="378">
        <f ca="1">CR345/AVERAGE(CM342,CR342)</f>
        <v>0.25852506386428337</v>
      </c>
      <c r="CS346" s="378">
        <f ca="1">(CO345+CP345+CQ345+CS345)/AVERAGE(CO342,CP342,CQ342,CS342)</f>
        <v>0.25604572991035662</v>
      </c>
      <c r="CT346" s="378">
        <f ca="1">(CP345+CQ345+CS345+CT345)/AVERAGE(CP342,CQ342,CS342,CT342)</f>
        <v>0.25745949827037401</v>
      </c>
      <c r="CU346" s="378">
        <f ca="1">(CQ345+CS345+CT345+CU345)/AVERAGE(CQ342,CS342,CT342,CU342)</f>
        <v>0.25904891035916777</v>
      </c>
      <c r="CV346" s="378">
        <f ca="1">SUM(CS345:CV345)/AVERAGE(CS342:CV342)</f>
        <v>0.26111543001935839</v>
      </c>
      <c r="CW346" s="378">
        <f ca="1">CW345/AVERAGE(CR342,CW342)</f>
        <v>0.26481569097854707</v>
      </c>
      <c r="DB346" s="20"/>
      <c r="DG346" s="20"/>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c r="FC346"/>
      <c r="FD346"/>
      <c r="FE346"/>
      <c r="FF346"/>
      <c r="FG346"/>
      <c r="FH346"/>
      <c r="FI346"/>
      <c r="FJ346"/>
      <c r="FK346"/>
      <c r="FL346"/>
      <c r="FM346"/>
      <c r="FN346"/>
      <c r="FO346"/>
      <c r="FP346"/>
      <c r="FQ346"/>
      <c r="FR346"/>
      <c r="FS346"/>
      <c r="FT346"/>
      <c r="FU346"/>
      <c r="FV346"/>
      <c r="FW346"/>
      <c r="FX346"/>
      <c r="FY346"/>
      <c r="FZ346"/>
      <c r="GA346"/>
      <c r="GB346"/>
      <c r="GC346"/>
      <c r="GD346"/>
      <c r="GE346"/>
      <c r="GF346"/>
      <c r="GG346"/>
      <c r="GH346"/>
      <c r="GI346"/>
      <c r="GJ346"/>
      <c r="GK346"/>
      <c r="GL346"/>
      <c r="GM346"/>
      <c r="GN346"/>
      <c r="GO346"/>
      <c r="GP346"/>
      <c r="GQ346"/>
      <c r="GR346"/>
      <c r="GS346"/>
      <c r="GT346"/>
      <c r="GU346"/>
      <c r="GV346"/>
      <c r="GW346"/>
      <c r="GX346"/>
      <c r="GY346"/>
      <c r="GZ346"/>
      <c r="HA346"/>
      <c r="HB346"/>
      <c r="HC346"/>
      <c r="HD346"/>
      <c r="HE346"/>
      <c r="HF346"/>
      <c r="HG346"/>
      <c r="HH346"/>
      <c r="HI346"/>
      <c r="HJ346"/>
      <c r="HK346"/>
      <c r="HL346"/>
      <c r="HM346"/>
      <c r="HN346"/>
      <c r="HO346"/>
      <c r="HP346"/>
      <c r="HQ346"/>
      <c r="HR346"/>
    </row>
    <row r="347" spans="1:226" collapsed="1" x14ac:dyDescent="0.2"/>
    <row r="349" spans="1:226" hidden="1" outlineLevel="1" x14ac:dyDescent="0.2">
      <c r="A349" s="652" t="s">
        <v>385</v>
      </c>
    </row>
    <row r="350" spans="1:226" hidden="1" outlineLevel="1" x14ac:dyDescent="0.2">
      <c r="A350" s="653" t="s">
        <v>20</v>
      </c>
      <c r="AT350" s="482">
        <f t="shared" ref="AT350:BM350" si="650">AT7</f>
        <v>5450</v>
      </c>
      <c r="AU350" s="21">
        <f t="shared" si="650"/>
        <v>1303</v>
      </c>
      <c r="AV350" s="21">
        <f t="shared" si="650"/>
        <v>1215</v>
      </c>
      <c r="AW350" s="21">
        <f t="shared" si="650"/>
        <v>1287</v>
      </c>
      <c r="AX350" s="21">
        <f t="shared" si="650"/>
        <v>1429</v>
      </c>
      <c r="AY350" s="482">
        <f t="shared" si="650"/>
        <v>5234</v>
      </c>
      <c r="AZ350" s="21">
        <f t="shared" si="650"/>
        <v>1266</v>
      </c>
      <c r="BA350" s="21">
        <f t="shared" si="650"/>
        <v>1179</v>
      </c>
      <c r="BB350" s="21">
        <f t="shared" si="650"/>
        <v>1304</v>
      </c>
      <c r="BC350" s="21">
        <f t="shared" si="650"/>
        <v>1482</v>
      </c>
      <c r="BD350" s="482">
        <f t="shared" si="650"/>
        <v>5231</v>
      </c>
      <c r="BE350" s="21">
        <f t="shared" si="650"/>
        <v>1305</v>
      </c>
      <c r="BF350" s="21">
        <f t="shared" si="650"/>
        <v>1221</v>
      </c>
      <c r="BG350" s="21">
        <f t="shared" si="650"/>
        <v>1401</v>
      </c>
      <c r="BH350" s="21">
        <f t="shared" si="650"/>
        <v>1541</v>
      </c>
      <c r="BI350" s="482">
        <f t="shared" si="650"/>
        <v>5468</v>
      </c>
      <c r="BJ350" s="21">
        <f t="shared" si="650"/>
        <v>1338</v>
      </c>
      <c r="BK350" s="21">
        <f t="shared" si="650"/>
        <v>1325</v>
      </c>
      <c r="BL350" s="21">
        <f t="shared" si="650"/>
        <v>1413</v>
      </c>
      <c r="BM350" s="21">
        <f t="shared" si="650"/>
        <v>1547</v>
      </c>
      <c r="BN350" s="482">
        <f>BN7</f>
        <v>5623</v>
      </c>
      <c r="BO350" s="21">
        <f t="shared" ref="BO350:DG350" si="651">BO7</f>
        <v>1343</v>
      </c>
      <c r="BP350" s="21">
        <f t="shared" si="651"/>
        <v>1308</v>
      </c>
      <c r="BQ350" s="21">
        <f t="shared" si="651"/>
        <v>1366</v>
      </c>
      <c r="BR350" s="21">
        <f t="shared" si="651"/>
        <v>1497</v>
      </c>
      <c r="BS350" s="482">
        <f t="shared" si="651"/>
        <v>5514</v>
      </c>
      <c r="BT350" s="21">
        <f t="shared" si="651"/>
        <v>1352</v>
      </c>
      <c r="BU350" s="21">
        <f t="shared" si="651"/>
        <v>1345</v>
      </c>
      <c r="BV350" s="21">
        <f t="shared" si="651"/>
        <v>1401</v>
      </c>
      <c r="BW350" s="21">
        <f t="shared" si="651"/>
        <v>1557</v>
      </c>
      <c r="BX350" s="482">
        <f t="shared" si="651"/>
        <v>5655</v>
      </c>
      <c r="BY350" s="21">
        <f t="shared" si="651"/>
        <v>1390</v>
      </c>
      <c r="BZ350" s="21">
        <f t="shared" si="651"/>
        <v>1345</v>
      </c>
      <c r="CA350" s="21">
        <f t="shared" si="651"/>
        <v>1426</v>
      </c>
      <c r="CB350" s="21">
        <f t="shared" si="651"/>
        <v>1600</v>
      </c>
      <c r="CC350" s="482">
        <f t="shared" si="651"/>
        <v>5761</v>
      </c>
      <c r="CD350" s="21">
        <f t="shared" si="651"/>
        <v>1443</v>
      </c>
      <c r="CE350" s="21">
        <f t="shared" si="651"/>
        <v>1406</v>
      </c>
      <c r="CF350" s="21">
        <f t="shared" si="651"/>
        <v>1477</v>
      </c>
      <c r="CG350" s="21">
        <f t="shared" si="651"/>
        <v>1647</v>
      </c>
      <c r="CH350" s="482">
        <f t="shared" si="651"/>
        <v>5973</v>
      </c>
      <c r="CI350" s="21">
        <f t="shared" si="651"/>
        <v>1500</v>
      </c>
      <c r="CJ350" s="21">
        <f t="shared" si="651"/>
        <v>1416</v>
      </c>
      <c r="CK350" s="21">
        <f t="shared" si="651"/>
        <v>1513.2152044024947</v>
      </c>
      <c r="CL350" s="21">
        <f t="shared" ca="1" si="651"/>
        <v>1729.4018065204809</v>
      </c>
      <c r="CM350" s="482">
        <f t="shared" ca="1" si="651"/>
        <v>6158.6170109229761</v>
      </c>
      <c r="CN350" s="21">
        <f t="shared" si="651"/>
        <v>1583.436062865175</v>
      </c>
      <c r="CO350" s="21">
        <f t="shared" si="651"/>
        <v>1513.4780496056783</v>
      </c>
      <c r="CP350" s="21">
        <f t="shared" si="651"/>
        <v>1617.9784190646069</v>
      </c>
      <c r="CQ350" s="21">
        <f t="shared" ca="1" si="651"/>
        <v>1779.9508405025813</v>
      </c>
      <c r="CR350" s="482">
        <f t="shared" ca="1" si="651"/>
        <v>6494.8433720380417</v>
      </c>
      <c r="CS350" s="21">
        <f t="shared" si="651"/>
        <v>1620.642485694108</v>
      </c>
      <c r="CT350" s="21">
        <f t="shared" si="651"/>
        <v>1549.8496618379338</v>
      </c>
      <c r="CU350" s="21">
        <f t="shared" si="651"/>
        <v>1656.0440114225141</v>
      </c>
      <c r="CV350" s="21">
        <f t="shared" ca="1" si="651"/>
        <v>1820.6025203251968</v>
      </c>
      <c r="CW350" s="482">
        <f t="shared" ca="1" si="651"/>
        <v>6647.1386792797521</v>
      </c>
      <c r="CX350" s="21">
        <f t="shared" si="651"/>
        <v>1658.8902800503429</v>
      </c>
      <c r="CY350" s="21">
        <f t="shared" si="651"/>
        <v>1587.2667991206406</v>
      </c>
      <c r="CZ350" s="21">
        <f t="shared" si="651"/>
        <v>1695.1833575865271</v>
      </c>
      <c r="DA350" s="21">
        <f t="shared" ca="1" si="651"/>
        <v>1862.3730275473313</v>
      </c>
      <c r="DB350" s="482">
        <f t="shared" ca="1" si="651"/>
        <v>6803.713464304843</v>
      </c>
      <c r="DC350" s="21">
        <f t="shared" si="651"/>
        <v>1698.214115390108</v>
      </c>
      <c r="DD350" s="21">
        <f t="shared" si="651"/>
        <v>1625.7650666185696</v>
      </c>
      <c r="DE350" s="21">
        <f t="shared" si="651"/>
        <v>1735.4325641611708</v>
      </c>
      <c r="DF350" s="21">
        <f t="shared" ca="1" si="651"/>
        <v>1905.2994029255733</v>
      </c>
      <c r="DG350" s="482">
        <f t="shared" ca="1" si="651"/>
        <v>6964.7111490954212</v>
      </c>
    </row>
    <row r="351" spans="1:226" hidden="1" outlineLevel="1" x14ac:dyDescent="0.2">
      <c r="A351" s="653" t="s">
        <v>355</v>
      </c>
      <c r="AT351" s="482">
        <f t="shared" ref="AT351:BM351" si="652">AT50</f>
        <v>998</v>
      </c>
      <c r="AU351" s="21">
        <f t="shared" si="652"/>
        <v>261</v>
      </c>
      <c r="AV351" s="21">
        <f t="shared" si="652"/>
        <v>190</v>
      </c>
      <c r="AW351" s="21">
        <f t="shared" si="652"/>
        <v>244</v>
      </c>
      <c r="AX351" s="21">
        <f t="shared" si="652"/>
        <v>274</v>
      </c>
      <c r="AY351" s="482">
        <f t="shared" si="652"/>
        <v>969</v>
      </c>
      <c r="AZ351" s="21">
        <f t="shared" si="652"/>
        <v>233</v>
      </c>
      <c r="BA351" s="21">
        <f t="shared" si="652"/>
        <v>167</v>
      </c>
      <c r="BB351" s="21">
        <f t="shared" si="652"/>
        <v>239</v>
      </c>
      <c r="BC351" s="21">
        <f t="shared" si="652"/>
        <v>282</v>
      </c>
      <c r="BD351" s="482">
        <f t="shared" si="652"/>
        <v>921</v>
      </c>
      <c r="BE351" s="21">
        <f t="shared" si="652"/>
        <v>210</v>
      </c>
      <c r="BF351" s="21">
        <f t="shared" si="652"/>
        <v>179</v>
      </c>
      <c r="BG351" s="21">
        <f t="shared" si="652"/>
        <v>226</v>
      </c>
      <c r="BH351" s="21">
        <f t="shared" si="652"/>
        <v>288</v>
      </c>
      <c r="BI351" s="482">
        <f t="shared" si="652"/>
        <v>903</v>
      </c>
      <c r="BJ351" s="21">
        <f t="shared" si="652"/>
        <v>227</v>
      </c>
      <c r="BK351" s="21">
        <f t="shared" si="652"/>
        <v>212</v>
      </c>
      <c r="BL351" s="21">
        <f t="shared" si="652"/>
        <v>233</v>
      </c>
      <c r="BM351" s="21">
        <f t="shared" si="652"/>
        <v>303</v>
      </c>
      <c r="BN351" s="482">
        <f>BN50</f>
        <v>975</v>
      </c>
      <c r="BO351" s="21">
        <f t="shared" ref="BO351:DG351" si="653">BO50</f>
        <v>239</v>
      </c>
      <c r="BP351" s="21">
        <f t="shared" si="653"/>
        <v>206</v>
      </c>
      <c r="BQ351" s="21">
        <f t="shared" si="653"/>
        <v>249</v>
      </c>
      <c r="BR351" s="21">
        <f t="shared" si="653"/>
        <v>283</v>
      </c>
      <c r="BS351" s="482">
        <f t="shared" si="653"/>
        <v>977</v>
      </c>
      <c r="BT351" s="21">
        <f t="shared" si="653"/>
        <v>247</v>
      </c>
      <c r="BU351" s="21">
        <f t="shared" si="653"/>
        <v>221</v>
      </c>
      <c r="BV351" s="21">
        <f t="shared" si="653"/>
        <v>241</v>
      </c>
      <c r="BW351" s="21">
        <f t="shared" si="653"/>
        <v>299</v>
      </c>
      <c r="BX351" s="482">
        <f t="shared" si="653"/>
        <v>1008</v>
      </c>
      <c r="BY351" s="21">
        <f t="shared" si="653"/>
        <v>286</v>
      </c>
      <c r="BZ351" s="21">
        <f t="shared" si="653"/>
        <v>249</v>
      </c>
      <c r="CA351" s="21">
        <f t="shared" si="653"/>
        <v>261</v>
      </c>
      <c r="CB351" s="21">
        <f t="shared" si="653"/>
        <v>268</v>
      </c>
      <c r="CC351" s="482">
        <f t="shared" si="653"/>
        <v>1064</v>
      </c>
      <c r="CD351" s="21">
        <f t="shared" si="653"/>
        <v>281</v>
      </c>
      <c r="CE351" s="21">
        <f t="shared" si="653"/>
        <v>272</v>
      </c>
      <c r="CF351" s="21">
        <f t="shared" si="653"/>
        <v>253</v>
      </c>
      <c r="CG351" s="21">
        <f t="shared" si="653"/>
        <v>321</v>
      </c>
      <c r="CH351" s="482">
        <f t="shared" si="653"/>
        <v>1127</v>
      </c>
      <c r="CI351" s="21">
        <f t="shared" si="653"/>
        <v>303</v>
      </c>
      <c r="CJ351" s="21">
        <f t="shared" si="653"/>
        <v>241</v>
      </c>
      <c r="CK351" s="21">
        <f t="shared" si="653"/>
        <v>262.33874018076563</v>
      </c>
      <c r="CL351" s="21">
        <f t="shared" ca="1" si="653"/>
        <v>322.65282494227728</v>
      </c>
      <c r="CM351" s="482">
        <f t="shared" ca="1" si="653"/>
        <v>1128.9915651230428</v>
      </c>
      <c r="CN351" s="21">
        <f t="shared" si="653"/>
        <v>312.06246817266214</v>
      </c>
      <c r="CO351" s="21">
        <f t="shared" si="653"/>
        <v>249.74600268046552</v>
      </c>
      <c r="CP351" s="21">
        <f t="shared" si="653"/>
        <v>279.01555473323771</v>
      </c>
      <c r="CQ351" s="21">
        <f t="shared" ca="1" si="653"/>
        <v>326.5670939563031</v>
      </c>
      <c r="CR351" s="482">
        <f t="shared" ca="1" si="653"/>
        <v>1167.3911195426685</v>
      </c>
      <c r="CS351" s="21">
        <f t="shared" si="653"/>
        <v>328.37764532194353</v>
      </c>
      <c r="CT351" s="21">
        <f t="shared" si="653"/>
        <v>264.62529360504089</v>
      </c>
      <c r="CU351" s="21">
        <f t="shared" si="653"/>
        <v>294.801499590074</v>
      </c>
      <c r="CV351" s="21">
        <f t="shared" ca="1" si="653"/>
        <v>344.53201054448499</v>
      </c>
      <c r="CW351" s="482">
        <f t="shared" ca="1" si="653"/>
        <v>1232.3364490615434</v>
      </c>
      <c r="CX351" s="21">
        <f t="shared" si="653"/>
        <v>340.02444313342909</v>
      </c>
      <c r="CY351" s="21">
        <f t="shared" si="653"/>
        <v>274.92922093547628</v>
      </c>
      <c r="CZ351" s="21">
        <f t="shared" si="653"/>
        <v>305.37760250780855</v>
      </c>
      <c r="DA351" s="21">
        <f t="shared" ca="1" si="653"/>
        <v>355.98721934383695</v>
      </c>
      <c r="DB351" s="482">
        <f t="shared" ca="1" si="653"/>
        <v>1276.3184859205508</v>
      </c>
      <c r="DC351" s="21">
        <f t="shared" si="653"/>
        <v>351.54975284539864</v>
      </c>
      <c r="DD351" s="21">
        <f t="shared" si="653"/>
        <v>285.10857657580488</v>
      </c>
      <c r="DE351" s="21">
        <f t="shared" si="653"/>
        <v>315.78811101670141</v>
      </c>
      <c r="DF351" s="21">
        <f t="shared" ca="1" si="653"/>
        <v>367.23267865288517</v>
      </c>
      <c r="DG351" s="482">
        <f t="shared" ca="1" si="653"/>
        <v>1319.67911909079</v>
      </c>
    </row>
    <row r="352" spans="1:226" hidden="1" outlineLevel="1" x14ac:dyDescent="0.2">
      <c r="A352" s="653" t="s">
        <v>386</v>
      </c>
      <c r="AT352" s="482">
        <f t="shared" ref="AT352:BM352" si="654">AT66</f>
        <v>-26</v>
      </c>
      <c r="AU352" s="21">
        <f t="shared" si="654"/>
        <v>-8</v>
      </c>
      <c r="AV352" s="21">
        <f t="shared" si="654"/>
        <v>-16</v>
      </c>
      <c r="AW352" s="21">
        <f t="shared" si="654"/>
        <v>-1</v>
      </c>
      <c r="AX352" s="21">
        <f t="shared" si="654"/>
        <v>0</v>
      </c>
      <c r="AY352" s="482">
        <f t="shared" si="654"/>
        <v>-25</v>
      </c>
      <c r="AZ352" s="21">
        <f t="shared" si="654"/>
        <v>1</v>
      </c>
      <c r="BA352" s="21">
        <f t="shared" si="654"/>
        <v>12</v>
      </c>
      <c r="BB352" s="21">
        <f t="shared" si="654"/>
        <v>9</v>
      </c>
      <c r="BC352" s="21">
        <f t="shared" si="654"/>
        <v>1</v>
      </c>
      <c r="BD352" s="482">
        <f t="shared" si="654"/>
        <v>23</v>
      </c>
      <c r="BE352" s="21">
        <f t="shared" si="654"/>
        <v>6</v>
      </c>
      <c r="BF352" s="21">
        <f t="shared" si="654"/>
        <v>6</v>
      </c>
      <c r="BG352" s="21">
        <f t="shared" si="654"/>
        <v>5</v>
      </c>
      <c r="BH352" s="21">
        <f t="shared" si="654"/>
        <v>-4</v>
      </c>
      <c r="BI352" s="482">
        <f t="shared" si="654"/>
        <v>13</v>
      </c>
      <c r="BJ352" s="21">
        <f t="shared" si="654"/>
        <v>0</v>
      </c>
      <c r="BK352" s="21">
        <f t="shared" si="654"/>
        <v>9</v>
      </c>
      <c r="BL352" s="21">
        <f t="shared" si="654"/>
        <v>-1</v>
      </c>
      <c r="BM352" s="21">
        <f t="shared" si="654"/>
        <v>-8</v>
      </c>
      <c r="BN352" s="482">
        <f>BN66</f>
        <v>0</v>
      </c>
      <c r="BO352" s="21">
        <f t="shared" ref="BO352:DG352" si="655">BO66</f>
        <v>-2</v>
      </c>
      <c r="BP352" s="21">
        <f t="shared" si="655"/>
        <v>4</v>
      </c>
      <c r="BQ352" s="21">
        <f t="shared" si="655"/>
        <v>2</v>
      </c>
      <c r="BR352" s="21">
        <f t="shared" si="655"/>
        <v>6</v>
      </c>
      <c r="BS352" s="482">
        <f t="shared" si="655"/>
        <v>10</v>
      </c>
      <c r="BT352" s="21">
        <f t="shared" si="655"/>
        <v>-3</v>
      </c>
      <c r="BU352" s="21">
        <f t="shared" si="655"/>
        <v>2</v>
      </c>
      <c r="BV352" s="21">
        <f t="shared" si="655"/>
        <v>1</v>
      </c>
      <c r="BW352" s="21">
        <f t="shared" si="655"/>
        <v>13</v>
      </c>
      <c r="BX352" s="482">
        <f t="shared" si="655"/>
        <v>13</v>
      </c>
      <c r="BY352" s="21">
        <f t="shared" si="655"/>
        <v>1</v>
      </c>
      <c r="BZ352" s="21">
        <f t="shared" si="655"/>
        <v>3</v>
      </c>
      <c r="CA352" s="21">
        <f t="shared" si="655"/>
        <v>-2</v>
      </c>
      <c r="CB352" s="21">
        <f t="shared" si="655"/>
        <v>5</v>
      </c>
      <c r="CC352" s="482">
        <f t="shared" si="655"/>
        <v>7</v>
      </c>
      <c r="CD352" s="21">
        <f t="shared" si="655"/>
        <v>5.4</v>
      </c>
      <c r="CE352" s="21">
        <f t="shared" si="655"/>
        <v>-23.5</v>
      </c>
      <c r="CF352" s="21">
        <f t="shared" si="655"/>
        <v>16.5</v>
      </c>
      <c r="CG352" s="21">
        <f t="shared" si="655"/>
        <v>-3.6</v>
      </c>
      <c r="CH352" s="482">
        <f t="shared" si="655"/>
        <v>-5.2000000000000011</v>
      </c>
      <c r="CI352" s="21">
        <f t="shared" si="655"/>
        <v>-3</v>
      </c>
      <c r="CJ352" s="21">
        <f t="shared" si="655"/>
        <v>6</v>
      </c>
      <c r="CK352" s="21">
        <f t="shared" si="655"/>
        <v>0</v>
      </c>
      <c r="CL352" s="21">
        <f t="shared" si="655"/>
        <v>0</v>
      </c>
      <c r="CM352" s="482">
        <f t="shared" si="655"/>
        <v>3</v>
      </c>
      <c r="CN352" s="21">
        <f t="shared" si="655"/>
        <v>-3</v>
      </c>
      <c r="CO352" s="21">
        <f t="shared" si="655"/>
        <v>6</v>
      </c>
      <c r="CP352" s="21">
        <f t="shared" si="655"/>
        <v>0</v>
      </c>
      <c r="CQ352" s="21">
        <f t="shared" si="655"/>
        <v>0</v>
      </c>
      <c r="CR352" s="482">
        <f t="shared" si="655"/>
        <v>3</v>
      </c>
      <c r="CS352" s="21">
        <f t="shared" si="655"/>
        <v>0</v>
      </c>
      <c r="CT352" s="21">
        <f t="shared" si="655"/>
        <v>0</v>
      </c>
      <c r="CU352" s="21">
        <f t="shared" si="655"/>
        <v>0</v>
      </c>
      <c r="CV352" s="21">
        <f t="shared" si="655"/>
        <v>0</v>
      </c>
      <c r="CW352" s="482">
        <f t="shared" si="655"/>
        <v>0</v>
      </c>
      <c r="CX352" s="21">
        <f t="shared" si="655"/>
        <v>0</v>
      </c>
      <c r="CY352" s="21">
        <f t="shared" si="655"/>
        <v>0</v>
      </c>
      <c r="CZ352" s="21">
        <f t="shared" si="655"/>
        <v>0</v>
      </c>
      <c r="DA352" s="21">
        <f t="shared" si="655"/>
        <v>0</v>
      </c>
      <c r="DB352" s="482">
        <f t="shared" si="655"/>
        <v>0</v>
      </c>
      <c r="DC352" s="21">
        <f t="shared" si="655"/>
        <v>0</v>
      </c>
      <c r="DD352" s="21">
        <f t="shared" si="655"/>
        <v>0</v>
      </c>
      <c r="DE352" s="21">
        <f t="shared" si="655"/>
        <v>0</v>
      </c>
      <c r="DF352" s="21">
        <f t="shared" si="655"/>
        <v>0</v>
      </c>
      <c r="DG352" s="482">
        <f t="shared" si="655"/>
        <v>0</v>
      </c>
    </row>
    <row r="353" spans="1:111" hidden="1" outlineLevel="1" x14ac:dyDescent="0.2">
      <c r="A353" s="653" t="s">
        <v>356</v>
      </c>
      <c r="AT353" s="482">
        <f t="shared" ref="AT353:BM353" si="656">AT60</f>
        <v>1188</v>
      </c>
      <c r="AU353" s="21">
        <f t="shared" si="656"/>
        <v>309</v>
      </c>
      <c r="AV353" s="21">
        <f t="shared" si="656"/>
        <v>237</v>
      </c>
      <c r="AW353" s="21">
        <f t="shared" si="656"/>
        <v>288</v>
      </c>
      <c r="AX353" s="21">
        <f t="shared" si="656"/>
        <v>320</v>
      </c>
      <c r="AY353" s="482">
        <f t="shared" si="656"/>
        <v>1154</v>
      </c>
      <c r="AZ353" s="21">
        <f t="shared" si="656"/>
        <v>278</v>
      </c>
      <c r="BA353" s="21">
        <f t="shared" si="656"/>
        <v>210</v>
      </c>
      <c r="BB353" s="21">
        <f t="shared" si="656"/>
        <v>281</v>
      </c>
      <c r="BC353" s="21">
        <f t="shared" si="656"/>
        <v>325</v>
      </c>
      <c r="BD353" s="482">
        <f t="shared" si="656"/>
        <v>1094</v>
      </c>
      <c r="BE353" s="21">
        <f t="shared" si="656"/>
        <v>256</v>
      </c>
      <c r="BF353" s="21">
        <f t="shared" si="656"/>
        <v>222</v>
      </c>
      <c r="BG353" s="21">
        <f t="shared" si="656"/>
        <v>272</v>
      </c>
      <c r="BH353" s="21">
        <f t="shared" si="656"/>
        <v>333</v>
      </c>
      <c r="BI353" s="482">
        <f t="shared" si="656"/>
        <v>1083</v>
      </c>
      <c r="BJ353" s="21">
        <f t="shared" si="656"/>
        <v>271</v>
      </c>
      <c r="BK353" s="21">
        <f t="shared" si="656"/>
        <v>258</v>
      </c>
      <c r="BL353" s="21">
        <f t="shared" si="656"/>
        <v>279</v>
      </c>
      <c r="BM353" s="21">
        <f t="shared" si="656"/>
        <v>349</v>
      </c>
      <c r="BN353" s="482">
        <f>BN60</f>
        <v>1157</v>
      </c>
      <c r="BO353" s="21">
        <f t="shared" ref="BO353:DG353" si="657">BO60</f>
        <v>283</v>
      </c>
      <c r="BP353" s="21">
        <f t="shared" si="657"/>
        <v>251</v>
      </c>
      <c r="BQ353" s="21">
        <f t="shared" si="657"/>
        <v>293</v>
      </c>
      <c r="BR353" s="21">
        <f t="shared" si="657"/>
        <v>330</v>
      </c>
      <c r="BS353" s="482">
        <f t="shared" si="657"/>
        <v>1157</v>
      </c>
      <c r="BT353" s="21">
        <f t="shared" si="657"/>
        <v>290</v>
      </c>
      <c r="BU353" s="21">
        <f t="shared" si="657"/>
        <v>263</v>
      </c>
      <c r="BV353" s="21">
        <f t="shared" si="657"/>
        <v>282</v>
      </c>
      <c r="BW353" s="21">
        <f t="shared" si="657"/>
        <v>342</v>
      </c>
      <c r="BX353" s="482">
        <f t="shared" si="657"/>
        <v>1177</v>
      </c>
      <c r="BY353" s="21">
        <f t="shared" si="657"/>
        <v>327</v>
      </c>
      <c r="BZ353" s="21">
        <f t="shared" si="657"/>
        <v>290</v>
      </c>
      <c r="CA353" s="21">
        <f t="shared" si="657"/>
        <v>301</v>
      </c>
      <c r="CB353" s="21">
        <f t="shared" si="657"/>
        <v>311</v>
      </c>
      <c r="CC353" s="482">
        <f t="shared" si="657"/>
        <v>1229</v>
      </c>
      <c r="CD353" s="21">
        <f t="shared" si="657"/>
        <v>322</v>
      </c>
      <c r="CE353" s="21">
        <f t="shared" si="657"/>
        <v>313</v>
      </c>
      <c r="CF353" s="21">
        <f t="shared" si="657"/>
        <v>292</v>
      </c>
      <c r="CG353" s="21">
        <f t="shared" si="657"/>
        <v>363</v>
      </c>
      <c r="CH353" s="482">
        <f t="shared" si="657"/>
        <v>1290</v>
      </c>
      <c r="CI353" s="21">
        <f t="shared" si="657"/>
        <v>343</v>
      </c>
      <c r="CJ353" s="21">
        <f t="shared" si="657"/>
        <v>282</v>
      </c>
      <c r="CK353" s="21">
        <f t="shared" si="657"/>
        <v>302.7207999814301</v>
      </c>
      <c r="CL353" s="21">
        <f t="shared" ca="1" si="657"/>
        <v>365.04516157265874</v>
      </c>
      <c r="CM353" s="482">
        <f t="shared" ca="1" si="657"/>
        <v>1292.7659615540888</v>
      </c>
      <c r="CN353" s="21">
        <f t="shared" ca="1" si="657"/>
        <v>353.63877055091336</v>
      </c>
      <c r="CO353" s="21">
        <f t="shared" ca="1" si="657"/>
        <v>292.69174867611309</v>
      </c>
      <c r="CP353" s="21">
        <f t="shared" ca="1" si="657"/>
        <v>321.24037072379781</v>
      </c>
      <c r="CQ353" s="21">
        <f t="shared" ca="1" si="657"/>
        <v>370.86892232805769</v>
      </c>
      <c r="CR353" s="482">
        <f t="shared" ca="1" si="657"/>
        <v>1338.4398122788821</v>
      </c>
      <c r="CS353" s="21">
        <f t="shared" ca="1" si="657"/>
        <v>371.70067296893507</v>
      </c>
      <c r="CT353" s="21">
        <f t="shared" ca="1" si="657"/>
        <v>309.1924570928341</v>
      </c>
      <c r="CU353" s="21">
        <f t="shared" ca="1" si="657"/>
        <v>338.46219738613672</v>
      </c>
      <c r="CV353" s="21">
        <f t="shared" ca="1" si="657"/>
        <v>390.16891242195226</v>
      </c>
      <c r="CW353" s="482">
        <f t="shared" ca="1" si="657"/>
        <v>1409.5242398698581</v>
      </c>
      <c r="CX353" s="21">
        <f t="shared" ca="1" si="657"/>
        <v>384.47402141205032</v>
      </c>
      <c r="CY353" s="21">
        <f t="shared" ca="1" si="657"/>
        <v>320.50473494255471</v>
      </c>
      <c r="CZ353" s="21">
        <f t="shared" ca="1" si="657"/>
        <v>349.89159941630578</v>
      </c>
      <c r="DA353" s="21">
        <f t="shared" ca="1" si="657"/>
        <v>402.37128083635002</v>
      </c>
      <c r="DB353" s="482">
        <f t="shared" ca="1" si="657"/>
        <v>1457.2416366072607</v>
      </c>
      <c r="DC353" s="21">
        <f t="shared" ca="1" si="657"/>
        <v>396.58777356096107</v>
      </c>
      <c r="DD353" s="21">
        <f t="shared" ca="1" si="657"/>
        <v>331.15956866507526</v>
      </c>
      <c r="DE353" s="21">
        <f t="shared" ca="1" si="657"/>
        <v>360.64810840191592</v>
      </c>
      <c r="DF353" s="21">
        <f t="shared" ca="1" si="657"/>
        <v>413.8509728671558</v>
      </c>
      <c r="DG353" s="482">
        <f t="shared" ca="1" si="657"/>
        <v>1502.246423495108</v>
      </c>
    </row>
    <row r="354" spans="1:111" hidden="1" outlineLevel="1" x14ac:dyDescent="0.2">
      <c r="A354" s="653" t="s">
        <v>357</v>
      </c>
      <c r="AT354" s="482">
        <f t="shared" ref="AT354:BM354" si="658">SUM(AT172:AT173)</f>
        <v>107</v>
      </c>
      <c r="AU354" s="21">
        <f t="shared" si="658"/>
        <v>49</v>
      </c>
      <c r="AV354" s="21">
        <f t="shared" si="658"/>
        <v>106</v>
      </c>
      <c r="AW354" s="21">
        <f t="shared" si="658"/>
        <v>88</v>
      </c>
      <c r="AX354" s="21">
        <f t="shared" si="658"/>
        <v>76</v>
      </c>
      <c r="AY354" s="482">
        <f t="shared" si="658"/>
        <v>319</v>
      </c>
      <c r="AZ354" s="21">
        <f t="shared" si="658"/>
        <v>19</v>
      </c>
      <c r="BA354" s="21">
        <f t="shared" si="658"/>
        <v>-30.024000000000001</v>
      </c>
      <c r="BB354" s="21">
        <f t="shared" si="658"/>
        <v>146</v>
      </c>
      <c r="BC354" s="21">
        <f t="shared" ca="1" si="658"/>
        <v>114.92261472392636</v>
      </c>
      <c r="BD354" s="482">
        <f t="shared" ca="1" si="658"/>
        <v>249.89861472392636</v>
      </c>
      <c r="BE354" s="21">
        <f t="shared" si="658"/>
        <v>27</v>
      </c>
      <c r="BF354" s="21">
        <f t="shared" si="658"/>
        <v>32</v>
      </c>
      <c r="BG354" s="21">
        <f t="shared" si="658"/>
        <v>79</v>
      </c>
      <c r="BH354" s="21">
        <f t="shared" si="658"/>
        <v>33</v>
      </c>
      <c r="BI354" s="482">
        <f t="shared" si="658"/>
        <v>171</v>
      </c>
      <c r="BJ354" s="21">
        <f t="shared" si="658"/>
        <v>82</v>
      </c>
      <c r="BK354" s="21">
        <f t="shared" si="658"/>
        <v>28</v>
      </c>
      <c r="BL354" s="21">
        <f t="shared" si="658"/>
        <v>36</v>
      </c>
      <c r="BM354" s="21">
        <f t="shared" si="658"/>
        <v>46</v>
      </c>
      <c r="BN354" s="482">
        <f>SUM(BN172:BN173)</f>
        <v>192</v>
      </c>
      <c r="BO354" s="21">
        <f t="shared" ref="BO354:DG354" si="659">SUM(BO172:BO173)</f>
        <v>64</v>
      </c>
      <c r="BP354" s="21">
        <f t="shared" si="659"/>
        <v>22.599999999999994</v>
      </c>
      <c r="BQ354" s="21">
        <f t="shared" si="659"/>
        <v>40.400000000000006</v>
      </c>
      <c r="BR354" s="21">
        <f t="shared" si="659"/>
        <v>34.199999999999989</v>
      </c>
      <c r="BS354" s="482">
        <f t="shared" si="659"/>
        <v>161.19999999999999</v>
      </c>
      <c r="BT354" s="21">
        <f t="shared" si="659"/>
        <v>34.100000000000023</v>
      </c>
      <c r="BU354" s="21">
        <f t="shared" si="659"/>
        <v>32.800000000000011</v>
      </c>
      <c r="BV354" s="21">
        <f t="shared" si="659"/>
        <v>37.800000000000011</v>
      </c>
      <c r="BW354" s="21">
        <f t="shared" si="659"/>
        <v>40</v>
      </c>
      <c r="BX354" s="482">
        <f t="shared" si="659"/>
        <v>144.70000000000005</v>
      </c>
      <c r="BY354" s="21">
        <f t="shared" si="659"/>
        <v>20</v>
      </c>
      <c r="BZ354" s="21">
        <f t="shared" si="659"/>
        <v>41.400000000000006</v>
      </c>
      <c r="CA354" s="21">
        <f t="shared" si="659"/>
        <v>64</v>
      </c>
      <c r="CB354" s="21">
        <f t="shared" si="659"/>
        <v>-6</v>
      </c>
      <c r="CC354" s="482">
        <f t="shared" si="659"/>
        <v>119.39999999999998</v>
      </c>
      <c r="CD354" s="21">
        <f t="shared" ca="1" si="659"/>
        <v>13.600000000000023</v>
      </c>
      <c r="CE354" s="21">
        <f t="shared" ca="1" si="659"/>
        <v>104.5</v>
      </c>
      <c r="CF354" s="21">
        <f t="shared" ca="1" si="659"/>
        <v>6.5</v>
      </c>
      <c r="CG354" s="21">
        <f t="shared" ca="1" si="659"/>
        <v>51.600000000000023</v>
      </c>
      <c r="CH354" s="482">
        <f t="shared" ca="1" si="659"/>
        <v>176.20000000000005</v>
      </c>
      <c r="CI354" s="21">
        <f t="shared" si="659"/>
        <v>66</v>
      </c>
      <c r="CJ354" s="21">
        <f t="shared" si="659"/>
        <v>30</v>
      </c>
      <c r="CK354" s="21">
        <f t="shared" si="659"/>
        <v>78.878342253187625</v>
      </c>
      <c r="CL354" s="21">
        <f t="shared" ca="1" si="659"/>
        <v>46.965587783941281</v>
      </c>
      <c r="CM354" s="482">
        <f t="shared" ca="1" si="659"/>
        <v>221.84393003712893</v>
      </c>
      <c r="CN354" s="21">
        <f t="shared" ca="1" si="659"/>
        <v>46.104922840260805</v>
      </c>
      <c r="CO354" s="21">
        <f t="shared" ca="1" si="659"/>
        <v>37.271414109658203</v>
      </c>
      <c r="CP354" s="21">
        <f t="shared" ca="1" si="659"/>
        <v>83.62486709811958</v>
      </c>
      <c r="CQ354" s="21">
        <f t="shared" ca="1" si="659"/>
        <v>23.106960517491402</v>
      </c>
      <c r="CR354" s="482">
        <f t="shared" ca="1" si="659"/>
        <v>190.10816456552996</v>
      </c>
      <c r="CS354" s="21">
        <f t="shared" ca="1" si="659"/>
        <v>44.220439612748962</v>
      </c>
      <c r="CT354" s="21">
        <f t="shared" ca="1" si="659"/>
        <v>39.107443868629261</v>
      </c>
      <c r="CU354" s="21">
        <f t="shared" ca="1" si="659"/>
        <v>85.705926364123485</v>
      </c>
      <c r="CV354" s="21">
        <f t="shared" ca="1" si="659"/>
        <v>23.481663518881241</v>
      </c>
      <c r="CW354" s="482">
        <f t="shared" ca="1" si="659"/>
        <v>192.51547336438293</v>
      </c>
      <c r="CX354" s="21">
        <f t="shared" ca="1" si="659"/>
        <v>45.879393081362579</v>
      </c>
      <c r="CY354" s="21">
        <f t="shared" ca="1" si="659"/>
        <v>40.348248970263747</v>
      </c>
      <c r="CZ354" s="21">
        <f t="shared" ca="1" si="659"/>
        <v>87.214191781221658</v>
      </c>
      <c r="DA354" s="21">
        <f t="shared" ca="1" si="659"/>
        <v>23.230852363847269</v>
      </c>
      <c r="DB354" s="482">
        <f t="shared" ca="1" si="659"/>
        <v>196.67268619669528</v>
      </c>
      <c r="DC354" s="21">
        <f t="shared" ca="1" si="659"/>
        <v>47.024583729207841</v>
      </c>
      <c r="DD354" s="21">
        <f t="shared" ca="1" si="659"/>
        <v>41.074960920718048</v>
      </c>
      <c r="DE354" s="21">
        <f t="shared" ca="1" si="659"/>
        <v>88.225083981701886</v>
      </c>
      <c r="DF354" s="21">
        <f t="shared" ca="1" si="659"/>
        <v>22.428030423502776</v>
      </c>
      <c r="DG354" s="482">
        <f t="shared" ca="1" si="659"/>
        <v>198.75265905513058</v>
      </c>
    </row>
    <row r="355" spans="1:111" hidden="1" outlineLevel="1" x14ac:dyDescent="0.2">
      <c r="A355" s="653" t="s">
        <v>387</v>
      </c>
      <c r="AT355" s="482">
        <f t="shared" ref="AT355:BM355" si="660">SUM(AT175:AT181)</f>
        <v>94</v>
      </c>
      <c r="AU355" s="21">
        <f t="shared" si="660"/>
        <v>-95</v>
      </c>
      <c r="AV355" s="21">
        <f t="shared" si="660"/>
        <v>-47</v>
      </c>
      <c r="AW355" s="21">
        <f t="shared" si="660"/>
        <v>-34</v>
      </c>
      <c r="AX355" s="21">
        <f t="shared" si="660"/>
        <v>150</v>
      </c>
      <c r="AY355" s="482">
        <f t="shared" si="660"/>
        <v>-26</v>
      </c>
      <c r="AZ355" s="21">
        <f t="shared" si="660"/>
        <v>-11</v>
      </c>
      <c r="BA355" s="21">
        <f t="shared" si="660"/>
        <v>-20</v>
      </c>
      <c r="BB355" s="21">
        <f t="shared" si="660"/>
        <v>-70</v>
      </c>
      <c r="BC355" s="21">
        <f t="shared" si="660"/>
        <v>48</v>
      </c>
      <c r="BD355" s="482">
        <f t="shared" si="660"/>
        <v>-53</v>
      </c>
      <c r="BE355" s="21">
        <f t="shared" si="660"/>
        <v>-26</v>
      </c>
      <c r="BF355" s="21">
        <f t="shared" si="660"/>
        <v>-100</v>
      </c>
      <c r="BG355" s="21">
        <f t="shared" si="660"/>
        <v>-48</v>
      </c>
      <c r="BH355" s="21">
        <f t="shared" si="660"/>
        <v>90</v>
      </c>
      <c r="BI355" s="482">
        <f t="shared" si="660"/>
        <v>-84</v>
      </c>
      <c r="BJ355" s="21">
        <f t="shared" si="660"/>
        <v>-7</v>
      </c>
      <c r="BK355" s="21">
        <f t="shared" si="660"/>
        <v>-34</v>
      </c>
      <c r="BL355" s="21">
        <f t="shared" si="660"/>
        <v>-10</v>
      </c>
      <c r="BM355" s="21">
        <f t="shared" si="660"/>
        <v>60</v>
      </c>
      <c r="BN355" s="482">
        <f>SUM(BN175:BN181)</f>
        <v>9</v>
      </c>
      <c r="BO355" s="21">
        <f t="shared" ref="BO355:DG355" si="661">SUM(BO175:BO181)</f>
        <v>-25</v>
      </c>
      <c r="BP355" s="21">
        <f t="shared" si="661"/>
        <v>-109</v>
      </c>
      <c r="BQ355" s="21">
        <f t="shared" si="661"/>
        <v>29</v>
      </c>
      <c r="BR355" s="21">
        <f t="shared" si="661"/>
        <v>141</v>
      </c>
      <c r="BS355" s="482">
        <f t="shared" si="661"/>
        <v>36</v>
      </c>
      <c r="BT355" s="21">
        <f t="shared" si="661"/>
        <v>64</v>
      </c>
      <c r="BU355" s="21">
        <f t="shared" si="661"/>
        <v>-127</v>
      </c>
      <c r="BV355" s="21">
        <f t="shared" si="661"/>
        <v>36</v>
      </c>
      <c r="BW355" s="21">
        <f t="shared" si="661"/>
        <v>150</v>
      </c>
      <c r="BX355" s="482">
        <f t="shared" si="661"/>
        <v>123</v>
      </c>
      <c r="BY355" s="21">
        <f t="shared" si="661"/>
        <v>-46</v>
      </c>
      <c r="BZ355" s="21">
        <f t="shared" si="661"/>
        <v>-154</v>
      </c>
      <c r="CA355" s="21">
        <f t="shared" si="661"/>
        <v>39</v>
      </c>
      <c r="CB355" s="21">
        <f t="shared" si="661"/>
        <v>172</v>
      </c>
      <c r="CC355" s="482">
        <f t="shared" si="661"/>
        <v>11</v>
      </c>
      <c r="CD355" s="21">
        <f t="shared" ca="1" si="661"/>
        <v>-23</v>
      </c>
      <c r="CE355" s="21">
        <f t="shared" ca="1" si="661"/>
        <v>-154</v>
      </c>
      <c r="CF355" s="21">
        <f t="shared" ca="1" si="661"/>
        <v>33</v>
      </c>
      <c r="CG355" s="21">
        <f t="shared" ca="1" si="661"/>
        <v>132</v>
      </c>
      <c r="CH355" s="482">
        <f t="shared" ca="1" si="661"/>
        <v>-12</v>
      </c>
      <c r="CI355" s="21">
        <f t="shared" si="661"/>
        <v>0</v>
      </c>
      <c r="CJ355" s="21">
        <f t="shared" si="661"/>
        <v>-199</v>
      </c>
      <c r="CK355" s="21">
        <f t="shared" ca="1" si="661"/>
        <v>-27.635831377970362</v>
      </c>
      <c r="CL355" s="21">
        <f t="shared" ca="1" si="661"/>
        <v>116.19759739091398</v>
      </c>
      <c r="CM355" s="482">
        <f t="shared" ca="1" si="661"/>
        <v>-110.43823398705638</v>
      </c>
      <c r="CN355" s="21">
        <f t="shared" ca="1" si="661"/>
        <v>78.508626049156106</v>
      </c>
      <c r="CO355" s="21">
        <f t="shared" ca="1" si="661"/>
        <v>-238.46831532054691</v>
      </c>
      <c r="CP355" s="21">
        <f t="shared" ca="1" si="661"/>
        <v>-34.451270779114679</v>
      </c>
      <c r="CQ355" s="21">
        <f t="shared" ca="1" si="661"/>
        <v>129.77225855181908</v>
      </c>
      <c r="CR355" s="482">
        <f t="shared" ca="1" si="661"/>
        <v>-64.638701498686416</v>
      </c>
      <c r="CS355" s="21">
        <f t="shared" ca="1" si="661"/>
        <v>88.62063946977915</v>
      </c>
      <c r="CT355" s="21">
        <f t="shared" ca="1" si="661"/>
        <v>-242.2387703018118</v>
      </c>
      <c r="CU355" s="21">
        <f t="shared" ca="1" si="661"/>
        <v>-38.399767704751298</v>
      </c>
      <c r="CV355" s="21">
        <f t="shared" ca="1" si="661"/>
        <v>128.40486355852596</v>
      </c>
      <c r="CW355" s="482">
        <f t="shared" ca="1" si="661"/>
        <v>-63.613034978257957</v>
      </c>
      <c r="CX355" s="21">
        <f t="shared" ca="1" si="661"/>
        <v>80.549105063562209</v>
      </c>
      <c r="CY355" s="21">
        <f t="shared" ca="1" si="661"/>
        <v>-245.74685401827332</v>
      </c>
      <c r="CZ355" s="21">
        <f t="shared" ca="1" si="661"/>
        <v>-43.437650092746594</v>
      </c>
      <c r="DA355" s="21">
        <f t="shared" ca="1" si="661"/>
        <v>126.12039782673888</v>
      </c>
      <c r="DB355" s="482">
        <f t="shared" ca="1" si="661"/>
        <v>-82.515001220718801</v>
      </c>
      <c r="DC355" s="21">
        <f t="shared" ca="1" si="661"/>
        <v>88.191265762569316</v>
      </c>
      <c r="DD355" s="21">
        <f t="shared" ca="1" si="661"/>
        <v>-249.3907989787308</v>
      </c>
      <c r="DE355" s="21">
        <f t="shared" ca="1" si="661"/>
        <v>-48.621972265126146</v>
      </c>
      <c r="DF355" s="21">
        <f t="shared" ca="1" si="661"/>
        <v>123.78762164121243</v>
      </c>
      <c r="DG355" s="482">
        <f t="shared" ca="1" si="661"/>
        <v>-86.033883840075177</v>
      </c>
    </row>
    <row r="356" spans="1:111" hidden="1" outlineLevel="1" x14ac:dyDescent="0.2">
      <c r="A356" s="653" t="s">
        <v>312</v>
      </c>
      <c r="AT356" s="482">
        <f t="shared" ref="AT356:BM356" si="662">AT184</f>
        <v>-197</v>
      </c>
      <c r="AU356" s="21">
        <f t="shared" si="662"/>
        <v>-34</v>
      </c>
      <c r="AV356" s="21">
        <f t="shared" si="662"/>
        <v>-42</v>
      </c>
      <c r="AW356" s="21">
        <f t="shared" si="662"/>
        <v>-35</v>
      </c>
      <c r="AX356" s="21">
        <f t="shared" si="662"/>
        <v>-92</v>
      </c>
      <c r="AY356" s="482">
        <f t="shared" si="662"/>
        <v>-203</v>
      </c>
      <c r="AZ356" s="21">
        <f t="shared" si="662"/>
        <v>-34</v>
      </c>
      <c r="BA356" s="21">
        <f t="shared" si="662"/>
        <v>-55</v>
      </c>
      <c r="BB356" s="21">
        <f t="shared" si="662"/>
        <v>-70</v>
      </c>
      <c r="BC356" s="21">
        <f t="shared" ca="1" si="662"/>
        <v>-79.555214723926383</v>
      </c>
      <c r="BD356" s="482">
        <f t="shared" ca="1" si="662"/>
        <v>-238.55521472392638</v>
      </c>
      <c r="BE356" s="21">
        <f t="shared" si="662"/>
        <v>-37</v>
      </c>
      <c r="BF356" s="21">
        <f t="shared" si="662"/>
        <v>-45</v>
      </c>
      <c r="BG356" s="21">
        <f t="shared" si="662"/>
        <v>-37</v>
      </c>
      <c r="BH356" s="21">
        <f t="shared" si="662"/>
        <v>-73</v>
      </c>
      <c r="BI356" s="482">
        <f t="shared" si="662"/>
        <v>-192</v>
      </c>
      <c r="BJ356" s="21">
        <f t="shared" si="662"/>
        <v>-54</v>
      </c>
      <c r="BK356" s="21">
        <f t="shared" si="662"/>
        <v>-48</v>
      </c>
      <c r="BL356" s="21">
        <f t="shared" si="662"/>
        <v>-32</v>
      </c>
      <c r="BM356" s="21">
        <f t="shared" si="662"/>
        <v>-60</v>
      </c>
      <c r="BN356" s="482">
        <f>BN184</f>
        <v>-194</v>
      </c>
      <c r="BO356" s="21">
        <f t="shared" ref="BO356:DG356" si="663">BO184</f>
        <v>-27</v>
      </c>
      <c r="BP356" s="21">
        <f t="shared" si="663"/>
        <v>-36</v>
      </c>
      <c r="BQ356" s="21">
        <f t="shared" si="663"/>
        <v>-25</v>
      </c>
      <c r="BR356" s="21">
        <f t="shared" si="663"/>
        <v>-50</v>
      </c>
      <c r="BS356" s="482">
        <f t="shared" si="663"/>
        <v>-138</v>
      </c>
      <c r="BT356" s="21">
        <f t="shared" si="663"/>
        <v>-29</v>
      </c>
      <c r="BU356" s="21">
        <f t="shared" si="663"/>
        <v>-31</v>
      </c>
      <c r="BV356" s="21">
        <f t="shared" si="663"/>
        <v>-23</v>
      </c>
      <c r="BW356" s="21">
        <f t="shared" si="663"/>
        <v>-42</v>
      </c>
      <c r="BX356" s="482">
        <f t="shared" si="663"/>
        <v>-125</v>
      </c>
      <c r="BY356" s="21">
        <f t="shared" si="663"/>
        <v>-28</v>
      </c>
      <c r="BZ356" s="21">
        <f t="shared" si="663"/>
        <v>-40</v>
      </c>
      <c r="CA356" s="21">
        <f t="shared" si="663"/>
        <v>-45</v>
      </c>
      <c r="CB356" s="21">
        <f t="shared" si="663"/>
        <v>-59</v>
      </c>
      <c r="CC356" s="482">
        <f t="shared" si="663"/>
        <v>-172</v>
      </c>
      <c r="CD356" s="21">
        <f t="shared" si="663"/>
        <v>-59</v>
      </c>
      <c r="CE356" s="21">
        <f t="shared" si="663"/>
        <v>-58</v>
      </c>
      <c r="CF356" s="21">
        <f t="shared" si="663"/>
        <v>-44</v>
      </c>
      <c r="CG356" s="21">
        <f t="shared" si="663"/>
        <v>-70</v>
      </c>
      <c r="CH356" s="482">
        <f t="shared" si="663"/>
        <v>-231</v>
      </c>
      <c r="CI356" s="21">
        <f t="shared" si="663"/>
        <v>-49</v>
      </c>
      <c r="CJ356" s="21">
        <f t="shared" si="663"/>
        <v>-40</v>
      </c>
      <c r="CK356" s="21">
        <f t="shared" si="663"/>
        <v>-45.078855107454139</v>
      </c>
      <c r="CL356" s="21">
        <f t="shared" ca="1" si="663"/>
        <v>-73.502201855758145</v>
      </c>
      <c r="CM356" s="482">
        <f t="shared" ca="1" si="663"/>
        <v>-207.58105696321229</v>
      </c>
      <c r="CN356" s="21">
        <f t="shared" si="663"/>
        <v>-50.142141990730536</v>
      </c>
      <c r="CO356" s="21">
        <f t="shared" si="663"/>
        <v>-41.240139170893706</v>
      </c>
      <c r="CP356" s="21">
        <f t="shared" si="663"/>
        <v>-46.581784911228354</v>
      </c>
      <c r="CQ356" s="21">
        <f t="shared" ca="1" si="663"/>
        <v>-73.870661688447441</v>
      </c>
      <c r="CR356" s="482">
        <f t="shared" ca="1" si="663"/>
        <v>-211.83472776130003</v>
      </c>
      <c r="CS356" s="21">
        <f t="shared" si="663"/>
        <v>-48.079060408925194</v>
      </c>
      <c r="CT356" s="21">
        <f t="shared" si="663"/>
        <v>-39.131514908213141</v>
      </c>
      <c r="CU356" s="21">
        <f t="shared" si="663"/>
        <v>-44.365609673647562</v>
      </c>
      <c r="CV356" s="21">
        <f t="shared" ca="1" si="663"/>
        <v>-71.916563066081949</v>
      </c>
      <c r="CW356" s="482">
        <f t="shared" ca="1" si="663"/>
        <v>-203.49274805686784</v>
      </c>
      <c r="CX356" s="21">
        <f t="shared" si="663"/>
        <v>-45.895964414726137</v>
      </c>
      <c r="CY356" s="21">
        <f t="shared" si="663"/>
        <v>-36.901711177296249</v>
      </c>
      <c r="CZ356" s="21">
        <f t="shared" si="663"/>
        <v>-42.023790547075613</v>
      </c>
      <c r="DA356" s="21">
        <f t="shared" ca="1" si="663"/>
        <v>-69.841815450188761</v>
      </c>
      <c r="DB356" s="482">
        <f t="shared" ca="1" si="663"/>
        <v>-194.66328158928675</v>
      </c>
      <c r="DC356" s="21">
        <f t="shared" si="663"/>
        <v>-43.58749562834609</v>
      </c>
      <c r="DD356" s="21">
        <f t="shared" si="663"/>
        <v>-34.545211387301919</v>
      </c>
      <c r="DE356" s="21">
        <f t="shared" si="663"/>
        <v>-39.550707882348782</v>
      </c>
      <c r="DF356" s="21">
        <f t="shared" ca="1" si="663"/>
        <v>-67.64102087945426</v>
      </c>
      <c r="DG356" s="482">
        <f t="shared" ca="1" si="663"/>
        <v>-185.32443577745104</v>
      </c>
    </row>
    <row r="357" spans="1:111" hidden="1" outlineLevel="1" x14ac:dyDescent="0.2">
      <c r="A357" s="653" t="s">
        <v>288</v>
      </c>
      <c r="AT357" s="482">
        <f t="shared" ref="AT357:BM357" si="664">AT242</f>
        <v>2943</v>
      </c>
      <c r="AU357" s="21">
        <f t="shared" si="664"/>
        <v>2932</v>
      </c>
      <c r="AV357" s="21">
        <f t="shared" si="664"/>
        <v>2881</v>
      </c>
      <c r="AW357" s="21">
        <f t="shared" si="664"/>
        <v>2777</v>
      </c>
      <c r="AX357" s="21">
        <f t="shared" si="664"/>
        <v>2708</v>
      </c>
      <c r="AY357" s="482">
        <f t="shared" si="664"/>
        <v>2708</v>
      </c>
      <c r="AZ357" s="21">
        <f t="shared" si="664"/>
        <v>2644</v>
      </c>
      <c r="BA357" s="21">
        <f t="shared" si="664"/>
        <v>2049</v>
      </c>
      <c r="BB357" s="21">
        <f t="shared" si="664"/>
        <v>2315</v>
      </c>
      <c r="BC357" s="21">
        <f t="shared" si="664"/>
        <v>2325</v>
      </c>
      <c r="BD357" s="482">
        <f t="shared" si="664"/>
        <v>2325</v>
      </c>
      <c r="BE357" s="21">
        <f t="shared" si="664"/>
        <v>2292</v>
      </c>
      <c r="BF357" s="21">
        <f t="shared" si="664"/>
        <v>2599</v>
      </c>
      <c r="BG357" s="21">
        <f t="shared" si="664"/>
        <v>2547</v>
      </c>
      <c r="BH357" s="21">
        <f t="shared" si="664"/>
        <v>2454</v>
      </c>
      <c r="BI357" s="482">
        <f t="shared" si="664"/>
        <v>2454</v>
      </c>
      <c r="BJ357" s="21">
        <f t="shared" si="664"/>
        <v>2354</v>
      </c>
      <c r="BK357" s="21">
        <f t="shared" si="664"/>
        <v>2229</v>
      </c>
      <c r="BL357" s="21">
        <f t="shared" si="664"/>
        <v>2138</v>
      </c>
      <c r="BM357" s="21">
        <f t="shared" si="664"/>
        <v>2073</v>
      </c>
      <c r="BN357" s="482">
        <f>BN242</f>
        <v>2073</v>
      </c>
      <c r="BO357" s="21">
        <f t="shared" ref="BO357:DG357" si="665">BO242</f>
        <v>2133</v>
      </c>
      <c r="BP357" s="21">
        <f t="shared" si="665"/>
        <v>2171</v>
      </c>
      <c r="BQ357" s="21">
        <f t="shared" si="665"/>
        <v>2200</v>
      </c>
      <c r="BR357" s="21">
        <f t="shared" si="665"/>
        <v>1984</v>
      </c>
      <c r="BS357" s="482">
        <f t="shared" si="665"/>
        <v>1984</v>
      </c>
      <c r="BT357" s="21">
        <f t="shared" si="665"/>
        <v>1869</v>
      </c>
      <c r="BU357" s="21">
        <f t="shared" si="665"/>
        <v>1853</v>
      </c>
      <c r="BV357" s="21">
        <f t="shared" si="665"/>
        <v>1788</v>
      </c>
      <c r="BW357" s="21">
        <f t="shared" si="665"/>
        <v>1809</v>
      </c>
      <c r="BX357" s="482">
        <f t="shared" si="665"/>
        <v>1809</v>
      </c>
      <c r="BY357" s="21">
        <f t="shared" si="665"/>
        <v>1844</v>
      </c>
      <c r="BZ357" s="21">
        <f t="shared" si="665"/>
        <v>1906</v>
      </c>
      <c r="CA357" s="21">
        <f t="shared" si="665"/>
        <v>1814</v>
      </c>
      <c r="CB357" s="21">
        <f t="shared" si="665"/>
        <v>1919</v>
      </c>
      <c r="CC357" s="482">
        <f t="shared" si="665"/>
        <v>1919</v>
      </c>
      <c r="CD357" s="21">
        <f t="shared" ca="1" si="665"/>
        <v>1999</v>
      </c>
      <c r="CE357" s="21">
        <f t="shared" ca="1" si="665"/>
        <v>2135</v>
      </c>
      <c r="CF357" s="21">
        <f t="shared" ca="1" si="665"/>
        <v>2009</v>
      </c>
      <c r="CG357" s="21">
        <f t="shared" ca="1" si="665"/>
        <v>1777</v>
      </c>
      <c r="CH357" s="482">
        <f t="shared" si="665"/>
        <v>1777</v>
      </c>
      <c r="CI357" s="21">
        <f t="shared" si="665"/>
        <v>1732</v>
      </c>
      <c r="CJ357" s="21">
        <f t="shared" si="665"/>
        <v>1794</v>
      </c>
      <c r="CK357" s="21">
        <f t="shared" ca="1" si="665"/>
        <v>1879.5615850109634</v>
      </c>
      <c r="CL357" s="21">
        <f t="shared" ca="1" si="665"/>
        <v>1875.9999905989634</v>
      </c>
      <c r="CM357" s="482">
        <f t="shared" ca="1" si="665"/>
        <v>1875.9999905989634</v>
      </c>
      <c r="CN357" s="21">
        <f t="shared" ca="1" si="665"/>
        <v>1807.7825505737073</v>
      </c>
      <c r="CO357" s="21">
        <f t="shared" ca="1" si="665"/>
        <v>2099.2101948632617</v>
      </c>
      <c r="CP357" s="21">
        <f t="shared" ca="1" si="665"/>
        <v>2131.325599537171</v>
      </c>
      <c r="CQ357" s="21">
        <f t="shared" ca="1" si="665"/>
        <v>2053.2767237840771</v>
      </c>
      <c r="CR357" s="482">
        <f t="shared" ca="1" si="665"/>
        <v>2053.2767237840771</v>
      </c>
      <c r="CS357" s="21">
        <f t="shared" ca="1" si="665"/>
        <v>1974.7054305650026</v>
      </c>
      <c r="CT357" s="21">
        <f t="shared" ca="1" si="665"/>
        <v>2273.9491824832485</v>
      </c>
      <c r="CU357" s="21">
        <f t="shared" ca="1" si="665"/>
        <v>2308.8058925745481</v>
      </c>
      <c r="CV357" s="21">
        <f t="shared" ca="1" si="665"/>
        <v>2231.5126009480882</v>
      </c>
      <c r="CW357" s="482">
        <f t="shared" ca="1" si="665"/>
        <v>2231.5126009480882</v>
      </c>
      <c r="CX357" s="21">
        <f t="shared" ca="1" si="665"/>
        <v>2163.8353612095607</v>
      </c>
      <c r="CY357" s="21">
        <f t="shared" ca="1" si="665"/>
        <v>2471.1181826956408</v>
      </c>
      <c r="CZ357" s="21">
        <f t="shared" ca="1" si="665"/>
        <v>2515.291517923115</v>
      </c>
      <c r="DA357" s="21">
        <f t="shared" ca="1" si="665"/>
        <v>2446.267727023519</v>
      </c>
      <c r="DB357" s="482">
        <f t="shared" ca="1" si="665"/>
        <v>2446.267727023519</v>
      </c>
      <c r="DC357" s="21">
        <f t="shared" ca="1" si="665"/>
        <v>2375.4656844865649</v>
      </c>
      <c r="DD357" s="21">
        <f t="shared" ca="1" si="665"/>
        <v>2692.6056569881011</v>
      </c>
      <c r="DE357" s="21">
        <f t="shared" ca="1" si="665"/>
        <v>2747.977202079197</v>
      </c>
      <c r="DF357" s="21">
        <f t="shared" ca="1" si="665"/>
        <v>2689.1439061335168</v>
      </c>
      <c r="DG357" s="482">
        <f t="shared" ca="1" si="665"/>
        <v>2689.1439061335168</v>
      </c>
    </row>
    <row r="358" spans="1:111" hidden="1" outlineLevel="1" x14ac:dyDescent="0.2">
      <c r="A358" s="653" t="s">
        <v>331</v>
      </c>
      <c r="AT358" s="482">
        <f t="shared" ref="AT358:BM358" si="666">AT120</f>
        <v>141.06299999999999</v>
      </c>
      <c r="AU358" s="21">
        <f t="shared" si="666"/>
        <v>140.86099999999999</v>
      </c>
      <c r="AV358" s="21">
        <f t="shared" si="666"/>
        <v>141.52799999999999</v>
      </c>
      <c r="AW358" s="21">
        <f t="shared" si="666"/>
        <v>142.01400000000001</v>
      </c>
      <c r="AX358" s="21">
        <f t="shared" si="666"/>
        <v>141.65100000000001</v>
      </c>
      <c r="AY358" s="482">
        <f t="shared" si="666"/>
        <v>141.51350000000002</v>
      </c>
      <c r="AZ358" s="21">
        <f t="shared" si="666"/>
        <v>140.93199999999999</v>
      </c>
      <c r="BA358" s="21">
        <f t="shared" si="666"/>
        <v>138.678</v>
      </c>
      <c r="BB358" s="21">
        <f t="shared" si="666"/>
        <v>137.68899999999999</v>
      </c>
      <c r="BC358" s="21">
        <f t="shared" si="666"/>
        <v>133.667</v>
      </c>
      <c r="BD358" s="482">
        <f t="shared" si="666"/>
        <v>137.7415</v>
      </c>
      <c r="BE358" s="21">
        <f t="shared" si="666"/>
        <v>133.61099999999999</v>
      </c>
      <c r="BF358" s="21">
        <f t="shared" si="666"/>
        <v>132.358</v>
      </c>
      <c r="BG358" s="21">
        <f t="shared" si="666"/>
        <v>131.607</v>
      </c>
      <c r="BH358" s="21">
        <f t="shared" si="666"/>
        <v>131.39500000000001</v>
      </c>
      <c r="BI358" s="482">
        <f t="shared" si="666"/>
        <v>132.24275</v>
      </c>
      <c r="BJ358" s="21">
        <f t="shared" si="666"/>
        <v>131.702</v>
      </c>
      <c r="BK358" s="21">
        <f t="shared" si="666"/>
        <v>132.44399999999999</v>
      </c>
      <c r="BL358" s="21">
        <f t="shared" si="666"/>
        <v>133.47499999999999</v>
      </c>
      <c r="BM358" s="21">
        <f t="shared" si="666"/>
        <v>133.61199999999999</v>
      </c>
      <c r="BN358" s="482">
        <f>BN120</f>
        <v>132.80824999999999</v>
      </c>
      <c r="BO358" s="21">
        <f t="shared" ref="BO358:DG358" si="667">BO120</f>
        <v>132.23699999999999</v>
      </c>
      <c r="BP358" s="21">
        <f t="shared" si="667"/>
        <v>132.27799999999999</v>
      </c>
      <c r="BQ358" s="21">
        <f t="shared" si="667"/>
        <v>131.55500000000001</v>
      </c>
      <c r="BR358" s="21">
        <f t="shared" si="667"/>
        <v>131.22499999999999</v>
      </c>
      <c r="BS358" s="482">
        <f t="shared" si="667"/>
        <v>131.82374999999999</v>
      </c>
      <c r="BT358" s="21">
        <f t="shared" si="667"/>
        <v>131.369</v>
      </c>
      <c r="BU358" s="21">
        <f t="shared" si="667"/>
        <v>132.81899999999999</v>
      </c>
      <c r="BV358" s="21">
        <f t="shared" si="667"/>
        <v>134.11500000000001</v>
      </c>
      <c r="BW358" s="21">
        <f t="shared" si="667"/>
        <v>131.614</v>
      </c>
      <c r="BX358" s="482">
        <f t="shared" si="667"/>
        <v>132.47925000000001</v>
      </c>
      <c r="BY358" s="21">
        <f t="shared" si="667"/>
        <v>131.22</v>
      </c>
      <c r="BZ358" s="21">
        <f t="shared" si="667"/>
        <v>131.54599999999999</v>
      </c>
      <c r="CA358" s="21">
        <f t="shared" si="667"/>
        <v>131.64699999999999</v>
      </c>
      <c r="CB358" s="21">
        <f t="shared" si="667"/>
        <v>131.51089999999999</v>
      </c>
      <c r="CC358" s="482">
        <f t="shared" si="667"/>
        <v>131.480975</v>
      </c>
      <c r="CD358" s="21">
        <f t="shared" si="667"/>
        <v>132.19300000000001</v>
      </c>
      <c r="CE358" s="21">
        <f t="shared" si="667"/>
        <v>130.77500000000001</v>
      </c>
      <c r="CF358" s="21">
        <f t="shared" si="667"/>
        <v>131.36199999999999</v>
      </c>
      <c r="CG358" s="21">
        <f t="shared" si="667"/>
        <v>131.91399999999999</v>
      </c>
      <c r="CH358" s="482">
        <f t="shared" si="667"/>
        <v>131.56100000000001</v>
      </c>
      <c r="CI358" s="21">
        <f t="shared" si="667"/>
        <v>131.50899999999999</v>
      </c>
      <c r="CJ358" s="21">
        <f t="shared" si="667"/>
        <v>131.655</v>
      </c>
      <c r="CK358" s="21">
        <f t="shared" si="667"/>
        <v>131.60811999999999</v>
      </c>
      <c r="CL358" s="21">
        <f t="shared" si="667"/>
        <v>130.88711999999998</v>
      </c>
      <c r="CM358" s="482">
        <f t="shared" si="667"/>
        <v>131.41480999999999</v>
      </c>
      <c r="CN358" s="21">
        <f t="shared" si="667"/>
        <v>129.73911999999999</v>
      </c>
      <c r="CO358" s="21">
        <f t="shared" si="667"/>
        <v>128.99511999999999</v>
      </c>
      <c r="CP358" s="21">
        <f t="shared" si="667"/>
        <v>128.75912</v>
      </c>
      <c r="CQ358" s="21">
        <f t="shared" si="667"/>
        <v>128.40011999999999</v>
      </c>
      <c r="CR358" s="482">
        <f t="shared" si="667"/>
        <v>128.97336999999999</v>
      </c>
      <c r="CS358" s="21">
        <f t="shared" si="667"/>
        <v>127.85012</v>
      </c>
      <c r="CT358" s="21">
        <f t="shared" si="667"/>
        <v>127.30011999999999</v>
      </c>
      <c r="CU358" s="21">
        <f t="shared" si="667"/>
        <v>126.75012000000001</v>
      </c>
      <c r="CV358" s="21">
        <f t="shared" si="667"/>
        <v>126.20012</v>
      </c>
      <c r="CW358" s="482">
        <f t="shared" si="667"/>
        <v>127.02511999999999</v>
      </c>
      <c r="CX358" s="21">
        <f t="shared" si="667"/>
        <v>125.65012000000002</v>
      </c>
      <c r="CY358" s="21">
        <f t="shared" si="667"/>
        <v>125.10012</v>
      </c>
      <c r="CZ358" s="21">
        <f t="shared" si="667"/>
        <v>124.55012000000002</v>
      </c>
      <c r="DA358" s="21">
        <f t="shared" si="667"/>
        <v>124.00012000000001</v>
      </c>
      <c r="DB358" s="482">
        <f t="shared" si="667"/>
        <v>124.82512000000003</v>
      </c>
      <c r="DC358" s="21">
        <f t="shared" si="667"/>
        <v>123.45012000000003</v>
      </c>
      <c r="DD358" s="21">
        <f t="shared" si="667"/>
        <v>122.90012000000002</v>
      </c>
      <c r="DE358" s="21">
        <f t="shared" si="667"/>
        <v>122.35012000000003</v>
      </c>
      <c r="DF358" s="21">
        <f t="shared" si="667"/>
        <v>121.80012000000002</v>
      </c>
      <c r="DG358" s="482">
        <f t="shared" si="667"/>
        <v>122.62512000000001</v>
      </c>
    </row>
    <row r="359" spans="1:111" hidden="1" outlineLevel="1" x14ac:dyDescent="0.2">
      <c r="A359" s="654" t="s">
        <v>358</v>
      </c>
      <c r="AT359" s="482">
        <f>SUM(AO131:AO132)</f>
        <v>214</v>
      </c>
      <c r="AU359" s="21"/>
      <c r="AV359" s="21"/>
      <c r="AW359" s="21"/>
      <c r="AX359" s="21"/>
      <c r="AY359" s="482">
        <f>SUM(AT131:AT132)</f>
        <v>206</v>
      </c>
      <c r="AZ359" s="21"/>
      <c r="BA359" s="21"/>
      <c r="BB359" s="21"/>
      <c r="BC359" s="21"/>
      <c r="BD359" s="482">
        <f>SUM(AY131:AY132)</f>
        <v>87</v>
      </c>
      <c r="BE359" s="21"/>
      <c r="BF359" s="21"/>
      <c r="BG359" s="21"/>
      <c r="BH359" s="21"/>
      <c r="BI359" s="482">
        <f>SUM(BD131:BD132)</f>
        <v>259</v>
      </c>
      <c r="BJ359" s="21"/>
      <c r="BK359" s="21"/>
      <c r="BL359" s="21"/>
      <c r="BM359" s="21"/>
      <c r="BN359" s="482">
        <f>SUM(BI131:BI132)</f>
        <v>267</v>
      </c>
      <c r="BO359" s="21"/>
      <c r="BP359" s="21"/>
      <c r="BQ359" s="21"/>
      <c r="BR359" s="21"/>
      <c r="BS359" s="482">
        <f>SUM(BN131:BN132)</f>
        <v>299</v>
      </c>
      <c r="BT359" s="21"/>
      <c r="BU359" s="21"/>
      <c r="BV359" s="21"/>
      <c r="BW359" s="21"/>
      <c r="BX359" s="482">
        <f>SUM(BS131:BS132)</f>
        <v>329</v>
      </c>
      <c r="BY359" s="21"/>
      <c r="BZ359" s="21"/>
      <c r="CA359" s="21"/>
      <c r="CB359" s="21"/>
      <c r="CC359" s="482">
        <f>SUM(BX131:BX132)</f>
        <v>382</v>
      </c>
      <c r="CD359" s="21"/>
      <c r="CE359" s="21"/>
      <c r="CF359" s="21"/>
      <c r="CG359" s="21"/>
      <c r="CH359" s="482">
        <f>SUM(CC131:CC132)</f>
        <v>401</v>
      </c>
      <c r="CI359" s="21"/>
      <c r="CJ359" s="21"/>
      <c r="CK359" s="21"/>
      <c r="CL359" s="21"/>
      <c r="CM359" s="482">
        <f>SUM(CH131:CH132)</f>
        <v>418</v>
      </c>
      <c r="CN359" s="21"/>
      <c r="CO359" s="21"/>
      <c r="CP359" s="21"/>
      <c r="CQ359" s="21"/>
      <c r="CR359" s="482">
        <f ca="1">SUM(CM131:CM132)</f>
        <v>489</v>
      </c>
      <c r="CS359" s="21"/>
      <c r="CT359" s="21"/>
      <c r="CU359" s="21"/>
      <c r="CV359" s="21"/>
      <c r="CW359" s="482">
        <f ca="1">SUM(CR131:CR132)</f>
        <v>489</v>
      </c>
      <c r="CX359" s="21"/>
      <c r="CY359" s="21"/>
      <c r="CZ359" s="21"/>
      <c r="DA359" s="21"/>
      <c r="DB359" s="482">
        <f ca="1">SUM(CW131:CW132)</f>
        <v>489</v>
      </c>
      <c r="DC359" s="21"/>
      <c r="DD359" s="21"/>
      <c r="DE359" s="21"/>
      <c r="DF359" s="21"/>
      <c r="DG359" s="482">
        <f ca="1">SUM(DB131:DB132)</f>
        <v>489</v>
      </c>
    </row>
    <row r="360" spans="1:111" hidden="1" outlineLevel="1" x14ac:dyDescent="0.2"/>
    <row r="361" spans="1:111" collapsed="1" x14ac:dyDescent="0.2"/>
  </sheetData>
  <phoneticPr fontId="2" type="noConversion"/>
  <conditionalFormatting sqref="AO167 AT167 AJ167:AK167 AE167:AH167 B167:D167 F167:I167 K167:N167 P167:S167 U167:X167 Z167:AC167">
    <cfRule type="cellIs" dxfId="3" priority="1" stopIfTrue="1" operator="notBetween">
      <formula>0.05</formula>
      <formula>-0.05</formula>
    </cfRule>
  </conditionalFormatting>
  <pageMargins left="0.23" right="0.17" top="0.28999999999999998" bottom="0.33" header="0.18" footer="0.18"/>
  <pageSetup scale="78" pageOrder="overThenDown" orientation="landscape" r:id="rId1"/>
  <headerFooter alignWithMargins="0"/>
  <rowBreaks count="4" manualBreakCount="4">
    <brk id="126" max="87" man="1"/>
    <brk id="166" max="87" man="1"/>
    <brk id="201" max="60" man="1"/>
    <brk id="247" max="60" man="1"/>
  </rowBreaks>
  <ignoredErrors>
    <ignoredError sqref="Z84 H223:J223 L223:O223 Q223:T223 V223:Y223 AA223:AD223 AF223:AI223 AP223:AS223 G237:AN237 AP237:AQ237 AX223 U194:AE196 AP217:AS221 AP224:AS224 AF217:AI221 AF224:AI224 AA217:AD221 AA224:AD224 V217:Y221 V224:Y224 Q217:T221 Q224:T224 L217:O221 L224:O224 H217:J221 H224:J224 H214:J215 H222:J222 L214:O215 L222:O222 Q214:T215 Q222:T222 V214:Y215 V222:Y222 AA214:AD215 AA222:AD222 AF214:AI215 AF222:AI222 AP214:AS215 AP222:AS222 AP213:AS213 AF213:AI213 AA213:AD213 V213:Y213 Q213:T213 L213:O213 H213:J213 H225:J228 L225:O228 Q225:T228 V225:Y228 AA225:AD228 AF225:AI228 AP225:AS228 AP216:AS216 AF216:AI216 AA216:AD216 V216:Y216 Q216:T216 L216:O216 H216:J216 AX214:AX215 AW214:AW224 AX217:AX221 AR237:BA237 BC237:BG237" formulaRange="1"/>
    <ignoredError sqref="Z5" numberStoredAsText="1"/>
    <ignoredError sqref="Z103:Z107 AO103:AO108 AT106:AT107 AT103 AX124 AT88 AO173:AO180 CR213:CR220 AW174:AW180 BQ192:BQ193 AY132:AY141 BP224 AY145:AY160 BK137:BK138 BC73 AZ155:AZ158 AZ192:AZ193 AY124:AY125 CN219:CQ220 CW22:CW23 AX12 AT73:AT74 BD27 BS198 AY113:AY120 BD17 BH39:BH42 BR39:BR42 CQ11:CV12 CE155:CE157 BQ151 BS145 BL136:BL138 AY77 BR136 CF148:CF151 BT150:BU151 BZ151:CA151 BY151 CJ150:CK151 CI148 CN147:CQ151 CR146:CR161 CS147:CV151 AY101:AY108 BJ23:BL23 BB296:BC296 AY22:AY23 AZ23:BC23 BD22:BD23 BE23:BH23 BI22:BI23 BJ17:BL17 BS199 BO23:BR23 BS22:BS23 BT23:BW23 BY23:CB23 CC22:CC23 CD23:CG23 CH22:CH23 CI23:CL23 CM22:CM23 CN23:CQ23 CR22:CR23 CS23:CV23 AK296:AN296 AP296:AT296 K296:AI296 AV225:AV228 CM213:CM220 BD102:BD108 BA150:BA151 BL193 AU213:AU228 BD66 AT173:AV180 AX174:AX180 AY198:BD198 BG174:BG180 BE198:BH198 BA191:BA195 AU296:AX296 BD213:BD228 BA224 CK117:CV117 BG136:BG138 BD192:BD196 BG150:BG151 BC174:BC180 BD117:BD120 AY173:AY180 BH122 BK74 AY213:AY228 BA170 AZ94 BE174:BE180 BI213:BI228 BQ131 BP213 BT213:BW213 BY213:CB213 CJ213:CL213 CN213:CQ213 BG195 CL147:CL161 CS213:CV213 BE73:BH74 BL174:BL180 BI174:BI180 BJ74 BG76 CR73:CR74 CS73:CV74 CM73:CM74 CN73:CQ74 CH73 CI73:CL74 CC73 CD73:CG73 BT73:BV73 BY73:CA73 BX73 BF103:BH104 BH106:BH107 BN103:BN108 BJ103:BM104 BO106:BR108 BS103:BS108 BO103:BR104 BT106:BW106 CC108 BY106:CB108 CC122 CD106:CG108 CH103:CH108 CD103:CG104 CI106:CL108 CM103:CM108 CI103:CL104 CN106:CQ108 CR103:CR108 CN103:CQ104 CS106:CV108 AY95 CS103:CV104 AX44 CP145:CR145 AZ150:AZ151 AZ224 AZ140 BL106:BL107 BE140 BL155:BL157 BK213 BC192:BC195 BH216 CS219:CV220 BJ193 BN213:BN220 BR216 BS213:BS220 BX213:BX220 CB220 CC213 CH213:CH220 CK220:CL220 AZ296 BA137:BA138 K173:K180 P173:P180 U173:AE180 AJ173:AJ180 BJ174 BB137:BB138 BK155:BK157 AJ198:AO198 U192 AG201 K198:P198 AJ199:AO199 BE199:BH199 AY199:BD199 U262:AE262 P262:T262 AF262:AJ262 AO79:AT79 BB73:BB74 BW77 CK76:CL76 CN76:CQ77 CM76 CS76:CV77 CR76 BC219 BA174:BA177 BI146:BI161 AT66 AT198:AT199 AT50:AT52 BH192:BH193 BC12 AY65 AT67:AT71 AX39:AX42 BA76 BE117 BF150 BE195:BE196 BF122 BG122 BG192:BG193 AY33:BH34 BK174:BK180 AY262 BD173:BD180 AZ213 BC224 BA213 BH224 BE150:BE151 BC213 BA188 AZ222 BA216 BA222 BH222 BE122 BC222 AZ73:AZ74 BE136:BE138 BB174 BF136:BF138 BH136:BH138 BJ136:BJ138 BD170 AZ137:AZ138 AY184 AY172 AY188:AY196 BB155:BB157 AZ196 BB150:BB151 BA155:BA157 BA179:BA180 AZ174:AZ180 BF155:BF157 BO155:BO157 BO137:BO138 BP137:BP138 BS146:BS161 BX146:BX148 CB151 CC146:CC161 CG148 CH146:CH161 CM146:CM161 BC136:BC138 BD146:BD161 BC155:BC157 BB192:BB195 BF174:BF180 BH155:BH157 BG155:BG157 BE189:BE190 BH213 BF195:BF196 BH174:BH180 BE192:BE193 BF192:BF193 BC150:BC151 BD184 BD131:BD141 BF106:BF107 BD145 BE155:BE157 BF76 BH44 BD124:BD125 BD172 BF117 BG189:BG190 BI103:BI107 BG125 BI124 BH195:BH196 BK125 BO174:BO180 BM193 BG106:BG107 BJ106:BJ107 BK106:BK107 BM106:BM107 BL189 BH150:BH151 BJ150:BJ151 BF189:BF190 BI117:BI118 BI120 BI131:BI141 BJ155:BJ157 BI145 BI172 BM174 BL216 BI188:BI196 BL224 BK195 BK189:BK190 BL150:BL151 BK150:BK151 BJ296:BM296 BR224 BL42 BO33:BW33 BO150:BO151 BC188 BO195:BO196 BP155:BP157 BL195 BL213 BL222 BR74 BO199 BR12 BJ33:BL34 BL74 BE296:BH296 BN174 BK193 BN193 BN195 BI198:BL198 BJ195 BI199:BK199 BP174:BP180 BO192:BO193 BN222:BN226 BN228 BQ178:BQ180 BP131 BP150:BP151 BR17 BP192:BP193 BS228 BN120 BR174:BV174 BQ174:BQ176 BQ138 BQ224 BR150:BR151 BQ216 BY122:CB122 CD122:CV122 CC103:CC106 BQ136 BS131 BQ155:BQ157 BO198 BQ213 BR213 BP222 BQ222 BS222:CC222 BR222 CK11:CL11 BR44 BS120 BR155:BR157 CC172 BR193 BR138 CK194:CV194 BT193:CB193 BT195:CA195 BR179 BR178 BR177 BR176 BT108:BW108 BU107:BW107 BU17:BV17 BU74:BW74 BS138:CV138 BS132 CC132 BS133 BS134 BS135 BS141 BS139 BX139 BS140 BX140 BX141 BX145 BT156:BU157 BV198:CA198 BV199:BZ199 CD196 BV155:BV157 BW155:BW157 BT155 BV175:BW175 BV176:CA176 BW177:CA177 BW178:BX178 BV179:CA179 BW180 BX189 BX192:CA192 BV150:BV151 BW150:BW151 BX150:BX161 BY131:CB131 CC133 CC134 CC135 BS136:BT136 BY136:CH136 BV136:BW136 BS137:BT137 BV137:BX137 CK173:CR173 BT216:BV216 BS224:CB224 BS223 BX223 BO296:CB296 BS226 BS225 BX225 BX228 BX226 BZ180:CB180 CD175 BZ175:CA175 BY216:CB216 BZ178:CA178 CH223 BY33:CH34 CH27 BP34:BW34 CC139 CC140 CC141 CC145 BY155:BY157 CB219 CB226:CC226 CB228:CC228 BZ155:CA157 BZ189 CF17 CG12 CC137:CV137 CB155:CB157 BX174:CA174 CC174:CR174 CD176 CD177 CF178:CH178 CD179 CD199 CD198 CK189:CV189 CD192:CV192 CD193:CV193 CD195:CV195 CC218 CH224 CH225 CF74:CG74 CK190:CV190 CD155:CD157 CH228 CG77 CK118:CV118 CK120:CV120 CH132 CH133 CH134 CH135 CH139 CH140:CI140 CH141 CH145 CD150:CD151 CI196:CV196 CH125 CE149:CE151 CF175:CH175 CF176:CH176 CF177:CH177 CF179:CH179 CF180:CH180 CK191:CV191 CD296:CV296 CF198:CV198 CF199:CV199 CG196 CH17:CW17 CF155:CF157 CG150:CG151 CG155:CG157 CK12:CL12 CK184:CV184 CK172:CR172 CH222 CH226 CL124:CV124 CJ33:CV34 CK27:CW27 CD131:CG131 CK131:CV131 CK132:CV132 CK133:CV133 CK134:CV134 CK135:CV135 CK136:CV136 CK139:CV139 CK140:CV140 CK141:CV141 CK145:CN145 CI150:CI151 CI155:CI157 CI158:CI163 CK188:CV188 CL77 CJ216:CL216 CN216:CQ217 CK175:CR175 CK176:CR176 CK177:CR177 CK178:CR178 CK179:CR179 CK180:CR180 CK125:CV125 CM223:CV223 CJ224:CV224 CK225:CV225 CK228:CV228 CJ222:CV222 CK226:CV226 CK147 CK148 CK149 CJ155:CK157 CK153 CK154 CK161 CK158 CK159 CK160 CK219:CL219 CS216:CV217 AT54:AT65 CN153:CQ161 CN152 CQ152 CS153:CV161 CS152 CV152" formula="1"/>
    <ignoredError sqref="K224 P224 U224 Z224 AE224 AJ224:AO224 AT224 U198:AE199 AT213 AT225:AT228 AJ213:AO213 AJ225:AO228 AE213 AE225:AE228 Z213 Z225:Z228 U213 U225:U228 P213 P225:P228 K213 K225:K228 K216 P216 U216 Z216 AE216 AJ216:AO216 AT216 AT214:AT215 AT222 AJ214:AO215 AJ222:AO222 AE214:AE215 AE222 Z214:Z215 Z222 U214:U215 U222 P214:P215 P222 K214:K215 K222 K217:K221 K223 P217:P221 P223 U217:U221 U223 Z217:Z221 Z223 AE217:AE221 AE223 AJ217:AO221 AJ223:AO223 AT217:AT221 AT223 AX222 AX216 AW213:AX213 AV213:AV224 AX224" formula="1" formulaRange="1"/>
  </ignoredErrors>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DI306"/>
  <sheetViews>
    <sheetView showGridLines="0" zoomScale="85" zoomScaleNormal="85" workbookViewId="0">
      <pane xSplit="1" ySplit="3" topLeftCell="B4" activePane="bottomRight" state="frozen"/>
      <selection activeCell="BT32" sqref="BT32"/>
      <selection pane="topRight" activeCell="BM212" sqref="BM212"/>
      <selection pane="bottomLeft" activeCell="BM212" sqref="BM212"/>
      <selection pane="bottomRight" activeCell="B4" sqref="B4"/>
    </sheetView>
  </sheetViews>
  <sheetFormatPr defaultRowHeight="12.75" outlineLevelRow="2" outlineLevelCol="2" x14ac:dyDescent="0.2"/>
  <cols>
    <col min="1" max="1" width="47.6640625" customWidth="1"/>
    <col min="2" max="2" width="9.6640625" customWidth="1"/>
    <col min="3" max="6" width="9.6640625" hidden="1" customWidth="1" outlineLevel="1"/>
    <col min="7" max="7" width="9.6640625" hidden="1" customWidth="1" collapsed="1"/>
    <col min="8" max="11" width="9.6640625" hidden="1" customWidth="1" outlineLevel="1"/>
    <col min="12" max="12" width="9.6640625" hidden="1" customWidth="1" collapsed="1"/>
    <col min="13" max="16" width="9.6640625" hidden="1" customWidth="1" outlineLevel="1"/>
    <col min="17" max="17" width="9.6640625" hidden="1" customWidth="1" collapsed="1"/>
    <col min="18" max="21" width="9.6640625" hidden="1" customWidth="1" outlineLevel="1"/>
    <col min="22" max="22" width="9.6640625" hidden="1" customWidth="1" collapsed="1"/>
    <col min="23" max="26" width="9.6640625" hidden="1" customWidth="1" outlineLevel="1"/>
    <col min="27" max="27" width="9.6640625" hidden="1" customWidth="1" collapsed="1"/>
    <col min="28" max="31" width="9.6640625" hidden="1" customWidth="1" outlineLevel="1"/>
    <col min="32" max="32" width="9.6640625" hidden="1" customWidth="1" collapsed="1"/>
    <col min="33" max="36" width="9.6640625" hidden="1" customWidth="1" outlineLevel="1"/>
    <col min="37" max="37" width="10.33203125" hidden="1" customWidth="1" collapsed="1"/>
    <col min="38" max="41" width="9.6640625" hidden="1" customWidth="1" outlineLevel="1"/>
    <col min="42" max="42" width="10.33203125" hidden="1" customWidth="1" collapsed="1"/>
    <col min="43" max="46" width="9.6640625" hidden="1" customWidth="1" outlineLevel="1"/>
    <col min="47" max="47" width="10.33203125" hidden="1" customWidth="1" collapsed="1"/>
    <col min="48" max="51" width="9.6640625" hidden="1" customWidth="1" outlineLevel="1"/>
    <col min="52" max="52" width="10.33203125" hidden="1" customWidth="1" collapsed="1"/>
    <col min="53" max="56" width="9.6640625" hidden="1" customWidth="1" outlineLevel="1"/>
    <col min="57" max="57" width="9.6640625" customWidth="1" collapsed="1"/>
    <col min="58" max="61" width="9.6640625" hidden="1" customWidth="1" outlineLevel="1"/>
    <col min="62" max="62" width="9.6640625" customWidth="1" collapsed="1"/>
    <col min="63" max="66" width="9.6640625" hidden="1" customWidth="1" outlineLevel="1"/>
    <col min="67" max="67" width="9.6640625" customWidth="1" collapsed="1"/>
    <col min="68" max="71" width="9.6640625" hidden="1" customWidth="1" outlineLevel="1"/>
    <col min="72" max="72" width="10.5" customWidth="1" collapsed="1"/>
    <col min="73" max="76" width="9.6640625" hidden="1" customWidth="1" outlineLevel="1"/>
    <col min="77" max="77" width="9.6640625" customWidth="1" collapsed="1"/>
    <col min="78" max="81" width="9.6640625" hidden="1" customWidth="1" outlineLevel="1"/>
    <col min="82" max="82" width="9.6640625" customWidth="1" collapsed="1"/>
    <col min="83" max="86" width="9.6640625" customWidth="1" outlineLevel="1"/>
    <col min="87" max="87" width="9.6640625" customWidth="1"/>
    <col min="88" max="91" width="9.6640625" customWidth="1" outlineLevel="1"/>
    <col min="92" max="92" width="9.6640625" customWidth="1"/>
    <col min="93" max="96" width="9.6640625" hidden="1" customWidth="1" outlineLevel="1"/>
    <col min="97" max="97" width="9.6640625" customWidth="1" collapsed="1"/>
    <col min="98" max="101" width="9.6640625" hidden="1" customWidth="1" outlineLevel="2"/>
    <col min="102" max="102" width="9.6640625" hidden="1" customWidth="1" outlineLevel="1" collapsed="1"/>
    <col min="103" max="106" width="9.6640625" hidden="1" customWidth="1" outlineLevel="2"/>
    <col min="107" max="107" width="9.6640625" hidden="1" customWidth="1" outlineLevel="1" collapsed="1"/>
    <col min="108" max="111" width="9.6640625" hidden="1" customWidth="1" outlineLevel="2"/>
    <col min="112" max="112" width="9.6640625" hidden="1" customWidth="1" outlineLevel="1" collapsed="1"/>
    <col min="113" max="113" width="9.33203125" collapsed="1"/>
  </cols>
  <sheetData>
    <row r="1" spans="1:112" x14ac:dyDescent="0.2">
      <c r="A1" s="492" t="s">
        <v>109</v>
      </c>
      <c r="B1" s="19"/>
      <c r="C1" s="19"/>
      <c r="D1" s="19"/>
      <c r="E1" s="19"/>
      <c r="F1" s="19"/>
      <c r="G1" s="19"/>
      <c r="H1" s="887"/>
      <c r="I1" s="887"/>
      <c r="J1" s="887"/>
      <c r="K1" s="887"/>
      <c r="L1" s="887"/>
      <c r="M1" s="887"/>
      <c r="N1" s="887"/>
      <c r="O1" s="887"/>
      <c r="P1" s="887"/>
      <c r="Q1" s="887"/>
      <c r="R1" s="323"/>
      <c r="S1" s="19"/>
      <c r="T1" s="20"/>
      <c r="U1" s="96"/>
      <c r="V1" s="21"/>
      <c r="W1" s="21"/>
      <c r="X1" s="20"/>
      <c r="Y1" s="19"/>
      <c r="Z1" s="19"/>
      <c r="AA1" s="43"/>
      <c r="AB1" s="20"/>
      <c r="AC1" s="19"/>
      <c r="AD1" s="19"/>
      <c r="AE1" s="45"/>
      <c r="AF1" s="174"/>
      <c r="AG1" s="45"/>
      <c r="AH1" s="322"/>
      <c r="AI1" s="30"/>
      <c r="AJ1" s="19"/>
      <c r="AK1" s="30"/>
      <c r="AL1" s="19"/>
      <c r="AM1" s="30"/>
      <c r="AN1" s="30"/>
      <c r="AO1" s="19"/>
      <c r="AP1" s="30"/>
      <c r="AQ1" s="19"/>
      <c r="AR1" s="97"/>
      <c r="AS1" s="30"/>
      <c r="AT1" s="19"/>
      <c r="AU1" s="43"/>
      <c r="AV1" s="349"/>
      <c r="AW1" s="349"/>
      <c r="AX1" s="349"/>
      <c r="AY1" s="349"/>
      <c r="AZ1" s="349"/>
      <c r="BA1" s="349"/>
      <c r="BB1" s="349"/>
      <c r="BC1" s="349"/>
      <c r="BD1" s="349"/>
      <c r="BE1" s="85"/>
      <c r="BF1" s="349"/>
      <c r="BG1" s="349"/>
      <c r="BH1" s="349"/>
      <c r="BI1" s="349"/>
      <c r="BJ1" s="85"/>
      <c r="BK1" s="349"/>
      <c r="BL1" s="349"/>
      <c r="BM1" s="349"/>
      <c r="BN1" s="349"/>
      <c r="BO1" s="85"/>
      <c r="BP1" s="349"/>
      <c r="BQ1" s="349"/>
      <c r="BR1" s="349"/>
      <c r="BS1" s="349"/>
      <c r="BT1" s="85"/>
      <c r="BU1" s="349"/>
      <c r="BV1" s="349"/>
      <c r="BW1" s="349"/>
      <c r="BX1" s="349"/>
      <c r="BY1" s="349"/>
      <c r="BZ1" s="349"/>
      <c r="CA1" s="349"/>
      <c r="CB1" s="349"/>
      <c r="CC1" s="349"/>
      <c r="CD1" s="349"/>
      <c r="CE1" s="349"/>
      <c r="CF1" s="349"/>
      <c r="CG1" s="349"/>
      <c r="CH1" s="349"/>
      <c r="CI1" s="349"/>
      <c r="CJ1" s="43"/>
      <c r="CK1" s="349"/>
      <c r="CL1" s="349"/>
      <c r="CM1" s="349"/>
      <c r="CN1" s="349"/>
      <c r="CO1" s="349"/>
      <c r="CP1" s="349"/>
      <c r="CQ1" s="349"/>
      <c r="CR1" s="349"/>
      <c r="CS1" s="349"/>
      <c r="CT1" s="349"/>
      <c r="CU1" s="349"/>
      <c r="CV1" s="349"/>
      <c r="CW1" s="349"/>
      <c r="CX1" s="349"/>
      <c r="CY1" s="349"/>
      <c r="CZ1" s="349"/>
      <c r="DA1" s="349"/>
      <c r="DB1" s="349"/>
      <c r="DC1" s="349"/>
      <c r="DD1" s="349"/>
      <c r="DE1" s="349"/>
      <c r="DF1" s="349"/>
      <c r="DG1" s="349"/>
      <c r="DH1" s="349"/>
    </row>
    <row r="2" spans="1:112" x14ac:dyDescent="0.2">
      <c r="A2" s="362" t="s">
        <v>82</v>
      </c>
      <c r="B2" s="155"/>
      <c r="C2" s="156">
        <f>G3</f>
        <v>2001</v>
      </c>
      <c r="D2" s="156"/>
      <c r="E2" s="156"/>
      <c r="F2" s="156"/>
      <c r="G2" s="274"/>
      <c r="H2" s="156">
        <f>L3</f>
        <v>2002</v>
      </c>
      <c r="I2" s="156"/>
      <c r="J2" s="156"/>
      <c r="K2" s="156"/>
      <c r="L2" s="274"/>
      <c r="M2" s="156">
        <v>2003</v>
      </c>
      <c r="N2" s="156"/>
      <c r="O2" s="156"/>
      <c r="P2" s="156"/>
      <c r="Q2" s="274"/>
      <c r="R2" s="156">
        <v>2004</v>
      </c>
      <c r="S2" s="156"/>
      <c r="T2" s="156"/>
      <c r="U2" s="156"/>
      <c r="V2" s="274"/>
      <c r="W2" s="156" t="str">
        <f>AA3</f>
        <v>2005</v>
      </c>
      <c r="X2" s="156"/>
      <c r="Y2" s="156"/>
      <c r="Z2" s="156"/>
      <c r="AA2" s="274"/>
      <c r="AB2" s="156">
        <f>AF3</f>
        <v>2006</v>
      </c>
      <c r="AC2" s="156"/>
      <c r="AD2" s="156"/>
      <c r="AE2" s="156"/>
      <c r="AF2" s="274"/>
      <c r="AG2" s="156">
        <f>AK3</f>
        <v>2007</v>
      </c>
      <c r="AH2" s="156"/>
      <c r="AI2" s="156"/>
      <c r="AJ2" s="156"/>
      <c r="AK2" s="274"/>
      <c r="AL2" s="156">
        <f>AP3</f>
        <v>2008</v>
      </c>
      <c r="AM2" s="156"/>
      <c r="AN2" s="156"/>
      <c r="AO2" s="156"/>
      <c r="AP2" s="274"/>
      <c r="AQ2" s="156">
        <f>AU3</f>
        <v>2009</v>
      </c>
      <c r="AR2" s="156"/>
      <c r="AS2" s="156"/>
      <c r="AT2" s="156"/>
      <c r="AU2" s="274"/>
      <c r="AV2" s="156">
        <f>AZ3</f>
        <v>2010</v>
      </c>
      <c r="AW2" s="156"/>
      <c r="AX2" s="156"/>
      <c r="AY2" s="156"/>
      <c r="AZ2" s="274"/>
      <c r="BA2" s="156">
        <f>BE3</f>
        <v>2011</v>
      </c>
      <c r="BB2" s="156"/>
      <c r="BC2" s="156"/>
      <c r="BD2" s="156"/>
      <c r="BE2" s="274"/>
      <c r="BF2" s="156">
        <f>BJ3</f>
        <v>2012</v>
      </c>
      <c r="BG2" s="156"/>
      <c r="BH2" s="156"/>
      <c r="BI2" s="156"/>
      <c r="BJ2" s="274"/>
      <c r="BK2" s="156">
        <f>BO3</f>
        <v>2013</v>
      </c>
      <c r="BL2" s="156"/>
      <c r="BM2" s="156"/>
      <c r="BN2" s="156"/>
      <c r="BO2" s="274"/>
      <c r="BP2" s="156">
        <f>BT3</f>
        <v>2014</v>
      </c>
      <c r="BQ2" s="156"/>
      <c r="BR2" s="156"/>
      <c r="BS2" s="156"/>
      <c r="BT2" s="274"/>
      <c r="BU2" s="156">
        <f>BY3</f>
        <v>2015</v>
      </c>
      <c r="BV2" s="156"/>
      <c r="BW2" s="156"/>
      <c r="BX2" s="156"/>
      <c r="BY2" s="274"/>
      <c r="BZ2" s="156">
        <f>CD3</f>
        <v>2016</v>
      </c>
      <c r="CA2" s="156"/>
      <c r="CB2" s="156"/>
      <c r="CC2" s="156"/>
      <c r="CD2" s="274"/>
      <c r="CE2" s="156">
        <f>CI3</f>
        <v>2017</v>
      </c>
      <c r="CF2" s="156"/>
      <c r="CG2" s="156"/>
      <c r="CH2" s="156"/>
      <c r="CI2" s="274"/>
      <c r="CJ2" s="156" t="str">
        <f>CN3</f>
        <v>2018e</v>
      </c>
      <c r="CK2" s="156"/>
      <c r="CL2" s="156"/>
      <c r="CM2" s="156"/>
      <c r="CN2" s="274"/>
      <c r="CO2" s="156" t="str">
        <f>CS3</f>
        <v>2019e</v>
      </c>
      <c r="CP2" s="156"/>
      <c r="CQ2" s="156"/>
      <c r="CR2" s="156"/>
      <c r="CS2" s="274"/>
      <c r="CT2" s="156" t="str">
        <f>CX3</f>
        <v>2020e</v>
      </c>
      <c r="CU2" s="156"/>
      <c r="CV2" s="156"/>
      <c r="CW2" s="156"/>
      <c r="CX2" s="274"/>
      <c r="CY2" s="156" t="str">
        <f>DC3</f>
        <v>2021e</v>
      </c>
      <c r="CZ2" s="156"/>
      <c r="DA2" s="156"/>
      <c r="DB2" s="156"/>
      <c r="DC2" s="274"/>
      <c r="DD2" s="156" t="str">
        <f>DH3</f>
        <v>2022e</v>
      </c>
      <c r="DE2" s="156"/>
      <c r="DF2" s="156"/>
      <c r="DG2" s="156"/>
      <c r="DH2" s="274"/>
    </row>
    <row r="3" spans="1:112" x14ac:dyDescent="0.2">
      <c r="A3" s="363" t="s">
        <v>83</v>
      </c>
      <c r="B3" s="180"/>
      <c r="C3" s="181">
        <v>36799</v>
      </c>
      <c r="D3" s="181">
        <v>36891</v>
      </c>
      <c r="E3" s="181">
        <v>36981</v>
      </c>
      <c r="F3" s="181">
        <v>37072</v>
      </c>
      <c r="G3" s="275">
        <v>2001</v>
      </c>
      <c r="H3" s="181">
        <v>37164</v>
      </c>
      <c r="I3" s="181">
        <v>37256</v>
      </c>
      <c r="J3" s="181">
        <v>37346</v>
      </c>
      <c r="K3" s="181">
        <v>37437</v>
      </c>
      <c r="L3" s="275">
        <v>2002</v>
      </c>
      <c r="M3" s="181">
        <v>37529</v>
      </c>
      <c r="N3" s="181">
        <v>37621</v>
      </c>
      <c r="O3" s="181">
        <v>37711</v>
      </c>
      <c r="P3" s="181">
        <v>37802</v>
      </c>
      <c r="Q3" s="275">
        <v>2003</v>
      </c>
      <c r="R3" s="181">
        <v>37894</v>
      </c>
      <c r="S3" s="181">
        <v>37986</v>
      </c>
      <c r="T3" s="181">
        <v>38077</v>
      </c>
      <c r="U3" s="181">
        <v>38168</v>
      </c>
      <c r="V3" s="275">
        <v>2004</v>
      </c>
      <c r="W3" s="181" t="s">
        <v>1</v>
      </c>
      <c r="X3" s="181" t="s">
        <v>2</v>
      </c>
      <c r="Y3" s="181" t="s">
        <v>3</v>
      </c>
      <c r="Z3" s="181" t="s">
        <v>4</v>
      </c>
      <c r="AA3" s="275" t="s">
        <v>5</v>
      </c>
      <c r="AB3" s="181" t="s">
        <v>6</v>
      </c>
      <c r="AC3" s="181" t="s">
        <v>7</v>
      </c>
      <c r="AD3" s="181" t="s">
        <v>8</v>
      </c>
      <c r="AE3" s="181" t="s">
        <v>9</v>
      </c>
      <c r="AF3" s="275">
        <v>2006</v>
      </c>
      <c r="AG3" s="181" t="s">
        <v>10</v>
      </c>
      <c r="AH3" s="181" t="s">
        <v>11</v>
      </c>
      <c r="AI3" s="181" t="s">
        <v>12</v>
      </c>
      <c r="AJ3" s="181" t="s">
        <v>13</v>
      </c>
      <c r="AK3" s="275">
        <v>2007</v>
      </c>
      <c r="AL3" s="181" t="str">
        <f>Financials!AK5</f>
        <v>Sep-07</v>
      </c>
      <c r="AM3" s="181" t="str">
        <f>Financials!AL5</f>
        <v>Dec-07</v>
      </c>
      <c r="AN3" s="181" t="str">
        <f>Financials!AM5</f>
        <v>Mar-08</v>
      </c>
      <c r="AO3" s="181" t="str">
        <f>Financials!AN5</f>
        <v>Jun-08</v>
      </c>
      <c r="AP3" s="275">
        <v>2008</v>
      </c>
      <c r="AQ3" s="181" t="str">
        <f>Financials!AP5</f>
        <v>Sep-08</v>
      </c>
      <c r="AR3" s="181" t="str">
        <f>Financials!AQ5</f>
        <v>Dec-08</v>
      </c>
      <c r="AS3" s="181" t="str">
        <f>Financials!AR5</f>
        <v>Mar-09</v>
      </c>
      <c r="AT3" s="181" t="str">
        <f>Financials!AS5</f>
        <v>Jun-09</v>
      </c>
      <c r="AU3" s="275">
        <v>2009</v>
      </c>
      <c r="AV3" s="181" t="str">
        <f>Financials!AU5</f>
        <v>Sep-09</v>
      </c>
      <c r="AW3" s="181" t="str">
        <f>Financials!AV5</f>
        <v>Dec-09</v>
      </c>
      <c r="AX3" s="181" t="str">
        <f>Financials!AW5</f>
        <v>Mar-10</v>
      </c>
      <c r="AY3" s="181" t="str">
        <f>Financials!AX5</f>
        <v>Jun-10</v>
      </c>
      <c r="AZ3" s="275">
        <v>2010</v>
      </c>
      <c r="BA3" s="181" t="str">
        <f>Financials!AZ5</f>
        <v>Sep-10</v>
      </c>
      <c r="BB3" s="181" t="str">
        <f>Financials!BA5</f>
        <v>Dec-10</v>
      </c>
      <c r="BC3" s="181">
        <f>Financials!BB5</f>
        <v>40613</v>
      </c>
      <c r="BD3" s="181" t="str">
        <f>Financials!BC5</f>
        <v>Jun-11</v>
      </c>
      <c r="BE3" s="275">
        <f>Financials!BD5</f>
        <v>2011</v>
      </c>
      <c r="BF3" s="181" t="str">
        <f>Financials!BE5</f>
        <v>Sep-11</v>
      </c>
      <c r="BG3" s="181" t="str">
        <f>Financials!BF5</f>
        <v>Dec-11</v>
      </c>
      <c r="BH3" s="181" t="str">
        <f>Financials!BG5</f>
        <v>Mar-12</v>
      </c>
      <c r="BI3" s="181" t="str">
        <f>Financials!BH5</f>
        <v>Jun-12</v>
      </c>
      <c r="BJ3" s="275">
        <f>Financials!BI5</f>
        <v>2012</v>
      </c>
      <c r="BK3" s="181" t="str">
        <f>Financials!BJ5</f>
        <v>Sep-12</v>
      </c>
      <c r="BL3" s="181" t="str">
        <f>Financials!BK5</f>
        <v>Dec-12</v>
      </c>
      <c r="BM3" s="181" t="str">
        <f>Financials!BL5</f>
        <v>Mar-13</v>
      </c>
      <c r="BN3" s="181" t="str">
        <f>Financials!BM5</f>
        <v>Jun-13</v>
      </c>
      <c r="BO3" s="275">
        <f>Financials!BN5</f>
        <v>2013</v>
      </c>
      <c r="BP3" s="181" t="str">
        <f>Financials!BO5</f>
        <v>Sep-13</v>
      </c>
      <c r="BQ3" s="181" t="str">
        <f>Financials!BP5</f>
        <v>Dec-13</v>
      </c>
      <c r="BR3" s="181" t="str">
        <f>Financials!BQ5</f>
        <v>Mar-14</v>
      </c>
      <c r="BS3" s="181" t="str">
        <f>Financials!BR5</f>
        <v>Jun-14</v>
      </c>
      <c r="BT3" s="275">
        <v>2014</v>
      </c>
      <c r="BU3" s="181" t="str">
        <f>Financials!BT5</f>
        <v>Sep-14</v>
      </c>
      <c r="BV3" s="181" t="str">
        <f>Financials!BU5</f>
        <v>Dec-14</v>
      </c>
      <c r="BW3" s="181" t="str">
        <f>Financials!BV5</f>
        <v>Mar-15</v>
      </c>
      <c r="BX3" s="181" t="str">
        <f>Financials!BW5</f>
        <v>Jun-15</v>
      </c>
      <c r="BY3" s="275">
        <f>Financials!BX5</f>
        <v>2015</v>
      </c>
      <c r="BZ3" s="181" t="str">
        <f>Financials!BY5</f>
        <v>Sep-15</v>
      </c>
      <c r="CA3" s="181" t="str">
        <f>Financials!BZ5</f>
        <v>Dec-15</v>
      </c>
      <c r="CB3" s="181" t="str">
        <f>Financials!CA5</f>
        <v>Mar-16</v>
      </c>
      <c r="CC3" s="181" t="str">
        <f>Financials!CB5</f>
        <v>Jun-16</v>
      </c>
      <c r="CD3" s="275">
        <f>Financials!CC5</f>
        <v>2016</v>
      </c>
      <c r="CE3" s="181" t="str">
        <f>Financials!CD5</f>
        <v>Sep-16</v>
      </c>
      <c r="CF3" s="181" t="str">
        <f>Financials!CE5</f>
        <v>Dec-16</v>
      </c>
      <c r="CG3" s="181" t="str">
        <f>Financials!CF5</f>
        <v>Mar-17</v>
      </c>
      <c r="CH3" s="181" t="str">
        <f>Financials!CG5</f>
        <v>Jun-17</v>
      </c>
      <c r="CI3" s="275">
        <f>Financials!CH5</f>
        <v>2017</v>
      </c>
      <c r="CJ3" s="181" t="str">
        <f>Financials!CI5</f>
        <v>Sep-17</v>
      </c>
      <c r="CK3" s="181" t="str">
        <f>Financials!CJ5</f>
        <v>Dec-17</v>
      </c>
      <c r="CL3" s="181" t="str">
        <f>Financials!CK5</f>
        <v>Mar-18e</v>
      </c>
      <c r="CM3" s="181" t="str">
        <f>Financials!CL5</f>
        <v>Jun-18e</v>
      </c>
      <c r="CN3" s="275" t="str">
        <f>Financials!CM5</f>
        <v>2018e</v>
      </c>
      <c r="CO3" s="181" t="str">
        <f>Financials!CN5</f>
        <v>Sep-18e</v>
      </c>
      <c r="CP3" s="181" t="str">
        <f>Financials!CO5</f>
        <v>Dec-18e</v>
      </c>
      <c r="CQ3" s="181" t="str">
        <f>Financials!CP5</f>
        <v>Mar-19e</v>
      </c>
      <c r="CR3" s="181" t="str">
        <f>Financials!CQ5</f>
        <v>Jun-19e</v>
      </c>
      <c r="CS3" s="275" t="str">
        <f>Financials!CR5</f>
        <v>2019e</v>
      </c>
      <c r="CT3" s="181" t="str">
        <f>Financials!CS5</f>
        <v>Sep-19e</v>
      </c>
      <c r="CU3" s="181" t="str">
        <f>Financials!CT5</f>
        <v>Dec-19e</v>
      </c>
      <c r="CV3" s="181" t="str">
        <f>Financials!CU5</f>
        <v>Mar-20e</v>
      </c>
      <c r="CW3" s="181" t="str">
        <f>Financials!CV5</f>
        <v>Jun-20e</v>
      </c>
      <c r="CX3" s="275" t="str">
        <f>Financials!CW5</f>
        <v>2020e</v>
      </c>
      <c r="CY3" s="181" t="str">
        <f>Financials!CX5</f>
        <v>Sep-20e</v>
      </c>
      <c r="CZ3" s="181" t="str">
        <f>Financials!CY5</f>
        <v>Dec-20e</v>
      </c>
      <c r="DA3" s="181" t="str">
        <f>Financials!CZ5</f>
        <v>Mar-21e</v>
      </c>
      <c r="DB3" s="181" t="str">
        <f>Financials!DA5</f>
        <v>Jun-21e</v>
      </c>
      <c r="DC3" s="275" t="str">
        <f>Financials!DB5</f>
        <v>2021e</v>
      </c>
      <c r="DD3" s="181" t="str">
        <f>Financials!DC5</f>
        <v>Sep-21e</v>
      </c>
      <c r="DE3" s="181" t="str">
        <f>Financials!DD5</f>
        <v>Dec-21e</v>
      </c>
      <c r="DF3" s="181" t="str">
        <f>Financials!DE5</f>
        <v>Mar-22e</v>
      </c>
      <c r="DG3" s="181" t="str">
        <f>Financials!DF5</f>
        <v>Jun-22e</v>
      </c>
      <c r="DH3" s="275" t="str">
        <f>Financials!DG5</f>
        <v>2022e</v>
      </c>
    </row>
    <row r="4" spans="1:112" ht="12.75" customHeight="1" x14ac:dyDescent="0.2">
      <c r="A4" s="364" t="s">
        <v>84</v>
      </c>
      <c r="B4" s="100"/>
      <c r="C4" s="158"/>
      <c r="D4" s="158"/>
      <c r="E4" s="158"/>
      <c r="F4" s="158"/>
      <c r="G4" s="269"/>
      <c r="H4" s="158"/>
      <c r="I4" s="158"/>
      <c r="J4" s="158"/>
      <c r="K4" s="158"/>
      <c r="L4" s="269"/>
      <c r="M4" s="158"/>
      <c r="N4" s="158"/>
      <c r="O4" s="158"/>
      <c r="P4" s="158"/>
      <c r="Q4" s="269"/>
      <c r="R4" s="158"/>
      <c r="S4" s="158"/>
      <c r="T4" s="158"/>
      <c r="U4" s="158"/>
      <c r="V4" s="269"/>
      <c r="W4" s="158"/>
      <c r="X4" s="158"/>
      <c r="Y4" s="158"/>
      <c r="Z4" s="158"/>
      <c r="AA4" s="186"/>
      <c r="AB4" s="158"/>
      <c r="AC4" s="158"/>
      <c r="AD4" s="158"/>
      <c r="AE4" s="158"/>
      <c r="AF4" s="280"/>
      <c r="AG4" s="158"/>
      <c r="AH4" s="158"/>
      <c r="AI4" s="158"/>
      <c r="AJ4" s="158"/>
      <c r="AK4" s="186"/>
      <c r="AL4" s="158"/>
      <c r="AM4" s="158"/>
      <c r="AN4" s="158"/>
      <c r="AO4" s="158"/>
      <c r="AP4" s="280"/>
      <c r="AQ4" s="158"/>
      <c r="AR4" s="158"/>
      <c r="AS4" s="158"/>
      <c r="AT4" s="158"/>
      <c r="AU4" s="280"/>
      <c r="AV4" s="166"/>
      <c r="AW4" s="158"/>
      <c r="AX4" s="158"/>
      <c r="AY4" s="158"/>
      <c r="AZ4" s="280"/>
      <c r="BA4" s="158"/>
      <c r="BB4" s="158"/>
      <c r="BC4" s="158"/>
      <c r="BD4" s="158"/>
      <c r="BE4" s="280"/>
      <c r="BF4" s="158"/>
      <c r="BG4" s="158"/>
      <c r="BH4" s="158"/>
      <c r="BI4" s="158"/>
      <c r="BJ4" s="280"/>
      <c r="BK4" s="158"/>
      <c r="BL4" s="158"/>
      <c r="BM4" s="158"/>
      <c r="BN4" s="158"/>
      <c r="BO4" s="280"/>
      <c r="BP4" s="158"/>
      <c r="BQ4" s="158"/>
      <c r="BR4" s="158"/>
      <c r="BS4" s="158"/>
      <c r="BT4" s="280"/>
      <c r="BU4" s="158"/>
      <c r="BV4" s="158"/>
      <c r="BW4" s="158"/>
      <c r="BX4" s="158"/>
      <c r="BY4" s="280"/>
      <c r="BZ4" s="158"/>
      <c r="CA4" s="158"/>
      <c r="CB4" s="158"/>
      <c r="CC4" s="158"/>
      <c r="CD4" s="280"/>
      <c r="CE4" s="158"/>
      <c r="CF4" s="158"/>
      <c r="CG4" s="158"/>
      <c r="CH4" s="158"/>
      <c r="CI4" s="280"/>
      <c r="CJ4" s="158"/>
      <c r="CK4" s="158"/>
      <c r="CL4" s="158"/>
      <c r="CM4" s="158"/>
      <c r="CN4" s="280"/>
      <c r="CO4" s="158"/>
      <c r="CP4" s="158"/>
      <c r="CQ4" s="158"/>
      <c r="CR4" s="158"/>
      <c r="CS4" s="280"/>
      <c r="CT4" s="158"/>
      <c r="CU4" s="158"/>
      <c r="CV4" s="158"/>
      <c r="CW4" s="158"/>
      <c r="CX4" s="280"/>
      <c r="CY4" s="158"/>
      <c r="CZ4" s="158"/>
      <c r="DA4" s="158"/>
      <c r="DB4" s="158"/>
      <c r="DC4" s="280"/>
      <c r="DD4" s="158"/>
      <c r="DE4" s="158"/>
      <c r="DF4" s="158"/>
      <c r="DG4" s="158"/>
      <c r="DH4" s="280"/>
    </row>
    <row r="5" spans="1:112" ht="12.75" customHeight="1" x14ac:dyDescent="0.2">
      <c r="A5" s="101" t="s">
        <v>217</v>
      </c>
      <c r="B5" s="98"/>
      <c r="C5" s="393" t="s">
        <v>221</v>
      </c>
      <c r="D5" s="393" t="s">
        <v>221</v>
      </c>
      <c r="E5" s="393" t="s">
        <v>221</v>
      </c>
      <c r="F5" s="393" t="s">
        <v>221</v>
      </c>
      <c r="G5" s="271" t="s">
        <v>221</v>
      </c>
      <c r="H5" s="393" t="s">
        <v>221</v>
      </c>
      <c r="I5" s="393" t="s">
        <v>221</v>
      </c>
      <c r="J5" s="393" t="s">
        <v>221</v>
      </c>
      <c r="K5" s="393" t="s">
        <v>221</v>
      </c>
      <c r="L5" s="271" t="s">
        <v>221</v>
      </c>
      <c r="M5" s="393" t="s">
        <v>221</v>
      </c>
      <c r="N5" s="393" t="s">
        <v>221</v>
      </c>
      <c r="O5" s="393" t="s">
        <v>221</v>
      </c>
      <c r="P5" s="393" t="s">
        <v>221</v>
      </c>
      <c r="Q5" s="271" t="s">
        <v>221</v>
      </c>
      <c r="R5" s="393" t="s">
        <v>221</v>
      </c>
      <c r="S5" s="393" t="s">
        <v>221</v>
      </c>
      <c r="T5" s="393" t="s">
        <v>221</v>
      </c>
      <c r="U5" s="393" t="s">
        <v>221</v>
      </c>
      <c r="V5" s="271" t="s">
        <v>221</v>
      </c>
      <c r="W5" s="393" t="s">
        <v>221</v>
      </c>
      <c r="X5" s="393" t="s">
        <v>221</v>
      </c>
      <c r="Y5" s="393" t="s">
        <v>221</v>
      </c>
      <c r="Z5" s="393" t="s">
        <v>221</v>
      </c>
      <c r="AA5" s="271" t="s">
        <v>221</v>
      </c>
      <c r="AB5" s="393" t="s">
        <v>221</v>
      </c>
      <c r="AC5" s="393" t="s">
        <v>221</v>
      </c>
      <c r="AD5" s="393" t="s">
        <v>221</v>
      </c>
      <c r="AE5" s="393" t="s">
        <v>221</v>
      </c>
      <c r="AF5" s="271" t="s">
        <v>221</v>
      </c>
      <c r="AG5" s="100">
        <v>462</v>
      </c>
      <c r="AH5" s="100">
        <v>404</v>
      </c>
      <c r="AI5" s="100">
        <v>468</v>
      </c>
      <c r="AJ5" s="100">
        <v>447</v>
      </c>
      <c r="AK5" s="183">
        <v>1781</v>
      </c>
      <c r="AL5" s="100">
        <v>469</v>
      </c>
      <c r="AM5" s="100">
        <v>416</v>
      </c>
      <c r="AN5" s="100">
        <v>467</v>
      </c>
      <c r="AO5" s="100">
        <v>465</v>
      </c>
      <c r="AP5" s="183">
        <v>1817</v>
      </c>
      <c r="AQ5" s="100">
        <v>487</v>
      </c>
      <c r="AR5" s="100">
        <v>413</v>
      </c>
      <c r="AS5" s="100">
        <v>471</v>
      </c>
      <c r="AT5" s="100">
        <v>465</v>
      </c>
      <c r="AU5" s="183">
        <v>1836</v>
      </c>
      <c r="AV5" s="100">
        <v>454</v>
      </c>
      <c r="AW5" s="100">
        <v>378</v>
      </c>
      <c r="AX5" s="100">
        <v>397</v>
      </c>
      <c r="AY5" s="100">
        <v>395</v>
      </c>
      <c r="AZ5" s="183">
        <f>SUM(AV5:AY5)</f>
        <v>1624</v>
      </c>
      <c r="BA5" s="100">
        <v>449</v>
      </c>
      <c r="BB5" s="100">
        <v>354</v>
      </c>
      <c r="BC5" s="100">
        <v>407</v>
      </c>
      <c r="BD5" s="100">
        <v>409</v>
      </c>
      <c r="BE5" s="184">
        <f>SUM(BA5:BD5)</f>
        <v>1619</v>
      </c>
      <c r="BF5" s="100">
        <v>439</v>
      </c>
      <c r="BG5" s="100">
        <v>370</v>
      </c>
      <c r="BH5" s="100">
        <v>447</v>
      </c>
      <c r="BI5" s="100">
        <v>436</v>
      </c>
      <c r="BJ5" s="184">
        <f>SUM(BF5:BI5)</f>
        <v>1692</v>
      </c>
      <c r="BK5" s="100">
        <v>472</v>
      </c>
      <c r="BL5" s="100">
        <v>425</v>
      </c>
      <c r="BM5" s="100">
        <v>454</v>
      </c>
      <c r="BN5" s="100">
        <v>432</v>
      </c>
      <c r="BO5" s="184">
        <f>SUM(BK5:BN5)</f>
        <v>1783</v>
      </c>
      <c r="BP5" s="100">
        <v>479</v>
      </c>
      <c r="BQ5" s="100">
        <v>432</v>
      </c>
      <c r="BR5" s="645">
        <v>437</v>
      </c>
      <c r="BS5" s="645">
        <v>428</v>
      </c>
      <c r="BT5" s="184">
        <f>SUM(BP5:BS5)</f>
        <v>1776</v>
      </c>
      <c r="BU5" s="645">
        <v>470</v>
      </c>
      <c r="BV5" s="645">
        <v>447</v>
      </c>
      <c r="BW5" s="645">
        <v>442</v>
      </c>
      <c r="BX5" s="645">
        <v>465</v>
      </c>
      <c r="BY5" s="184">
        <f>SUM(BU5:BX5)</f>
        <v>1824</v>
      </c>
      <c r="BZ5" s="100">
        <v>497</v>
      </c>
      <c r="CA5" s="100">
        <v>457</v>
      </c>
      <c r="CB5" s="100">
        <v>465</v>
      </c>
      <c r="CC5" s="100">
        <v>493</v>
      </c>
      <c r="CD5" s="184">
        <f>SUM(BZ5:CC5)</f>
        <v>1912</v>
      </c>
      <c r="CE5" s="100">
        <v>534</v>
      </c>
      <c r="CF5" s="645">
        <v>469</v>
      </c>
      <c r="CG5" s="645">
        <v>497</v>
      </c>
      <c r="CH5" s="645">
        <v>502</v>
      </c>
      <c r="CI5" s="184">
        <f>SUM(CE5:CH5)</f>
        <v>2002</v>
      </c>
      <c r="CJ5" s="645">
        <v>559</v>
      </c>
      <c r="CK5" s="833">
        <v>472</v>
      </c>
      <c r="CL5" s="100">
        <f>CG5*(1+CL41)</f>
        <v>497.99400000000003</v>
      </c>
      <c r="CM5" s="100">
        <f>CN5-SUM(CJ5:CL5)</f>
        <v>513.04599999999982</v>
      </c>
      <c r="CN5" s="184">
        <f>CI5*(1+CN41)</f>
        <v>2042.04</v>
      </c>
      <c r="CO5" s="100">
        <f>CJ5*(1+CO41)</f>
        <v>570.18000000000006</v>
      </c>
      <c r="CP5" s="100">
        <f>CK5*(1+CP41)</f>
        <v>486.16</v>
      </c>
      <c r="CQ5" s="100">
        <f>CL5*(1+CQ41)</f>
        <v>522.89370000000008</v>
      </c>
      <c r="CR5" s="100">
        <f>CS5-SUM(CO5:CQ5)</f>
        <v>513.85729999999967</v>
      </c>
      <c r="CS5" s="184">
        <f>CN5*(1+CS41)</f>
        <v>2093.0909999999999</v>
      </c>
      <c r="CT5" s="100">
        <f>CO5*(1+CT41)</f>
        <v>581.58360000000005</v>
      </c>
      <c r="CU5" s="100">
        <f>CP5*(1+CU41)</f>
        <v>495.88320000000004</v>
      </c>
      <c r="CV5" s="100">
        <f>CQ5*(1+CV41)</f>
        <v>533.35157400000014</v>
      </c>
      <c r="CW5" s="100">
        <f>CX5-SUM(CT5:CV5)</f>
        <v>524.13444599999957</v>
      </c>
      <c r="CX5" s="184">
        <f>CS5*(1+CX41)</f>
        <v>2134.95282</v>
      </c>
      <c r="CY5" s="100">
        <f>CT5*(1+CY41)</f>
        <v>593.21527200000003</v>
      </c>
      <c r="CZ5" s="100">
        <f>CU5*(1+CZ41)</f>
        <v>505.80086400000005</v>
      </c>
      <c r="DA5" s="100">
        <f>CV5*(1+DA41)</f>
        <v>544.01860548000013</v>
      </c>
      <c r="DB5" s="100">
        <f>DC5-SUM(CY5:DA5)</f>
        <v>534.6171349199999</v>
      </c>
      <c r="DC5" s="184">
        <f>CX5*(1+DC41)</f>
        <v>2177.6518764000002</v>
      </c>
      <c r="DD5" s="100">
        <f>CY5*(1+DD41)</f>
        <v>605.07957744000009</v>
      </c>
      <c r="DE5" s="100">
        <f>CZ5*(1+DE41)</f>
        <v>515.9168812800001</v>
      </c>
      <c r="DF5" s="100">
        <f>DA5*(1+DF41)</f>
        <v>554.89897758960012</v>
      </c>
      <c r="DG5" s="100">
        <f>DH5-SUM(DD5:DF5)</f>
        <v>545.3094776183998</v>
      </c>
      <c r="DH5" s="184">
        <f>DC5*(1+DH41)</f>
        <v>2221.2049139280002</v>
      </c>
    </row>
    <row r="6" spans="1:112" ht="12.75" customHeight="1" x14ac:dyDescent="0.2">
      <c r="A6" s="101" t="s">
        <v>218</v>
      </c>
      <c r="B6" s="98"/>
      <c r="C6" s="393" t="s">
        <v>221</v>
      </c>
      <c r="D6" s="393" t="s">
        <v>221</v>
      </c>
      <c r="E6" s="393" t="s">
        <v>221</v>
      </c>
      <c r="F6" s="393" t="s">
        <v>221</v>
      </c>
      <c r="G6" s="271" t="s">
        <v>221</v>
      </c>
      <c r="H6" s="393" t="s">
        <v>221</v>
      </c>
      <c r="I6" s="393" t="s">
        <v>221</v>
      </c>
      <c r="J6" s="393" t="s">
        <v>221</v>
      </c>
      <c r="K6" s="393" t="s">
        <v>221</v>
      </c>
      <c r="L6" s="271" t="s">
        <v>221</v>
      </c>
      <c r="M6" s="393" t="s">
        <v>221</v>
      </c>
      <c r="N6" s="393" t="s">
        <v>221</v>
      </c>
      <c r="O6" s="393" t="s">
        <v>221</v>
      </c>
      <c r="P6" s="393" t="s">
        <v>221</v>
      </c>
      <c r="Q6" s="271" t="s">
        <v>221</v>
      </c>
      <c r="R6" s="393" t="s">
        <v>221</v>
      </c>
      <c r="S6" s="393" t="s">
        <v>221</v>
      </c>
      <c r="T6" s="393" t="s">
        <v>221</v>
      </c>
      <c r="U6" s="393" t="s">
        <v>221</v>
      </c>
      <c r="V6" s="271" t="s">
        <v>221</v>
      </c>
      <c r="W6" s="393" t="s">
        <v>221</v>
      </c>
      <c r="X6" s="393" t="s">
        <v>221</v>
      </c>
      <c r="Y6" s="393" t="s">
        <v>221</v>
      </c>
      <c r="Z6" s="393" t="s">
        <v>221</v>
      </c>
      <c r="AA6" s="271" t="s">
        <v>221</v>
      </c>
      <c r="AB6" s="393" t="s">
        <v>221</v>
      </c>
      <c r="AC6" s="393" t="s">
        <v>221</v>
      </c>
      <c r="AD6" s="393" t="s">
        <v>221</v>
      </c>
      <c r="AE6" s="393" t="s">
        <v>221</v>
      </c>
      <c r="AF6" s="271" t="s">
        <v>221</v>
      </c>
      <c r="AG6" s="100">
        <v>372</v>
      </c>
      <c r="AH6" s="100">
        <v>357</v>
      </c>
      <c r="AI6" s="100">
        <v>405</v>
      </c>
      <c r="AJ6" s="100">
        <v>502</v>
      </c>
      <c r="AK6" s="183">
        <v>1636</v>
      </c>
      <c r="AL6" s="100">
        <v>384</v>
      </c>
      <c r="AM6" s="100">
        <v>362</v>
      </c>
      <c r="AN6" s="100">
        <v>413</v>
      </c>
      <c r="AO6" s="100">
        <v>539</v>
      </c>
      <c r="AP6" s="183">
        <v>1698</v>
      </c>
      <c r="AQ6" s="100">
        <v>426</v>
      </c>
      <c r="AR6" s="100">
        <v>354</v>
      </c>
      <c r="AS6" s="100">
        <v>407</v>
      </c>
      <c r="AT6" s="100">
        <v>538</v>
      </c>
      <c r="AU6" s="183">
        <v>1726</v>
      </c>
      <c r="AV6" s="100">
        <v>381</v>
      </c>
      <c r="AW6" s="100">
        <v>334</v>
      </c>
      <c r="AX6" s="100">
        <v>408</v>
      </c>
      <c r="AY6" s="100">
        <v>540</v>
      </c>
      <c r="AZ6" s="183">
        <f>SUM(AV6:AY6)</f>
        <v>1663</v>
      </c>
      <c r="BA6" s="100">
        <v>354</v>
      </c>
      <c r="BB6" s="100">
        <v>320</v>
      </c>
      <c r="BC6" s="100">
        <v>394</v>
      </c>
      <c r="BD6" s="100">
        <v>543</v>
      </c>
      <c r="BE6" s="184">
        <f>SUM(BA6:BD6)</f>
        <v>1611</v>
      </c>
      <c r="BF6" s="100">
        <v>366</v>
      </c>
      <c r="BG6" s="100">
        <v>334</v>
      </c>
      <c r="BH6" s="100">
        <v>417</v>
      </c>
      <c r="BI6" s="100">
        <v>559</v>
      </c>
      <c r="BJ6" s="184">
        <f>SUM(BF6:BI6)</f>
        <v>1676</v>
      </c>
      <c r="BK6" s="100">
        <v>355</v>
      </c>
      <c r="BL6" s="100">
        <v>357</v>
      </c>
      <c r="BM6" s="100">
        <v>413</v>
      </c>
      <c r="BN6" s="100">
        <v>568</v>
      </c>
      <c r="BO6" s="184">
        <f>SUM(BK6:BN6)</f>
        <v>1693</v>
      </c>
      <c r="BP6" s="100">
        <v>372</v>
      </c>
      <c r="BQ6" s="100">
        <v>352</v>
      </c>
      <c r="BR6" s="645">
        <v>428</v>
      </c>
      <c r="BS6" s="645">
        <v>557</v>
      </c>
      <c r="BT6" s="184">
        <f>SUM(BP6:BS6)</f>
        <v>1709</v>
      </c>
      <c r="BU6" s="645">
        <v>392</v>
      </c>
      <c r="BV6" s="645">
        <v>371</v>
      </c>
      <c r="BW6" s="645">
        <v>451</v>
      </c>
      <c r="BX6" s="645">
        <v>580</v>
      </c>
      <c r="BY6" s="184">
        <f>SUM(BU6:BX6)</f>
        <v>1794</v>
      </c>
      <c r="BZ6" s="100">
        <v>411</v>
      </c>
      <c r="CA6" s="100">
        <v>375</v>
      </c>
      <c r="CB6" s="100">
        <v>467</v>
      </c>
      <c r="CC6" s="100">
        <v>609</v>
      </c>
      <c r="CD6" s="184">
        <f>SUM(BZ6:CC6)</f>
        <v>1862</v>
      </c>
      <c r="CE6" s="100">
        <v>422</v>
      </c>
      <c r="CF6" s="645">
        <v>421</v>
      </c>
      <c r="CG6" s="645">
        <v>486</v>
      </c>
      <c r="CH6" s="645">
        <v>632</v>
      </c>
      <c r="CI6" s="184">
        <f>SUM(CE6:CH6)</f>
        <v>1961</v>
      </c>
      <c r="CJ6" s="645">
        <v>441</v>
      </c>
      <c r="CK6" s="833">
        <v>410</v>
      </c>
      <c r="CL6" s="100">
        <f>CG6*(1+CL49)</f>
        <v>486</v>
      </c>
      <c r="CM6" s="100">
        <f>CN6-SUM(CJ6:CL6)</f>
        <v>676.31</v>
      </c>
      <c r="CN6" s="184">
        <f>CI6*(1+CN49)</f>
        <v>2013.31</v>
      </c>
      <c r="CO6" s="100">
        <f>CJ6*(1+CO49)</f>
        <v>490.05000000000007</v>
      </c>
      <c r="CP6" s="100">
        <f>CK6*(1+CP49)</f>
        <v>471.35</v>
      </c>
      <c r="CQ6" s="100">
        <f>CL6*(1+CQ49)</f>
        <v>546.75450000000001</v>
      </c>
      <c r="CR6" s="100">
        <f>CS6-SUM(CO6:CQ6)</f>
        <v>704.74114999999983</v>
      </c>
      <c r="CS6" s="184">
        <f>CN6*(1+CS49)</f>
        <v>2212.8956499999999</v>
      </c>
      <c r="CT6" s="100">
        <f>CO6*(1+CT49)</f>
        <v>497.40075000000002</v>
      </c>
      <c r="CU6" s="100">
        <f>CP6*(1+CU49)</f>
        <v>478.42024999999995</v>
      </c>
      <c r="CV6" s="100">
        <f>CQ6*(1+CV49)</f>
        <v>554.95581749999997</v>
      </c>
      <c r="CW6" s="100">
        <f>CX6-SUM(CT6:CV6)</f>
        <v>715.31226724999965</v>
      </c>
      <c r="CX6" s="184">
        <f>CS6*(1+CX49)</f>
        <v>2246.0890847499995</v>
      </c>
      <c r="CY6" s="100">
        <f>CT6*(1+CY49)</f>
        <v>504.86176124999997</v>
      </c>
      <c r="CZ6" s="100">
        <f>CU6*(1+CZ49)</f>
        <v>485.59655374999988</v>
      </c>
      <c r="DA6" s="100">
        <f>CV6*(1+DA49)</f>
        <v>563.28015476249993</v>
      </c>
      <c r="DB6" s="100">
        <f>DC6-SUM(CY6:DA6)</f>
        <v>726.04195125874958</v>
      </c>
      <c r="DC6" s="184">
        <f>CX6*(1+DC49)</f>
        <v>2279.7804210212494</v>
      </c>
      <c r="DD6" s="100">
        <f>CY6*(1+DD49)</f>
        <v>512.43468766874992</v>
      </c>
      <c r="DE6" s="100">
        <f>CZ6*(1+DE49)</f>
        <v>492.88050205624984</v>
      </c>
      <c r="DF6" s="100">
        <f>DA6*(1+DF49)</f>
        <v>571.72935708393743</v>
      </c>
      <c r="DG6" s="100">
        <f>DH6-SUM(DD6:DF6)</f>
        <v>736.93258052763053</v>
      </c>
      <c r="DH6" s="184">
        <f>DC6*(1+DH49)</f>
        <v>2313.9771273365677</v>
      </c>
    </row>
    <row r="7" spans="1:112" ht="12.75" customHeight="1" x14ac:dyDescent="0.2">
      <c r="A7" s="101" t="s">
        <v>219</v>
      </c>
      <c r="B7" s="98"/>
      <c r="C7" s="393" t="s">
        <v>221</v>
      </c>
      <c r="D7" s="393" t="s">
        <v>221</v>
      </c>
      <c r="E7" s="393" t="s">
        <v>221</v>
      </c>
      <c r="F7" s="393" t="s">
        <v>221</v>
      </c>
      <c r="G7" s="271" t="s">
        <v>221</v>
      </c>
      <c r="H7" s="393" t="s">
        <v>221</v>
      </c>
      <c r="I7" s="393" t="s">
        <v>221</v>
      </c>
      <c r="J7" s="393" t="s">
        <v>221</v>
      </c>
      <c r="K7" s="393" t="s">
        <v>221</v>
      </c>
      <c r="L7" s="271" t="s">
        <v>221</v>
      </c>
      <c r="M7" s="393" t="s">
        <v>221</v>
      </c>
      <c r="N7" s="393" t="s">
        <v>221</v>
      </c>
      <c r="O7" s="393" t="s">
        <v>221</v>
      </c>
      <c r="P7" s="393" t="s">
        <v>221</v>
      </c>
      <c r="Q7" s="271" t="s">
        <v>221</v>
      </c>
      <c r="R7" s="393" t="s">
        <v>221</v>
      </c>
      <c r="S7" s="393" t="s">
        <v>221</v>
      </c>
      <c r="T7" s="393" t="s">
        <v>221</v>
      </c>
      <c r="U7" s="393" t="s">
        <v>221</v>
      </c>
      <c r="V7" s="271" t="s">
        <v>221</v>
      </c>
      <c r="W7" s="393" t="s">
        <v>221</v>
      </c>
      <c r="X7" s="393" t="s">
        <v>221</v>
      </c>
      <c r="Y7" s="393" t="s">
        <v>221</v>
      </c>
      <c r="Z7" s="393" t="s">
        <v>221</v>
      </c>
      <c r="AA7" s="271" t="s">
        <v>221</v>
      </c>
      <c r="AB7" s="393" t="s">
        <v>221</v>
      </c>
      <c r="AC7" s="393" t="s">
        <v>221</v>
      </c>
      <c r="AD7" s="393" t="s">
        <v>221</v>
      </c>
      <c r="AE7" s="393" t="s">
        <v>221</v>
      </c>
      <c r="AF7" s="271" t="s">
        <v>221</v>
      </c>
      <c r="AG7" s="100">
        <v>120</v>
      </c>
      <c r="AH7" s="100">
        <v>118</v>
      </c>
      <c r="AI7" s="100">
        <v>132</v>
      </c>
      <c r="AJ7" s="100">
        <v>141</v>
      </c>
      <c r="AK7" s="183">
        <v>511</v>
      </c>
      <c r="AL7" s="100">
        <v>134</v>
      </c>
      <c r="AM7" s="100">
        <v>141</v>
      </c>
      <c r="AN7" s="100">
        <v>204</v>
      </c>
      <c r="AO7" s="100">
        <v>197</v>
      </c>
      <c r="AP7" s="183">
        <v>676</v>
      </c>
      <c r="AQ7" s="100">
        <v>194</v>
      </c>
      <c r="AR7" s="100">
        <v>193</v>
      </c>
      <c r="AS7" s="100">
        <v>215</v>
      </c>
      <c r="AT7" s="100">
        <v>211</v>
      </c>
      <c r="AU7" s="183">
        <v>813</v>
      </c>
      <c r="AV7" s="100">
        <v>200</v>
      </c>
      <c r="AW7" s="100">
        <v>212</v>
      </c>
      <c r="AX7" s="100">
        <v>226</v>
      </c>
      <c r="AY7" s="100">
        <v>226</v>
      </c>
      <c r="AZ7" s="183">
        <f>SUM(AV7:AY7)</f>
        <v>864</v>
      </c>
      <c r="BA7" s="100">
        <v>195</v>
      </c>
      <c r="BB7" s="100">
        <v>207</v>
      </c>
      <c r="BC7" s="100">
        <v>219</v>
      </c>
      <c r="BD7" s="100">
        <v>228</v>
      </c>
      <c r="BE7" s="184">
        <f>SUM(BA7:BD7)</f>
        <v>849</v>
      </c>
      <c r="BF7" s="100">
        <v>206</v>
      </c>
      <c r="BG7" s="100">
        <v>219</v>
      </c>
      <c r="BH7" s="100">
        <v>241</v>
      </c>
      <c r="BI7" s="100">
        <v>235</v>
      </c>
      <c r="BJ7" s="184">
        <f>SUM(BF7:BI7)</f>
        <v>901</v>
      </c>
      <c r="BK7" s="100">
        <v>208</v>
      </c>
      <c r="BL7" s="100">
        <v>237</v>
      </c>
      <c r="BM7" s="100">
        <v>245</v>
      </c>
      <c r="BN7" s="100">
        <v>239</v>
      </c>
      <c r="BO7" s="184">
        <f>SUM(BK7:BN7)</f>
        <v>929</v>
      </c>
      <c r="BP7" s="100">
        <v>218</v>
      </c>
      <c r="BQ7" s="100">
        <v>237</v>
      </c>
      <c r="BR7" s="645">
        <v>237</v>
      </c>
      <c r="BS7" s="645">
        <v>244</v>
      </c>
      <c r="BT7" s="184">
        <f>SUM(BP7:BS7)</f>
        <v>936</v>
      </c>
      <c r="BU7" s="645">
        <v>216</v>
      </c>
      <c r="BV7" s="645">
        <v>246</v>
      </c>
      <c r="BW7" s="645">
        <v>243</v>
      </c>
      <c r="BX7" s="645">
        <v>245</v>
      </c>
      <c r="BY7" s="184">
        <f>SUM(BU7:BX7)</f>
        <v>950</v>
      </c>
      <c r="BZ7" s="100">
        <v>231</v>
      </c>
      <c r="CA7" s="100">
        <v>251</v>
      </c>
      <c r="CB7" s="100">
        <v>254</v>
      </c>
      <c r="CC7" s="100">
        <v>254</v>
      </c>
      <c r="CD7" s="184">
        <f>SUM(BZ7:CC7)</f>
        <v>990</v>
      </c>
      <c r="CE7" s="100">
        <v>236</v>
      </c>
      <c r="CF7" s="645">
        <v>260</v>
      </c>
      <c r="CG7" s="645">
        <v>246</v>
      </c>
      <c r="CH7" s="645">
        <v>258</v>
      </c>
      <c r="CI7" s="184">
        <f>SUM(CE7:CH7)</f>
        <v>1000</v>
      </c>
      <c r="CJ7" s="645">
        <v>246</v>
      </c>
      <c r="CK7" s="833">
        <v>268</v>
      </c>
      <c r="CL7" s="100">
        <f>CG7*(1+CL58)</f>
        <v>259.52999999999997</v>
      </c>
      <c r="CM7" s="100">
        <f>CN7-SUM(CJ7:CL7)</f>
        <v>263.47000000000003</v>
      </c>
      <c r="CN7" s="184">
        <f>CI7*(1+CN58)</f>
        <v>1037</v>
      </c>
      <c r="CO7" s="100">
        <f>CJ7*(1+CO58)</f>
        <v>254.60999999999999</v>
      </c>
      <c r="CP7" s="100">
        <f>CK7*(1+CP58)</f>
        <v>272.02</v>
      </c>
      <c r="CQ7" s="100">
        <f>CL7*(1+CQ58)</f>
        <v>263.42294999999996</v>
      </c>
      <c r="CR7" s="100">
        <f>CS7-SUM(CO7:CQ7)</f>
        <v>272.87204999999994</v>
      </c>
      <c r="CS7" s="184">
        <f>CN7*(1+CS58)</f>
        <v>1062.925</v>
      </c>
      <c r="CT7" s="100">
        <f>CO7*(1+CT58)</f>
        <v>260.97524999999996</v>
      </c>
      <c r="CU7" s="100">
        <f>CP7*(1+CU58)</f>
        <v>278.82049999999998</v>
      </c>
      <c r="CV7" s="100">
        <f>CQ7*(1+CV58)</f>
        <v>270.00852374999994</v>
      </c>
      <c r="CW7" s="100">
        <f>CX7-SUM(CT7:CV7)</f>
        <v>279.69385124999985</v>
      </c>
      <c r="CX7" s="184">
        <f>CS7*(1+CX58)</f>
        <v>1089.4981249999998</v>
      </c>
      <c r="CY7" s="100">
        <f>CT7*(1+CY58)</f>
        <v>267.49963124999994</v>
      </c>
      <c r="CZ7" s="100">
        <f>CU7*(1+CZ58)</f>
        <v>285.79101249999997</v>
      </c>
      <c r="DA7" s="100">
        <f>CV7*(1+DA58)</f>
        <v>276.75873684374989</v>
      </c>
      <c r="DB7" s="100">
        <f>DC7-SUM(CY7:DA7)</f>
        <v>286.68619753125017</v>
      </c>
      <c r="DC7" s="184">
        <f>CX7*(1+DC58)</f>
        <v>1116.7355781249998</v>
      </c>
      <c r="DD7" s="100">
        <f>CY7*(1+DD58)</f>
        <v>274.18712203124988</v>
      </c>
      <c r="DE7" s="100">
        <f>CZ7*(1+DE58)</f>
        <v>292.93578781249994</v>
      </c>
      <c r="DF7" s="100">
        <f>DA7*(1+DF58)</f>
        <v>283.67770526484361</v>
      </c>
      <c r="DG7" s="100">
        <f>DH7-SUM(DD7:DF7)</f>
        <v>293.8533524695315</v>
      </c>
      <c r="DH7" s="184">
        <f>DC7*(1+DH58)</f>
        <v>1144.6539675781248</v>
      </c>
    </row>
    <row r="8" spans="1:112" ht="12.75" customHeight="1" x14ac:dyDescent="0.2">
      <c r="A8" s="117" t="s">
        <v>220</v>
      </c>
      <c r="B8" s="160"/>
      <c r="C8" s="342" t="s">
        <v>221</v>
      </c>
      <c r="D8" s="342" t="s">
        <v>221</v>
      </c>
      <c r="E8" s="342" t="s">
        <v>221</v>
      </c>
      <c r="F8" s="342" t="s">
        <v>221</v>
      </c>
      <c r="G8" s="272" t="s">
        <v>221</v>
      </c>
      <c r="H8" s="342" t="s">
        <v>221</v>
      </c>
      <c r="I8" s="342" t="s">
        <v>221</v>
      </c>
      <c r="J8" s="342" t="s">
        <v>221</v>
      </c>
      <c r="K8" s="342" t="s">
        <v>221</v>
      </c>
      <c r="L8" s="272" t="s">
        <v>221</v>
      </c>
      <c r="M8" s="342" t="s">
        <v>221</v>
      </c>
      <c r="N8" s="342" t="s">
        <v>221</v>
      </c>
      <c r="O8" s="342" t="s">
        <v>221</v>
      </c>
      <c r="P8" s="342" t="s">
        <v>221</v>
      </c>
      <c r="Q8" s="272" t="s">
        <v>221</v>
      </c>
      <c r="R8" s="342" t="s">
        <v>221</v>
      </c>
      <c r="S8" s="342" t="s">
        <v>221</v>
      </c>
      <c r="T8" s="342" t="s">
        <v>221</v>
      </c>
      <c r="U8" s="342" t="s">
        <v>221</v>
      </c>
      <c r="V8" s="272" t="s">
        <v>221</v>
      </c>
      <c r="W8" s="342" t="s">
        <v>221</v>
      </c>
      <c r="X8" s="342" t="s">
        <v>221</v>
      </c>
      <c r="Y8" s="342" t="s">
        <v>221</v>
      </c>
      <c r="Z8" s="342" t="s">
        <v>221</v>
      </c>
      <c r="AA8" s="272" t="s">
        <v>221</v>
      </c>
      <c r="AB8" s="342" t="s">
        <v>221</v>
      </c>
      <c r="AC8" s="342" t="s">
        <v>221</v>
      </c>
      <c r="AD8" s="342" t="s">
        <v>221</v>
      </c>
      <c r="AE8" s="342" t="s">
        <v>221</v>
      </c>
      <c r="AF8" s="272" t="s">
        <v>221</v>
      </c>
      <c r="AG8" s="171">
        <v>207</v>
      </c>
      <c r="AH8" s="171">
        <v>222</v>
      </c>
      <c r="AI8" s="171">
        <v>236</v>
      </c>
      <c r="AJ8" s="171">
        <v>254</v>
      </c>
      <c r="AK8" s="343">
        <v>919</v>
      </c>
      <c r="AL8" s="171">
        <v>252</v>
      </c>
      <c r="AM8" s="171">
        <v>267</v>
      </c>
      <c r="AN8" s="171">
        <v>269</v>
      </c>
      <c r="AO8" s="171">
        <v>294</v>
      </c>
      <c r="AP8" s="343">
        <v>1082</v>
      </c>
      <c r="AQ8" s="171">
        <v>277</v>
      </c>
      <c r="AR8" s="171">
        <v>256</v>
      </c>
      <c r="AS8" s="171">
        <v>257</v>
      </c>
      <c r="AT8" s="171">
        <v>286</v>
      </c>
      <c r="AU8" s="343">
        <v>1075</v>
      </c>
      <c r="AV8" s="171">
        <v>268</v>
      </c>
      <c r="AW8" s="171">
        <v>291</v>
      </c>
      <c r="AX8" s="171">
        <v>256</v>
      </c>
      <c r="AY8" s="171">
        <v>268</v>
      </c>
      <c r="AZ8" s="343">
        <f>SUM(AV8:AY8)</f>
        <v>1083</v>
      </c>
      <c r="BA8" s="171">
        <v>268</v>
      </c>
      <c r="BB8" s="171">
        <v>298</v>
      </c>
      <c r="BC8" s="171">
        <v>284</v>
      </c>
      <c r="BD8" s="171">
        <v>302</v>
      </c>
      <c r="BE8" s="187">
        <f>SUM(BA8:BD8)</f>
        <v>1152</v>
      </c>
      <c r="BF8" s="171">
        <v>294</v>
      </c>
      <c r="BG8" s="171">
        <v>298</v>
      </c>
      <c r="BH8" s="171">
        <v>296</v>
      </c>
      <c r="BI8" s="171">
        <v>311</v>
      </c>
      <c r="BJ8" s="187">
        <f>SUM(BF8:BI8)</f>
        <v>1199</v>
      </c>
      <c r="BK8" s="171">
        <v>303</v>
      </c>
      <c r="BL8" s="171">
        <v>306</v>
      </c>
      <c r="BM8" s="171">
        <v>301</v>
      </c>
      <c r="BN8" s="171">
        <v>308</v>
      </c>
      <c r="BO8" s="187">
        <f>SUM(BK8:BN8)</f>
        <v>1218</v>
      </c>
      <c r="BP8" s="674">
        <v>274</v>
      </c>
      <c r="BQ8" s="674">
        <v>287</v>
      </c>
      <c r="BR8" s="675">
        <v>264</v>
      </c>
      <c r="BS8" s="675">
        <v>268</v>
      </c>
      <c r="BT8" s="187">
        <f>SUM(BP8:BS8)</f>
        <v>1093</v>
      </c>
      <c r="BU8" s="646">
        <v>274</v>
      </c>
      <c r="BV8" s="646">
        <v>281</v>
      </c>
      <c r="BW8" s="646">
        <v>265</v>
      </c>
      <c r="BX8" s="646">
        <v>267</v>
      </c>
      <c r="BY8" s="187">
        <f>SUM(BU8:BX8)</f>
        <v>1087</v>
      </c>
      <c r="BZ8" s="171">
        <v>251</v>
      </c>
      <c r="CA8" s="171">
        <v>262</v>
      </c>
      <c r="CB8" s="171">
        <v>240</v>
      </c>
      <c r="CC8" s="171">
        <v>244</v>
      </c>
      <c r="CD8" s="187">
        <f>SUM(BZ8:CC8)</f>
        <v>997</v>
      </c>
      <c r="CE8" s="171">
        <v>251</v>
      </c>
      <c r="CF8" s="646">
        <v>256</v>
      </c>
      <c r="CG8" s="646">
        <v>248</v>
      </c>
      <c r="CH8" s="646">
        <v>255</v>
      </c>
      <c r="CI8" s="187">
        <f>SUM(CE8:CH8)</f>
        <v>1010</v>
      </c>
      <c r="CJ8" s="646">
        <v>254</v>
      </c>
      <c r="CK8" s="834">
        <v>266</v>
      </c>
      <c r="CL8" s="171">
        <f>CG8*(1+CL67)</f>
        <v>269.6912044024948</v>
      </c>
      <c r="CM8" s="171">
        <f ca="1">CN8-SUM(CJ8:CL8)</f>
        <v>276.57580652048114</v>
      </c>
      <c r="CN8" s="187">
        <f ca="1">CI8*(1+CN67)</f>
        <v>1066.2670109229759</v>
      </c>
      <c r="CO8" s="171">
        <f>CJ8*(1+CO67)</f>
        <v>268.59606286517504</v>
      </c>
      <c r="CP8" s="171">
        <f>CK8*(1+CP67)</f>
        <v>283.94804960567831</v>
      </c>
      <c r="CQ8" s="171">
        <f>CL8*(1+CQ67)</f>
        <v>284.90726906460679</v>
      </c>
      <c r="CR8" s="171">
        <f ca="1">CS8-SUM(CO8:CQ8)</f>
        <v>288.48034050258173</v>
      </c>
      <c r="CS8" s="187">
        <f ca="1">CN8*(1+CS67)</f>
        <v>1125.9317220380419</v>
      </c>
      <c r="CT8" s="171">
        <f>CO8*(1+CT67)</f>
        <v>280.68288569410788</v>
      </c>
      <c r="CU8" s="171">
        <f>CP8*(1+CU67)</f>
        <v>296.72571183793383</v>
      </c>
      <c r="CV8" s="171">
        <f>CQ8*(1+CV67)</f>
        <v>297.72809617251409</v>
      </c>
      <c r="CW8" s="171">
        <f ca="1">CX8-SUM(CT8:CV8)</f>
        <v>301.46195582519772</v>
      </c>
      <c r="CX8" s="187">
        <f ca="1">CS8*(1+CX67)</f>
        <v>1176.5986495297536</v>
      </c>
      <c r="CY8" s="171">
        <f>CT8*(1+CY67)</f>
        <v>293.31361555034272</v>
      </c>
      <c r="CZ8" s="171">
        <f>CU8*(1+CZ67)</f>
        <v>310.07836887064082</v>
      </c>
      <c r="DA8" s="171">
        <f>CV8*(1+DA67)</f>
        <v>311.12586050027721</v>
      </c>
      <c r="DB8" s="171">
        <f ca="1">DC8-SUM(CY8:DA8)</f>
        <v>315.02774383733163</v>
      </c>
      <c r="DC8" s="187">
        <f ca="1">CX8*(1+DC67)</f>
        <v>1229.5455887585924</v>
      </c>
      <c r="DD8" s="171">
        <f>CY8*(1+DD67)</f>
        <v>306.51272825010813</v>
      </c>
      <c r="DE8" s="171">
        <f>CZ8*(1+DE67)</f>
        <v>324.03189546981963</v>
      </c>
      <c r="DF8" s="171">
        <f>DA8*(1+DF67)</f>
        <v>325.12652422278967</v>
      </c>
      <c r="DG8" s="171">
        <f ca="1">DH8-SUM(DD8:DF8)</f>
        <v>329.20399231001147</v>
      </c>
      <c r="DH8" s="187">
        <f ca="1">DC8*(1+DH67)</f>
        <v>1284.8751402527289</v>
      </c>
    </row>
    <row r="9" spans="1:112" ht="12.75" customHeight="1" x14ac:dyDescent="0.2">
      <c r="A9" s="102" t="s">
        <v>242</v>
      </c>
      <c r="B9" s="103"/>
      <c r="C9" s="393" t="s">
        <v>221</v>
      </c>
      <c r="D9" s="393" t="s">
        <v>221</v>
      </c>
      <c r="E9" s="393" t="s">
        <v>221</v>
      </c>
      <c r="F9" s="393" t="s">
        <v>221</v>
      </c>
      <c r="G9" s="271" t="s">
        <v>221</v>
      </c>
      <c r="H9" s="393" t="s">
        <v>221</v>
      </c>
      <c r="I9" s="393" t="s">
        <v>221</v>
      </c>
      <c r="J9" s="393" t="s">
        <v>221</v>
      </c>
      <c r="K9" s="393" t="s">
        <v>221</v>
      </c>
      <c r="L9" s="271" t="s">
        <v>221</v>
      </c>
      <c r="M9" s="393" t="s">
        <v>221</v>
      </c>
      <c r="N9" s="393" t="s">
        <v>221</v>
      </c>
      <c r="O9" s="393" t="s">
        <v>221</v>
      </c>
      <c r="P9" s="393" t="s">
        <v>221</v>
      </c>
      <c r="Q9" s="271" t="s">
        <v>221</v>
      </c>
      <c r="R9" s="393" t="s">
        <v>221</v>
      </c>
      <c r="S9" s="393" t="s">
        <v>221</v>
      </c>
      <c r="T9" s="393" t="s">
        <v>221</v>
      </c>
      <c r="U9" s="393" t="s">
        <v>221</v>
      </c>
      <c r="V9" s="271" t="s">
        <v>221</v>
      </c>
      <c r="W9" s="393" t="s">
        <v>221</v>
      </c>
      <c r="X9" s="393" t="s">
        <v>221</v>
      </c>
      <c r="Y9" s="393" t="s">
        <v>221</v>
      </c>
      <c r="Z9" s="393" t="s">
        <v>221</v>
      </c>
      <c r="AA9" s="271" t="s">
        <v>221</v>
      </c>
      <c r="AB9" s="393" t="s">
        <v>221</v>
      </c>
      <c r="AC9" s="393" t="s">
        <v>221</v>
      </c>
      <c r="AD9" s="393" t="s">
        <v>221</v>
      </c>
      <c r="AE9" s="393" t="s">
        <v>221</v>
      </c>
      <c r="AF9" s="271" t="s">
        <v>221</v>
      </c>
      <c r="AG9" s="104">
        <f t="shared" ref="AG9:AO9" si="0">SUM(AG5:AG8)</f>
        <v>1161</v>
      </c>
      <c r="AH9" s="104">
        <f t="shared" si="0"/>
        <v>1101</v>
      </c>
      <c r="AI9" s="104">
        <f t="shared" si="0"/>
        <v>1241</v>
      </c>
      <c r="AJ9" s="104">
        <f t="shared" si="0"/>
        <v>1344</v>
      </c>
      <c r="AK9" s="184">
        <f t="shared" si="0"/>
        <v>4847</v>
      </c>
      <c r="AL9" s="104">
        <f t="shared" si="0"/>
        <v>1239</v>
      </c>
      <c r="AM9" s="104">
        <f t="shared" si="0"/>
        <v>1186</v>
      </c>
      <c r="AN9" s="104">
        <f t="shared" si="0"/>
        <v>1353</v>
      </c>
      <c r="AO9" s="104">
        <f t="shared" si="0"/>
        <v>1495</v>
      </c>
      <c r="AP9" s="184">
        <f t="shared" ref="AP9:AZ9" si="1">SUM(AP5:AP8)</f>
        <v>5273</v>
      </c>
      <c r="AQ9" s="104">
        <f t="shared" si="1"/>
        <v>1384</v>
      </c>
      <c r="AR9" s="104">
        <f t="shared" si="1"/>
        <v>1216</v>
      </c>
      <c r="AS9" s="104">
        <f t="shared" si="1"/>
        <v>1350</v>
      </c>
      <c r="AT9" s="104">
        <f t="shared" si="1"/>
        <v>1500</v>
      </c>
      <c r="AU9" s="184">
        <f t="shared" si="1"/>
        <v>5450</v>
      </c>
      <c r="AV9" s="104">
        <f t="shared" si="1"/>
        <v>1303</v>
      </c>
      <c r="AW9" s="104">
        <f t="shared" si="1"/>
        <v>1215</v>
      </c>
      <c r="AX9" s="104">
        <f t="shared" si="1"/>
        <v>1287</v>
      </c>
      <c r="AY9" s="104">
        <f t="shared" si="1"/>
        <v>1429</v>
      </c>
      <c r="AZ9" s="184">
        <f t="shared" si="1"/>
        <v>5234</v>
      </c>
      <c r="BA9" s="103">
        <f t="shared" ref="BA9:BJ9" si="2">SUM(BA5:BA8)</f>
        <v>1266</v>
      </c>
      <c r="BB9" s="103">
        <f t="shared" si="2"/>
        <v>1179</v>
      </c>
      <c r="BC9" s="103">
        <f t="shared" si="2"/>
        <v>1304</v>
      </c>
      <c r="BD9" s="103">
        <f t="shared" si="2"/>
        <v>1482</v>
      </c>
      <c r="BE9" s="184">
        <f t="shared" si="2"/>
        <v>5231</v>
      </c>
      <c r="BF9" s="104">
        <f>SUM(BF5:BF8)</f>
        <v>1305</v>
      </c>
      <c r="BG9" s="103">
        <f t="shared" si="2"/>
        <v>1221</v>
      </c>
      <c r="BH9" s="103">
        <f t="shared" si="2"/>
        <v>1401</v>
      </c>
      <c r="BI9" s="103">
        <f t="shared" si="2"/>
        <v>1541</v>
      </c>
      <c r="BJ9" s="184">
        <f t="shared" si="2"/>
        <v>5468</v>
      </c>
      <c r="BK9" s="103">
        <f>SUM(BK5:BK8)</f>
        <v>1338</v>
      </c>
      <c r="BL9" s="103">
        <f t="shared" ref="BL9:CX9" si="3">SUM(BL5:BL8)</f>
        <v>1325</v>
      </c>
      <c r="BM9" s="103">
        <f t="shared" si="3"/>
        <v>1413</v>
      </c>
      <c r="BN9" s="103">
        <f>SUM(BN5:BN8)</f>
        <v>1547</v>
      </c>
      <c r="BO9" s="184">
        <f>SUM(BO5:BO8)</f>
        <v>5623</v>
      </c>
      <c r="BP9" s="103">
        <f t="shared" si="3"/>
        <v>1343</v>
      </c>
      <c r="BQ9" s="103">
        <f>SUM(BQ5:BQ8)</f>
        <v>1308</v>
      </c>
      <c r="BR9" s="103">
        <f t="shared" si="3"/>
        <v>1366</v>
      </c>
      <c r="BS9" s="103">
        <f t="shared" si="3"/>
        <v>1497</v>
      </c>
      <c r="BT9" s="184">
        <f>SUM(BT5:BT8)</f>
        <v>5514</v>
      </c>
      <c r="BU9" s="647">
        <f t="shared" si="3"/>
        <v>1352</v>
      </c>
      <c r="BV9" s="103">
        <f t="shared" si="3"/>
        <v>1345</v>
      </c>
      <c r="BW9" s="103">
        <f t="shared" si="3"/>
        <v>1401</v>
      </c>
      <c r="BX9" s="103">
        <f t="shared" si="3"/>
        <v>1557</v>
      </c>
      <c r="BY9" s="184">
        <f>SUM(BY5:BY8)</f>
        <v>5655</v>
      </c>
      <c r="BZ9" s="103">
        <f>SUM(BZ5:BZ8)</f>
        <v>1390</v>
      </c>
      <c r="CA9" s="103">
        <f t="shared" si="3"/>
        <v>1345</v>
      </c>
      <c r="CB9" s="103">
        <f>SUM(CB5:CB8)</f>
        <v>1426</v>
      </c>
      <c r="CC9" s="103">
        <f>SUM(CC5:CC8)</f>
        <v>1600</v>
      </c>
      <c r="CD9" s="184">
        <f>SUM(CD5:CD8)</f>
        <v>5761</v>
      </c>
      <c r="CE9" s="103">
        <f t="shared" si="3"/>
        <v>1443</v>
      </c>
      <c r="CF9" s="647">
        <f t="shared" si="3"/>
        <v>1406</v>
      </c>
      <c r="CG9" s="647">
        <f t="shared" si="3"/>
        <v>1477</v>
      </c>
      <c r="CH9" s="647">
        <f t="shared" si="3"/>
        <v>1647</v>
      </c>
      <c r="CI9" s="184">
        <f t="shared" si="3"/>
        <v>5973</v>
      </c>
      <c r="CJ9" s="647">
        <f t="shared" si="3"/>
        <v>1500</v>
      </c>
      <c r="CK9" s="103">
        <f t="shared" si="3"/>
        <v>1416</v>
      </c>
      <c r="CL9" s="103">
        <f t="shared" si="3"/>
        <v>1513.2152044024947</v>
      </c>
      <c r="CM9" s="103">
        <f t="shared" ca="1" si="3"/>
        <v>1729.4018065204809</v>
      </c>
      <c r="CN9" s="184">
        <f t="shared" ca="1" si="3"/>
        <v>6158.6170109229761</v>
      </c>
      <c r="CO9" s="103">
        <f t="shared" si="3"/>
        <v>1583.436062865175</v>
      </c>
      <c r="CP9" s="103">
        <f t="shared" si="3"/>
        <v>1513.4780496056783</v>
      </c>
      <c r="CQ9" s="103">
        <f t="shared" si="3"/>
        <v>1617.9784190646069</v>
      </c>
      <c r="CR9" s="103">
        <f t="shared" ca="1" si="3"/>
        <v>1779.9508405025813</v>
      </c>
      <c r="CS9" s="184">
        <f t="shared" ca="1" si="3"/>
        <v>6494.8433720380417</v>
      </c>
      <c r="CT9" s="103">
        <f t="shared" si="3"/>
        <v>1620.642485694108</v>
      </c>
      <c r="CU9" s="103">
        <f t="shared" si="3"/>
        <v>1549.8496618379338</v>
      </c>
      <c r="CV9" s="103">
        <f t="shared" si="3"/>
        <v>1656.0440114225141</v>
      </c>
      <c r="CW9" s="103">
        <f t="shared" ca="1" si="3"/>
        <v>1820.6025203251968</v>
      </c>
      <c r="CX9" s="184">
        <f t="shared" ca="1" si="3"/>
        <v>6647.1386792797539</v>
      </c>
      <c r="CY9" s="103">
        <f t="shared" ref="CY9:DH9" si="4">SUM(CY5:CY8)</f>
        <v>1658.8902800503429</v>
      </c>
      <c r="CZ9" s="103">
        <f t="shared" si="4"/>
        <v>1587.2667991206406</v>
      </c>
      <c r="DA9" s="103">
        <f t="shared" si="4"/>
        <v>1695.1833575865271</v>
      </c>
      <c r="DB9" s="103">
        <f t="shared" ca="1" si="4"/>
        <v>1862.3730275473313</v>
      </c>
      <c r="DC9" s="184">
        <f t="shared" ca="1" si="4"/>
        <v>6803.7134643048421</v>
      </c>
      <c r="DD9" s="103">
        <f t="shared" si="4"/>
        <v>1698.214115390108</v>
      </c>
      <c r="DE9" s="103">
        <f t="shared" si="4"/>
        <v>1625.7650666185696</v>
      </c>
      <c r="DF9" s="103">
        <f t="shared" si="4"/>
        <v>1735.4325641611708</v>
      </c>
      <c r="DG9" s="103">
        <f t="shared" ca="1" si="4"/>
        <v>1905.2994029255733</v>
      </c>
      <c r="DH9" s="184">
        <f t="shared" ca="1" si="4"/>
        <v>6964.7111490954221</v>
      </c>
    </row>
    <row r="10" spans="1:112" ht="14.25" customHeight="1" x14ac:dyDescent="0.2">
      <c r="A10" s="102"/>
      <c r="B10" s="103"/>
      <c r="C10" s="158"/>
      <c r="D10" s="158"/>
      <c r="E10" s="158"/>
      <c r="F10" s="158"/>
      <c r="G10" s="269"/>
      <c r="H10" s="158"/>
      <c r="I10" s="158"/>
      <c r="J10" s="158"/>
      <c r="K10" s="158"/>
      <c r="L10" s="269"/>
      <c r="M10" s="158"/>
      <c r="N10" s="158"/>
      <c r="O10" s="158"/>
      <c r="P10" s="158"/>
      <c r="Q10" s="269"/>
      <c r="R10" s="158"/>
      <c r="S10" s="158"/>
      <c r="T10" s="158"/>
      <c r="U10" s="158"/>
      <c r="V10" s="269"/>
      <c r="W10" s="158"/>
      <c r="X10" s="158"/>
      <c r="Y10" s="158"/>
      <c r="Z10" s="158"/>
      <c r="AA10" s="269"/>
      <c r="AB10" s="158"/>
      <c r="AC10" s="158"/>
      <c r="AD10" s="158"/>
      <c r="AE10" s="158"/>
      <c r="AF10" s="269"/>
      <c r="AG10" s="104"/>
      <c r="AH10" s="104"/>
      <c r="AI10" s="48"/>
      <c r="AJ10" s="48"/>
      <c r="AK10" s="184"/>
      <c r="AL10" s="104"/>
      <c r="AM10" s="104"/>
      <c r="AN10" s="48"/>
      <c r="AO10" s="48"/>
      <c r="AP10" s="184"/>
      <c r="AQ10" s="104"/>
      <c r="AR10" s="104"/>
      <c r="AS10" s="48"/>
      <c r="AT10" s="48"/>
      <c r="AU10" s="184"/>
      <c r="AV10" s="104"/>
      <c r="AW10" s="104"/>
      <c r="AX10" s="104"/>
      <c r="AY10" s="104"/>
      <c r="AZ10" s="184"/>
      <c r="BA10" s="99"/>
      <c r="BB10" s="597"/>
      <c r="BC10" s="103"/>
      <c r="BD10" s="103"/>
      <c r="BE10" s="588"/>
      <c r="BF10" s="623"/>
      <c r="BG10" s="601"/>
      <c r="BH10" s="627"/>
      <c r="BI10" s="99"/>
      <c r="BJ10" s="186"/>
      <c r="BK10" s="99"/>
      <c r="BL10" s="99"/>
      <c r="BM10" s="99"/>
      <c r="BN10" s="99"/>
      <c r="BO10" s="186"/>
      <c r="BP10" s="99"/>
      <c r="BQ10" s="99"/>
      <c r="BR10" s="99"/>
      <c r="BS10" s="99"/>
      <c r="BT10" s="186"/>
      <c r="BU10" s="99"/>
      <c r="BV10" s="99"/>
      <c r="BW10" s="99"/>
      <c r="BX10" s="99"/>
      <c r="BY10" s="186"/>
      <c r="BZ10" s="99"/>
      <c r="CA10" s="99"/>
      <c r="CB10" s="99"/>
      <c r="CC10" s="99"/>
      <c r="CD10" s="186"/>
      <c r="CE10" s="99"/>
      <c r="CF10" s="798"/>
      <c r="CG10" s="99"/>
      <c r="CH10" s="99"/>
      <c r="CI10" s="186"/>
      <c r="CJ10" s="99"/>
      <c r="CK10" s="99"/>
      <c r="CL10" s="99"/>
      <c r="CM10" s="99"/>
      <c r="CN10" s="186"/>
      <c r="CO10" s="99"/>
      <c r="CP10" s="99"/>
      <c r="CQ10" s="99"/>
      <c r="CR10" s="99"/>
      <c r="CS10" s="186"/>
      <c r="CT10" s="99"/>
      <c r="CU10" s="99"/>
      <c r="CV10" s="99"/>
      <c r="CW10" s="99"/>
      <c r="CX10" s="186"/>
      <c r="CY10" s="99"/>
      <c r="CZ10" s="99"/>
      <c r="DA10" s="99"/>
      <c r="DB10" s="99"/>
      <c r="DC10" s="186"/>
      <c r="DD10" s="99"/>
      <c r="DE10" s="99"/>
      <c r="DF10" s="99"/>
      <c r="DG10" s="99"/>
      <c r="DH10" s="186"/>
    </row>
    <row r="11" spans="1:112" ht="12.75" hidden="1" customHeight="1" outlineLevel="1" x14ac:dyDescent="0.2">
      <c r="A11" s="102" t="s">
        <v>102</v>
      </c>
      <c r="B11" s="103"/>
      <c r="C11" s="158"/>
      <c r="D11" s="158"/>
      <c r="E11" s="158"/>
      <c r="F11" s="158"/>
      <c r="G11" s="269"/>
      <c r="H11" s="158"/>
      <c r="I11" s="158"/>
      <c r="J11" s="158"/>
      <c r="K11" s="158"/>
      <c r="L11" s="269"/>
      <c r="M11" s="158"/>
      <c r="N11" s="158"/>
      <c r="O11" s="158"/>
      <c r="P11" s="158"/>
      <c r="Q11" s="269"/>
      <c r="R11" s="158"/>
      <c r="S11" s="158"/>
      <c r="T11" s="158"/>
      <c r="U11" s="158"/>
      <c r="V11" s="269"/>
      <c r="W11" s="158"/>
      <c r="X11" s="158"/>
      <c r="Y11" s="158"/>
      <c r="Z11" s="158"/>
      <c r="AA11" s="269"/>
      <c r="AB11" s="158"/>
      <c r="AC11" s="158"/>
      <c r="AD11" s="158"/>
      <c r="AE11" s="158"/>
      <c r="AF11" s="269"/>
      <c r="AG11" s="104"/>
      <c r="AH11" s="104"/>
      <c r="AI11" s="104"/>
      <c r="AJ11" s="104"/>
      <c r="AK11" s="184"/>
      <c r="AL11" s="104"/>
      <c r="AM11" s="104"/>
      <c r="AN11" s="104"/>
      <c r="AO11" s="104"/>
      <c r="AP11" s="184"/>
      <c r="AQ11" s="104"/>
      <c r="AR11" s="104"/>
      <c r="AS11" s="104"/>
      <c r="AT11" s="104"/>
      <c r="AU11" s="184"/>
      <c r="AV11" s="104"/>
      <c r="AW11" s="104"/>
      <c r="AX11" s="104"/>
      <c r="AY11" s="104"/>
      <c r="AZ11" s="184"/>
      <c r="BA11" s="99"/>
      <c r="BB11" s="99"/>
      <c r="BC11" s="600"/>
      <c r="BD11" s="600"/>
      <c r="BE11" s="532"/>
      <c r="BF11" s="623"/>
      <c r="BG11" s="601"/>
      <c r="BH11" s="99"/>
      <c r="BI11" s="99"/>
      <c r="BJ11" s="186"/>
      <c r="BK11" s="99"/>
      <c r="BL11" s="99"/>
      <c r="BM11" s="99"/>
      <c r="BN11" s="99"/>
      <c r="BO11" s="186"/>
      <c r="BP11" s="99"/>
      <c r="BQ11" s="99"/>
      <c r="BR11" s="99"/>
      <c r="BS11" s="99"/>
      <c r="BT11" s="186"/>
      <c r="BU11" s="99"/>
      <c r="BV11" s="99"/>
      <c r="BW11" s="99"/>
      <c r="BX11" s="99"/>
      <c r="BY11" s="186"/>
      <c r="BZ11" s="99"/>
      <c r="CA11" s="99"/>
      <c r="CB11" s="99"/>
      <c r="CC11" s="99"/>
      <c r="CD11" s="186"/>
      <c r="CE11" s="99"/>
      <c r="CF11" s="798"/>
      <c r="CG11" s="99"/>
      <c r="CH11" s="99"/>
      <c r="CI11" s="186"/>
      <c r="CJ11" s="99"/>
      <c r="CK11" s="99"/>
      <c r="CL11" s="99"/>
      <c r="CM11" s="99"/>
      <c r="CN11" s="186"/>
      <c r="CO11" s="99"/>
      <c r="CP11" s="99"/>
      <c r="CQ11" s="99"/>
      <c r="CR11" s="99"/>
      <c r="CS11" s="186"/>
      <c r="CT11" s="99"/>
      <c r="CU11" s="99"/>
      <c r="CV11" s="99"/>
      <c r="CW11" s="99"/>
      <c r="CX11" s="186"/>
      <c r="CY11" s="99"/>
      <c r="CZ11" s="99"/>
      <c r="DA11" s="99"/>
      <c r="DB11" s="99"/>
      <c r="DC11" s="186"/>
      <c r="DD11" s="99"/>
      <c r="DE11" s="99"/>
      <c r="DF11" s="99"/>
      <c r="DG11" s="99"/>
      <c r="DH11" s="186"/>
    </row>
    <row r="12" spans="1:112" ht="12.75" hidden="1" customHeight="1" outlineLevel="1" x14ac:dyDescent="0.2">
      <c r="A12" s="101" t="s">
        <v>217</v>
      </c>
      <c r="B12" s="103"/>
      <c r="C12" s="393" t="s">
        <v>221</v>
      </c>
      <c r="D12" s="393" t="s">
        <v>221</v>
      </c>
      <c r="E12" s="393" t="s">
        <v>221</v>
      </c>
      <c r="F12" s="393" t="s">
        <v>221</v>
      </c>
      <c r="G12" s="271" t="s">
        <v>221</v>
      </c>
      <c r="H12" s="393" t="s">
        <v>221</v>
      </c>
      <c r="I12" s="393" t="s">
        <v>221</v>
      </c>
      <c r="J12" s="393" t="s">
        <v>221</v>
      </c>
      <c r="K12" s="393" t="s">
        <v>221</v>
      </c>
      <c r="L12" s="271" t="s">
        <v>221</v>
      </c>
      <c r="M12" s="393" t="s">
        <v>221</v>
      </c>
      <c r="N12" s="393" t="s">
        <v>221</v>
      </c>
      <c r="O12" s="393" t="s">
        <v>221</v>
      </c>
      <c r="P12" s="393" t="s">
        <v>221</v>
      </c>
      <c r="Q12" s="271" t="s">
        <v>221</v>
      </c>
      <c r="R12" s="393" t="s">
        <v>221</v>
      </c>
      <c r="S12" s="393" t="s">
        <v>221</v>
      </c>
      <c r="T12" s="393" t="s">
        <v>221</v>
      </c>
      <c r="U12" s="393" t="s">
        <v>221</v>
      </c>
      <c r="V12" s="271" t="s">
        <v>221</v>
      </c>
      <c r="W12" s="393" t="s">
        <v>221</v>
      </c>
      <c r="X12" s="393" t="s">
        <v>221</v>
      </c>
      <c r="Y12" s="393" t="s">
        <v>221</v>
      </c>
      <c r="Z12" s="393" t="s">
        <v>221</v>
      </c>
      <c r="AA12" s="271" t="s">
        <v>221</v>
      </c>
      <c r="AB12" s="393" t="s">
        <v>221</v>
      </c>
      <c r="AC12" s="393" t="s">
        <v>221</v>
      </c>
      <c r="AD12" s="393" t="s">
        <v>221</v>
      </c>
      <c r="AE12" s="393" t="s">
        <v>221</v>
      </c>
      <c r="AF12" s="271" t="s">
        <v>221</v>
      </c>
      <c r="AG12" s="47">
        <f t="shared" ref="AG12:AP12" si="5">AG5/AG9</f>
        <v>0.3979328165374677</v>
      </c>
      <c r="AH12" s="47">
        <f t="shared" si="5"/>
        <v>0.36693914623069934</v>
      </c>
      <c r="AI12" s="47">
        <f t="shared" si="5"/>
        <v>0.37711522965350525</v>
      </c>
      <c r="AJ12" s="47">
        <f t="shared" si="5"/>
        <v>0.3325892857142857</v>
      </c>
      <c r="AK12" s="185">
        <f t="shared" si="5"/>
        <v>0.36744377965752012</v>
      </c>
      <c r="AL12" s="47">
        <f t="shared" si="5"/>
        <v>0.37853107344632769</v>
      </c>
      <c r="AM12" s="47">
        <f t="shared" si="5"/>
        <v>0.35075885328836426</v>
      </c>
      <c r="AN12" s="47">
        <f t="shared" si="5"/>
        <v>0.34515890613451589</v>
      </c>
      <c r="AO12" s="47">
        <f t="shared" si="5"/>
        <v>0.31103678929765888</v>
      </c>
      <c r="AP12" s="185">
        <f t="shared" si="5"/>
        <v>0.34458562488147165</v>
      </c>
      <c r="AQ12" s="47">
        <f t="shared" ref="AQ12:AY12" si="6">AQ5/AQ9</f>
        <v>0.35187861271676302</v>
      </c>
      <c r="AR12" s="47">
        <f>AR5/AR9</f>
        <v>0.33963815789473684</v>
      </c>
      <c r="AS12" s="47">
        <f>AS5/AS9</f>
        <v>0.34888888888888892</v>
      </c>
      <c r="AT12" s="47">
        <f>AT5/AT9</f>
        <v>0.31</v>
      </c>
      <c r="AU12" s="185">
        <f t="shared" si="6"/>
        <v>0.3368807339449541</v>
      </c>
      <c r="AV12" s="47">
        <f t="shared" si="6"/>
        <v>0.3484267075978511</v>
      </c>
      <c r="AW12" s="47">
        <f t="shared" si="6"/>
        <v>0.31111111111111112</v>
      </c>
      <c r="AX12" s="47">
        <f t="shared" si="6"/>
        <v>0.30846930846930848</v>
      </c>
      <c r="AY12" s="47">
        <f t="shared" si="6"/>
        <v>0.27641707487753675</v>
      </c>
      <c r="AZ12" s="185">
        <f t="shared" ref="AZ12:BE12" si="7">AZ5/AZ9</f>
        <v>0.31027894535727935</v>
      </c>
      <c r="BA12" s="47">
        <f t="shared" si="7"/>
        <v>0.35466034755134279</v>
      </c>
      <c r="BB12" s="47">
        <f t="shared" si="7"/>
        <v>0.30025445292620867</v>
      </c>
      <c r="BC12" s="47">
        <f>BC5/BC9</f>
        <v>0.31211656441717789</v>
      </c>
      <c r="BD12" s="47">
        <f t="shared" si="7"/>
        <v>0.27597840755735492</v>
      </c>
      <c r="BE12" s="185">
        <f t="shared" si="7"/>
        <v>0.30950105142420187</v>
      </c>
      <c r="BF12" s="47">
        <f t="shared" ref="BF12:CX12" si="8">BF5/BF9</f>
        <v>0.33639846743295021</v>
      </c>
      <c r="BG12" s="47">
        <f t="shared" si="8"/>
        <v>0.30303030303030304</v>
      </c>
      <c r="BH12" s="47">
        <f t="shared" si="8"/>
        <v>0.31905781584582443</v>
      </c>
      <c r="BI12" s="47">
        <f t="shared" si="8"/>
        <v>0.2829331602855289</v>
      </c>
      <c r="BJ12" s="185">
        <f t="shared" si="8"/>
        <v>0.30943672275054862</v>
      </c>
      <c r="BK12" s="47">
        <f t="shared" si="8"/>
        <v>0.35276532137518685</v>
      </c>
      <c r="BL12" s="47">
        <f t="shared" si="8"/>
        <v>0.32075471698113206</v>
      </c>
      <c r="BM12" s="47">
        <f t="shared" si="8"/>
        <v>0.32130219391365888</v>
      </c>
      <c r="BN12" s="47">
        <f>BN5/BN9</f>
        <v>0.27925016160310279</v>
      </c>
      <c r="BO12" s="185">
        <f>BO5/BO9</f>
        <v>0.31709052107415969</v>
      </c>
      <c r="BP12" s="47">
        <f t="shared" si="8"/>
        <v>0.35666418466120625</v>
      </c>
      <c r="BQ12" s="47">
        <f t="shared" si="8"/>
        <v>0.33027522935779818</v>
      </c>
      <c r="BR12" s="47">
        <f t="shared" si="8"/>
        <v>0.31991215226939973</v>
      </c>
      <c r="BS12" s="47">
        <f t="shared" si="8"/>
        <v>0.28590514362057451</v>
      </c>
      <c r="BT12" s="185">
        <f t="shared" si="8"/>
        <v>0.3220892274211099</v>
      </c>
      <c r="BU12" s="47">
        <f t="shared" si="8"/>
        <v>0.34763313609467456</v>
      </c>
      <c r="BV12" s="47">
        <f t="shared" si="8"/>
        <v>0.33234200743494424</v>
      </c>
      <c r="BW12" s="47">
        <f t="shared" si="8"/>
        <v>0.31548893647394716</v>
      </c>
      <c r="BX12" s="47">
        <f t="shared" si="8"/>
        <v>0.29865125240847784</v>
      </c>
      <c r="BY12" s="185">
        <f t="shared" si="8"/>
        <v>0.32254641909814324</v>
      </c>
      <c r="BZ12" s="47">
        <f t="shared" si="8"/>
        <v>0.35755395683453239</v>
      </c>
      <c r="CA12" s="47">
        <f t="shared" si="8"/>
        <v>0.33977695167286243</v>
      </c>
      <c r="CB12" s="47">
        <f t="shared" si="8"/>
        <v>0.32608695652173914</v>
      </c>
      <c r="CC12" s="47">
        <f t="shared" si="8"/>
        <v>0.30812499999999998</v>
      </c>
      <c r="CD12" s="185">
        <f t="shared" si="8"/>
        <v>0.33188682520395762</v>
      </c>
      <c r="CE12" s="47">
        <f t="shared" si="8"/>
        <v>0.37006237006237008</v>
      </c>
      <c r="CF12" s="610">
        <f t="shared" si="8"/>
        <v>0.33357041251778091</v>
      </c>
      <c r="CG12" s="47">
        <f t="shared" si="8"/>
        <v>0.33649289099526064</v>
      </c>
      <c r="CH12" s="47">
        <f t="shared" si="8"/>
        <v>0.30479659987856711</v>
      </c>
      <c r="CI12" s="185">
        <f t="shared" si="8"/>
        <v>0.33517495395948432</v>
      </c>
      <c r="CJ12" s="47">
        <f t="shared" si="8"/>
        <v>0.37266666666666665</v>
      </c>
      <c r="CK12" s="47">
        <f t="shared" si="8"/>
        <v>0.33333333333333331</v>
      </c>
      <c r="CL12" s="47">
        <f t="shared" si="8"/>
        <v>0.32909661398534323</v>
      </c>
      <c r="CM12" s="47">
        <f t="shared" ca="1" si="8"/>
        <v>0.29666095991436325</v>
      </c>
      <c r="CN12" s="185">
        <f t="shared" ca="1" si="8"/>
        <v>0.33157444218047982</v>
      </c>
      <c r="CO12" s="47">
        <f t="shared" si="8"/>
        <v>0.36009032089889265</v>
      </c>
      <c r="CP12" s="47">
        <f t="shared" si="8"/>
        <v>0.3212203838216644</v>
      </c>
      <c r="CQ12" s="47">
        <f t="shared" si="8"/>
        <v>0.32317717828541731</v>
      </c>
      <c r="CR12" s="47">
        <f t="shared" ca="1" si="8"/>
        <v>0.28869184940799181</v>
      </c>
      <c r="CS12" s="185">
        <f t="shared" ca="1" si="8"/>
        <v>0.32226966534886597</v>
      </c>
      <c r="CT12" s="47">
        <f t="shared" si="8"/>
        <v>0.35885989978283983</v>
      </c>
      <c r="CU12" s="47">
        <f t="shared" si="8"/>
        <v>0.31995567841847494</v>
      </c>
      <c r="CV12" s="47">
        <f t="shared" si="8"/>
        <v>0.32206364705359491</v>
      </c>
      <c r="CW12" s="47">
        <f t="shared" ca="1" si="8"/>
        <v>0.28789065166535005</v>
      </c>
      <c r="CX12" s="185">
        <f t="shared" ca="1" si="8"/>
        <v>0.32118373378533621</v>
      </c>
      <c r="CY12" s="47">
        <f>CY5/CY9</f>
        <v>0.35759765376526137</v>
      </c>
      <c r="CZ12" s="47">
        <f>CZ5/CZ9</f>
        <v>0.3186615282825912</v>
      </c>
      <c r="DA12" s="47">
        <f>DA5/DA9</f>
        <v>0.32092021376055296</v>
      </c>
      <c r="DB12" s="47">
        <f ca="1">DB5/DB9</f>
        <v>0.28706232694105793</v>
      </c>
      <c r="DC12" s="185">
        <f t="shared" ref="DC12:DH12" ca="1" si="9">DC5/DC9</f>
        <v>0.32006813453048588</v>
      </c>
      <c r="DD12" s="47">
        <f t="shared" si="9"/>
        <v>0.35630346724623901</v>
      </c>
      <c r="DE12" s="47">
        <f t="shared" si="9"/>
        <v>0.31733790562559949</v>
      </c>
      <c r="DF12" s="47">
        <f t="shared" si="9"/>
        <v>0.31974678189688865</v>
      </c>
      <c r="DG12" s="47">
        <f t="shared" ca="1" si="9"/>
        <v>0.28620671206902237</v>
      </c>
      <c r="DH12" s="185">
        <f t="shared" ca="1" si="9"/>
        <v>0.31892276167353911</v>
      </c>
    </row>
    <row r="13" spans="1:112" ht="12.75" hidden="1" customHeight="1" outlineLevel="1" x14ac:dyDescent="0.2">
      <c r="A13" s="101" t="s">
        <v>218</v>
      </c>
      <c r="B13" s="103"/>
      <c r="C13" s="393" t="s">
        <v>221</v>
      </c>
      <c r="D13" s="393" t="s">
        <v>221</v>
      </c>
      <c r="E13" s="393" t="s">
        <v>221</v>
      </c>
      <c r="F13" s="393" t="s">
        <v>221</v>
      </c>
      <c r="G13" s="271" t="s">
        <v>221</v>
      </c>
      <c r="H13" s="393" t="s">
        <v>221</v>
      </c>
      <c r="I13" s="393" t="s">
        <v>221</v>
      </c>
      <c r="J13" s="393" t="s">
        <v>221</v>
      </c>
      <c r="K13" s="393" t="s">
        <v>221</v>
      </c>
      <c r="L13" s="271" t="s">
        <v>221</v>
      </c>
      <c r="M13" s="393" t="s">
        <v>221</v>
      </c>
      <c r="N13" s="393" t="s">
        <v>221</v>
      </c>
      <c r="O13" s="393" t="s">
        <v>221</v>
      </c>
      <c r="P13" s="393" t="s">
        <v>221</v>
      </c>
      <c r="Q13" s="271" t="s">
        <v>221</v>
      </c>
      <c r="R13" s="393" t="s">
        <v>221</v>
      </c>
      <c r="S13" s="393" t="s">
        <v>221</v>
      </c>
      <c r="T13" s="393" t="s">
        <v>221</v>
      </c>
      <c r="U13" s="393" t="s">
        <v>221</v>
      </c>
      <c r="V13" s="271" t="s">
        <v>221</v>
      </c>
      <c r="W13" s="393" t="s">
        <v>221</v>
      </c>
      <c r="X13" s="393" t="s">
        <v>221</v>
      </c>
      <c r="Y13" s="393" t="s">
        <v>221</v>
      </c>
      <c r="Z13" s="393" t="s">
        <v>221</v>
      </c>
      <c r="AA13" s="271" t="s">
        <v>221</v>
      </c>
      <c r="AB13" s="393" t="s">
        <v>221</v>
      </c>
      <c r="AC13" s="393" t="s">
        <v>221</v>
      </c>
      <c r="AD13" s="393" t="s">
        <v>221</v>
      </c>
      <c r="AE13" s="393" t="s">
        <v>221</v>
      </c>
      <c r="AF13" s="271" t="s">
        <v>221</v>
      </c>
      <c r="AG13" s="47">
        <f t="shared" ref="AG13:AP13" si="10">AG6/AG9</f>
        <v>0.32041343669250644</v>
      </c>
      <c r="AH13" s="47">
        <f t="shared" si="10"/>
        <v>0.3242506811989101</v>
      </c>
      <c r="AI13" s="47">
        <f t="shared" si="10"/>
        <v>0.32634971796937956</v>
      </c>
      <c r="AJ13" s="47">
        <f t="shared" si="10"/>
        <v>0.37351190476190477</v>
      </c>
      <c r="AK13" s="185">
        <f t="shared" si="10"/>
        <v>0.33752836806271919</v>
      </c>
      <c r="AL13" s="47">
        <f t="shared" si="10"/>
        <v>0.30992736077481842</v>
      </c>
      <c r="AM13" s="47">
        <f t="shared" si="10"/>
        <v>0.30522765598650925</v>
      </c>
      <c r="AN13" s="47">
        <f t="shared" si="10"/>
        <v>0.30524759793052475</v>
      </c>
      <c r="AO13" s="47">
        <f t="shared" si="10"/>
        <v>0.3605351170568562</v>
      </c>
      <c r="AP13" s="185">
        <f t="shared" si="10"/>
        <v>0.32201782666413808</v>
      </c>
      <c r="AQ13" s="47">
        <f t="shared" ref="AQ13:AY13" si="11">AQ6/AQ9</f>
        <v>0.30780346820809251</v>
      </c>
      <c r="AR13" s="47">
        <f>AR6/AR9</f>
        <v>0.29111842105263158</v>
      </c>
      <c r="AS13" s="47">
        <f>AS6/AS9</f>
        <v>0.30148148148148146</v>
      </c>
      <c r="AT13" s="47">
        <f>AT6/AT9</f>
        <v>0.35866666666666669</v>
      </c>
      <c r="AU13" s="185">
        <f t="shared" si="11"/>
        <v>0.31669724770642199</v>
      </c>
      <c r="AV13" s="47">
        <f t="shared" si="11"/>
        <v>0.29240214888718341</v>
      </c>
      <c r="AW13" s="47">
        <f t="shared" si="11"/>
        <v>0.2748971193415638</v>
      </c>
      <c r="AX13" s="47">
        <f t="shared" si="11"/>
        <v>0.317016317016317</v>
      </c>
      <c r="AY13" s="47">
        <f t="shared" si="11"/>
        <v>0.37788663400979705</v>
      </c>
      <c r="AZ13" s="185">
        <f t="shared" ref="AZ13:BE13" si="12">AZ6/AZ9</f>
        <v>0.31773022544898738</v>
      </c>
      <c r="BA13" s="47">
        <f t="shared" si="12"/>
        <v>0.27962085308056872</v>
      </c>
      <c r="BB13" s="47">
        <f t="shared" si="12"/>
        <v>0.27141645462256148</v>
      </c>
      <c r="BC13" s="47">
        <f>BC6/BC9</f>
        <v>0.30214723926380366</v>
      </c>
      <c r="BD13" s="47">
        <f t="shared" si="12"/>
        <v>0.36639676113360325</v>
      </c>
      <c r="BE13" s="185">
        <f t="shared" si="12"/>
        <v>0.30797170713056776</v>
      </c>
      <c r="BF13" s="47">
        <f t="shared" ref="BF13:CX13" si="13">BF6/BF9</f>
        <v>0.28045977011494255</v>
      </c>
      <c r="BG13" s="47">
        <f t="shared" si="13"/>
        <v>0.27354627354627353</v>
      </c>
      <c r="BH13" s="47">
        <f t="shared" si="13"/>
        <v>0.29764453961456105</v>
      </c>
      <c r="BI13" s="47">
        <f t="shared" si="13"/>
        <v>0.36275146009085008</v>
      </c>
      <c r="BJ13" s="185">
        <f t="shared" si="13"/>
        <v>0.30651060716898315</v>
      </c>
      <c r="BK13" s="47">
        <f t="shared" si="13"/>
        <v>0.26532137518684606</v>
      </c>
      <c r="BL13" s="47">
        <f t="shared" si="13"/>
        <v>0.26943396226415095</v>
      </c>
      <c r="BM13" s="47">
        <f t="shared" si="13"/>
        <v>0.29228591648973817</v>
      </c>
      <c r="BN13" s="47">
        <f>BN6/BN9</f>
        <v>0.36716224951519066</v>
      </c>
      <c r="BO13" s="185">
        <f>BO6/BO9</f>
        <v>0.30108483016183529</v>
      </c>
      <c r="BP13" s="47">
        <f t="shared" si="13"/>
        <v>0.27699180938198065</v>
      </c>
      <c r="BQ13" s="47">
        <f t="shared" si="13"/>
        <v>0.26911314984709478</v>
      </c>
      <c r="BR13" s="47">
        <f t="shared" si="13"/>
        <v>0.31332357247437775</v>
      </c>
      <c r="BS13" s="47">
        <f t="shared" si="13"/>
        <v>0.37207748830995324</v>
      </c>
      <c r="BT13" s="185">
        <f t="shared" si="13"/>
        <v>0.30993833877402976</v>
      </c>
      <c r="BU13" s="47">
        <f t="shared" si="13"/>
        <v>0.28994082840236685</v>
      </c>
      <c r="BV13" s="47">
        <f t="shared" si="13"/>
        <v>0.27583643122676582</v>
      </c>
      <c r="BW13" s="47">
        <f t="shared" si="13"/>
        <v>0.32191291934332622</v>
      </c>
      <c r="BX13" s="47">
        <f t="shared" si="13"/>
        <v>0.37251123956326271</v>
      </c>
      <c r="BY13" s="185">
        <f t="shared" si="13"/>
        <v>0.31724137931034485</v>
      </c>
      <c r="BZ13" s="47">
        <f t="shared" si="13"/>
        <v>0.29568345323741008</v>
      </c>
      <c r="CA13" s="47">
        <f t="shared" si="13"/>
        <v>0.27881040892193309</v>
      </c>
      <c r="CB13" s="47">
        <f t="shared" si="13"/>
        <v>0.32748948106591863</v>
      </c>
      <c r="CC13" s="47">
        <f t="shared" si="13"/>
        <v>0.38062499999999999</v>
      </c>
      <c r="CD13" s="185">
        <f t="shared" si="13"/>
        <v>0.32320777642770354</v>
      </c>
      <c r="CE13" s="47">
        <f t="shared" si="13"/>
        <v>0.29244629244629244</v>
      </c>
      <c r="CF13" s="610">
        <f t="shared" si="13"/>
        <v>0.29943100995732574</v>
      </c>
      <c r="CG13" s="47">
        <f t="shared" si="13"/>
        <v>0.32904536222071767</v>
      </c>
      <c r="CH13" s="47">
        <f t="shared" si="13"/>
        <v>0.38372799028536736</v>
      </c>
      <c r="CI13" s="185">
        <f t="shared" si="13"/>
        <v>0.32831073162564878</v>
      </c>
      <c r="CJ13" s="47">
        <f t="shared" si="13"/>
        <v>0.29399999999999998</v>
      </c>
      <c r="CK13" s="47">
        <f t="shared" si="13"/>
        <v>0.28954802259887008</v>
      </c>
      <c r="CL13" s="47">
        <f t="shared" si="13"/>
        <v>0.32117044461755923</v>
      </c>
      <c r="CM13" s="47">
        <f t="shared" ca="1" si="13"/>
        <v>0.39106585725194831</v>
      </c>
      <c r="CN13" s="185">
        <f t="shared" ca="1" si="13"/>
        <v>0.32690943379482373</v>
      </c>
      <c r="CO13" s="47">
        <f t="shared" si="13"/>
        <v>0.30948518319916929</v>
      </c>
      <c r="CP13" s="47">
        <f t="shared" si="13"/>
        <v>0.31143497596334851</v>
      </c>
      <c r="CQ13" s="47">
        <f t="shared" si="13"/>
        <v>0.33792447016449839</v>
      </c>
      <c r="CR13" s="47">
        <f t="shared" ca="1" si="13"/>
        <v>0.39593292913697065</v>
      </c>
      <c r="CS13" s="185">
        <f t="shared" ca="1" si="13"/>
        <v>0.34071578377502998</v>
      </c>
      <c r="CT13" s="47">
        <f t="shared" si="13"/>
        <v>0.30691577839696538</v>
      </c>
      <c r="CU13" s="47">
        <f t="shared" si="13"/>
        <v>0.30868816620100531</v>
      </c>
      <c r="CV13" s="47">
        <f t="shared" si="13"/>
        <v>0.33510934109975871</v>
      </c>
      <c r="CW13" s="47">
        <f t="shared" ca="1" si="13"/>
        <v>0.39289864715898026</v>
      </c>
      <c r="CX13" s="185">
        <f t="shared" ca="1" si="13"/>
        <v>0.33790314797424581</v>
      </c>
      <c r="CY13" s="47">
        <f>CY6/CY9</f>
        <v>0.30433704225132885</v>
      </c>
      <c r="CZ13" s="47">
        <f>CZ6/CZ9</f>
        <v>0.30593253384939728</v>
      </c>
      <c r="DA13" s="47">
        <f>DA6/DA9</f>
        <v>0.33228273050323909</v>
      </c>
      <c r="DB13" s="47">
        <f ca="1">DB6/DB9</f>
        <v>0.38984775902543917</v>
      </c>
      <c r="DC13" s="185">
        <f t="shared" ref="DC13:DH13" ca="1" si="14">DC6/DC9</f>
        <v>0.33507884083918898</v>
      </c>
      <c r="DD13" s="47">
        <f t="shared" si="14"/>
        <v>0.30174916285573045</v>
      </c>
      <c r="DE13" s="47">
        <f t="shared" si="14"/>
        <v>0.303168343431928</v>
      </c>
      <c r="DF13" s="47">
        <f t="shared" si="14"/>
        <v>0.32944487091625219</v>
      </c>
      <c r="DG13" s="47">
        <f t="shared" ca="1" si="14"/>
        <v>0.38678046053868276</v>
      </c>
      <c r="DH13" s="185">
        <f t="shared" ca="1" si="14"/>
        <v>0.33224308629613553</v>
      </c>
    </row>
    <row r="14" spans="1:112" ht="12.75" hidden="1" customHeight="1" outlineLevel="1" x14ac:dyDescent="0.2">
      <c r="A14" s="101" t="s">
        <v>219</v>
      </c>
      <c r="B14" s="103"/>
      <c r="C14" s="393" t="s">
        <v>221</v>
      </c>
      <c r="D14" s="393" t="s">
        <v>221</v>
      </c>
      <c r="E14" s="393" t="s">
        <v>221</v>
      </c>
      <c r="F14" s="393" t="s">
        <v>221</v>
      </c>
      <c r="G14" s="271" t="s">
        <v>221</v>
      </c>
      <c r="H14" s="393" t="s">
        <v>221</v>
      </c>
      <c r="I14" s="393" t="s">
        <v>221</v>
      </c>
      <c r="J14" s="393" t="s">
        <v>221</v>
      </c>
      <c r="K14" s="393" t="s">
        <v>221</v>
      </c>
      <c r="L14" s="271" t="s">
        <v>221</v>
      </c>
      <c r="M14" s="393" t="s">
        <v>221</v>
      </c>
      <c r="N14" s="393" t="s">
        <v>221</v>
      </c>
      <c r="O14" s="393" t="s">
        <v>221</v>
      </c>
      <c r="P14" s="393" t="s">
        <v>221</v>
      </c>
      <c r="Q14" s="271" t="s">
        <v>221</v>
      </c>
      <c r="R14" s="393" t="s">
        <v>221</v>
      </c>
      <c r="S14" s="393" t="s">
        <v>221</v>
      </c>
      <c r="T14" s="393" t="s">
        <v>221</v>
      </c>
      <c r="U14" s="393" t="s">
        <v>221</v>
      </c>
      <c r="V14" s="271" t="s">
        <v>221</v>
      </c>
      <c r="W14" s="393" t="s">
        <v>221</v>
      </c>
      <c r="X14" s="393" t="s">
        <v>221</v>
      </c>
      <c r="Y14" s="393" t="s">
        <v>221</v>
      </c>
      <c r="Z14" s="393" t="s">
        <v>221</v>
      </c>
      <c r="AA14" s="271" t="s">
        <v>221</v>
      </c>
      <c r="AB14" s="393" t="s">
        <v>221</v>
      </c>
      <c r="AC14" s="393" t="s">
        <v>221</v>
      </c>
      <c r="AD14" s="393" t="s">
        <v>221</v>
      </c>
      <c r="AE14" s="393" t="s">
        <v>221</v>
      </c>
      <c r="AF14" s="271" t="s">
        <v>221</v>
      </c>
      <c r="AG14" s="47">
        <f t="shared" ref="AG14:AP14" si="15">AG7/AG9</f>
        <v>0.10335917312661498</v>
      </c>
      <c r="AH14" s="47">
        <f t="shared" si="15"/>
        <v>0.10717529518619437</v>
      </c>
      <c r="AI14" s="47">
        <f t="shared" si="15"/>
        <v>0.10636583400483481</v>
      </c>
      <c r="AJ14" s="47">
        <f t="shared" si="15"/>
        <v>0.10491071428571429</v>
      </c>
      <c r="AK14" s="185">
        <f t="shared" si="15"/>
        <v>0.10542603672374665</v>
      </c>
      <c r="AL14" s="47">
        <f t="shared" si="15"/>
        <v>0.10815173527037934</v>
      </c>
      <c r="AM14" s="47">
        <f t="shared" si="15"/>
        <v>0.11888701517706576</v>
      </c>
      <c r="AN14" s="47">
        <f t="shared" si="15"/>
        <v>0.15077605321507762</v>
      </c>
      <c r="AO14" s="47">
        <f t="shared" si="15"/>
        <v>0.13177257525083613</v>
      </c>
      <c r="AP14" s="185">
        <f t="shared" si="15"/>
        <v>0.12820026550350844</v>
      </c>
      <c r="AQ14" s="47">
        <f t="shared" ref="AQ14:AY14" si="16">AQ7/AQ9</f>
        <v>0.14017341040462428</v>
      </c>
      <c r="AR14" s="47">
        <f>AR7/AR9</f>
        <v>0.15871710526315788</v>
      </c>
      <c r="AS14" s="47">
        <f>AS7/AS9</f>
        <v>0.15925925925925927</v>
      </c>
      <c r="AT14" s="47">
        <f>AT7/AT9</f>
        <v>0.14066666666666666</v>
      </c>
      <c r="AU14" s="185">
        <f t="shared" si="16"/>
        <v>0.14917431192660552</v>
      </c>
      <c r="AV14" s="47">
        <f t="shared" si="16"/>
        <v>0.15349194167306215</v>
      </c>
      <c r="AW14" s="47">
        <f t="shared" si="16"/>
        <v>0.17448559670781894</v>
      </c>
      <c r="AX14" s="47">
        <f t="shared" si="16"/>
        <v>0.17560217560217561</v>
      </c>
      <c r="AY14" s="47">
        <f t="shared" si="16"/>
        <v>0.15815255423372987</v>
      </c>
      <c r="AZ14" s="185">
        <f t="shared" ref="AZ14:BE14" si="17">AZ7/AZ9</f>
        <v>0.16507451280091709</v>
      </c>
      <c r="BA14" s="47">
        <f t="shared" si="17"/>
        <v>0.15402843601895735</v>
      </c>
      <c r="BB14" s="47">
        <f t="shared" si="17"/>
        <v>0.17557251908396945</v>
      </c>
      <c r="BC14" s="47">
        <f>BC7/BC9</f>
        <v>0.16794478527607362</v>
      </c>
      <c r="BD14" s="47">
        <f t="shared" si="17"/>
        <v>0.15384615384615385</v>
      </c>
      <c r="BE14" s="185">
        <f t="shared" si="17"/>
        <v>0.16230166316191932</v>
      </c>
      <c r="BF14" s="47">
        <f t="shared" ref="BF14:CX14" si="18">BF7/BF9</f>
        <v>0.15785440613026819</v>
      </c>
      <c r="BG14" s="47">
        <f t="shared" si="18"/>
        <v>0.17936117936117937</v>
      </c>
      <c r="BH14" s="47">
        <f t="shared" si="18"/>
        <v>0.17201998572448252</v>
      </c>
      <c r="BI14" s="47">
        <f t="shared" si="18"/>
        <v>0.15249837767683322</v>
      </c>
      <c r="BJ14" s="185">
        <f t="shared" si="18"/>
        <v>0.16477688368690563</v>
      </c>
      <c r="BK14" s="47">
        <f t="shared" si="18"/>
        <v>0.15545590433482809</v>
      </c>
      <c r="BL14" s="47">
        <f t="shared" si="18"/>
        <v>0.17886792452830189</v>
      </c>
      <c r="BM14" s="47">
        <f t="shared" si="18"/>
        <v>0.17338995046001415</v>
      </c>
      <c r="BN14" s="47">
        <f>BN7/BN9</f>
        <v>0.15449256625727215</v>
      </c>
      <c r="BO14" s="185">
        <f>BO7/BO9</f>
        <v>0.16521429841721502</v>
      </c>
      <c r="BP14" s="47">
        <f t="shared" si="18"/>
        <v>0.16232315711094564</v>
      </c>
      <c r="BQ14" s="47">
        <f t="shared" si="18"/>
        <v>0.18119266055045871</v>
      </c>
      <c r="BR14" s="47">
        <f t="shared" si="18"/>
        <v>0.17349926793557832</v>
      </c>
      <c r="BS14" s="47">
        <f t="shared" si="18"/>
        <v>0.16299265197060789</v>
      </c>
      <c r="BT14" s="185">
        <f t="shared" si="18"/>
        <v>0.16974972796517954</v>
      </c>
      <c r="BU14" s="47">
        <f t="shared" si="18"/>
        <v>0.15976331360946747</v>
      </c>
      <c r="BV14" s="47">
        <f t="shared" si="18"/>
        <v>0.1828996282527881</v>
      </c>
      <c r="BW14" s="47">
        <f t="shared" si="18"/>
        <v>0.17344753747323341</v>
      </c>
      <c r="BX14" s="47">
        <f t="shared" si="18"/>
        <v>0.1573538856775851</v>
      </c>
      <c r="BY14" s="185">
        <f t="shared" si="18"/>
        <v>0.16799292661361626</v>
      </c>
      <c r="BZ14" s="47">
        <f t="shared" si="18"/>
        <v>0.16618705035971224</v>
      </c>
      <c r="CA14" s="47">
        <f t="shared" si="18"/>
        <v>0.18661710037174722</v>
      </c>
      <c r="CB14" s="47">
        <f t="shared" si="18"/>
        <v>0.17812061711079943</v>
      </c>
      <c r="CC14" s="47">
        <f t="shared" si="18"/>
        <v>0.15875</v>
      </c>
      <c r="CD14" s="185">
        <f t="shared" si="18"/>
        <v>0.17184516576983164</v>
      </c>
      <c r="CE14" s="47">
        <f t="shared" si="18"/>
        <v>0.16354816354816354</v>
      </c>
      <c r="CF14" s="610">
        <f t="shared" si="18"/>
        <v>0.18492176386913228</v>
      </c>
      <c r="CG14" s="47">
        <f t="shared" si="18"/>
        <v>0.16655382532159782</v>
      </c>
      <c r="CH14" s="47">
        <f t="shared" si="18"/>
        <v>0.15664845173041894</v>
      </c>
      <c r="CI14" s="185">
        <f t="shared" si="18"/>
        <v>0.16742005692281936</v>
      </c>
      <c r="CJ14" s="47">
        <f t="shared" si="18"/>
        <v>0.16400000000000001</v>
      </c>
      <c r="CK14" s="47">
        <f t="shared" si="18"/>
        <v>0.18926553672316385</v>
      </c>
      <c r="CL14" s="47">
        <f t="shared" si="18"/>
        <v>0.17150898249299412</v>
      </c>
      <c r="CM14" s="47">
        <f t="shared" ca="1" si="18"/>
        <v>0.15234747587669981</v>
      </c>
      <c r="CN14" s="185">
        <f t="shared" ca="1" si="18"/>
        <v>0.16838195948226167</v>
      </c>
      <c r="CO14" s="47">
        <f t="shared" si="18"/>
        <v>0.16079588306160694</v>
      </c>
      <c r="CP14" s="47">
        <f t="shared" si="18"/>
        <v>0.1797317113854886</v>
      </c>
      <c r="CQ14" s="47">
        <f t="shared" si="18"/>
        <v>0.16280992805348493</v>
      </c>
      <c r="CR14" s="47">
        <f t="shared" ca="1" si="18"/>
        <v>0.15330313837372758</v>
      </c>
      <c r="CS14" s="185">
        <f t="shared" ca="1" si="18"/>
        <v>0.16365675646254432</v>
      </c>
      <c r="CT14" s="47">
        <f t="shared" si="18"/>
        <v>0.1610319686813754</v>
      </c>
      <c r="CU14" s="47">
        <f t="shared" si="18"/>
        <v>0.17990164263374595</v>
      </c>
      <c r="CV14" s="47">
        <f t="shared" si="18"/>
        <v>0.16304429223355429</v>
      </c>
      <c r="CW14" s="47">
        <f t="shared" ca="1" si="18"/>
        <v>0.15362708121487212</v>
      </c>
      <c r="CX14" s="185">
        <f t="shared" ca="1" si="18"/>
        <v>0.16390482846343318</v>
      </c>
      <c r="CY14" s="47">
        <f>CY7/CY9</f>
        <v>0.16125215420629388</v>
      </c>
      <c r="CZ14" s="47">
        <f>CZ7/CZ9</f>
        <v>0.18005228400060447</v>
      </c>
      <c r="DA14" s="47">
        <f>DA7/DA9</f>
        <v>0.16326182982221929</v>
      </c>
      <c r="DB14" s="47">
        <f ca="1">DB7/DB9</f>
        <v>0.15393596948126129</v>
      </c>
      <c r="DC14" s="185">
        <f t="shared" ref="DC14:DH14" ca="1" si="19">DC7/DC9</f>
        <v>0.16413618592021356</v>
      </c>
      <c r="DD14" s="47">
        <f t="shared" si="19"/>
        <v>0.16145615534956531</v>
      </c>
      <c r="DE14" s="47">
        <f t="shared" si="19"/>
        <v>0.18018334495387908</v>
      </c>
      <c r="DF14" s="47">
        <f t="shared" si="19"/>
        <v>0.16346224631434211</v>
      </c>
      <c r="DG14" s="47">
        <f t="shared" ca="1" si="19"/>
        <v>0.15422948856138927</v>
      </c>
      <c r="DH14" s="185">
        <f t="shared" ca="1" si="19"/>
        <v>0.16435052984599263</v>
      </c>
    </row>
    <row r="15" spans="1:112" ht="12.75" hidden="1" customHeight="1" outlineLevel="1" x14ac:dyDescent="0.2">
      <c r="A15" s="117" t="s">
        <v>220</v>
      </c>
      <c r="B15" s="106"/>
      <c r="C15" s="342" t="s">
        <v>221</v>
      </c>
      <c r="D15" s="342" t="s">
        <v>221</v>
      </c>
      <c r="E15" s="342" t="s">
        <v>221</v>
      </c>
      <c r="F15" s="342" t="s">
        <v>221</v>
      </c>
      <c r="G15" s="272" t="s">
        <v>221</v>
      </c>
      <c r="H15" s="342" t="s">
        <v>221</v>
      </c>
      <c r="I15" s="342" t="s">
        <v>221</v>
      </c>
      <c r="J15" s="342" t="s">
        <v>221</v>
      </c>
      <c r="K15" s="342" t="s">
        <v>221</v>
      </c>
      <c r="L15" s="272" t="s">
        <v>221</v>
      </c>
      <c r="M15" s="342" t="s">
        <v>221</v>
      </c>
      <c r="N15" s="342" t="s">
        <v>221</v>
      </c>
      <c r="O15" s="342" t="s">
        <v>221</v>
      </c>
      <c r="P15" s="342" t="s">
        <v>221</v>
      </c>
      <c r="Q15" s="272" t="s">
        <v>221</v>
      </c>
      <c r="R15" s="342" t="s">
        <v>221</v>
      </c>
      <c r="S15" s="342" t="s">
        <v>221</v>
      </c>
      <c r="T15" s="342" t="s">
        <v>221</v>
      </c>
      <c r="U15" s="342" t="s">
        <v>221</v>
      </c>
      <c r="V15" s="272" t="s">
        <v>221</v>
      </c>
      <c r="W15" s="342" t="s">
        <v>221</v>
      </c>
      <c r="X15" s="342" t="s">
        <v>221</v>
      </c>
      <c r="Y15" s="342" t="s">
        <v>221</v>
      </c>
      <c r="Z15" s="342" t="s">
        <v>221</v>
      </c>
      <c r="AA15" s="272" t="s">
        <v>221</v>
      </c>
      <c r="AB15" s="342" t="s">
        <v>221</v>
      </c>
      <c r="AC15" s="342" t="s">
        <v>221</v>
      </c>
      <c r="AD15" s="342" t="s">
        <v>221</v>
      </c>
      <c r="AE15" s="342" t="s">
        <v>221</v>
      </c>
      <c r="AF15" s="272" t="s">
        <v>221</v>
      </c>
      <c r="AG15" s="199">
        <f t="shared" ref="AG15:AP15" si="20">AG8/AG9</f>
        <v>0.17829457364341086</v>
      </c>
      <c r="AH15" s="199">
        <f t="shared" si="20"/>
        <v>0.20163487738419619</v>
      </c>
      <c r="AI15" s="199">
        <f t="shared" si="20"/>
        <v>0.19016921837228043</v>
      </c>
      <c r="AJ15" s="199">
        <f t="shared" si="20"/>
        <v>0.18898809523809523</v>
      </c>
      <c r="AK15" s="235">
        <f t="shared" si="20"/>
        <v>0.18960181555601402</v>
      </c>
      <c r="AL15" s="199">
        <f t="shared" si="20"/>
        <v>0.20338983050847459</v>
      </c>
      <c r="AM15" s="199">
        <f t="shared" si="20"/>
        <v>0.2251264755480607</v>
      </c>
      <c r="AN15" s="199">
        <f t="shared" si="20"/>
        <v>0.19881744271988175</v>
      </c>
      <c r="AO15" s="199">
        <f t="shared" si="20"/>
        <v>0.19665551839464884</v>
      </c>
      <c r="AP15" s="235">
        <f t="shared" si="20"/>
        <v>0.20519628295088185</v>
      </c>
      <c r="AQ15" s="199">
        <f t="shared" ref="AQ15:AY15" si="21">AQ8/AQ9</f>
        <v>0.20014450867052022</v>
      </c>
      <c r="AR15" s="199">
        <f>AR8/AR9</f>
        <v>0.21052631578947367</v>
      </c>
      <c r="AS15" s="199">
        <f>AS8/AS9</f>
        <v>0.19037037037037038</v>
      </c>
      <c r="AT15" s="199">
        <f>AT8/AT9</f>
        <v>0.19066666666666668</v>
      </c>
      <c r="AU15" s="235">
        <f t="shared" si="21"/>
        <v>0.19724770642201836</v>
      </c>
      <c r="AV15" s="199">
        <f t="shared" si="21"/>
        <v>0.2056792018419033</v>
      </c>
      <c r="AW15" s="199">
        <f t="shared" si="21"/>
        <v>0.23950617283950618</v>
      </c>
      <c r="AX15" s="199">
        <f t="shared" si="21"/>
        <v>0.19891219891219891</v>
      </c>
      <c r="AY15" s="199">
        <f t="shared" si="21"/>
        <v>0.18754373687893633</v>
      </c>
      <c r="AZ15" s="235">
        <f t="shared" ref="AZ15:BE15" si="22">AZ8/AZ9</f>
        <v>0.20691631639281621</v>
      </c>
      <c r="BA15" s="199">
        <f t="shared" si="22"/>
        <v>0.21169036334913113</v>
      </c>
      <c r="BB15" s="199">
        <f t="shared" si="22"/>
        <v>0.25275657336726037</v>
      </c>
      <c r="BC15" s="199">
        <f>BC8/BC9</f>
        <v>0.21779141104294478</v>
      </c>
      <c r="BD15" s="199">
        <f t="shared" si="22"/>
        <v>0.203778677462888</v>
      </c>
      <c r="BE15" s="235">
        <f t="shared" si="22"/>
        <v>0.22022557828331102</v>
      </c>
      <c r="BF15" s="199">
        <f t="shared" ref="BF15:CX15" si="23">BF8/BF9</f>
        <v>0.22528735632183908</v>
      </c>
      <c r="BG15" s="199">
        <f t="shared" si="23"/>
        <v>0.24406224406224405</v>
      </c>
      <c r="BH15" s="199">
        <f t="shared" si="23"/>
        <v>0.21127765881513205</v>
      </c>
      <c r="BI15" s="199">
        <f t="shared" si="23"/>
        <v>0.20181700194678781</v>
      </c>
      <c r="BJ15" s="235">
        <f t="shared" si="23"/>
        <v>0.21927578639356254</v>
      </c>
      <c r="BK15" s="199">
        <f t="shared" si="23"/>
        <v>0.226457399103139</v>
      </c>
      <c r="BL15" s="199">
        <f t="shared" si="23"/>
        <v>0.2309433962264151</v>
      </c>
      <c r="BM15" s="199">
        <f t="shared" si="23"/>
        <v>0.21302193913658882</v>
      </c>
      <c r="BN15" s="199">
        <f>BN8/BN9</f>
        <v>0.19909502262443438</v>
      </c>
      <c r="BO15" s="235">
        <f>BO8/BO9</f>
        <v>0.21661035034678996</v>
      </c>
      <c r="BP15" s="199">
        <f t="shared" si="23"/>
        <v>0.20402084884586746</v>
      </c>
      <c r="BQ15" s="199">
        <f t="shared" si="23"/>
        <v>0.21941896024464833</v>
      </c>
      <c r="BR15" s="199">
        <f t="shared" si="23"/>
        <v>0.19326500732064422</v>
      </c>
      <c r="BS15" s="199">
        <f t="shared" si="23"/>
        <v>0.17902471609886439</v>
      </c>
      <c r="BT15" s="235">
        <f t="shared" si="23"/>
        <v>0.19822270583968082</v>
      </c>
      <c r="BU15" s="199">
        <f t="shared" si="23"/>
        <v>0.20266272189349113</v>
      </c>
      <c r="BV15" s="199">
        <f t="shared" si="23"/>
        <v>0.20892193308550186</v>
      </c>
      <c r="BW15" s="199">
        <f t="shared" si="23"/>
        <v>0.18915060670949321</v>
      </c>
      <c r="BX15" s="199">
        <f t="shared" si="23"/>
        <v>0.17148362235067438</v>
      </c>
      <c r="BY15" s="235">
        <f t="shared" si="23"/>
        <v>0.19221927497789568</v>
      </c>
      <c r="BZ15" s="199">
        <f t="shared" si="23"/>
        <v>0.18057553956834532</v>
      </c>
      <c r="CA15" s="199">
        <f t="shared" si="23"/>
        <v>0.19479553903345725</v>
      </c>
      <c r="CB15" s="199">
        <f t="shared" si="23"/>
        <v>0.16830294530154277</v>
      </c>
      <c r="CC15" s="199">
        <f t="shared" si="23"/>
        <v>0.1525</v>
      </c>
      <c r="CD15" s="235">
        <f t="shared" si="23"/>
        <v>0.1730602325985072</v>
      </c>
      <c r="CE15" s="199">
        <f t="shared" si="23"/>
        <v>0.17394317394317393</v>
      </c>
      <c r="CF15" s="799">
        <f t="shared" si="23"/>
        <v>0.18207681365576103</v>
      </c>
      <c r="CG15" s="199">
        <f t="shared" si="23"/>
        <v>0.16790792146242384</v>
      </c>
      <c r="CH15" s="199">
        <f t="shared" si="23"/>
        <v>0.15482695810564662</v>
      </c>
      <c r="CI15" s="235">
        <f t="shared" si="23"/>
        <v>0.16909425749204754</v>
      </c>
      <c r="CJ15" s="199">
        <f t="shared" si="23"/>
        <v>0.16933333333333334</v>
      </c>
      <c r="CK15" s="199">
        <f t="shared" si="23"/>
        <v>0.18785310734463276</v>
      </c>
      <c r="CL15" s="199">
        <f t="shared" si="23"/>
        <v>0.1782239589041035</v>
      </c>
      <c r="CM15" s="199">
        <f t="shared" ca="1" si="23"/>
        <v>0.1599257069569886</v>
      </c>
      <c r="CN15" s="235">
        <f t="shared" ca="1" si="23"/>
        <v>0.17313416454243472</v>
      </c>
      <c r="CO15" s="199">
        <f t="shared" si="23"/>
        <v>0.16962861284033115</v>
      </c>
      <c r="CP15" s="199">
        <f t="shared" si="23"/>
        <v>0.18761292882949848</v>
      </c>
      <c r="CQ15" s="199">
        <f t="shared" si="23"/>
        <v>0.17608842349659934</v>
      </c>
      <c r="CR15" s="199">
        <f t="shared" ca="1" si="23"/>
        <v>0.16207208308130988</v>
      </c>
      <c r="CS15" s="235">
        <f t="shared" ca="1" si="23"/>
        <v>0.17335779441355975</v>
      </c>
      <c r="CT15" s="199">
        <f t="shared" si="23"/>
        <v>0.17319235313881931</v>
      </c>
      <c r="CU15" s="199">
        <f t="shared" si="23"/>
        <v>0.19145451274677383</v>
      </c>
      <c r="CV15" s="199">
        <f t="shared" si="23"/>
        <v>0.17978271961309206</v>
      </c>
      <c r="CW15" s="199">
        <f t="shared" ca="1" si="23"/>
        <v>0.16558361996079762</v>
      </c>
      <c r="CX15" s="235">
        <f t="shared" ca="1" si="23"/>
        <v>0.17700828977698463</v>
      </c>
      <c r="CY15" s="199">
        <f>CY8/CY9</f>
        <v>0.17681314977711571</v>
      </c>
      <c r="CZ15" s="199">
        <f>CZ8/CZ9</f>
        <v>0.19535365386740711</v>
      </c>
      <c r="DA15" s="199">
        <f>DA8/DA9</f>
        <v>0.18353522591398874</v>
      </c>
      <c r="DB15" s="199">
        <f ca="1">DB8/DB9</f>
        <v>0.16915394455224161</v>
      </c>
      <c r="DC15" s="235">
        <f t="shared" ref="DC15:DH15" ca="1" si="24">DC8/DC9</f>
        <v>0.18071683871011154</v>
      </c>
      <c r="DD15" s="199">
        <f t="shared" si="24"/>
        <v>0.18049121454846526</v>
      </c>
      <c r="DE15" s="199">
        <f t="shared" si="24"/>
        <v>0.19931040598859337</v>
      </c>
      <c r="DF15" s="199">
        <f t="shared" si="24"/>
        <v>0.18734610087251707</v>
      </c>
      <c r="DG15" s="199">
        <f t="shared" ca="1" si="24"/>
        <v>0.1727833388309056</v>
      </c>
      <c r="DH15" s="235">
        <f t="shared" ca="1" si="24"/>
        <v>0.18448362218433262</v>
      </c>
    </row>
    <row r="16" spans="1:112" ht="12.75" hidden="1" customHeight="1" outlineLevel="1" x14ac:dyDescent="0.2">
      <c r="A16" s="102" t="s">
        <v>216</v>
      </c>
      <c r="B16" s="103"/>
      <c r="C16" s="396" t="s">
        <v>221</v>
      </c>
      <c r="D16" s="396" t="s">
        <v>221</v>
      </c>
      <c r="E16" s="396" t="s">
        <v>221</v>
      </c>
      <c r="F16" s="396" t="s">
        <v>221</v>
      </c>
      <c r="G16" s="273" t="s">
        <v>221</v>
      </c>
      <c r="H16" s="396" t="s">
        <v>221</v>
      </c>
      <c r="I16" s="396" t="s">
        <v>221</v>
      </c>
      <c r="J16" s="396" t="s">
        <v>221</v>
      </c>
      <c r="K16" s="396" t="s">
        <v>221</v>
      </c>
      <c r="L16" s="273" t="s">
        <v>221</v>
      </c>
      <c r="M16" s="396" t="s">
        <v>221</v>
      </c>
      <c r="N16" s="396" t="s">
        <v>221</v>
      </c>
      <c r="O16" s="396" t="s">
        <v>221</v>
      </c>
      <c r="P16" s="396" t="s">
        <v>221</v>
      </c>
      <c r="Q16" s="273" t="s">
        <v>221</v>
      </c>
      <c r="R16" s="396" t="s">
        <v>221</v>
      </c>
      <c r="S16" s="396" t="s">
        <v>221</v>
      </c>
      <c r="T16" s="396" t="s">
        <v>221</v>
      </c>
      <c r="U16" s="396" t="s">
        <v>221</v>
      </c>
      <c r="V16" s="273" t="s">
        <v>221</v>
      </c>
      <c r="W16" s="396" t="s">
        <v>221</v>
      </c>
      <c r="X16" s="396" t="s">
        <v>221</v>
      </c>
      <c r="Y16" s="396" t="s">
        <v>221</v>
      </c>
      <c r="Z16" s="396" t="s">
        <v>221</v>
      </c>
      <c r="AA16" s="273" t="s">
        <v>221</v>
      </c>
      <c r="AB16" s="396" t="s">
        <v>221</v>
      </c>
      <c r="AC16" s="396" t="s">
        <v>221</v>
      </c>
      <c r="AD16" s="396" t="s">
        <v>221</v>
      </c>
      <c r="AE16" s="396" t="s">
        <v>221</v>
      </c>
      <c r="AF16" s="273" t="s">
        <v>221</v>
      </c>
      <c r="AG16" s="48">
        <f t="shared" ref="AG16:AP16" si="25">AG9/AG9</f>
        <v>1</v>
      </c>
      <c r="AH16" s="48">
        <f t="shared" si="25"/>
        <v>1</v>
      </c>
      <c r="AI16" s="48">
        <f t="shared" si="25"/>
        <v>1</v>
      </c>
      <c r="AJ16" s="48">
        <f t="shared" si="25"/>
        <v>1</v>
      </c>
      <c r="AK16" s="188">
        <f t="shared" si="25"/>
        <v>1</v>
      </c>
      <c r="AL16" s="48">
        <f t="shared" si="25"/>
        <v>1</v>
      </c>
      <c r="AM16" s="48">
        <f t="shared" si="25"/>
        <v>1</v>
      </c>
      <c r="AN16" s="48">
        <f t="shared" si="25"/>
        <v>1</v>
      </c>
      <c r="AO16" s="48">
        <f t="shared" si="25"/>
        <v>1</v>
      </c>
      <c r="AP16" s="188">
        <f t="shared" si="25"/>
        <v>1</v>
      </c>
      <c r="AQ16" s="48">
        <f t="shared" ref="AQ16:AY16" si="26">AQ9/AQ9</f>
        <v>1</v>
      </c>
      <c r="AR16" s="48">
        <f>AR9/AR9</f>
        <v>1</v>
      </c>
      <c r="AS16" s="48">
        <f>AS9/AS9</f>
        <v>1</v>
      </c>
      <c r="AT16" s="48">
        <f>AT9/AT9</f>
        <v>1</v>
      </c>
      <c r="AU16" s="188">
        <f t="shared" si="26"/>
        <v>1</v>
      </c>
      <c r="AV16" s="48">
        <f t="shared" si="26"/>
        <v>1</v>
      </c>
      <c r="AW16" s="48">
        <f t="shared" si="26"/>
        <v>1</v>
      </c>
      <c r="AX16" s="48">
        <f t="shared" si="26"/>
        <v>1</v>
      </c>
      <c r="AY16" s="48">
        <f t="shared" si="26"/>
        <v>1</v>
      </c>
      <c r="AZ16" s="188">
        <f t="shared" ref="AZ16:BE16" si="27">AZ9/AZ9</f>
        <v>1</v>
      </c>
      <c r="BA16" s="48">
        <f t="shared" si="27"/>
        <v>1</v>
      </c>
      <c r="BB16" s="48">
        <f t="shared" si="27"/>
        <v>1</v>
      </c>
      <c r="BC16" s="48">
        <f>BC9/BC9</f>
        <v>1</v>
      </c>
      <c r="BD16" s="48">
        <f t="shared" si="27"/>
        <v>1</v>
      </c>
      <c r="BE16" s="188">
        <f t="shared" si="27"/>
        <v>1</v>
      </c>
      <c r="BF16" s="48">
        <f t="shared" ref="BF16:CX16" si="28">BF9/BF9</f>
        <v>1</v>
      </c>
      <c r="BG16" s="48">
        <f t="shared" si="28"/>
        <v>1</v>
      </c>
      <c r="BH16" s="48">
        <f t="shared" si="28"/>
        <v>1</v>
      </c>
      <c r="BI16" s="48">
        <f t="shared" si="28"/>
        <v>1</v>
      </c>
      <c r="BJ16" s="188">
        <f t="shared" si="28"/>
        <v>1</v>
      </c>
      <c r="BK16" s="48">
        <f t="shared" si="28"/>
        <v>1</v>
      </c>
      <c r="BL16" s="48">
        <f t="shared" si="28"/>
        <v>1</v>
      </c>
      <c r="BM16" s="48">
        <f t="shared" si="28"/>
        <v>1</v>
      </c>
      <c r="BN16" s="48">
        <f>BN9/BN9</f>
        <v>1</v>
      </c>
      <c r="BO16" s="188">
        <f>BO9/BO9</f>
        <v>1</v>
      </c>
      <c r="BP16" s="48">
        <f t="shared" si="28"/>
        <v>1</v>
      </c>
      <c r="BQ16" s="48">
        <f t="shared" si="28"/>
        <v>1</v>
      </c>
      <c r="BR16" s="48">
        <f t="shared" si="28"/>
        <v>1</v>
      </c>
      <c r="BS16" s="48">
        <f t="shared" si="28"/>
        <v>1</v>
      </c>
      <c r="BT16" s="188">
        <f t="shared" si="28"/>
        <v>1</v>
      </c>
      <c r="BU16" s="48">
        <f t="shared" si="28"/>
        <v>1</v>
      </c>
      <c r="BV16" s="48">
        <f t="shared" si="28"/>
        <v>1</v>
      </c>
      <c r="BW16" s="48">
        <f t="shared" si="28"/>
        <v>1</v>
      </c>
      <c r="BX16" s="48">
        <f t="shared" si="28"/>
        <v>1</v>
      </c>
      <c r="BY16" s="188">
        <f t="shared" si="28"/>
        <v>1</v>
      </c>
      <c r="BZ16" s="48">
        <f t="shared" si="28"/>
        <v>1</v>
      </c>
      <c r="CA16" s="48">
        <f t="shared" si="28"/>
        <v>1</v>
      </c>
      <c r="CB16" s="48">
        <f t="shared" si="28"/>
        <v>1</v>
      </c>
      <c r="CC16" s="48">
        <f t="shared" si="28"/>
        <v>1</v>
      </c>
      <c r="CD16" s="188">
        <f t="shared" si="28"/>
        <v>1</v>
      </c>
      <c r="CE16" s="48">
        <f t="shared" si="28"/>
        <v>1</v>
      </c>
      <c r="CF16" s="800">
        <f t="shared" si="28"/>
        <v>1</v>
      </c>
      <c r="CG16" s="48">
        <f t="shared" si="28"/>
        <v>1</v>
      </c>
      <c r="CH16" s="48">
        <f t="shared" si="28"/>
        <v>1</v>
      </c>
      <c r="CI16" s="188">
        <f t="shared" si="28"/>
        <v>1</v>
      </c>
      <c r="CJ16" s="48">
        <f t="shared" si="28"/>
        <v>1</v>
      </c>
      <c r="CK16" s="48">
        <f t="shared" si="28"/>
        <v>1</v>
      </c>
      <c r="CL16" s="48">
        <f t="shared" si="28"/>
        <v>1</v>
      </c>
      <c r="CM16" s="48">
        <f t="shared" ca="1" si="28"/>
        <v>1</v>
      </c>
      <c r="CN16" s="188">
        <f t="shared" ca="1" si="28"/>
        <v>1</v>
      </c>
      <c r="CO16" s="48">
        <f t="shared" si="28"/>
        <v>1</v>
      </c>
      <c r="CP16" s="48">
        <f t="shared" si="28"/>
        <v>1</v>
      </c>
      <c r="CQ16" s="48">
        <f t="shared" si="28"/>
        <v>1</v>
      </c>
      <c r="CR16" s="48">
        <f t="shared" ca="1" si="28"/>
        <v>1</v>
      </c>
      <c r="CS16" s="188">
        <f t="shared" ca="1" si="28"/>
        <v>1</v>
      </c>
      <c r="CT16" s="48">
        <f t="shared" si="28"/>
        <v>1</v>
      </c>
      <c r="CU16" s="48">
        <f t="shared" si="28"/>
        <v>1</v>
      </c>
      <c r="CV16" s="48">
        <f t="shared" si="28"/>
        <v>1</v>
      </c>
      <c r="CW16" s="48">
        <f t="shared" ca="1" si="28"/>
        <v>1</v>
      </c>
      <c r="CX16" s="188">
        <f t="shared" ca="1" si="28"/>
        <v>1</v>
      </c>
      <c r="CY16" s="48">
        <f>CY9/CY9</f>
        <v>1</v>
      </c>
      <c r="CZ16" s="48">
        <f>CZ9/CZ9</f>
        <v>1</v>
      </c>
      <c r="DA16" s="48">
        <f>DA9/DA9</f>
        <v>1</v>
      </c>
      <c r="DB16" s="48">
        <f ca="1">DB9/DB9</f>
        <v>1</v>
      </c>
      <c r="DC16" s="188">
        <f t="shared" ref="DC16:DH16" ca="1" si="29">DC9/DC9</f>
        <v>1</v>
      </c>
      <c r="DD16" s="48">
        <f t="shared" si="29"/>
        <v>1</v>
      </c>
      <c r="DE16" s="48">
        <f t="shared" si="29"/>
        <v>1</v>
      </c>
      <c r="DF16" s="48">
        <f t="shared" si="29"/>
        <v>1</v>
      </c>
      <c r="DG16" s="48">
        <f t="shared" ca="1" si="29"/>
        <v>1</v>
      </c>
      <c r="DH16" s="188">
        <f t="shared" ca="1" si="29"/>
        <v>1</v>
      </c>
    </row>
    <row r="17" spans="1:112" ht="3" customHeight="1" collapsed="1" x14ac:dyDescent="0.2">
      <c r="A17" s="102"/>
      <c r="B17" s="103"/>
      <c r="C17" s="158"/>
      <c r="D17" s="158"/>
      <c r="E17" s="158"/>
      <c r="F17" s="158"/>
      <c r="G17" s="269"/>
      <c r="H17" s="158"/>
      <c r="I17" s="158"/>
      <c r="J17" s="158"/>
      <c r="K17" s="158"/>
      <c r="L17" s="269"/>
      <c r="M17" s="158"/>
      <c r="N17" s="158"/>
      <c r="O17" s="158"/>
      <c r="P17" s="158"/>
      <c r="Q17" s="269"/>
      <c r="R17" s="158"/>
      <c r="S17" s="158"/>
      <c r="T17" s="158"/>
      <c r="U17" s="158"/>
      <c r="V17" s="269"/>
      <c r="W17" s="158"/>
      <c r="X17" s="158"/>
      <c r="Y17" s="158"/>
      <c r="Z17" s="158"/>
      <c r="AA17" s="186"/>
      <c r="AB17" s="158"/>
      <c r="AC17" s="158"/>
      <c r="AD17" s="158"/>
      <c r="AE17" s="158"/>
      <c r="AF17" s="186"/>
      <c r="AG17" s="158"/>
      <c r="AH17" s="158"/>
      <c r="AI17" s="158"/>
      <c r="AJ17" s="158"/>
      <c r="AK17" s="184"/>
      <c r="AL17" s="104"/>
      <c r="AM17" s="104"/>
      <c r="AN17" s="104"/>
      <c r="AO17" s="104"/>
      <c r="AP17" s="184"/>
      <c r="AQ17" s="104"/>
      <c r="AR17" s="104"/>
      <c r="AS17" s="104"/>
      <c r="AT17" s="104"/>
      <c r="AU17" s="184"/>
      <c r="AV17" s="104"/>
      <c r="AW17" s="104"/>
      <c r="AX17" s="104"/>
      <c r="AY17" s="104"/>
      <c r="AZ17" s="184"/>
      <c r="BA17" s="158"/>
      <c r="BB17" s="158"/>
      <c r="BC17" s="158"/>
      <c r="BD17" s="158"/>
      <c r="BE17" s="186"/>
      <c r="BF17" s="158"/>
      <c r="BG17" s="158"/>
      <c r="BH17" s="158"/>
      <c r="BI17" s="158"/>
      <c r="BJ17" s="186"/>
      <c r="BK17" s="158"/>
      <c r="BL17" s="158"/>
      <c r="BM17" s="158"/>
      <c r="BN17" s="158"/>
      <c r="BO17" s="186"/>
      <c r="BP17" s="158"/>
      <c r="BQ17" s="158"/>
      <c r="BR17" s="158"/>
      <c r="BS17" s="158"/>
      <c r="BT17" s="186"/>
      <c r="BU17" s="158"/>
      <c r="BV17" s="158"/>
      <c r="BW17" s="158"/>
      <c r="BX17" s="158"/>
      <c r="BY17" s="186"/>
      <c r="BZ17" s="158"/>
      <c r="CA17" s="158"/>
      <c r="CB17" s="158"/>
      <c r="CC17" s="158"/>
      <c r="CD17" s="186"/>
      <c r="CE17" s="158"/>
      <c r="CF17" s="798"/>
      <c r="CG17" s="158"/>
      <c r="CH17" s="158"/>
      <c r="CI17" s="186"/>
      <c r="CJ17" s="158"/>
      <c r="CK17" s="158"/>
      <c r="CL17" s="158"/>
      <c r="CM17" s="158"/>
      <c r="CN17" s="186"/>
      <c r="CO17" s="158"/>
      <c r="CP17" s="158"/>
      <c r="CQ17" s="158"/>
      <c r="CR17" s="158"/>
      <c r="CS17" s="186"/>
      <c r="CT17" s="158"/>
      <c r="CU17" s="158"/>
      <c r="CV17" s="158"/>
      <c r="CW17" s="158"/>
      <c r="CX17" s="186"/>
      <c r="CY17" s="158"/>
      <c r="CZ17" s="158"/>
      <c r="DA17" s="158"/>
      <c r="DB17" s="158"/>
      <c r="DC17" s="186"/>
      <c r="DD17" s="158"/>
      <c r="DE17" s="158"/>
      <c r="DF17" s="158"/>
      <c r="DG17" s="158"/>
      <c r="DH17" s="186"/>
    </row>
    <row r="18" spans="1:112" ht="14.25" hidden="1" customHeight="1" outlineLevel="1" x14ac:dyDescent="0.2">
      <c r="A18" s="179" t="s">
        <v>229</v>
      </c>
      <c r="B18" s="98"/>
      <c r="C18" s="158"/>
      <c r="D18" s="158"/>
      <c r="E18" s="158"/>
      <c r="F18" s="158"/>
      <c r="G18" s="269"/>
      <c r="H18" s="158"/>
      <c r="I18" s="158"/>
      <c r="J18" s="158"/>
      <c r="K18" s="158"/>
      <c r="L18" s="269"/>
      <c r="M18" s="158"/>
      <c r="N18" s="158"/>
      <c r="O18" s="158"/>
      <c r="P18" s="158"/>
      <c r="Q18" s="269"/>
      <c r="R18" s="251"/>
      <c r="S18" s="251"/>
      <c r="T18" s="251"/>
      <c r="U18" s="251"/>
      <c r="V18" s="538"/>
      <c r="W18" s="158"/>
      <c r="X18" s="158"/>
      <c r="Y18" s="158"/>
      <c r="Z18" s="158"/>
      <c r="AA18" s="186"/>
      <c r="AB18" s="158"/>
      <c r="AC18" s="158"/>
      <c r="AD18" s="158"/>
      <c r="AE18" s="158"/>
      <c r="AF18" s="186"/>
      <c r="AG18" s="158"/>
      <c r="AH18" s="158"/>
      <c r="AI18" s="158"/>
      <c r="AJ18" s="158"/>
      <c r="AK18" s="183"/>
      <c r="AL18" s="100"/>
      <c r="AM18" s="100"/>
      <c r="AN18" s="100"/>
      <c r="AO18" s="100"/>
      <c r="AP18" s="183"/>
      <c r="AQ18" s="100"/>
      <c r="AR18" s="100"/>
      <c r="AS18" s="100"/>
      <c r="AT18" s="100"/>
      <c r="AU18" s="183"/>
      <c r="AV18" s="48"/>
      <c r="AW18" s="48"/>
      <c r="AX18" s="158"/>
      <c r="AY18" s="100"/>
      <c r="AZ18" s="183"/>
      <c r="BA18" s="158"/>
      <c r="BB18" s="158"/>
      <c r="BC18" s="158"/>
      <c r="BD18" s="158"/>
      <c r="BE18" s="186"/>
      <c r="BF18" s="158"/>
      <c r="BG18" s="158"/>
      <c r="BH18" s="158"/>
      <c r="BI18" s="158"/>
      <c r="BJ18" s="186"/>
      <c r="BK18" s="158"/>
      <c r="BL18" s="158"/>
      <c r="BM18" s="158"/>
      <c r="BN18" s="158"/>
      <c r="BO18" s="186"/>
      <c r="BP18" s="158"/>
      <c r="BQ18" s="158"/>
      <c r="BR18" s="158"/>
      <c r="BS18" s="158"/>
      <c r="BT18" s="186"/>
      <c r="BU18" s="158"/>
      <c r="BV18" s="158"/>
      <c r="BW18" s="158"/>
      <c r="BX18" s="158"/>
      <c r="BY18" s="186"/>
      <c r="BZ18" s="158"/>
      <c r="CA18" s="158"/>
      <c r="CB18" s="158"/>
      <c r="CC18" s="158"/>
      <c r="CD18" s="186"/>
      <c r="CE18" s="158"/>
      <c r="CF18" s="798"/>
      <c r="CG18" s="158"/>
      <c r="CH18" s="158"/>
      <c r="CI18" s="186"/>
      <c r="CJ18" s="158"/>
      <c r="CK18" s="158"/>
      <c r="CL18" s="158"/>
      <c r="CM18" s="158"/>
      <c r="CN18" s="186"/>
      <c r="CO18" s="158"/>
      <c r="CP18" s="158"/>
      <c r="CQ18" s="158"/>
      <c r="CR18" s="158"/>
      <c r="CS18" s="186"/>
      <c r="CT18" s="158"/>
      <c r="CU18" s="158"/>
      <c r="CV18" s="158"/>
      <c r="CW18" s="158"/>
      <c r="CX18" s="186"/>
      <c r="CY18" s="158"/>
      <c r="CZ18" s="158"/>
      <c r="DA18" s="158"/>
      <c r="DB18" s="158"/>
      <c r="DC18" s="186"/>
      <c r="DD18" s="158"/>
      <c r="DE18" s="158"/>
      <c r="DF18" s="158"/>
      <c r="DG18" s="158"/>
      <c r="DH18" s="186"/>
    </row>
    <row r="19" spans="1:112" hidden="1" outlineLevel="1" x14ac:dyDescent="0.2">
      <c r="A19" s="101" t="s">
        <v>85</v>
      </c>
      <c r="B19" s="98"/>
      <c r="C19" s="100">
        <v>826</v>
      </c>
      <c r="D19" s="100">
        <v>725</v>
      </c>
      <c r="E19" s="100">
        <v>812</v>
      </c>
      <c r="F19" s="100">
        <v>956</v>
      </c>
      <c r="G19" s="183">
        <v>3319</v>
      </c>
      <c r="H19" s="100">
        <f t="shared" ref="H19:AK19" si="30">H20+H21</f>
        <v>854</v>
      </c>
      <c r="I19" s="100">
        <f t="shared" si="30"/>
        <v>749</v>
      </c>
      <c r="J19" s="100">
        <f t="shared" si="30"/>
        <v>902</v>
      </c>
      <c r="K19" s="100">
        <f t="shared" si="30"/>
        <v>998</v>
      </c>
      <c r="L19" s="183">
        <f t="shared" si="30"/>
        <v>3503</v>
      </c>
      <c r="M19" s="100">
        <f t="shared" si="30"/>
        <v>934</v>
      </c>
      <c r="N19" s="100">
        <f t="shared" si="30"/>
        <v>810</v>
      </c>
      <c r="O19" s="100">
        <f t="shared" si="30"/>
        <v>893</v>
      </c>
      <c r="P19" s="100">
        <f t="shared" si="30"/>
        <v>1014</v>
      </c>
      <c r="Q19" s="183">
        <f t="shared" si="30"/>
        <v>3651</v>
      </c>
      <c r="R19" s="100">
        <f t="shared" si="30"/>
        <v>890</v>
      </c>
      <c r="S19" s="100">
        <f t="shared" si="30"/>
        <v>791</v>
      </c>
      <c r="T19" s="100">
        <f t="shared" si="30"/>
        <v>919</v>
      </c>
      <c r="U19" s="100">
        <f t="shared" si="30"/>
        <v>1063</v>
      </c>
      <c r="V19" s="183">
        <f t="shared" si="30"/>
        <v>3663</v>
      </c>
      <c r="W19" s="100">
        <f t="shared" si="30"/>
        <v>920</v>
      </c>
      <c r="X19" s="100">
        <f t="shared" si="30"/>
        <v>846</v>
      </c>
      <c r="Y19" s="100">
        <f t="shared" si="30"/>
        <v>936</v>
      </c>
      <c r="Z19" s="100">
        <f t="shared" si="30"/>
        <v>1099</v>
      </c>
      <c r="AA19" s="183">
        <f t="shared" si="30"/>
        <v>3801</v>
      </c>
      <c r="AB19" s="100">
        <f t="shared" si="30"/>
        <v>949</v>
      </c>
      <c r="AC19" s="100">
        <f t="shared" si="30"/>
        <v>900</v>
      </c>
      <c r="AD19" s="100">
        <f t="shared" si="30"/>
        <v>997</v>
      </c>
      <c r="AE19" s="100">
        <f t="shared" si="30"/>
        <v>1159</v>
      </c>
      <c r="AF19" s="183">
        <f t="shared" si="30"/>
        <v>4005</v>
      </c>
      <c r="AG19" s="100">
        <f t="shared" si="30"/>
        <v>1000</v>
      </c>
      <c r="AH19" s="100">
        <f t="shared" si="30"/>
        <v>923</v>
      </c>
      <c r="AI19" s="100">
        <f t="shared" si="30"/>
        <v>1056</v>
      </c>
      <c r="AJ19" s="100">
        <f t="shared" si="30"/>
        <v>1151</v>
      </c>
      <c r="AK19" s="183">
        <f t="shared" si="30"/>
        <v>4130</v>
      </c>
      <c r="AL19" s="100">
        <v>1049</v>
      </c>
      <c r="AM19" s="100">
        <v>977</v>
      </c>
      <c r="AN19" s="100">
        <v>1143</v>
      </c>
      <c r="AO19" s="100">
        <v>1271</v>
      </c>
      <c r="AP19" s="183">
        <f>SUM(AL19:AO19)</f>
        <v>4440</v>
      </c>
      <c r="AQ19" s="100">
        <v>1167</v>
      </c>
      <c r="AR19" s="100">
        <v>1007</v>
      </c>
      <c r="AS19" s="100">
        <v>1142</v>
      </c>
      <c r="AT19" s="100">
        <v>1274</v>
      </c>
      <c r="AU19" s="183">
        <f>SUM(AQ19:AT19)</f>
        <v>4590</v>
      </c>
      <c r="AV19" s="236" t="s">
        <v>221</v>
      </c>
      <c r="AW19" s="236" t="s">
        <v>221</v>
      </c>
      <c r="AX19" s="236" t="s">
        <v>221</v>
      </c>
      <c r="AY19" s="100" t="s">
        <v>221</v>
      </c>
      <c r="AZ19" s="183" t="s">
        <v>221</v>
      </c>
      <c r="BA19" s="236" t="s">
        <v>221</v>
      </c>
      <c r="BB19" s="236" t="s">
        <v>221</v>
      </c>
      <c r="BC19" s="236" t="s">
        <v>221</v>
      </c>
      <c r="BD19" s="236" t="s">
        <v>221</v>
      </c>
      <c r="BE19" s="281" t="s">
        <v>221</v>
      </c>
      <c r="BF19" s="236" t="s">
        <v>221</v>
      </c>
      <c r="BG19" s="236" t="s">
        <v>221</v>
      </c>
      <c r="BH19" s="236" t="s">
        <v>221</v>
      </c>
      <c r="BI19" s="236" t="s">
        <v>221</v>
      </c>
      <c r="BJ19" s="281" t="s">
        <v>221</v>
      </c>
      <c r="BK19" s="236" t="s">
        <v>221</v>
      </c>
      <c r="BL19" s="236" t="s">
        <v>221</v>
      </c>
      <c r="BM19" s="236" t="s">
        <v>221</v>
      </c>
      <c r="BN19" s="236" t="s">
        <v>221</v>
      </c>
      <c r="BO19" s="281" t="s">
        <v>221</v>
      </c>
      <c r="BP19" s="236" t="s">
        <v>221</v>
      </c>
      <c r="BQ19" s="236" t="s">
        <v>221</v>
      </c>
      <c r="BR19" s="236" t="s">
        <v>221</v>
      </c>
      <c r="BS19" s="236" t="s">
        <v>221</v>
      </c>
      <c r="BT19" s="281" t="s">
        <v>221</v>
      </c>
      <c r="BU19" s="236" t="s">
        <v>221</v>
      </c>
      <c r="BV19" s="236" t="s">
        <v>221</v>
      </c>
      <c r="BW19" s="236" t="s">
        <v>221</v>
      </c>
      <c r="BX19" s="236" t="s">
        <v>221</v>
      </c>
      <c r="BY19" s="281" t="s">
        <v>221</v>
      </c>
      <c r="BZ19" s="236" t="s">
        <v>221</v>
      </c>
      <c r="CA19" s="236" t="s">
        <v>221</v>
      </c>
      <c r="CB19" s="236" t="s">
        <v>221</v>
      </c>
      <c r="CC19" s="236" t="s">
        <v>221</v>
      </c>
      <c r="CD19" s="281" t="s">
        <v>221</v>
      </c>
      <c r="CE19" s="236" t="s">
        <v>221</v>
      </c>
      <c r="CF19" s="801" t="s">
        <v>221</v>
      </c>
      <c r="CG19" s="236" t="s">
        <v>221</v>
      </c>
      <c r="CH19" s="236" t="s">
        <v>221</v>
      </c>
      <c r="CI19" s="281" t="s">
        <v>221</v>
      </c>
      <c r="CJ19" s="236" t="s">
        <v>221</v>
      </c>
      <c r="CK19" s="236" t="s">
        <v>221</v>
      </c>
      <c r="CL19" s="236" t="s">
        <v>221</v>
      </c>
      <c r="CM19" s="236" t="s">
        <v>221</v>
      </c>
      <c r="CN19" s="281" t="s">
        <v>221</v>
      </c>
      <c r="CO19" s="236" t="s">
        <v>221</v>
      </c>
      <c r="CP19" s="236" t="s">
        <v>221</v>
      </c>
      <c r="CQ19" s="236" t="s">
        <v>221</v>
      </c>
      <c r="CR19" s="236" t="s">
        <v>221</v>
      </c>
      <c r="CS19" s="281" t="s">
        <v>221</v>
      </c>
      <c r="CT19" s="236" t="s">
        <v>221</v>
      </c>
      <c r="CU19" s="236" t="s">
        <v>221</v>
      </c>
      <c r="CV19" s="236" t="s">
        <v>221</v>
      </c>
      <c r="CW19" s="236" t="s">
        <v>221</v>
      </c>
      <c r="CX19" s="281" t="s">
        <v>221</v>
      </c>
      <c r="CY19" s="236" t="s">
        <v>221</v>
      </c>
      <c r="CZ19" s="236" t="s">
        <v>221</v>
      </c>
      <c r="DA19" s="236" t="s">
        <v>221</v>
      </c>
      <c r="DB19" s="236" t="s">
        <v>221</v>
      </c>
      <c r="DC19" s="281" t="s">
        <v>221</v>
      </c>
      <c r="DD19" s="236" t="s">
        <v>221</v>
      </c>
      <c r="DE19" s="236" t="s">
        <v>221</v>
      </c>
      <c r="DF19" s="236" t="s">
        <v>221</v>
      </c>
      <c r="DG19" s="236" t="s">
        <v>221</v>
      </c>
      <c r="DH19" s="281" t="s">
        <v>221</v>
      </c>
    </row>
    <row r="20" spans="1:112" hidden="1" outlineLevel="2" x14ac:dyDescent="0.2">
      <c r="A20" s="101" t="s">
        <v>86</v>
      </c>
      <c r="B20" s="101"/>
      <c r="C20" s="100">
        <v>568</v>
      </c>
      <c r="D20" s="100">
        <v>493</v>
      </c>
      <c r="E20" s="100">
        <v>505</v>
      </c>
      <c r="F20" s="100">
        <v>531</v>
      </c>
      <c r="G20" s="183">
        <v>2097</v>
      </c>
      <c r="H20" s="100">
        <v>564</v>
      </c>
      <c r="I20" s="100">
        <v>506</v>
      </c>
      <c r="J20" s="100">
        <v>578</v>
      </c>
      <c r="K20" s="100">
        <v>551</v>
      </c>
      <c r="L20" s="183">
        <f>SUM(H20:K20)</f>
        <v>2199</v>
      </c>
      <c r="M20" s="100">
        <v>628</v>
      </c>
      <c r="N20" s="100">
        <v>545</v>
      </c>
      <c r="O20" s="100">
        <v>549</v>
      </c>
      <c r="P20" s="100">
        <v>561</v>
      </c>
      <c r="Q20" s="183">
        <f>SUM(M20:P20)</f>
        <v>2283</v>
      </c>
      <c r="R20" s="100">
        <v>502</v>
      </c>
      <c r="S20" s="100">
        <v>440</v>
      </c>
      <c r="T20" s="100">
        <v>515</v>
      </c>
      <c r="U20" s="100">
        <v>529</v>
      </c>
      <c r="V20" s="183">
        <f>SUM(R20:U20)</f>
        <v>1986</v>
      </c>
      <c r="W20" s="100">
        <v>508</v>
      </c>
      <c r="X20" s="100">
        <v>465</v>
      </c>
      <c r="Y20" s="100">
        <v>510</v>
      </c>
      <c r="Z20" s="100">
        <v>530</v>
      </c>
      <c r="AA20" s="183">
        <f>SUM(W20:Z20)</f>
        <v>2013</v>
      </c>
      <c r="AB20" s="100">
        <v>524</v>
      </c>
      <c r="AC20" s="100">
        <v>495</v>
      </c>
      <c r="AD20" s="100">
        <v>531</v>
      </c>
      <c r="AE20" s="100">
        <v>563</v>
      </c>
      <c r="AF20" s="183">
        <f>SUM(AB20:AE20)</f>
        <v>2113</v>
      </c>
      <c r="AG20" s="100">
        <v>549</v>
      </c>
      <c r="AH20" s="100">
        <v>484</v>
      </c>
      <c r="AI20" s="100">
        <v>557</v>
      </c>
      <c r="AJ20" s="100">
        <v>550</v>
      </c>
      <c r="AK20" s="183">
        <f>SUM(AG20:AJ20)</f>
        <v>2140</v>
      </c>
      <c r="AL20" s="236" t="s">
        <v>221</v>
      </c>
      <c r="AM20" s="236" t="s">
        <v>221</v>
      </c>
      <c r="AN20" s="236" t="s">
        <v>221</v>
      </c>
      <c r="AO20" s="236" t="s">
        <v>221</v>
      </c>
      <c r="AP20" s="281" t="s">
        <v>221</v>
      </c>
      <c r="AQ20" s="236" t="s">
        <v>221</v>
      </c>
      <c r="AR20" s="236" t="s">
        <v>221</v>
      </c>
      <c r="AS20" s="236" t="s">
        <v>221</v>
      </c>
      <c r="AT20" s="236" t="s">
        <v>221</v>
      </c>
      <c r="AU20" s="281" t="s">
        <v>221</v>
      </c>
      <c r="AV20" s="236" t="s">
        <v>221</v>
      </c>
      <c r="AW20" s="236" t="s">
        <v>221</v>
      </c>
      <c r="AX20" s="236" t="s">
        <v>221</v>
      </c>
      <c r="AY20" s="236" t="s">
        <v>221</v>
      </c>
      <c r="AZ20" s="281" t="s">
        <v>221</v>
      </c>
      <c r="BA20" s="236" t="s">
        <v>221</v>
      </c>
      <c r="BB20" s="236" t="s">
        <v>221</v>
      </c>
      <c r="BC20" s="236" t="s">
        <v>221</v>
      </c>
      <c r="BD20" s="236" t="s">
        <v>221</v>
      </c>
      <c r="BE20" s="281" t="s">
        <v>221</v>
      </c>
      <c r="BF20" s="236" t="s">
        <v>221</v>
      </c>
      <c r="BG20" s="236" t="s">
        <v>221</v>
      </c>
      <c r="BH20" s="236" t="s">
        <v>221</v>
      </c>
      <c r="BI20" s="236" t="s">
        <v>221</v>
      </c>
      <c r="BJ20" s="281" t="s">
        <v>221</v>
      </c>
      <c r="BK20" s="236" t="s">
        <v>221</v>
      </c>
      <c r="BL20" s="236" t="s">
        <v>221</v>
      </c>
      <c r="BM20" s="236" t="s">
        <v>221</v>
      </c>
      <c r="BN20" s="236" t="s">
        <v>221</v>
      </c>
      <c r="BO20" s="281" t="s">
        <v>221</v>
      </c>
      <c r="BP20" s="236" t="s">
        <v>221</v>
      </c>
      <c r="BQ20" s="236" t="s">
        <v>221</v>
      </c>
      <c r="BR20" s="236" t="s">
        <v>221</v>
      </c>
      <c r="BS20" s="236" t="s">
        <v>221</v>
      </c>
      <c r="BT20" s="281" t="s">
        <v>221</v>
      </c>
      <c r="BU20" s="236" t="s">
        <v>221</v>
      </c>
      <c r="BV20" s="236" t="s">
        <v>221</v>
      </c>
      <c r="BW20" s="236" t="s">
        <v>221</v>
      </c>
      <c r="BX20" s="236" t="s">
        <v>221</v>
      </c>
      <c r="BY20" s="281" t="s">
        <v>221</v>
      </c>
      <c r="BZ20" s="236" t="s">
        <v>221</v>
      </c>
      <c r="CA20" s="236" t="s">
        <v>221</v>
      </c>
      <c r="CB20" s="236" t="s">
        <v>221</v>
      </c>
      <c r="CC20" s="236" t="s">
        <v>221</v>
      </c>
      <c r="CD20" s="281" t="s">
        <v>221</v>
      </c>
      <c r="CE20" s="236" t="s">
        <v>221</v>
      </c>
      <c r="CF20" s="801" t="s">
        <v>221</v>
      </c>
      <c r="CG20" s="236" t="s">
        <v>221</v>
      </c>
      <c r="CH20" s="236" t="s">
        <v>221</v>
      </c>
      <c r="CI20" s="281" t="s">
        <v>221</v>
      </c>
      <c r="CJ20" s="236" t="s">
        <v>221</v>
      </c>
      <c r="CK20" s="236" t="s">
        <v>221</v>
      </c>
      <c r="CL20" s="236" t="s">
        <v>221</v>
      </c>
      <c r="CM20" s="236" t="s">
        <v>221</v>
      </c>
      <c r="CN20" s="281" t="s">
        <v>221</v>
      </c>
      <c r="CO20" s="236" t="s">
        <v>221</v>
      </c>
      <c r="CP20" s="236" t="s">
        <v>221</v>
      </c>
      <c r="CQ20" s="236" t="s">
        <v>221</v>
      </c>
      <c r="CR20" s="236" t="s">
        <v>221</v>
      </c>
      <c r="CS20" s="281" t="s">
        <v>221</v>
      </c>
      <c r="CT20" s="236" t="s">
        <v>221</v>
      </c>
      <c r="CU20" s="236" t="s">
        <v>221</v>
      </c>
      <c r="CV20" s="236" t="s">
        <v>221</v>
      </c>
      <c r="CW20" s="236" t="s">
        <v>221</v>
      </c>
      <c r="CX20" s="281" t="s">
        <v>221</v>
      </c>
      <c r="CY20" s="236" t="s">
        <v>221</v>
      </c>
      <c r="CZ20" s="236" t="s">
        <v>221</v>
      </c>
      <c r="DA20" s="236" t="s">
        <v>221</v>
      </c>
      <c r="DB20" s="236" t="s">
        <v>221</v>
      </c>
      <c r="DC20" s="281" t="s">
        <v>221</v>
      </c>
      <c r="DD20" s="236" t="s">
        <v>221</v>
      </c>
      <c r="DE20" s="236" t="s">
        <v>221</v>
      </c>
      <c r="DF20" s="236" t="s">
        <v>221</v>
      </c>
      <c r="DG20" s="236" t="s">
        <v>221</v>
      </c>
      <c r="DH20" s="281" t="s">
        <v>221</v>
      </c>
    </row>
    <row r="21" spans="1:112" hidden="1" outlineLevel="2" x14ac:dyDescent="0.2">
      <c r="A21" s="101" t="s">
        <v>87</v>
      </c>
      <c r="B21" s="101"/>
      <c r="C21" s="100">
        <v>258</v>
      </c>
      <c r="D21" s="100">
        <v>232</v>
      </c>
      <c r="E21" s="100">
        <v>307</v>
      </c>
      <c r="F21" s="100">
        <v>425</v>
      </c>
      <c r="G21" s="183">
        <v>1222</v>
      </c>
      <c r="H21" s="100">
        <v>290</v>
      </c>
      <c r="I21" s="100">
        <v>243</v>
      </c>
      <c r="J21" s="100">
        <v>324</v>
      </c>
      <c r="K21" s="100">
        <v>447</v>
      </c>
      <c r="L21" s="183">
        <f>SUM(H21:K21)</f>
        <v>1304</v>
      </c>
      <c r="M21" s="100">
        <v>306</v>
      </c>
      <c r="N21" s="100">
        <v>265</v>
      </c>
      <c r="O21" s="100">
        <v>344</v>
      </c>
      <c r="P21" s="100">
        <v>453</v>
      </c>
      <c r="Q21" s="183">
        <f>SUM(M21:P21)</f>
        <v>1368</v>
      </c>
      <c r="R21" s="100">
        <v>388</v>
      </c>
      <c r="S21" s="100">
        <v>351</v>
      </c>
      <c r="T21" s="100">
        <v>404</v>
      </c>
      <c r="U21" s="100">
        <v>534</v>
      </c>
      <c r="V21" s="183">
        <f>SUM(R21:U21)</f>
        <v>1677</v>
      </c>
      <c r="W21" s="100">
        <v>412</v>
      </c>
      <c r="X21" s="100">
        <v>381</v>
      </c>
      <c r="Y21" s="100">
        <v>426</v>
      </c>
      <c r="Z21" s="100">
        <v>569</v>
      </c>
      <c r="AA21" s="183">
        <f>SUM(W21:Z21)</f>
        <v>1788</v>
      </c>
      <c r="AB21" s="100">
        <v>425</v>
      </c>
      <c r="AC21" s="100">
        <v>405</v>
      </c>
      <c r="AD21" s="100">
        <v>466</v>
      </c>
      <c r="AE21" s="100">
        <v>596</v>
      </c>
      <c r="AF21" s="183">
        <f>SUM(AB21:AE21)</f>
        <v>1892</v>
      </c>
      <c r="AG21" s="100">
        <v>451</v>
      </c>
      <c r="AH21" s="100">
        <v>439</v>
      </c>
      <c r="AI21" s="100">
        <v>499</v>
      </c>
      <c r="AJ21" s="100">
        <v>601</v>
      </c>
      <c r="AK21" s="183">
        <f>SUM(AG21:AJ21)</f>
        <v>1990</v>
      </c>
      <c r="AL21" s="236" t="s">
        <v>221</v>
      </c>
      <c r="AM21" s="236" t="s">
        <v>221</v>
      </c>
      <c r="AN21" s="236" t="s">
        <v>221</v>
      </c>
      <c r="AO21" s="236" t="s">
        <v>221</v>
      </c>
      <c r="AP21" s="281" t="s">
        <v>221</v>
      </c>
      <c r="AQ21" s="236" t="s">
        <v>221</v>
      </c>
      <c r="AR21" s="236" t="s">
        <v>221</v>
      </c>
      <c r="AS21" s="236" t="s">
        <v>221</v>
      </c>
      <c r="AT21" s="236" t="s">
        <v>221</v>
      </c>
      <c r="AU21" s="281" t="s">
        <v>221</v>
      </c>
      <c r="AV21" s="236" t="s">
        <v>221</v>
      </c>
      <c r="AW21" s="236" t="s">
        <v>221</v>
      </c>
      <c r="AX21" s="236" t="s">
        <v>221</v>
      </c>
      <c r="AY21" s="236" t="s">
        <v>221</v>
      </c>
      <c r="AZ21" s="281" t="s">
        <v>221</v>
      </c>
      <c r="BA21" s="236" t="s">
        <v>221</v>
      </c>
      <c r="BB21" s="236" t="s">
        <v>221</v>
      </c>
      <c r="BC21" s="236" t="s">
        <v>221</v>
      </c>
      <c r="BD21" s="236" t="s">
        <v>221</v>
      </c>
      <c r="BE21" s="281" t="s">
        <v>221</v>
      </c>
      <c r="BF21" s="236" t="s">
        <v>221</v>
      </c>
      <c r="BG21" s="236" t="s">
        <v>221</v>
      </c>
      <c r="BH21" s="236" t="s">
        <v>221</v>
      </c>
      <c r="BI21" s="236" t="s">
        <v>221</v>
      </c>
      <c r="BJ21" s="281" t="s">
        <v>221</v>
      </c>
      <c r="BK21" s="236" t="s">
        <v>221</v>
      </c>
      <c r="BL21" s="236" t="s">
        <v>221</v>
      </c>
      <c r="BM21" s="236" t="s">
        <v>221</v>
      </c>
      <c r="BN21" s="236" t="s">
        <v>221</v>
      </c>
      <c r="BO21" s="281" t="s">
        <v>221</v>
      </c>
      <c r="BP21" s="236" t="s">
        <v>221</v>
      </c>
      <c r="BQ21" s="236" t="s">
        <v>221</v>
      </c>
      <c r="BR21" s="236" t="s">
        <v>221</v>
      </c>
      <c r="BS21" s="236" t="s">
        <v>221</v>
      </c>
      <c r="BT21" s="281" t="s">
        <v>221</v>
      </c>
      <c r="BU21" s="236" t="s">
        <v>221</v>
      </c>
      <c r="BV21" s="236" t="s">
        <v>221</v>
      </c>
      <c r="BW21" s="236" t="s">
        <v>221</v>
      </c>
      <c r="BX21" s="236" t="s">
        <v>221</v>
      </c>
      <c r="BY21" s="281" t="s">
        <v>221</v>
      </c>
      <c r="BZ21" s="236" t="s">
        <v>221</v>
      </c>
      <c r="CA21" s="236" t="s">
        <v>221</v>
      </c>
      <c r="CB21" s="236" t="s">
        <v>221</v>
      </c>
      <c r="CC21" s="236" t="s">
        <v>221</v>
      </c>
      <c r="CD21" s="281" t="s">
        <v>221</v>
      </c>
      <c r="CE21" s="236" t="s">
        <v>221</v>
      </c>
      <c r="CF21" s="801" t="s">
        <v>221</v>
      </c>
      <c r="CG21" s="236" t="s">
        <v>221</v>
      </c>
      <c r="CH21" s="236" t="s">
        <v>221</v>
      </c>
      <c r="CI21" s="281" t="s">
        <v>221</v>
      </c>
      <c r="CJ21" s="236" t="s">
        <v>221</v>
      </c>
      <c r="CK21" s="236" t="s">
        <v>221</v>
      </c>
      <c r="CL21" s="236" t="s">
        <v>221</v>
      </c>
      <c r="CM21" s="236" t="s">
        <v>221</v>
      </c>
      <c r="CN21" s="281" t="s">
        <v>221</v>
      </c>
      <c r="CO21" s="236" t="s">
        <v>221</v>
      </c>
      <c r="CP21" s="236" t="s">
        <v>221</v>
      </c>
      <c r="CQ21" s="236" t="s">
        <v>221</v>
      </c>
      <c r="CR21" s="236" t="s">
        <v>221</v>
      </c>
      <c r="CS21" s="281" t="s">
        <v>221</v>
      </c>
      <c r="CT21" s="236" t="s">
        <v>221</v>
      </c>
      <c r="CU21" s="236" t="s">
        <v>221</v>
      </c>
      <c r="CV21" s="236" t="s">
        <v>221</v>
      </c>
      <c r="CW21" s="236" t="s">
        <v>221</v>
      </c>
      <c r="CX21" s="281" t="s">
        <v>221</v>
      </c>
      <c r="CY21" s="236" t="s">
        <v>221</v>
      </c>
      <c r="CZ21" s="236" t="s">
        <v>221</v>
      </c>
      <c r="DA21" s="236" t="s">
        <v>221</v>
      </c>
      <c r="DB21" s="236" t="s">
        <v>221</v>
      </c>
      <c r="DC21" s="281" t="s">
        <v>221</v>
      </c>
      <c r="DD21" s="236" t="s">
        <v>221</v>
      </c>
      <c r="DE21" s="236" t="s">
        <v>221</v>
      </c>
      <c r="DF21" s="236" t="s">
        <v>221</v>
      </c>
      <c r="DG21" s="236" t="s">
        <v>221</v>
      </c>
      <c r="DH21" s="281" t="s">
        <v>221</v>
      </c>
    </row>
    <row r="22" spans="1:112" hidden="1" outlineLevel="1" collapsed="1" x14ac:dyDescent="0.2">
      <c r="A22" s="117" t="s">
        <v>88</v>
      </c>
      <c r="B22" s="117"/>
      <c r="C22" s="171">
        <v>137</v>
      </c>
      <c r="D22" s="171">
        <v>151</v>
      </c>
      <c r="E22" s="171">
        <v>150</v>
      </c>
      <c r="F22" s="171">
        <v>146</v>
      </c>
      <c r="G22" s="343">
        <v>584</v>
      </c>
      <c r="H22" s="171">
        <v>130</v>
      </c>
      <c r="I22" s="171">
        <v>138</v>
      </c>
      <c r="J22" s="171">
        <v>121</v>
      </c>
      <c r="K22" s="171">
        <v>130</v>
      </c>
      <c r="L22" s="343">
        <f>SUM(H22:K22)</f>
        <v>519</v>
      </c>
      <c r="M22" s="171">
        <v>113</v>
      </c>
      <c r="N22" s="171">
        <v>116</v>
      </c>
      <c r="O22" s="171">
        <v>126</v>
      </c>
      <c r="P22" s="171">
        <v>138</v>
      </c>
      <c r="Q22" s="343">
        <f>SUM(M22:P22)</f>
        <v>493</v>
      </c>
      <c r="R22" s="171">
        <v>116</v>
      </c>
      <c r="S22" s="171">
        <v>129</v>
      </c>
      <c r="T22" s="171">
        <v>132</v>
      </c>
      <c r="U22" s="171">
        <v>122</v>
      </c>
      <c r="V22" s="343">
        <f>SUM(R22:U22)</f>
        <v>499</v>
      </c>
      <c r="W22" s="171">
        <v>128</v>
      </c>
      <c r="X22" s="171">
        <v>154</v>
      </c>
      <c r="Y22" s="171">
        <v>150</v>
      </c>
      <c r="Z22" s="171">
        <v>155</v>
      </c>
      <c r="AA22" s="343">
        <f>SUM(W22:Z22)</f>
        <v>587</v>
      </c>
      <c r="AB22" s="171">
        <v>155</v>
      </c>
      <c r="AC22" s="171">
        <v>164</v>
      </c>
      <c r="AD22" s="171">
        <v>160</v>
      </c>
      <c r="AE22" s="171">
        <v>160</v>
      </c>
      <c r="AF22" s="343">
        <f>SUM(AB22:AE22)</f>
        <v>639</v>
      </c>
      <c r="AG22" s="171">
        <v>161</v>
      </c>
      <c r="AH22" s="171">
        <v>178</v>
      </c>
      <c r="AI22" s="171">
        <v>185</v>
      </c>
      <c r="AJ22" s="171">
        <v>193</v>
      </c>
      <c r="AK22" s="343">
        <f>SUM(AG22:AJ22)</f>
        <v>717</v>
      </c>
      <c r="AL22" s="171">
        <v>190</v>
      </c>
      <c r="AM22" s="171">
        <v>209</v>
      </c>
      <c r="AN22" s="171">
        <v>210</v>
      </c>
      <c r="AO22" s="171">
        <v>224</v>
      </c>
      <c r="AP22" s="343">
        <f>SUM(AL22:AO22)</f>
        <v>833</v>
      </c>
      <c r="AQ22" s="171">
        <v>217</v>
      </c>
      <c r="AR22" s="171">
        <v>209</v>
      </c>
      <c r="AS22" s="171">
        <v>208</v>
      </c>
      <c r="AT22" s="171">
        <v>226</v>
      </c>
      <c r="AU22" s="343">
        <f>SUM(AQ22:AT22)</f>
        <v>860</v>
      </c>
      <c r="AV22" s="237" t="s">
        <v>221</v>
      </c>
      <c r="AW22" s="237" t="s">
        <v>221</v>
      </c>
      <c r="AX22" s="237" t="s">
        <v>221</v>
      </c>
      <c r="AY22" s="171" t="s">
        <v>221</v>
      </c>
      <c r="AZ22" s="343" t="s">
        <v>221</v>
      </c>
      <c r="BA22" s="237" t="s">
        <v>221</v>
      </c>
      <c r="BB22" s="237" t="s">
        <v>221</v>
      </c>
      <c r="BC22" s="237" t="s">
        <v>221</v>
      </c>
      <c r="BD22" s="237" t="s">
        <v>221</v>
      </c>
      <c r="BE22" s="282" t="s">
        <v>221</v>
      </c>
      <c r="BF22" s="237" t="s">
        <v>221</v>
      </c>
      <c r="BG22" s="237" t="s">
        <v>221</v>
      </c>
      <c r="BH22" s="237" t="s">
        <v>221</v>
      </c>
      <c r="BI22" s="237" t="s">
        <v>221</v>
      </c>
      <c r="BJ22" s="282" t="s">
        <v>221</v>
      </c>
      <c r="BK22" s="237" t="s">
        <v>221</v>
      </c>
      <c r="BL22" s="237" t="s">
        <v>221</v>
      </c>
      <c r="BM22" s="237" t="s">
        <v>221</v>
      </c>
      <c r="BN22" s="237" t="s">
        <v>221</v>
      </c>
      <c r="BO22" s="282" t="s">
        <v>221</v>
      </c>
      <c r="BP22" s="237" t="s">
        <v>221</v>
      </c>
      <c r="BQ22" s="237" t="s">
        <v>221</v>
      </c>
      <c r="BR22" s="237" t="s">
        <v>221</v>
      </c>
      <c r="BS22" s="237" t="s">
        <v>221</v>
      </c>
      <c r="BT22" s="282" t="s">
        <v>221</v>
      </c>
      <c r="BU22" s="237" t="s">
        <v>221</v>
      </c>
      <c r="BV22" s="237" t="s">
        <v>221</v>
      </c>
      <c r="BW22" s="237" t="s">
        <v>221</v>
      </c>
      <c r="BX22" s="237" t="s">
        <v>221</v>
      </c>
      <c r="BY22" s="282" t="s">
        <v>221</v>
      </c>
      <c r="BZ22" s="237" t="s">
        <v>221</v>
      </c>
      <c r="CA22" s="237" t="s">
        <v>221</v>
      </c>
      <c r="CB22" s="237" t="s">
        <v>221</v>
      </c>
      <c r="CC22" s="237" t="s">
        <v>221</v>
      </c>
      <c r="CD22" s="282" t="s">
        <v>221</v>
      </c>
      <c r="CE22" s="237" t="s">
        <v>221</v>
      </c>
      <c r="CF22" s="802" t="s">
        <v>221</v>
      </c>
      <c r="CG22" s="237" t="s">
        <v>221</v>
      </c>
      <c r="CH22" s="237" t="s">
        <v>221</v>
      </c>
      <c r="CI22" s="282" t="s">
        <v>221</v>
      </c>
      <c r="CJ22" s="237" t="s">
        <v>221</v>
      </c>
      <c r="CK22" s="237" t="s">
        <v>221</v>
      </c>
      <c r="CL22" s="237" t="s">
        <v>221</v>
      </c>
      <c r="CM22" s="237" t="s">
        <v>221</v>
      </c>
      <c r="CN22" s="282" t="s">
        <v>221</v>
      </c>
      <c r="CO22" s="237" t="s">
        <v>221</v>
      </c>
      <c r="CP22" s="237" t="s">
        <v>221</v>
      </c>
      <c r="CQ22" s="237" t="s">
        <v>221</v>
      </c>
      <c r="CR22" s="237" t="s">
        <v>221</v>
      </c>
      <c r="CS22" s="282" t="s">
        <v>221</v>
      </c>
      <c r="CT22" s="237" t="s">
        <v>221</v>
      </c>
      <c r="CU22" s="237" t="s">
        <v>221</v>
      </c>
      <c r="CV22" s="237" t="s">
        <v>221</v>
      </c>
      <c r="CW22" s="237" t="s">
        <v>221</v>
      </c>
      <c r="CX22" s="282" t="s">
        <v>221</v>
      </c>
      <c r="CY22" s="237" t="s">
        <v>221</v>
      </c>
      <c r="CZ22" s="237" t="s">
        <v>221</v>
      </c>
      <c r="DA22" s="237" t="s">
        <v>221</v>
      </c>
      <c r="DB22" s="237" t="s">
        <v>221</v>
      </c>
      <c r="DC22" s="282" t="s">
        <v>221</v>
      </c>
      <c r="DD22" s="237" t="s">
        <v>221</v>
      </c>
      <c r="DE22" s="237" t="s">
        <v>221</v>
      </c>
      <c r="DF22" s="237" t="s">
        <v>221</v>
      </c>
      <c r="DG22" s="237" t="s">
        <v>221</v>
      </c>
      <c r="DH22" s="282" t="s">
        <v>221</v>
      </c>
    </row>
    <row r="23" spans="1:112" hidden="1" outlineLevel="1" x14ac:dyDescent="0.2">
      <c r="A23" s="102" t="s">
        <v>242</v>
      </c>
      <c r="B23" s="102"/>
      <c r="C23" s="104">
        <v>963</v>
      </c>
      <c r="D23" s="104">
        <v>876</v>
      </c>
      <c r="E23" s="104">
        <v>962</v>
      </c>
      <c r="F23" s="104">
        <v>1102</v>
      </c>
      <c r="G23" s="184">
        <v>3903</v>
      </c>
      <c r="H23" s="104">
        <f t="shared" ref="H23:AK23" si="31">SUM(H20:H22)</f>
        <v>984</v>
      </c>
      <c r="I23" s="104">
        <f t="shared" si="31"/>
        <v>887</v>
      </c>
      <c r="J23" s="104">
        <f t="shared" si="31"/>
        <v>1023</v>
      </c>
      <c r="K23" s="104">
        <f t="shared" si="31"/>
        <v>1128</v>
      </c>
      <c r="L23" s="184">
        <f t="shared" si="31"/>
        <v>4022</v>
      </c>
      <c r="M23" s="104">
        <f t="shared" si="31"/>
        <v>1047</v>
      </c>
      <c r="N23" s="104">
        <f t="shared" si="31"/>
        <v>926</v>
      </c>
      <c r="O23" s="104">
        <f t="shared" si="31"/>
        <v>1019</v>
      </c>
      <c r="P23" s="104">
        <f t="shared" si="31"/>
        <v>1152</v>
      </c>
      <c r="Q23" s="184">
        <f t="shared" si="31"/>
        <v>4144</v>
      </c>
      <c r="R23" s="104">
        <f t="shared" si="31"/>
        <v>1006</v>
      </c>
      <c r="S23" s="104">
        <f t="shared" si="31"/>
        <v>920</v>
      </c>
      <c r="T23" s="104">
        <f t="shared" si="31"/>
        <v>1051</v>
      </c>
      <c r="U23" s="104">
        <f t="shared" si="31"/>
        <v>1185</v>
      </c>
      <c r="V23" s="184">
        <f t="shared" si="31"/>
        <v>4162</v>
      </c>
      <c r="W23" s="104">
        <f t="shared" si="31"/>
        <v>1048</v>
      </c>
      <c r="X23" s="104">
        <f t="shared" si="31"/>
        <v>1000</v>
      </c>
      <c r="Y23" s="104">
        <f t="shared" si="31"/>
        <v>1086</v>
      </c>
      <c r="Z23" s="104">
        <f t="shared" si="31"/>
        <v>1254</v>
      </c>
      <c r="AA23" s="184">
        <f t="shared" si="31"/>
        <v>4388</v>
      </c>
      <c r="AB23" s="104">
        <f t="shared" si="31"/>
        <v>1104</v>
      </c>
      <c r="AC23" s="104">
        <f t="shared" si="31"/>
        <v>1064</v>
      </c>
      <c r="AD23" s="104">
        <f t="shared" si="31"/>
        <v>1157</v>
      </c>
      <c r="AE23" s="104">
        <f t="shared" si="31"/>
        <v>1319</v>
      </c>
      <c r="AF23" s="184">
        <f t="shared" si="31"/>
        <v>4644</v>
      </c>
      <c r="AG23" s="104">
        <f t="shared" si="31"/>
        <v>1161</v>
      </c>
      <c r="AH23" s="104">
        <f t="shared" si="31"/>
        <v>1101</v>
      </c>
      <c r="AI23" s="104">
        <f t="shared" si="31"/>
        <v>1241</v>
      </c>
      <c r="AJ23" s="104">
        <f t="shared" si="31"/>
        <v>1344</v>
      </c>
      <c r="AK23" s="184">
        <f t="shared" si="31"/>
        <v>4847</v>
      </c>
      <c r="AL23" s="104">
        <f t="shared" ref="AL23:AU23" si="32">AL22+AL19</f>
        <v>1239</v>
      </c>
      <c r="AM23" s="104">
        <f t="shared" si="32"/>
        <v>1186</v>
      </c>
      <c r="AN23" s="104">
        <f t="shared" si="32"/>
        <v>1353</v>
      </c>
      <c r="AO23" s="104">
        <f t="shared" si="32"/>
        <v>1495</v>
      </c>
      <c r="AP23" s="184">
        <f t="shared" si="32"/>
        <v>5273</v>
      </c>
      <c r="AQ23" s="104">
        <f t="shared" si="32"/>
        <v>1384</v>
      </c>
      <c r="AR23" s="104">
        <f t="shared" si="32"/>
        <v>1216</v>
      </c>
      <c r="AS23" s="104">
        <f t="shared" si="32"/>
        <v>1350</v>
      </c>
      <c r="AT23" s="104">
        <f t="shared" si="32"/>
        <v>1500</v>
      </c>
      <c r="AU23" s="184">
        <f t="shared" si="32"/>
        <v>5450</v>
      </c>
      <c r="AV23" s="236" t="s">
        <v>221</v>
      </c>
      <c r="AW23" s="236" t="s">
        <v>221</v>
      </c>
      <c r="AX23" s="236" t="s">
        <v>221</v>
      </c>
      <c r="AY23" s="104" t="s">
        <v>221</v>
      </c>
      <c r="AZ23" s="184" t="s">
        <v>221</v>
      </c>
      <c r="BA23" s="236" t="s">
        <v>221</v>
      </c>
      <c r="BB23" s="236" t="s">
        <v>221</v>
      </c>
      <c r="BC23" s="236" t="s">
        <v>221</v>
      </c>
      <c r="BD23" s="236" t="s">
        <v>221</v>
      </c>
      <c r="BE23" s="281" t="s">
        <v>221</v>
      </c>
      <c r="BF23" s="236" t="s">
        <v>221</v>
      </c>
      <c r="BG23" s="236" t="s">
        <v>221</v>
      </c>
      <c r="BH23" s="236" t="s">
        <v>221</v>
      </c>
      <c r="BI23" s="236" t="s">
        <v>221</v>
      </c>
      <c r="BJ23" s="281" t="s">
        <v>221</v>
      </c>
      <c r="BK23" s="236" t="s">
        <v>221</v>
      </c>
      <c r="BL23" s="236" t="s">
        <v>221</v>
      </c>
      <c r="BM23" s="236" t="s">
        <v>221</v>
      </c>
      <c r="BN23" s="236" t="s">
        <v>221</v>
      </c>
      <c r="BO23" s="281" t="s">
        <v>221</v>
      </c>
      <c r="BP23" s="236" t="s">
        <v>221</v>
      </c>
      <c r="BQ23" s="236" t="s">
        <v>221</v>
      </c>
      <c r="BR23" s="236" t="s">
        <v>221</v>
      </c>
      <c r="BS23" s="236" t="s">
        <v>221</v>
      </c>
      <c r="BT23" s="281" t="s">
        <v>221</v>
      </c>
      <c r="BU23" s="236" t="s">
        <v>221</v>
      </c>
      <c r="BV23" s="236" t="s">
        <v>221</v>
      </c>
      <c r="BW23" s="236" t="s">
        <v>221</v>
      </c>
      <c r="BX23" s="236" t="s">
        <v>221</v>
      </c>
      <c r="BY23" s="281" t="s">
        <v>221</v>
      </c>
      <c r="BZ23" s="236" t="s">
        <v>221</v>
      </c>
      <c r="CA23" s="236" t="s">
        <v>221</v>
      </c>
      <c r="CB23" s="236" t="s">
        <v>221</v>
      </c>
      <c r="CC23" s="236" t="s">
        <v>221</v>
      </c>
      <c r="CD23" s="281" t="s">
        <v>221</v>
      </c>
      <c r="CE23" s="236" t="s">
        <v>221</v>
      </c>
      <c r="CF23" s="801" t="s">
        <v>221</v>
      </c>
      <c r="CG23" s="236" t="s">
        <v>221</v>
      </c>
      <c r="CH23" s="236" t="s">
        <v>221</v>
      </c>
      <c r="CI23" s="281" t="s">
        <v>221</v>
      </c>
      <c r="CJ23" s="236" t="s">
        <v>221</v>
      </c>
      <c r="CK23" s="236" t="s">
        <v>221</v>
      </c>
      <c r="CL23" s="236" t="s">
        <v>221</v>
      </c>
      <c r="CM23" s="236" t="s">
        <v>221</v>
      </c>
      <c r="CN23" s="281" t="s">
        <v>221</v>
      </c>
      <c r="CO23" s="236" t="s">
        <v>221</v>
      </c>
      <c r="CP23" s="236" t="s">
        <v>221</v>
      </c>
      <c r="CQ23" s="236" t="s">
        <v>221</v>
      </c>
      <c r="CR23" s="236" t="s">
        <v>221</v>
      </c>
      <c r="CS23" s="281" t="s">
        <v>221</v>
      </c>
      <c r="CT23" s="236" t="s">
        <v>221</v>
      </c>
      <c r="CU23" s="236" t="s">
        <v>221</v>
      </c>
      <c r="CV23" s="236" t="s">
        <v>221</v>
      </c>
      <c r="CW23" s="236" t="s">
        <v>221</v>
      </c>
      <c r="CX23" s="281" t="s">
        <v>221</v>
      </c>
      <c r="CY23" s="236" t="s">
        <v>221</v>
      </c>
      <c r="CZ23" s="236" t="s">
        <v>221</v>
      </c>
      <c r="DA23" s="236" t="s">
        <v>221</v>
      </c>
      <c r="DB23" s="236" t="s">
        <v>221</v>
      </c>
      <c r="DC23" s="281" t="s">
        <v>221</v>
      </c>
      <c r="DD23" s="236" t="s">
        <v>221</v>
      </c>
      <c r="DE23" s="236" t="s">
        <v>221</v>
      </c>
      <c r="DF23" s="236" t="s">
        <v>221</v>
      </c>
      <c r="DG23" s="236" t="s">
        <v>221</v>
      </c>
      <c r="DH23" s="281" t="s">
        <v>221</v>
      </c>
    </row>
    <row r="24" spans="1:112" hidden="1" outlineLevel="1" x14ac:dyDescent="0.2">
      <c r="A24" s="105" t="s">
        <v>89</v>
      </c>
      <c r="B24" s="103"/>
      <c r="C24" s="47"/>
      <c r="D24" s="47"/>
      <c r="E24" s="47"/>
      <c r="F24" s="47"/>
      <c r="G24" s="185"/>
      <c r="H24" s="47">
        <f>H23/C23-1</f>
        <v>2.1806853582554409E-2</v>
      </c>
      <c r="I24" s="47">
        <f>I23/D23-1</f>
        <v>1.2557077625570789E-2</v>
      </c>
      <c r="J24" s="47">
        <f>J23/E23-1</f>
        <v>6.3409563409563496E-2</v>
      </c>
      <c r="K24" s="47">
        <f>K23/F23-1</f>
        <v>2.3593466424682408E-2</v>
      </c>
      <c r="L24" s="185">
        <f>L23/G23-1</f>
        <v>3.0489367153471614E-2</v>
      </c>
      <c r="M24" s="47">
        <f t="shared" ref="M24:AC24" si="33">M23/H23-1</f>
        <v>6.4024390243902385E-2</v>
      </c>
      <c r="N24" s="47">
        <f t="shared" si="33"/>
        <v>4.3968432919955003E-2</v>
      </c>
      <c r="O24" s="47">
        <f t="shared" si="33"/>
        <v>-3.910068426197455E-3</v>
      </c>
      <c r="P24" s="47">
        <f t="shared" si="33"/>
        <v>2.1276595744680771E-2</v>
      </c>
      <c r="Q24" s="185">
        <f t="shared" si="33"/>
        <v>3.0333167578319165E-2</v>
      </c>
      <c r="R24" s="60" t="s">
        <v>221</v>
      </c>
      <c r="S24" s="60" t="s">
        <v>221</v>
      </c>
      <c r="T24" s="60" t="s">
        <v>221</v>
      </c>
      <c r="U24" s="60" t="s">
        <v>221</v>
      </c>
      <c r="V24" s="267" t="s">
        <v>221</v>
      </c>
      <c r="W24" s="47">
        <f t="shared" si="33"/>
        <v>4.1749502982107334E-2</v>
      </c>
      <c r="X24" s="47">
        <f t="shared" si="33"/>
        <v>8.6956521739130377E-2</v>
      </c>
      <c r="Y24" s="47">
        <f t="shared" si="33"/>
        <v>3.3301617507136116E-2</v>
      </c>
      <c r="Z24" s="47">
        <f t="shared" si="33"/>
        <v>5.8227848101265911E-2</v>
      </c>
      <c r="AA24" s="185">
        <f t="shared" si="33"/>
        <v>5.4300816914944816E-2</v>
      </c>
      <c r="AB24" s="47">
        <f t="shared" si="33"/>
        <v>5.3435114503816772E-2</v>
      </c>
      <c r="AC24" s="47">
        <f t="shared" si="33"/>
        <v>6.4000000000000057E-2</v>
      </c>
      <c r="AD24" s="47">
        <f t="shared" ref="AD24:AU24" si="34">AD23/Y23-1</f>
        <v>6.5377532228360957E-2</v>
      </c>
      <c r="AE24" s="47">
        <f t="shared" si="34"/>
        <v>5.1834130781499121E-2</v>
      </c>
      <c r="AF24" s="185">
        <f t="shared" si="34"/>
        <v>5.8340929808568864E-2</v>
      </c>
      <c r="AG24" s="47">
        <f t="shared" si="34"/>
        <v>5.1630434782608647E-2</v>
      </c>
      <c r="AH24" s="47">
        <f t="shared" si="34"/>
        <v>3.4774436090225569E-2</v>
      </c>
      <c r="AI24" s="47">
        <f t="shared" si="34"/>
        <v>7.260155574762317E-2</v>
      </c>
      <c r="AJ24" s="47">
        <f t="shared" si="34"/>
        <v>1.8953752843062999E-2</v>
      </c>
      <c r="AK24" s="185">
        <f t="shared" si="34"/>
        <v>4.3712316968130827E-2</v>
      </c>
      <c r="AL24" s="47">
        <f t="shared" si="34"/>
        <v>6.7183462532299787E-2</v>
      </c>
      <c r="AM24" s="47">
        <f t="shared" si="34"/>
        <v>7.7202543142597557E-2</v>
      </c>
      <c r="AN24" s="47">
        <f t="shared" si="34"/>
        <v>9.0249798549556726E-2</v>
      </c>
      <c r="AO24" s="47">
        <f t="shared" si="34"/>
        <v>0.11235119047619047</v>
      </c>
      <c r="AP24" s="185">
        <f t="shared" si="34"/>
        <v>8.7889416133690945E-2</v>
      </c>
      <c r="AQ24" s="47">
        <f t="shared" si="34"/>
        <v>0.11702986279257455</v>
      </c>
      <c r="AR24" s="47">
        <f t="shared" si="34"/>
        <v>2.5295109612141653E-2</v>
      </c>
      <c r="AS24" s="47">
        <f t="shared" si="34"/>
        <v>-2.2172949002217113E-3</v>
      </c>
      <c r="AT24" s="47">
        <f t="shared" si="34"/>
        <v>3.3444816053511683E-3</v>
      </c>
      <c r="AU24" s="185">
        <f t="shared" si="34"/>
        <v>3.3567229281244115E-2</v>
      </c>
      <c r="AV24" s="236" t="s">
        <v>221</v>
      </c>
      <c r="AW24" s="236" t="s">
        <v>221</v>
      </c>
      <c r="AX24" s="236" t="s">
        <v>221</v>
      </c>
      <c r="AY24" s="47" t="s">
        <v>221</v>
      </c>
      <c r="AZ24" s="185" t="s">
        <v>221</v>
      </c>
      <c r="BA24" s="236" t="s">
        <v>221</v>
      </c>
      <c r="BB24" s="236" t="s">
        <v>221</v>
      </c>
      <c r="BC24" s="236" t="s">
        <v>221</v>
      </c>
      <c r="BD24" s="236" t="s">
        <v>221</v>
      </c>
      <c r="BE24" s="281" t="s">
        <v>221</v>
      </c>
      <c r="BF24" s="236" t="s">
        <v>221</v>
      </c>
      <c r="BG24" s="236" t="s">
        <v>221</v>
      </c>
      <c r="BH24" s="236" t="s">
        <v>221</v>
      </c>
      <c r="BI24" s="236" t="s">
        <v>221</v>
      </c>
      <c r="BJ24" s="281" t="s">
        <v>221</v>
      </c>
      <c r="BK24" s="236" t="s">
        <v>221</v>
      </c>
      <c r="BL24" s="236" t="s">
        <v>221</v>
      </c>
      <c r="BM24" s="236" t="s">
        <v>221</v>
      </c>
      <c r="BN24" s="236" t="s">
        <v>221</v>
      </c>
      <c r="BO24" s="281" t="s">
        <v>221</v>
      </c>
      <c r="BP24" s="236" t="s">
        <v>221</v>
      </c>
      <c r="BQ24" s="236" t="s">
        <v>221</v>
      </c>
      <c r="BR24" s="236" t="s">
        <v>221</v>
      </c>
      <c r="BS24" s="236" t="s">
        <v>221</v>
      </c>
      <c r="BT24" s="281" t="s">
        <v>221</v>
      </c>
      <c r="BU24" s="236" t="s">
        <v>221</v>
      </c>
      <c r="BV24" s="236" t="s">
        <v>221</v>
      </c>
      <c r="BW24" s="236" t="s">
        <v>221</v>
      </c>
      <c r="BX24" s="236" t="s">
        <v>221</v>
      </c>
      <c r="BY24" s="281" t="s">
        <v>221</v>
      </c>
      <c r="BZ24" s="236" t="s">
        <v>221</v>
      </c>
      <c r="CA24" s="236" t="s">
        <v>221</v>
      </c>
      <c r="CB24" s="236" t="s">
        <v>221</v>
      </c>
      <c r="CC24" s="236" t="s">
        <v>221</v>
      </c>
      <c r="CD24" s="281" t="s">
        <v>221</v>
      </c>
      <c r="CE24" s="236" t="s">
        <v>221</v>
      </c>
      <c r="CF24" s="801" t="s">
        <v>221</v>
      </c>
      <c r="CG24" s="236" t="s">
        <v>221</v>
      </c>
      <c r="CH24" s="236" t="s">
        <v>221</v>
      </c>
      <c r="CI24" s="281" t="s">
        <v>221</v>
      </c>
      <c r="CJ24" s="236" t="s">
        <v>221</v>
      </c>
      <c r="CK24" s="236" t="s">
        <v>221</v>
      </c>
      <c r="CL24" s="236" t="s">
        <v>221</v>
      </c>
      <c r="CM24" s="236" t="s">
        <v>221</v>
      </c>
      <c r="CN24" s="281" t="s">
        <v>221</v>
      </c>
      <c r="CO24" s="236" t="s">
        <v>221</v>
      </c>
      <c r="CP24" s="236" t="s">
        <v>221</v>
      </c>
      <c r="CQ24" s="236" t="s">
        <v>221</v>
      </c>
      <c r="CR24" s="236" t="s">
        <v>221</v>
      </c>
      <c r="CS24" s="281" t="s">
        <v>221</v>
      </c>
      <c r="CT24" s="236" t="s">
        <v>221</v>
      </c>
      <c r="CU24" s="236" t="s">
        <v>221</v>
      </c>
      <c r="CV24" s="236" t="s">
        <v>221</v>
      </c>
      <c r="CW24" s="236" t="s">
        <v>221</v>
      </c>
      <c r="CX24" s="281" t="s">
        <v>221</v>
      </c>
      <c r="CY24" s="236" t="s">
        <v>221</v>
      </c>
      <c r="CZ24" s="236" t="s">
        <v>221</v>
      </c>
      <c r="DA24" s="236" t="s">
        <v>221</v>
      </c>
      <c r="DB24" s="236" t="s">
        <v>221</v>
      </c>
      <c r="DC24" s="281" t="s">
        <v>221</v>
      </c>
      <c r="DD24" s="236" t="s">
        <v>221</v>
      </c>
      <c r="DE24" s="236" t="s">
        <v>221</v>
      </c>
      <c r="DF24" s="236" t="s">
        <v>221</v>
      </c>
      <c r="DG24" s="236" t="s">
        <v>221</v>
      </c>
      <c r="DH24" s="281" t="s">
        <v>221</v>
      </c>
    </row>
    <row r="25" spans="1:112" ht="3.75" customHeight="1" collapsed="1" x14ac:dyDescent="0.2">
      <c r="A25" s="105"/>
      <c r="B25" s="103"/>
      <c r="C25" s="47"/>
      <c r="D25" s="47"/>
      <c r="E25" s="47"/>
      <c r="F25" s="47"/>
      <c r="G25" s="185"/>
      <c r="H25" s="37"/>
      <c r="I25" s="37"/>
      <c r="J25" s="37"/>
      <c r="K25" s="37"/>
      <c r="L25" s="439"/>
      <c r="M25" s="27"/>
      <c r="N25" s="27"/>
      <c r="O25" s="27"/>
      <c r="P25" s="27"/>
      <c r="Q25" s="439"/>
      <c r="R25" s="27"/>
      <c r="S25" s="27"/>
      <c r="T25" s="27"/>
      <c r="U25" s="27"/>
      <c r="V25" s="185"/>
      <c r="W25" s="37"/>
      <c r="X25" s="37"/>
      <c r="Y25" s="37"/>
      <c r="Z25" s="37"/>
      <c r="AA25" s="185"/>
      <c r="AB25" s="37"/>
      <c r="AC25" s="37"/>
      <c r="AD25" s="37"/>
      <c r="AE25" s="37"/>
      <c r="AF25" s="185"/>
      <c r="AG25" s="37"/>
      <c r="AH25" s="37"/>
      <c r="AI25" s="37"/>
      <c r="AJ25" s="37"/>
      <c r="AK25" s="185"/>
      <c r="AL25" s="37"/>
      <c r="AM25" s="37"/>
      <c r="AN25" s="37"/>
      <c r="AO25" s="37"/>
      <c r="AP25" s="185"/>
      <c r="AQ25" s="37"/>
      <c r="AR25" s="37"/>
      <c r="AS25" s="321"/>
      <c r="AT25" s="37"/>
      <c r="AU25" s="185"/>
      <c r="AV25" s="47"/>
      <c r="AW25" s="47"/>
      <c r="AX25" s="47"/>
      <c r="AY25" s="37"/>
      <c r="AZ25" s="185"/>
      <c r="BA25" s="47"/>
      <c r="BB25" s="47"/>
      <c r="BC25" s="47"/>
      <c r="BD25" s="47"/>
      <c r="BE25" s="185"/>
      <c r="BF25" s="47"/>
      <c r="BG25" s="47"/>
      <c r="BH25" s="47"/>
      <c r="BI25" s="47"/>
      <c r="BJ25" s="185"/>
      <c r="BK25" s="47"/>
      <c r="BL25" s="47"/>
      <c r="BM25" s="47"/>
      <c r="BN25" s="47"/>
      <c r="BO25" s="185"/>
      <c r="BP25" s="47"/>
      <c r="BQ25" s="47"/>
      <c r="BR25" s="47"/>
      <c r="BS25" s="47"/>
      <c r="BT25" s="185"/>
      <c r="BU25" s="47"/>
      <c r="BV25" s="47"/>
      <c r="BW25" s="47"/>
      <c r="BX25" s="47"/>
      <c r="BY25" s="185"/>
      <c r="BZ25" s="47"/>
      <c r="CA25" s="47"/>
      <c r="CB25" s="47"/>
      <c r="CC25" s="47"/>
      <c r="CD25" s="185"/>
      <c r="CE25" s="47"/>
      <c r="CF25" s="610"/>
      <c r="CG25" s="47"/>
      <c r="CH25" s="47"/>
      <c r="CI25" s="185"/>
      <c r="CJ25" s="47"/>
      <c r="CK25" s="47"/>
      <c r="CL25" s="47"/>
      <c r="CM25" s="47"/>
      <c r="CN25" s="185"/>
      <c r="CO25" s="47"/>
      <c r="CP25" s="47"/>
      <c r="CQ25" s="47"/>
      <c r="CR25" s="47"/>
      <c r="CS25" s="185"/>
      <c r="CT25" s="47"/>
      <c r="CU25" s="47"/>
      <c r="CV25" s="47"/>
      <c r="CW25" s="47"/>
      <c r="CX25" s="185"/>
      <c r="CY25" s="47"/>
      <c r="CZ25" s="47"/>
      <c r="DA25" s="47"/>
      <c r="DB25" s="47"/>
      <c r="DC25" s="185"/>
      <c r="DD25" s="47"/>
      <c r="DE25" s="47"/>
      <c r="DF25" s="47"/>
      <c r="DG25" s="47"/>
      <c r="DH25" s="185"/>
    </row>
    <row r="26" spans="1:112" x14ac:dyDescent="0.2">
      <c r="A26" s="107" t="s">
        <v>222</v>
      </c>
      <c r="B26" s="103"/>
      <c r="C26" s="47"/>
      <c r="D26" s="47"/>
      <c r="E26" s="47"/>
      <c r="F26" s="47"/>
      <c r="G26" s="185"/>
      <c r="H26" s="47"/>
      <c r="I26" s="47"/>
      <c r="J26" s="47"/>
      <c r="K26" s="47"/>
      <c r="L26" s="185"/>
      <c r="M26" s="47"/>
      <c r="N26" s="47"/>
      <c r="O26" s="47"/>
      <c r="P26" s="47"/>
      <c r="Q26" s="185"/>
      <c r="R26" s="81"/>
      <c r="S26" s="81"/>
      <c r="T26" s="81"/>
      <c r="U26" s="537"/>
      <c r="V26" s="539"/>
      <c r="W26" s="47"/>
      <c r="X26" s="47"/>
      <c r="Y26" s="47"/>
      <c r="Z26" s="47"/>
      <c r="AA26" s="185"/>
      <c r="AB26" s="47"/>
      <c r="AC26" s="47"/>
      <c r="AD26" s="47"/>
      <c r="AE26" s="47"/>
      <c r="AF26" s="185"/>
      <c r="AG26" s="47"/>
      <c r="AH26" s="47"/>
      <c r="AI26" s="81"/>
      <c r="AJ26" s="81"/>
      <c r="AK26" s="185"/>
      <c r="AL26" s="47"/>
      <c r="AM26" s="47"/>
      <c r="AN26" s="47"/>
      <c r="AO26" s="47"/>
      <c r="AP26" s="185"/>
      <c r="AQ26" s="37"/>
      <c r="AR26" s="37"/>
      <c r="AS26" s="81"/>
      <c r="AT26" s="47"/>
      <c r="AU26" s="185"/>
      <c r="AV26" s="47"/>
      <c r="AW26" s="47"/>
      <c r="AX26" s="47"/>
      <c r="AY26" s="47"/>
      <c r="AZ26" s="185"/>
      <c r="BA26" s="47"/>
      <c r="BB26" s="47"/>
      <c r="BC26" s="47"/>
      <c r="BD26" s="47"/>
      <c r="BE26" s="591"/>
      <c r="BF26" s="47"/>
      <c r="BG26" s="47"/>
      <c r="BH26" s="47"/>
      <c r="BI26" s="47"/>
      <c r="BJ26" s="185"/>
      <c r="BK26" s="47"/>
      <c r="BL26" s="47"/>
      <c r="BM26" s="47"/>
      <c r="BN26" s="47"/>
      <c r="BO26" s="185"/>
      <c r="BP26" s="47"/>
      <c r="BQ26" s="47"/>
      <c r="BR26" s="47"/>
      <c r="BS26" s="47"/>
      <c r="BT26" s="185"/>
      <c r="BU26" s="47"/>
      <c r="BV26" s="47"/>
      <c r="BW26" s="47"/>
      <c r="BX26" s="47"/>
      <c r="BY26" s="185"/>
      <c r="BZ26" s="47"/>
      <c r="CA26" s="47"/>
      <c r="CB26" s="47"/>
      <c r="CC26" s="47"/>
      <c r="CD26" s="185"/>
      <c r="CE26" s="47"/>
      <c r="CF26" s="803"/>
      <c r="CG26" s="47"/>
      <c r="CH26" s="47"/>
      <c r="CI26" s="185"/>
      <c r="CJ26" s="47"/>
      <c r="CK26" s="47"/>
      <c r="CL26" s="47"/>
      <c r="CM26" s="47"/>
      <c r="CN26" s="185"/>
      <c r="CO26" s="47"/>
      <c r="CP26" s="47"/>
      <c r="CQ26" s="47"/>
      <c r="CR26" s="47"/>
      <c r="CS26" s="185"/>
      <c r="CT26" s="47"/>
      <c r="CU26" s="47"/>
      <c r="CV26" s="47"/>
      <c r="CW26" s="47"/>
      <c r="CX26" s="185"/>
      <c r="CY26" s="47"/>
      <c r="CZ26" s="47"/>
      <c r="DA26" s="47"/>
      <c r="DB26" s="47"/>
      <c r="DC26" s="185"/>
      <c r="DD26" s="47"/>
      <c r="DE26" s="47"/>
      <c r="DF26" s="47"/>
      <c r="DG26" s="47"/>
      <c r="DH26" s="185"/>
    </row>
    <row r="27" spans="1:112" ht="12.75" customHeight="1" x14ac:dyDescent="0.2">
      <c r="A27" s="161" t="s">
        <v>216</v>
      </c>
      <c r="B27" s="104"/>
      <c r="C27" s="158"/>
      <c r="D27" s="158"/>
      <c r="E27" s="158"/>
      <c r="F27" s="158"/>
      <c r="G27" s="269"/>
      <c r="H27" s="158"/>
      <c r="I27" s="158"/>
      <c r="J27" s="158"/>
      <c r="K27" s="158"/>
      <c r="L27" s="538"/>
      <c r="M27" s="158"/>
      <c r="N27" s="158"/>
      <c r="O27" s="158"/>
      <c r="P27" s="158"/>
      <c r="Q27" s="538"/>
      <c r="R27" s="158"/>
      <c r="S27" s="158"/>
      <c r="T27" s="158"/>
      <c r="U27" s="536"/>
      <c r="V27" s="540"/>
      <c r="W27" s="158"/>
      <c r="X27" s="158"/>
      <c r="Y27" s="158"/>
      <c r="Z27" s="158"/>
      <c r="AA27" s="403"/>
      <c r="AB27" s="158"/>
      <c r="AC27" s="158"/>
      <c r="AD27" s="158"/>
      <c r="AE27" s="158"/>
      <c r="AF27" s="403"/>
      <c r="AG27" s="158"/>
      <c r="AH27" s="158"/>
      <c r="AI27" s="158"/>
      <c r="AJ27" s="158"/>
      <c r="AK27" s="403"/>
      <c r="AL27" s="158"/>
      <c r="AM27" s="158"/>
      <c r="AN27" s="158"/>
      <c r="AO27" s="158"/>
      <c r="AP27" s="403"/>
      <c r="AQ27" s="158"/>
      <c r="AR27" s="158"/>
      <c r="AS27" s="158"/>
      <c r="AT27" s="158"/>
      <c r="AU27" s="403"/>
      <c r="AV27" s="47"/>
      <c r="AW27" s="47"/>
      <c r="AX27" s="47"/>
      <c r="AY27" s="47"/>
      <c r="AZ27" s="403"/>
      <c r="BA27" s="47"/>
      <c r="BB27" s="47"/>
      <c r="BC27" s="47"/>
      <c r="BD27" s="47"/>
      <c r="BE27" s="592"/>
      <c r="BF27" s="158"/>
      <c r="BG27" s="158"/>
      <c r="BH27" s="158"/>
      <c r="BI27" s="158"/>
      <c r="BJ27" s="588"/>
      <c r="BK27" s="158"/>
      <c r="BL27" s="158"/>
      <c r="BM27" s="158"/>
      <c r="BN27" s="158"/>
      <c r="BO27" s="588"/>
      <c r="BP27" s="158"/>
      <c r="BQ27" s="158"/>
      <c r="BR27" s="158"/>
      <c r="BS27" s="158"/>
      <c r="BT27" s="186"/>
      <c r="BU27" s="680"/>
      <c r="BV27" s="680"/>
      <c r="BW27" s="680"/>
      <c r="BX27" s="680"/>
      <c r="BY27" s="186"/>
      <c r="BZ27" s="158"/>
      <c r="CA27" s="158"/>
      <c r="CB27" s="158"/>
      <c r="CC27" s="158"/>
      <c r="CD27" s="186"/>
      <c r="CE27" s="158"/>
      <c r="CF27" s="798"/>
      <c r="CG27" s="158"/>
      <c r="CH27" s="158"/>
      <c r="CI27" s="186"/>
      <c r="CJ27" s="158"/>
      <c r="CK27" s="158"/>
      <c r="CL27" s="158"/>
      <c r="CM27" s="158"/>
      <c r="CN27" s="186"/>
      <c r="CO27" s="158"/>
      <c r="CP27" s="158"/>
      <c r="CQ27" s="158"/>
      <c r="CR27" s="158"/>
      <c r="CS27" s="186"/>
      <c r="CT27" s="158"/>
      <c r="CU27" s="158"/>
      <c r="CV27" s="158"/>
      <c r="CW27" s="158"/>
      <c r="CX27" s="186"/>
      <c r="CY27" s="158"/>
      <c r="CZ27" s="158"/>
      <c r="DA27" s="158"/>
      <c r="DB27" s="158"/>
      <c r="DC27" s="186"/>
      <c r="DD27" s="158"/>
      <c r="DE27" s="158"/>
      <c r="DF27" s="158"/>
      <c r="DG27" s="158"/>
      <c r="DH27" s="186"/>
    </row>
    <row r="28" spans="1:112" x14ac:dyDescent="0.2">
      <c r="A28" s="162" t="s">
        <v>90</v>
      </c>
      <c r="B28" s="104"/>
      <c r="C28" s="47"/>
      <c r="D28" s="47"/>
      <c r="E28" s="47"/>
      <c r="F28" s="47"/>
      <c r="G28" s="185"/>
      <c r="H28" s="47">
        <v>7.0000000000000007E-2</v>
      </c>
      <c r="I28" s="47">
        <v>0.04</v>
      </c>
      <c r="J28" s="47">
        <v>7.0000000000000007E-2</v>
      </c>
      <c r="K28" s="47">
        <v>0.03</v>
      </c>
      <c r="L28" s="185">
        <v>0.05</v>
      </c>
      <c r="M28" s="47">
        <v>0.05</v>
      </c>
      <c r="N28" s="47">
        <v>0.03</v>
      </c>
      <c r="O28" s="47">
        <v>0.02</v>
      </c>
      <c r="P28" s="47">
        <v>0.04</v>
      </c>
      <c r="Q28" s="185">
        <v>0.04</v>
      </c>
      <c r="R28" s="47">
        <v>0.04</v>
      </c>
      <c r="S28" s="47">
        <v>0.05</v>
      </c>
      <c r="T28" s="47">
        <v>0.04</v>
      </c>
      <c r="U28" s="47">
        <v>0.05</v>
      </c>
      <c r="V28" s="185">
        <v>0.05</v>
      </c>
      <c r="W28" s="47">
        <v>0.05</v>
      </c>
      <c r="X28" s="47">
        <v>0.08</v>
      </c>
      <c r="Y28" s="47">
        <v>0.03</v>
      </c>
      <c r="Z28" s="47">
        <v>0.04</v>
      </c>
      <c r="AA28" s="185">
        <v>0.05</v>
      </c>
      <c r="AB28" s="47">
        <v>0.01</v>
      </c>
      <c r="AC28" s="47">
        <v>0.02</v>
      </c>
      <c r="AD28" s="47">
        <v>0</v>
      </c>
      <c r="AE28" s="47">
        <v>-0.01</v>
      </c>
      <c r="AF28" s="185">
        <v>0.01</v>
      </c>
      <c r="AG28" s="47">
        <v>-0.01</v>
      </c>
      <c r="AH28" s="47">
        <v>-0.01</v>
      </c>
      <c r="AI28" s="47">
        <f>8%-0.8%</f>
        <v>7.2000000000000008E-2</v>
      </c>
      <c r="AJ28" s="47">
        <f>2%-1.6%</f>
        <v>4.0000000000000001E-3</v>
      </c>
      <c r="AK28" s="185">
        <f>2%-0.7%</f>
        <v>1.3000000000000001E-2</v>
      </c>
      <c r="AL28" s="47">
        <f>6%-1.8%</f>
        <v>4.1999999999999996E-2</v>
      </c>
      <c r="AM28" s="47">
        <f>6%-1.3%-1.5%</f>
        <v>3.2000000000000001E-2</v>
      </c>
      <c r="AN28" s="47">
        <f>4%-3%</f>
        <v>1.0000000000000002E-2</v>
      </c>
      <c r="AO28" s="47">
        <f>6%-2.9%+0.3%</f>
        <v>3.4000000000000002E-2</v>
      </c>
      <c r="AP28" s="276">
        <f>((AG23*AL28)+(AH23*AM28)+(AI23*AN28)+(AJ23*AO28))/AK23</f>
        <v>2.9317103362904887E-2</v>
      </c>
      <c r="AQ28" s="110">
        <f>4%-3.4%+0.4%</f>
        <v>9.9999999999999985E-3</v>
      </c>
      <c r="AR28" s="110">
        <f>-1%-2.9%+0.8%</f>
        <v>-3.1E-2</v>
      </c>
      <c r="AS28" s="110">
        <f>-3%+0.7%</f>
        <v>-2.3E-2</v>
      </c>
      <c r="AT28" s="110">
        <f>-2%+0.4%</f>
        <v>-1.6E-2</v>
      </c>
      <c r="AU28" s="276">
        <f>((AL23*AQ28)+(AM23*AR28)+(AN23*AS28)+(AO23*AT28))/AP23</f>
        <v>-1.5060686516214677E-2</v>
      </c>
      <c r="AV28" s="110">
        <f>1%+0.5%</f>
        <v>1.4999999999999999E-2</v>
      </c>
      <c r="AW28" s="110">
        <v>0.05</v>
      </c>
      <c r="AX28" s="110">
        <v>0.03</v>
      </c>
      <c r="AY28" s="110">
        <v>0.02</v>
      </c>
      <c r="AZ28" s="276">
        <v>0.03</v>
      </c>
      <c r="BA28" s="110">
        <v>-0.02</v>
      </c>
      <c r="BB28" s="110">
        <v>-0.02</v>
      </c>
      <c r="BC28" s="110">
        <v>0.01</v>
      </c>
      <c r="BD28" s="110">
        <v>0.02</v>
      </c>
      <c r="BE28" s="189">
        <v>0</v>
      </c>
      <c r="BF28" s="110">
        <v>0.02</v>
      </c>
      <c r="BG28" s="110">
        <v>0</v>
      </c>
      <c r="BH28" s="110">
        <v>0.02</v>
      </c>
      <c r="BI28" s="110">
        <v>5.0000000000000001E-3</v>
      </c>
      <c r="BJ28" s="189">
        <f>((BJ38*BE5)+(BJ46*BE6)+(BJ54*BE7)+(BJ63*BE8))/BE9</f>
        <v>1.225234180844963E-2</v>
      </c>
      <c r="BK28" s="110">
        <v>-0.01</v>
      </c>
      <c r="BL28" s="110">
        <v>0.05</v>
      </c>
      <c r="BM28" s="110">
        <v>0</v>
      </c>
      <c r="BN28" s="110">
        <v>-0.03</v>
      </c>
      <c r="BO28" s="189">
        <f>((BO38*BJ5)+(BO46*BJ6)+(BO54*BJ7)+(BO63*BJ8))/BJ9</f>
        <v>-8.1547183613752718E-3</v>
      </c>
      <c r="BP28" s="110">
        <v>0.01</v>
      </c>
      <c r="BQ28" s="110">
        <v>0.01</v>
      </c>
      <c r="BR28" s="110">
        <v>-5.0000000000000001E-3</v>
      </c>
      <c r="BS28" s="110">
        <v>0</v>
      </c>
      <c r="BT28" s="189">
        <f>((BT38*BO5)+(BT46*BO6)+(BT54*BO7)+(BT63*BO8))/BO9</f>
        <v>4.1543659967988623E-3</v>
      </c>
      <c r="BU28" s="669">
        <v>0.01</v>
      </c>
      <c r="BV28" s="669">
        <v>0.04</v>
      </c>
      <c r="BW28" s="669">
        <v>0.01</v>
      </c>
      <c r="BX28" s="669">
        <v>0.03</v>
      </c>
      <c r="BY28" s="189">
        <f>((BY38*BT5)+(BY46*BT6)+(BY54*BT7)+(BY63*BT8))/BT9</f>
        <v>2.3888284367065651E-2</v>
      </c>
      <c r="BZ28" s="110">
        <v>0.03</v>
      </c>
      <c r="CA28" s="110">
        <v>0.01</v>
      </c>
      <c r="CB28" s="110">
        <v>0.04</v>
      </c>
      <c r="CC28" s="110">
        <f ca="1">7%-CC31</f>
        <v>5.7259152215799622E-2</v>
      </c>
      <c r="CD28" s="189">
        <f>((CD38*BY5)+(CD46*BY6)+(CD54*BY7)+(CD63*BY8))/BY9</f>
        <v>3.642661361626879E-2</v>
      </c>
      <c r="CE28" s="110">
        <f>8%-CE31</f>
        <v>0.06</v>
      </c>
      <c r="CF28" s="669">
        <f>8%-CF31</f>
        <v>0.06</v>
      </c>
      <c r="CG28" s="669">
        <f>7%-CG31</f>
        <v>0.05</v>
      </c>
      <c r="CH28" s="669">
        <f>3%-CH31</f>
        <v>1.9999999999999997E-2</v>
      </c>
      <c r="CI28" s="189">
        <f>((CI38*CD5)+(CI46*CD6)+(CI54*CD7)+(CI63*CD8))/CD9</f>
        <v>4.5445287276514493E-2</v>
      </c>
      <c r="CJ28" s="669">
        <f>4%-CJ31</f>
        <v>4.3700623700623699E-2</v>
      </c>
      <c r="CK28" s="669">
        <f ca="1">1%-CK31</f>
        <v>1.5794026610723527E-2</v>
      </c>
      <c r="CL28" s="110">
        <f t="shared" ref="CL28:CX28" si="35">((CL38*CG5)+(CL46*CG6)+(CL54*CG7)+(CL63*CG8))/CG9</f>
        <v>2.2494922139471903E-2</v>
      </c>
      <c r="CM28" s="110">
        <f t="shared" si="35"/>
        <v>2.9715239829993922E-2</v>
      </c>
      <c r="CN28" s="189">
        <f t="shared" si="35"/>
        <v>2.8462414197220828E-2</v>
      </c>
      <c r="CO28" s="110">
        <f t="shared" si="35"/>
        <v>1.4973333333333333E-2</v>
      </c>
      <c r="CP28" s="110">
        <f t="shared" si="35"/>
        <v>2.2959039548022597E-2</v>
      </c>
      <c r="CQ28" s="110">
        <f t="shared" si="35"/>
        <v>2.70903014341566E-2</v>
      </c>
      <c r="CR28" s="110">
        <f t="shared" ca="1" si="35"/>
        <v>1.5388421584201761E-2</v>
      </c>
      <c r="CS28" s="189">
        <f t="shared" ca="1" si="35"/>
        <v>1.9903205523549773E-2</v>
      </c>
      <c r="CT28" s="110">
        <f t="shared" si="35"/>
        <v>1.9851139787592537E-2</v>
      </c>
      <c r="CU28" s="110">
        <f t="shared" si="35"/>
        <v>1.968104559152176E-2</v>
      </c>
      <c r="CV28" s="110">
        <f t="shared" si="35"/>
        <v>1.9928738115856496E-2</v>
      </c>
      <c r="CW28" s="110">
        <f t="shared" ca="1" si="35"/>
        <v>2.0358943814871754E-2</v>
      </c>
      <c r="CX28" s="189">
        <f t="shared" ca="1" si="35"/>
        <v>1.9970000974739551E-2</v>
      </c>
      <c r="CY28" s="110">
        <f t="shared" ref="CY28:DH28" si="36">((CY38*CT5)+(CY46*CT6)+(CY54*CT7)+(CY63*CT8))/CT9</f>
        <v>1.9802655360596631E-2</v>
      </c>
      <c r="CZ28" s="110">
        <f t="shared" si="36"/>
        <v>1.9628895703537288E-2</v>
      </c>
      <c r="DA28" s="110">
        <f t="shared" si="36"/>
        <v>1.9877719509367873E-2</v>
      </c>
      <c r="DB28" s="110">
        <f t="shared" ca="1" si="36"/>
        <v>2.0308657036186929E-2</v>
      </c>
      <c r="DC28" s="189">
        <f t="shared" ca="1" si="36"/>
        <v>1.9919432842101382E-2</v>
      </c>
      <c r="DD28" s="110">
        <f t="shared" si="36"/>
        <v>1.9753553713485483E-2</v>
      </c>
      <c r="DE28" s="110">
        <f t="shared" si="36"/>
        <v>1.9576126130572916E-2</v>
      </c>
      <c r="DF28" s="110">
        <f t="shared" si="36"/>
        <v>1.982606139337631E-2</v>
      </c>
      <c r="DG28" s="110">
        <f t="shared" ca="1" si="36"/>
        <v>2.025769934960478E-2</v>
      </c>
      <c r="DH28" s="189">
        <f t="shared" ca="1" si="36"/>
        <v>1.9868225817094829E-2</v>
      </c>
    </row>
    <row r="29" spans="1:112" x14ac:dyDescent="0.2">
      <c r="A29" s="162" t="s">
        <v>91</v>
      </c>
      <c r="B29" s="104"/>
      <c r="C29" s="47"/>
      <c r="D29" s="47"/>
      <c r="E29" s="47"/>
      <c r="F29" s="47"/>
      <c r="G29" s="185"/>
      <c r="H29" s="110">
        <f t="shared" ref="H29:Q29" si="37">H32-H31-H30-H28</f>
        <v>-2.8193146417445594E-2</v>
      </c>
      <c r="I29" s="110">
        <f t="shared" si="37"/>
        <v>2.5570776255707944E-3</v>
      </c>
      <c r="J29" s="110">
        <f t="shared" si="37"/>
        <v>2.3409563409563489E-2</v>
      </c>
      <c r="K29" s="110">
        <f t="shared" si="37"/>
        <v>2.3593466424682415E-2</v>
      </c>
      <c r="L29" s="276">
        <f t="shared" si="37"/>
        <v>1.0489367153471617E-2</v>
      </c>
      <c r="M29" s="110">
        <f t="shared" si="37"/>
        <v>5.402439024390239E-2</v>
      </c>
      <c r="N29" s="110">
        <f t="shared" si="37"/>
        <v>6.3968432919955007E-2</v>
      </c>
      <c r="O29" s="110">
        <f t="shared" si="37"/>
        <v>1.089931573802546E-3</v>
      </c>
      <c r="P29" s="110">
        <f t="shared" si="37"/>
        <v>-3.7234042553192237E-3</v>
      </c>
      <c r="Q29" s="276">
        <f t="shared" si="37"/>
        <v>2.033316757831917E-2</v>
      </c>
      <c r="R29" s="110">
        <f ca="1">R32-R31-R30-R28</f>
        <v>-2.5000000000000001E-2</v>
      </c>
      <c r="S29" s="110">
        <f ca="1">S32-S31-S30-S28</f>
        <v>-3.5000000000000003E-2</v>
      </c>
      <c r="T29" s="110">
        <f ca="1">T32-T31-T30-T28</f>
        <v>1.5000000000000006E-2</v>
      </c>
      <c r="U29" s="110">
        <f ca="1">U32-U31-U30-U28</f>
        <v>2.0000000000000004E-2</v>
      </c>
      <c r="V29" s="276">
        <f ca="1">V32-V31-V30-V28</f>
        <v>-1.7000000000000001E-2</v>
      </c>
      <c r="W29" s="110">
        <f t="shared" ref="W29:AH29" si="38">W32-W31-W30-W28</f>
        <v>-1.1250497017892672E-2</v>
      </c>
      <c r="X29" s="110">
        <f t="shared" si="38"/>
        <v>5.9565217391303743E-3</v>
      </c>
      <c r="Y29" s="110">
        <f t="shared" si="38"/>
        <v>2.3016175071361167E-3</v>
      </c>
      <c r="Z29" s="110">
        <f t="shared" si="38"/>
        <v>1.7227848101265909E-2</v>
      </c>
      <c r="AA29" s="276">
        <f t="shared" si="38"/>
        <v>-6.9918308505518417E-4</v>
      </c>
      <c r="AB29" s="110">
        <f t="shared" si="38"/>
        <v>3.3435114503816768E-2</v>
      </c>
      <c r="AC29" s="110">
        <f t="shared" si="38"/>
        <v>4.8000000000000057E-2</v>
      </c>
      <c r="AD29" s="110">
        <f t="shared" si="38"/>
        <v>6.7377532228360959E-2</v>
      </c>
      <c r="AE29" s="110">
        <f t="shared" si="38"/>
        <v>6.583413078149912E-2</v>
      </c>
      <c r="AF29" s="276">
        <f t="shared" si="38"/>
        <v>4.534092980856886E-2</v>
      </c>
      <c r="AG29" s="110">
        <f t="shared" si="38"/>
        <v>6.1630434782608649E-2</v>
      </c>
      <c r="AH29" s="110">
        <f t="shared" si="38"/>
        <v>4.4774436090225571E-2</v>
      </c>
      <c r="AI29" s="110">
        <f t="shared" ref="AI29:AZ29" si="39">AI32-AI31-AI30-AI28</f>
        <v>-8.3984442523768466E-3</v>
      </c>
      <c r="AJ29" s="110">
        <f t="shared" si="39"/>
        <v>-7.0462471569370019E-3</v>
      </c>
      <c r="AK29" s="404">
        <f t="shared" si="39"/>
        <v>2.1712316968130824E-2</v>
      </c>
      <c r="AL29" s="110">
        <f t="shared" si="39"/>
        <v>-8.1653746770021102E-4</v>
      </c>
      <c r="AM29" s="110">
        <f t="shared" si="39"/>
        <v>3.2025431425975609E-3</v>
      </c>
      <c r="AN29" s="110">
        <f t="shared" si="39"/>
        <v>2.3249798549556722E-2</v>
      </c>
      <c r="AO29" s="110">
        <f t="shared" si="39"/>
        <v>4.1351190476190472E-2</v>
      </c>
      <c r="AP29" s="276">
        <f t="shared" si="39"/>
        <v>1.7572312770786063E-2</v>
      </c>
      <c r="AQ29" s="110">
        <f t="shared" si="39"/>
        <v>7.3029862792574549E-2</v>
      </c>
      <c r="AR29" s="110">
        <f t="shared" si="39"/>
        <v>6.3295109612141659E-2</v>
      </c>
      <c r="AS29" s="110">
        <f t="shared" si="39"/>
        <v>5.8782705099778287E-2</v>
      </c>
      <c r="AT29" s="110">
        <f t="shared" si="39"/>
        <v>4.8344481605351167E-2</v>
      </c>
      <c r="AU29" s="276">
        <f t="shared" si="39"/>
        <v>5.8627915797458789E-2</v>
      </c>
      <c r="AV29" s="110">
        <f t="shared" si="39"/>
        <v>-3.6705202312138224E-3</v>
      </c>
      <c r="AW29" s="110">
        <f t="shared" si="39"/>
        <v>-1.419078947368424E-2</v>
      </c>
      <c r="AX29" s="110">
        <f t="shared" si="39"/>
        <v>-1.5148148148148115E-2</v>
      </c>
      <c r="AY29" s="110">
        <f t="shared" si="39"/>
        <v>2.3333333333333262E-3</v>
      </c>
      <c r="AZ29" s="276">
        <f t="shared" si="39"/>
        <v>-9.5871559633027049E-3</v>
      </c>
      <c r="BA29" s="110">
        <f>-1.2%-BA28</f>
        <v>8.0000000000000002E-3</v>
      </c>
      <c r="BB29" s="110">
        <f>-0.3%-BB28</f>
        <v>1.7000000000000001E-2</v>
      </c>
      <c r="BC29" s="110">
        <f>0.9%-BC28</f>
        <v>-9.9999999999999915E-4</v>
      </c>
      <c r="BD29" s="110">
        <f t="shared" ref="BD29:BI29" si="40">+BD32-BD30-BD28-BD31</f>
        <v>1.2088873337998598E-2</v>
      </c>
      <c r="BE29" s="189">
        <f t="shared" si="40"/>
        <v>8.426824608330101E-3</v>
      </c>
      <c r="BF29" s="110">
        <f t="shared" si="40"/>
        <v>3.805687203791399E-3</v>
      </c>
      <c r="BG29" s="110">
        <f t="shared" si="40"/>
        <v>4.0623409669211179E-2</v>
      </c>
      <c r="BH29" s="110">
        <f t="shared" si="40"/>
        <v>3.9386503067484618E-2</v>
      </c>
      <c r="BI29" s="110">
        <f t="shared" si="40"/>
        <v>2.9811066126855593E-2</v>
      </c>
      <c r="BJ29" s="189">
        <f>((BJ39*BE5)+(BJ47*BE6)+(BJ55*BE7)+(BJ64*BE8))/BE9</f>
        <v>2.733148537564516E-2</v>
      </c>
      <c r="BK29" s="110">
        <f>+BK32-BK30-BK28-BK31</f>
        <v>2.8287356321838986E-2</v>
      </c>
      <c r="BL29" s="110">
        <f>+BL32-BL30-BL28-BL31</f>
        <v>2.1176085176085213E-2</v>
      </c>
      <c r="BM29" s="110">
        <f>+BM32-BM30-BM28-BM31</f>
        <v>1.5565310492505417E-2</v>
      </c>
      <c r="BN29" s="110">
        <f>+BN32-BN30-BN28-BN31</f>
        <v>4.2893575600259602E-2</v>
      </c>
      <c r="BO29" s="189">
        <f ca="1">((BO39*BJ5)+(BO47*BJ6)+(BO55*BJ7)+(BO64*BJ8))/BJ9</f>
        <v>3.6034564740307237E-2</v>
      </c>
      <c r="BP29" s="110">
        <f>+BP32-BP30-BP28-BP31</f>
        <v>8.7369207772794947E-3</v>
      </c>
      <c r="BQ29" s="110">
        <f>+BQ32-BQ30-BQ28-BQ31</f>
        <v>-3.8301886792452364E-3</v>
      </c>
      <c r="BR29" s="110">
        <f>+BR32-BR30-BR28-BR31</f>
        <v>3.737438075017664E-3</v>
      </c>
      <c r="BS29" s="110">
        <f>+BS32-BS30-BS28-BS31</f>
        <v>-4.3206205559146692E-3</v>
      </c>
      <c r="BT29" s="189">
        <f>((BT39*BO5)+(BT47*BO6)+(BT55*BO7)+(BT64*BO8))/BO9</f>
        <v>2.5200071136402953E-4</v>
      </c>
      <c r="BU29" s="669">
        <f>+BU32-BU30-BU28-BU31</f>
        <v>1.5701414743112367E-2</v>
      </c>
      <c r="BV29" s="669">
        <f>+BV32-BV30-BV28-BV31</f>
        <v>1.6287461773700336E-2</v>
      </c>
      <c r="BW29" s="669">
        <f>+BW32-BW30-BW28-BW31</f>
        <v>3.5622254758418841E-2</v>
      </c>
      <c r="BX29" s="669">
        <f>+BX32-BX30-BX28-BX31</f>
        <v>3.0080160320641328E-2</v>
      </c>
      <c r="BY29" s="189">
        <f>((BY39*BT5)+(BY47*BT6)+(BY55*BT7)+(BY64*BT8))/BT9</f>
        <v>2.3337141820819765E-2</v>
      </c>
      <c r="BZ29" s="669">
        <f>+BZ32-BZ30-BZ28-BZ31</f>
        <v>2.6106508875739731E-2</v>
      </c>
      <c r="CA29" s="669">
        <f>+CA32-CA30-CA28-CA31</f>
        <v>1.7000000000000001E-2</v>
      </c>
      <c r="CB29" s="669">
        <f>+CB32-CB30-CB28-CB31</f>
        <v>1.0844396859386214E-2</v>
      </c>
      <c r="CC29" s="669">
        <f ca="1">+CC32-CC30-CC28-CC31</f>
        <v>-1.9382787411689049E-2</v>
      </c>
      <c r="CD29" s="189">
        <f ca="1">((CD39*BY5)+(CD47*BY6)+(CD55*BY7)+(CD64*BY8))/BY9</f>
        <v>6.4341290893015057E-3</v>
      </c>
      <c r="CE29" s="669">
        <f>+CE32-CE30-CE28-CE31</f>
        <v>-2.2870503597122224E-2</v>
      </c>
      <c r="CF29" s="669">
        <f>+CF32-CF30-CF28-CF31</f>
        <v>-1.5646840148698934E-2</v>
      </c>
      <c r="CG29" s="669">
        <f>+CG32-CG30-CG28-CG31</f>
        <v>-3.3235624123422236E-2</v>
      </c>
      <c r="CH29" s="669">
        <f>+CH32-CH30-CH28-CH31</f>
        <v>3.7499999999993268E-4</v>
      </c>
      <c r="CI29" s="189">
        <f>((CI39*CD5)+(CI47*CD6)+(CI55*CD7)+(CI64*CD8))/CD9</f>
        <v>-1.737006162124629E-2</v>
      </c>
      <c r="CJ29" s="669">
        <f>+CJ32-CJ30-CJ28-CJ31</f>
        <v>-4.9896049896043949E-4</v>
      </c>
      <c r="CK29" s="669">
        <f ca="1">+CK32-CK30-CK28-CK31</f>
        <v>-2.8876244665718611E-3</v>
      </c>
      <c r="CL29" s="110">
        <f t="shared" ref="CL29:CX29" si="41">((CL39*CG5)+(CL47*CG6)+(CL55*CG7)+(CL64*CG8))/CG9</f>
        <v>5.9918754231550447E-3</v>
      </c>
      <c r="CM29" s="110">
        <f t="shared" ca="1" si="41"/>
        <v>6.4587726686841018E-3</v>
      </c>
      <c r="CN29" s="189">
        <f t="shared" si="41"/>
        <v>2.0314749707014902E-3</v>
      </c>
      <c r="CO29" s="110">
        <f t="shared" si="41"/>
        <v>7.5333333333333337E-3</v>
      </c>
      <c r="CP29" s="110">
        <f t="shared" si="41"/>
        <v>7.9590395480226006E-3</v>
      </c>
      <c r="CQ29" s="110">
        <f t="shared" si="41"/>
        <v>3.8836790279330015E-3</v>
      </c>
      <c r="CR29" s="110">
        <f t="shared" ca="1" si="41"/>
        <v>2.3907707350760638E-3</v>
      </c>
      <c r="CS29" s="189">
        <f t="shared" ca="1" si="41"/>
        <v>5.2903834293506861E-3</v>
      </c>
      <c r="CT29" s="110">
        <f t="shared" si="41"/>
        <v>3.646129032727932E-3</v>
      </c>
      <c r="CU29" s="110">
        <f t="shared" si="41"/>
        <v>4.3507613063264051E-3</v>
      </c>
      <c r="CV29" s="110">
        <f t="shared" si="41"/>
        <v>3.597899761003419E-3</v>
      </c>
      <c r="CW29" s="110">
        <f t="shared" ca="1" si="41"/>
        <v>2.4797093083447808E-3</v>
      </c>
      <c r="CX29" s="189">
        <f t="shared" ca="1" si="41"/>
        <v>3.478648749037013E-3</v>
      </c>
      <c r="CY29" s="110">
        <f t="shared" ref="CY29:DH29" si="42">((CY39*CT5)+(CY47*CT6)+(CY55*CT7)+(CY64*CT8))/CT9</f>
        <v>3.7977344192958993E-3</v>
      </c>
      <c r="CZ29" s="110">
        <f t="shared" si="42"/>
        <v>4.5135344972957623E-3</v>
      </c>
      <c r="DA29" s="110">
        <f t="shared" si="42"/>
        <v>3.7565232366284073E-3</v>
      </c>
      <c r="DB29" s="110">
        <f t="shared" ca="1" si="42"/>
        <v>2.6345756331124784E-3</v>
      </c>
      <c r="DC29" s="189">
        <f t="shared" ca="1" si="42"/>
        <v>3.6357828047691707E-3</v>
      </c>
      <c r="DD29" s="110">
        <f t="shared" si="42"/>
        <v>3.9513505907172314E-3</v>
      </c>
      <c r="DE29" s="110">
        <f t="shared" si="42"/>
        <v>4.678313966868298E-3</v>
      </c>
      <c r="DF29" s="110">
        <f t="shared" si="42"/>
        <v>3.9172147510683122E-3</v>
      </c>
      <c r="DG29" s="110">
        <f t="shared" ca="1" si="42"/>
        <v>2.7915903164803702E-3</v>
      </c>
      <c r="DH29" s="189">
        <f t="shared" ca="1" si="42"/>
        <v>3.7949818760630825E-3</v>
      </c>
    </row>
    <row r="30" spans="1:112" x14ac:dyDescent="0.2">
      <c r="A30" s="162" t="s">
        <v>96</v>
      </c>
      <c r="B30" s="161"/>
      <c r="C30" s="161"/>
      <c r="D30" s="161"/>
      <c r="E30" s="161"/>
      <c r="F30" s="161"/>
      <c r="G30" s="184"/>
      <c r="H30" s="110">
        <v>-0.01</v>
      </c>
      <c r="I30" s="154">
        <v>-0.01</v>
      </c>
      <c r="J30" s="154">
        <v>-0.01</v>
      </c>
      <c r="K30" s="154">
        <v>-0.01</v>
      </c>
      <c r="L30" s="414">
        <v>-0.01</v>
      </c>
      <c r="M30" s="154">
        <v>-0.02</v>
      </c>
      <c r="N30" s="154">
        <v>-0.03</v>
      </c>
      <c r="O30" s="154">
        <v>-5.0000000000000001E-3</v>
      </c>
      <c r="P30" s="154">
        <v>5.0000000000000001E-3</v>
      </c>
      <c r="Q30" s="414">
        <v>-0.01</v>
      </c>
      <c r="R30" s="154">
        <v>5.0000000000000001E-3</v>
      </c>
      <c r="S30" s="154">
        <v>1.4999999999999999E-2</v>
      </c>
      <c r="T30" s="154">
        <v>1.4999999999999999E-2</v>
      </c>
      <c r="U30" s="154">
        <v>6.0000000000000001E-3</v>
      </c>
      <c r="V30" s="414">
        <v>1.2E-2</v>
      </c>
      <c r="W30" s="154">
        <v>3.0000000000000001E-3</v>
      </c>
      <c r="X30" s="154">
        <v>1E-3</v>
      </c>
      <c r="Y30" s="154">
        <v>1E-3</v>
      </c>
      <c r="Z30" s="154">
        <v>1E-3</v>
      </c>
      <c r="AA30" s="414">
        <v>5.0000000000000001E-3</v>
      </c>
      <c r="AB30" s="154">
        <v>0.01</v>
      </c>
      <c r="AC30" s="154">
        <v>-4.0000000000000001E-3</v>
      </c>
      <c r="AD30" s="154">
        <v>-2E-3</v>
      </c>
      <c r="AE30" s="154">
        <v>-4.0000000000000001E-3</v>
      </c>
      <c r="AF30" s="414">
        <v>3.0000000000000001E-3</v>
      </c>
      <c r="AG30" s="154">
        <v>0</v>
      </c>
      <c r="AH30" s="154">
        <v>0</v>
      </c>
      <c r="AI30" s="110">
        <v>1E-3</v>
      </c>
      <c r="AJ30" s="110">
        <v>6.0000000000000001E-3</v>
      </c>
      <c r="AK30" s="276">
        <v>2E-3</v>
      </c>
      <c r="AL30" s="110">
        <v>8.0000000000000002E-3</v>
      </c>
      <c r="AM30" s="110">
        <v>1.4E-2</v>
      </c>
      <c r="AN30" s="110">
        <v>1.6E-2</v>
      </c>
      <c r="AO30" s="110">
        <v>1.0999999999999999E-2</v>
      </c>
      <c r="AP30" s="276">
        <v>1.2E-2</v>
      </c>
      <c r="AQ30" s="110">
        <v>4.0000000000000001E-3</v>
      </c>
      <c r="AR30" s="110">
        <v>-2.8000000000000001E-2</v>
      </c>
      <c r="AS30" s="110">
        <v>-3.1E-2</v>
      </c>
      <c r="AT30" s="110">
        <v>-2.5000000000000001E-2</v>
      </c>
      <c r="AU30" s="276">
        <f>-2%+0.1%</f>
        <v>-1.9E-2</v>
      </c>
      <c r="AV30" s="110">
        <v>-1.4999999999999999E-2</v>
      </c>
      <c r="AW30" s="110">
        <f>1.7%-0.1%</f>
        <v>1.6E-2</v>
      </c>
      <c r="AX30" s="110">
        <f>-2.3%+2%</f>
        <v>-2.9999999999999992E-3</v>
      </c>
      <c r="AY30" s="110">
        <f>-2.3%+1.2%</f>
        <v>-1.0999999999999999E-2</v>
      </c>
      <c r="AZ30" s="276">
        <v>-4.0000000000000001E-3</v>
      </c>
      <c r="BA30" s="110">
        <f>-2.2%+0.8%</f>
        <v>-1.4000000000000002E-2</v>
      </c>
      <c r="BB30" s="110">
        <f>-2.9%+0.7%</f>
        <v>-2.1999999999999999E-2</v>
      </c>
      <c r="BC30" s="110">
        <v>0.01</v>
      </c>
      <c r="BD30" s="110">
        <v>1.2999999999999999E-2</v>
      </c>
      <c r="BE30" s="189">
        <f>-1.1%+0.8%</f>
        <v>-3.0000000000000009E-3</v>
      </c>
      <c r="BF30" s="110">
        <v>7.0000000000000001E-3</v>
      </c>
      <c r="BG30" s="110">
        <v>-5.0000000000000001E-3</v>
      </c>
      <c r="BH30" s="110">
        <v>-2E-3</v>
      </c>
      <c r="BI30" s="110">
        <v>-0.01</v>
      </c>
      <c r="BJ30" s="189">
        <f>((BJ56*BE7)+(BJ65*BE8))/BE9</f>
        <v>-2.7644809787803482E-3</v>
      </c>
      <c r="BK30" s="110">
        <v>-8.0000000000000002E-3</v>
      </c>
      <c r="BL30" s="110">
        <v>-1E-3</v>
      </c>
      <c r="BM30" s="110">
        <v>-7.0000000000000001E-3</v>
      </c>
      <c r="BN30" s="110">
        <v>-8.9999999999999993E-3</v>
      </c>
      <c r="BO30" s="189">
        <f ca="1">((BO56*BJ7)+(BO65*BJ8))/BJ9</f>
        <v>-6.4625091441111934E-3</v>
      </c>
      <c r="BP30" s="110">
        <v>-1.4999999999999999E-2</v>
      </c>
      <c r="BQ30" s="110">
        <v>-1.9E-2</v>
      </c>
      <c r="BR30" s="110">
        <v>-3.2000000000000001E-2</v>
      </c>
      <c r="BS30" s="110">
        <v>-2.8000000000000001E-2</v>
      </c>
      <c r="BT30" s="189">
        <f>((BT56*BO7)+(BT65*BO8))/BO9</f>
        <v>-2.3791036813089101E-2</v>
      </c>
      <c r="BU30" s="669">
        <v>-1.9E-2</v>
      </c>
      <c r="BV30" s="669">
        <v>-2.8000000000000001E-2</v>
      </c>
      <c r="BW30" s="669">
        <v>-0.02</v>
      </c>
      <c r="BX30" s="669">
        <v>-0.02</v>
      </c>
      <c r="BY30" s="189">
        <f>((BY56*BT7)+(BY65*BT8))/BT9</f>
        <v>-2.1654153064925647E-2</v>
      </c>
      <c r="BZ30" s="110">
        <v>-2.8000000000000001E-2</v>
      </c>
      <c r="CA30" s="110">
        <v>-2.7E-2</v>
      </c>
      <c r="CB30" s="110">
        <v>-3.3000000000000002E-2</v>
      </c>
      <c r="CC30" s="110">
        <v>-2.3E-2</v>
      </c>
      <c r="CD30" s="189">
        <f ca="1">((CD56*BY7)+(CD65*BY8))/BY9</f>
        <v>-2.762422634836428E-2</v>
      </c>
      <c r="CE30" s="110">
        <v>-1.9E-2</v>
      </c>
      <c r="CF30" s="669">
        <v>-1.9E-2</v>
      </c>
      <c r="CG30" s="669">
        <v>-1E-3</v>
      </c>
      <c r="CH30" s="669">
        <v>-1E-3</v>
      </c>
      <c r="CI30" s="189">
        <f>((CI56*CD7)+(CI65*CD8))/CD9</f>
        <v>-9.5453914250998098E-3</v>
      </c>
      <c r="CJ30" s="669">
        <v>0</v>
      </c>
      <c r="CK30" s="835">
        <v>0</v>
      </c>
      <c r="CL30" s="110">
        <f t="shared" ref="CL30:CX30" si="43">((CL56*CG7)+(CL65*CG8))/CG9</f>
        <v>3.7719731905855075E-3</v>
      </c>
      <c r="CM30" s="110">
        <f t="shared" si="43"/>
        <v>2.3003922393746414E-4</v>
      </c>
      <c r="CN30" s="189">
        <f t="shared" si="43"/>
        <v>9.9616256559849304E-4</v>
      </c>
      <c r="CO30" s="110">
        <f t="shared" si="43"/>
        <v>-3.2159580898832967E-3</v>
      </c>
      <c r="CP30" s="110">
        <f t="shared" si="43"/>
        <v>-5.6634914853228755E-4</v>
      </c>
      <c r="CQ30" s="110">
        <f t="shared" si="43"/>
        <v>-9.9925212857274962E-4</v>
      </c>
      <c r="CR30" s="110">
        <f t="shared" ca="1" si="43"/>
        <v>0</v>
      </c>
      <c r="CS30" s="189">
        <f t="shared" ca="1" si="43"/>
        <v>-1.1590217463554786E-3</v>
      </c>
      <c r="CT30" s="110">
        <f t="shared" si="43"/>
        <v>0</v>
      </c>
      <c r="CU30" s="110">
        <f t="shared" si="43"/>
        <v>0</v>
      </c>
      <c r="CV30" s="110">
        <f t="shared" si="43"/>
        <v>0</v>
      </c>
      <c r="CW30" s="110">
        <f t="shared" ca="1" si="43"/>
        <v>0</v>
      </c>
      <c r="CX30" s="189">
        <f t="shared" ca="1" si="43"/>
        <v>0</v>
      </c>
      <c r="CY30" s="110">
        <f t="shared" ref="CY30:DH30" si="44">((CY56*CT7)+(CY65*CT8))/CT9</f>
        <v>0</v>
      </c>
      <c r="CZ30" s="110">
        <f t="shared" si="44"/>
        <v>0</v>
      </c>
      <c r="DA30" s="110">
        <f t="shared" si="44"/>
        <v>0</v>
      </c>
      <c r="DB30" s="110">
        <f t="shared" ca="1" si="44"/>
        <v>0</v>
      </c>
      <c r="DC30" s="189">
        <f t="shared" ca="1" si="44"/>
        <v>0</v>
      </c>
      <c r="DD30" s="110">
        <f t="shared" si="44"/>
        <v>0</v>
      </c>
      <c r="DE30" s="110">
        <f t="shared" si="44"/>
        <v>0</v>
      </c>
      <c r="DF30" s="110">
        <f t="shared" si="44"/>
        <v>0</v>
      </c>
      <c r="DG30" s="110">
        <f t="shared" ca="1" si="44"/>
        <v>0</v>
      </c>
      <c r="DH30" s="189">
        <f t="shared" ca="1" si="44"/>
        <v>0</v>
      </c>
    </row>
    <row r="31" spans="1:112" x14ac:dyDescent="0.2">
      <c r="A31" s="162" t="s">
        <v>211</v>
      </c>
      <c r="B31" s="104"/>
      <c r="C31" s="47"/>
      <c r="D31" s="47"/>
      <c r="E31" s="47"/>
      <c r="F31" s="47"/>
      <c r="G31" s="185"/>
      <c r="H31" s="47">
        <v>-0.01</v>
      </c>
      <c r="I31" s="47">
        <v>-0.02</v>
      </c>
      <c r="J31" s="47">
        <v>-0.02</v>
      </c>
      <c r="K31" s="47">
        <v>-0.02</v>
      </c>
      <c r="L31" s="185">
        <v>-0.02</v>
      </c>
      <c r="M31" s="110">
        <v>-0.02</v>
      </c>
      <c r="N31" s="110">
        <v>-0.02</v>
      </c>
      <c r="O31" s="110">
        <v>-0.02</v>
      </c>
      <c r="P31" s="110">
        <v>-0.02</v>
      </c>
      <c r="Q31" s="276">
        <v>-0.02</v>
      </c>
      <c r="R31" s="110">
        <v>-0.02</v>
      </c>
      <c r="S31" s="110">
        <v>-0.01</v>
      </c>
      <c r="T31" s="110">
        <v>0</v>
      </c>
      <c r="U31" s="110">
        <v>0.01</v>
      </c>
      <c r="V31" s="276">
        <v>-5.0000000000000001E-3</v>
      </c>
      <c r="W31" s="47">
        <v>0</v>
      </c>
      <c r="X31" s="47">
        <v>0</v>
      </c>
      <c r="Y31" s="47">
        <v>0</v>
      </c>
      <c r="Z31" s="47">
        <v>0</v>
      </c>
      <c r="AA31" s="185">
        <v>0</v>
      </c>
      <c r="AB31" s="47">
        <v>0</v>
      </c>
      <c r="AC31" s="47">
        <v>0</v>
      </c>
      <c r="AD31" s="47">
        <v>0</v>
      </c>
      <c r="AE31" s="47">
        <v>0</v>
      </c>
      <c r="AF31" s="185">
        <v>0</v>
      </c>
      <c r="AG31" s="47">
        <v>0</v>
      </c>
      <c r="AH31" s="47">
        <v>0</v>
      </c>
      <c r="AI31" s="47">
        <v>8.0000000000000002E-3</v>
      </c>
      <c r="AJ31" s="47">
        <v>1.6E-2</v>
      </c>
      <c r="AK31" s="185">
        <v>7.0000000000000001E-3</v>
      </c>
      <c r="AL31" s="47">
        <f>1.9%-0.1%</f>
        <v>1.7999999999999999E-2</v>
      </c>
      <c r="AM31" s="47">
        <f>1.3%+1.5%</f>
        <v>2.8000000000000001E-2</v>
      </c>
      <c r="AN31" s="110">
        <f>3.7%+0.5%-0.1%</f>
        <v>4.1000000000000002E-2</v>
      </c>
      <c r="AO31" s="110">
        <f>2.9%-0.3%</f>
        <v>2.5999999999999999E-2</v>
      </c>
      <c r="AP31" s="276">
        <f>2.1%+0.9%-0.1%</f>
        <v>2.9000000000000001E-2</v>
      </c>
      <c r="AQ31" s="110">
        <f>3.4%-0.4%</f>
        <v>3.0000000000000002E-2</v>
      </c>
      <c r="AR31" s="110">
        <f>2.9%-0.8%</f>
        <v>2.0999999999999998E-2</v>
      </c>
      <c r="AS31" s="110">
        <v>-7.0000000000000001E-3</v>
      </c>
      <c r="AT31" s="110">
        <v>-4.0000000000000001E-3</v>
      </c>
      <c r="AU31" s="276">
        <f>1.5%-0.6%</f>
        <v>8.9999999999999993E-3</v>
      </c>
      <c r="AV31" s="110">
        <f>-0.5%+(1303-1372)/AQ9</f>
        <v>-5.4855491329479769E-2</v>
      </c>
      <c r="AW31" s="110">
        <f>(1215-1279)/AR9</f>
        <v>-5.2631578947368418E-2</v>
      </c>
      <c r="AX31" s="110">
        <f>(1287-1366)/AS9</f>
        <v>-5.8518518518518518E-2</v>
      </c>
      <c r="AY31" s="110">
        <f>(1429-1517)/AT9</f>
        <v>-5.8666666666666666E-2</v>
      </c>
      <c r="AZ31" s="276">
        <f>-0.1%+(5234-5534)/AU9</f>
        <v>-5.6045871559633031E-2</v>
      </c>
      <c r="BA31" s="110">
        <v>0</v>
      </c>
      <c r="BB31" s="154">
        <f>-0.3%</f>
        <v>-3.0000000000000001E-3</v>
      </c>
      <c r="BC31" s="110">
        <v>-6.0000000000000001E-3</v>
      </c>
      <c r="BD31" s="110">
        <v>-8.0000000000000002E-3</v>
      </c>
      <c r="BE31" s="189">
        <v>-6.0000000000000001E-3</v>
      </c>
      <c r="BF31" s="110">
        <v>0</v>
      </c>
      <c r="BG31" s="110">
        <v>0</v>
      </c>
      <c r="BH31" s="110">
        <v>1.7000000000000001E-2</v>
      </c>
      <c r="BI31" s="110">
        <v>1.4999999999999999E-2</v>
      </c>
      <c r="BJ31" s="189">
        <f>((BJ40*BE5)+(BJ48*BE6)+(BJ57*BE7)+(BJ66*BE8))/BE9</f>
        <v>8.4874784935958722E-3</v>
      </c>
      <c r="BK31" s="110">
        <v>1.4999999999999999E-2</v>
      </c>
      <c r="BL31" s="110">
        <v>1.4999999999999999E-2</v>
      </c>
      <c r="BM31" s="110">
        <v>0</v>
      </c>
      <c r="BN31" s="110">
        <v>0</v>
      </c>
      <c r="BO31" s="189">
        <f>((BO40*BJ5)+(BO48*BJ6)+(BO57*BJ7)+(BO66*BJ8))/BJ9</f>
        <v>6.9294074615947332E-3</v>
      </c>
      <c r="BP31" s="110">
        <v>0</v>
      </c>
      <c r="BQ31" s="110">
        <v>0</v>
      </c>
      <c r="BR31" s="110">
        <v>0</v>
      </c>
      <c r="BS31" s="110">
        <v>0</v>
      </c>
      <c r="BT31" s="189">
        <f>((BT40*BO5)+(BT48*BO6)+(BT57*BO7)+(BT66*BO8))/BO9</f>
        <v>0</v>
      </c>
      <c r="BU31" s="669">
        <v>0</v>
      </c>
      <c r="BV31" s="669">
        <v>0</v>
      </c>
      <c r="BW31" s="669">
        <v>0</v>
      </c>
      <c r="BX31" s="669">
        <v>0</v>
      </c>
      <c r="BY31" s="189">
        <f>((BY40*BT5)+(BY48*BT6)+(BY57*BT7)+(BY66*BT8))/BT9</f>
        <v>0</v>
      </c>
      <c r="BZ31" s="110">
        <v>0</v>
      </c>
      <c r="CA31" s="110">
        <v>0</v>
      </c>
      <c r="CB31" s="110">
        <v>0</v>
      </c>
      <c r="CC31" s="110">
        <f ca="1">((CC40*BX5)+(CC48*BX6)+(CC57*BX7)+(CC66*BX8))/BX9</f>
        <v>1.2740847784200385E-2</v>
      </c>
      <c r="CD31" s="189">
        <f t="shared" ref="CD31:CN31" ca="1" si="45">((CD40*BY5)+(CD48*BY6)+(CD57*BY7)+(CD66*BY8))/BY9</f>
        <v>3.5079575596816972E-3</v>
      </c>
      <c r="CE31" s="110">
        <v>0.02</v>
      </c>
      <c r="CF31" s="669">
        <v>0.02</v>
      </c>
      <c r="CG31" s="669">
        <v>0.02</v>
      </c>
      <c r="CH31" s="669">
        <v>0.01</v>
      </c>
      <c r="CI31" s="189">
        <f t="shared" si="45"/>
        <v>1.8269332581149107E-2</v>
      </c>
      <c r="CJ31" s="669">
        <f>(CJ40*CE5+CJ48*CE6+CJ57*CE7+CJ66*CE8)/CE9</f>
        <v>-3.7006237006237007E-3</v>
      </c>
      <c r="CK31" s="669">
        <f ca="1">(CK40*CF5+CK48*CF6+CK57*CF7+CK66*CF8)/CF9</f>
        <v>-5.7940266107235263E-3</v>
      </c>
      <c r="CL31" s="669">
        <f>(CL40*CG5+CL48*CG6+CL57*CG7+CL66*CG8)/CG9</f>
        <v>-7.7393364928909948E-3</v>
      </c>
      <c r="CM31" s="669">
        <f>(CM40*CH5+CM48*CH6+CM57*CH7+CM66*CH8)/CH9</f>
        <v>1.3627403359643799E-2</v>
      </c>
      <c r="CN31" s="189">
        <f t="shared" ca="1" si="45"/>
        <v>-4.1404119895260995E-4</v>
      </c>
      <c r="CO31" s="110">
        <f t="shared" ref="CO31:CX31" si="46">((CO40*CJ5)+(CO48*CJ6)+(CO57*CJ7)+(CO66*CJ8))/CJ9</f>
        <v>3.6333333333333336E-2</v>
      </c>
      <c r="CP31" s="110">
        <f t="shared" si="46"/>
        <v>3.8488700564971758E-2</v>
      </c>
      <c r="CQ31" s="110">
        <f t="shared" si="46"/>
        <v>3.9257469675938503E-2</v>
      </c>
      <c r="CR31" s="110">
        <f t="shared" ca="1" si="46"/>
        <v>1.1450009241349876E-2</v>
      </c>
      <c r="CS31" s="189">
        <f t="shared" ca="1" si="46"/>
        <v>3.0559891341329026E-2</v>
      </c>
      <c r="CT31" s="110">
        <f t="shared" si="46"/>
        <v>0</v>
      </c>
      <c r="CU31" s="110">
        <f t="shared" si="46"/>
        <v>0</v>
      </c>
      <c r="CV31" s="110">
        <f t="shared" si="46"/>
        <v>0</v>
      </c>
      <c r="CW31" s="110">
        <f t="shared" ca="1" si="46"/>
        <v>0</v>
      </c>
      <c r="CX31" s="189">
        <f t="shared" ca="1" si="46"/>
        <v>0</v>
      </c>
      <c r="CY31" s="110">
        <f t="shared" ref="CY31:DH31" si="47">((CY40*CT5)+(CY48*CT6)+(CY57*CT7)+(CY66*CT8))/CT9</f>
        <v>0</v>
      </c>
      <c r="CZ31" s="110">
        <f t="shared" si="47"/>
        <v>0</v>
      </c>
      <c r="DA31" s="110">
        <f t="shared" si="47"/>
        <v>0</v>
      </c>
      <c r="DB31" s="110">
        <f t="shared" ca="1" si="47"/>
        <v>0</v>
      </c>
      <c r="DC31" s="189">
        <f t="shared" ca="1" si="47"/>
        <v>0</v>
      </c>
      <c r="DD31" s="110">
        <f t="shared" si="47"/>
        <v>0</v>
      </c>
      <c r="DE31" s="110">
        <f t="shared" si="47"/>
        <v>0</v>
      </c>
      <c r="DF31" s="110">
        <f t="shared" si="47"/>
        <v>0</v>
      </c>
      <c r="DG31" s="110">
        <f t="shared" ca="1" si="47"/>
        <v>0</v>
      </c>
      <c r="DH31" s="189">
        <f t="shared" ca="1" si="47"/>
        <v>0</v>
      </c>
    </row>
    <row r="32" spans="1:112" x14ac:dyDescent="0.2">
      <c r="A32" s="169" t="s">
        <v>223</v>
      </c>
      <c r="B32" s="167"/>
      <c r="C32" s="541"/>
      <c r="D32" s="541"/>
      <c r="E32" s="541"/>
      <c r="F32" s="541"/>
      <c r="G32" s="196"/>
      <c r="H32" s="113">
        <f t="shared" ref="H32:Q32" si="48">H23/C23-1</f>
        <v>2.1806853582554409E-2</v>
      </c>
      <c r="I32" s="113">
        <f t="shared" si="48"/>
        <v>1.2557077625570789E-2</v>
      </c>
      <c r="J32" s="113">
        <f t="shared" si="48"/>
        <v>6.3409563409563496E-2</v>
      </c>
      <c r="K32" s="113">
        <f t="shared" si="48"/>
        <v>2.3593466424682408E-2</v>
      </c>
      <c r="L32" s="279">
        <f t="shared" si="48"/>
        <v>3.0489367153471614E-2</v>
      </c>
      <c r="M32" s="113">
        <f t="shared" si="48"/>
        <v>6.4024390243902385E-2</v>
      </c>
      <c r="N32" s="113">
        <f t="shared" si="48"/>
        <v>4.3968432919955003E-2</v>
      </c>
      <c r="O32" s="113">
        <f t="shared" si="48"/>
        <v>-3.910068426197455E-3</v>
      </c>
      <c r="P32" s="113">
        <f t="shared" si="48"/>
        <v>2.1276595744680771E-2</v>
      </c>
      <c r="Q32" s="279">
        <f t="shared" si="48"/>
        <v>3.0333167578319165E-2</v>
      </c>
      <c r="R32" s="113">
        <f ca="1">SUM(R28:R31)</f>
        <v>0</v>
      </c>
      <c r="S32" s="113">
        <f ca="1">SUM(S28:S31)</f>
        <v>1.9999999999999997E-2</v>
      </c>
      <c r="T32" s="113">
        <f ca="1">SUM(T28:T31)</f>
        <v>7.0000000000000007E-2</v>
      </c>
      <c r="U32" s="113">
        <f ca="1">SUM(U28:U31)</f>
        <v>8.6000000000000007E-2</v>
      </c>
      <c r="V32" s="279">
        <f ca="1">SUM(V28:V31)</f>
        <v>0.04</v>
      </c>
      <c r="W32" s="113">
        <f t="shared" ref="W32:AH32" si="49">W23/R23-1</f>
        <v>4.1749502982107334E-2</v>
      </c>
      <c r="X32" s="113">
        <f t="shared" si="49"/>
        <v>8.6956521739130377E-2</v>
      </c>
      <c r="Y32" s="113">
        <f t="shared" si="49"/>
        <v>3.3301617507136116E-2</v>
      </c>
      <c r="Z32" s="113">
        <f t="shared" si="49"/>
        <v>5.8227848101265911E-2</v>
      </c>
      <c r="AA32" s="279">
        <f t="shared" si="49"/>
        <v>5.4300816914944816E-2</v>
      </c>
      <c r="AB32" s="113">
        <f t="shared" si="49"/>
        <v>5.3435114503816772E-2</v>
      </c>
      <c r="AC32" s="113">
        <f t="shared" si="49"/>
        <v>6.4000000000000057E-2</v>
      </c>
      <c r="AD32" s="113">
        <f t="shared" si="49"/>
        <v>6.5377532228360957E-2</v>
      </c>
      <c r="AE32" s="113">
        <f t="shared" si="49"/>
        <v>5.1834130781499121E-2</v>
      </c>
      <c r="AF32" s="279">
        <f t="shared" si="49"/>
        <v>5.8340929808568864E-2</v>
      </c>
      <c r="AG32" s="113">
        <f t="shared" si="49"/>
        <v>5.1630434782608647E-2</v>
      </c>
      <c r="AH32" s="113">
        <f t="shared" si="49"/>
        <v>3.4774436090225569E-2</v>
      </c>
      <c r="AI32" s="113">
        <f t="shared" ref="AI32:AT32" si="50">AI23/AD23-1</f>
        <v>7.260155574762317E-2</v>
      </c>
      <c r="AJ32" s="113">
        <f t="shared" si="50"/>
        <v>1.8953752843062999E-2</v>
      </c>
      <c r="AK32" s="279">
        <f t="shared" si="50"/>
        <v>4.3712316968130827E-2</v>
      </c>
      <c r="AL32" s="113">
        <f t="shared" si="50"/>
        <v>6.7183462532299787E-2</v>
      </c>
      <c r="AM32" s="113">
        <f t="shared" si="50"/>
        <v>7.7202543142597557E-2</v>
      </c>
      <c r="AN32" s="113">
        <f t="shared" si="50"/>
        <v>9.0249798549556726E-2</v>
      </c>
      <c r="AO32" s="113">
        <f t="shared" si="50"/>
        <v>0.11235119047619047</v>
      </c>
      <c r="AP32" s="279">
        <f t="shared" si="50"/>
        <v>8.7889416133690945E-2</v>
      </c>
      <c r="AQ32" s="113">
        <f t="shared" si="50"/>
        <v>0.11702986279257455</v>
      </c>
      <c r="AR32" s="113">
        <f t="shared" si="50"/>
        <v>2.5295109612141653E-2</v>
      </c>
      <c r="AS32" s="113">
        <f t="shared" si="50"/>
        <v>-2.2172949002217113E-3</v>
      </c>
      <c r="AT32" s="113">
        <f t="shared" si="50"/>
        <v>3.3444816053511683E-3</v>
      </c>
      <c r="AU32" s="279">
        <f t="shared" ref="AU32:BG32" si="51">AU9/AP9-1</f>
        <v>3.3567229281244115E-2</v>
      </c>
      <c r="AV32" s="113">
        <f t="shared" si="51"/>
        <v>-5.8526011560693592E-2</v>
      </c>
      <c r="AW32" s="113">
        <f t="shared" si="51"/>
        <v>-8.2236842105265495E-4</v>
      </c>
      <c r="AX32" s="113">
        <f t="shared" si="51"/>
        <v>-4.6666666666666634E-2</v>
      </c>
      <c r="AY32" s="113">
        <f t="shared" si="51"/>
        <v>-4.7333333333333338E-2</v>
      </c>
      <c r="AZ32" s="279">
        <f t="shared" si="51"/>
        <v>-3.9633027522935738E-2</v>
      </c>
      <c r="BA32" s="113">
        <f t="shared" si="51"/>
        <v>-2.839600920951646E-2</v>
      </c>
      <c r="BB32" s="113">
        <f t="shared" si="51"/>
        <v>-2.9629629629629672E-2</v>
      </c>
      <c r="BC32" s="113">
        <f t="shared" si="51"/>
        <v>1.3209013209013243E-2</v>
      </c>
      <c r="BD32" s="113">
        <f t="shared" si="51"/>
        <v>3.7088873337998596E-2</v>
      </c>
      <c r="BE32" s="190">
        <f t="shared" si="51"/>
        <v>-5.7317539166990006E-4</v>
      </c>
      <c r="BF32" s="113">
        <f t="shared" si="51"/>
        <v>3.0805687203791399E-2</v>
      </c>
      <c r="BG32" s="113">
        <f t="shared" si="51"/>
        <v>3.5623409669211181E-2</v>
      </c>
      <c r="BH32" s="113">
        <f>BH9/BC9-1</f>
        <v>7.4386503067484622E-2</v>
      </c>
      <c r="BI32" s="113">
        <f>BI9/BD9-1</f>
        <v>3.9811066126855588E-2</v>
      </c>
      <c r="BJ32" s="190">
        <f>SUM(BJ28:BJ31)</f>
        <v>4.5306824698910314E-2</v>
      </c>
      <c r="BK32" s="113">
        <f>BK9/BF9-1</f>
        <v>2.5287356321838983E-2</v>
      </c>
      <c r="BL32" s="113">
        <f>BL9/BG9-1</f>
        <v>8.5176085176085214E-2</v>
      </c>
      <c r="BM32" s="113">
        <f>BM9/BH9-1</f>
        <v>8.565310492505418E-3</v>
      </c>
      <c r="BN32" s="113">
        <f>BN9/BI9-1</f>
        <v>3.8935756002596023E-3</v>
      </c>
      <c r="BO32" s="190">
        <f ca="1">SUM(BO28:BO31)</f>
        <v>2.8346744696415505E-2</v>
      </c>
      <c r="BP32" s="113">
        <f t="shared" ref="BP32:CK32" si="52">BP9/BK9-1</f>
        <v>3.7369207772794955E-3</v>
      </c>
      <c r="BQ32" s="113">
        <f t="shared" si="52"/>
        <v>-1.2830188679245236E-2</v>
      </c>
      <c r="BR32" s="113">
        <f t="shared" si="52"/>
        <v>-3.3262561924982337E-2</v>
      </c>
      <c r="BS32" s="113">
        <f t="shared" si="52"/>
        <v>-3.232062055591467E-2</v>
      </c>
      <c r="BT32" s="190">
        <f t="shared" si="52"/>
        <v>-1.9384670104926172E-2</v>
      </c>
      <c r="BU32" s="113">
        <f t="shared" si="52"/>
        <v>6.7014147431123661E-3</v>
      </c>
      <c r="BV32" s="113">
        <f t="shared" si="52"/>
        <v>2.828746177370034E-2</v>
      </c>
      <c r="BW32" s="113">
        <f t="shared" si="52"/>
        <v>2.5622254758418839E-2</v>
      </c>
      <c r="BX32" s="113">
        <f t="shared" si="52"/>
        <v>4.0080160320641323E-2</v>
      </c>
      <c r="BY32" s="190">
        <f t="shared" si="52"/>
        <v>2.5571273122959814E-2</v>
      </c>
      <c r="BZ32" s="113">
        <f t="shared" si="52"/>
        <v>2.8106508875739733E-2</v>
      </c>
      <c r="CA32" s="113">
        <f t="shared" si="52"/>
        <v>0</v>
      </c>
      <c r="CB32" s="113">
        <f t="shared" si="52"/>
        <v>1.7844396859386213E-2</v>
      </c>
      <c r="CC32" s="113">
        <f t="shared" si="52"/>
        <v>2.7617212588310958E-2</v>
      </c>
      <c r="CD32" s="190">
        <f t="shared" si="52"/>
        <v>1.8744473916887605E-2</v>
      </c>
      <c r="CE32" s="113">
        <f t="shared" si="52"/>
        <v>3.8129496402877772E-2</v>
      </c>
      <c r="CF32" s="804">
        <f t="shared" si="52"/>
        <v>4.5353159851301061E-2</v>
      </c>
      <c r="CG32" s="804">
        <f t="shared" si="52"/>
        <v>3.576437587657777E-2</v>
      </c>
      <c r="CH32" s="804">
        <f t="shared" si="52"/>
        <v>2.9374999999999929E-2</v>
      </c>
      <c r="CI32" s="813">
        <f t="shared" si="52"/>
        <v>3.6799166811317452E-2</v>
      </c>
      <c r="CJ32" s="804">
        <f t="shared" si="52"/>
        <v>3.9501039501039559E-2</v>
      </c>
      <c r="CK32" s="804">
        <f t="shared" si="52"/>
        <v>7.1123755334281391E-3</v>
      </c>
      <c r="CL32" s="113">
        <f t="shared" ref="CL32:CX32" si="53">SUM(CL28:CL31)</f>
        <v>2.4519434260321462E-2</v>
      </c>
      <c r="CM32" s="113">
        <f t="shared" ca="1" si="53"/>
        <v>5.0031455082259285E-2</v>
      </c>
      <c r="CN32" s="190">
        <f t="shared" ca="1" si="53"/>
        <v>3.1076010534568203E-2</v>
      </c>
      <c r="CO32" s="113">
        <f t="shared" si="53"/>
        <v>5.5624041910116703E-2</v>
      </c>
      <c r="CP32" s="113">
        <f t="shared" si="53"/>
        <v>6.8840430512484674E-2</v>
      </c>
      <c r="CQ32" s="113">
        <f t="shared" si="53"/>
        <v>6.9232198009455348E-2</v>
      </c>
      <c r="CR32" s="113">
        <f t="shared" ca="1" si="53"/>
        <v>2.92292015606277E-2</v>
      </c>
      <c r="CS32" s="190">
        <f t="shared" ca="1" si="53"/>
        <v>5.4594458547874009E-2</v>
      </c>
      <c r="CT32" s="113">
        <f t="shared" si="53"/>
        <v>2.349726882032047E-2</v>
      </c>
      <c r="CU32" s="113">
        <f t="shared" si="53"/>
        <v>2.4031806897848167E-2</v>
      </c>
      <c r="CV32" s="113">
        <f t="shared" si="53"/>
        <v>2.3526637876859914E-2</v>
      </c>
      <c r="CW32" s="113">
        <f t="shared" ca="1" si="53"/>
        <v>2.2838653123216535E-2</v>
      </c>
      <c r="CX32" s="190">
        <f t="shared" ca="1" si="53"/>
        <v>2.3448649723776565E-2</v>
      </c>
      <c r="CY32" s="113">
        <f t="shared" ref="CY32:DH32" si="54">SUM(CY28:CY31)</f>
        <v>2.3600389779892532E-2</v>
      </c>
      <c r="CZ32" s="113">
        <f t="shared" si="54"/>
        <v>2.4142430200833051E-2</v>
      </c>
      <c r="DA32" s="113">
        <f t="shared" si="54"/>
        <v>2.3634242745996278E-2</v>
      </c>
      <c r="DB32" s="113">
        <f t="shared" ca="1" si="54"/>
        <v>2.2943232669299408E-2</v>
      </c>
      <c r="DC32" s="190">
        <f t="shared" ca="1" si="54"/>
        <v>2.3555215646870555E-2</v>
      </c>
      <c r="DD32" s="113">
        <f t="shared" si="54"/>
        <v>2.3704904304202714E-2</v>
      </c>
      <c r="DE32" s="113">
        <f t="shared" si="54"/>
        <v>2.4254440097441213E-2</v>
      </c>
      <c r="DF32" s="113">
        <f t="shared" si="54"/>
        <v>2.3743276144444624E-2</v>
      </c>
      <c r="DG32" s="113">
        <f t="shared" ca="1" si="54"/>
        <v>2.3049289666085149E-2</v>
      </c>
      <c r="DH32" s="190">
        <f t="shared" ca="1" si="54"/>
        <v>2.3663207693157912E-2</v>
      </c>
    </row>
    <row r="33" spans="1:112" x14ac:dyDescent="0.2">
      <c r="A33" s="163" t="s">
        <v>224</v>
      </c>
      <c r="B33" s="161"/>
      <c r="C33" s="161"/>
      <c r="D33" s="161"/>
      <c r="E33" s="161"/>
      <c r="F33" s="161"/>
      <c r="G33" s="184"/>
      <c r="H33" s="165">
        <f t="shared" ref="H33:Q33" si="55">H28+H29</f>
        <v>4.1806853582554412E-2</v>
      </c>
      <c r="I33" s="165">
        <f t="shared" si="55"/>
        <v>4.2557077625570795E-2</v>
      </c>
      <c r="J33" s="165">
        <f t="shared" si="55"/>
        <v>9.3409563409563495E-2</v>
      </c>
      <c r="K33" s="165">
        <f t="shared" si="55"/>
        <v>5.3593466424682414E-2</v>
      </c>
      <c r="L33" s="189">
        <f t="shared" si="55"/>
        <v>6.048936715347162E-2</v>
      </c>
      <c r="M33" s="165">
        <f t="shared" si="55"/>
        <v>0.10402439024390239</v>
      </c>
      <c r="N33" s="165">
        <f t="shared" si="55"/>
        <v>9.3968432919955006E-2</v>
      </c>
      <c r="O33" s="165">
        <f t="shared" si="55"/>
        <v>2.1089931573802546E-2</v>
      </c>
      <c r="P33" s="165">
        <f t="shared" si="55"/>
        <v>3.6276595744680777E-2</v>
      </c>
      <c r="Q33" s="189">
        <f t="shared" si="55"/>
        <v>6.033316757831917E-2</v>
      </c>
      <c r="R33" s="165">
        <f t="shared" ref="R33:AF33" ca="1" si="56">R28+R29</f>
        <v>1.4999999999999999E-2</v>
      </c>
      <c r="S33" s="165">
        <f t="shared" ca="1" si="56"/>
        <v>1.4999999999999999E-2</v>
      </c>
      <c r="T33" s="165">
        <f t="shared" ca="1" si="56"/>
        <v>5.5000000000000007E-2</v>
      </c>
      <c r="U33" s="165">
        <f t="shared" ca="1" si="56"/>
        <v>7.0000000000000007E-2</v>
      </c>
      <c r="V33" s="189">
        <f t="shared" ca="1" si="56"/>
        <v>3.3000000000000002E-2</v>
      </c>
      <c r="W33" s="165">
        <f t="shared" si="56"/>
        <v>3.8749502982107331E-2</v>
      </c>
      <c r="X33" s="165">
        <f t="shared" si="56"/>
        <v>8.5956521739130376E-2</v>
      </c>
      <c r="Y33" s="165">
        <f t="shared" si="56"/>
        <v>3.2301617507136116E-2</v>
      </c>
      <c r="Z33" s="165">
        <f t="shared" si="56"/>
        <v>5.722784810126591E-2</v>
      </c>
      <c r="AA33" s="189">
        <f t="shared" si="56"/>
        <v>4.9300816914944819E-2</v>
      </c>
      <c r="AB33" s="165">
        <f t="shared" si="56"/>
        <v>4.343511450381677E-2</v>
      </c>
      <c r="AC33" s="165">
        <f t="shared" si="56"/>
        <v>6.800000000000006E-2</v>
      </c>
      <c r="AD33" s="165">
        <f t="shared" si="56"/>
        <v>6.7377532228360959E-2</v>
      </c>
      <c r="AE33" s="165">
        <f t="shared" si="56"/>
        <v>5.5834130781499118E-2</v>
      </c>
      <c r="AF33" s="189">
        <f t="shared" si="56"/>
        <v>5.5340929808568862E-2</v>
      </c>
      <c r="AG33" s="165">
        <f t="shared" ref="AG33:AP33" si="57">AG28+AG29</f>
        <v>5.1630434782608647E-2</v>
      </c>
      <c r="AH33" s="165">
        <f t="shared" si="57"/>
        <v>3.4774436090225569E-2</v>
      </c>
      <c r="AI33" s="165">
        <f t="shared" si="57"/>
        <v>6.3601555747623162E-2</v>
      </c>
      <c r="AJ33" s="165">
        <f t="shared" si="57"/>
        <v>-3.0462471569370018E-3</v>
      </c>
      <c r="AK33" s="189">
        <f t="shared" si="57"/>
        <v>3.4712316968130826E-2</v>
      </c>
      <c r="AL33" s="165">
        <f t="shared" si="57"/>
        <v>4.1183462532299785E-2</v>
      </c>
      <c r="AM33" s="165">
        <f t="shared" si="57"/>
        <v>3.5202543142597562E-2</v>
      </c>
      <c r="AN33" s="165">
        <f t="shared" si="57"/>
        <v>3.3249798549556724E-2</v>
      </c>
      <c r="AO33" s="165">
        <f t="shared" si="57"/>
        <v>7.5351190476190474E-2</v>
      </c>
      <c r="AP33" s="189">
        <f t="shared" si="57"/>
        <v>4.688941613369095E-2</v>
      </c>
      <c r="AQ33" s="165">
        <f t="shared" ref="AQ33:AY33" si="58">AQ28+AQ29</f>
        <v>8.3029862792574544E-2</v>
      </c>
      <c r="AR33" s="165">
        <f t="shared" si="58"/>
        <v>3.2295109612141659E-2</v>
      </c>
      <c r="AS33" s="165">
        <f t="shared" si="58"/>
        <v>3.5782705099778288E-2</v>
      </c>
      <c r="AT33" s="165">
        <f t="shared" si="58"/>
        <v>3.2344481605351166E-2</v>
      </c>
      <c r="AU33" s="189">
        <f t="shared" si="58"/>
        <v>4.356722928124411E-2</v>
      </c>
      <c r="AV33" s="165">
        <f t="shared" si="58"/>
        <v>1.1329479768786177E-2</v>
      </c>
      <c r="AW33" s="165">
        <f t="shared" si="58"/>
        <v>3.5809210526315763E-2</v>
      </c>
      <c r="AX33" s="165">
        <f t="shared" si="58"/>
        <v>1.4851851851851883E-2</v>
      </c>
      <c r="AY33" s="165">
        <f t="shared" si="58"/>
        <v>2.2333333333333327E-2</v>
      </c>
      <c r="AZ33" s="189">
        <f t="shared" ref="AZ33:BE33" si="59">AZ28+AZ29</f>
        <v>2.0412844036697294E-2</v>
      </c>
      <c r="BA33" s="165">
        <f t="shared" si="59"/>
        <v>-1.2E-2</v>
      </c>
      <c r="BB33" s="165">
        <f t="shared" si="59"/>
        <v>-2.9999999999999992E-3</v>
      </c>
      <c r="BC33" s="165">
        <f t="shared" si="59"/>
        <v>9.0000000000000011E-3</v>
      </c>
      <c r="BD33" s="165">
        <f t="shared" si="59"/>
        <v>3.2088873337998598E-2</v>
      </c>
      <c r="BE33" s="189">
        <f t="shared" si="59"/>
        <v>8.426824608330101E-3</v>
      </c>
      <c r="BF33" s="165">
        <f t="shared" ref="BF33:CX33" si="60">BF28+BF29</f>
        <v>2.3805687203791399E-2</v>
      </c>
      <c r="BG33" s="165">
        <f t="shared" si="60"/>
        <v>4.0623409669211179E-2</v>
      </c>
      <c r="BH33" s="165">
        <f t="shared" si="60"/>
        <v>5.9386503067484622E-2</v>
      </c>
      <c r="BI33" s="165">
        <f t="shared" si="60"/>
        <v>3.481106612685559E-2</v>
      </c>
      <c r="BJ33" s="189">
        <f>BJ28+BJ29</f>
        <v>3.958382718409479E-2</v>
      </c>
      <c r="BK33" s="165">
        <f>BK28+BK29</f>
        <v>1.8287356321838984E-2</v>
      </c>
      <c r="BL33" s="165">
        <f>BL28+BL29</f>
        <v>7.1176085176085216E-2</v>
      </c>
      <c r="BM33" s="165">
        <f t="shared" si="60"/>
        <v>1.5565310492505417E-2</v>
      </c>
      <c r="BN33" s="165">
        <f>BN28+BN29</f>
        <v>1.2893575600259603E-2</v>
      </c>
      <c r="BO33" s="189">
        <f ca="1">BO28+BO29</f>
        <v>2.7879846378931965E-2</v>
      </c>
      <c r="BP33" s="165">
        <f>BP28+BP29</f>
        <v>1.8736920777279495E-2</v>
      </c>
      <c r="BQ33" s="165">
        <f>BQ28+BQ29</f>
        <v>6.1698113207547638E-3</v>
      </c>
      <c r="BR33" s="165">
        <f>BR28+BR29</f>
        <v>-1.2625619249823361E-3</v>
      </c>
      <c r="BS33" s="165">
        <f t="shared" si="60"/>
        <v>-4.3206205559146692E-3</v>
      </c>
      <c r="BT33" s="189">
        <f t="shared" ref="BT33:BY33" si="61">BT28+BT29</f>
        <v>4.4063667081628921E-3</v>
      </c>
      <c r="BU33" s="165">
        <f t="shared" si="61"/>
        <v>2.5701414743112369E-2</v>
      </c>
      <c r="BV33" s="165">
        <f t="shared" si="61"/>
        <v>5.6287461773700337E-2</v>
      </c>
      <c r="BW33" s="165">
        <f t="shared" si="61"/>
        <v>4.5622254758418843E-2</v>
      </c>
      <c r="BX33" s="165">
        <f t="shared" si="61"/>
        <v>6.0080160320641326E-2</v>
      </c>
      <c r="BY33" s="189">
        <f t="shared" si="61"/>
        <v>4.7225426187885416E-2</v>
      </c>
      <c r="BZ33" s="165">
        <f t="shared" si="60"/>
        <v>5.610650887573973E-2</v>
      </c>
      <c r="CA33" s="165">
        <f t="shared" si="60"/>
        <v>2.7000000000000003E-2</v>
      </c>
      <c r="CB33" s="165">
        <f t="shared" ref="CB33:CG33" si="62">CB28+CB29</f>
        <v>5.0844396859386215E-2</v>
      </c>
      <c r="CC33" s="165">
        <f t="shared" ca="1" si="62"/>
        <v>3.7876364804110572E-2</v>
      </c>
      <c r="CD33" s="189">
        <f t="shared" ca="1" si="62"/>
        <v>4.2860742705570297E-2</v>
      </c>
      <c r="CE33" s="165">
        <f t="shared" si="62"/>
        <v>3.7129496402877771E-2</v>
      </c>
      <c r="CF33" s="108">
        <f t="shared" si="62"/>
        <v>4.4353159851301061E-2</v>
      </c>
      <c r="CG33" s="165">
        <f t="shared" si="62"/>
        <v>1.6764375876577767E-2</v>
      </c>
      <c r="CH33" s="165">
        <f t="shared" si="60"/>
        <v>2.0374999999999928E-2</v>
      </c>
      <c r="CI33" s="189">
        <f t="shared" si="60"/>
        <v>2.8075225655268203E-2</v>
      </c>
      <c r="CJ33" s="165">
        <f t="shared" si="60"/>
        <v>4.3201663201663257E-2</v>
      </c>
      <c r="CK33" s="165">
        <f t="shared" ca="1" si="60"/>
        <v>1.2906402144151665E-2</v>
      </c>
      <c r="CL33" s="165">
        <f t="shared" si="60"/>
        <v>2.8486797562626946E-2</v>
      </c>
      <c r="CM33" s="165">
        <f t="shared" ca="1" si="60"/>
        <v>3.6174012498678021E-2</v>
      </c>
      <c r="CN33" s="189">
        <f t="shared" si="60"/>
        <v>3.0493889167922318E-2</v>
      </c>
      <c r="CO33" s="165">
        <f t="shared" si="60"/>
        <v>2.2506666666666668E-2</v>
      </c>
      <c r="CP33" s="165">
        <f t="shared" si="60"/>
        <v>3.0918079096045197E-2</v>
      </c>
      <c r="CQ33" s="165">
        <f t="shared" si="60"/>
        <v>3.0973980462089601E-2</v>
      </c>
      <c r="CR33" s="165">
        <f t="shared" ca="1" si="60"/>
        <v>1.7779192319277826E-2</v>
      </c>
      <c r="CS33" s="189">
        <f t="shared" ca="1" si="60"/>
        <v>2.5193588952900459E-2</v>
      </c>
      <c r="CT33" s="165">
        <f t="shared" si="60"/>
        <v>2.349726882032047E-2</v>
      </c>
      <c r="CU33" s="165">
        <f t="shared" si="60"/>
        <v>2.4031806897848167E-2</v>
      </c>
      <c r="CV33" s="165">
        <f t="shared" si="60"/>
        <v>2.3526637876859914E-2</v>
      </c>
      <c r="CW33" s="165">
        <f t="shared" ca="1" si="60"/>
        <v>2.2838653123216535E-2</v>
      </c>
      <c r="CX33" s="189">
        <f t="shared" ca="1" si="60"/>
        <v>2.3448649723776565E-2</v>
      </c>
      <c r="CY33" s="165">
        <f>CY28+CY29</f>
        <v>2.3600389779892532E-2</v>
      </c>
      <c r="CZ33" s="165">
        <f>CZ28+CZ29</f>
        <v>2.4142430200833051E-2</v>
      </c>
      <c r="DA33" s="165">
        <f>DA28+DA29</f>
        <v>2.3634242745996278E-2</v>
      </c>
      <c r="DB33" s="165">
        <f ca="1">DB28+DB29</f>
        <v>2.2943232669299408E-2</v>
      </c>
      <c r="DC33" s="189">
        <f t="shared" ref="DC33:DH33" ca="1" si="63">DC28+DC29</f>
        <v>2.3555215646870555E-2</v>
      </c>
      <c r="DD33" s="165">
        <f t="shared" si="63"/>
        <v>2.3704904304202714E-2</v>
      </c>
      <c r="DE33" s="165">
        <f t="shared" si="63"/>
        <v>2.4254440097441213E-2</v>
      </c>
      <c r="DF33" s="165">
        <f t="shared" si="63"/>
        <v>2.3743276144444624E-2</v>
      </c>
      <c r="DG33" s="165">
        <f t="shared" ca="1" si="63"/>
        <v>2.3049289666085149E-2</v>
      </c>
      <c r="DH33" s="189">
        <f t="shared" ca="1" si="63"/>
        <v>2.3663207693157912E-2</v>
      </c>
    </row>
    <row r="34" spans="1:112" x14ac:dyDescent="0.2">
      <c r="A34" s="176" t="s">
        <v>227</v>
      </c>
      <c r="B34" s="177"/>
      <c r="C34" s="177"/>
      <c r="D34" s="177"/>
      <c r="E34" s="177"/>
      <c r="F34" s="177"/>
      <c r="G34" s="515"/>
      <c r="H34" s="161"/>
      <c r="I34" s="161"/>
      <c r="J34" s="161"/>
      <c r="K34" s="161"/>
      <c r="L34" s="184"/>
      <c r="M34" s="178">
        <f t="shared" ref="M34:AO34" si="64">AVERAGE(M33,H33)</f>
        <v>7.2915621913228396E-2</v>
      </c>
      <c r="N34" s="178">
        <f t="shared" si="64"/>
        <v>6.8262755272762904E-2</v>
      </c>
      <c r="O34" s="178">
        <f t="shared" si="64"/>
        <v>5.7249747491683017E-2</v>
      </c>
      <c r="P34" s="178">
        <f t="shared" si="64"/>
        <v>4.4935031084681595E-2</v>
      </c>
      <c r="Q34" s="201">
        <f t="shared" si="64"/>
        <v>6.0411267365895395E-2</v>
      </c>
      <c r="R34" s="178">
        <f t="shared" ca="1" si="64"/>
        <v>5.9512195121951196E-2</v>
      </c>
      <c r="S34" s="178">
        <f t="shared" ca="1" si="64"/>
        <v>5.4484216459977503E-2</v>
      </c>
      <c r="T34" s="178">
        <f t="shared" ca="1" si="64"/>
        <v>3.804496578690128E-2</v>
      </c>
      <c r="U34" s="178">
        <f t="shared" ca="1" si="64"/>
        <v>5.3138297872340395E-2</v>
      </c>
      <c r="V34" s="201">
        <f t="shared" ca="1" si="64"/>
        <v>4.6666583789159582E-2</v>
      </c>
      <c r="W34" s="178">
        <f t="shared" ca="1" si="64"/>
        <v>2.6874751491053665E-2</v>
      </c>
      <c r="X34" s="178">
        <f t="shared" ca="1" si="64"/>
        <v>5.0478260869565188E-2</v>
      </c>
      <c r="Y34" s="178">
        <f t="shared" ca="1" si="64"/>
        <v>4.3650808753568061E-2</v>
      </c>
      <c r="Z34" s="178">
        <f t="shared" ca="1" si="64"/>
        <v>6.3613924050632958E-2</v>
      </c>
      <c r="AA34" s="201">
        <f t="shared" ca="1" si="64"/>
        <v>4.1150408457472407E-2</v>
      </c>
      <c r="AB34" s="178">
        <f t="shared" si="64"/>
        <v>4.1092308742962047E-2</v>
      </c>
      <c r="AC34" s="178">
        <f t="shared" si="64"/>
        <v>7.6978260869565218E-2</v>
      </c>
      <c r="AD34" s="178">
        <f t="shared" si="64"/>
        <v>4.9839574867748537E-2</v>
      </c>
      <c r="AE34" s="178">
        <f t="shared" si="64"/>
        <v>5.6530989441382518E-2</v>
      </c>
      <c r="AF34" s="201">
        <f t="shared" si="64"/>
        <v>5.2320873361756837E-2</v>
      </c>
      <c r="AG34" s="178">
        <f t="shared" si="64"/>
        <v>4.7532774643212705E-2</v>
      </c>
      <c r="AH34" s="178">
        <f t="shared" si="64"/>
        <v>5.1387218045112815E-2</v>
      </c>
      <c r="AI34" s="178">
        <f t="shared" si="64"/>
        <v>6.548954398799206E-2</v>
      </c>
      <c r="AJ34" s="178">
        <f t="shared" si="64"/>
        <v>2.6393941812281059E-2</v>
      </c>
      <c r="AK34" s="201">
        <f t="shared" si="64"/>
        <v>4.502662338834984E-2</v>
      </c>
      <c r="AL34" s="178">
        <f t="shared" si="64"/>
        <v>4.6406948657454219E-2</v>
      </c>
      <c r="AM34" s="178">
        <f t="shared" si="64"/>
        <v>3.4988489616411565E-2</v>
      </c>
      <c r="AN34" s="178">
        <f t="shared" si="64"/>
        <v>4.8425677148589946E-2</v>
      </c>
      <c r="AO34" s="178">
        <f t="shared" si="64"/>
        <v>3.6152471659626734E-2</v>
      </c>
      <c r="AP34" s="201">
        <f t="shared" ref="AP34:AV34" si="65">AVERAGE(AP33,AK33)</f>
        <v>4.0800866550910891E-2</v>
      </c>
      <c r="AQ34" s="178">
        <f t="shared" si="65"/>
        <v>6.2106662662437168E-2</v>
      </c>
      <c r="AR34" s="178">
        <f t="shared" si="65"/>
        <v>3.374882637736961E-2</v>
      </c>
      <c r="AS34" s="178">
        <f t="shared" si="65"/>
        <v>3.4516251824667506E-2</v>
      </c>
      <c r="AT34" s="178">
        <f t="shared" si="65"/>
        <v>5.384783604077082E-2</v>
      </c>
      <c r="AU34" s="201">
        <f t="shared" si="65"/>
        <v>4.522832270746753E-2</v>
      </c>
      <c r="AV34" s="178">
        <f t="shared" si="65"/>
        <v>4.717967128068036E-2</v>
      </c>
      <c r="AW34" s="178">
        <f t="shared" ref="AW34:BE34" si="66">AVERAGE(AW33,AR33)</f>
        <v>3.4052160069228711E-2</v>
      </c>
      <c r="AX34" s="178">
        <f t="shared" si="66"/>
        <v>2.5317278475815087E-2</v>
      </c>
      <c r="AY34" s="178">
        <f t="shared" si="66"/>
        <v>2.7338907469342248E-2</v>
      </c>
      <c r="AZ34" s="201">
        <f t="shared" si="66"/>
        <v>3.1990036658970704E-2</v>
      </c>
      <c r="BA34" s="178">
        <f t="shared" si="66"/>
        <v>-3.3526011560691162E-4</v>
      </c>
      <c r="BB34" s="178">
        <f t="shared" si="66"/>
        <v>1.640460526315788E-2</v>
      </c>
      <c r="BC34" s="178">
        <f t="shared" si="66"/>
        <v>1.1925925925925942E-2</v>
      </c>
      <c r="BD34" s="178">
        <f t="shared" si="66"/>
        <v>2.7211103335665961E-2</v>
      </c>
      <c r="BE34" s="191">
        <f t="shared" si="66"/>
        <v>1.4419834322513697E-2</v>
      </c>
      <c r="BF34" s="178">
        <f t="shared" ref="BF34:CX34" si="67">AVERAGE(BF33,BA33)</f>
        <v>5.9028436018956996E-3</v>
      </c>
      <c r="BG34" s="178">
        <f t="shared" si="67"/>
        <v>1.8811704834605592E-2</v>
      </c>
      <c r="BH34" s="178">
        <f t="shared" si="67"/>
        <v>3.4193251533742308E-2</v>
      </c>
      <c r="BI34" s="178">
        <f t="shared" si="67"/>
        <v>3.3449969732427094E-2</v>
      </c>
      <c r="BJ34" s="191">
        <f>AVERAGE(BJ33,BE33)</f>
        <v>2.4005325896212446E-2</v>
      </c>
      <c r="BK34" s="178">
        <f>AVERAGE(BK33,BF33)</f>
        <v>2.1046521762815192E-2</v>
      </c>
      <c r="BL34" s="178">
        <f t="shared" si="67"/>
        <v>5.5899747422648194E-2</v>
      </c>
      <c r="BM34" s="178">
        <f t="shared" si="67"/>
        <v>3.7475906779995016E-2</v>
      </c>
      <c r="BN34" s="178">
        <f>AVERAGE(BN33,BI33)</f>
        <v>2.3852320863557597E-2</v>
      </c>
      <c r="BO34" s="191">
        <f ca="1">AVERAGE(BO33,BJ33)</f>
        <v>3.3731836781513376E-2</v>
      </c>
      <c r="BP34" s="178">
        <f>AVERAGE(BP33,BK33)</f>
        <v>1.8512138549559239E-2</v>
      </c>
      <c r="BQ34" s="178">
        <f>AVERAGE(BQ33,BL33)</f>
        <v>3.8672948248419992E-2</v>
      </c>
      <c r="BR34" s="178">
        <f>AVERAGE(BR33,BM33)</f>
        <v>7.1513742837615406E-3</v>
      </c>
      <c r="BS34" s="178">
        <f t="shared" si="67"/>
        <v>4.2864775221724671E-3</v>
      </c>
      <c r="BT34" s="191">
        <f t="shared" ca="1" si="67"/>
        <v>1.614310654354743E-2</v>
      </c>
      <c r="BU34" s="178">
        <f>AVERAGE(BU33,BP33)</f>
        <v>2.2219167760195932E-2</v>
      </c>
      <c r="BV34" s="178">
        <f>AVERAGE(BV33,BQ33)</f>
        <v>3.1228636547227552E-2</v>
      </c>
      <c r="BW34" s="178">
        <f>AVERAGE(BW33,BR33)</f>
        <v>2.2179846416718253E-2</v>
      </c>
      <c r="BX34" s="178">
        <f>AVERAGE(BX33,BS33)</f>
        <v>2.7879769882363327E-2</v>
      </c>
      <c r="BY34" s="191">
        <f>AVERAGE(BY33,BT33)</f>
        <v>2.5815896448024154E-2</v>
      </c>
      <c r="BZ34" s="178">
        <f t="shared" si="67"/>
        <v>4.090396180942605E-2</v>
      </c>
      <c r="CA34" s="178">
        <f t="shared" si="67"/>
        <v>4.1643730886850167E-2</v>
      </c>
      <c r="CB34" s="178">
        <f t="shared" si="67"/>
        <v>4.8233325808902529E-2</v>
      </c>
      <c r="CC34" s="178">
        <f t="shared" ca="1" si="67"/>
        <v>4.8978262562375946E-2</v>
      </c>
      <c r="CD34" s="191">
        <f ca="1">AVERAGE(CD33,BY33)</f>
        <v>4.504308444672786E-2</v>
      </c>
      <c r="CE34" s="178">
        <f>AVERAGE(CE33,BZ33)</f>
        <v>4.661800263930875E-2</v>
      </c>
      <c r="CF34" s="115">
        <f>AVERAGE(CF33,CA33)</f>
        <v>3.5676579925650528E-2</v>
      </c>
      <c r="CG34" s="178">
        <f>AVERAGE(CG33,CB33)</f>
        <v>3.3804386367981991E-2</v>
      </c>
      <c r="CH34" s="178">
        <f ca="1">AVERAGE(CH33,CC33)</f>
        <v>2.912568240205525E-2</v>
      </c>
      <c r="CI34" s="191">
        <f t="shared" ca="1" si="67"/>
        <v>3.546798418041925E-2</v>
      </c>
      <c r="CJ34" s="178">
        <f t="shared" si="67"/>
        <v>4.0165579802270514E-2</v>
      </c>
      <c r="CK34" s="178">
        <f t="shared" ca="1" si="67"/>
        <v>2.8629780997726364E-2</v>
      </c>
      <c r="CL34" s="178">
        <f t="shared" si="67"/>
        <v>2.2625586719602356E-2</v>
      </c>
      <c r="CM34" s="178">
        <f t="shared" ca="1" si="67"/>
        <v>2.8274506249338974E-2</v>
      </c>
      <c r="CN34" s="191">
        <f t="shared" si="67"/>
        <v>2.9284557411595261E-2</v>
      </c>
      <c r="CO34" s="178">
        <f t="shared" si="67"/>
        <v>3.2854164934164959E-2</v>
      </c>
      <c r="CP34" s="178">
        <f t="shared" ca="1" si="67"/>
        <v>2.191224062009843E-2</v>
      </c>
      <c r="CQ34" s="178">
        <f t="shared" si="67"/>
        <v>2.9730389012358274E-2</v>
      </c>
      <c r="CR34" s="178">
        <f t="shared" ca="1" si="67"/>
        <v>2.6976602408977923E-2</v>
      </c>
      <c r="CS34" s="191">
        <f t="shared" ca="1" si="67"/>
        <v>2.784373906041139E-2</v>
      </c>
      <c r="CT34" s="178">
        <f t="shared" si="67"/>
        <v>2.300196774349357E-2</v>
      </c>
      <c r="CU34" s="178">
        <f t="shared" si="67"/>
        <v>2.747494299694668E-2</v>
      </c>
      <c r="CV34" s="178">
        <f t="shared" si="67"/>
        <v>2.7250309169474757E-2</v>
      </c>
      <c r="CW34" s="178">
        <f t="shared" ca="1" si="67"/>
        <v>2.030892272124718E-2</v>
      </c>
      <c r="CX34" s="191">
        <f t="shared" ca="1" si="67"/>
        <v>2.4321119338338512E-2</v>
      </c>
      <c r="CY34" s="178">
        <f t="shared" ref="CY34:DH34" si="68">AVERAGE(CY33,CT33)</f>
        <v>2.3548829300106502E-2</v>
      </c>
      <c r="CZ34" s="178">
        <f t="shared" si="68"/>
        <v>2.4087118549340609E-2</v>
      </c>
      <c r="DA34" s="178">
        <f t="shared" si="68"/>
        <v>2.3580440311428096E-2</v>
      </c>
      <c r="DB34" s="178">
        <f t="shared" ca="1" si="68"/>
        <v>2.2890942896257972E-2</v>
      </c>
      <c r="DC34" s="191">
        <f t="shared" ca="1" si="68"/>
        <v>2.3501932685323558E-2</v>
      </c>
      <c r="DD34" s="178">
        <f t="shared" si="68"/>
        <v>2.3652647042047621E-2</v>
      </c>
      <c r="DE34" s="178">
        <f t="shared" si="68"/>
        <v>2.4198435149137131E-2</v>
      </c>
      <c r="DF34" s="178">
        <f t="shared" si="68"/>
        <v>2.3688759445220451E-2</v>
      </c>
      <c r="DG34" s="178">
        <f t="shared" ca="1" si="68"/>
        <v>2.2996261167692281E-2</v>
      </c>
      <c r="DH34" s="191">
        <f t="shared" ca="1" si="68"/>
        <v>2.3609211670014233E-2</v>
      </c>
    </row>
    <row r="35" spans="1:112" x14ac:dyDescent="0.2">
      <c r="A35" s="176"/>
      <c r="B35" s="177"/>
      <c r="C35" s="177"/>
      <c r="D35" s="177"/>
      <c r="E35" s="177"/>
      <c r="F35" s="177"/>
      <c r="G35" s="515"/>
      <c r="H35" s="252"/>
      <c r="I35" s="252"/>
      <c r="J35" s="252"/>
      <c r="K35" s="252"/>
      <c r="L35" s="315"/>
      <c r="M35" s="252"/>
      <c r="N35" s="252"/>
      <c r="O35" s="252"/>
      <c r="P35" s="252"/>
      <c r="Q35" s="315"/>
      <c r="R35" s="252"/>
      <c r="S35" s="252"/>
      <c r="T35" s="252"/>
      <c r="U35" s="252"/>
      <c r="V35" s="315"/>
      <c r="W35" s="336"/>
      <c r="X35" s="336"/>
      <c r="Y35" s="336"/>
      <c r="Z35" s="336"/>
      <c r="AA35" s="315"/>
      <c r="AB35" s="252"/>
      <c r="AC35" s="252"/>
      <c r="AD35" s="252"/>
      <c r="AE35" s="252"/>
      <c r="AF35" s="315"/>
      <c r="AG35" s="252"/>
      <c r="AH35" s="252"/>
      <c r="AI35" s="252"/>
      <c r="AJ35" s="252"/>
      <c r="AK35" s="315"/>
      <c r="AL35" s="252"/>
      <c r="AM35" s="252"/>
      <c r="AN35" s="377"/>
      <c r="AO35" s="252"/>
      <c r="AP35" s="315"/>
      <c r="AQ35" s="252"/>
      <c r="AR35" s="252"/>
      <c r="AS35" s="252"/>
      <c r="AT35" s="252"/>
      <c r="AU35" s="201"/>
      <c r="AV35" s="602"/>
      <c r="AW35" s="602"/>
      <c r="AX35" s="602"/>
      <c r="AY35" s="602"/>
      <c r="AZ35" s="201"/>
      <c r="BA35" s="178"/>
      <c r="BB35" s="178"/>
      <c r="BC35" s="178"/>
      <c r="BD35" s="48"/>
      <c r="BE35" s="191"/>
      <c r="BF35" s="110"/>
      <c r="BG35" s="110"/>
      <c r="BH35" s="48"/>
      <c r="BI35" s="48"/>
      <c r="BJ35" s="191"/>
      <c r="BK35" s="110"/>
      <c r="BL35" s="110"/>
      <c r="BM35" s="48"/>
      <c r="BN35" s="48"/>
      <c r="BO35" s="191"/>
      <c r="BP35" s="178"/>
      <c r="BQ35" s="178"/>
      <c r="BR35" s="178"/>
      <c r="BS35" s="178"/>
      <c r="BT35" s="191"/>
      <c r="BU35" s="178">
        <f>+AVERAGE(BU33,BP33,BK33)</f>
        <v>2.090856394741028E-2</v>
      </c>
      <c r="BV35" s="178">
        <f>+AVERAGE(BV33,BQ33,BL33)</f>
        <v>4.4544452756846771E-2</v>
      </c>
      <c r="BW35" s="178">
        <f>+AVERAGE(BW33,BR33,BM33)</f>
        <v>1.9975001108647309E-2</v>
      </c>
      <c r="BX35" s="178">
        <f>+AVERAGE(BX33,BS33,BN33)</f>
        <v>2.288437178832875E-2</v>
      </c>
      <c r="BY35" s="191"/>
      <c r="BZ35" s="178"/>
      <c r="CA35" s="178"/>
      <c r="CB35" s="178"/>
      <c r="CC35" s="178"/>
      <c r="CD35" s="191"/>
      <c r="CE35" s="178"/>
      <c r="CF35" s="115"/>
      <c r="CG35" s="178"/>
      <c r="CH35" s="178"/>
      <c r="CI35" s="191"/>
      <c r="CJ35" s="178"/>
      <c r="CK35" s="178"/>
      <c r="CL35" s="178"/>
      <c r="CM35" s="178"/>
      <c r="CN35" s="191"/>
      <c r="CO35" s="178"/>
      <c r="CP35" s="178"/>
      <c r="CQ35" s="178"/>
      <c r="CR35" s="178"/>
      <c r="CS35" s="191"/>
      <c r="CT35" s="178"/>
      <c r="CU35" s="178"/>
      <c r="CV35" s="178"/>
      <c r="CW35" s="178"/>
      <c r="CX35" s="191"/>
      <c r="CY35" s="178"/>
      <c r="CZ35" s="178"/>
      <c r="DA35" s="178"/>
      <c r="DB35" s="178"/>
      <c r="DC35" s="191"/>
      <c r="DD35" s="178"/>
      <c r="DE35" s="178"/>
      <c r="DF35" s="178"/>
      <c r="DG35" s="178"/>
      <c r="DH35" s="191"/>
    </row>
    <row r="36" spans="1:112" hidden="1" outlineLevel="1" x14ac:dyDescent="0.2">
      <c r="A36" s="311" t="s">
        <v>243</v>
      </c>
      <c r="B36" s="104"/>
      <c r="C36" s="164"/>
      <c r="D36" s="164"/>
      <c r="E36" s="164"/>
      <c r="F36" s="164"/>
      <c r="G36" s="188"/>
      <c r="H36" s="173"/>
      <c r="I36" s="173"/>
      <c r="J36" s="173"/>
      <c r="K36" s="173"/>
      <c r="L36" s="315"/>
      <c r="M36" s="173"/>
      <c r="N36" s="173"/>
      <c r="O36" s="173"/>
      <c r="P36" s="173"/>
      <c r="Q36" s="315"/>
      <c r="R36" s="173"/>
      <c r="S36" s="173"/>
      <c r="T36" s="173"/>
      <c r="U36" s="173"/>
      <c r="V36" s="315"/>
      <c r="W36" s="173"/>
      <c r="X36" s="173"/>
      <c r="Y36" s="173"/>
      <c r="Z36" s="173"/>
      <c r="AA36" s="315"/>
      <c r="AB36" s="173"/>
      <c r="AC36" s="173"/>
      <c r="AD36" s="173"/>
      <c r="AE36" s="173"/>
      <c r="AF36" s="315"/>
      <c r="AG36" s="173"/>
      <c r="AH36" s="173"/>
      <c r="AI36" s="173"/>
      <c r="AJ36" s="173"/>
      <c r="AK36" s="315"/>
      <c r="AL36" s="173"/>
      <c r="AM36" s="173"/>
      <c r="AN36" s="173"/>
      <c r="AO36" s="173"/>
      <c r="AP36" s="315"/>
      <c r="AQ36" s="110"/>
      <c r="AR36" s="110"/>
      <c r="AS36" s="110"/>
      <c r="AT36" s="110"/>
      <c r="AU36" s="566"/>
      <c r="AV36" s="572"/>
      <c r="AW36" s="572"/>
      <c r="AX36" s="572"/>
      <c r="AY36" s="572"/>
      <c r="AZ36" s="566"/>
      <c r="BA36" s="567"/>
      <c r="BB36" s="567"/>
      <c r="BC36" s="567"/>
      <c r="BD36" s="48"/>
      <c r="BE36" s="188"/>
      <c r="BF36" s="48"/>
      <c r="BG36" s="48"/>
      <c r="BH36" s="48"/>
      <c r="BI36" s="48"/>
      <c r="BJ36" s="188"/>
      <c r="BK36" s="48"/>
      <c r="BL36" s="48"/>
      <c r="BM36" s="48"/>
      <c r="BN36" s="48"/>
      <c r="BO36" s="188"/>
      <c r="BP36" s="48"/>
      <c r="BQ36" s="48"/>
      <c r="BR36" s="48"/>
      <c r="BS36" s="48"/>
      <c r="BT36" s="188"/>
      <c r="BU36" s="808"/>
      <c r="BV36" s="808"/>
      <c r="BW36" s="808"/>
      <c r="BX36" s="808"/>
      <c r="BY36" s="807">
        <f>AVERAGE(BY38,BT38)</f>
        <v>9.1748489235168977E-3</v>
      </c>
      <c r="BZ36" s="809">
        <f>+AVERAGE(BZ38,BU38)</f>
        <v>0.02</v>
      </c>
      <c r="CA36" s="810">
        <f>+AVERAGE(CA38,BV38)</f>
        <v>2.5000000000000001E-2</v>
      </c>
      <c r="CB36" s="809">
        <f>+AVERAGE(CB38,BW38)</f>
        <v>3.0000000000000002E-2</v>
      </c>
      <c r="CC36" s="809">
        <f>+AVERAGE(CC38,BX38)</f>
        <v>9.5000000000000001E-2</v>
      </c>
      <c r="CD36" s="807">
        <f>AVERAGE(CD38,BY38)</f>
        <v>4.2211800616405878E-2</v>
      </c>
      <c r="CE36" s="809">
        <f t="shared" ref="CE36:CH37" si="69">+AVERAGE(CE38,BZ38)</f>
        <v>0.09</v>
      </c>
      <c r="CF36" s="810">
        <f t="shared" si="69"/>
        <v>6.0000000000000005E-2</v>
      </c>
      <c r="CG36" s="809">
        <f t="shared" si="69"/>
        <v>0.09</v>
      </c>
      <c r="CH36" s="809">
        <f t="shared" si="69"/>
        <v>0.08</v>
      </c>
      <c r="CI36" s="807">
        <f>AVERAGE(CI38,CD38)</f>
        <v>8.0058426007487332E-2</v>
      </c>
      <c r="CJ36" s="809">
        <f t="shared" ref="CJ36:CM37" si="70">+AVERAGE(CJ38,CE38)</f>
        <v>9.5000000000000001E-2</v>
      </c>
      <c r="CK36" s="810">
        <f t="shared" si="70"/>
        <v>7.0000000000000007E-2</v>
      </c>
      <c r="CL36" s="809">
        <f t="shared" si="70"/>
        <v>7.2500000000000009E-2</v>
      </c>
      <c r="CM36" s="809">
        <f t="shared" si="70"/>
        <v>3.7749999999999999E-2</v>
      </c>
      <c r="CN36" s="807">
        <f>AVERAGE(CN38,CI38)</f>
        <v>6.8811715481171543E-2</v>
      </c>
      <c r="CO36" s="48"/>
      <c r="CP36" s="48"/>
      <c r="CQ36" s="48"/>
      <c r="CR36" s="48"/>
      <c r="CS36" s="188"/>
      <c r="CT36" s="48"/>
      <c r="CU36" s="48"/>
      <c r="CV36" s="48"/>
      <c r="CW36" s="48"/>
      <c r="CX36" s="188"/>
      <c r="CY36" s="48"/>
      <c r="CZ36" s="48"/>
      <c r="DA36" s="48"/>
      <c r="DB36" s="48"/>
      <c r="DC36" s="188"/>
      <c r="DD36" s="48"/>
      <c r="DE36" s="48"/>
      <c r="DF36" s="48"/>
      <c r="DG36" s="48"/>
      <c r="DH36" s="188"/>
    </row>
    <row r="37" spans="1:112" ht="12.75" hidden="1" customHeight="1" outlineLevel="1" x14ac:dyDescent="0.2">
      <c r="A37" s="161" t="s">
        <v>347</v>
      </c>
      <c r="B37" s="100"/>
      <c r="C37" s="158"/>
      <c r="D37" s="158"/>
      <c r="E37" s="158"/>
      <c r="F37" s="158"/>
      <c r="G37" s="269"/>
      <c r="H37" s="158"/>
      <c r="I37" s="158"/>
      <c r="J37" s="158"/>
      <c r="K37" s="158"/>
      <c r="L37" s="269"/>
      <c r="M37" s="158"/>
      <c r="N37" s="158"/>
      <c r="O37" s="158"/>
      <c r="P37" s="158"/>
      <c r="Q37" s="269"/>
      <c r="R37" s="158"/>
      <c r="S37" s="158"/>
      <c r="T37" s="158"/>
      <c r="U37" s="158"/>
      <c r="V37" s="269"/>
      <c r="W37" s="158"/>
      <c r="X37" s="158"/>
      <c r="Y37" s="158"/>
      <c r="Z37" s="158"/>
      <c r="AA37" s="186"/>
      <c r="AB37" s="158"/>
      <c r="AC37" s="158"/>
      <c r="AD37" s="158"/>
      <c r="AE37" s="158"/>
      <c r="AF37" s="186"/>
      <c r="AG37" s="158"/>
      <c r="AH37" s="158"/>
      <c r="AI37" s="158"/>
      <c r="AJ37" s="158"/>
      <c r="AK37" s="186"/>
      <c r="AL37" s="158"/>
      <c r="AM37" s="158"/>
      <c r="AN37" s="158"/>
      <c r="AO37" s="158"/>
      <c r="AP37" s="186"/>
      <c r="AQ37" s="110"/>
      <c r="AR37" s="110"/>
      <c r="AS37" s="110"/>
      <c r="AT37" s="110"/>
      <c r="AU37" s="566"/>
      <c r="AV37" s="572"/>
      <c r="AW37" s="572"/>
      <c r="AX37" s="572"/>
      <c r="AY37" s="572"/>
      <c r="AZ37" s="566"/>
      <c r="BA37" s="567"/>
      <c r="BB37" s="567"/>
      <c r="BC37" s="567"/>
      <c r="BD37" s="48"/>
      <c r="BE37" s="186"/>
      <c r="BF37" s="172"/>
      <c r="BG37" s="172"/>
      <c r="BH37" s="172"/>
      <c r="BI37" s="172"/>
      <c r="BJ37" s="632"/>
      <c r="BK37" s="172"/>
      <c r="BL37" s="172"/>
      <c r="BM37" s="172"/>
      <c r="BN37" s="172"/>
      <c r="BO37" s="632"/>
      <c r="BP37" s="154"/>
      <c r="BQ37" s="154"/>
      <c r="BR37" s="158"/>
      <c r="BS37" s="158"/>
      <c r="BT37" s="186"/>
      <c r="BU37" s="809">
        <f>+AVERAGE(BU38,BP38)</f>
        <v>-5.0000000000000001E-3</v>
      </c>
      <c r="BV37" s="809">
        <f>+AVERAGE(BV38,BQ38)</f>
        <v>0.03</v>
      </c>
      <c r="BW37" s="809">
        <f>+AVERAGE(BW38,BR38)</f>
        <v>-0.02</v>
      </c>
      <c r="BX37" s="809">
        <f>+AVERAGE(BX38,BS38)</f>
        <v>3.5000000000000003E-2</v>
      </c>
      <c r="BY37" s="807">
        <f>AVERAGE(BY39,BT39)</f>
        <v>2.3756808547190211E-3</v>
      </c>
      <c r="BZ37" s="809">
        <f>+AVERAGE(BZ38,BU38)</f>
        <v>0.02</v>
      </c>
      <c r="CA37" s="809">
        <f>+AVERAGE(CA38,BV38)</f>
        <v>2.5000000000000001E-2</v>
      </c>
      <c r="CB37" s="809">
        <f>+AVERAGE(CB38,BW38)</f>
        <v>3.0000000000000002E-2</v>
      </c>
      <c r="CC37" s="809">
        <f>+AVERAGE(CC38,BX38)</f>
        <v>9.5000000000000001E-2</v>
      </c>
      <c r="CD37" s="807">
        <f ca="1">AVERAGE(CD39,BY39)</f>
        <v>-4.5754800853484712E-3</v>
      </c>
      <c r="CE37" s="809">
        <f t="shared" si="69"/>
        <v>-2.4053255704439426E-2</v>
      </c>
      <c r="CF37" s="810">
        <f t="shared" si="69"/>
        <v>-3.568521482873916E-2</v>
      </c>
      <c r="CG37" s="809">
        <f t="shared" si="69"/>
        <v>-2.9573298301951025E-2</v>
      </c>
      <c r="CH37" s="809">
        <f t="shared" ca="1" si="69"/>
        <v>-4.0764684071626409E-2</v>
      </c>
      <c r="CI37" s="807">
        <f ca="1">AVERAGE(CI39,CD39)</f>
        <v>-3.2400054136386996E-2</v>
      </c>
      <c r="CJ37" s="809">
        <f t="shared" si="70"/>
        <v>-2.9368420259384055E-2</v>
      </c>
      <c r="CK37" s="810">
        <f t="shared" si="70"/>
        <v>-4.3672602912290644E-2</v>
      </c>
      <c r="CL37" s="809">
        <f t="shared" si="70"/>
        <v>-2.5591397849462353E-2</v>
      </c>
      <c r="CM37" s="809">
        <f t="shared" si="70"/>
        <v>-3.7865535828289715E-3</v>
      </c>
      <c r="CN37" s="807">
        <f>AVERAGE(CN39,CI39)</f>
        <v>-2.5276150627615068E-2</v>
      </c>
      <c r="CO37" s="154"/>
      <c r="CP37" s="154"/>
      <c r="CQ37" s="158"/>
      <c r="CR37" s="158"/>
      <c r="CS37" s="186"/>
      <c r="CT37" s="154"/>
      <c r="CU37" s="154"/>
      <c r="CV37" s="158"/>
      <c r="CW37" s="158"/>
      <c r="CX37" s="186"/>
      <c r="CY37" s="154"/>
      <c r="CZ37" s="154"/>
      <c r="DA37" s="158"/>
      <c r="DB37" s="158"/>
      <c r="DC37" s="186"/>
      <c r="DD37" s="154"/>
      <c r="DE37" s="154"/>
      <c r="DF37" s="158"/>
      <c r="DG37" s="158"/>
      <c r="DH37" s="186"/>
    </row>
    <row r="38" spans="1:112" hidden="1" outlineLevel="1" x14ac:dyDescent="0.2">
      <c r="A38" s="162" t="s">
        <v>90</v>
      </c>
      <c r="B38" s="60" t="s">
        <v>221</v>
      </c>
      <c r="C38" s="60" t="s">
        <v>221</v>
      </c>
      <c r="D38" s="60" t="s">
        <v>221</v>
      </c>
      <c r="E38" s="60" t="s">
        <v>221</v>
      </c>
      <c r="F38" s="60" t="s">
        <v>221</v>
      </c>
      <c r="G38" s="267" t="s">
        <v>221</v>
      </c>
      <c r="H38" s="60" t="s">
        <v>221</v>
      </c>
      <c r="I38" s="60" t="s">
        <v>221</v>
      </c>
      <c r="J38" s="60" t="s">
        <v>221</v>
      </c>
      <c r="K38" s="60" t="s">
        <v>221</v>
      </c>
      <c r="L38" s="267" t="s">
        <v>221</v>
      </c>
      <c r="M38" s="60" t="s">
        <v>221</v>
      </c>
      <c r="N38" s="60" t="s">
        <v>221</v>
      </c>
      <c r="O38" s="60" t="s">
        <v>221</v>
      </c>
      <c r="P38" s="60" t="s">
        <v>221</v>
      </c>
      <c r="Q38" s="267" t="s">
        <v>221</v>
      </c>
      <c r="R38" s="60" t="s">
        <v>221</v>
      </c>
      <c r="S38" s="60" t="s">
        <v>221</v>
      </c>
      <c r="T38" s="60" t="s">
        <v>221</v>
      </c>
      <c r="U38" s="60" t="s">
        <v>221</v>
      </c>
      <c r="V38" s="267" t="s">
        <v>221</v>
      </c>
      <c r="W38" s="60" t="s">
        <v>221</v>
      </c>
      <c r="X38" s="60" t="s">
        <v>221</v>
      </c>
      <c r="Y38" s="60" t="s">
        <v>221</v>
      </c>
      <c r="Z38" s="60" t="s">
        <v>221</v>
      </c>
      <c r="AA38" s="267" t="s">
        <v>221</v>
      </c>
      <c r="AB38" s="60" t="s">
        <v>221</v>
      </c>
      <c r="AC38" s="60" t="s">
        <v>221</v>
      </c>
      <c r="AD38" s="60" t="s">
        <v>221</v>
      </c>
      <c r="AE38" s="60" t="s">
        <v>221</v>
      </c>
      <c r="AF38" s="267" t="s">
        <v>221</v>
      </c>
      <c r="AG38" s="60" t="s">
        <v>221</v>
      </c>
      <c r="AH38" s="60" t="s">
        <v>221</v>
      </c>
      <c r="AI38" s="60" t="s">
        <v>221</v>
      </c>
      <c r="AJ38" s="60" t="s">
        <v>221</v>
      </c>
      <c r="AK38" s="267" t="s">
        <v>221</v>
      </c>
      <c r="AL38" s="60" t="s">
        <v>221</v>
      </c>
      <c r="AM38" s="60" t="s">
        <v>221</v>
      </c>
      <c r="AN38" s="60" t="s">
        <v>221</v>
      </c>
      <c r="AO38" s="60" t="s">
        <v>221</v>
      </c>
      <c r="AP38" s="267">
        <v>0.02</v>
      </c>
      <c r="AQ38" s="110">
        <v>-0.03</v>
      </c>
      <c r="AR38" s="110">
        <v>-7.0000000000000007E-2</v>
      </c>
      <c r="AS38" s="110">
        <v>-0.06</v>
      </c>
      <c r="AT38" s="110">
        <v>-0.04</v>
      </c>
      <c r="AU38" s="276">
        <v>-0.05</v>
      </c>
      <c r="AV38" s="110">
        <v>0.04</v>
      </c>
      <c r="AW38" s="110">
        <v>0.08</v>
      </c>
      <c r="AX38" s="110">
        <v>0.01</v>
      </c>
      <c r="AY38" s="110">
        <v>0.01</v>
      </c>
      <c r="AZ38" s="276">
        <v>0.03</v>
      </c>
      <c r="BA38" s="110">
        <v>0.01</v>
      </c>
      <c r="BB38" s="110">
        <v>-0.06</v>
      </c>
      <c r="BC38" s="110">
        <v>0.04</v>
      </c>
      <c r="BD38" s="610">
        <v>0.04</v>
      </c>
      <c r="BE38" s="188">
        <f>SUMPRODUCT(BA38:BD38,AV5:AY5)/AZ5</f>
        <v>8.337438423645321E-3</v>
      </c>
      <c r="BF38" s="110">
        <v>-0.01</v>
      </c>
      <c r="BG38" s="47">
        <v>0</v>
      </c>
      <c r="BH38" s="47">
        <f>7%-BH40</f>
        <v>1.5533169533169536E-2</v>
      </c>
      <c r="BI38" s="47">
        <f>5%-BI40</f>
        <v>-4.3520782396088004E-3</v>
      </c>
      <c r="BJ38" s="188">
        <f>SUMPRODUCT(BF38:BI38,BA5:BD5)/BE5</f>
        <v>3.2118591723286831E-5</v>
      </c>
      <c r="BK38" s="110">
        <f>4%-BK40</f>
        <v>-4.5899772209567202E-3</v>
      </c>
      <c r="BL38" s="110">
        <f>13%-BL40</f>
        <v>8.0500000000000016E-2</v>
      </c>
      <c r="BM38" s="110">
        <v>0.01</v>
      </c>
      <c r="BN38" s="47">
        <v>-0.04</v>
      </c>
      <c r="BO38" s="188">
        <f>SUMPRODUCT(BK38:BN38,BF5:BI5)/BJ5</f>
        <v>8.7470449172576872E-3</v>
      </c>
      <c r="BP38" s="47">
        <v>0</v>
      </c>
      <c r="BQ38" s="47">
        <v>0.03</v>
      </c>
      <c r="BR38" s="47">
        <v>-0.05</v>
      </c>
      <c r="BS38" s="47">
        <v>0</v>
      </c>
      <c r="BT38" s="188">
        <f>SUMPRODUCT(BP38:BS38,BK5:BN5)/BO5</f>
        <v>-5.5804823331463841E-3</v>
      </c>
      <c r="BU38" s="670">
        <v>-0.01</v>
      </c>
      <c r="BV38" s="670">
        <v>0.03</v>
      </c>
      <c r="BW38" s="670">
        <v>0.01</v>
      </c>
      <c r="BX38" s="670">
        <v>7.0000000000000007E-2</v>
      </c>
      <c r="BY38" s="188">
        <f>SUMPRODUCT(BU38:BX38,BP5:BS5)/BT5</f>
        <v>2.3930180180180179E-2</v>
      </c>
      <c r="BZ38" s="670">
        <v>0.05</v>
      </c>
      <c r="CA38" s="670">
        <v>0.02</v>
      </c>
      <c r="CB38" s="670">
        <v>0.05</v>
      </c>
      <c r="CC38" s="670">
        <v>0.12</v>
      </c>
      <c r="CD38" s="188">
        <f>SUMPRODUCT(BZ38:CC38,BU5:BX5)/BY5</f>
        <v>6.0493421052631578E-2</v>
      </c>
      <c r="CE38" s="670">
        <v>0.13</v>
      </c>
      <c r="CF38" s="670">
        <v>0.1</v>
      </c>
      <c r="CG38" s="670">
        <v>0.13</v>
      </c>
      <c r="CH38" s="47">
        <v>0.04</v>
      </c>
      <c r="CI38" s="188">
        <f>SUMPRODUCT(CE38:CH38,BZ5:CC5)/CD5</f>
        <v>9.9623430962343093E-2</v>
      </c>
      <c r="CJ38" s="670">
        <f>0.05-CJ40</f>
        <v>6.0000000000000005E-2</v>
      </c>
      <c r="CK38" s="670">
        <f>0.02-CK40</f>
        <v>0.04</v>
      </c>
      <c r="CL38" s="145">
        <v>1.4999999999999999E-2</v>
      </c>
      <c r="CM38" s="47">
        <f>((CN38*CI5)-SUMPRODUCT(CE5:CG5,CJ38:CL38))/CH5</f>
        <v>3.5499999999999997E-2</v>
      </c>
      <c r="CN38" s="195">
        <v>3.7999999999999999E-2</v>
      </c>
      <c r="CO38" s="154">
        <v>0.01</v>
      </c>
      <c r="CP38" s="154">
        <f>CS38</f>
        <v>0.02</v>
      </c>
      <c r="CQ38" s="145">
        <v>0.05</v>
      </c>
      <c r="CR38" s="47">
        <f>((CS38*CN5)-SUMPRODUCT(CJ5:CL5,CO38:CQ38))/CM5</f>
        <v>1.7758641525321276E-3</v>
      </c>
      <c r="CS38" s="195">
        <v>0.02</v>
      </c>
      <c r="CT38" s="154">
        <f>CX38</f>
        <v>0.02</v>
      </c>
      <c r="CU38" s="154">
        <f>CX38</f>
        <v>0.02</v>
      </c>
      <c r="CV38" s="145">
        <f>CX38</f>
        <v>0.02</v>
      </c>
      <c r="CW38" s="47">
        <f>((CX38*CS5)-SUMPRODUCT(CO5:CQ5,CT38:CV38))/CR5</f>
        <v>2.0000000000000004E-2</v>
      </c>
      <c r="CX38" s="195">
        <f>CS38</f>
        <v>0.02</v>
      </c>
      <c r="CY38" s="154">
        <f>DC38</f>
        <v>0.02</v>
      </c>
      <c r="CZ38" s="154">
        <f>DC38</f>
        <v>0.02</v>
      </c>
      <c r="DA38" s="145">
        <f>DC38</f>
        <v>0.02</v>
      </c>
      <c r="DB38" s="47">
        <f>((DC38*CX5)-SUMPRODUCT(CT5:CV5,CY38:DA38))/CW5</f>
        <v>2.0000000000000004E-2</v>
      </c>
      <c r="DC38" s="195">
        <f>CX38</f>
        <v>0.02</v>
      </c>
      <c r="DD38" s="154">
        <f>DH38</f>
        <v>0.02</v>
      </c>
      <c r="DE38" s="154">
        <f>DH38</f>
        <v>0.02</v>
      </c>
      <c r="DF38" s="145">
        <f>DH38</f>
        <v>0.02</v>
      </c>
      <c r="DG38" s="47">
        <f>((DH38*DC5)-SUMPRODUCT(CY5:DA5,DD38:DF38))/DB5</f>
        <v>0.02</v>
      </c>
      <c r="DH38" s="195">
        <f>DC38</f>
        <v>0.02</v>
      </c>
    </row>
    <row r="39" spans="1:112" hidden="1" outlineLevel="1" x14ac:dyDescent="0.2">
      <c r="A39" s="162" t="s">
        <v>91</v>
      </c>
      <c r="B39" s="60" t="s">
        <v>221</v>
      </c>
      <c r="C39" s="60" t="s">
        <v>221</v>
      </c>
      <c r="D39" s="60" t="s">
        <v>221</v>
      </c>
      <c r="E39" s="60" t="s">
        <v>221</v>
      </c>
      <c r="F39" s="60" t="s">
        <v>221</v>
      </c>
      <c r="G39" s="267" t="s">
        <v>221</v>
      </c>
      <c r="H39" s="60" t="s">
        <v>221</v>
      </c>
      <c r="I39" s="60" t="s">
        <v>221</v>
      </c>
      <c r="J39" s="60" t="s">
        <v>221</v>
      </c>
      <c r="K39" s="60" t="s">
        <v>221</v>
      </c>
      <c r="L39" s="267" t="s">
        <v>221</v>
      </c>
      <c r="M39" s="60" t="s">
        <v>221</v>
      </c>
      <c r="N39" s="60" t="s">
        <v>221</v>
      </c>
      <c r="O39" s="60" t="s">
        <v>221</v>
      </c>
      <c r="P39" s="60" t="s">
        <v>221</v>
      </c>
      <c r="Q39" s="267" t="s">
        <v>221</v>
      </c>
      <c r="R39" s="60" t="s">
        <v>221</v>
      </c>
      <c r="S39" s="60" t="s">
        <v>221</v>
      </c>
      <c r="T39" s="60" t="s">
        <v>221</v>
      </c>
      <c r="U39" s="60" t="s">
        <v>221</v>
      </c>
      <c r="V39" s="267" t="s">
        <v>221</v>
      </c>
      <c r="W39" s="60" t="s">
        <v>221</v>
      </c>
      <c r="X39" s="60" t="s">
        <v>221</v>
      </c>
      <c r="Y39" s="60" t="s">
        <v>221</v>
      </c>
      <c r="Z39" s="60" t="s">
        <v>221</v>
      </c>
      <c r="AA39" s="267" t="s">
        <v>221</v>
      </c>
      <c r="AB39" s="60" t="s">
        <v>221</v>
      </c>
      <c r="AC39" s="60" t="s">
        <v>221</v>
      </c>
      <c r="AD39" s="60" t="s">
        <v>221</v>
      </c>
      <c r="AE39" s="60" t="s">
        <v>221</v>
      </c>
      <c r="AF39" s="267" t="s">
        <v>221</v>
      </c>
      <c r="AG39" s="60" t="s">
        <v>221</v>
      </c>
      <c r="AH39" s="60" t="s">
        <v>221</v>
      </c>
      <c r="AI39" s="60" t="s">
        <v>221</v>
      </c>
      <c r="AJ39" s="60" t="s">
        <v>221</v>
      </c>
      <c r="AK39" s="267" t="s">
        <v>221</v>
      </c>
      <c r="AL39" s="60" t="s">
        <v>221</v>
      </c>
      <c r="AM39" s="60" t="s">
        <v>221</v>
      </c>
      <c r="AN39" s="60" t="s">
        <v>221</v>
      </c>
      <c r="AO39" s="60" t="s">
        <v>221</v>
      </c>
      <c r="AP39" s="267">
        <f>0.5%-0.5%</f>
        <v>0</v>
      </c>
      <c r="AQ39" s="110">
        <f>AQ41-AQ40-AQ38</f>
        <v>6.8379530916844428E-2</v>
      </c>
      <c r="AR39" s="110">
        <f>AR41-AR40-AR38</f>
        <v>6.2788461538461571E-2</v>
      </c>
      <c r="AS39" s="110">
        <f>AS41-AS40-AS38</f>
        <v>6.8565310492505416E-2</v>
      </c>
      <c r="AT39" s="110">
        <f>AT41-AT40-AT38</f>
        <v>0.04</v>
      </c>
      <c r="AU39" s="276">
        <f>4%+2%</f>
        <v>0.06</v>
      </c>
      <c r="AV39" s="110">
        <f t="shared" ref="AV39:BI39" si="71">AV41-AV40-AV38</f>
        <v>-7.1457905544147285E-3</v>
      </c>
      <c r="AW39" s="110">
        <f t="shared" si="71"/>
        <v>-5.3365617433414045E-2</v>
      </c>
      <c r="AX39" s="110">
        <f t="shared" si="71"/>
        <v>-5.2462845010615676E-2</v>
      </c>
      <c r="AY39" s="110">
        <f t="shared" si="71"/>
        <v>-2.0752688172043003E-2</v>
      </c>
      <c r="AZ39" s="276">
        <f t="shared" si="71"/>
        <v>-2.8910675381263615E-2</v>
      </c>
      <c r="BA39" s="110">
        <f t="shared" si="71"/>
        <v>-2.1013215859030814E-2</v>
      </c>
      <c r="BB39" s="110">
        <f t="shared" si="71"/>
        <v>-3.4920634920634908E-3</v>
      </c>
      <c r="BC39" s="110">
        <f t="shared" si="71"/>
        <v>-1.4811083123425793E-2</v>
      </c>
      <c r="BD39" s="110">
        <f t="shared" si="71"/>
        <v>-4.5569620253164897E-3</v>
      </c>
      <c r="BE39" s="188">
        <f>SUMPRODUCT(BA39:BD39,AV5:AY5)/AZ5</f>
        <v>-1.1416256157635496E-2</v>
      </c>
      <c r="BF39" s="110">
        <f t="shared" si="71"/>
        <v>-1.2271714922049046E-2</v>
      </c>
      <c r="BG39" s="110">
        <f t="shared" si="71"/>
        <v>4.5197740112994378E-2</v>
      </c>
      <c r="BH39" s="110">
        <f t="shared" si="71"/>
        <v>2.8280098280098198E-2</v>
      </c>
      <c r="BI39" s="47">
        <f t="shared" si="71"/>
        <v>1.6014669926650391E-2</v>
      </c>
      <c r="BJ39" s="188">
        <f>SUMPRODUCT(BF39:BI39,BA5:BD5)/BE5</f>
        <v>1.7634342186534875E-2</v>
      </c>
      <c r="BK39" s="110">
        <f>BK41-BK40-BK38</f>
        <v>3.5170842824601402E-2</v>
      </c>
      <c r="BL39" s="110">
        <f>BL41-BL40-BL38</f>
        <v>1.864864864864868E-2</v>
      </c>
      <c r="BM39" s="110">
        <f>BM41-BM40-BM38</f>
        <v>5.6599552572707077E-3</v>
      </c>
      <c r="BN39" s="47">
        <f>BN41-BN40-BN38</f>
        <v>3.0825688073394551E-2</v>
      </c>
      <c r="BO39" s="188">
        <f>SUMPRODUCT(BK39:BN39,BF5:BI5)/BJ5</f>
        <v>2.2641843971631239E-2</v>
      </c>
      <c r="BP39" s="47">
        <f>BP41-BP40-BP38</f>
        <v>1.4830508474576343E-2</v>
      </c>
      <c r="BQ39" s="47">
        <f>BQ41-BQ40-BQ38</f>
        <v>-1.3529411764705984E-2</v>
      </c>
      <c r="BR39" s="47">
        <f>BR41-BR40-BR38</f>
        <v>1.2555066079295199E-2</v>
      </c>
      <c r="BS39" s="47">
        <f>BS41-BS40-BS38</f>
        <v>-9.2592592592593004E-3</v>
      </c>
      <c r="BT39" s="188">
        <f>SUMPRODUCT(BP39:BS39,BK5:BN5)/BO5</f>
        <v>1.6545148625911347E-3</v>
      </c>
      <c r="BU39" s="671">
        <f>BU41-BU40-BU38</f>
        <v>-8.7891440501043448E-3</v>
      </c>
      <c r="BV39" s="671">
        <f>BV41-BV40-BV38</f>
        <v>4.722222222222322E-3</v>
      </c>
      <c r="BW39" s="671">
        <f>BW41-BW40-BW38</f>
        <v>1.4416475972540786E-3</v>
      </c>
      <c r="BX39" s="671">
        <f>BX41-BX40-BX38</f>
        <v>1.6448598130841152E-2</v>
      </c>
      <c r="BY39" s="188">
        <f>SUMPRODUCT(BU39:BX39,BP5:BS5)/BT5</f>
        <v>3.0968468468469072E-3</v>
      </c>
      <c r="BZ39" s="671">
        <f>BZ41-BZ40-BZ38</f>
        <v>7.4468085106383225E-3</v>
      </c>
      <c r="CA39" s="671">
        <f>CA41-CA40-CA38</f>
        <v>2.3713646532437412E-3</v>
      </c>
      <c r="CB39" s="671">
        <f>CB41-CB40-CB38</f>
        <v>2.0361990950226588E-3</v>
      </c>
      <c r="CC39" s="671">
        <f ca="1">CC41-CC40-CC38</f>
        <v>-5.9784946236559056E-2</v>
      </c>
      <c r="CD39" s="188">
        <f ca="1">SUMPRODUCT(BZ39:CC39,BU5:BX5)/BY5</f>
        <v>-1.2247807017543849E-2</v>
      </c>
      <c r="CE39" s="671">
        <f>CE41-CE40-CE38</f>
        <v>-5.5553319919517175E-2</v>
      </c>
      <c r="CF39" s="671">
        <f>CF41-CF40-CF38</f>
        <v>-7.3741794310722059E-2</v>
      </c>
      <c r="CG39" s="671">
        <f>CG41-CG40-CG38</f>
        <v>-6.1182795698924708E-2</v>
      </c>
      <c r="CH39" s="671">
        <f>CH41-CH40-CH38</f>
        <v>-2.1744421906693755E-2</v>
      </c>
      <c r="CI39" s="188">
        <f>SUMPRODUCT(CE39:CH39,BZ5:CC5)/CD5</f>
        <v>-5.2552301255230138E-2</v>
      </c>
      <c r="CJ39" s="671">
        <f>CJ41-CJ40-CJ38</f>
        <v>-3.1835205992509358E-3</v>
      </c>
      <c r="CK39" s="671">
        <f>CK41-CK40-CK38</f>
        <v>-1.3603411513859225E-2</v>
      </c>
      <c r="CL39" s="145">
        <v>0.01</v>
      </c>
      <c r="CM39" s="47">
        <f>((CN39*CI5)-SUMPRODUCT(CE5:CG5,CJ39:CL39))/CH5</f>
        <v>1.4171314741035812E-2</v>
      </c>
      <c r="CN39" s="195">
        <v>2E-3</v>
      </c>
      <c r="CO39" s="154">
        <v>0.01</v>
      </c>
      <c r="CP39" s="154">
        <v>0.01</v>
      </c>
      <c r="CQ39" s="145">
        <v>0</v>
      </c>
      <c r="CR39" s="47">
        <f>((CS39*CN5)-SUMPRODUCT(CJ5:CL5,CO39:CQ39))/CM5</f>
        <v>-1.945244675915968E-4</v>
      </c>
      <c r="CS39" s="195">
        <v>5.0000000000000001E-3</v>
      </c>
      <c r="CT39" s="154">
        <f>CX39</f>
        <v>0</v>
      </c>
      <c r="CU39" s="154">
        <f>CX39</f>
        <v>0</v>
      </c>
      <c r="CV39" s="145">
        <f>CX39</f>
        <v>0</v>
      </c>
      <c r="CW39" s="47">
        <f>((CX39*CS5)-SUMPRODUCT(CO5:CQ5,CT39:CV39))/CR5</f>
        <v>0</v>
      </c>
      <c r="CX39" s="195">
        <v>0</v>
      </c>
      <c r="CY39" s="154">
        <f>DC39</f>
        <v>0</v>
      </c>
      <c r="CZ39" s="154">
        <f>DC39</f>
        <v>0</v>
      </c>
      <c r="DA39" s="145">
        <f>DC39</f>
        <v>0</v>
      </c>
      <c r="DB39" s="47">
        <f>((DC39*CX5)-SUMPRODUCT(CT5:CV5,CY39:DA39))/CW5</f>
        <v>0</v>
      </c>
      <c r="DC39" s="195">
        <f>CX39</f>
        <v>0</v>
      </c>
      <c r="DD39" s="154">
        <f>DH39</f>
        <v>0</v>
      </c>
      <c r="DE39" s="154">
        <f>DH39</f>
        <v>0</v>
      </c>
      <c r="DF39" s="145">
        <f>DH39</f>
        <v>0</v>
      </c>
      <c r="DG39" s="47">
        <f>((DH39*DC5)-SUMPRODUCT(CY5:DA5,DD39:DF39))/DB5</f>
        <v>0</v>
      </c>
      <c r="DH39" s="195">
        <f>DC39</f>
        <v>0</v>
      </c>
    </row>
    <row r="40" spans="1:112" hidden="1" outlineLevel="1" x14ac:dyDescent="0.2">
      <c r="A40" s="162" t="s">
        <v>211</v>
      </c>
      <c r="B40" s="60" t="s">
        <v>221</v>
      </c>
      <c r="C40" s="60" t="s">
        <v>221</v>
      </c>
      <c r="D40" s="60" t="s">
        <v>221</v>
      </c>
      <c r="E40" s="60" t="s">
        <v>221</v>
      </c>
      <c r="F40" s="60" t="s">
        <v>221</v>
      </c>
      <c r="G40" s="267" t="s">
        <v>221</v>
      </c>
      <c r="H40" s="60" t="s">
        <v>221</v>
      </c>
      <c r="I40" s="60" t="s">
        <v>221</v>
      </c>
      <c r="J40" s="60" t="s">
        <v>221</v>
      </c>
      <c r="K40" s="60" t="s">
        <v>221</v>
      </c>
      <c r="L40" s="267" t="s">
        <v>221</v>
      </c>
      <c r="M40" s="60" t="s">
        <v>221</v>
      </c>
      <c r="N40" s="60" t="s">
        <v>221</v>
      </c>
      <c r="O40" s="60" t="s">
        <v>221</v>
      </c>
      <c r="P40" s="60" t="s">
        <v>221</v>
      </c>
      <c r="Q40" s="267" t="s">
        <v>221</v>
      </c>
      <c r="R40" s="60" t="s">
        <v>221</v>
      </c>
      <c r="S40" s="60" t="s">
        <v>221</v>
      </c>
      <c r="T40" s="60" t="s">
        <v>221</v>
      </c>
      <c r="U40" s="60" t="s">
        <v>221</v>
      </c>
      <c r="V40" s="267" t="s">
        <v>221</v>
      </c>
      <c r="W40" s="60" t="s">
        <v>221</v>
      </c>
      <c r="X40" s="60" t="s">
        <v>221</v>
      </c>
      <c r="Y40" s="60" t="s">
        <v>221</v>
      </c>
      <c r="Z40" s="60" t="s">
        <v>221</v>
      </c>
      <c r="AA40" s="267" t="s">
        <v>221</v>
      </c>
      <c r="AB40" s="60" t="s">
        <v>221</v>
      </c>
      <c r="AC40" s="60" t="s">
        <v>221</v>
      </c>
      <c r="AD40" s="60" t="s">
        <v>221</v>
      </c>
      <c r="AE40" s="60" t="s">
        <v>221</v>
      </c>
      <c r="AF40" s="267" t="s">
        <v>221</v>
      </c>
      <c r="AG40" s="60" t="s">
        <v>221</v>
      </c>
      <c r="AH40" s="60" t="s">
        <v>221</v>
      </c>
      <c r="AI40" s="60" t="s">
        <v>221</v>
      </c>
      <c r="AJ40" s="60" t="s">
        <v>221</v>
      </c>
      <c r="AK40" s="267" t="s">
        <v>221</v>
      </c>
      <c r="AL40" s="60" t="s">
        <v>221</v>
      </c>
      <c r="AM40" s="60" t="s">
        <v>221</v>
      </c>
      <c r="AN40" s="60" t="s">
        <v>221</v>
      </c>
      <c r="AO40" s="60" t="s">
        <v>221</v>
      </c>
      <c r="AP40" s="267">
        <v>0</v>
      </c>
      <c r="AQ40" s="110">
        <v>0</v>
      </c>
      <c r="AR40" s="110">
        <v>0</v>
      </c>
      <c r="AS40" s="110">
        <v>0</v>
      </c>
      <c r="AT40" s="110">
        <v>0</v>
      </c>
      <c r="AU40" s="276">
        <v>0</v>
      </c>
      <c r="AV40" s="110">
        <f>(454-503)/AQ5</f>
        <v>-0.10061601642710473</v>
      </c>
      <c r="AW40" s="110">
        <f>(378-424)/AR5</f>
        <v>-0.11138014527845036</v>
      </c>
      <c r="AX40" s="110">
        <f>(397-451)/AS5</f>
        <v>-0.11464968152866242</v>
      </c>
      <c r="AY40" s="110">
        <f>(395-460)/AT5</f>
        <v>-0.13978494623655913</v>
      </c>
      <c r="AZ40" s="276">
        <f>(1624-1838)/AU5</f>
        <v>-0.11655773420479303</v>
      </c>
      <c r="BA40" s="110">
        <v>0</v>
      </c>
      <c r="BB40" s="110">
        <v>0</v>
      </c>
      <c r="BC40" s="110">
        <v>0</v>
      </c>
      <c r="BD40" s="110">
        <v>0</v>
      </c>
      <c r="BE40" s="276">
        <f>SUMPRODUCT(BA40:BD40,AV5:AY5)/AZ5</f>
        <v>0</v>
      </c>
      <c r="BF40" s="110">
        <v>0</v>
      </c>
      <c r="BG40" s="110">
        <v>0</v>
      </c>
      <c r="BH40" s="47">
        <f>+BH31*BC9/BC5</f>
        <v>5.4466830466830471E-2</v>
      </c>
      <c r="BI40" s="47">
        <f>+BI31*BD9/BD5</f>
        <v>5.4352078239608803E-2</v>
      </c>
      <c r="BJ40" s="276">
        <f>SUMPRODUCT(BF40:BI40,BA5:BD5)/BE5</f>
        <v>2.7423100679431749E-2</v>
      </c>
      <c r="BK40" s="110">
        <f>+BK31*BF9/BF5</f>
        <v>4.4589977220956721E-2</v>
      </c>
      <c r="BL40" s="110">
        <f>+BL31*BG9/BG5</f>
        <v>4.9499999999999995E-2</v>
      </c>
      <c r="BM40" s="110">
        <v>0</v>
      </c>
      <c r="BN40" s="47">
        <f>+BN31*BI9/BI5</f>
        <v>0</v>
      </c>
      <c r="BO40" s="276">
        <f>SUMPRODUCT(BK40:BN40,BF5:BI5)/BJ5</f>
        <v>2.2393617021276596E-2</v>
      </c>
      <c r="BP40" s="47">
        <f>+BP31*BK9/BK5</f>
        <v>0</v>
      </c>
      <c r="BQ40" s="47">
        <f>+BQ31*BL9/BL5</f>
        <v>0</v>
      </c>
      <c r="BR40" s="47">
        <f>+BR31*BM9/BM5</f>
        <v>0</v>
      </c>
      <c r="BS40" s="47">
        <f>+BS31*BN9/BN5</f>
        <v>0</v>
      </c>
      <c r="BT40" s="276">
        <f>SUMPRODUCT(BP40:BS40,BK5:BN5)/BO5</f>
        <v>0</v>
      </c>
      <c r="BU40" s="47">
        <f>+BU31*BP9/BP5</f>
        <v>0</v>
      </c>
      <c r="BV40" s="47">
        <f>+BV31*BQ9/BQ5</f>
        <v>0</v>
      </c>
      <c r="BW40" s="47">
        <f>+BW31*BR9/BR5</f>
        <v>0</v>
      </c>
      <c r="BX40" s="47">
        <f>+BX31*BS9/BS5</f>
        <v>0</v>
      </c>
      <c r="BY40" s="276">
        <f>SUMPRODUCT(BU40:BX40,BP5:BS5)/BT5</f>
        <v>0</v>
      </c>
      <c r="BZ40" s="47">
        <f>+BZ31*BU9/BU5</f>
        <v>0</v>
      </c>
      <c r="CA40" s="47">
        <f>+CA31*BV9/BV5</f>
        <v>0</v>
      </c>
      <c r="CB40" s="47">
        <f>+CB31*BW9/BW5</f>
        <v>0</v>
      </c>
      <c r="CC40" s="47">
        <f ca="1">((CD40*BY5)-SUMPRODUCT(BU5:BW5,BZ40:CB40))/BX5</f>
        <v>0</v>
      </c>
      <c r="CD40" s="276">
        <f ca="1">SUMPRODUCT(BZ40:CC40,BU5:BX5)/BY5</f>
        <v>0</v>
      </c>
      <c r="CE40" s="806">
        <v>0</v>
      </c>
      <c r="CF40" s="670">
        <v>0</v>
      </c>
      <c r="CG40" s="670">
        <v>0</v>
      </c>
      <c r="CH40" s="47">
        <v>0</v>
      </c>
      <c r="CI40" s="188">
        <f>SUMPRODUCT(CE40:CH40,BZ5:CC5)/CD5</f>
        <v>0</v>
      </c>
      <c r="CJ40" s="671">
        <v>-0.01</v>
      </c>
      <c r="CK40" s="671">
        <v>-0.02</v>
      </c>
      <c r="CL40" s="145">
        <v>-2.3E-2</v>
      </c>
      <c r="CM40" s="47">
        <f>((CN40*CI5)-SUMPRODUCT(CE5:CG5,CJ40:CL40))/CH5</f>
        <v>-2.7667330677290835E-2</v>
      </c>
      <c r="CN40" s="195">
        <v>-0.02</v>
      </c>
      <c r="CO40" s="154">
        <f>CS40</f>
        <v>0</v>
      </c>
      <c r="CP40" s="154">
        <f>CS40</f>
        <v>0</v>
      </c>
      <c r="CQ40" s="145">
        <f>CS40</f>
        <v>0</v>
      </c>
      <c r="CR40" s="47">
        <f>((CS40*CN5)-SUMPRODUCT(CJ5:CL5,CO40:CQ40))/CM5</f>
        <v>0</v>
      </c>
      <c r="CS40" s="195">
        <v>0</v>
      </c>
      <c r="CT40" s="154">
        <f>CX40</f>
        <v>0</v>
      </c>
      <c r="CU40" s="154">
        <f>CX40</f>
        <v>0</v>
      </c>
      <c r="CV40" s="145">
        <f>CX40</f>
        <v>0</v>
      </c>
      <c r="CW40" s="47">
        <f>((CX40*CS5)-SUMPRODUCT(CO5:CQ5,CT40:CV40))/CR5</f>
        <v>0</v>
      </c>
      <c r="CX40" s="195">
        <v>0</v>
      </c>
      <c r="CY40" s="154">
        <f>DC40</f>
        <v>0</v>
      </c>
      <c r="CZ40" s="154">
        <f>DC40</f>
        <v>0</v>
      </c>
      <c r="DA40" s="145">
        <f>DC40</f>
        <v>0</v>
      </c>
      <c r="DB40" s="47">
        <f>((DC40*CX5)-SUMPRODUCT(CT5:CV5,CY40:DA40))/CW5</f>
        <v>0</v>
      </c>
      <c r="DC40" s="195">
        <v>0</v>
      </c>
      <c r="DD40" s="154">
        <f>DH40</f>
        <v>0</v>
      </c>
      <c r="DE40" s="154">
        <f>DH40</f>
        <v>0</v>
      </c>
      <c r="DF40" s="145">
        <f>DH40</f>
        <v>0</v>
      </c>
      <c r="DG40" s="47">
        <f>((DH40*DC5)-SUMPRODUCT(CY5:DA5,DD40:DF40))/DB5</f>
        <v>0</v>
      </c>
      <c r="DH40" s="195">
        <v>0</v>
      </c>
    </row>
    <row r="41" spans="1:112" hidden="1" outlineLevel="1" x14ac:dyDescent="0.2">
      <c r="A41" s="169" t="s">
        <v>212</v>
      </c>
      <c r="B41" s="215" t="s">
        <v>221</v>
      </c>
      <c r="C41" s="215" t="s">
        <v>221</v>
      </c>
      <c r="D41" s="215" t="s">
        <v>221</v>
      </c>
      <c r="E41" s="215" t="s">
        <v>221</v>
      </c>
      <c r="F41" s="215" t="s">
        <v>221</v>
      </c>
      <c r="G41" s="268" t="s">
        <v>221</v>
      </c>
      <c r="H41" s="215" t="s">
        <v>221</v>
      </c>
      <c r="I41" s="215" t="s">
        <v>221</v>
      </c>
      <c r="J41" s="215" t="s">
        <v>221</v>
      </c>
      <c r="K41" s="215" t="s">
        <v>221</v>
      </c>
      <c r="L41" s="268" t="s">
        <v>221</v>
      </c>
      <c r="M41" s="215" t="s">
        <v>221</v>
      </c>
      <c r="N41" s="215" t="s">
        <v>221</v>
      </c>
      <c r="O41" s="215" t="s">
        <v>221</v>
      </c>
      <c r="P41" s="215" t="s">
        <v>221</v>
      </c>
      <c r="Q41" s="268" t="s">
        <v>221</v>
      </c>
      <c r="R41" s="215" t="s">
        <v>221</v>
      </c>
      <c r="S41" s="215" t="s">
        <v>221</v>
      </c>
      <c r="T41" s="215" t="s">
        <v>221</v>
      </c>
      <c r="U41" s="215" t="s">
        <v>221</v>
      </c>
      <c r="V41" s="268" t="s">
        <v>221</v>
      </c>
      <c r="W41" s="215" t="s">
        <v>221</v>
      </c>
      <c r="X41" s="215" t="s">
        <v>221</v>
      </c>
      <c r="Y41" s="215" t="s">
        <v>221</v>
      </c>
      <c r="Z41" s="215" t="s">
        <v>221</v>
      </c>
      <c r="AA41" s="268" t="s">
        <v>221</v>
      </c>
      <c r="AB41" s="215" t="s">
        <v>221</v>
      </c>
      <c r="AC41" s="215" t="s">
        <v>221</v>
      </c>
      <c r="AD41" s="215" t="s">
        <v>221</v>
      </c>
      <c r="AE41" s="215" t="s">
        <v>221</v>
      </c>
      <c r="AF41" s="268" t="s">
        <v>221</v>
      </c>
      <c r="AG41" s="215" t="s">
        <v>221</v>
      </c>
      <c r="AH41" s="215" t="s">
        <v>221</v>
      </c>
      <c r="AI41" s="215" t="s">
        <v>221</v>
      </c>
      <c r="AJ41" s="215" t="s">
        <v>221</v>
      </c>
      <c r="AK41" s="268" t="s">
        <v>221</v>
      </c>
      <c r="AL41" s="215">
        <f t="shared" ref="AL41:AT41" si="72">AL5/AG5-1</f>
        <v>1.5151515151515138E-2</v>
      </c>
      <c r="AM41" s="215">
        <f t="shared" si="72"/>
        <v>2.9702970297029729E-2</v>
      </c>
      <c r="AN41" s="215">
        <f t="shared" si="72"/>
        <v>-2.1367521367521292E-3</v>
      </c>
      <c r="AO41" s="215">
        <f t="shared" si="72"/>
        <v>4.0268456375838868E-2</v>
      </c>
      <c r="AP41" s="279">
        <f t="shared" si="72"/>
        <v>2.0213363279056651E-2</v>
      </c>
      <c r="AQ41" s="113">
        <f t="shared" si="72"/>
        <v>3.8379530916844429E-2</v>
      </c>
      <c r="AR41" s="113">
        <f t="shared" si="72"/>
        <v>-7.2115384615384359E-3</v>
      </c>
      <c r="AS41" s="113">
        <f t="shared" si="72"/>
        <v>8.565310492505418E-3</v>
      </c>
      <c r="AT41" s="113">
        <f t="shared" si="72"/>
        <v>0</v>
      </c>
      <c r="AU41" s="279">
        <f t="shared" ref="AU41:BG41" si="73">AU5/AP5-1</f>
        <v>1.0456796917996725E-2</v>
      </c>
      <c r="AV41" s="113">
        <f t="shared" si="73"/>
        <v>-6.7761806981519457E-2</v>
      </c>
      <c r="AW41" s="113">
        <f t="shared" si="73"/>
        <v>-8.4745762711864403E-2</v>
      </c>
      <c r="AX41" s="113">
        <f t="shared" si="73"/>
        <v>-0.1571125265392781</v>
      </c>
      <c r="AY41" s="113">
        <f t="shared" si="73"/>
        <v>-0.15053763440860213</v>
      </c>
      <c r="AZ41" s="279">
        <f t="shared" si="73"/>
        <v>-0.11546840958605664</v>
      </c>
      <c r="BA41" s="113">
        <f t="shared" si="73"/>
        <v>-1.1013215859030812E-2</v>
      </c>
      <c r="BB41" s="113">
        <f t="shared" si="73"/>
        <v>-6.3492063492063489E-2</v>
      </c>
      <c r="BC41" s="113">
        <f t="shared" si="73"/>
        <v>2.5188916876574208E-2</v>
      </c>
      <c r="BD41" s="113">
        <f t="shared" si="73"/>
        <v>3.5443037974683511E-2</v>
      </c>
      <c r="BE41" s="196">
        <f t="shared" si="73"/>
        <v>-3.0788177339901024E-3</v>
      </c>
      <c r="BF41" s="113">
        <f t="shared" si="73"/>
        <v>-2.2271714922049046E-2</v>
      </c>
      <c r="BG41" s="113">
        <f t="shared" si="73"/>
        <v>4.5197740112994378E-2</v>
      </c>
      <c r="BH41" s="113">
        <f t="shared" ref="BH41:BM41" si="74">BH5/BC5-1</f>
        <v>9.8280098280098205E-2</v>
      </c>
      <c r="BI41" s="199">
        <f t="shared" si="74"/>
        <v>6.6014669926650393E-2</v>
      </c>
      <c r="BJ41" s="196">
        <f t="shared" si="74"/>
        <v>4.5089561457689831E-2</v>
      </c>
      <c r="BK41" s="113">
        <f>BK5/BF5-1</f>
        <v>7.5170842824601403E-2</v>
      </c>
      <c r="BL41" s="113">
        <f t="shared" si="74"/>
        <v>0.14864864864864868</v>
      </c>
      <c r="BM41" s="113">
        <f t="shared" si="74"/>
        <v>1.5659955257270708E-2</v>
      </c>
      <c r="BN41" s="199">
        <f t="shared" ref="BN41:BS41" si="75">BN5/BI5-1</f>
        <v>-9.1743119266054496E-3</v>
      </c>
      <c r="BO41" s="196">
        <f t="shared" si="75"/>
        <v>5.3782505910165535E-2</v>
      </c>
      <c r="BP41" s="199">
        <f t="shared" si="75"/>
        <v>1.4830508474576343E-2</v>
      </c>
      <c r="BQ41" s="113">
        <f t="shared" si="75"/>
        <v>1.6470588235294015E-2</v>
      </c>
      <c r="BR41" s="113">
        <f t="shared" si="75"/>
        <v>-3.7444933920704804E-2</v>
      </c>
      <c r="BS41" s="113">
        <f t="shared" si="75"/>
        <v>-9.2592592592593004E-3</v>
      </c>
      <c r="BT41" s="196">
        <f t="shared" ref="BT41:CA41" si="76">BT5/BO5-1</f>
        <v>-3.9259674705552916E-3</v>
      </c>
      <c r="BU41" s="672">
        <f t="shared" si="76"/>
        <v>-1.8789144050104345E-2</v>
      </c>
      <c r="BV41" s="672">
        <f t="shared" si="76"/>
        <v>3.4722222222222321E-2</v>
      </c>
      <c r="BW41" s="672">
        <f t="shared" si="76"/>
        <v>1.1441647597254079E-2</v>
      </c>
      <c r="BX41" s="672">
        <f t="shared" si="76"/>
        <v>8.6448598130841159E-2</v>
      </c>
      <c r="BY41" s="196">
        <f>BY5/BT5-1</f>
        <v>2.7027027027026973E-2</v>
      </c>
      <c r="BZ41" s="672">
        <f t="shared" si="76"/>
        <v>5.7446808510638325E-2</v>
      </c>
      <c r="CA41" s="672">
        <f t="shared" si="76"/>
        <v>2.2371364653243742E-2</v>
      </c>
      <c r="CB41" s="672">
        <f t="shared" ref="CB41:CK41" si="77">CB5/BW5-1</f>
        <v>5.2036199095022662E-2</v>
      </c>
      <c r="CC41" s="672">
        <f t="shared" si="77"/>
        <v>6.021505376344094E-2</v>
      </c>
      <c r="CD41" s="196">
        <f t="shared" si="77"/>
        <v>4.8245614035087758E-2</v>
      </c>
      <c r="CE41" s="672">
        <f t="shared" si="77"/>
        <v>7.444668008048283E-2</v>
      </c>
      <c r="CF41" s="672">
        <f t="shared" si="77"/>
        <v>2.6258205689277947E-2</v>
      </c>
      <c r="CG41" s="672">
        <f t="shared" si="77"/>
        <v>6.8817204301075297E-2</v>
      </c>
      <c r="CH41" s="672">
        <f t="shared" si="77"/>
        <v>1.8255578093306246E-2</v>
      </c>
      <c r="CI41" s="196">
        <f>CI5/CD5-1</f>
        <v>4.7071129707112913E-2</v>
      </c>
      <c r="CJ41" s="672">
        <f t="shared" si="77"/>
        <v>4.6816479400749067E-2</v>
      </c>
      <c r="CK41" s="672">
        <f t="shared" si="77"/>
        <v>6.3965884861407751E-3</v>
      </c>
      <c r="CL41" s="199">
        <f t="shared" ref="CL41:CX41" si="78">SUM(CL38:CL40)</f>
        <v>2.0000000000000018E-3</v>
      </c>
      <c r="CM41" s="199">
        <f t="shared" si="78"/>
        <v>2.2003984063744975E-2</v>
      </c>
      <c r="CN41" s="196">
        <f t="shared" si="78"/>
        <v>0.02</v>
      </c>
      <c r="CO41" s="113">
        <f t="shared" si="78"/>
        <v>0.02</v>
      </c>
      <c r="CP41" s="113">
        <f t="shared" si="78"/>
        <v>0.03</v>
      </c>
      <c r="CQ41" s="199">
        <f t="shared" si="78"/>
        <v>0.05</v>
      </c>
      <c r="CR41" s="199">
        <f>SUM(CR38:CR40)</f>
        <v>1.5813396849405307E-3</v>
      </c>
      <c r="CS41" s="196">
        <f t="shared" si="78"/>
        <v>2.5000000000000001E-2</v>
      </c>
      <c r="CT41" s="113">
        <f t="shared" si="78"/>
        <v>0.02</v>
      </c>
      <c r="CU41" s="113">
        <f t="shared" si="78"/>
        <v>0.02</v>
      </c>
      <c r="CV41" s="199">
        <f t="shared" si="78"/>
        <v>0.02</v>
      </c>
      <c r="CW41" s="199">
        <f>SUM(CW38:CW40)</f>
        <v>2.0000000000000004E-2</v>
      </c>
      <c r="CX41" s="196">
        <f t="shared" si="78"/>
        <v>0.02</v>
      </c>
      <c r="CY41" s="113">
        <f t="shared" ref="CY41:DH41" si="79">SUM(CY38:CY40)</f>
        <v>0.02</v>
      </c>
      <c r="CZ41" s="113">
        <f t="shared" si="79"/>
        <v>0.02</v>
      </c>
      <c r="DA41" s="199">
        <f t="shared" si="79"/>
        <v>0.02</v>
      </c>
      <c r="DB41" s="199">
        <f t="shared" si="79"/>
        <v>2.0000000000000004E-2</v>
      </c>
      <c r="DC41" s="196">
        <f t="shared" si="79"/>
        <v>0.02</v>
      </c>
      <c r="DD41" s="113">
        <f t="shared" si="79"/>
        <v>0.02</v>
      </c>
      <c r="DE41" s="113">
        <f t="shared" si="79"/>
        <v>0.02</v>
      </c>
      <c r="DF41" s="199">
        <f t="shared" si="79"/>
        <v>0.02</v>
      </c>
      <c r="DG41" s="199">
        <f t="shared" si="79"/>
        <v>0.02</v>
      </c>
      <c r="DH41" s="196">
        <f t="shared" si="79"/>
        <v>0.02</v>
      </c>
    </row>
    <row r="42" spans="1:112" hidden="1" outlineLevel="1" x14ac:dyDescent="0.2">
      <c r="A42" s="163" t="s">
        <v>213</v>
      </c>
      <c r="B42" s="60" t="s">
        <v>221</v>
      </c>
      <c r="C42" s="60" t="s">
        <v>221</v>
      </c>
      <c r="D42" s="60" t="s">
        <v>221</v>
      </c>
      <c r="E42" s="60" t="s">
        <v>221</v>
      </c>
      <c r="F42" s="60" t="s">
        <v>221</v>
      </c>
      <c r="G42" s="267" t="s">
        <v>221</v>
      </c>
      <c r="H42" s="60" t="s">
        <v>221</v>
      </c>
      <c r="I42" s="60" t="s">
        <v>221</v>
      </c>
      <c r="J42" s="60" t="s">
        <v>221</v>
      </c>
      <c r="K42" s="60" t="s">
        <v>221</v>
      </c>
      <c r="L42" s="267" t="s">
        <v>221</v>
      </c>
      <c r="M42" s="60" t="s">
        <v>221</v>
      </c>
      <c r="N42" s="60" t="s">
        <v>221</v>
      </c>
      <c r="O42" s="60" t="s">
        <v>221</v>
      </c>
      <c r="P42" s="60" t="s">
        <v>221</v>
      </c>
      <c r="Q42" s="267" t="s">
        <v>221</v>
      </c>
      <c r="R42" s="60" t="s">
        <v>221</v>
      </c>
      <c r="S42" s="60" t="s">
        <v>221</v>
      </c>
      <c r="T42" s="60" t="s">
        <v>221</v>
      </c>
      <c r="U42" s="60" t="s">
        <v>221</v>
      </c>
      <c r="V42" s="267" t="s">
        <v>221</v>
      </c>
      <c r="W42" s="60" t="s">
        <v>221</v>
      </c>
      <c r="X42" s="60" t="s">
        <v>221</v>
      </c>
      <c r="Y42" s="60" t="s">
        <v>221</v>
      </c>
      <c r="Z42" s="60" t="s">
        <v>221</v>
      </c>
      <c r="AA42" s="267" t="s">
        <v>221</v>
      </c>
      <c r="AB42" s="60" t="s">
        <v>221</v>
      </c>
      <c r="AC42" s="60" t="s">
        <v>221</v>
      </c>
      <c r="AD42" s="60" t="s">
        <v>221</v>
      </c>
      <c r="AE42" s="60" t="s">
        <v>221</v>
      </c>
      <c r="AF42" s="267" t="s">
        <v>221</v>
      </c>
      <c r="AG42" s="60" t="s">
        <v>221</v>
      </c>
      <c r="AH42" s="60" t="s">
        <v>221</v>
      </c>
      <c r="AI42" s="60" t="s">
        <v>221</v>
      </c>
      <c r="AJ42" s="60" t="s">
        <v>221</v>
      </c>
      <c r="AK42" s="267" t="s">
        <v>221</v>
      </c>
      <c r="AL42" s="60" t="s">
        <v>221</v>
      </c>
      <c r="AM42" s="60" t="s">
        <v>221</v>
      </c>
      <c r="AN42" s="60" t="s">
        <v>221</v>
      </c>
      <c r="AO42" s="60" t="s">
        <v>221</v>
      </c>
      <c r="AP42" s="292">
        <f t="shared" ref="AP42:AU42" si="80">SUM(AP38:AP39)</f>
        <v>0.02</v>
      </c>
      <c r="AQ42" s="165">
        <f t="shared" si="80"/>
        <v>3.8379530916844429E-2</v>
      </c>
      <c r="AR42" s="165">
        <f t="shared" si="80"/>
        <v>-7.2115384615384359E-3</v>
      </c>
      <c r="AS42" s="165">
        <f t="shared" si="80"/>
        <v>8.565310492505418E-3</v>
      </c>
      <c r="AT42" s="165">
        <f t="shared" si="80"/>
        <v>0</v>
      </c>
      <c r="AU42" s="413">
        <f t="shared" si="80"/>
        <v>9.999999999999995E-3</v>
      </c>
      <c r="AV42" s="165">
        <f t="shared" ref="AV42:BE42" si="81">AV38+AV39</f>
        <v>3.2854209445585272E-2</v>
      </c>
      <c r="AW42" s="165">
        <f>AW38+AW39</f>
        <v>2.6634382566585957E-2</v>
      </c>
      <c r="AX42" s="165">
        <f t="shared" si="81"/>
        <v>-4.2462845010615674E-2</v>
      </c>
      <c r="AY42" s="165">
        <f t="shared" si="81"/>
        <v>-1.0752688172043003E-2</v>
      </c>
      <c r="AZ42" s="413">
        <f t="shared" si="81"/>
        <v>1.0893246187363842E-3</v>
      </c>
      <c r="BA42" s="165">
        <f t="shared" si="81"/>
        <v>-1.1013215859030813E-2</v>
      </c>
      <c r="BB42" s="165">
        <f t="shared" si="81"/>
        <v>-6.3492063492063489E-2</v>
      </c>
      <c r="BC42" s="165">
        <f>BC38+BC39</f>
        <v>2.5188916876574208E-2</v>
      </c>
      <c r="BD42" s="165">
        <f t="shared" si="81"/>
        <v>3.5443037974683511E-2</v>
      </c>
      <c r="BE42" s="189">
        <f t="shared" si="81"/>
        <v>-3.0788177339901752E-3</v>
      </c>
      <c r="BF42" s="165">
        <f t="shared" ref="BF42:CX42" si="82">BF38+BF39</f>
        <v>-2.2271714922049046E-2</v>
      </c>
      <c r="BG42" s="165">
        <f t="shared" si="82"/>
        <v>4.5197740112994378E-2</v>
      </c>
      <c r="BH42" s="165">
        <f t="shared" si="82"/>
        <v>4.3813267813267734E-2</v>
      </c>
      <c r="BI42" s="165">
        <f t="shared" si="82"/>
        <v>1.166259168704159E-2</v>
      </c>
      <c r="BJ42" s="189">
        <f t="shared" si="82"/>
        <v>1.7666460778258161E-2</v>
      </c>
      <c r="BK42" s="165">
        <f>BK38+BK39</f>
        <v>3.0580865603644682E-2</v>
      </c>
      <c r="BL42" s="165">
        <f t="shared" si="82"/>
        <v>9.9148648648648696E-2</v>
      </c>
      <c r="BM42" s="165">
        <f t="shared" si="82"/>
        <v>1.5659955257270708E-2</v>
      </c>
      <c r="BN42" s="165">
        <f>BN38+BN39</f>
        <v>-9.1743119266054496E-3</v>
      </c>
      <c r="BO42" s="189">
        <f>BO38+BO39</f>
        <v>3.1388888888888924E-2</v>
      </c>
      <c r="BP42" s="165">
        <f t="shared" si="82"/>
        <v>1.4830508474576343E-2</v>
      </c>
      <c r="BQ42" s="165">
        <f>BQ38+BQ39</f>
        <v>1.6470588235294015E-2</v>
      </c>
      <c r="BR42" s="165">
        <f>BR38+BR39</f>
        <v>-3.7444933920704804E-2</v>
      </c>
      <c r="BS42" s="165">
        <f t="shared" si="82"/>
        <v>-9.2592592592593004E-3</v>
      </c>
      <c r="BT42" s="189">
        <f>BT38+BT39</f>
        <v>-3.9259674705552491E-3</v>
      </c>
      <c r="BU42" s="108">
        <f>BU38+BU39</f>
        <v>-1.8789144050104345E-2</v>
      </c>
      <c r="BV42" s="165">
        <f t="shared" si="82"/>
        <v>3.4722222222222321E-2</v>
      </c>
      <c r="BW42" s="165">
        <f t="shared" si="82"/>
        <v>1.1441647597254079E-2</v>
      </c>
      <c r="BX42" s="165">
        <f t="shared" si="82"/>
        <v>8.6448598130841159E-2</v>
      </c>
      <c r="BY42" s="189">
        <f>BY38+BY39</f>
        <v>2.7027027027027084E-2</v>
      </c>
      <c r="BZ42" s="165">
        <f t="shared" si="82"/>
        <v>5.7446808510638325E-2</v>
      </c>
      <c r="CA42" s="165">
        <f t="shared" si="82"/>
        <v>2.2371364653243742E-2</v>
      </c>
      <c r="CB42" s="165">
        <f>CB38+CB39</f>
        <v>5.2036199095022662E-2</v>
      </c>
      <c r="CC42" s="165">
        <f t="shared" ca="1" si="82"/>
        <v>6.021505376344094E-2</v>
      </c>
      <c r="CD42" s="189">
        <f ca="1">CD38+CD39</f>
        <v>4.824561403508773E-2</v>
      </c>
      <c r="CE42" s="165">
        <f t="shared" si="82"/>
        <v>7.444668008048283E-2</v>
      </c>
      <c r="CF42" s="108">
        <f>CF38+CF39</f>
        <v>2.6258205689277947E-2</v>
      </c>
      <c r="CG42" s="165">
        <f t="shared" si="82"/>
        <v>6.8817204301075297E-2</v>
      </c>
      <c r="CH42" s="165">
        <f>CH38+CH39</f>
        <v>1.8255578093306246E-2</v>
      </c>
      <c r="CI42" s="189">
        <f t="shared" si="82"/>
        <v>4.7071129707112955E-2</v>
      </c>
      <c r="CJ42" s="165">
        <f t="shared" si="82"/>
        <v>5.6816479400749069E-2</v>
      </c>
      <c r="CK42" s="165">
        <f t="shared" si="82"/>
        <v>2.6396588486140776E-2</v>
      </c>
      <c r="CL42" s="165">
        <f t="shared" si="82"/>
        <v>2.5000000000000001E-2</v>
      </c>
      <c r="CM42" s="165">
        <f>CM38+CM39</f>
        <v>4.967131474103581E-2</v>
      </c>
      <c r="CN42" s="189">
        <f t="shared" si="82"/>
        <v>0.04</v>
      </c>
      <c r="CO42" s="165">
        <f t="shared" si="82"/>
        <v>0.02</v>
      </c>
      <c r="CP42" s="165">
        <f t="shared" si="82"/>
        <v>0.03</v>
      </c>
      <c r="CQ42" s="165">
        <f t="shared" si="82"/>
        <v>0.05</v>
      </c>
      <c r="CR42" s="165">
        <f>CR38+CR39</f>
        <v>1.5813396849405307E-3</v>
      </c>
      <c r="CS42" s="189">
        <f t="shared" si="82"/>
        <v>2.5000000000000001E-2</v>
      </c>
      <c r="CT42" s="165">
        <f t="shared" si="82"/>
        <v>0.02</v>
      </c>
      <c r="CU42" s="165">
        <f t="shared" si="82"/>
        <v>0.02</v>
      </c>
      <c r="CV42" s="165">
        <f t="shared" si="82"/>
        <v>0.02</v>
      </c>
      <c r="CW42" s="165">
        <f t="shared" si="82"/>
        <v>2.0000000000000004E-2</v>
      </c>
      <c r="CX42" s="189">
        <f t="shared" si="82"/>
        <v>0.02</v>
      </c>
      <c r="CY42" s="165">
        <f>CY38+CY39</f>
        <v>0.02</v>
      </c>
      <c r="CZ42" s="165">
        <f>CZ38+CZ39</f>
        <v>0.02</v>
      </c>
      <c r="DA42" s="165">
        <f>DA38+DA39</f>
        <v>0.02</v>
      </c>
      <c r="DB42" s="165">
        <f>DB38+DB39</f>
        <v>2.0000000000000004E-2</v>
      </c>
      <c r="DC42" s="189">
        <f t="shared" ref="DC42:DH42" si="83">DC38+DC39</f>
        <v>0.02</v>
      </c>
      <c r="DD42" s="165">
        <f t="shared" si="83"/>
        <v>0.02</v>
      </c>
      <c r="DE42" s="165">
        <f t="shared" si="83"/>
        <v>0.02</v>
      </c>
      <c r="DF42" s="165">
        <f t="shared" si="83"/>
        <v>0.02</v>
      </c>
      <c r="DG42" s="165">
        <f t="shared" si="83"/>
        <v>0.02</v>
      </c>
      <c r="DH42" s="189">
        <f t="shared" si="83"/>
        <v>0.02</v>
      </c>
    </row>
    <row r="43" spans="1:112" hidden="1" outlineLevel="1" x14ac:dyDescent="0.2">
      <c r="A43" s="176" t="s">
        <v>227</v>
      </c>
      <c r="B43" s="48"/>
      <c r="C43" s="48"/>
      <c r="D43" s="48"/>
      <c r="E43" s="48"/>
      <c r="F43" s="48"/>
      <c r="G43" s="188"/>
      <c r="H43" s="48"/>
      <c r="I43" s="48"/>
      <c r="J43" s="48"/>
      <c r="K43" s="48"/>
      <c r="L43" s="188"/>
      <c r="M43" s="48"/>
      <c r="N43" s="48"/>
      <c r="O43" s="48"/>
      <c r="P43" s="48"/>
      <c r="Q43" s="188"/>
      <c r="R43" s="48"/>
      <c r="S43" s="48"/>
      <c r="T43" s="48"/>
      <c r="U43" s="48"/>
      <c r="V43" s="188"/>
      <c r="W43" s="48"/>
      <c r="X43" s="48"/>
      <c r="Y43" s="48"/>
      <c r="Z43" s="48"/>
      <c r="AA43" s="188"/>
      <c r="AB43" s="48"/>
      <c r="AC43" s="48"/>
      <c r="AD43" s="48"/>
      <c r="AE43" s="48"/>
      <c r="AF43" s="188"/>
      <c r="AG43" s="48"/>
      <c r="AH43" s="48"/>
      <c r="AI43" s="48"/>
      <c r="AJ43" s="48"/>
      <c r="AK43" s="188"/>
      <c r="AL43" s="48"/>
      <c r="AM43" s="48"/>
      <c r="AN43" s="48"/>
      <c r="AO43" s="48"/>
      <c r="AP43" s="188"/>
      <c r="AQ43" s="110"/>
      <c r="AR43" s="110"/>
      <c r="AS43" s="110"/>
      <c r="AT43" s="110"/>
      <c r="AU43" s="201">
        <f t="shared" ref="AU43:AZ43" si="84">AVERAGE(AU42,AP42)</f>
        <v>1.4999999999999998E-2</v>
      </c>
      <c r="AV43" s="178">
        <f t="shared" si="84"/>
        <v>3.5616870181214851E-2</v>
      </c>
      <c r="AW43" s="178">
        <f t="shared" si="84"/>
        <v>9.7114220525237605E-3</v>
      </c>
      <c r="AX43" s="178">
        <f t="shared" si="84"/>
        <v>-1.6948767259055128E-2</v>
      </c>
      <c r="AY43" s="178">
        <f t="shared" si="84"/>
        <v>-5.3763440860215015E-3</v>
      </c>
      <c r="AZ43" s="201">
        <f t="shared" si="84"/>
        <v>5.5446623093681896E-3</v>
      </c>
      <c r="BA43" s="178">
        <f t="shared" ref="BA43:BJ43" si="85">AVERAGE(BA42,AV42)</f>
        <v>1.092049679327723E-2</v>
      </c>
      <c r="BB43" s="178">
        <f t="shared" si="85"/>
        <v>-1.8428840462738766E-2</v>
      </c>
      <c r="BC43" s="178">
        <f t="shared" si="85"/>
        <v>-8.6369640670207332E-3</v>
      </c>
      <c r="BD43" s="178">
        <f t="shared" si="85"/>
        <v>1.2345174901320255E-2</v>
      </c>
      <c r="BE43" s="201">
        <f t="shared" si="85"/>
        <v>-9.9474655762689553E-4</v>
      </c>
      <c r="BF43" s="178">
        <f t="shared" si="85"/>
        <v>-1.6642465390539929E-2</v>
      </c>
      <c r="BG43" s="178">
        <f t="shared" si="85"/>
        <v>-9.1471616895345553E-3</v>
      </c>
      <c r="BH43" s="178">
        <f t="shared" si="85"/>
        <v>3.4501092344920971E-2</v>
      </c>
      <c r="BI43" s="178">
        <f t="shared" si="85"/>
        <v>2.3552814830862551E-2</v>
      </c>
      <c r="BJ43" s="201">
        <f t="shared" si="85"/>
        <v>7.293821522133993E-3</v>
      </c>
      <c r="BK43" s="178">
        <f>AVERAGE(BK42,BF42)</f>
        <v>4.1545753407978177E-3</v>
      </c>
      <c r="BL43" s="178">
        <f t="shared" ref="BL43:CX43" si="86">AVERAGE(BL42,BG42)</f>
        <v>7.2173194380821537E-2</v>
      </c>
      <c r="BM43" s="178">
        <f t="shared" si="86"/>
        <v>2.9736611535269221E-2</v>
      </c>
      <c r="BN43" s="178">
        <f t="shared" ref="BN43:BS43" si="87">AVERAGE(BN42,BI42)</f>
        <v>1.2441398802180703E-3</v>
      </c>
      <c r="BO43" s="201">
        <f t="shared" si="87"/>
        <v>2.4527674833573543E-2</v>
      </c>
      <c r="BP43" s="178">
        <f t="shared" si="87"/>
        <v>2.2705687039110512E-2</v>
      </c>
      <c r="BQ43" s="178">
        <f t="shared" si="87"/>
        <v>5.7809618441971355E-2</v>
      </c>
      <c r="BR43" s="200">
        <f t="shared" si="87"/>
        <v>-1.0892489331717048E-2</v>
      </c>
      <c r="BS43" s="200">
        <f t="shared" si="87"/>
        <v>-9.216785592932375E-3</v>
      </c>
      <c r="BT43" s="201">
        <f t="shared" ref="BT43:BY43" si="88">AVERAGE(BT42,BO42)</f>
        <v>1.3731460709166837E-2</v>
      </c>
      <c r="BU43" s="178">
        <f t="shared" si="88"/>
        <v>-1.9793177877640011E-3</v>
      </c>
      <c r="BV43" s="178">
        <f t="shared" si="88"/>
        <v>2.5596405228758168E-2</v>
      </c>
      <c r="BW43" s="200">
        <f t="shared" si="88"/>
        <v>-1.3001643161725362E-2</v>
      </c>
      <c r="BX43" s="200">
        <f t="shared" si="88"/>
        <v>3.8594669435790929E-2</v>
      </c>
      <c r="BY43" s="201">
        <f t="shared" si="88"/>
        <v>1.1550529778235917E-2</v>
      </c>
      <c r="BZ43" s="178">
        <f t="shared" si="86"/>
        <v>1.932883223026699E-2</v>
      </c>
      <c r="CA43" s="178">
        <f t="shared" si="86"/>
        <v>2.8546793437733031E-2</v>
      </c>
      <c r="CB43" s="200">
        <f t="shared" si="86"/>
        <v>3.173892334613837E-2</v>
      </c>
      <c r="CC43" s="200">
        <f t="shared" ca="1" si="86"/>
        <v>7.3331825947141049E-2</v>
      </c>
      <c r="CD43" s="201">
        <f t="shared" ca="1" si="86"/>
        <v>3.7636320531057407E-2</v>
      </c>
      <c r="CE43" s="178">
        <f t="shared" si="86"/>
        <v>6.5946744295560578E-2</v>
      </c>
      <c r="CF43" s="115">
        <f t="shared" si="86"/>
        <v>2.4314785171260844E-2</v>
      </c>
      <c r="CG43" s="200">
        <f t="shared" si="86"/>
        <v>6.0426701698048979E-2</v>
      </c>
      <c r="CH43" s="200">
        <f t="shared" ca="1" si="86"/>
        <v>3.9235315928373593E-2</v>
      </c>
      <c r="CI43" s="201">
        <f t="shared" ca="1" si="86"/>
        <v>4.7658371871100343E-2</v>
      </c>
      <c r="CJ43" s="178">
        <f t="shared" si="86"/>
        <v>6.5631579740615953E-2</v>
      </c>
      <c r="CK43" s="178">
        <f t="shared" si="86"/>
        <v>2.6327397087709363E-2</v>
      </c>
      <c r="CL43" s="200">
        <f t="shared" si="86"/>
        <v>4.6908602150537645E-2</v>
      </c>
      <c r="CM43" s="200">
        <f t="shared" si="86"/>
        <v>3.3963446417171028E-2</v>
      </c>
      <c r="CN43" s="201">
        <f t="shared" si="86"/>
        <v>4.3535564853556474E-2</v>
      </c>
      <c r="CO43" s="178">
        <f t="shared" si="86"/>
        <v>3.8408239700374533E-2</v>
      </c>
      <c r="CP43" s="178">
        <f t="shared" si="86"/>
        <v>2.8198294243070389E-2</v>
      </c>
      <c r="CQ43" s="200">
        <f t="shared" si="86"/>
        <v>3.7500000000000006E-2</v>
      </c>
      <c r="CR43" s="200">
        <f t="shared" si="86"/>
        <v>2.562632721298817E-2</v>
      </c>
      <c r="CS43" s="201">
        <f t="shared" si="86"/>
        <v>3.2500000000000001E-2</v>
      </c>
      <c r="CT43" s="178">
        <f t="shared" si="86"/>
        <v>0.02</v>
      </c>
      <c r="CU43" s="178">
        <f t="shared" si="86"/>
        <v>2.5000000000000001E-2</v>
      </c>
      <c r="CV43" s="200">
        <f t="shared" si="86"/>
        <v>3.5000000000000003E-2</v>
      </c>
      <c r="CW43" s="200">
        <f t="shared" si="86"/>
        <v>1.0790669842470266E-2</v>
      </c>
      <c r="CX43" s="201">
        <f t="shared" si="86"/>
        <v>2.2499999999999999E-2</v>
      </c>
      <c r="CY43" s="178">
        <f t="shared" ref="CY43:DH43" si="89">AVERAGE(CY42,CT42)</f>
        <v>0.02</v>
      </c>
      <c r="CZ43" s="178">
        <f t="shared" si="89"/>
        <v>0.02</v>
      </c>
      <c r="DA43" s="200">
        <f t="shared" si="89"/>
        <v>0.02</v>
      </c>
      <c r="DB43" s="200">
        <f t="shared" si="89"/>
        <v>2.0000000000000004E-2</v>
      </c>
      <c r="DC43" s="201">
        <f t="shared" si="89"/>
        <v>0.02</v>
      </c>
      <c r="DD43" s="178">
        <f t="shared" si="89"/>
        <v>0.02</v>
      </c>
      <c r="DE43" s="178">
        <f t="shared" si="89"/>
        <v>0.02</v>
      </c>
      <c r="DF43" s="200">
        <f t="shared" si="89"/>
        <v>0.02</v>
      </c>
      <c r="DG43" s="200">
        <f t="shared" si="89"/>
        <v>2.0000000000000004E-2</v>
      </c>
      <c r="DH43" s="201">
        <f t="shared" si="89"/>
        <v>0.02</v>
      </c>
    </row>
    <row r="44" spans="1:112" hidden="1" outlineLevel="1" x14ac:dyDescent="0.2">
      <c r="A44" s="176"/>
      <c r="B44" s="48"/>
      <c r="C44" s="48"/>
      <c r="D44" s="48"/>
      <c r="E44" s="48"/>
      <c r="F44" s="48"/>
      <c r="G44" s="188"/>
      <c r="H44" s="48"/>
      <c r="I44" s="48"/>
      <c r="J44" s="48"/>
      <c r="K44" s="48"/>
      <c r="L44" s="188"/>
      <c r="M44" s="48"/>
      <c r="N44" s="48"/>
      <c r="O44" s="48"/>
      <c r="P44" s="48"/>
      <c r="Q44" s="188"/>
      <c r="R44" s="48"/>
      <c r="S44" s="48"/>
      <c r="T44" s="48"/>
      <c r="U44" s="48"/>
      <c r="V44" s="188"/>
      <c r="W44" s="48"/>
      <c r="X44" s="48"/>
      <c r="Y44" s="48"/>
      <c r="Z44" s="48"/>
      <c r="AA44" s="188"/>
      <c r="AB44" s="48"/>
      <c r="AC44" s="48"/>
      <c r="AD44" s="48"/>
      <c r="AE44" s="48"/>
      <c r="AF44" s="188"/>
      <c r="AG44" s="48"/>
      <c r="AH44" s="48"/>
      <c r="AI44" s="48"/>
      <c r="AJ44" s="48"/>
      <c r="AK44" s="188"/>
      <c r="AL44" s="48"/>
      <c r="AM44" s="48"/>
      <c r="AN44" s="48"/>
      <c r="AO44" s="48"/>
      <c r="AP44" s="188"/>
      <c r="AQ44" s="110"/>
      <c r="AR44" s="110"/>
      <c r="AS44" s="110"/>
      <c r="AT44" s="110"/>
      <c r="AU44" s="276"/>
      <c r="AV44" s="110"/>
      <c r="AW44" s="110"/>
      <c r="AX44" s="110"/>
      <c r="AY44" s="110"/>
      <c r="AZ44" s="276"/>
      <c r="BA44" s="110"/>
      <c r="BB44" s="110"/>
      <c r="BC44" s="48"/>
      <c r="BD44" s="48"/>
      <c r="BE44" s="191"/>
      <c r="BF44" s="110"/>
      <c r="BG44" s="110"/>
      <c r="BH44" s="48"/>
      <c r="BI44" s="48"/>
      <c r="BJ44" s="191"/>
      <c r="BK44" s="110"/>
      <c r="BL44" s="110"/>
      <c r="BM44" s="110"/>
      <c r="BN44" s="48"/>
      <c r="BO44" s="191"/>
      <c r="BP44" s="110"/>
      <c r="BQ44" s="110"/>
      <c r="BR44" s="48"/>
      <c r="BS44" s="48"/>
      <c r="BT44" s="191"/>
      <c r="BU44" s="178"/>
      <c r="BV44" s="178"/>
      <c r="BW44" s="178"/>
      <c r="BX44" s="178"/>
      <c r="BY44" s="807">
        <f>AVERAGE(BY46,BT46)</f>
        <v>1.4488343390348239E-2</v>
      </c>
      <c r="BZ44" s="809">
        <f>+AVERAGE(BZ46,BU46)</f>
        <v>2.5000000000000001E-2</v>
      </c>
      <c r="CA44" s="810">
        <f>+AVERAGE(CA46,BV46)</f>
        <v>1.4999999999999999E-2</v>
      </c>
      <c r="CB44" s="809">
        <f>+AVERAGE(CB46,BW46)</f>
        <v>1.4999999999999999E-2</v>
      </c>
      <c r="CC44" s="809">
        <f>+AVERAGE(CC46,BX46)</f>
        <v>3.1318965517241386E-2</v>
      </c>
      <c r="CD44" s="807">
        <f>AVERAGE(CD46,BY46)</f>
        <v>2.245801785158643E-2</v>
      </c>
      <c r="CE44" s="809">
        <f t="shared" ref="CE44:CH45" si="90">+AVERAGE(CE46,BZ46)</f>
        <v>7.9440389294403863E-3</v>
      </c>
      <c r="CF44" s="810">
        <f t="shared" si="90"/>
        <v>2.1266666666666663E-2</v>
      </c>
      <c r="CG44" s="809">
        <f>+AVERAGE(CG46,CB46)</f>
        <v>3.1964132762312622E-2</v>
      </c>
      <c r="CH44" s="809">
        <f>+AVERAGE(CH46,CC46)</f>
        <v>3.7719458128078823E-2</v>
      </c>
      <c r="CI44" s="807">
        <f>AVERAGE(CI46,CD46)</f>
        <v>2.6307490866439867E-2</v>
      </c>
      <c r="CJ44" s="809">
        <f t="shared" ref="CJ44:CM45" si="91">+AVERAGE(CJ46,CE46)</f>
        <v>3.7944038929440385E-2</v>
      </c>
      <c r="CK44" s="810">
        <f t="shared" si="91"/>
        <v>2.1266666666666663E-2</v>
      </c>
      <c r="CL44" s="809">
        <f t="shared" si="91"/>
        <v>2.6964132762312625E-2</v>
      </c>
      <c r="CM44" s="809">
        <f t="shared" si="91"/>
        <v>3.188308754754629E-2</v>
      </c>
      <c r="CN44" s="807">
        <f>AVERAGE(CN46,CI46)</f>
        <v>2.9551638023630498E-2</v>
      </c>
      <c r="CO44" s="110"/>
      <c r="CP44" s="110"/>
      <c r="CQ44" s="48"/>
      <c r="CR44" s="48"/>
      <c r="CS44" s="191"/>
      <c r="CT44" s="110"/>
      <c r="CU44" s="110"/>
      <c r="CV44" s="48"/>
      <c r="CW44" s="48"/>
      <c r="CX44" s="191"/>
      <c r="CY44" s="110"/>
      <c r="CZ44" s="110"/>
      <c r="DA44" s="48"/>
      <c r="DB44" s="48"/>
      <c r="DC44" s="191"/>
      <c r="DD44" s="110"/>
      <c r="DE44" s="110"/>
      <c r="DF44" s="48"/>
      <c r="DG44" s="48"/>
      <c r="DH44" s="191"/>
    </row>
    <row r="45" spans="1:112" ht="12.75" hidden="1" customHeight="1" outlineLevel="1" x14ac:dyDescent="0.2">
      <c r="A45" s="161" t="s">
        <v>418</v>
      </c>
      <c r="B45" s="158"/>
      <c r="C45" s="158"/>
      <c r="D45" s="158"/>
      <c r="E45" s="158"/>
      <c r="F45" s="158"/>
      <c r="G45" s="269"/>
      <c r="H45" s="158"/>
      <c r="I45" s="158"/>
      <c r="J45" s="158"/>
      <c r="K45" s="158"/>
      <c r="L45" s="269"/>
      <c r="M45" s="158"/>
      <c r="N45" s="158"/>
      <c r="O45" s="158"/>
      <c r="P45" s="158"/>
      <c r="Q45" s="269"/>
      <c r="R45" s="158"/>
      <c r="S45" s="158"/>
      <c r="T45" s="158"/>
      <c r="U45" s="158"/>
      <c r="V45" s="269"/>
      <c r="W45" s="158"/>
      <c r="X45" s="158"/>
      <c r="Y45" s="158"/>
      <c r="Z45" s="158"/>
      <c r="AA45" s="269"/>
      <c r="AB45" s="158"/>
      <c r="AC45" s="158"/>
      <c r="AD45" s="158"/>
      <c r="AE45" s="158"/>
      <c r="AF45" s="269"/>
      <c r="AG45" s="158"/>
      <c r="AH45" s="158"/>
      <c r="AI45" s="158"/>
      <c r="AJ45" s="158"/>
      <c r="AK45" s="269"/>
      <c r="AL45" s="158"/>
      <c r="AM45" s="158"/>
      <c r="AN45" s="158"/>
      <c r="AO45" s="158"/>
      <c r="AP45" s="269"/>
      <c r="AQ45" s="110"/>
      <c r="AR45" s="110"/>
      <c r="AS45" s="110"/>
      <c r="AT45" s="110"/>
      <c r="AU45" s="183"/>
      <c r="AV45" s="581"/>
      <c r="AW45" s="581"/>
      <c r="AX45" s="581"/>
      <c r="AY45" s="581"/>
      <c r="AZ45" s="582"/>
      <c r="BA45" s="581"/>
      <c r="BB45" s="581"/>
      <c r="BC45" s="581"/>
      <c r="BD45" s="66"/>
      <c r="BE45" s="583"/>
      <c r="BF45" s="172"/>
      <c r="BG45" s="172"/>
      <c r="BH45" s="172"/>
      <c r="BI45" s="172"/>
      <c r="BJ45" s="632"/>
      <c r="BK45" s="172"/>
      <c r="BL45" s="172"/>
      <c r="BM45" s="172"/>
      <c r="BN45" s="172"/>
      <c r="BO45" s="632"/>
      <c r="BP45" s="110"/>
      <c r="BQ45" s="110"/>
      <c r="BR45" s="158"/>
      <c r="BS45" s="158"/>
      <c r="BT45" s="186"/>
      <c r="BU45" s="154">
        <f>+AVERAGE(BU46,BP46)</f>
        <v>0.03</v>
      </c>
      <c r="BV45" s="154">
        <f>+AVERAGE(BV46,BQ46)</f>
        <v>9.9999999999999985E-3</v>
      </c>
      <c r="BW45" s="154">
        <f>+AVERAGE(BW46,BR46)</f>
        <v>2.5000000000000001E-2</v>
      </c>
      <c r="BX45" s="154">
        <f>+AVERAGE(BX46,BS46)</f>
        <v>0</v>
      </c>
      <c r="BY45" s="807">
        <f>AVERAGE(BY47,BT47)</f>
        <v>1.5105340304292246E-2</v>
      </c>
      <c r="BZ45" s="809">
        <f>+AVERAGE(BZ46,BU46)</f>
        <v>2.5000000000000001E-2</v>
      </c>
      <c r="CA45" s="809">
        <f>+AVERAGE(CA46,BV46)</f>
        <v>1.4999999999999999E-2</v>
      </c>
      <c r="CB45" s="809">
        <f>+AVERAGE(CB46,BW46)</f>
        <v>1.4999999999999999E-2</v>
      </c>
      <c r="CC45" s="809">
        <f>+AVERAGE(CC46,BX46)</f>
        <v>3.1318965517241386E-2</v>
      </c>
      <c r="CD45" s="807">
        <f>AVERAGE(CD47,BY47)</f>
        <v>1.6939311716514274E-2</v>
      </c>
      <c r="CE45" s="809">
        <f t="shared" si="90"/>
        <v>2.6166890113710518E-3</v>
      </c>
      <c r="CF45" s="810">
        <f t="shared" si="90"/>
        <v>1.1724168912848158E-2</v>
      </c>
      <c r="CG45" s="809">
        <f t="shared" si="90"/>
        <v>-2.191902837852594E-2</v>
      </c>
      <c r="CH45" s="809">
        <f t="shared" si="90"/>
        <v>-1.6116584564860377E-2</v>
      </c>
      <c r="CI45" s="807">
        <f>AVERAGE(CI47,CD47)</f>
        <v>-7.8042035331999018E-3</v>
      </c>
      <c r="CJ45" s="809">
        <f t="shared" si="91"/>
        <v>-2.9106156524947802E-2</v>
      </c>
      <c r="CK45" s="810">
        <f t="shared" si="91"/>
        <v>-6.7307996832937159E-3</v>
      </c>
      <c r="CL45" s="809">
        <f t="shared" si="91"/>
        <v>-3.4657387580299744E-2</v>
      </c>
      <c r="CM45" s="809">
        <f t="shared" si="91"/>
        <v>-1.2414052919290772E-2</v>
      </c>
      <c r="CN45" s="807">
        <f>AVERAGE(CN47,CI47)</f>
        <v>-2.0577336197636915E-2</v>
      </c>
      <c r="CO45" s="110"/>
      <c r="CP45" s="110"/>
      <c r="CQ45" s="158"/>
      <c r="CR45" s="158"/>
      <c r="CS45" s="186"/>
      <c r="CT45" s="110"/>
      <c r="CU45" s="110"/>
      <c r="CV45" s="158"/>
      <c r="CW45" s="158"/>
      <c r="CX45" s="186"/>
      <c r="CY45" s="110"/>
      <c r="CZ45" s="110"/>
      <c r="DA45" s="158"/>
      <c r="DB45" s="158"/>
      <c r="DC45" s="186"/>
      <c r="DD45" s="110"/>
      <c r="DE45" s="110"/>
      <c r="DF45" s="158"/>
      <c r="DG45" s="158"/>
      <c r="DH45" s="186"/>
    </row>
    <row r="46" spans="1:112" hidden="1" outlineLevel="1" x14ac:dyDescent="0.2">
      <c r="A46" s="162" t="s">
        <v>90</v>
      </c>
      <c r="B46" s="60" t="s">
        <v>221</v>
      </c>
      <c r="C46" s="60" t="s">
        <v>221</v>
      </c>
      <c r="D46" s="60" t="s">
        <v>221</v>
      </c>
      <c r="E46" s="60" t="s">
        <v>221</v>
      </c>
      <c r="F46" s="60" t="s">
        <v>221</v>
      </c>
      <c r="G46" s="267" t="s">
        <v>221</v>
      </c>
      <c r="H46" s="60" t="s">
        <v>221</v>
      </c>
      <c r="I46" s="60" t="s">
        <v>221</v>
      </c>
      <c r="J46" s="60" t="s">
        <v>221</v>
      </c>
      <c r="K46" s="60" t="s">
        <v>221</v>
      </c>
      <c r="L46" s="267" t="s">
        <v>221</v>
      </c>
      <c r="M46" s="60" t="s">
        <v>221</v>
      </c>
      <c r="N46" s="60" t="s">
        <v>221</v>
      </c>
      <c r="O46" s="60" t="s">
        <v>221</v>
      </c>
      <c r="P46" s="60" t="s">
        <v>221</v>
      </c>
      <c r="Q46" s="267" t="s">
        <v>221</v>
      </c>
      <c r="R46" s="60" t="s">
        <v>221</v>
      </c>
      <c r="S46" s="60" t="s">
        <v>221</v>
      </c>
      <c r="T46" s="60" t="s">
        <v>221</v>
      </c>
      <c r="U46" s="60" t="s">
        <v>221</v>
      </c>
      <c r="V46" s="267" t="s">
        <v>221</v>
      </c>
      <c r="W46" s="60" t="s">
        <v>221</v>
      </c>
      <c r="X46" s="60" t="s">
        <v>221</v>
      </c>
      <c r="Y46" s="60" t="s">
        <v>221</v>
      </c>
      <c r="Z46" s="60" t="s">
        <v>221</v>
      </c>
      <c r="AA46" s="267" t="s">
        <v>221</v>
      </c>
      <c r="AB46" s="60" t="s">
        <v>221</v>
      </c>
      <c r="AC46" s="60" t="s">
        <v>221</v>
      </c>
      <c r="AD46" s="60" t="s">
        <v>221</v>
      </c>
      <c r="AE46" s="60" t="s">
        <v>221</v>
      </c>
      <c r="AF46" s="267" t="s">
        <v>221</v>
      </c>
      <c r="AG46" s="60" t="s">
        <v>221</v>
      </c>
      <c r="AH46" s="60" t="s">
        <v>221</v>
      </c>
      <c r="AI46" s="60" t="s">
        <v>221</v>
      </c>
      <c r="AJ46" s="60" t="s">
        <v>221</v>
      </c>
      <c r="AK46" s="267" t="s">
        <v>221</v>
      </c>
      <c r="AL46" s="60" t="s">
        <v>221</v>
      </c>
      <c r="AM46" s="60" t="s">
        <v>221</v>
      </c>
      <c r="AN46" s="60" t="s">
        <v>221</v>
      </c>
      <c r="AO46" s="60" t="s">
        <v>221</v>
      </c>
      <c r="AP46" s="267">
        <f>1%+0.3%</f>
        <v>1.3000000000000001E-2</v>
      </c>
      <c r="AQ46" s="110">
        <f>3%+1.3%</f>
        <v>4.2999999999999997E-2</v>
      </c>
      <c r="AR46" s="110">
        <f>-10%+2.6%</f>
        <v>-7.400000000000001E-2</v>
      </c>
      <c r="AS46" s="110">
        <f>-7%+2.3%</f>
        <v>-4.7000000000000007E-2</v>
      </c>
      <c r="AT46" s="110">
        <f>-3%+1.1%</f>
        <v>-1.8999999999999996E-2</v>
      </c>
      <c r="AU46" s="276">
        <f>SUMPRODUCT(AQ46:AT46,AL6:AO6)/AP6</f>
        <v>-2.3514723203769142E-2</v>
      </c>
      <c r="AV46" s="110">
        <v>-7.0000000000000007E-2</v>
      </c>
      <c r="AW46" s="110">
        <v>0</v>
      </c>
      <c r="AX46" s="110">
        <v>0.04</v>
      </c>
      <c r="AY46" s="110">
        <v>0.01</v>
      </c>
      <c r="AZ46" s="276">
        <v>-0.01</v>
      </c>
      <c r="BA46" s="110">
        <v>-0.09</v>
      </c>
      <c r="BB46" s="110">
        <v>-0.01</v>
      </c>
      <c r="BC46" s="110">
        <v>-0.03</v>
      </c>
      <c r="BD46" s="47">
        <v>0.02</v>
      </c>
      <c r="BE46" s="188">
        <f>SUMPRODUCT(BA46:BD46,AV$6:AY$6)/AZ$6</f>
        <v>-2.3493686109440765E-2</v>
      </c>
      <c r="BF46" s="47">
        <v>0.05</v>
      </c>
      <c r="BG46" s="47">
        <v>0.01</v>
      </c>
      <c r="BH46" s="47">
        <v>0.02</v>
      </c>
      <c r="BI46" s="47">
        <v>-0.02</v>
      </c>
      <c r="BJ46" s="188">
        <f>SUMPRODUCT(BF46:BI46,BA$6:BD$6)/BE$6</f>
        <v>1.1123525760397268E-2</v>
      </c>
      <c r="BK46" s="110">
        <v>-7.0000000000000007E-2</v>
      </c>
      <c r="BL46" s="110">
        <v>0.01</v>
      </c>
      <c r="BM46" s="110">
        <v>-0.04</v>
      </c>
      <c r="BN46" s="47">
        <v>-0.01</v>
      </c>
      <c r="BO46" s="188">
        <f>SUMPRODUCT(BK46:BN46,BF$6:BI$6)/BJ$6</f>
        <v>-2.6581145584725536E-2</v>
      </c>
      <c r="BP46" s="47">
        <v>0.02</v>
      </c>
      <c r="BQ46" s="47">
        <v>-0.01</v>
      </c>
      <c r="BR46" s="47">
        <v>0.05</v>
      </c>
      <c r="BS46" s="47">
        <v>-0.02</v>
      </c>
      <c r="BT46" s="188">
        <f>SUMPRODUCT(BP46:BS46,BK$6:BN$6)/BO$6</f>
        <v>7.5723567631423528E-3</v>
      </c>
      <c r="BU46" s="670">
        <v>0.04</v>
      </c>
      <c r="BV46" s="670">
        <v>0.03</v>
      </c>
      <c r="BW46" s="670">
        <v>0</v>
      </c>
      <c r="BX46" s="670">
        <v>0.02</v>
      </c>
      <c r="BY46" s="188">
        <f>SUMPRODUCT(BU46:BX46,BP$6:BS$6)/BT$6</f>
        <v>2.1404330017554124E-2</v>
      </c>
      <c r="BZ46" s="670">
        <v>0.01</v>
      </c>
      <c r="CA46" s="670">
        <v>0</v>
      </c>
      <c r="CB46" s="670">
        <v>0.03</v>
      </c>
      <c r="CC46" s="670">
        <f>7%-CC48</f>
        <v>4.2637931034482768E-2</v>
      </c>
      <c r="CD46" s="188">
        <f>SUMPRODUCT(BZ46:CC46,BU$6:BX$6)/BY$6</f>
        <v>2.3511705685618733E-2</v>
      </c>
      <c r="CE46" s="670">
        <f>6%-CE48</f>
        <v>5.8880778588807706E-3</v>
      </c>
      <c r="CF46" s="670">
        <f>0.11-CF48</f>
        <v>4.2533333333333326E-2</v>
      </c>
      <c r="CG46" s="670">
        <f>0.09-CG48</f>
        <v>3.3928265524625252E-2</v>
      </c>
      <c r="CH46" s="47">
        <f>0.05-CH48</f>
        <v>3.2800985221674878E-2</v>
      </c>
      <c r="CI46" s="188">
        <f>SUMPRODUCT(CE46:CH46,BZ$6:CC$6)/CD$6</f>
        <v>2.9103276047261002E-2</v>
      </c>
      <c r="CJ46" s="47">
        <f>0.07-CJ48</f>
        <v>7.0000000000000007E-2</v>
      </c>
      <c r="CK46" s="47">
        <f>0-CK48</f>
        <v>0</v>
      </c>
      <c r="CL46" s="145">
        <v>0.02</v>
      </c>
      <c r="CM46" s="47">
        <f>((CN46*CI6)-SUMPRODUCT(CE6:CG6,CJ46:CL46))/CH6</f>
        <v>3.096518987341771E-2</v>
      </c>
      <c r="CN46" s="195">
        <v>0.03</v>
      </c>
      <c r="CO46" s="154">
        <v>0.01</v>
      </c>
      <c r="CP46" s="154">
        <v>0.04</v>
      </c>
      <c r="CQ46" s="145">
        <f>CS46</f>
        <v>2.5000000000000001E-2</v>
      </c>
      <c r="CR46" s="47">
        <f>((CS46*CN6)-SUMPRODUCT(CJ6:CL6,CO46:CQ46))/CM6</f>
        <v>2.568755452381305E-2</v>
      </c>
      <c r="CS46" s="195">
        <v>2.5000000000000001E-2</v>
      </c>
      <c r="CT46" s="154">
        <f>CX46</f>
        <v>2.5000000000000001E-2</v>
      </c>
      <c r="CU46" s="154">
        <f>CX46</f>
        <v>2.5000000000000001E-2</v>
      </c>
      <c r="CV46" s="145">
        <f>CX46</f>
        <v>2.5000000000000001E-2</v>
      </c>
      <c r="CW46" s="47">
        <f>((CX46*CS6)-SUMPRODUCT(CO6:CQ6,CT46:CV46))/CR6</f>
        <v>2.5000000000000001E-2</v>
      </c>
      <c r="CX46" s="195">
        <f>CS46</f>
        <v>2.5000000000000001E-2</v>
      </c>
      <c r="CY46" s="154">
        <f>DC46</f>
        <v>2.5000000000000001E-2</v>
      </c>
      <c r="CZ46" s="154">
        <f>DC46</f>
        <v>2.5000000000000001E-2</v>
      </c>
      <c r="DA46" s="145">
        <f>DC46</f>
        <v>2.5000000000000001E-2</v>
      </c>
      <c r="DB46" s="47">
        <f>((DC46*CX6)-SUMPRODUCT(CT6:CV6,CY46:DA46))/CW6</f>
        <v>2.4999999999999994E-2</v>
      </c>
      <c r="DC46" s="195">
        <f>CX46</f>
        <v>2.5000000000000001E-2</v>
      </c>
      <c r="DD46" s="154">
        <f>DH46</f>
        <v>2.5000000000000001E-2</v>
      </c>
      <c r="DE46" s="154">
        <f>DH46</f>
        <v>2.5000000000000001E-2</v>
      </c>
      <c r="DF46" s="145">
        <f>DH46</f>
        <v>2.5000000000000001E-2</v>
      </c>
      <c r="DG46" s="47">
        <f>((DH46*DC6)-SUMPRODUCT(CY6:DA6,DD46:DF46))/DB6</f>
        <v>2.5000000000000008E-2</v>
      </c>
      <c r="DH46" s="195">
        <f>DC46</f>
        <v>2.5000000000000001E-2</v>
      </c>
    </row>
    <row r="47" spans="1:112" hidden="1" outlineLevel="1" x14ac:dyDescent="0.2">
      <c r="A47" s="162" t="s">
        <v>91</v>
      </c>
      <c r="B47" s="60" t="s">
        <v>221</v>
      </c>
      <c r="C47" s="60" t="s">
        <v>221</v>
      </c>
      <c r="D47" s="60" t="s">
        <v>221</v>
      </c>
      <c r="E47" s="60" t="s">
        <v>221</v>
      </c>
      <c r="F47" s="60" t="s">
        <v>221</v>
      </c>
      <c r="G47" s="267" t="s">
        <v>221</v>
      </c>
      <c r="H47" s="60" t="s">
        <v>221</v>
      </c>
      <c r="I47" s="60" t="s">
        <v>221</v>
      </c>
      <c r="J47" s="60" t="s">
        <v>221</v>
      </c>
      <c r="K47" s="60" t="s">
        <v>221</v>
      </c>
      <c r="L47" s="267" t="s">
        <v>221</v>
      </c>
      <c r="M47" s="60" t="s">
        <v>221</v>
      </c>
      <c r="N47" s="60" t="s">
        <v>221</v>
      </c>
      <c r="O47" s="60" t="s">
        <v>221</v>
      </c>
      <c r="P47" s="60" t="s">
        <v>221</v>
      </c>
      <c r="Q47" s="267" t="s">
        <v>221</v>
      </c>
      <c r="R47" s="60" t="s">
        <v>221</v>
      </c>
      <c r="S47" s="60" t="s">
        <v>221</v>
      </c>
      <c r="T47" s="60" t="s">
        <v>221</v>
      </c>
      <c r="U47" s="60" t="s">
        <v>221</v>
      </c>
      <c r="V47" s="267" t="s">
        <v>221</v>
      </c>
      <c r="W47" s="60" t="s">
        <v>221</v>
      </c>
      <c r="X47" s="60" t="s">
        <v>221</v>
      </c>
      <c r="Y47" s="60" t="s">
        <v>221</v>
      </c>
      <c r="Z47" s="60" t="s">
        <v>221</v>
      </c>
      <c r="AA47" s="267" t="s">
        <v>221</v>
      </c>
      <c r="AB47" s="60" t="s">
        <v>221</v>
      </c>
      <c r="AC47" s="60" t="s">
        <v>221</v>
      </c>
      <c r="AD47" s="60" t="s">
        <v>221</v>
      </c>
      <c r="AE47" s="60" t="s">
        <v>221</v>
      </c>
      <c r="AF47" s="267" t="s">
        <v>221</v>
      </c>
      <c r="AG47" s="60" t="s">
        <v>221</v>
      </c>
      <c r="AH47" s="60" t="s">
        <v>221</v>
      </c>
      <c r="AI47" s="60" t="s">
        <v>221</v>
      </c>
      <c r="AJ47" s="60" t="s">
        <v>221</v>
      </c>
      <c r="AK47" s="267" t="s">
        <v>221</v>
      </c>
      <c r="AL47" s="60" t="s">
        <v>221</v>
      </c>
      <c r="AM47" s="60" t="s">
        <v>221</v>
      </c>
      <c r="AN47" s="60" t="s">
        <v>221</v>
      </c>
      <c r="AO47" s="60" t="s">
        <v>221</v>
      </c>
      <c r="AP47" s="267">
        <f>2.5%+0.3%</f>
        <v>2.8000000000000001E-2</v>
      </c>
      <c r="AQ47" s="110">
        <f>AQ49-AQ48-AQ46</f>
        <v>7.9281250000000011E-2</v>
      </c>
      <c r="AR47" s="110">
        <f>AR49-AR48-AR46</f>
        <v>7.8110497237569021E-2</v>
      </c>
      <c r="AS47" s="110">
        <f>AS49-AS48-AS46</f>
        <v>5.540435835351086E-2</v>
      </c>
      <c r="AT47" s="110">
        <f>AT49-AT48-AT46</f>
        <v>2.8239332096474917E-2</v>
      </c>
      <c r="AU47" s="276">
        <f>SUMPRODUCT(AQ47:AT47,AL6:AO6)/AP6</f>
        <v>5.7021790341578296E-2</v>
      </c>
      <c r="AV47" s="110">
        <f>AV49-AV48-AV46</f>
        <v>0.14258215962441317</v>
      </c>
      <c r="AW47" s="110">
        <f>AW49-AW48-AW46</f>
        <v>-5.6497175141242972E-2</v>
      </c>
      <c r="AX47" s="110">
        <f>AX49-AX48-AX46</f>
        <v>-3.7542997542997468E-2</v>
      </c>
      <c r="AY47" s="110">
        <f>AY49-AY48-AY46</f>
        <v>-6.2825278810409915E-3</v>
      </c>
      <c r="AZ47" s="276">
        <f>SUMPRODUCT(AV47:AY47,$AQ$6:$AT$6)/$AU$6</f>
        <v>1.2792584009269973E-2</v>
      </c>
      <c r="BA47" s="110">
        <f>BA49-BA48-BA46</f>
        <v>1.9133858267716547E-2</v>
      </c>
      <c r="BB47" s="110">
        <f>BB49-BB48-BB46</f>
        <v>-3.1916167664670654E-2</v>
      </c>
      <c r="BC47" s="110">
        <f>BC49-BC48-BC46</f>
        <v>-4.3137254901960687E-3</v>
      </c>
      <c r="BD47" s="110">
        <f>BD49-BD48-BD46</f>
        <v>-1.4444444444444465E-2</v>
      </c>
      <c r="BE47" s="188">
        <f>SUMPRODUCT(BA47:BD47,AV$6:AY$6)/AZ$6</f>
        <v>-7.7751052315093204E-3</v>
      </c>
      <c r="BF47" s="110">
        <f>BF49-BF48-BF46</f>
        <v>-1.610169491525433E-2</v>
      </c>
      <c r="BG47" s="110">
        <f>BG49-BG48-BG46</f>
        <v>3.3749999999999954E-2</v>
      </c>
      <c r="BH47" s="110">
        <f>BH49-BH48-BH46</f>
        <v>3.8375634517766391E-2</v>
      </c>
      <c r="BI47" s="47">
        <f>BI49-BI48-BI46</f>
        <v>4.9465930018416135E-2</v>
      </c>
      <c r="BJ47" s="188">
        <f>SUMPRODUCT(BF47:BI47,BA$6:BD$6)/BE$6</f>
        <v>2.9224084419615066E-2</v>
      </c>
      <c r="BK47" s="110">
        <f>BK49-BK48-BK46</f>
        <v>3.9945355191256804E-2</v>
      </c>
      <c r="BL47" s="110">
        <f>BL49-BL48-BL46</f>
        <v>5.8862275449101727E-2</v>
      </c>
      <c r="BM47" s="110">
        <f>BM49-BM48-BM46</f>
        <v>3.040767386091122E-2</v>
      </c>
      <c r="BN47" s="47">
        <f>BN49-BN48-BN46</f>
        <v>2.6100178890876562E-2</v>
      </c>
      <c r="BO47" s="188">
        <f>SUMPRODUCT(BK47:BN47,BF$6:BI$6)/BJ$6</f>
        <v>3.6724343675417624E-2</v>
      </c>
      <c r="BP47" s="47">
        <f>BP49-BP48-BP46</f>
        <v>2.7887323943661908E-2</v>
      </c>
      <c r="BQ47" s="47">
        <f>BQ49-BQ48-BQ46</f>
        <v>-4.0056022408963086E-3</v>
      </c>
      <c r="BR47" s="47">
        <f>BR49-BR48-BR46</f>
        <v>-1.3680387409201036E-2</v>
      </c>
      <c r="BS47" s="47">
        <f>BS49-BS48-BS46</f>
        <v>6.3380281690137916E-4</v>
      </c>
      <c r="BT47" s="188">
        <f>SUMPRODUCT(BP47:BS47,BK$6:BN$6)/BO$6</f>
        <v>1.8783225044299769E-3</v>
      </c>
      <c r="BU47" s="671">
        <f>BU49-BU48-BU46</f>
        <v>1.3763440860215005E-2</v>
      </c>
      <c r="BV47" s="671">
        <f>BV49-BV48-BV46</f>
        <v>2.3977272727272708E-2</v>
      </c>
      <c r="BW47" s="671">
        <f>BW49-BW48-BW46</f>
        <v>5.3738317757009435E-2</v>
      </c>
      <c r="BX47" s="671">
        <f>BX49-BX48-BX46</f>
        <v>2.1292639138240661E-2</v>
      </c>
      <c r="BY47" s="188">
        <f>SUMPRODUCT(BU47:BX47,BP$6:BS$6)/BT$6</f>
        <v>2.8332358104154513E-2</v>
      </c>
      <c r="BZ47" s="671">
        <f>BZ49-BZ48-BZ46</f>
        <v>3.846938775510212E-2</v>
      </c>
      <c r="CA47" s="671">
        <f>CA49-CA48-CA46</f>
        <v>1.0781671159029615E-2</v>
      </c>
      <c r="CB47" s="671">
        <f>CB49-CB48-CB46</f>
        <v>5.4767184035476035E-3</v>
      </c>
      <c r="CC47" s="671">
        <f>CC49-CC48-CC46</f>
        <v>-1.9999999999999962E-2</v>
      </c>
      <c r="CD47" s="188">
        <f>SUMPRODUCT(BZ47:CC47,BU$6:BX$6)/BY$6</f>
        <v>5.5462653288740312E-3</v>
      </c>
      <c r="CE47" s="671">
        <f>CE49-CE48-CE46</f>
        <v>-3.3236009732360017E-2</v>
      </c>
      <c r="CF47" s="671">
        <f>CF49-CF48-CF46</f>
        <v>1.2666666666666701E-2</v>
      </c>
      <c r="CG47" s="671">
        <f>CG49-CG48-CG46</f>
        <v>-4.9314775160599483E-2</v>
      </c>
      <c r="CH47" s="671">
        <f>CH49-CH48-CH46</f>
        <v>-1.2233169129720795E-2</v>
      </c>
      <c r="CI47" s="188">
        <f>SUMPRODUCT(CE47:CH47,BZ$6:CC$6)/CD$6</f>
        <v>-2.1154672395273834E-2</v>
      </c>
      <c r="CJ47" s="806">
        <f>CJ49-CJ48-CJ46</f>
        <v>-2.4976303317535586E-2</v>
      </c>
      <c r="CK47" s="806">
        <f>CK49-CK48-CK46</f>
        <v>-2.6128266033254133E-2</v>
      </c>
      <c r="CL47" s="154">
        <v>-0.02</v>
      </c>
      <c r="CM47" s="806">
        <f>((CN47*CI6)-SUMPRODUCT(CE6:CG6,CJ47:CL47))/CH6</f>
        <v>-1.2594936708860749E-2</v>
      </c>
      <c r="CN47" s="195">
        <v>-0.02</v>
      </c>
      <c r="CO47" s="154">
        <f>CS47</f>
        <v>-0.01</v>
      </c>
      <c r="CP47" s="154">
        <f>CS47</f>
        <v>-0.01</v>
      </c>
      <c r="CQ47" s="145">
        <f>CS47</f>
        <v>-0.01</v>
      </c>
      <c r="CR47" s="47">
        <f>((CS47*CN6)-SUMPRODUCT(CJ6:CL6,CO47:CQ47))/CM6</f>
        <v>-9.9999999999999985E-3</v>
      </c>
      <c r="CS47" s="195">
        <v>-0.01</v>
      </c>
      <c r="CT47" s="154">
        <f>CX47</f>
        <v>-0.01</v>
      </c>
      <c r="CU47" s="154">
        <f>CX47</f>
        <v>-0.01</v>
      </c>
      <c r="CV47" s="145">
        <f>CX47</f>
        <v>-0.01</v>
      </c>
      <c r="CW47" s="47">
        <f>((CX47*CS6)-SUMPRODUCT(CO6:CQ6,CT47:CV47))/CR6</f>
        <v>-0.01</v>
      </c>
      <c r="CX47" s="195">
        <f>CS47</f>
        <v>-0.01</v>
      </c>
      <c r="CY47" s="154">
        <f>DC47</f>
        <v>-0.01</v>
      </c>
      <c r="CZ47" s="154">
        <f>DC47</f>
        <v>-0.01</v>
      </c>
      <c r="DA47" s="145">
        <f>DC47</f>
        <v>-0.01</v>
      </c>
      <c r="DB47" s="47">
        <f>((DC47*CX6)-SUMPRODUCT(CT6:CV6,CY47:DA47))/CW6</f>
        <v>-1.0000000000000004E-2</v>
      </c>
      <c r="DC47" s="195">
        <f>CX47</f>
        <v>-0.01</v>
      </c>
      <c r="DD47" s="154">
        <f>DH47</f>
        <v>-0.01</v>
      </c>
      <c r="DE47" s="154">
        <f>DH47</f>
        <v>-0.01</v>
      </c>
      <c r="DF47" s="145">
        <f>DH47</f>
        <v>-0.01</v>
      </c>
      <c r="DG47" s="47">
        <f>((DH47*DC6)-SUMPRODUCT(CY6:DA6,DD47:DF47))/DB6</f>
        <v>-1.0000000000000002E-2</v>
      </c>
      <c r="DH47" s="195">
        <f>DC47</f>
        <v>-0.01</v>
      </c>
    </row>
    <row r="48" spans="1:112" hidden="1" outlineLevel="1" x14ac:dyDescent="0.2">
      <c r="A48" s="162" t="s">
        <v>211</v>
      </c>
      <c r="B48" s="60" t="s">
        <v>221</v>
      </c>
      <c r="C48" s="60" t="s">
        <v>221</v>
      </c>
      <c r="D48" s="60" t="s">
        <v>221</v>
      </c>
      <c r="E48" s="60" t="s">
        <v>221</v>
      </c>
      <c r="F48" s="60" t="s">
        <v>221</v>
      </c>
      <c r="G48" s="267" t="s">
        <v>221</v>
      </c>
      <c r="H48" s="60" t="s">
        <v>221</v>
      </c>
      <c r="I48" s="60" t="s">
        <v>221</v>
      </c>
      <c r="J48" s="60" t="s">
        <v>221</v>
      </c>
      <c r="K48" s="60" t="s">
        <v>221</v>
      </c>
      <c r="L48" s="267" t="s">
        <v>221</v>
      </c>
      <c r="M48" s="60" t="s">
        <v>221</v>
      </c>
      <c r="N48" s="60" t="s">
        <v>221</v>
      </c>
      <c r="O48" s="60" t="s">
        <v>221</v>
      </c>
      <c r="P48" s="60" t="s">
        <v>221</v>
      </c>
      <c r="Q48" s="267" t="s">
        <v>221</v>
      </c>
      <c r="R48" s="60" t="s">
        <v>221</v>
      </c>
      <c r="S48" s="60" t="s">
        <v>221</v>
      </c>
      <c r="T48" s="60" t="s">
        <v>221</v>
      </c>
      <c r="U48" s="60" t="s">
        <v>221</v>
      </c>
      <c r="V48" s="267" t="s">
        <v>221</v>
      </c>
      <c r="W48" s="60" t="s">
        <v>221</v>
      </c>
      <c r="X48" s="60" t="s">
        <v>221</v>
      </c>
      <c r="Y48" s="60" t="s">
        <v>221</v>
      </c>
      <c r="Z48" s="60" t="s">
        <v>221</v>
      </c>
      <c r="AA48" s="267" t="s">
        <v>221</v>
      </c>
      <c r="AB48" s="60" t="s">
        <v>221</v>
      </c>
      <c r="AC48" s="60" t="s">
        <v>221</v>
      </c>
      <c r="AD48" s="60" t="s">
        <v>221</v>
      </c>
      <c r="AE48" s="60" t="s">
        <v>221</v>
      </c>
      <c r="AF48" s="267" t="s">
        <v>221</v>
      </c>
      <c r="AG48" s="60" t="s">
        <v>221</v>
      </c>
      <c r="AH48" s="60" t="s">
        <v>221</v>
      </c>
      <c r="AI48" s="60" t="s">
        <v>221</v>
      </c>
      <c r="AJ48" s="60" t="s">
        <v>221</v>
      </c>
      <c r="AK48" s="267" t="s">
        <v>221</v>
      </c>
      <c r="AL48" s="60" t="s">
        <v>221</v>
      </c>
      <c r="AM48" s="60" t="s">
        <v>221</v>
      </c>
      <c r="AN48" s="60" t="s">
        <v>221</v>
      </c>
      <c r="AO48" s="60" t="s">
        <v>221</v>
      </c>
      <c r="AP48" s="267">
        <f>(-0.1%*AK9)/AK6</f>
        <v>-2.9627139364303179E-3</v>
      </c>
      <c r="AQ48" s="110">
        <f>(-0.4%*AL9)/AL6</f>
        <v>-1.2906250000000001E-2</v>
      </c>
      <c r="AR48" s="110">
        <f>(-0.8%*AM9)/AM6</f>
        <v>-2.6209944751381213E-2</v>
      </c>
      <c r="AS48" s="110">
        <f>(-0.7%*AN9)/AN6</f>
        <v>-2.2932203389830503E-2</v>
      </c>
      <c r="AT48" s="110">
        <f>(-0.4%*AO9)/AO6</f>
        <v>-1.1094619666048237E-2</v>
      </c>
      <c r="AU48" s="276">
        <f>SUMPRODUCT(AQ48:AT48,AL6:AO6)/AP6</f>
        <v>-1.7606007067137809E-2</v>
      </c>
      <c r="AV48" s="110">
        <f>(AV31*AQ9)/AQ6</f>
        <v>-0.17821596244131455</v>
      </c>
      <c r="AW48" s="110">
        <v>0</v>
      </c>
      <c r="AX48" s="110">
        <v>0</v>
      </c>
      <c r="AY48" s="110">
        <v>0</v>
      </c>
      <c r="AZ48" s="276">
        <f>SUMPRODUCT(AV48:AY48,$AQ$6:$AT$6)/$AU$6</f>
        <v>-4.3986095017381231E-2</v>
      </c>
      <c r="BA48" s="110">
        <v>0</v>
      </c>
      <c r="BB48" s="110">
        <v>0</v>
      </c>
      <c r="BC48" s="110">
        <v>0</v>
      </c>
      <c r="BD48" s="47">
        <v>0</v>
      </c>
      <c r="BE48" s="188">
        <f>SUMPRODUCT(BA48:BD48,AV$6:AY$6)/AZ$6</f>
        <v>0</v>
      </c>
      <c r="BF48" s="110">
        <v>0</v>
      </c>
      <c r="BG48" s="110">
        <v>0</v>
      </c>
      <c r="BH48" s="47">
        <v>0</v>
      </c>
      <c r="BI48" s="47">
        <v>0</v>
      </c>
      <c r="BJ48" s="188">
        <f>SUMPRODUCT(BF48:BI48,BA$6:BD$6)/BE$6</f>
        <v>0</v>
      </c>
      <c r="BK48" s="47">
        <v>0</v>
      </c>
      <c r="BL48" s="47">
        <v>0</v>
      </c>
      <c r="BM48" s="47">
        <v>0</v>
      </c>
      <c r="BN48" s="47">
        <v>0</v>
      </c>
      <c r="BO48" s="188">
        <f>SUMPRODUCT(BK48:BN48,BF$6:BI$6)/BJ$6</f>
        <v>0</v>
      </c>
      <c r="BP48" s="47">
        <v>0</v>
      </c>
      <c r="BQ48" s="47">
        <v>0</v>
      </c>
      <c r="BR48" s="47">
        <v>0</v>
      </c>
      <c r="BS48" s="47">
        <v>0</v>
      </c>
      <c r="BT48" s="188">
        <f>SUMPRODUCT(BP48:BS48,BK$6:BN$6)/BO$6</f>
        <v>0</v>
      </c>
      <c r="BU48" s="670">
        <v>0</v>
      </c>
      <c r="BV48" s="670">
        <v>0</v>
      </c>
      <c r="BW48" s="670">
        <v>0</v>
      </c>
      <c r="BX48" s="670">
        <v>0</v>
      </c>
      <c r="BY48" s="188">
        <f>SUMPRODUCT(BU48:BX48,BP$6:BS$6)/BT$6</f>
        <v>0</v>
      </c>
      <c r="BZ48" s="670">
        <v>0</v>
      </c>
      <c r="CA48" s="670">
        <v>0</v>
      </c>
      <c r="CB48" s="670">
        <v>0</v>
      </c>
      <c r="CC48" s="610">
        <f>+(CC298*0.8)/BX6</f>
        <v>2.7362068965517239E-2</v>
      </c>
      <c r="CD48" s="188">
        <f>SUMPRODUCT(BZ48:CC48,BU$6:BX$6)/BY$6</f>
        <v>8.8461538461538456E-3</v>
      </c>
      <c r="CE48" s="670">
        <f>+(CE298*0.8)/BZ6</f>
        <v>5.4111922141119227E-2</v>
      </c>
      <c r="CF48" s="670">
        <f>+(CF298*0.8)/CA6</f>
        <v>6.7466666666666675E-2</v>
      </c>
      <c r="CG48" s="670">
        <f>+(CG298*0.8)/CB6</f>
        <v>5.6071734475374745E-2</v>
      </c>
      <c r="CH48" s="670">
        <f>+(CH298*0.8)/CC6</f>
        <v>1.7199014778325129E-2</v>
      </c>
      <c r="CI48" s="188">
        <f>SUMPRODUCT(CE48:CH48,BZ$6:CC$6)/CD$6</f>
        <v>4.5220032223415689E-2</v>
      </c>
      <c r="CJ48" s="670">
        <v>0</v>
      </c>
      <c r="CK48" s="670">
        <v>0</v>
      </c>
      <c r="CL48" s="145">
        <v>0</v>
      </c>
      <c r="CM48" s="145">
        <f>CM304</f>
        <v>5.1740506329113929E-2</v>
      </c>
      <c r="CN48" s="188">
        <f>SUMPRODUCT(CJ48:CM48,CE$6:CH$6)/CI$6</f>
        <v>1.6675165731769508E-2</v>
      </c>
      <c r="CO48" s="145">
        <f>CO304</f>
        <v>0.11122448979591838</v>
      </c>
      <c r="CP48" s="145">
        <f>CP304</f>
        <v>0.11963414634146342</v>
      </c>
      <c r="CQ48" s="145">
        <f>CQ304</f>
        <v>0.11000925925925929</v>
      </c>
      <c r="CR48" s="145">
        <f>CR304</f>
        <v>2.6351081604589623E-2</v>
      </c>
      <c r="CS48" s="188">
        <f>SUMPRODUCT(CO48:CR48,CJ$6:CM$6)/CN$6</f>
        <v>8.4133094257714924E-2</v>
      </c>
      <c r="CT48" s="154">
        <f>CX48</f>
        <v>0</v>
      </c>
      <c r="CU48" s="154">
        <f>CX48</f>
        <v>0</v>
      </c>
      <c r="CV48" s="145">
        <f>CX48</f>
        <v>0</v>
      </c>
      <c r="CW48" s="47">
        <f>((CX48*CS6)-SUMPRODUCT(CO6:CQ6,CT48:CV48))/CR6</f>
        <v>0</v>
      </c>
      <c r="CX48" s="195">
        <v>0</v>
      </c>
      <c r="CY48" s="154">
        <f>DC48</f>
        <v>0</v>
      </c>
      <c r="CZ48" s="154">
        <f>DC48</f>
        <v>0</v>
      </c>
      <c r="DA48" s="145">
        <f>DC48</f>
        <v>0</v>
      </c>
      <c r="DB48" s="47">
        <f>((DC48*CX6)-SUMPRODUCT(CT6:CV6,CY48:DA48))/CW6</f>
        <v>0</v>
      </c>
      <c r="DC48" s="195">
        <v>0</v>
      </c>
      <c r="DD48" s="154">
        <f>DH48</f>
        <v>0</v>
      </c>
      <c r="DE48" s="154">
        <f>DH48</f>
        <v>0</v>
      </c>
      <c r="DF48" s="145">
        <f>DH48</f>
        <v>0</v>
      </c>
      <c r="DG48" s="47">
        <f>((DH48*DC6)-SUMPRODUCT(CY6:DA6,DD48:DF48))/DB6</f>
        <v>0</v>
      </c>
      <c r="DH48" s="195">
        <v>0</v>
      </c>
    </row>
    <row r="49" spans="1:112" hidden="1" outlineLevel="1" x14ac:dyDescent="0.2">
      <c r="A49" s="169" t="s">
        <v>212</v>
      </c>
      <c r="B49" s="215" t="s">
        <v>221</v>
      </c>
      <c r="C49" s="215" t="s">
        <v>221</v>
      </c>
      <c r="D49" s="215" t="s">
        <v>221</v>
      </c>
      <c r="E49" s="215" t="s">
        <v>221</v>
      </c>
      <c r="F49" s="215" t="s">
        <v>221</v>
      </c>
      <c r="G49" s="268" t="s">
        <v>221</v>
      </c>
      <c r="H49" s="215" t="s">
        <v>221</v>
      </c>
      <c r="I49" s="215" t="s">
        <v>221</v>
      </c>
      <c r="J49" s="215" t="s">
        <v>221</v>
      </c>
      <c r="K49" s="215" t="s">
        <v>221</v>
      </c>
      <c r="L49" s="268" t="s">
        <v>221</v>
      </c>
      <c r="M49" s="215" t="s">
        <v>221</v>
      </c>
      <c r="N49" s="215" t="s">
        <v>221</v>
      </c>
      <c r="O49" s="215" t="s">
        <v>221</v>
      </c>
      <c r="P49" s="215" t="s">
        <v>221</v>
      </c>
      <c r="Q49" s="268" t="s">
        <v>221</v>
      </c>
      <c r="R49" s="215" t="s">
        <v>221</v>
      </c>
      <c r="S49" s="215" t="s">
        <v>221</v>
      </c>
      <c r="T49" s="215" t="s">
        <v>221</v>
      </c>
      <c r="U49" s="215" t="s">
        <v>221</v>
      </c>
      <c r="V49" s="268" t="s">
        <v>221</v>
      </c>
      <c r="W49" s="215" t="s">
        <v>221</v>
      </c>
      <c r="X49" s="215" t="s">
        <v>221</v>
      </c>
      <c r="Y49" s="215" t="s">
        <v>221</v>
      </c>
      <c r="Z49" s="215" t="s">
        <v>221</v>
      </c>
      <c r="AA49" s="268" t="s">
        <v>221</v>
      </c>
      <c r="AB49" s="215" t="s">
        <v>221</v>
      </c>
      <c r="AC49" s="215" t="s">
        <v>221</v>
      </c>
      <c r="AD49" s="215" t="s">
        <v>221</v>
      </c>
      <c r="AE49" s="215" t="s">
        <v>221</v>
      </c>
      <c r="AF49" s="268" t="s">
        <v>221</v>
      </c>
      <c r="AG49" s="215" t="s">
        <v>221</v>
      </c>
      <c r="AH49" s="215" t="s">
        <v>221</v>
      </c>
      <c r="AI49" s="215" t="s">
        <v>221</v>
      </c>
      <c r="AJ49" s="215" t="s">
        <v>221</v>
      </c>
      <c r="AK49" s="268" t="s">
        <v>221</v>
      </c>
      <c r="AL49" s="215">
        <f t="shared" ref="AL49:AT49" si="92">AL6/AG6-1</f>
        <v>3.2258064516129004E-2</v>
      </c>
      <c r="AM49" s="215">
        <f t="shared" si="92"/>
        <v>1.4005602240896309E-2</v>
      </c>
      <c r="AN49" s="215">
        <f t="shared" si="92"/>
        <v>1.9753086419753041E-2</v>
      </c>
      <c r="AO49" s="215">
        <f t="shared" si="92"/>
        <v>7.370517928286846E-2</v>
      </c>
      <c r="AP49" s="279">
        <f t="shared" si="92"/>
        <v>3.7897310513447469E-2</v>
      </c>
      <c r="AQ49" s="113">
        <f t="shared" si="92"/>
        <v>0.109375</v>
      </c>
      <c r="AR49" s="113">
        <f t="shared" si="92"/>
        <v>-2.2099447513812209E-2</v>
      </c>
      <c r="AS49" s="113">
        <f t="shared" si="92"/>
        <v>-1.4527845036319653E-2</v>
      </c>
      <c r="AT49" s="113">
        <f t="shared" si="92"/>
        <v>-1.8552875695733162E-3</v>
      </c>
      <c r="AU49" s="279">
        <f t="shared" ref="AU49:BM49" si="93">AU6/AP6-1</f>
        <v>1.648998822143688E-2</v>
      </c>
      <c r="AV49" s="113">
        <f t="shared" si="93"/>
        <v>-0.10563380281690138</v>
      </c>
      <c r="AW49" s="113">
        <f t="shared" si="93"/>
        <v>-5.6497175141242972E-2</v>
      </c>
      <c r="AX49" s="113">
        <f t="shared" si="93"/>
        <v>2.4570024570025328E-3</v>
      </c>
      <c r="AY49" s="113">
        <f t="shared" si="93"/>
        <v>3.7174721189590088E-3</v>
      </c>
      <c r="AZ49" s="279">
        <f t="shared" si="93"/>
        <v>-3.6500579374275754E-2</v>
      </c>
      <c r="BA49" s="113">
        <f t="shared" si="93"/>
        <v>-7.086614173228345E-2</v>
      </c>
      <c r="BB49" s="113">
        <f t="shared" si="93"/>
        <v>-4.1916167664670656E-2</v>
      </c>
      <c r="BC49" s="113">
        <f t="shared" si="93"/>
        <v>-3.4313725490196068E-2</v>
      </c>
      <c r="BD49" s="113">
        <f t="shared" si="93"/>
        <v>5.5555555555555358E-3</v>
      </c>
      <c r="BE49" s="190">
        <f t="shared" si="93"/>
        <v>-3.1268791340950064E-2</v>
      </c>
      <c r="BF49" s="113">
        <f t="shared" si="93"/>
        <v>3.3898305084745672E-2</v>
      </c>
      <c r="BG49" s="113">
        <f t="shared" si="93"/>
        <v>4.3749999999999956E-2</v>
      </c>
      <c r="BH49" s="113">
        <f t="shared" si="93"/>
        <v>5.8375634517766395E-2</v>
      </c>
      <c r="BI49" s="113">
        <f t="shared" si="93"/>
        <v>2.9465930018416131E-2</v>
      </c>
      <c r="BJ49" s="190">
        <f t="shared" si="93"/>
        <v>4.0347610180012428E-2</v>
      </c>
      <c r="BK49" s="113">
        <f t="shared" si="93"/>
        <v>-3.0054644808743203E-2</v>
      </c>
      <c r="BL49" s="113">
        <f t="shared" si="93"/>
        <v>6.8862275449101729E-2</v>
      </c>
      <c r="BM49" s="113">
        <f t="shared" si="93"/>
        <v>-9.5923261390887804E-3</v>
      </c>
      <c r="BN49" s="113">
        <f t="shared" ref="BN49:BT49" si="94">BN6/BI6-1</f>
        <v>1.610017889087656E-2</v>
      </c>
      <c r="BO49" s="190">
        <f t="shared" si="94"/>
        <v>1.0143198090692085E-2</v>
      </c>
      <c r="BP49" s="113">
        <f t="shared" si="94"/>
        <v>4.7887323943661908E-2</v>
      </c>
      <c r="BQ49" s="113">
        <f t="shared" si="94"/>
        <v>-1.4005602240896309E-2</v>
      </c>
      <c r="BR49" s="113">
        <f t="shared" si="94"/>
        <v>3.6319612590798966E-2</v>
      </c>
      <c r="BS49" s="113">
        <f t="shared" si="94"/>
        <v>-1.9366197183098621E-2</v>
      </c>
      <c r="BT49" s="190">
        <f t="shared" si="94"/>
        <v>9.4506792675723705E-3</v>
      </c>
      <c r="BU49" s="672">
        <f t="shared" ref="BU49:CK49" si="95">BU6/BP6-1</f>
        <v>5.3763440860215006E-2</v>
      </c>
      <c r="BV49" s="672">
        <f t="shared" si="95"/>
        <v>5.3977272727272707E-2</v>
      </c>
      <c r="BW49" s="672">
        <f t="shared" si="95"/>
        <v>5.3738317757009435E-2</v>
      </c>
      <c r="BX49" s="672">
        <f t="shared" si="95"/>
        <v>4.1292639138240661E-2</v>
      </c>
      <c r="BY49" s="190">
        <f t="shared" si="95"/>
        <v>4.9736688121708506E-2</v>
      </c>
      <c r="BZ49" s="672">
        <f t="shared" si="95"/>
        <v>4.8469387755102122E-2</v>
      </c>
      <c r="CA49" s="672">
        <f t="shared" si="95"/>
        <v>1.0781671159029615E-2</v>
      </c>
      <c r="CB49" s="672">
        <f t="shared" si="95"/>
        <v>3.5476718403547602E-2</v>
      </c>
      <c r="CC49" s="672">
        <f t="shared" si="95"/>
        <v>5.0000000000000044E-2</v>
      </c>
      <c r="CD49" s="190">
        <f t="shared" si="95"/>
        <v>3.7904124860646649E-2</v>
      </c>
      <c r="CE49" s="672">
        <f t="shared" si="95"/>
        <v>2.6763990267639981E-2</v>
      </c>
      <c r="CF49" s="672">
        <f t="shared" si="95"/>
        <v>0.1226666666666667</v>
      </c>
      <c r="CG49" s="672">
        <f t="shared" si="95"/>
        <v>4.0685224839400513E-2</v>
      </c>
      <c r="CH49" s="672">
        <f t="shared" si="95"/>
        <v>3.7766830870279211E-2</v>
      </c>
      <c r="CI49" s="190">
        <f>CI6/CD6-1</f>
        <v>5.3168635875402881E-2</v>
      </c>
      <c r="CJ49" s="672">
        <f t="shared" si="95"/>
        <v>4.502369668246442E-2</v>
      </c>
      <c r="CK49" s="672">
        <f t="shared" si="95"/>
        <v>-2.6128266033254133E-2</v>
      </c>
      <c r="CL49" s="113">
        <f t="shared" ref="CL49:CX49" si="96">SUM(CL46:CL48)</f>
        <v>0</v>
      </c>
      <c r="CM49" s="113">
        <f t="shared" si="96"/>
        <v>7.0110759493670891E-2</v>
      </c>
      <c r="CN49" s="190">
        <f t="shared" si="96"/>
        <v>2.6675165731769507E-2</v>
      </c>
      <c r="CO49" s="113">
        <f t="shared" si="96"/>
        <v>0.11122448979591838</v>
      </c>
      <c r="CP49" s="113">
        <f t="shared" si="96"/>
        <v>0.14963414634146344</v>
      </c>
      <c r="CQ49" s="113">
        <f t="shared" si="96"/>
        <v>0.12500925925925929</v>
      </c>
      <c r="CR49" s="113">
        <f t="shared" si="96"/>
        <v>4.2038636128402675E-2</v>
      </c>
      <c r="CS49" s="190">
        <f t="shared" si="96"/>
        <v>9.9133094257714924E-2</v>
      </c>
      <c r="CT49" s="113">
        <f t="shared" si="96"/>
        <v>1.5000000000000001E-2</v>
      </c>
      <c r="CU49" s="113">
        <f t="shared" si="96"/>
        <v>1.5000000000000001E-2</v>
      </c>
      <c r="CV49" s="113">
        <f t="shared" si="96"/>
        <v>1.5000000000000001E-2</v>
      </c>
      <c r="CW49" s="113">
        <f t="shared" si="96"/>
        <v>1.5000000000000001E-2</v>
      </c>
      <c r="CX49" s="190">
        <f t="shared" si="96"/>
        <v>1.5000000000000001E-2</v>
      </c>
      <c r="CY49" s="113">
        <f t="shared" ref="CY49:DH49" si="97">SUM(CY46:CY48)</f>
        <v>1.5000000000000001E-2</v>
      </c>
      <c r="CZ49" s="113">
        <f t="shared" si="97"/>
        <v>1.5000000000000001E-2</v>
      </c>
      <c r="DA49" s="113">
        <f t="shared" si="97"/>
        <v>1.5000000000000001E-2</v>
      </c>
      <c r="DB49" s="113">
        <f t="shared" si="97"/>
        <v>1.4999999999999991E-2</v>
      </c>
      <c r="DC49" s="190">
        <f t="shared" si="97"/>
        <v>1.5000000000000001E-2</v>
      </c>
      <c r="DD49" s="113">
        <f t="shared" si="97"/>
        <v>1.5000000000000001E-2</v>
      </c>
      <c r="DE49" s="113">
        <f t="shared" si="97"/>
        <v>1.5000000000000001E-2</v>
      </c>
      <c r="DF49" s="113">
        <f t="shared" si="97"/>
        <v>1.5000000000000001E-2</v>
      </c>
      <c r="DG49" s="113">
        <f t="shared" si="97"/>
        <v>1.5000000000000006E-2</v>
      </c>
      <c r="DH49" s="190">
        <f t="shared" si="97"/>
        <v>1.5000000000000001E-2</v>
      </c>
    </row>
    <row r="50" spans="1:112" hidden="1" outlineLevel="1" x14ac:dyDescent="0.2">
      <c r="A50" s="163" t="s">
        <v>213</v>
      </c>
      <c r="B50" s="60" t="s">
        <v>221</v>
      </c>
      <c r="C50" s="60" t="s">
        <v>221</v>
      </c>
      <c r="D50" s="60" t="s">
        <v>221</v>
      </c>
      <c r="E50" s="60" t="s">
        <v>221</v>
      </c>
      <c r="F50" s="60" t="s">
        <v>221</v>
      </c>
      <c r="G50" s="267" t="s">
        <v>221</v>
      </c>
      <c r="H50" s="60" t="s">
        <v>221</v>
      </c>
      <c r="I50" s="60" t="s">
        <v>221</v>
      </c>
      <c r="J50" s="60" t="s">
        <v>221</v>
      </c>
      <c r="K50" s="60" t="s">
        <v>221</v>
      </c>
      <c r="L50" s="267" t="s">
        <v>221</v>
      </c>
      <c r="M50" s="60" t="s">
        <v>221</v>
      </c>
      <c r="N50" s="60" t="s">
        <v>221</v>
      </c>
      <c r="O50" s="60" t="s">
        <v>221</v>
      </c>
      <c r="P50" s="60" t="s">
        <v>221</v>
      </c>
      <c r="Q50" s="267" t="s">
        <v>221</v>
      </c>
      <c r="R50" s="60" t="s">
        <v>221</v>
      </c>
      <c r="S50" s="60" t="s">
        <v>221</v>
      </c>
      <c r="T50" s="60" t="s">
        <v>221</v>
      </c>
      <c r="U50" s="60" t="s">
        <v>221</v>
      </c>
      <c r="V50" s="267" t="s">
        <v>221</v>
      </c>
      <c r="W50" s="60" t="s">
        <v>221</v>
      </c>
      <c r="X50" s="60" t="s">
        <v>221</v>
      </c>
      <c r="Y50" s="60" t="s">
        <v>221</v>
      </c>
      <c r="Z50" s="60" t="s">
        <v>221</v>
      </c>
      <c r="AA50" s="267" t="s">
        <v>221</v>
      </c>
      <c r="AB50" s="60" t="s">
        <v>221</v>
      </c>
      <c r="AC50" s="60" t="s">
        <v>221</v>
      </c>
      <c r="AD50" s="60" t="s">
        <v>221</v>
      </c>
      <c r="AE50" s="60" t="s">
        <v>221</v>
      </c>
      <c r="AF50" s="267" t="s">
        <v>221</v>
      </c>
      <c r="AG50" s="60" t="s">
        <v>221</v>
      </c>
      <c r="AH50" s="60" t="s">
        <v>221</v>
      </c>
      <c r="AI50" s="60" t="s">
        <v>221</v>
      </c>
      <c r="AJ50" s="60" t="s">
        <v>221</v>
      </c>
      <c r="AK50" s="267" t="s">
        <v>221</v>
      </c>
      <c r="AL50" s="60" t="s">
        <v>221</v>
      </c>
      <c r="AM50" s="60" t="s">
        <v>221</v>
      </c>
      <c r="AN50" s="60" t="s">
        <v>221</v>
      </c>
      <c r="AO50" s="60" t="s">
        <v>221</v>
      </c>
      <c r="AP50" s="292">
        <f t="shared" ref="AP50:AU50" si="98">SUM(AP46:AP47)</f>
        <v>4.1000000000000002E-2</v>
      </c>
      <c r="AQ50" s="165">
        <f t="shared" si="98"/>
        <v>0.12228125000000001</v>
      </c>
      <c r="AR50" s="165">
        <f t="shared" si="98"/>
        <v>4.1104972375690108E-3</v>
      </c>
      <c r="AS50" s="165">
        <f t="shared" si="98"/>
        <v>8.4043583535108532E-3</v>
      </c>
      <c r="AT50" s="165">
        <f t="shared" si="98"/>
        <v>9.2393320964749212E-3</v>
      </c>
      <c r="AU50" s="292">
        <f t="shared" si="98"/>
        <v>3.3507067137809154E-2</v>
      </c>
      <c r="AV50" s="165">
        <f t="shared" ref="AV50:BE50" si="99">AV46+AV47</f>
        <v>7.2582159624413167E-2</v>
      </c>
      <c r="AW50" s="165">
        <f t="shared" si="99"/>
        <v>-5.6497175141242972E-2</v>
      </c>
      <c r="AX50" s="165">
        <f t="shared" si="99"/>
        <v>2.4570024570025328E-3</v>
      </c>
      <c r="AY50" s="165">
        <f t="shared" si="99"/>
        <v>3.7174721189590088E-3</v>
      </c>
      <c r="AZ50" s="292">
        <f t="shared" si="99"/>
        <v>2.7925840092699727E-3</v>
      </c>
      <c r="BA50" s="165">
        <f t="shared" si="99"/>
        <v>-7.086614173228345E-2</v>
      </c>
      <c r="BB50" s="165">
        <f t="shared" si="99"/>
        <v>-4.1916167664670656E-2</v>
      </c>
      <c r="BC50" s="165">
        <f>BC46+BC47</f>
        <v>-3.4313725490196068E-2</v>
      </c>
      <c r="BD50" s="165">
        <f t="shared" si="99"/>
        <v>5.5555555555555358E-3</v>
      </c>
      <c r="BE50" s="189">
        <f t="shared" si="99"/>
        <v>-3.1268791340950085E-2</v>
      </c>
      <c r="BF50" s="165">
        <f t="shared" ref="BF50:CX50" si="100">BF46+BF47</f>
        <v>3.3898305084745672E-2</v>
      </c>
      <c r="BG50" s="165">
        <f>BG46+BG47</f>
        <v>4.3749999999999956E-2</v>
      </c>
      <c r="BH50" s="165">
        <f t="shared" si="100"/>
        <v>5.8375634517766395E-2</v>
      </c>
      <c r="BI50" s="165">
        <f t="shared" si="100"/>
        <v>2.9465930018416134E-2</v>
      </c>
      <c r="BJ50" s="189">
        <f t="shared" si="100"/>
        <v>4.034761018001233E-2</v>
      </c>
      <c r="BK50" s="165">
        <f t="shared" si="100"/>
        <v>-3.0054644808743203E-2</v>
      </c>
      <c r="BL50" s="165">
        <f t="shared" si="100"/>
        <v>6.8862275449101729E-2</v>
      </c>
      <c r="BM50" s="165">
        <f t="shared" si="100"/>
        <v>-9.5923261390887804E-3</v>
      </c>
      <c r="BN50" s="165">
        <f>BN46+BN47</f>
        <v>1.610017889087656E-2</v>
      </c>
      <c r="BO50" s="189">
        <f>BO46+BO47</f>
        <v>1.0143198090692088E-2</v>
      </c>
      <c r="BP50" s="165">
        <f t="shared" si="100"/>
        <v>4.7887323943661908E-2</v>
      </c>
      <c r="BQ50" s="165">
        <f>BQ46+BQ47</f>
        <v>-1.4005602240896309E-2</v>
      </c>
      <c r="BR50" s="165">
        <f t="shared" si="100"/>
        <v>3.6319612590798966E-2</v>
      </c>
      <c r="BS50" s="165">
        <f t="shared" si="100"/>
        <v>-1.9366197183098621E-2</v>
      </c>
      <c r="BT50" s="189">
        <f>BT46+BT47</f>
        <v>9.4506792675723289E-3</v>
      </c>
      <c r="BU50" s="165">
        <f t="shared" si="100"/>
        <v>5.3763440860215006E-2</v>
      </c>
      <c r="BV50" s="165">
        <f t="shared" si="100"/>
        <v>5.3977272727272707E-2</v>
      </c>
      <c r="BW50" s="165">
        <f t="shared" si="100"/>
        <v>5.3738317757009435E-2</v>
      </c>
      <c r="BX50" s="165">
        <f t="shared" si="100"/>
        <v>4.1292639138240661E-2</v>
      </c>
      <c r="BY50" s="189">
        <f>BY46+BY47</f>
        <v>4.9736688121708637E-2</v>
      </c>
      <c r="BZ50" s="165">
        <f t="shared" si="100"/>
        <v>4.8469387755102122E-2</v>
      </c>
      <c r="CA50" s="165">
        <f t="shared" si="100"/>
        <v>1.0781671159029615E-2</v>
      </c>
      <c r="CB50" s="165">
        <f t="shared" si="100"/>
        <v>3.5476718403547602E-2</v>
      </c>
      <c r="CC50" s="165">
        <f t="shared" si="100"/>
        <v>2.2637931034482806E-2</v>
      </c>
      <c r="CD50" s="189">
        <f>CD46+CD47</f>
        <v>2.9057971014492763E-2</v>
      </c>
      <c r="CE50" s="165">
        <f t="shared" si="100"/>
        <v>-2.7347931873479246E-2</v>
      </c>
      <c r="CF50" s="108">
        <f>CF46+CF47</f>
        <v>5.5200000000000027E-2</v>
      </c>
      <c r="CG50" s="165">
        <f t="shared" si="100"/>
        <v>-1.5386509635974231E-2</v>
      </c>
      <c r="CH50" s="165">
        <f>CH46+CH47</f>
        <v>2.0567816091954082E-2</v>
      </c>
      <c r="CI50" s="189">
        <f t="shared" si="100"/>
        <v>7.9486036519871676E-3</v>
      </c>
      <c r="CJ50" s="165">
        <f t="shared" si="100"/>
        <v>4.502369668246442E-2</v>
      </c>
      <c r="CK50" s="165">
        <f t="shared" si="100"/>
        <v>-2.6128266033254133E-2</v>
      </c>
      <c r="CL50" s="165">
        <f t="shared" si="100"/>
        <v>0</v>
      </c>
      <c r="CM50" s="165">
        <f t="shared" si="100"/>
        <v>1.8370253164556961E-2</v>
      </c>
      <c r="CN50" s="189">
        <f t="shared" si="100"/>
        <v>9.9999999999999985E-3</v>
      </c>
      <c r="CO50" s="165">
        <f t="shared" si="100"/>
        <v>0</v>
      </c>
      <c r="CP50" s="165">
        <f t="shared" si="100"/>
        <v>0.03</v>
      </c>
      <c r="CQ50" s="165">
        <f t="shared" si="100"/>
        <v>1.5000000000000001E-2</v>
      </c>
      <c r="CR50" s="165">
        <f t="shared" si="100"/>
        <v>1.5687554523813051E-2</v>
      </c>
      <c r="CS50" s="189">
        <f t="shared" si="100"/>
        <v>1.5000000000000001E-2</v>
      </c>
      <c r="CT50" s="165">
        <f t="shared" si="100"/>
        <v>1.5000000000000001E-2</v>
      </c>
      <c r="CU50" s="165">
        <f t="shared" si="100"/>
        <v>1.5000000000000001E-2</v>
      </c>
      <c r="CV50" s="165">
        <f t="shared" si="100"/>
        <v>1.5000000000000001E-2</v>
      </c>
      <c r="CW50" s="165">
        <f t="shared" si="100"/>
        <v>1.5000000000000001E-2</v>
      </c>
      <c r="CX50" s="189">
        <f t="shared" si="100"/>
        <v>1.5000000000000001E-2</v>
      </c>
      <c r="CY50" s="165">
        <f>CY46+CY47</f>
        <v>1.5000000000000001E-2</v>
      </c>
      <c r="CZ50" s="165">
        <f>CZ46+CZ47</f>
        <v>1.5000000000000001E-2</v>
      </c>
      <c r="DA50" s="165">
        <f>DA46+DA47</f>
        <v>1.5000000000000001E-2</v>
      </c>
      <c r="DB50" s="165">
        <f>DB46+DB47</f>
        <v>1.4999999999999991E-2</v>
      </c>
      <c r="DC50" s="189">
        <f t="shared" ref="DC50:DH50" si="101">DC46+DC47</f>
        <v>1.5000000000000001E-2</v>
      </c>
      <c r="DD50" s="165">
        <f t="shared" si="101"/>
        <v>1.5000000000000001E-2</v>
      </c>
      <c r="DE50" s="165">
        <f t="shared" si="101"/>
        <v>1.5000000000000001E-2</v>
      </c>
      <c r="DF50" s="165">
        <f t="shared" si="101"/>
        <v>1.5000000000000001E-2</v>
      </c>
      <c r="DG50" s="165">
        <f t="shared" si="101"/>
        <v>1.5000000000000006E-2</v>
      </c>
      <c r="DH50" s="189">
        <f t="shared" si="101"/>
        <v>1.5000000000000001E-2</v>
      </c>
    </row>
    <row r="51" spans="1:112" hidden="1" outlineLevel="1" x14ac:dyDescent="0.2">
      <c r="A51" s="176" t="s">
        <v>227</v>
      </c>
      <c r="B51" s="48"/>
      <c r="C51" s="48"/>
      <c r="D51" s="48"/>
      <c r="E51" s="48"/>
      <c r="F51" s="48"/>
      <c r="G51" s="188"/>
      <c r="H51" s="48"/>
      <c r="I51" s="48"/>
      <c r="J51" s="48"/>
      <c r="K51" s="48"/>
      <c r="L51" s="188"/>
      <c r="M51" s="48"/>
      <c r="N51" s="48"/>
      <c r="O51" s="48"/>
      <c r="P51" s="48"/>
      <c r="Q51" s="188"/>
      <c r="R51" s="48"/>
      <c r="S51" s="48"/>
      <c r="T51" s="48"/>
      <c r="U51" s="48"/>
      <c r="V51" s="188"/>
      <c r="W51" s="48"/>
      <c r="X51" s="48"/>
      <c r="Y51" s="48"/>
      <c r="Z51" s="48"/>
      <c r="AA51" s="188"/>
      <c r="AB51" s="48"/>
      <c r="AC51" s="48"/>
      <c r="AD51" s="48"/>
      <c r="AE51" s="48"/>
      <c r="AF51" s="188"/>
      <c r="AG51" s="48"/>
      <c r="AH51" s="48"/>
      <c r="AI51" s="48"/>
      <c r="AJ51" s="48"/>
      <c r="AK51" s="188"/>
      <c r="AL51" s="48"/>
      <c r="AM51" s="48"/>
      <c r="AN51" s="48"/>
      <c r="AO51" s="48"/>
      <c r="AP51" s="188"/>
      <c r="AQ51" s="110"/>
      <c r="AR51" s="110"/>
      <c r="AS51" s="110"/>
      <c r="AT51" s="110"/>
      <c r="AU51" s="201">
        <f t="shared" ref="AU51:AZ51" si="102">AVERAGE(AU50,AP50)</f>
        <v>3.7253533568904582E-2</v>
      </c>
      <c r="AV51" s="178">
        <f t="shared" si="102"/>
        <v>9.7431704812206588E-2</v>
      </c>
      <c r="AW51" s="178">
        <f t="shared" si="102"/>
        <v>-2.6193338951836981E-2</v>
      </c>
      <c r="AX51" s="178">
        <f t="shared" si="102"/>
        <v>5.430680405256693E-3</v>
      </c>
      <c r="AY51" s="178">
        <f t="shared" si="102"/>
        <v>6.478402107716965E-3</v>
      </c>
      <c r="AZ51" s="201">
        <f t="shared" si="102"/>
        <v>1.8149825573539564E-2</v>
      </c>
      <c r="BA51" s="178">
        <f t="shared" ref="BA51:BK51" si="103">AVERAGE(BA50,AV50)</f>
        <v>8.5800894606485878E-4</v>
      </c>
      <c r="BB51" s="178">
        <f t="shared" si="103"/>
        <v>-4.9206671402956814E-2</v>
      </c>
      <c r="BC51" s="178">
        <f t="shared" si="103"/>
        <v>-1.5928361516596767E-2</v>
      </c>
      <c r="BD51" s="178">
        <f t="shared" si="103"/>
        <v>4.6365138372572723E-3</v>
      </c>
      <c r="BE51" s="201">
        <f t="shared" si="103"/>
        <v>-1.4238103665840055E-2</v>
      </c>
      <c r="BF51" s="178">
        <f t="shared" si="103"/>
        <v>-1.8483918323768889E-2</v>
      </c>
      <c r="BG51" s="178">
        <f t="shared" si="103"/>
        <v>9.1691616766464978E-4</v>
      </c>
      <c r="BH51" s="178">
        <f t="shared" si="103"/>
        <v>1.2030954513785164E-2</v>
      </c>
      <c r="BI51" s="178">
        <f t="shared" si="103"/>
        <v>1.7510742786985833E-2</v>
      </c>
      <c r="BJ51" s="201">
        <f t="shared" si="103"/>
        <v>4.5394094195311228E-3</v>
      </c>
      <c r="BK51" s="178">
        <f t="shared" si="103"/>
        <v>1.9218301380012348E-3</v>
      </c>
      <c r="BL51" s="178">
        <f t="shared" ref="BL51:CX51" si="104">AVERAGE(BL50,BG50)</f>
        <v>5.6306137724550842E-2</v>
      </c>
      <c r="BM51" s="178">
        <f t="shared" si="104"/>
        <v>2.4391654189338807E-2</v>
      </c>
      <c r="BN51" s="178">
        <f>AVERAGE(BN50,BI50)</f>
        <v>2.2783054454646345E-2</v>
      </c>
      <c r="BO51" s="201">
        <f>AVERAGE(BO50,BJ50)</f>
        <v>2.5245404135352208E-2</v>
      </c>
      <c r="BP51" s="178">
        <f t="shared" si="104"/>
        <v>8.9163395674593526E-3</v>
      </c>
      <c r="BQ51" s="178">
        <f t="shared" si="104"/>
        <v>2.742833660410271E-2</v>
      </c>
      <c r="BR51" s="200">
        <f t="shared" si="104"/>
        <v>1.3363643225855093E-2</v>
      </c>
      <c r="BS51" s="200">
        <f t="shared" si="104"/>
        <v>-1.6330091461110308E-3</v>
      </c>
      <c r="BT51" s="201">
        <f>AVERAGE(BT50,BO50)</f>
        <v>9.7969386791322086E-3</v>
      </c>
      <c r="BU51" s="178">
        <f t="shared" si="104"/>
        <v>5.0825382401938457E-2</v>
      </c>
      <c r="BV51" s="178">
        <f t="shared" si="104"/>
        <v>1.9985835243188199E-2</v>
      </c>
      <c r="BW51" s="200">
        <f t="shared" si="104"/>
        <v>4.5028965173904201E-2</v>
      </c>
      <c r="BX51" s="200">
        <f t="shared" si="104"/>
        <v>1.096322097757102E-2</v>
      </c>
      <c r="BY51" s="201">
        <f>AVERAGE(BY50,BT50)</f>
        <v>2.9593683694640483E-2</v>
      </c>
      <c r="BZ51" s="178">
        <f t="shared" si="104"/>
        <v>5.1116414307658564E-2</v>
      </c>
      <c r="CA51" s="178">
        <f t="shared" si="104"/>
        <v>3.2379471943151161E-2</v>
      </c>
      <c r="CB51" s="200">
        <f t="shared" si="104"/>
        <v>4.4607518080278519E-2</v>
      </c>
      <c r="CC51" s="200">
        <f t="shared" si="104"/>
        <v>3.1965285086361733E-2</v>
      </c>
      <c r="CD51" s="201">
        <f t="shared" ref="CD51:CI51" si="105">AVERAGE(CD50,BY50)</f>
        <v>3.93973295681007E-2</v>
      </c>
      <c r="CE51" s="178">
        <f t="shared" si="105"/>
        <v>1.0560727940811438E-2</v>
      </c>
      <c r="CF51" s="115">
        <f t="shared" si="105"/>
        <v>3.2990835579514821E-2</v>
      </c>
      <c r="CG51" s="200">
        <f t="shared" si="105"/>
        <v>1.0045104383786686E-2</v>
      </c>
      <c r="CH51" s="200">
        <f t="shared" si="105"/>
        <v>2.1602873563218446E-2</v>
      </c>
      <c r="CI51" s="201">
        <f t="shared" si="105"/>
        <v>1.8503287333239964E-2</v>
      </c>
      <c r="CJ51" s="178">
        <f t="shared" si="104"/>
        <v>8.837882404492587E-3</v>
      </c>
      <c r="CK51" s="178">
        <f t="shared" si="104"/>
        <v>1.4535866983372947E-2</v>
      </c>
      <c r="CL51" s="200">
        <f t="shared" si="104"/>
        <v>-7.6932548179871156E-3</v>
      </c>
      <c r="CM51" s="200">
        <f t="shared" si="104"/>
        <v>1.946903462825552E-2</v>
      </c>
      <c r="CN51" s="201">
        <f t="shared" si="104"/>
        <v>8.9743018259935831E-3</v>
      </c>
      <c r="CO51" s="178">
        <f t="shared" si="104"/>
        <v>2.251184834123221E-2</v>
      </c>
      <c r="CP51" s="178">
        <f t="shared" si="104"/>
        <v>1.9358669833729331E-3</v>
      </c>
      <c r="CQ51" s="200">
        <f t="shared" si="104"/>
        <v>7.5000000000000006E-3</v>
      </c>
      <c r="CR51" s="200">
        <f t="shared" si="104"/>
        <v>1.7028903844185005E-2</v>
      </c>
      <c r="CS51" s="201">
        <f t="shared" si="104"/>
        <v>1.2500000000000001E-2</v>
      </c>
      <c r="CT51" s="178">
        <f t="shared" si="104"/>
        <v>7.5000000000000006E-3</v>
      </c>
      <c r="CU51" s="178">
        <f t="shared" si="104"/>
        <v>2.2499999999999999E-2</v>
      </c>
      <c r="CV51" s="200">
        <f t="shared" si="104"/>
        <v>1.5000000000000001E-2</v>
      </c>
      <c r="CW51" s="200">
        <f t="shared" si="104"/>
        <v>1.5343777261906527E-2</v>
      </c>
      <c r="CX51" s="201">
        <f t="shared" si="104"/>
        <v>1.5000000000000001E-2</v>
      </c>
      <c r="CY51" s="178">
        <f t="shared" ref="CY51:DH51" si="106">AVERAGE(CY50,CT50)</f>
        <v>1.5000000000000001E-2</v>
      </c>
      <c r="CZ51" s="178">
        <f t="shared" si="106"/>
        <v>1.5000000000000001E-2</v>
      </c>
      <c r="DA51" s="200">
        <f t="shared" si="106"/>
        <v>1.5000000000000001E-2</v>
      </c>
      <c r="DB51" s="200">
        <f t="shared" si="106"/>
        <v>1.4999999999999996E-2</v>
      </c>
      <c r="DC51" s="201">
        <f t="shared" si="106"/>
        <v>1.5000000000000001E-2</v>
      </c>
      <c r="DD51" s="178">
        <f t="shared" si="106"/>
        <v>1.5000000000000001E-2</v>
      </c>
      <c r="DE51" s="178">
        <f t="shared" si="106"/>
        <v>1.5000000000000001E-2</v>
      </c>
      <c r="DF51" s="200">
        <f t="shared" si="106"/>
        <v>1.5000000000000001E-2</v>
      </c>
      <c r="DG51" s="200">
        <f t="shared" si="106"/>
        <v>1.4999999999999999E-2</v>
      </c>
      <c r="DH51" s="201">
        <f t="shared" si="106"/>
        <v>1.5000000000000001E-2</v>
      </c>
    </row>
    <row r="52" spans="1:112" hidden="1" outlineLevel="1" x14ac:dyDescent="0.2">
      <c r="A52" s="176"/>
      <c r="B52" s="48"/>
      <c r="C52" s="48"/>
      <c r="D52" s="48"/>
      <c r="E52" s="48"/>
      <c r="F52" s="48"/>
      <c r="G52" s="188"/>
      <c r="H52" s="48"/>
      <c r="I52" s="48"/>
      <c r="J52" s="48"/>
      <c r="K52" s="48"/>
      <c r="L52" s="188"/>
      <c r="M52" s="48"/>
      <c r="N52" s="48"/>
      <c r="O52" s="48"/>
      <c r="P52" s="48"/>
      <c r="Q52" s="188"/>
      <c r="R52" s="48"/>
      <c r="S52" s="48"/>
      <c r="T52" s="48"/>
      <c r="U52" s="48"/>
      <c r="V52" s="188"/>
      <c r="W52" s="48"/>
      <c r="X52" s="48"/>
      <c r="Y52" s="48"/>
      <c r="Z52" s="48"/>
      <c r="AA52" s="188"/>
      <c r="AB52" s="48"/>
      <c r="AC52" s="48"/>
      <c r="AD52" s="48"/>
      <c r="AE52" s="48"/>
      <c r="AF52" s="188"/>
      <c r="AG52" s="48"/>
      <c r="AH52" s="48"/>
      <c r="AI52" s="48"/>
      <c r="AJ52" s="48"/>
      <c r="AK52" s="188"/>
      <c r="AL52" s="48"/>
      <c r="AM52" s="48"/>
      <c r="AN52" s="48"/>
      <c r="AO52" s="48"/>
      <c r="AP52" s="188"/>
      <c r="AQ52" s="110"/>
      <c r="AR52" s="110"/>
      <c r="AS52" s="110"/>
      <c r="AT52" s="110"/>
      <c r="AU52" s="276"/>
      <c r="AV52" s="110"/>
      <c r="AW52" s="110"/>
      <c r="AX52" s="110"/>
      <c r="AY52" s="110"/>
      <c r="AZ52" s="276"/>
      <c r="BA52" s="110"/>
      <c r="BB52" s="110"/>
      <c r="BC52" s="48"/>
      <c r="BD52" s="48"/>
      <c r="BE52" s="191"/>
      <c r="BF52" s="110"/>
      <c r="BG52" s="110"/>
      <c r="BH52" s="48"/>
      <c r="BI52" s="48"/>
      <c r="BJ52" s="191"/>
      <c r="BK52" s="110"/>
      <c r="BL52" s="110"/>
      <c r="BM52" s="110"/>
      <c r="BN52" s="48"/>
      <c r="BO52" s="191"/>
      <c r="BP52" s="110"/>
      <c r="BQ52" s="110"/>
      <c r="BR52" s="48"/>
      <c r="BS52" s="48"/>
      <c r="BT52" s="191"/>
      <c r="BU52" s="110"/>
      <c r="BV52" s="110"/>
      <c r="BW52" s="48"/>
      <c r="BX52" s="48"/>
      <c r="BY52" s="807">
        <f>AVERAGE(BY54,BT54)</f>
        <v>1.3318584223455054E-2</v>
      </c>
      <c r="BZ52" s="809">
        <f>+AVERAGE(BZ54,BU54)</f>
        <v>0.04</v>
      </c>
      <c r="CA52" s="810">
        <f>+AVERAGE(CA54,BV54)</f>
        <v>3.5000000000000003E-2</v>
      </c>
      <c r="CB52" s="809">
        <f>+AVERAGE(CB54,BW54)</f>
        <v>0.03</v>
      </c>
      <c r="CC52" s="809">
        <f>+AVERAGE(CC54,BX54)</f>
        <v>2.5000000000000001E-2</v>
      </c>
      <c r="CD52" s="807">
        <f>AVERAGE(CD54,BY54)</f>
        <v>3.2109547908232117E-2</v>
      </c>
      <c r="CE52" s="809">
        <f t="shared" ref="CE52:CH53" si="107">+AVERAGE(CE54,BZ54)</f>
        <v>4.4999999999999998E-2</v>
      </c>
      <c r="CF52" s="810">
        <f t="shared" si="107"/>
        <v>3.5000000000000003E-2</v>
      </c>
      <c r="CG52" s="809">
        <f t="shared" si="107"/>
        <v>1.4999999999999999E-2</v>
      </c>
      <c r="CH52" s="809">
        <f t="shared" si="107"/>
        <v>0.02</v>
      </c>
      <c r="CI52" s="807">
        <f>AVERAGE(CI54,CD54)</f>
        <v>2.8186762360446573E-2</v>
      </c>
      <c r="CJ52" s="809">
        <f t="shared" ref="CJ52:CM53" si="108">+AVERAGE(CJ54,CE54)</f>
        <v>1.4999999999999999E-2</v>
      </c>
      <c r="CK52" s="810">
        <f t="shared" si="108"/>
        <v>0.04</v>
      </c>
      <c r="CL52" s="809">
        <f t="shared" si="108"/>
        <v>1.2500000000000001E-2</v>
      </c>
      <c r="CM52" s="809">
        <f t="shared" si="108"/>
        <v>2.4999999999999953E-3</v>
      </c>
      <c r="CN52" s="807">
        <f>AVERAGE(CN54,CI54)</f>
        <v>1.7439393939393942E-2</v>
      </c>
      <c r="CO52" s="110"/>
      <c r="CP52" s="110"/>
      <c r="CQ52" s="48"/>
      <c r="CR52" s="48">
        <v>0.02</v>
      </c>
      <c r="CS52" s="191"/>
      <c r="CT52" s="110"/>
      <c r="CU52" s="110"/>
      <c r="CV52" s="48"/>
      <c r="CW52" s="48"/>
      <c r="CX52" s="191"/>
      <c r="CY52" s="110"/>
      <c r="CZ52" s="110"/>
      <c r="DA52" s="48"/>
      <c r="DB52" s="48"/>
      <c r="DC52" s="191"/>
      <c r="DD52" s="110"/>
      <c r="DE52" s="110"/>
      <c r="DF52" s="48"/>
      <c r="DG52" s="48"/>
      <c r="DH52" s="191"/>
    </row>
    <row r="53" spans="1:112" ht="12.75" hidden="1" customHeight="1" outlineLevel="1" x14ac:dyDescent="0.2">
      <c r="A53" s="161" t="s">
        <v>225</v>
      </c>
      <c r="B53" s="158"/>
      <c r="C53" s="158"/>
      <c r="D53" s="158"/>
      <c r="E53" s="158"/>
      <c r="F53" s="158"/>
      <c r="G53" s="269"/>
      <c r="H53" s="158"/>
      <c r="I53" s="158"/>
      <c r="J53" s="158"/>
      <c r="K53" s="158"/>
      <c r="L53" s="269"/>
      <c r="M53" s="158"/>
      <c r="N53" s="158"/>
      <c r="O53" s="158"/>
      <c r="P53" s="158"/>
      <c r="Q53" s="269"/>
      <c r="R53" s="158"/>
      <c r="S53" s="158"/>
      <c r="T53" s="158"/>
      <c r="U53" s="158"/>
      <c r="V53" s="269"/>
      <c r="W53" s="158"/>
      <c r="X53" s="158"/>
      <c r="Y53" s="158"/>
      <c r="Z53" s="158"/>
      <c r="AA53" s="269"/>
      <c r="AB53" s="158"/>
      <c r="AC53" s="158"/>
      <c r="AD53" s="158"/>
      <c r="AE53" s="158"/>
      <c r="AF53" s="269"/>
      <c r="AG53" s="158"/>
      <c r="AH53" s="158"/>
      <c r="AI53" s="158"/>
      <c r="AJ53" s="158"/>
      <c r="AK53" s="269"/>
      <c r="AL53" s="158"/>
      <c r="AM53" s="158"/>
      <c r="AN53" s="158"/>
      <c r="AO53" s="158"/>
      <c r="AP53" s="269"/>
      <c r="AQ53" s="110"/>
      <c r="AR53" s="110"/>
      <c r="AS53" s="110"/>
      <c r="AT53" s="110"/>
      <c r="AU53" s="185"/>
      <c r="AV53" s="581"/>
      <c r="AW53" s="581"/>
      <c r="AX53" s="581"/>
      <c r="AY53" s="581"/>
      <c r="AZ53" s="583"/>
      <c r="BA53" s="581"/>
      <c r="BB53" s="581"/>
      <c r="BC53" s="581"/>
      <c r="BD53" s="66"/>
      <c r="BE53" s="583"/>
      <c r="BF53" s="172"/>
      <c r="BG53" s="172"/>
      <c r="BH53" s="172"/>
      <c r="BI53" s="172"/>
      <c r="BJ53" s="632"/>
      <c r="BK53" s="172"/>
      <c r="BL53" s="172"/>
      <c r="BM53" s="172"/>
      <c r="BN53" s="172"/>
      <c r="BO53" s="632"/>
      <c r="BP53" s="110"/>
      <c r="BQ53" s="110"/>
      <c r="BR53" s="158"/>
      <c r="BS53" s="158"/>
      <c r="BT53" s="186"/>
      <c r="BU53" s="154">
        <f>+AVERAGE(BU54,BP54)</f>
        <v>0.02</v>
      </c>
      <c r="BV53" s="154">
        <f>+AVERAGE(BV54,BQ54)</f>
        <v>0.02</v>
      </c>
      <c r="BW53" s="154">
        <f>+AVERAGE(BW54,BR54)</f>
        <v>5.0000000000000001E-3</v>
      </c>
      <c r="BX53" s="154">
        <f>+AVERAGE(BX54,BS54)</f>
        <v>0.01</v>
      </c>
      <c r="BY53" s="807">
        <f>AVERAGE(BY55,BT55)</f>
        <v>-2.072459818019561E-3</v>
      </c>
      <c r="BZ53" s="809">
        <f>+AVERAGE(BZ54,BU54)</f>
        <v>0.04</v>
      </c>
      <c r="CA53" s="809">
        <f>+AVERAGE(CA54,BV54)</f>
        <v>3.5000000000000003E-2</v>
      </c>
      <c r="CB53" s="809">
        <f>+AVERAGE(CB54,BW54)</f>
        <v>0.03</v>
      </c>
      <c r="CC53" s="809">
        <f>+AVERAGE(CC54,BX54)</f>
        <v>2.5000000000000001E-2</v>
      </c>
      <c r="CD53" s="807">
        <f ca="1">AVERAGE(CD55,BY55)</f>
        <v>-3.5782838506523093E-3</v>
      </c>
      <c r="CE53" s="809">
        <f t="shared" si="107"/>
        <v>5.4473304473305357E-4</v>
      </c>
      <c r="CF53" s="810">
        <f t="shared" si="107"/>
        <v>-6.9091115213941439E-3</v>
      </c>
      <c r="CG53" s="809">
        <f t="shared" si="107"/>
        <v>-8.1142866400959884E-3</v>
      </c>
      <c r="CH53" s="809">
        <f t="shared" ca="1" si="107"/>
        <v>6.2413626868069901E-3</v>
      </c>
      <c r="CI53" s="807">
        <f ca="1">AVERAGE(CI55,CD55)</f>
        <v>-2.0836257309941844E-3</v>
      </c>
      <c r="CJ53" s="809">
        <f t="shared" si="108"/>
        <v>1.7008951500477001E-2</v>
      </c>
      <c r="CK53" s="810">
        <f t="shared" si="108"/>
        <v>-6.6870977627950454E-3</v>
      </c>
      <c r="CL53" s="809">
        <f t="shared" si="108"/>
        <v>-7.4803149606301848E-4</v>
      </c>
      <c r="CM53" s="809">
        <f t="shared" si="108"/>
        <v>1.5974790941829936E-2</v>
      </c>
      <c r="CN53" s="807">
        <f>AVERAGE(CN55,CI55)</f>
        <v>6.1111111111111019E-3</v>
      </c>
      <c r="CO53" s="110"/>
      <c r="CP53" s="110"/>
      <c r="CQ53" s="158"/>
      <c r="CR53" s="158"/>
      <c r="CS53" s="186"/>
      <c r="CT53" s="110"/>
      <c r="CU53" s="110"/>
      <c r="CV53" s="158"/>
      <c r="CW53" s="158"/>
      <c r="CX53" s="186"/>
      <c r="CY53" s="110"/>
      <c r="CZ53" s="110"/>
      <c r="DA53" s="158"/>
      <c r="DB53" s="158"/>
      <c r="DC53" s="186"/>
      <c r="DD53" s="110"/>
      <c r="DE53" s="110"/>
      <c r="DF53" s="158"/>
      <c r="DG53" s="158"/>
      <c r="DH53" s="186"/>
    </row>
    <row r="54" spans="1:112" hidden="1" outlineLevel="1" x14ac:dyDescent="0.2">
      <c r="A54" s="162" t="s">
        <v>90</v>
      </c>
      <c r="B54" s="60" t="s">
        <v>221</v>
      </c>
      <c r="C54" s="60" t="s">
        <v>221</v>
      </c>
      <c r="D54" s="60" t="s">
        <v>221</v>
      </c>
      <c r="E54" s="60" t="s">
        <v>221</v>
      </c>
      <c r="F54" s="60" t="s">
        <v>221</v>
      </c>
      <c r="G54" s="267" t="s">
        <v>221</v>
      </c>
      <c r="H54" s="60" t="s">
        <v>221</v>
      </c>
      <c r="I54" s="60" t="s">
        <v>221</v>
      </c>
      <c r="J54" s="60" t="s">
        <v>221</v>
      </c>
      <c r="K54" s="60" t="s">
        <v>221</v>
      </c>
      <c r="L54" s="267" t="s">
        <v>221</v>
      </c>
      <c r="M54" s="60" t="s">
        <v>221</v>
      </c>
      <c r="N54" s="60" t="s">
        <v>221</v>
      </c>
      <c r="O54" s="60" t="s">
        <v>221</v>
      </c>
      <c r="P54" s="60" t="s">
        <v>221</v>
      </c>
      <c r="Q54" s="267" t="s">
        <v>221</v>
      </c>
      <c r="R54" s="60" t="s">
        <v>221</v>
      </c>
      <c r="S54" s="60" t="s">
        <v>221</v>
      </c>
      <c r="T54" s="60" t="s">
        <v>221</v>
      </c>
      <c r="U54" s="60" t="s">
        <v>221</v>
      </c>
      <c r="V54" s="267" t="s">
        <v>221</v>
      </c>
      <c r="W54" s="60" t="s">
        <v>221</v>
      </c>
      <c r="X54" s="60" t="s">
        <v>221</v>
      </c>
      <c r="Y54" s="60" t="s">
        <v>221</v>
      </c>
      <c r="Z54" s="60" t="s">
        <v>221</v>
      </c>
      <c r="AA54" s="267" t="s">
        <v>221</v>
      </c>
      <c r="AB54" s="60" t="s">
        <v>221</v>
      </c>
      <c r="AC54" s="60" t="s">
        <v>221</v>
      </c>
      <c r="AD54" s="60" t="s">
        <v>221</v>
      </c>
      <c r="AE54" s="60" t="s">
        <v>221</v>
      </c>
      <c r="AF54" s="267" t="s">
        <v>221</v>
      </c>
      <c r="AG54" s="60" t="s">
        <v>221</v>
      </c>
      <c r="AH54" s="60" t="s">
        <v>221</v>
      </c>
      <c r="AI54" s="60" t="s">
        <v>221</v>
      </c>
      <c r="AJ54" s="60" t="s">
        <v>221</v>
      </c>
      <c r="AK54" s="267" t="s">
        <v>221</v>
      </c>
      <c r="AL54" s="60" t="s">
        <v>221</v>
      </c>
      <c r="AM54" s="60" t="s">
        <v>221</v>
      </c>
      <c r="AN54" s="60" t="s">
        <v>221</v>
      </c>
      <c r="AO54" s="60" t="s">
        <v>221</v>
      </c>
      <c r="AP54" s="267">
        <f>30%-19.9%</f>
        <v>0.10100000000000001</v>
      </c>
      <c r="AQ54" s="110">
        <f>35%-31.4%</f>
        <v>3.5999999999999976E-2</v>
      </c>
      <c r="AR54" s="110">
        <f>31%-24.4%</f>
        <v>6.6000000000000003E-2</v>
      </c>
      <c r="AS54" s="110">
        <v>0.04</v>
      </c>
      <c r="AT54" s="110">
        <v>0.03</v>
      </c>
      <c r="AU54" s="276">
        <f>SUMPRODUCT(AQ54:AT54,AL7:AO7)/AP7</f>
        <v>4.1715976331360947E-2</v>
      </c>
      <c r="AV54" s="110">
        <v>0.04</v>
      </c>
      <c r="AW54" s="110">
        <v>0.12</v>
      </c>
      <c r="AX54" s="110">
        <v>0.08</v>
      </c>
      <c r="AY54" s="110">
        <v>0.1</v>
      </c>
      <c r="AZ54" s="276">
        <v>0.08</v>
      </c>
      <c r="BA54" s="110">
        <v>0.01</v>
      </c>
      <c r="BB54" s="110">
        <v>0.03</v>
      </c>
      <c r="BC54" s="110">
        <v>0.03</v>
      </c>
      <c r="BD54" s="47">
        <v>0.03</v>
      </c>
      <c r="BE54" s="188">
        <f>SUMPRODUCT(BA54:BD54,AV$7:AY$7)/AZ$7</f>
        <v>2.537037037037037E-2</v>
      </c>
      <c r="BF54" s="110">
        <v>0.06</v>
      </c>
      <c r="BG54" s="110">
        <v>0.02</v>
      </c>
      <c r="BH54" s="47">
        <v>0.04</v>
      </c>
      <c r="BI54" s="47">
        <v>0.02</v>
      </c>
      <c r="BJ54" s="188">
        <f>SUMPRODUCT(BF54:BI54,BA$7:BD$7)/BE$7</f>
        <v>3.434628975265018E-2</v>
      </c>
      <c r="BK54" s="110">
        <v>-0.01</v>
      </c>
      <c r="BL54" s="110">
        <v>7.0000000000000007E-2</v>
      </c>
      <c r="BM54" s="110">
        <v>0.01</v>
      </c>
      <c r="BN54" s="47">
        <v>0</v>
      </c>
      <c r="BO54" s="188">
        <f>SUMPRODUCT(BK54:BN54,BF$7:BI$7)/BJ$7</f>
        <v>1.740288568257492E-2</v>
      </c>
      <c r="BP54" s="47">
        <v>0.04</v>
      </c>
      <c r="BQ54" s="47">
        <v>-0.01</v>
      </c>
      <c r="BR54" s="47">
        <v>-0.01</v>
      </c>
      <c r="BS54" s="47">
        <v>0.02</v>
      </c>
      <c r="BT54" s="188">
        <f>SUMPRODUCT(BP54:BS54,BK$7:BN$7)/BO$7</f>
        <v>8.9128094725511309E-3</v>
      </c>
      <c r="BU54" s="670">
        <v>0</v>
      </c>
      <c r="BV54" s="670">
        <v>0.05</v>
      </c>
      <c r="BW54" s="670">
        <v>0.02</v>
      </c>
      <c r="BX54" s="670">
        <v>0</v>
      </c>
      <c r="BY54" s="188">
        <f>SUMPRODUCT(BU54:BX54,BP$7:BS$7)/BT$7</f>
        <v>1.7724358974358978E-2</v>
      </c>
      <c r="BZ54" s="670">
        <v>0.08</v>
      </c>
      <c r="CA54" s="670">
        <v>0.02</v>
      </c>
      <c r="CB54" s="670">
        <v>0.04</v>
      </c>
      <c r="CC54" s="670">
        <v>0.05</v>
      </c>
      <c r="CD54" s="188">
        <f>SUMPRODUCT(BZ54:CC54,BU$7:BX$7)/BY$7</f>
        <v>4.6494736842105262E-2</v>
      </c>
      <c r="CE54" s="670">
        <v>0.01</v>
      </c>
      <c r="CF54" s="670">
        <v>0.05</v>
      </c>
      <c r="CG54" s="670">
        <v>-0.01</v>
      </c>
      <c r="CH54" s="47">
        <v>-0.01</v>
      </c>
      <c r="CI54" s="188">
        <f>SUMPRODUCT(CE54:CH54,BZ$7:CC$7)/CD$7</f>
        <v>9.8787878787878793E-3</v>
      </c>
      <c r="CJ54" s="47">
        <f>0.02-CJ56</f>
        <v>0.02</v>
      </c>
      <c r="CK54" s="47">
        <f>0.03-CK56</f>
        <v>0.03</v>
      </c>
      <c r="CL54" s="145">
        <v>3.5000000000000003E-2</v>
      </c>
      <c r="CM54" s="47">
        <f>((CN54*CI7)-SUMPRODUCT(CE7:CG7,CJ54:CL54))/CH7</f>
        <v>1.4999999999999991E-2</v>
      </c>
      <c r="CN54" s="195">
        <v>2.5000000000000001E-2</v>
      </c>
      <c r="CO54" s="154">
        <v>0.03</v>
      </c>
      <c r="CP54" s="154">
        <v>0.01</v>
      </c>
      <c r="CQ54" s="145">
        <v>0.01</v>
      </c>
      <c r="CR54" s="47">
        <f>((CS54*CN7)-SUMPRODUCT(CJ7:CL7,CO54:CQ54))/CM7</f>
        <v>3.0685467036095194E-2</v>
      </c>
      <c r="CS54" s="195">
        <v>0.02</v>
      </c>
      <c r="CT54" s="154">
        <f>CX54</f>
        <v>0.02</v>
      </c>
      <c r="CU54" s="154">
        <f>CX54</f>
        <v>0.02</v>
      </c>
      <c r="CV54" s="145">
        <f>CX54</f>
        <v>0.02</v>
      </c>
      <c r="CW54" s="47">
        <f>((CX54*CS7)-SUMPRODUCT(CO7:CQ7,CT54:CV54))/CR7</f>
        <v>0.02</v>
      </c>
      <c r="CX54" s="195">
        <f>CS54</f>
        <v>0.02</v>
      </c>
      <c r="CY54" s="154">
        <f>DC54</f>
        <v>0.02</v>
      </c>
      <c r="CZ54" s="154">
        <f>DC54</f>
        <v>0.02</v>
      </c>
      <c r="DA54" s="145">
        <f>DC54</f>
        <v>0.02</v>
      </c>
      <c r="DB54" s="47">
        <f>((DC54*CX7)-SUMPRODUCT(CT7:CV7,CY54:DA54))/CW7</f>
        <v>2.0000000000000014E-2</v>
      </c>
      <c r="DC54" s="195">
        <f>CX54</f>
        <v>0.02</v>
      </c>
      <c r="DD54" s="154">
        <f>DH54</f>
        <v>0.02</v>
      </c>
      <c r="DE54" s="154">
        <f>DH54</f>
        <v>0.02</v>
      </c>
      <c r="DF54" s="145">
        <f>DH54</f>
        <v>0.02</v>
      </c>
      <c r="DG54" s="47">
        <f>((DH54*DC7)-SUMPRODUCT(CY7:DA7,DD54:DF54))/DB7</f>
        <v>1.9999999999999983E-2</v>
      </c>
      <c r="DH54" s="195">
        <f>DC54</f>
        <v>0.02</v>
      </c>
    </row>
    <row r="55" spans="1:112" hidden="1" outlineLevel="1" x14ac:dyDescent="0.2">
      <c r="A55" s="162" t="s">
        <v>91</v>
      </c>
      <c r="B55" s="60" t="s">
        <v>221</v>
      </c>
      <c r="C55" s="60" t="s">
        <v>221</v>
      </c>
      <c r="D55" s="60" t="s">
        <v>221</v>
      </c>
      <c r="E55" s="60" t="s">
        <v>221</v>
      </c>
      <c r="F55" s="60" t="s">
        <v>221</v>
      </c>
      <c r="G55" s="267" t="s">
        <v>221</v>
      </c>
      <c r="H55" s="60" t="s">
        <v>221</v>
      </c>
      <c r="I55" s="60" t="s">
        <v>221</v>
      </c>
      <c r="J55" s="60" t="s">
        <v>221</v>
      </c>
      <c r="K55" s="60" t="s">
        <v>221</v>
      </c>
      <c r="L55" s="267" t="s">
        <v>221</v>
      </c>
      <c r="M55" s="60" t="s">
        <v>221</v>
      </c>
      <c r="N55" s="60" t="s">
        <v>221</v>
      </c>
      <c r="O55" s="60" t="s">
        <v>221</v>
      </c>
      <c r="P55" s="60" t="s">
        <v>221</v>
      </c>
      <c r="Q55" s="267" t="s">
        <v>221</v>
      </c>
      <c r="R55" s="60" t="s">
        <v>221</v>
      </c>
      <c r="S55" s="60" t="s">
        <v>221</v>
      </c>
      <c r="T55" s="60" t="s">
        <v>221</v>
      </c>
      <c r="U55" s="60" t="s">
        <v>221</v>
      </c>
      <c r="V55" s="267" t="s">
        <v>221</v>
      </c>
      <c r="W55" s="60" t="s">
        <v>221</v>
      </c>
      <c r="X55" s="60" t="s">
        <v>221</v>
      </c>
      <c r="Y55" s="60" t="s">
        <v>221</v>
      </c>
      <c r="Z55" s="60" t="s">
        <v>221</v>
      </c>
      <c r="AA55" s="267" t="s">
        <v>221</v>
      </c>
      <c r="AB55" s="60" t="s">
        <v>221</v>
      </c>
      <c r="AC55" s="60" t="s">
        <v>221</v>
      </c>
      <c r="AD55" s="60" t="s">
        <v>221</v>
      </c>
      <c r="AE55" s="60" t="s">
        <v>221</v>
      </c>
      <c r="AF55" s="267" t="s">
        <v>221</v>
      </c>
      <c r="AG55" s="60" t="s">
        <v>221</v>
      </c>
      <c r="AH55" s="60" t="s">
        <v>221</v>
      </c>
      <c r="AI55" s="60" t="s">
        <v>221</v>
      </c>
      <c r="AJ55" s="60" t="s">
        <v>221</v>
      </c>
      <c r="AK55" s="267" t="s">
        <v>221</v>
      </c>
      <c r="AL55" s="60" t="s">
        <v>221</v>
      </c>
      <c r="AM55" s="60" t="s">
        <v>221</v>
      </c>
      <c r="AN55" s="60" t="s">
        <v>221</v>
      </c>
      <c r="AO55" s="60" t="s">
        <v>221</v>
      </c>
      <c r="AP55" s="267">
        <f>3%-0.7%</f>
        <v>2.3E-2</v>
      </c>
      <c r="AQ55" s="110">
        <f>AQ58-AQ57-AQ56-AQ54</f>
        <v>9.7388059701492502E-2</v>
      </c>
      <c r="AR55" s="110">
        <f>AR58-AR57-AR56-AR54</f>
        <v>5.886524822695044E-2</v>
      </c>
      <c r="AS55" s="110">
        <f>AS58-AS57-AS56-AS54</f>
        <v>1.392156862745101E-2</v>
      </c>
      <c r="AT55" s="110">
        <f>AT58-AT57-AT56-AT54</f>
        <v>4.1065989847715728E-2</v>
      </c>
      <c r="AU55" s="276">
        <f>SUMPRODUCT(AQ55:AT55,AL7:AO7)/AP7</f>
        <v>4.7751479289940849E-2</v>
      </c>
      <c r="AV55" s="110">
        <f>AV58-AV57-AV54</f>
        <v>-9.072164948453719E-3</v>
      </c>
      <c r="AW55" s="110">
        <f>AW58-AW57-AW56-AW54</f>
        <v>-2.155440414507781E-2</v>
      </c>
      <c r="AX55" s="110">
        <f>AX58-AX57-AX56-AX54</f>
        <v>-2.8837209302325625E-2</v>
      </c>
      <c r="AY55" s="110">
        <f>AY58-AY57-AY56-AY54</f>
        <v>-2.890995260663512E-2</v>
      </c>
      <c r="AZ55" s="276">
        <f>SUMPRODUCT(AV55:AY55,$AQ$7:$AT$7)/$AU$7</f>
        <v>-2.2410824108241151E-2</v>
      </c>
      <c r="BA55" s="110">
        <f>BA58-BA57-BA56-BA54</f>
        <v>-5.0000000000001068E-3</v>
      </c>
      <c r="BB55" s="110">
        <f>BB58-BB57-BB56-BB54</f>
        <v>-1.698113207547064E-3</v>
      </c>
      <c r="BC55" s="110">
        <f>BC58-BC57-BC56-BC54</f>
        <v>-2.5575221238938156E-2</v>
      </c>
      <c r="BD55" s="110">
        <f>BD58-BD57-BD56-BD54</f>
        <v>1.8672566371681382E-2</v>
      </c>
      <c r="BE55" s="188">
        <f>SUMPRODUCT(BA55:BD55,AV$7:AY$7)/AZ$7</f>
        <v>-3.3796296296296634E-3</v>
      </c>
      <c r="BF55" s="110">
        <f>BF58-BF57-BF56-BF54</f>
        <v>-3.5897435897435659E-3</v>
      </c>
      <c r="BG55" s="110">
        <f>BG58-BG57-BG56-BG54</f>
        <v>3.7971014492753655E-2</v>
      </c>
      <c r="BH55" s="110">
        <f>BH58-BH57-BH56-BH54</f>
        <v>6.0456621004566315E-2</v>
      </c>
      <c r="BI55" s="110">
        <f>BI58-BI57-BI56-BI54</f>
        <v>1.0701754385964896E-2</v>
      </c>
      <c r="BJ55" s="188">
        <f>SUMPRODUCT(BF55:BI55,BA$7:BD$7)/BE$7</f>
        <v>2.6902237926972945E-2</v>
      </c>
      <c r="BK55" s="110">
        <f>BK58-BK57-BK56-BK54</f>
        <v>1.9708737864077668E-2</v>
      </c>
      <c r="BL55" s="110">
        <f>BL58-BL57-BL56-BL54</f>
        <v>1.2191780821917908E-2</v>
      </c>
      <c r="BM55" s="110">
        <f ca="1">BM58-BM57-BM56-BM54</f>
        <v>6.5975103734439242E-3</v>
      </c>
      <c r="BN55" s="110">
        <f>BN58-BN57-BN56-BN54</f>
        <v>1.7021276595744705E-2</v>
      </c>
      <c r="BO55" s="188">
        <f ca="1">SUMPRODUCT(BK55:BN55,BF$7:BI$7)/BJ$7</f>
        <v>1.3673695893451734E-2</v>
      </c>
      <c r="BP55" s="110">
        <f>BP58-BP57-BP56-BP54</f>
        <v>8.0769230769231273E-3</v>
      </c>
      <c r="BQ55" s="110">
        <f>BQ58-BQ57-BQ56-BQ54</f>
        <v>0.01</v>
      </c>
      <c r="BR55" s="110">
        <f>BR58-BR57-BR56-BR54</f>
        <v>-2.2653061224489741E-2</v>
      </c>
      <c r="BS55" s="110">
        <f>BS58-BS57-BS56-BS54</f>
        <v>9.2050209205020786E-4</v>
      </c>
      <c r="BT55" s="188">
        <f>SUMPRODUCT(BP55:BS55,BK$7:BN$7)/BO$7</f>
        <v>-1.3778256189450767E-3</v>
      </c>
      <c r="BU55" s="670">
        <f>BU58-BU57-BU56-BU54</f>
        <v>-9.1743119266054496E-3</v>
      </c>
      <c r="BV55" s="670">
        <f>BV58-BV57-BV56-BV54</f>
        <v>-1.2025316455696225E-2</v>
      </c>
      <c r="BW55" s="670">
        <f>BW58-BW57-BW56-BW54</f>
        <v>5.3164556962024441E-3</v>
      </c>
      <c r="BX55" s="670">
        <f>BX58-BX57-BX56-BX54</f>
        <v>4.098360655737654E-3</v>
      </c>
      <c r="BY55" s="188">
        <f>SUMPRODUCT(BU55:BX55,BP$7:BS$7)/BT$7</f>
        <v>-2.7670940170940453E-3</v>
      </c>
      <c r="BZ55" s="670">
        <f>BZ58-BZ57-BZ56-BZ54</f>
        <v>-1.0555555555555582E-2</v>
      </c>
      <c r="CA55" s="670">
        <f>CA58-CA57-CA56-CA54</f>
        <v>3.2520325203246395E-4</v>
      </c>
      <c r="CB55" s="670">
        <f>CB58-CB57-CB56-CB54</f>
        <v>5.2674897119340605E-3</v>
      </c>
      <c r="CC55" s="670">
        <f ca="1">CC58-CC57-CC56-CC54</f>
        <v>-1.3265306122448986E-2</v>
      </c>
      <c r="CD55" s="188">
        <f ca="1">SUMPRODUCT(BZ55:CC55,BU$7:BX$7)/BY$7</f>
        <v>-4.3894736842105733E-3</v>
      </c>
      <c r="CE55" s="670">
        <f>CE58-CE57-CE56-CE54</f>
        <v>1.1645021645021689E-2</v>
      </c>
      <c r="CF55" s="670">
        <f>CF58-CF57-CF56-CF54</f>
        <v>-1.4143426294820752E-2</v>
      </c>
      <c r="CG55" s="670">
        <f>CG58-CG57-CG56-CG54</f>
        <v>-2.1496062992126037E-2</v>
      </c>
      <c r="CH55" s="670">
        <f>CH58-CH57-CH56-CH54</f>
        <v>2.5748031496062966E-2</v>
      </c>
      <c r="CI55" s="188">
        <f>SUMPRODUCT(CE55:CH55,BZ$7:CC$7)/CD$7</f>
        <v>2.2222222222220402E-4</v>
      </c>
      <c r="CJ55" s="670">
        <f>CJ58-CJ57-CJ56-CJ54</f>
        <v>2.2372881355932312E-2</v>
      </c>
      <c r="CK55" s="670">
        <f>CK58-CK57-CK56-CK54</f>
        <v>7.6923076923066103E-4</v>
      </c>
      <c r="CL55" s="145">
        <v>0.02</v>
      </c>
      <c r="CM55" s="47">
        <f>((CN55*CI7)-SUMPRODUCT(CE7:CG7,CJ55:CL55))/CH7</f>
        <v>6.2015503875969043E-3</v>
      </c>
      <c r="CN55" s="195">
        <v>1.2E-2</v>
      </c>
      <c r="CO55" s="154">
        <f>CS55</f>
        <v>5.0000000000000001E-3</v>
      </c>
      <c r="CP55" s="154">
        <f>CS55</f>
        <v>5.0000000000000001E-3</v>
      </c>
      <c r="CQ55" s="145">
        <f>CS55</f>
        <v>5.0000000000000001E-3</v>
      </c>
      <c r="CR55" s="47">
        <f>((CS55*CN7)-SUMPRODUCT(CJ7:CL7,CO55:CQ55))/CM7</f>
        <v>5.0000000000000001E-3</v>
      </c>
      <c r="CS55" s="195">
        <v>5.0000000000000001E-3</v>
      </c>
      <c r="CT55" s="154">
        <f>CX55</f>
        <v>5.0000000000000001E-3</v>
      </c>
      <c r="CU55" s="154">
        <f>CX55</f>
        <v>5.0000000000000001E-3</v>
      </c>
      <c r="CV55" s="145">
        <f>CX55</f>
        <v>5.0000000000000001E-3</v>
      </c>
      <c r="CW55" s="47">
        <f>((CX55*CS7)-SUMPRODUCT(CO7:CQ7,CT55:CV55))/CR7</f>
        <v>5.0000000000000001E-3</v>
      </c>
      <c r="CX55" s="195">
        <f>CS55</f>
        <v>5.0000000000000001E-3</v>
      </c>
      <c r="CY55" s="154">
        <f>DC55</f>
        <v>5.0000000000000001E-3</v>
      </c>
      <c r="CZ55" s="154">
        <f>DC55</f>
        <v>5.0000000000000001E-3</v>
      </c>
      <c r="DA55" s="145">
        <f>DC55</f>
        <v>5.0000000000000001E-3</v>
      </c>
      <c r="DB55" s="47">
        <f>((DC55*CX7)-SUMPRODUCT(CT7:CV7,CY55:DA55))/CW7</f>
        <v>5.0000000000000036E-3</v>
      </c>
      <c r="DC55" s="195">
        <f>CX55</f>
        <v>5.0000000000000001E-3</v>
      </c>
      <c r="DD55" s="154">
        <f>DH55</f>
        <v>5.0000000000000001E-3</v>
      </c>
      <c r="DE55" s="154">
        <f>DH55</f>
        <v>5.0000000000000001E-3</v>
      </c>
      <c r="DF55" s="145">
        <f>DH55</f>
        <v>5.0000000000000001E-3</v>
      </c>
      <c r="DG55" s="47">
        <f>((DH55*DC7)-SUMPRODUCT(CY7:DA7,DD55:DF55))/DB7</f>
        <v>4.9999999999999958E-3</v>
      </c>
      <c r="DH55" s="195">
        <f>DC55</f>
        <v>5.0000000000000001E-3</v>
      </c>
    </row>
    <row r="56" spans="1:112" hidden="1" outlineLevel="1" x14ac:dyDescent="0.2">
      <c r="A56" s="109" t="s">
        <v>96</v>
      </c>
      <c r="B56" s="60" t="s">
        <v>221</v>
      </c>
      <c r="C56" s="60" t="s">
        <v>221</v>
      </c>
      <c r="D56" s="60" t="s">
        <v>221</v>
      </c>
      <c r="E56" s="60" t="s">
        <v>221</v>
      </c>
      <c r="F56" s="60" t="s">
        <v>221</v>
      </c>
      <c r="G56" s="267" t="s">
        <v>221</v>
      </c>
      <c r="H56" s="60" t="s">
        <v>221</v>
      </c>
      <c r="I56" s="60" t="s">
        <v>221</v>
      </c>
      <c r="J56" s="60" t="s">
        <v>221</v>
      </c>
      <c r="K56" s="60" t="s">
        <v>221</v>
      </c>
      <c r="L56" s="267" t="s">
        <v>221</v>
      </c>
      <c r="M56" s="60" t="s">
        <v>221</v>
      </c>
      <c r="N56" s="60" t="s">
        <v>221</v>
      </c>
      <c r="O56" s="60" t="s">
        <v>221</v>
      </c>
      <c r="P56" s="60" t="s">
        <v>221</v>
      </c>
      <c r="Q56" s="267" t="s">
        <v>221</v>
      </c>
      <c r="R56" s="60" t="s">
        <v>221</v>
      </c>
      <c r="S56" s="60" t="s">
        <v>221</v>
      </c>
      <c r="T56" s="60" t="s">
        <v>221</v>
      </c>
      <c r="U56" s="60" t="s">
        <v>221</v>
      </c>
      <c r="V56" s="267" t="s">
        <v>221</v>
      </c>
      <c r="W56" s="60" t="s">
        <v>221</v>
      </c>
      <c r="X56" s="60" t="s">
        <v>221</v>
      </c>
      <c r="Y56" s="60" t="s">
        <v>221</v>
      </c>
      <c r="Z56" s="60" t="s">
        <v>221</v>
      </c>
      <c r="AA56" s="267" t="s">
        <v>221</v>
      </c>
      <c r="AB56" s="60" t="s">
        <v>221</v>
      </c>
      <c r="AC56" s="60" t="s">
        <v>221</v>
      </c>
      <c r="AD56" s="60" t="s">
        <v>221</v>
      </c>
      <c r="AE56" s="60" t="s">
        <v>221</v>
      </c>
      <c r="AF56" s="267" t="s">
        <v>221</v>
      </c>
      <c r="AG56" s="60" t="s">
        <v>221</v>
      </c>
      <c r="AH56" s="60" t="s">
        <v>221</v>
      </c>
      <c r="AI56" s="60" t="s">
        <v>221</v>
      </c>
      <c r="AJ56" s="60" t="s">
        <v>221</v>
      </c>
      <c r="AK56" s="267" t="s">
        <v>221</v>
      </c>
      <c r="AL56" s="60" t="s">
        <v>221</v>
      </c>
      <c r="AM56" s="60" t="s">
        <v>221</v>
      </c>
      <c r="AN56" s="60" t="s">
        <v>221</v>
      </c>
      <c r="AO56" s="60" t="s">
        <v>221</v>
      </c>
      <c r="AP56" s="267">
        <v>0</v>
      </c>
      <c r="AQ56" s="154">
        <v>0</v>
      </c>
      <c r="AR56" s="154">
        <v>0</v>
      </c>
      <c r="AS56" s="154">
        <v>0</v>
      </c>
      <c r="AT56" s="154">
        <v>0</v>
      </c>
      <c r="AU56" s="414">
        <v>0</v>
      </c>
      <c r="AV56" s="145">
        <v>0</v>
      </c>
      <c r="AW56" s="145">
        <v>0</v>
      </c>
      <c r="AX56" s="145">
        <v>0</v>
      </c>
      <c r="AY56" s="154">
        <v>0</v>
      </c>
      <c r="AZ56" s="414">
        <f>SUMPRODUCT(AV56:AY56,$AQ$7:$AT$7)/$AU$7</f>
        <v>0</v>
      </c>
      <c r="BA56" s="154">
        <v>0</v>
      </c>
      <c r="BB56" s="154">
        <v>0</v>
      </c>
      <c r="BC56" s="154">
        <v>0</v>
      </c>
      <c r="BD56" s="47">
        <v>0</v>
      </c>
      <c r="BE56" s="188">
        <f>SUMPRODUCT(BA56:BD56,AV$7:AY$7)/AZ$7</f>
        <v>0</v>
      </c>
      <c r="BF56" s="110">
        <v>0</v>
      </c>
      <c r="BG56" s="110">
        <v>0</v>
      </c>
      <c r="BH56" s="47">
        <v>0</v>
      </c>
      <c r="BI56" s="47">
        <v>0</v>
      </c>
      <c r="BJ56" s="188">
        <f>SUMPRODUCT(BF56:BI56,BA$7:BD$7)/BE$7</f>
        <v>0</v>
      </c>
      <c r="BK56" s="47">
        <v>0</v>
      </c>
      <c r="BL56" s="47">
        <v>0</v>
      </c>
      <c r="BM56" s="47">
        <f ca="1">BO56</f>
        <v>0</v>
      </c>
      <c r="BN56" s="47">
        <v>0</v>
      </c>
      <c r="BO56" s="188">
        <f ca="1">SUMPRODUCT(BK56:BN56,BF$7:BI$7)/BJ$7</f>
        <v>0</v>
      </c>
      <c r="BP56" s="47">
        <v>0</v>
      </c>
      <c r="BQ56" s="47">
        <v>0</v>
      </c>
      <c r="BR56" s="47">
        <v>0</v>
      </c>
      <c r="BS56" s="47">
        <v>0</v>
      </c>
      <c r="BT56" s="188">
        <f>SUMPRODUCT(BP56:BS56,BK$7:BN$7)/BO$7</f>
        <v>0</v>
      </c>
      <c r="BU56" s="670">
        <v>0</v>
      </c>
      <c r="BV56" s="670">
        <v>0</v>
      </c>
      <c r="BW56" s="670">
        <v>0</v>
      </c>
      <c r="BX56" s="670">
        <v>0</v>
      </c>
      <c r="BY56" s="188">
        <f>SUMPRODUCT(BU56:BX56,BP$7:BS$7)/BT$7</f>
        <v>0</v>
      </c>
      <c r="BZ56" s="670">
        <v>0</v>
      </c>
      <c r="CA56" s="670">
        <v>0</v>
      </c>
      <c r="CB56" s="670">
        <v>0</v>
      </c>
      <c r="CC56" s="47">
        <f ca="1">((CD56*BY7)-SUMPRODUCT(BU7:BW7,BZ56:CB56))/BX7</f>
        <v>0</v>
      </c>
      <c r="CD56" s="188">
        <f ca="1">SUMPRODUCT(BZ56:CC56,BU$7:BX$7)/BY$7</f>
        <v>0</v>
      </c>
      <c r="CE56" s="806">
        <v>0</v>
      </c>
      <c r="CF56" s="670">
        <v>0</v>
      </c>
      <c r="CG56" s="670">
        <v>0</v>
      </c>
      <c r="CH56" s="47">
        <v>0</v>
      </c>
      <c r="CI56" s="188">
        <f>SUMPRODUCT(CE56:CH56,BZ$7:CC$7)/CD$7</f>
        <v>0</v>
      </c>
      <c r="CJ56" s="47">
        <v>0</v>
      </c>
      <c r="CK56" s="47">
        <v>0</v>
      </c>
      <c r="CL56" s="145">
        <f>CN56</f>
        <v>0</v>
      </c>
      <c r="CM56" s="47">
        <f>((CN56*CI7)-SUMPRODUCT(CE7:CG7,CJ56:CL56))/CH7</f>
        <v>0</v>
      </c>
      <c r="CN56" s="195">
        <v>0</v>
      </c>
      <c r="CO56" s="154">
        <f>CS56</f>
        <v>0</v>
      </c>
      <c r="CP56" s="154">
        <f>CS56</f>
        <v>0</v>
      </c>
      <c r="CQ56" s="145">
        <f>CS56</f>
        <v>0</v>
      </c>
      <c r="CR56" s="47">
        <f>((CS56*CN7)-SUMPRODUCT(CJ7:CL7,CO56:CQ56))/CM7</f>
        <v>0</v>
      </c>
      <c r="CS56" s="195">
        <v>0</v>
      </c>
      <c r="CT56" s="154">
        <f>CX56</f>
        <v>0</v>
      </c>
      <c r="CU56" s="154">
        <f>CX56</f>
        <v>0</v>
      </c>
      <c r="CV56" s="145">
        <f>CX56</f>
        <v>0</v>
      </c>
      <c r="CW56" s="47">
        <f>((CX56*CS7)-SUMPRODUCT(CO7:CQ7,CT56:CV56))/CR7</f>
        <v>0</v>
      </c>
      <c r="CX56" s="195">
        <v>0</v>
      </c>
      <c r="CY56" s="154">
        <f>DC56</f>
        <v>0</v>
      </c>
      <c r="CZ56" s="154">
        <f>DC56</f>
        <v>0</v>
      </c>
      <c r="DA56" s="145">
        <f>DC56</f>
        <v>0</v>
      </c>
      <c r="DB56" s="47">
        <f>((DC56*CX7)-SUMPRODUCT(CT7:CV7,CY56:DA56))/CW7</f>
        <v>0</v>
      </c>
      <c r="DC56" s="195">
        <v>0</v>
      </c>
      <c r="DD56" s="154">
        <f>DH56</f>
        <v>0</v>
      </c>
      <c r="DE56" s="154">
        <f>DH56</f>
        <v>0</v>
      </c>
      <c r="DF56" s="145">
        <f>DH56</f>
        <v>0</v>
      </c>
      <c r="DG56" s="47">
        <f>((DH56*DC7)-SUMPRODUCT(CY7:DA7,DD56:DF56))/DB7</f>
        <v>0</v>
      </c>
      <c r="DH56" s="195">
        <v>0</v>
      </c>
    </row>
    <row r="57" spans="1:112" hidden="1" outlineLevel="1" x14ac:dyDescent="0.2">
      <c r="A57" s="162" t="s">
        <v>211</v>
      </c>
      <c r="B57" s="60" t="s">
        <v>221</v>
      </c>
      <c r="C57" s="60" t="s">
        <v>221</v>
      </c>
      <c r="D57" s="60" t="s">
        <v>221</v>
      </c>
      <c r="E57" s="60" t="s">
        <v>221</v>
      </c>
      <c r="F57" s="60" t="s">
        <v>221</v>
      </c>
      <c r="G57" s="267" t="s">
        <v>221</v>
      </c>
      <c r="H57" s="60" t="s">
        <v>221</v>
      </c>
      <c r="I57" s="60" t="s">
        <v>221</v>
      </c>
      <c r="J57" s="60" t="s">
        <v>221</v>
      </c>
      <c r="K57" s="60" t="s">
        <v>221</v>
      </c>
      <c r="L57" s="267" t="s">
        <v>221</v>
      </c>
      <c r="M57" s="60" t="s">
        <v>221</v>
      </c>
      <c r="N57" s="60" t="s">
        <v>221</v>
      </c>
      <c r="O57" s="60" t="s">
        <v>221</v>
      </c>
      <c r="P57" s="60" t="s">
        <v>221</v>
      </c>
      <c r="Q57" s="267" t="s">
        <v>221</v>
      </c>
      <c r="R57" s="60" t="s">
        <v>221</v>
      </c>
      <c r="S57" s="60" t="s">
        <v>221</v>
      </c>
      <c r="T57" s="60" t="s">
        <v>221</v>
      </c>
      <c r="U57" s="60" t="s">
        <v>221</v>
      </c>
      <c r="V57" s="267" t="s">
        <v>221</v>
      </c>
      <c r="W57" s="60" t="s">
        <v>221</v>
      </c>
      <c r="X57" s="60" t="s">
        <v>221</v>
      </c>
      <c r="Y57" s="60" t="s">
        <v>221</v>
      </c>
      <c r="Z57" s="60" t="s">
        <v>221</v>
      </c>
      <c r="AA57" s="267" t="s">
        <v>221</v>
      </c>
      <c r="AB57" s="60" t="s">
        <v>221</v>
      </c>
      <c r="AC57" s="60" t="s">
        <v>221</v>
      </c>
      <c r="AD57" s="60" t="s">
        <v>221</v>
      </c>
      <c r="AE57" s="60" t="s">
        <v>221</v>
      </c>
      <c r="AF57" s="267" t="s">
        <v>221</v>
      </c>
      <c r="AG57" s="60" t="s">
        <v>221</v>
      </c>
      <c r="AH57" s="60" t="s">
        <v>221</v>
      </c>
      <c r="AI57" s="60" t="s">
        <v>221</v>
      </c>
      <c r="AJ57" s="60" t="s">
        <v>221</v>
      </c>
      <c r="AK57" s="267" t="s">
        <v>221</v>
      </c>
      <c r="AL57" s="60" t="s">
        <v>221</v>
      </c>
      <c r="AM57" s="60" t="s">
        <v>221</v>
      </c>
      <c r="AN57" s="60" t="s">
        <v>221</v>
      </c>
      <c r="AO57" s="60" t="s">
        <v>221</v>
      </c>
      <c r="AP57" s="267">
        <f>(2.1%*AK9)/AK7</f>
        <v>0.19919178082191782</v>
      </c>
      <c r="AQ57" s="47">
        <f>(3.4%*AL9)/AL7</f>
        <v>0.31437313432835823</v>
      </c>
      <c r="AR57" s="47">
        <f>(2.9%*AM9)/AM7</f>
        <v>0.2439290780141844</v>
      </c>
      <c r="AS57" s="110">
        <v>0</v>
      </c>
      <c r="AT57" s="110">
        <v>0</v>
      </c>
      <c r="AU57" s="276">
        <v>0.11</v>
      </c>
      <c r="AV57" s="110">
        <v>0</v>
      </c>
      <c r="AW57" s="110">
        <v>0</v>
      </c>
      <c r="AX57" s="110">
        <v>0</v>
      </c>
      <c r="AY57" s="110">
        <v>0</v>
      </c>
      <c r="AZ57" s="276">
        <v>0</v>
      </c>
      <c r="BA57" s="110">
        <v>0</v>
      </c>
      <c r="BB57" s="110">
        <v>0</v>
      </c>
      <c r="BC57" s="110">
        <v>0</v>
      </c>
      <c r="BD57" s="47">
        <v>0</v>
      </c>
      <c r="BE57" s="188">
        <f>SUMPRODUCT(BA57:BD57,AV$7:AY$7)/AZ$7</f>
        <v>0</v>
      </c>
      <c r="BF57" s="110">
        <v>0</v>
      </c>
      <c r="BG57" s="110">
        <v>0</v>
      </c>
      <c r="BH57" s="47">
        <v>0</v>
      </c>
      <c r="BI57" s="47">
        <v>0</v>
      </c>
      <c r="BJ57" s="188">
        <f>SUMPRODUCT(BF57:BI57,BA$7:BD$7)/BE$7</f>
        <v>0</v>
      </c>
      <c r="BK57" s="47">
        <v>0</v>
      </c>
      <c r="BL57" s="47">
        <v>0</v>
      </c>
      <c r="BM57" s="47">
        <v>0</v>
      </c>
      <c r="BN57" s="47">
        <v>0</v>
      </c>
      <c r="BO57" s="188">
        <f>SUMPRODUCT(BK57:BN57,BF$7:BI$7)/BJ$7</f>
        <v>0</v>
      </c>
      <c r="BP57" s="47">
        <v>0</v>
      </c>
      <c r="BQ57" s="47">
        <v>0</v>
      </c>
      <c r="BR57" s="47">
        <v>0</v>
      </c>
      <c r="BS57" s="47">
        <v>0</v>
      </c>
      <c r="BT57" s="188">
        <f>SUMPRODUCT(BP57:BS57,BK$7:BN$7)/BO$7</f>
        <v>0</v>
      </c>
      <c r="BU57" s="670">
        <v>0</v>
      </c>
      <c r="BV57" s="670">
        <v>0</v>
      </c>
      <c r="BW57" s="670">
        <v>0</v>
      </c>
      <c r="BX57" s="670">
        <v>0</v>
      </c>
      <c r="BY57" s="188">
        <f>SUMPRODUCT(BU57:BX57,BP$7:BS$7)/BT$7</f>
        <v>0</v>
      </c>
      <c r="BZ57" s="670">
        <v>0</v>
      </c>
      <c r="CA57" s="670">
        <v>0</v>
      </c>
      <c r="CB57" s="670">
        <v>0</v>
      </c>
      <c r="CC57" s="47">
        <f ca="1">((CD57*BY7)-SUMPRODUCT(BU7:BW7,BZ57:CB57))/BX7</f>
        <v>0</v>
      </c>
      <c r="CD57" s="188">
        <f ca="1">SUMPRODUCT(BZ57:CC57,BU$7:BX$7)/BY$7</f>
        <v>0</v>
      </c>
      <c r="CE57" s="806">
        <v>0</v>
      </c>
      <c r="CF57" s="670">
        <v>0</v>
      </c>
      <c r="CG57" s="670">
        <v>0</v>
      </c>
      <c r="CH57" s="47">
        <v>0</v>
      </c>
      <c r="CI57" s="188">
        <f>SUMPRODUCT(CE57:CH57,BZ$7:CC$7)/CD$7</f>
        <v>0</v>
      </c>
      <c r="CJ57" s="47">
        <v>0</v>
      </c>
      <c r="CK57" s="47">
        <v>0</v>
      </c>
      <c r="CL57" s="145">
        <f>CN57</f>
        <v>0</v>
      </c>
      <c r="CM57" s="47">
        <f>((CN57*CI7)-SUMPRODUCT(CE7:CG7,CJ57:CL57))/CH7</f>
        <v>0</v>
      </c>
      <c r="CN57" s="195">
        <v>0</v>
      </c>
      <c r="CO57" s="154">
        <f>CS57</f>
        <v>0</v>
      </c>
      <c r="CP57" s="154">
        <f>CS57</f>
        <v>0</v>
      </c>
      <c r="CQ57" s="145">
        <f>CS57</f>
        <v>0</v>
      </c>
      <c r="CR57" s="47">
        <f>((CS57*CN7)-SUMPRODUCT(CJ7:CL7,CO57:CQ57))/CM7</f>
        <v>0</v>
      </c>
      <c r="CS57" s="195">
        <v>0</v>
      </c>
      <c r="CT57" s="154">
        <f>CX57</f>
        <v>0</v>
      </c>
      <c r="CU57" s="154">
        <f>CX57</f>
        <v>0</v>
      </c>
      <c r="CV57" s="145">
        <f>CX57</f>
        <v>0</v>
      </c>
      <c r="CW57" s="47">
        <f>((CX57*CS7)-SUMPRODUCT(CO7:CQ7,CT57:CV57))/CR7</f>
        <v>0</v>
      </c>
      <c r="CX57" s="195">
        <v>0</v>
      </c>
      <c r="CY57" s="154">
        <f>DC57</f>
        <v>0</v>
      </c>
      <c r="CZ57" s="154">
        <f>DC57</f>
        <v>0</v>
      </c>
      <c r="DA57" s="145">
        <f>DC57</f>
        <v>0</v>
      </c>
      <c r="DB57" s="47">
        <f>((DC57*CX7)-SUMPRODUCT(CT7:CV7,CY57:DA57))/CW7</f>
        <v>0</v>
      </c>
      <c r="DC57" s="195">
        <v>0</v>
      </c>
      <c r="DD57" s="154">
        <f>DH57</f>
        <v>0</v>
      </c>
      <c r="DE57" s="154">
        <f>DH57</f>
        <v>0</v>
      </c>
      <c r="DF57" s="145">
        <f>DH57</f>
        <v>0</v>
      </c>
      <c r="DG57" s="47">
        <f>((DH57*DC7)-SUMPRODUCT(CY7:DA7,DD57:DF57))/DB7</f>
        <v>0</v>
      </c>
      <c r="DH57" s="195">
        <v>0</v>
      </c>
    </row>
    <row r="58" spans="1:112" hidden="1" outlineLevel="1" x14ac:dyDescent="0.2">
      <c r="A58" s="169" t="s">
        <v>212</v>
      </c>
      <c r="B58" s="215" t="s">
        <v>221</v>
      </c>
      <c r="C58" s="215" t="s">
        <v>221</v>
      </c>
      <c r="D58" s="215" t="s">
        <v>221</v>
      </c>
      <c r="E58" s="215" t="s">
        <v>221</v>
      </c>
      <c r="F58" s="215" t="s">
        <v>221</v>
      </c>
      <c r="G58" s="268" t="s">
        <v>221</v>
      </c>
      <c r="H58" s="215" t="s">
        <v>221</v>
      </c>
      <c r="I58" s="215" t="s">
        <v>221</v>
      </c>
      <c r="J58" s="215" t="s">
        <v>221</v>
      </c>
      <c r="K58" s="215" t="s">
        <v>221</v>
      </c>
      <c r="L58" s="268" t="s">
        <v>221</v>
      </c>
      <c r="M58" s="215" t="s">
        <v>221</v>
      </c>
      <c r="N58" s="215" t="s">
        <v>221</v>
      </c>
      <c r="O58" s="215" t="s">
        <v>221</v>
      </c>
      <c r="P58" s="215" t="s">
        <v>221</v>
      </c>
      <c r="Q58" s="268" t="s">
        <v>221</v>
      </c>
      <c r="R58" s="215" t="s">
        <v>221</v>
      </c>
      <c r="S58" s="215" t="s">
        <v>221</v>
      </c>
      <c r="T58" s="215" t="s">
        <v>221</v>
      </c>
      <c r="U58" s="215" t="s">
        <v>221</v>
      </c>
      <c r="V58" s="268" t="s">
        <v>221</v>
      </c>
      <c r="W58" s="215" t="s">
        <v>221</v>
      </c>
      <c r="X58" s="215" t="s">
        <v>221</v>
      </c>
      <c r="Y58" s="215" t="s">
        <v>221</v>
      </c>
      <c r="Z58" s="215" t="s">
        <v>221</v>
      </c>
      <c r="AA58" s="268" t="s">
        <v>221</v>
      </c>
      <c r="AB58" s="215" t="s">
        <v>221</v>
      </c>
      <c r="AC58" s="215" t="s">
        <v>221</v>
      </c>
      <c r="AD58" s="215" t="s">
        <v>221</v>
      </c>
      <c r="AE58" s="215" t="s">
        <v>221</v>
      </c>
      <c r="AF58" s="268" t="s">
        <v>221</v>
      </c>
      <c r="AG58" s="215" t="s">
        <v>221</v>
      </c>
      <c r="AH58" s="215" t="s">
        <v>221</v>
      </c>
      <c r="AI58" s="215" t="s">
        <v>221</v>
      </c>
      <c r="AJ58" s="215" t="s">
        <v>221</v>
      </c>
      <c r="AK58" s="268" t="s">
        <v>221</v>
      </c>
      <c r="AL58" s="215">
        <f t="shared" ref="AL58:AT58" si="109">AL7/AG7-1</f>
        <v>0.1166666666666667</v>
      </c>
      <c r="AM58" s="215">
        <f t="shared" si="109"/>
        <v>0.19491525423728806</v>
      </c>
      <c r="AN58" s="215">
        <f t="shared" si="109"/>
        <v>0.54545454545454541</v>
      </c>
      <c r="AO58" s="215">
        <f t="shared" si="109"/>
        <v>0.39716312056737579</v>
      </c>
      <c r="AP58" s="279">
        <f t="shared" si="109"/>
        <v>0.32289628180039132</v>
      </c>
      <c r="AQ58" s="113">
        <f t="shared" si="109"/>
        <v>0.44776119402985071</v>
      </c>
      <c r="AR58" s="113">
        <f t="shared" si="109"/>
        <v>0.36879432624113484</v>
      </c>
      <c r="AS58" s="113">
        <f t="shared" si="109"/>
        <v>5.3921568627451011E-2</v>
      </c>
      <c r="AT58" s="113">
        <f t="shared" si="109"/>
        <v>7.1065989847715727E-2</v>
      </c>
      <c r="AU58" s="279">
        <f t="shared" ref="AU58:BM58" si="110">AU7/AP7-1</f>
        <v>0.2026627218934911</v>
      </c>
      <c r="AV58" s="113">
        <f t="shared" si="110"/>
        <v>3.0927835051546282E-2</v>
      </c>
      <c r="AW58" s="113">
        <f t="shared" si="110"/>
        <v>9.8445595854922185E-2</v>
      </c>
      <c r="AX58" s="113">
        <f t="shared" si="110"/>
        <v>5.1162790697674376E-2</v>
      </c>
      <c r="AY58" s="113">
        <f t="shared" si="110"/>
        <v>7.1090047393364886E-2</v>
      </c>
      <c r="AZ58" s="279">
        <f t="shared" si="110"/>
        <v>6.2730627306273101E-2</v>
      </c>
      <c r="BA58" s="113">
        <v>4.9999999999998934E-3</v>
      </c>
      <c r="BB58" s="113">
        <v>2.8301886792452935E-2</v>
      </c>
      <c r="BC58" s="113">
        <v>4.4247787610618428E-3</v>
      </c>
      <c r="BD58" s="113">
        <v>4.8672566371681381E-2</v>
      </c>
      <c r="BE58" s="196">
        <v>2.19907407407407E-2</v>
      </c>
      <c r="BF58" s="113">
        <f t="shared" si="110"/>
        <v>5.6410256410256432E-2</v>
      </c>
      <c r="BG58" s="113">
        <f t="shared" si="110"/>
        <v>5.7971014492753659E-2</v>
      </c>
      <c r="BH58" s="113">
        <f t="shared" si="110"/>
        <v>0.10045662100456632</v>
      </c>
      <c r="BI58" s="199">
        <f t="shared" si="110"/>
        <v>3.0701754385964897E-2</v>
      </c>
      <c r="BJ58" s="196">
        <f t="shared" si="110"/>
        <v>6.1248527679623077E-2</v>
      </c>
      <c r="BK58" s="113">
        <f t="shared" si="110"/>
        <v>9.7087378640776656E-3</v>
      </c>
      <c r="BL58" s="113">
        <f t="shared" si="110"/>
        <v>8.2191780821917915E-2</v>
      </c>
      <c r="BM58" s="113">
        <f t="shared" si="110"/>
        <v>1.6597510373443924E-2</v>
      </c>
      <c r="BN58" s="199">
        <f t="shared" ref="BN58:BT58" si="111">BN7/BI7-1</f>
        <v>1.7021276595744705E-2</v>
      </c>
      <c r="BO58" s="196">
        <f t="shared" si="111"/>
        <v>3.1076581576026552E-2</v>
      </c>
      <c r="BP58" s="199">
        <f t="shared" si="111"/>
        <v>4.8076923076923128E-2</v>
      </c>
      <c r="BQ58" s="199">
        <f t="shared" si="111"/>
        <v>0</v>
      </c>
      <c r="BR58" s="199">
        <f t="shared" si="111"/>
        <v>-3.2653061224489743E-2</v>
      </c>
      <c r="BS58" s="199">
        <f t="shared" si="111"/>
        <v>2.0920502092050208E-2</v>
      </c>
      <c r="BT58" s="196">
        <f t="shared" si="111"/>
        <v>7.5349838536060698E-3</v>
      </c>
      <c r="BU58" s="673">
        <f t="shared" ref="BU58:CK58" si="112">BU7/BP7-1</f>
        <v>-9.1743119266054496E-3</v>
      </c>
      <c r="BV58" s="673">
        <f t="shared" si="112"/>
        <v>3.7974683544303778E-2</v>
      </c>
      <c r="BW58" s="673">
        <f t="shared" si="112"/>
        <v>2.5316455696202445E-2</v>
      </c>
      <c r="BX58" s="673">
        <f t="shared" si="112"/>
        <v>4.098360655737654E-3</v>
      </c>
      <c r="BY58" s="196">
        <f t="shared" si="112"/>
        <v>1.4957264957264904E-2</v>
      </c>
      <c r="BZ58" s="673">
        <f t="shared" si="112"/>
        <v>6.944444444444442E-2</v>
      </c>
      <c r="CA58" s="673">
        <f t="shared" si="112"/>
        <v>2.0325203252032464E-2</v>
      </c>
      <c r="CB58" s="673">
        <f t="shared" si="112"/>
        <v>4.5267489711934061E-2</v>
      </c>
      <c r="CC58" s="673">
        <f t="shared" si="112"/>
        <v>3.6734693877551017E-2</v>
      </c>
      <c r="CD58" s="196">
        <f t="shared" si="112"/>
        <v>4.2105263157894646E-2</v>
      </c>
      <c r="CE58" s="673">
        <f t="shared" si="112"/>
        <v>2.1645021645021689E-2</v>
      </c>
      <c r="CF58" s="673">
        <f t="shared" si="112"/>
        <v>3.5856573705179251E-2</v>
      </c>
      <c r="CG58" s="673">
        <f t="shared" si="112"/>
        <v>-3.1496062992126039E-2</v>
      </c>
      <c r="CH58" s="673">
        <f t="shared" si="112"/>
        <v>1.5748031496062964E-2</v>
      </c>
      <c r="CI58" s="196">
        <f>CI7/CD7-1</f>
        <v>1.0101010101010166E-2</v>
      </c>
      <c r="CJ58" s="673">
        <f t="shared" si="112"/>
        <v>4.2372881355932313E-2</v>
      </c>
      <c r="CK58" s="673">
        <f t="shared" si="112"/>
        <v>3.076923076923066E-2</v>
      </c>
      <c r="CL58" s="199">
        <f t="shared" ref="CL58:CX58" si="113">SUM(CL54:CL57)</f>
        <v>5.5000000000000007E-2</v>
      </c>
      <c r="CM58" s="199">
        <f t="shared" si="113"/>
        <v>2.1201550387596895E-2</v>
      </c>
      <c r="CN58" s="196">
        <f t="shared" si="113"/>
        <v>3.7000000000000005E-2</v>
      </c>
      <c r="CO58" s="113">
        <f t="shared" si="113"/>
        <v>3.4999999999999996E-2</v>
      </c>
      <c r="CP58" s="113">
        <f t="shared" si="113"/>
        <v>1.4999999999999999E-2</v>
      </c>
      <c r="CQ58" s="199">
        <f t="shared" si="113"/>
        <v>1.4999999999999999E-2</v>
      </c>
      <c r="CR58" s="199">
        <f t="shared" si="113"/>
        <v>3.5685467036095195E-2</v>
      </c>
      <c r="CS58" s="196">
        <f t="shared" si="113"/>
        <v>2.5000000000000001E-2</v>
      </c>
      <c r="CT58" s="113">
        <f t="shared" si="113"/>
        <v>2.5000000000000001E-2</v>
      </c>
      <c r="CU58" s="113">
        <f t="shared" si="113"/>
        <v>2.5000000000000001E-2</v>
      </c>
      <c r="CV58" s="199">
        <f t="shared" si="113"/>
        <v>2.5000000000000001E-2</v>
      </c>
      <c r="CW58" s="199">
        <f t="shared" si="113"/>
        <v>2.5000000000000001E-2</v>
      </c>
      <c r="CX58" s="196">
        <f t="shared" si="113"/>
        <v>2.5000000000000001E-2</v>
      </c>
      <c r="CY58" s="113">
        <f t="shared" ref="CY58:DH58" si="114">SUM(CY54:CY57)</f>
        <v>2.5000000000000001E-2</v>
      </c>
      <c r="CZ58" s="113">
        <f t="shared" si="114"/>
        <v>2.5000000000000001E-2</v>
      </c>
      <c r="DA58" s="199">
        <f t="shared" si="114"/>
        <v>2.5000000000000001E-2</v>
      </c>
      <c r="DB58" s="199">
        <f t="shared" si="114"/>
        <v>2.5000000000000019E-2</v>
      </c>
      <c r="DC58" s="196">
        <f t="shared" si="114"/>
        <v>2.5000000000000001E-2</v>
      </c>
      <c r="DD58" s="113">
        <f t="shared" si="114"/>
        <v>2.5000000000000001E-2</v>
      </c>
      <c r="DE58" s="113">
        <f t="shared" si="114"/>
        <v>2.5000000000000001E-2</v>
      </c>
      <c r="DF58" s="199">
        <f t="shared" si="114"/>
        <v>2.5000000000000001E-2</v>
      </c>
      <c r="DG58" s="199">
        <f t="shared" si="114"/>
        <v>2.4999999999999981E-2</v>
      </c>
      <c r="DH58" s="196">
        <f t="shared" si="114"/>
        <v>2.5000000000000001E-2</v>
      </c>
    </row>
    <row r="59" spans="1:112" hidden="1" outlineLevel="1" x14ac:dyDescent="0.2">
      <c r="A59" s="162" t="s">
        <v>213</v>
      </c>
      <c r="B59" s="60" t="s">
        <v>221</v>
      </c>
      <c r="C59" s="60" t="s">
        <v>221</v>
      </c>
      <c r="D59" s="60" t="s">
        <v>221</v>
      </c>
      <c r="E59" s="60" t="s">
        <v>221</v>
      </c>
      <c r="F59" s="60" t="s">
        <v>221</v>
      </c>
      <c r="G59" s="267" t="s">
        <v>221</v>
      </c>
      <c r="H59" s="60" t="s">
        <v>221</v>
      </c>
      <c r="I59" s="60" t="s">
        <v>221</v>
      </c>
      <c r="J59" s="60" t="s">
        <v>221</v>
      </c>
      <c r="K59" s="60" t="s">
        <v>221</v>
      </c>
      <c r="L59" s="267" t="s">
        <v>221</v>
      </c>
      <c r="M59" s="60" t="s">
        <v>221</v>
      </c>
      <c r="N59" s="60" t="s">
        <v>221</v>
      </c>
      <c r="O59" s="60" t="s">
        <v>221</v>
      </c>
      <c r="P59" s="60" t="s">
        <v>221</v>
      </c>
      <c r="Q59" s="267" t="s">
        <v>221</v>
      </c>
      <c r="R59" s="60" t="s">
        <v>221</v>
      </c>
      <c r="S59" s="60" t="s">
        <v>221</v>
      </c>
      <c r="T59" s="60" t="s">
        <v>221</v>
      </c>
      <c r="U59" s="60" t="s">
        <v>221</v>
      </c>
      <c r="V59" s="267" t="s">
        <v>221</v>
      </c>
      <c r="W59" s="60" t="s">
        <v>221</v>
      </c>
      <c r="X59" s="60" t="s">
        <v>221</v>
      </c>
      <c r="Y59" s="60" t="s">
        <v>221</v>
      </c>
      <c r="Z59" s="60" t="s">
        <v>221</v>
      </c>
      <c r="AA59" s="267" t="s">
        <v>221</v>
      </c>
      <c r="AB59" s="60" t="s">
        <v>221</v>
      </c>
      <c r="AC59" s="60" t="s">
        <v>221</v>
      </c>
      <c r="AD59" s="60" t="s">
        <v>221</v>
      </c>
      <c r="AE59" s="60" t="s">
        <v>221</v>
      </c>
      <c r="AF59" s="267" t="s">
        <v>221</v>
      </c>
      <c r="AG59" s="60" t="s">
        <v>221</v>
      </c>
      <c r="AH59" s="60" t="s">
        <v>221</v>
      </c>
      <c r="AI59" s="60" t="s">
        <v>221</v>
      </c>
      <c r="AJ59" s="60" t="s">
        <v>221</v>
      </c>
      <c r="AK59" s="267" t="s">
        <v>221</v>
      </c>
      <c r="AL59" s="60" t="s">
        <v>221</v>
      </c>
      <c r="AM59" s="60" t="s">
        <v>221</v>
      </c>
      <c r="AN59" s="60" t="s">
        <v>221</v>
      </c>
      <c r="AO59" s="60" t="s">
        <v>221</v>
      </c>
      <c r="AP59" s="292">
        <f t="shared" ref="AP59:AU59" si="115">SUM(AP54:AP55)</f>
        <v>0.124</v>
      </c>
      <c r="AQ59" s="165">
        <f t="shared" si="115"/>
        <v>0.13338805970149248</v>
      </c>
      <c r="AR59" s="165">
        <f t="shared" si="115"/>
        <v>0.12486524822695044</v>
      </c>
      <c r="AS59" s="165">
        <f t="shared" si="115"/>
        <v>5.3921568627451011E-2</v>
      </c>
      <c r="AT59" s="165">
        <f t="shared" si="115"/>
        <v>7.1065989847715727E-2</v>
      </c>
      <c r="AU59" s="292">
        <f t="shared" si="115"/>
        <v>8.9467455621301789E-2</v>
      </c>
      <c r="AV59" s="165">
        <f t="shared" ref="AV59:BE59" si="116">AV54+AV55</f>
        <v>3.0927835051546282E-2</v>
      </c>
      <c r="AW59" s="165">
        <f t="shared" si="116"/>
        <v>9.8445595854922185E-2</v>
      </c>
      <c r="AX59" s="165">
        <f t="shared" si="116"/>
        <v>5.1162790697674376E-2</v>
      </c>
      <c r="AY59" s="165">
        <f t="shared" si="116"/>
        <v>7.1090047393364886E-2</v>
      </c>
      <c r="AZ59" s="292">
        <f t="shared" si="116"/>
        <v>5.7589175891758854E-2</v>
      </c>
      <c r="BA59" s="165">
        <f t="shared" si="116"/>
        <v>4.9999999999998934E-3</v>
      </c>
      <c r="BB59" s="165">
        <f t="shared" si="116"/>
        <v>2.8301886792452935E-2</v>
      </c>
      <c r="BC59" s="165">
        <f>BC54+BC55</f>
        <v>4.4247787610618428E-3</v>
      </c>
      <c r="BD59" s="165">
        <f t="shared" si="116"/>
        <v>4.8672566371681381E-2</v>
      </c>
      <c r="BE59" s="189">
        <f t="shared" si="116"/>
        <v>2.1990740740740707E-2</v>
      </c>
      <c r="BF59" s="165">
        <f t="shared" ref="BF59:CX59" si="117">BF54+BF55</f>
        <v>5.6410256410256432E-2</v>
      </c>
      <c r="BG59" s="165">
        <f>BG54+BG55</f>
        <v>5.7971014492753659E-2</v>
      </c>
      <c r="BH59" s="165">
        <f t="shared" si="117"/>
        <v>0.10045662100456632</v>
      </c>
      <c r="BI59" s="165">
        <f t="shared" si="117"/>
        <v>3.0701754385964897E-2</v>
      </c>
      <c r="BJ59" s="189">
        <f t="shared" si="117"/>
        <v>6.1248527679623126E-2</v>
      </c>
      <c r="BK59" s="165">
        <f t="shared" si="117"/>
        <v>9.7087378640776673E-3</v>
      </c>
      <c r="BL59" s="165">
        <f t="shared" si="117"/>
        <v>8.2191780821917915E-2</v>
      </c>
      <c r="BM59" s="165">
        <f t="shared" ca="1" si="117"/>
        <v>1.6597510373443924E-2</v>
      </c>
      <c r="BN59" s="165">
        <f>BN54+BN55</f>
        <v>1.7021276595744705E-2</v>
      </c>
      <c r="BO59" s="189">
        <f ca="1">BO54+BO55</f>
        <v>3.1076581576026656E-2</v>
      </c>
      <c r="BP59" s="165">
        <f t="shared" si="117"/>
        <v>4.8076923076923128E-2</v>
      </c>
      <c r="BQ59" s="165">
        <f>BQ54+BQ55</f>
        <v>0</v>
      </c>
      <c r="BR59" s="165">
        <f>BR54+BR55</f>
        <v>-3.2653061224489743E-2</v>
      </c>
      <c r="BS59" s="165">
        <f>BS54+BS55</f>
        <v>2.0920502092050208E-2</v>
      </c>
      <c r="BT59" s="189">
        <f>BT54+BT55</f>
        <v>7.5349838536060542E-3</v>
      </c>
      <c r="BU59" s="165">
        <f>BU54+BU55</f>
        <v>-9.1743119266054496E-3</v>
      </c>
      <c r="BV59" s="165">
        <f t="shared" si="117"/>
        <v>3.7974683544303778E-2</v>
      </c>
      <c r="BW59" s="165">
        <f t="shared" si="117"/>
        <v>2.5316455696202445E-2</v>
      </c>
      <c r="BX59" s="165">
        <f t="shared" si="117"/>
        <v>4.098360655737654E-3</v>
      </c>
      <c r="BY59" s="189">
        <f>BY54+BY55</f>
        <v>1.4957264957264932E-2</v>
      </c>
      <c r="BZ59" s="165">
        <f t="shared" si="117"/>
        <v>6.944444444444442E-2</v>
      </c>
      <c r="CA59" s="165">
        <f t="shared" si="117"/>
        <v>2.0325203252032464E-2</v>
      </c>
      <c r="CB59" s="165">
        <f t="shared" si="117"/>
        <v>4.5267489711934061E-2</v>
      </c>
      <c r="CC59" s="165">
        <f t="shared" ca="1" si="117"/>
        <v>3.6734693877551017E-2</v>
      </c>
      <c r="CD59" s="189">
        <f ca="1">CD54+CD55</f>
        <v>4.2105263157894687E-2</v>
      </c>
      <c r="CE59" s="165">
        <f t="shared" si="117"/>
        <v>2.1645021645021689E-2</v>
      </c>
      <c r="CF59" s="108">
        <f>CF54+CF55</f>
        <v>3.5856573705179251E-2</v>
      </c>
      <c r="CG59" s="165">
        <f t="shared" si="117"/>
        <v>-3.1496062992126039E-2</v>
      </c>
      <c r="CH59" s="165">
        <f>CH54+CH55</f>
        <v>1.5748031496062964E-2</v>
      </c>
      <c r="CI59" s="189">
        <f t="shared" si="117"/>
        <v>1.0101010101010083E-2</v>
      </c>
      <c r="CJ59" s="165">
        <f t="shared" si="117"/>
        <v>4.2372881355932313E-2</v>
      </c>
      <c r="CK59" s="165">
        <f t="shared" si="117"/>
        <v>3.076923076923066E-2</v>
      </c>
      <c r="CL59" s="165">
        <f t="shared" si="117"/>
        <v>5.5000000000000007E-2</v>
      </c>
      <c r="CM59" s="165">
        <f t="shared" si="117"/>
        <v>2.1201550387596895E-2</v>
      </c>
      <c r="CN59" s="189">
        <f t="shared" si="117"/>
        <v>3.7000000000000005E-2</v>
      </c>
      <c r="CO59" s="165">
        <f t="shared" si="117"/>
        <v>3.4999999999999996E-2</v>
      </c>
      <c r="CP59" s="165">
        <f t="shared" si="117"/>
        <v>1.4999999999999999E-2</v>
      </c>
      <c r="CQ59" s="165">
        <f t="shared" si="117"/>
        <v>1.4999999999999999E-2</v>
      </c>
      <c r="CR59" s="165">
        <f t="shared" si="117"/>
        <v>3.5685467036095195E-2</v>
      </c>
      <c r="CS59" s="189">
        <f t="shared" si="117"/>
        <v>2.5000000000000001E-2</v>
      </c>
      <c r="CT59" s="165">
        <f t="shared" si="117"/>
        <v>2.5000000000000001E-2</v>
      </c>
      <c r="CU59" s="165">
        <f t="shared" si="117"/>
        <v>2.5000000000000001E-2</v>
      </c>
      <c r="CV59" s="165">
        <f t="shared" si="117"/>
        <v>2.5000000000000001E-2</v>
      </c>
      <c r="CW59" s="165">
        <f t="shared" si="117"/>
        <v>2.5000000000000001E-2</v>
      </c>
      <c r="CX59" s="189">
        <f t="shared" si="117"/>
        <v>2.5000000000000001E-2</v>
      </c>
      <c r="CY59" s="165">
        <f>CY54+CY55</f>
        <v>2.5000000000000001E-2</v>
      </c>
      <c r="CZ59" s="165">
        <f>CZ54+CZ55</f>
        <v>2.5000000000000001E-2</v>
      </c>
      <c r="DA59" s="165">
        <f>DA54+DA55</f>
        <v>2.5000000000000001E-2</v>
      </c>
      <c r="DB59" s="165">
        <f>DB54+DB55</f>
        <v>2.5000000000000019E-2</v>
      </c>
      <c r="DC59" s="189">
        <f t="shared" ref="DC59:DH59" si="118">DC54+DC55</f>
        <v>2.5000000000000001E-2</v>
      </c>
      <c r="DD59" s="165">
        <f t="shared" si="118"/>
        <v>2.5000000000000001E-2</v>
      </c>
      <c r="DE59" s="165">
        <f t="shared" si="118"/>
        <v>2.5000000000000001E-2</v>
      </c>
      <c r="DF59" s="165">
        <f t="shared" si="118"/>
        <v>2.5000000000000001E-2</v>
      </c>
      <c r="DG59" s="165">
        <f t="shared" si="118"/>
        <v>2.4999999999999981E-2</v>
      </c>
      <c r="DH59" s="189">
        <f t="shared" si="118"/>
        <v>2.5000000000000001E-2</v>
      </c>
    </row>
    <row r="60" spans="1:112" hidden="1" outlineLevel="1" x14ac:dyDescent="0.2">
      <c r="A60" s="176" t="s">
        <v>227</v>
      </c>
      <c r="B60" s="48"/>
      <c r="C60" s="48"/>
      <c r="D60" s="48"/>
      <c r="E60" s="48"/>
      <c r="F60" s="48"/>
      <c r="G60" s="188"/>
      <c r="H60" s="48"/>
      <c r="I60" s="48"/>
      <c r="J60" s="48"/>
      <c r="K60" s="48"/>
      <c r="L60" s="188"/>
      <c r="M60" s="48"/>
      <c r="N60" s="48"/>
      <c r="O60" s="48"/>
      <c r="P60" s="48"/>
      <c r="Q60" s="188"/>
      <c r="R60" s="48"/>
      <c r="S60" s="48"/>
      <c r="T60" s="48"/>
      <c r="U60" s="48"/>
      <c r="V60" s="188"/>
      <c r="W60" s="48"/>
      <c r="X60" s="48"/>
      <c r="Y60" s="48"/>
      <c r="Z60" s="48"/>
      <c r="AA60" s="188"/>
      <c r="AB60" s="48"/>
      <c r="AC60" s="48"/>
      <c r="AD60" s="48"/>
      <c r="AE60" s="48"/>
      <c r="AF60" s="188"/>
      <c r="AG60" s="48"/>
      <c r="AH60" s="48"/>
      <c r="AI60" s="48"/>
      <c r="AJ60" s="48"/>
      <c r="AK60" s="188"/>
      <c r="AL60" s="48"/>
      <c r="AM60" s="48"/>
      <c r="AN60" s="48"/>
      <c r="AO60" s="48"/>
      <c r="AP60" s="188"/>
      <c r="AQ60" s="110"/>
      <c r="AR60" s="110"/>
      <c r="AS60" s="110"/>
      <c r="AT60" s="110"/>
      <c r="AU60" s="201">
        <f t="shared" ref="AU60:AZ60" si="119">AVERAGE(AU59,AP59)</f>
        <v>0.10673372781065089</v>
      </c>
      <c r="AV60" s="178">
        <f t="shared" si="119"/>
        <v>8.215794737651938E-2</v>
      </c>
      <c r="AW60" s="178">
        <f t="shared" si="119"/>
        <v>0.11165542204093631</v>
      </c>
      <c r="AX60" s="178">
        <f t="shared" si="119"/>
        <v>5.2542179662562694E-2</v>
      </c>
      <c r="AY60" s="178">
        <f t="shared" si="119"/>
        <v>7.1078018620540306E-2</v>
      </c>
      <c r="AZ60" s="201">
        <f t="shared" si="119"/>
        <v>7.3528315756530321E-2</v>
      </c>
      <c r="BA60" s="178">
        <f t="shared" ref="BA60:BK60" si="120">AVERAGE(BA59,AV59)</f>
        <v>1.7963917525773088E-2</v>
      </c>
      <c r="BB60" s="178">
        <f t="shared" si="120"/>
        <v>6.337374132368756E-2</v>
      </c>
      <c r="BC60" s="178">
        <f t="shared" si="120"/>
        <v>2.779378472936811E-2</v>
      </c>
      <c r="BD60" s="200">
        <f t="shared" si="120"/>
        <v>5.9881306882523133E-2</v>
      </c>
      <c r="BE60" s="201">
        <f t="shared" si="120"/>
        <v>3.9789958316249777E-2</v>
      </c>
      <c r="BF60" s="178">
        <f t="shared" si="120"/>
        <v>3.0705128205128163E-2</v>
      </c>
      <c r="BG60" s="178">
        <f t="shared" si="120"/>
        <v>4.3136450642603297E-2</v>
      </c>
      <c r="BH60" s="200">
        <f t="shared" si="120"/>
        <v>5.2440699882814079E-2</v>
      </c>
      <c r="BI60" s="200">
        <f t="shared" si="120"/>
        <v>3.9687160378823139E-2</v>
      </c>
      <c r="BJ60" s="201">
        <f t="shared" si="120"/>
        <v>4.1619634210181916E-2</v>
      </c>
      <c r="BK60" s="178">
        <f t="shared" si="120"/>
        <v>3.3059497137167049E-2</v>
      </c>
      <c r="BL60" s="178">
        <f t="shared" ref="BL60:CX60" si="121">AVERAGE(BL59,BG59)</f>
        <v>7.0081397657335787E-2</v>
      </c>
      <c r="BM60" s="178">
        <f t="shared" ca="1" si="121"/>
        <v>5.852706568900512E-2</v>
      </c>
      <c r="BN60" s="200">
        <f>AVERAGE(BN59,BI59)</f>
        <v>2.3861515490854801E-2</v>
      </c>
      <c r="BO60" s="201">
        <f ca="1">AVERAGE(BO59,BJ59)</f>
        <v>4.6162554627824891E-2</v>
      </c>
      <c r="BP60" s="178">
        <f t="shared" si="121"/>
        <v>2.8892830470500397E-2</v>
      </c>
      <c r="BQ60" s="178">
        <f t="shared" si="121"/>
        <v>4.1095890410958957E-2</v>
      </c>
      <c r="BR60" s="200">
        <f t="shared" ca="1" si="121"/>
        <v>-8.0277754255229095E-3</v>
      </c>
      <c r="BS60" s="200">
        <f t="shared" si="121"/>
        <v>1.8970889343897457E-2</v>
      </c>
      <c r="BT60" s="201">
        <f t="shared" ref="BT60:BY60" ca="1" si="122">AVERAGE(BT59,BO59)</f>
        <v>1.9305782714816356E-2</v>
      </c>
      <c r="BU60" s="178">
        <f t="shared" si="122"/>
        <v>1.9451305575158839E-2</v>
      </c>
      <c r="BV60" s="178">
        <f t="shared" si="122"/>
        <v>1.8987341772151889E-2</v>
      </c>
      <c r="BW60" s="200">
        <f t="shared" si="122"/>
        <v>-3.6683027641436494E-3</v>
      </c>
      <c r="BX60" s="200">
        <f t="shared" si="122"/>
        <v>1.2509431373893931E-2</v>
      </c>
      <c r="BY60" s="201">
        <f t="shared" si="122"/>
        <v>1.1246124405435494E-2</v>
      </c>
      <c r="BZ60" s="178">
        <f t="shared" si="121"/>
        <v>3.0135066258919485E-2</v>
      </c>
      <c r="CA60" s="178">
        <f t="shared" si="121"/>
        <v>2.9149943398168121E-2</v>
      </c>
      <c r="CB60" s="200">
        <f t="shared" si="121"/>
        <v>3.5291972704068253E-2</v>
      </c>
      <c r="CC60" s="200">
        <f t="shared" ca="1" si="121"/>
        <v>2.0416527266644335E-2</v>
      </c>
      <c r="CD60" s="201">
        <f t="shared" ca="1" si="121"/>
        <v>2.853126405757981E-2</v>
      </c>
      <c r="CE60" s="178">
        <f t="shared" si="121"/>
        <v>4.5544733044733055E-2</v>
      </c>
      <c r="CF60" s="115">
        <f t="shared" si="121"/>
        <v>2.8090888478605858E-2</v>
      </c>
      <c r="CG60" s="200">
        <f t="shared" si="121"/>
        <v>6.885713359904011E-3</v>
      </c>
      <c r="CH60" s="200">
        <f t="shared" ca="1" si="121"/>
        <v>2.624136268680699E-2</v>
      </c>
      <c r="CI60" s="201">
        <f t="shared" ca="1" si="121"/>
        <v>2.6103136629452385E-2</v>
      </c>
      <c r="CJ60" s="178">
        <f t="shared" si="121"/>
        <v>3.2008951500477001E-2</v>
      </c>
      <c r="CK60" s="178">
        <f t="shared" si="121"/>
        <v>3.3312902237204955E-2</v>
      </c>
      <c r="CL60" s="200">
        <f t="shared" si="121"/>
        <v>1.1751968503936984E-2</v>
      </c>
      <c r="CM60" s="200">
        <f t="shared" si="121"/>
        <v>1.8474790941829931E-2</v>
      </c>
      <c r="CN60" s="201">
        <f t="shared" si="121"/>
        <v>2.3550505050505044E-2</v>
      </c>
      <c r="CO60" s="178">
        <f t="shared" si="121"/>
        <v>3.8686440677966158E-2</v>
      </c>
      <c r="CP60" s="178">
        <f t="shared" si="121"/>
        <v>2.288461538461533E-2</v>
      </c>
      <c r="CQ60" s="200">
        <f t="shared" si="121"/>
        <v>3.5000000000000003E-2</v>
      </c>
      <c r="CR60" s="200">
        <f t="shared" si="121"/>
        <v>2.8443508711846047E-2</v>
      </c>
      <c r="CS60" s="201">
        <f t="shared" si="121"/>
        <v>3.1000000000000003E-2</v>
      </c>
      <c r="CT60" s="178">
        <f t="shared" si="121"/>
        <v>0.03</v>
      </c>
      <c r="CU60" s="178">
        <f t="shared" si="121"/>
        <v>0.02</v>
      </c>
      <c r="CV60" s="200">
        <f t="shared" si="121"/>
        <v>0.02</v>
      </c>
      <c r="CW60" s="200">
        <f t="shared" si="121"/>
        <v>3.0342733518047598E-2</v>
      </c>
      <c r="CX60" s="201">
        <f t="shared" si="121"/>
        <v>2.5000000000000001E-2</v>
      </c>
      <c r="CY60" s="178">
        <f t="shared" ref="CY60:DH60" si="123">AVERAGE(CY59,CT59)</f>
        <v>2.5000000000000001E-2</v>
      </c>
      <c r="CZ60" s="178">
        <f t="shared" si="123"/>
        <v>2.5000000000000001E-2</v>
      </c>
      <c r="DA60" s="200">
        <f t="shared" si="123"/>
        <v>2.5000000000000001E-2</v>
      </c>
      <c r="DB60" s="200">
        <f t="shared" si="123"/>
        <v>2.5000000000000008E-2</v>
      </c>
      <c r="DC60" s="201">
        <f t="shared" si="123"/>
        <v>2.5000000000000001E-2</v>
      </c>
      <c r="DD60" s="178">
        <f t="shared" si="123"/>
        <v>2.5000000000000001E-2</v>
      </c>
      <c r="DE60" s="178">
        <f t="shared" si="123"/>
        <v>2.5000000000000001E-2</v>
      </c>
      <c r="DF60" s="200">
        <f t="shared" si="123"/>
        <v>2.5000000000000001E-2</v>
      </c>
      <c r="DG60" s="200">
        <f t="shared" si="123"/>
        <v>2.5000000000000001E-2</v>
      </c>
      <c r="DH60" s="201">
        <f t="shared" si="123"/>
        <v>2.5000000000000001E-2</v>
      </c>
    </row>
    <row r="61" spans="1:112" hidden="1" outlineLevel="1" x14ac:dyDescent="0.2">
      <c r="A61" s="176"/>
      <c r="B61" s="48"/>
      <c r="C61" s="48"/>
      <c r="D61" s="48"/>
      <c r="E61" s="48"/>
      <c r="F61" s="48"/>
      <c r="G61" s="188"/>
      <c r="H61" s="48"/>
      <c r="I61" s="48"/>
      <c r="J61" s="48"/>
      <c r="K61" s="48"/>
      <c r="L61" s="188"/>
      <c r="M61" s="48"/>
      <c r="N61" s="48"/>
      <c r="O61" s="48"/>
      <c r="P61" s="48"/>
      <c r="Q61" s="188"/>
      <c r="R61" s="48"/>
      <c r="S61" s="48"/>
      <c r="T61" s="48"/>
      <c r="U61" s="48"/>
      <c r="V61" s="188"/>
      <c r="W61" s="48"/>
      <c r="X61" s="48"/>
      <c r="Y61" s="48"/>
      <c r="Z61" s="48"/>
      <c r="AA61" s="188"/>
      <c r="AB61" s="48"/>
      <c r="AC61" s="48"/>
      <c r="AD61" s="48"/>
      <c r="AE61" s="48"/>
      <c r="AF61" s="188"/>
      <c r="AG61" s="48"/>
      <c r="AH61" s="48"/>
      <c r="AI61" s="48"/>
      <c r="AJ61" s="48"/>
      <c r="AK61" s="188"/>
      <c r="AL61" s="48"/>
      <c r="AM61" s="48"/>
      <c r="AN61" s="48"/>
      <c r="AO61" s="48"/>
      <c r="AP61" s="188"/>
      <c r="AQ61" s="110"/>
      <c r="AR61" s="110"/>
      <c r="AS61" s="110"/>
      <c r="AT61" s="110"/>
      <c r="AU61" s="276"/>
      <c r="AV61" s="110"/>
      <c r="AW61" s="110"/>
      <c r="AX61" s="110"/>
      <c r="AY61" s="110"/>
      <c r="AZ61" s="276"/>
      <c r="BA61" s="110"/>
      <c r="BB61" s="110"/>
      <c r="BC61" s="48"/>
      <c r="BD61" s="48"/>
      <c r="BE61" s="191"/>
      <c r="BF61" s="110"/>
      <c r="BG61" s="110"/>
      <c r="BH61" s="48"/>
      <c r="BI61" s="48"/>
      <c r="BJ61" s="191"/>
      <c r="BK61" s="110"/>
      <c r="BL61" s="110"/>
      <c r="BM61" s="110"/>
      <c r="BN61" s="48"/>
      <c r="BO61" s="191"/>
      <c r="BP61" s="110"/>
      <c r="BQ61" s="110"/>
      <c r="BR61" s="48"/>
      <c r="BS61" s="48"/>
      <c r="BT61" s="191"/>
      <c r="BU61" s="110"/>
      <c r="BV61" s="110"/>
      <c r="BW61" s="48"/>
      <c r="BX61" s="48"/>
      <c r="BY61" s="807">
        <f>AVERAGE(BY63,BT63)</f>
        <v>2.1503623596645021E-2</v>
      </c>
      <c r="BZ61" s="809">
        <f>+AVERAGE(BZ63,BU63)</f>
        <v>2.5000000000000001E-2</v>
      </c>
      <c r="CA61" s="810">
        <f>+AVERAGE(CA63,BV63)</f>
        <v>2.5000000000000001E-2</v>
      </c>
      <c r="CB61" s="809">
        <f>+AVERAGE(CB63,BW63)</f>
        <v>2.5000000000000001E-2</v>
      </c>
      <c r="CC61" s="809">
        <f>+AVERAGE(CC63,BX63)</f>
        <v>7.5702247191011245E-3</v>
      </c>
      <c r="CD61" s="807">
        <f>AVERAGE(CD63,BY63)</f>
        <v>2.0770287166555428E-2</v>
      </c>
      <c r="CE61" s="809">
        <f t="shared" ref="CE61:CH62" si="124">+AVERAGE(CE63,BZ63)</f>
        <v>8.9243027888446201E-3</v>
      </c>
      <c r="CF61" s="810">
        <f t="shared" si="124"/>
        <v>0.01</v>
      </c>
      <c r="CG61" s="809">
        <f t="shared" si="124"/>
        <v>0.01</v>
      </c>
      <c r="CH61" s="809">
        <f t="shared" si="124"/>
        <v>2.5702247191011244E-3</v>
      </c>
      <c r="CI61" s="807">
        <f>AVERAGE(CI63,CD63)</f>
        <v>7.9700520605053438E-3</v>
      </c>
      <c r="CJ61" s="809">
        <f t="shared" ref="CJ61:CM62" si="125">+AVERAGE(CJ63,CE63)</f>
        <v>-1.0756972111553801E-3</v>
      </c>
      <c r="CK61" s="810">
        <f t="shared" si="125"/>
        <v>0.01</v>
      </c>
      <c r="CL61" s="809">
        <f t="shared" si="125"/>
        <v>4.9999999999999992E-3</v>
      </c>
      <c r="CM61" s="809">
        <f t="shared" si="125"/>
        <v>2.0058823529411764E-2</v>
      </c>
      <c r="CN61" s="807">
        <f>AVERAGE(CN63,CI63)</f>
        <v>8.6910732196589773E-3</v>
      </c>
      <c r="CO61" s="110"/>
      <c r="CP61" s="110"/>
      <c r="CQ61" s="48"/>
      <c r="CR61" s="48"/>
      <c r="CS61" s="191"/>
      <c r="CT61" s="110"/>
      <c r="CU61" s="110"/>
      <c r="CV61" s="48"/>
      <c r="CW61" s="48"/>
      <c r="CX61" s="191"/>
      <c r="CY61" s="110"/>
      <c r="CZ61" s="110"/>
      <c r="DA61" s="48"/>
      <c r="DB61" s="48"/>
      <c r="DC61" s="191"/>
      <c r="DD61" s="110"/>
      <c r="DE61" s="110"/>
      <c r="DF61" s="48"/>
      <c r="DG61" s="48"/>
      <c r="DH61" s="191"/>
    </row>
    <row r="62" spans="1:112" ht="12.75" hidden="1" customHeight="1" outlineLevel="1" x14ac:dyDescent="0.2">
      <c r="A62" s="104" t="s">
        <v>226</v>
      </c>
      <c r="B62" s="159"/>
      <c r="C62" s="159"/>
      <c r="D62" s="159"/>
      <c r="E62" s="159"/>
      <c r="F62" s="159"/>
      <c r="G62" s="270"/>
      <c r="H62" s="159"/>
      <c r="I62" s="159"/>
      <c r="J62" s="159"/>
      <c r="K62" s="159"/>
      <c r="L62" s="270"/>
      <c r="M62" s="159"/>
      <c r="N62" s="159"/>
      <c r="O62" s="159"/>
      <c r="P62" s="159"/>
      <c r="Q62" s="270"/>
      <c r="R62" s="159"/>
      <c r="S62" s="159"/>
      <c r="T62" s="159"/>
      <c r="U62" s="159"/>
      <c r="V62" s="270"/>
      <c r="W62" s="159"/>
      <c r="X62" s="159"/>
      <c r="Y62" s="159"/>
      <c r="Z62" s="159"/>
      <c r="AA62" s="270"/>
      <c r="AB62" s="159"/>
      <c r="AC62" s="159"/>
      <c r="AD62" s="159"/>
      <c r="AE62" s="159"/>
      <c r="AF62" s="270"/>
      <c r="AG62" s="159"/>
      <c r="AH62" s="159"/>
      <c r="AI62" s="159"/>
      <c r="AJ62" s="159"/>
      <c r="AK62" s="270"/>
      <c r="AL62" s="159"/>
      <c r="AM62" s="159"/>
      <c r="AN62" s="159"/>
      <c r="AO62" s="159"/>
      <c r="AP62" s="270"/>
      <c r="AQ62" s="110"/>
      <c r="AR62" s="110"/>
      <c r="AS62" s="110"/>
      <c r="AT62" s="110"/>
      <c r="AU62" s="276"/>
      <c r="AV62" s="581"/>
      <c r="AW62" s="581"/>
      <c r="AX62" s="581"/>
      <c r="AY62" s="581"/>
      <c r="AZ62" s="582"/>
      <c r="BA62" s="581"/>
      <c r="BB62" s="581"/>
      <c r="BC62" s="581"/>
      <c r="BD62" s="66"/>
      <c r="BE62" s="583"/>
      <c r="BF62" s="172"/>
      <c r="BG62" s="172"/>
      <c r="BH62" s="172"/>
      <c r="BI62" s="172"/>
      <c r="BJ62" s="632"/>
      <c r="BK62" s="172"/>
      <c r="BL62" s="172"/>
      <c r="BM62" s="172"/>
      <c r="BN62" s="172"/>
      <c r="BO62" s="632"/>
      <c r="BP62" s="110"/>
      <c r="BQ62" s="110"/>
      <c r="BR62" s="159"/>
      <c r="BS62" s="159"/>
      <c r="BT62" s="192"/>
      <c r="BU62" s="154"/>
      <c r="BV62" s="154"/>
      <c r="BW62" s="154"/>
      <c r="BX62" s="154"/>
      <c r="BY62" s="807">
        <f>AVERAGE(BY64,BT64)</f>
        <v>3.3975443447404517E-2</v>
      </c>
      <c r="BZ62" s="809">
        <f>+AVERAGE(BZ63,BU63)</f>
        <v>2.5000000000000001E-2</v>
      </c>
      <c r="CA62" s="809">
        <f>+AVERAGE(CA63,BV63)</f>
        <v>2.5000000000000001E-2</v>
      </c>
      <c r="CB62" s="809">
        <f>+AVERAGE(CB63,BW63)</f>
        <v>2.5000000000000001E-2</v>
      </c>
      <c r="CC62" s="809">
        <f>+AVERAGE(CC63,BX63)</f>
        <v>7.5702247191011245E-3</v>
      </c>
      <c r="CD62" s="807">
        <f>AVERAGE(CD64,BY64)</f>
        <v>5.97384468024756E-2</v>
      </c>
      <c r="CE62" s="809">
        <f t="shared" si="124"/>
        <v>5.9719050804082963E-2</v>
      </c>
      <c r="CF62" s="810">
        <f t="shared" si="124"/>
        <v>4.6057700143978683E-2</v>
      </c>
      <c r="CG62" s="809">
        <f t="shared" si="124"/>
        <v>3.6061482900943465E-2</v>
      </c>
      <c r="CH62" s="809">
        <f t="shared" si="124"/>
        <v>3.4444427687726466E-2</v>
      </c>
      <c r="CI62" s="807">
        <f>AVERAGE(CI64,CD64)</f>
        <v>4.4203813614255863E-2</v>
      </c>
      <c r="CJ62" s="809">
        <f t="shared" si="125"/>
        <v>4.8585657370517919E-2</v>
      </c>
      <c r="CK62" s="810">
        <f t="shared" ca="1" si="125"/>
        <v>3.2369969366094972E-2</v>
      </c>
      <c r="CL62" s="809">
        <f t="shared" si="125"/>
        <v>3.3499218750000052E-2</v>
      </c>
      <c r="CM62" s="809">
        <f t="shared" ca="1" si="125"/>
        <v>3.4833396052866866E-2</v>
      </c>
      <c r="CN62" s="807">
        <f>AVERAGE(CN64,CI64)</f>
        <v>3.7350087763289894E-2</v>
      </c>
      <c r="CO62" s="110"/>
      <c r="CP62" s="110"/>
      <c r="CQ62" s="159"/>
      <c r="CR62" s="159"/>
      <c r="CS62" s="192"/>
      <c r="CT62" s="110"/>
      <c r="CU62" s="110"/>
      <c r="CV62" s="159"/>
      <c r="CW62" s="159"/>
      <c r="CX62" s="192"/>
      <c r="CY62" s="110"/>
      <c r="CZ62" s="110"/>
      <c r="DA62" s="159"/>
      <c r="DB62" s="159"/>
      <c r="DC62" s="192"/>
      <c r="DD62" s="110"/>
      <c r="DE62" s="110"/>
      <c r="DF62" s="159"/>
      <c r="DG62" s="159"/>
      <c r="DH62" s="192"/>
    </row>
    <row r="63" spans="1:112" hidden="1" outlineLevel="1" x14ac:dyDescent="0.2">
      <c r="A63" s="162" t="s">
        <v>90</v>
      </c>
      <c r="B63" s="60" t="s">
        <v>221</v>
      </c>
      <c r="C63" s="60" t="s">
        <v>221</v>
      </c>
      <c r="D63" s="60" t="s">
        <v>221</v>
      </c>
      <c r="E63" s="60" t="s">
        <v>221</v>
      </c>
      <c r="F63" s="60" t="s">
        <v>221</v>
      </c>
      <c r="G63" s="267" t="s">
        <v>221</v>
      </c>
      <c r="H63" s="60" t="s">
        <v>221</v>
      </c>
      <c r="I63" s="60" t="s">
        <v>221</v>
      </c>
      <c r="J63" s="60" t="s">
        <v>221</v>
      </c>
      <c r="K63" s="60" t="s">
        <v>221</v>
      </c>
      <c r="L63" s="267" t="s">
        <v>221</v>
      </c>
      <c r="M63" s="60" t="s">
        <v>221</v>
      </c>
      <c r="N63" s="60" t="s">
        <v>221</v>
      </c>
      <c r="O63" s="60" t="s">
        <v>221</v>
      </c>
      <c r="P63" s="60" t="s">
        <v>221</v>
      </c>
      <c r="Q63" s="267" t="s">
        <v>221</v>
      </c>
      <c r="R63" s="60" t="s">
        <v>221</v>
      </c>
      <c r="S63" s="60" t="s">
        <v>221</v>
      </c>
      <c r="T63" s="60" t="s">
        <v>221</v>
      </c>
      <c r="U63" s="60" t="s">
        <v>221</v>
      </c>
      <c r="V63" s="267" t="s">
        <v>221</v>
      </c>
      <c r="W63" s="60" t="s">
        <v>221</v>
      </c>
      <c r="X63" s="60" t="s">
        <v>221</v>
      </c>
      <c r="Y63" s="60" t="s">
        <v>221</v>
      </c>
      <c r="Z63" s="60" t="s">
        <v>221</v>
      </c>
      <c r="AA63" s="267" t="s">
        <v>221</v>
      </c>
      <c r="AB63" s="60" t="s">
        <v>221</v>
      </c>
      <c r="AC63" s="60" t="s">
        <v>221</v>
      </c>
      <c r="AD63" s="60" t="s">
        <v>221</v>
      </c>
      <c r="AE63" s="60" t="s">
        <v>221</v>
      </c>
      <c r="AF63" s="267" t="s">
        <v>221</v>
      </c>
      <c r="AG63" s="60" t="s">
        <v>221</v>
      </c>
      <c r="AH63" s="60" t="s">
        <v>221</v>
      </c>
      <c r="AI63" s="60" t="s">
        <v>221</v>
      </c>
      <c r="AJ63" s="60" t="s">
        <v>221</v>
      </c>
      <c r="AK63" s="267" t="s">
        <v>221</v>
      </c>
      <c r="AL63" s="60" t="s">
        <v>221</v>
      </c>
      <c r="AM63" s="60" t="s">
        <v>221</v>
      </c>
      <c r="AN63" s="60" t="s">
        <v>221</v>
      </c>
      <c r="AO63" s="60" t="s">
        <v>221</v>
      </c>
      <c r="AP63" s="267">
        <v>0.08</v>
      </c>
      <c r="AQ63" s="110">
        <v>0.04</v>
      </c>
      <c r="AR63" s="110">
        <v>0.03</v>
      </c>
      <c r="AS63" s="110">
        <v>0.02</v>
      </c>
      <c r="AT63" s="110">
        <v>0</v>
      </c>
      <c r="AU63" s="276">
        <v>0.02</v>
      </c>
      <c r="AV63" s="110">
        <v>0.03</v>
      </c>
      <c r="AW63" s="110">
        <v>0.01</v>
      </c>
      <c r="AX63" s="110">
        <v>0.03</v>
      </c>
      <c r="AY63" s="110">
        <v>0</v>
      </c>
      <c r="AZ63" s="276">
        <v>0.02</v>
      </c>
      <c r="BA63" s="110">
        <v>-0.02</v>
      </c>
      <c r="BB63" s="110">
        <v>0.03</v>
      </c>
      <c r="BC63" s="47">
        <v>0</v>
      </c>
      <c r="BD63" s="610">
        <v>0</v>
      </c>
      <c r="BE63" s="188">
        <f>SUMPRODUCT(BA63:BD63,AV$8:AY$8)/AZ$8</f>
        <v>3.1117266851338875E-3</v>
      </c>
      <c r="BF63" s="110">
        <v>0.03</v>
      </c>
      <c r="BG63" s="110">
        <v>-0.01</v>
      </c>
      <c r="BH63" s="47">
        <v>0.01</v>
      </c>
      <c r="BI63" s="47">
        <v>0.03</v>
      </c>
      <c r="BJ63" s="188">
        <f>SUMPRODUCT(BF63:BI63,BA$8:BD$8)/BE$8</f>
        <v>1.4722222222222223E-2</v>
      </c>
      <c r="BK63" s="110">
        <v>-0.02</v>
      </c>
      <c r="BL63" s="110">
        <v>-0.03</v>
      </c>
      <c r="BM63" s="110">
        <v>0.01</v>
      </c>
      <c r="BN63" s="47">
        <v>-0.06</v>
      </c>
      <c r="BO63" s="188">
        <f>SUMPRODUCT(BK63:BN63,BF$8:BI$8)/BJ$8</f>
        <v>-2.5454545454545455E-2</v>
      </c>
      <c r="BP63" s="47">
        <v>0</v>
      </c>
      <c r="BQ63" s="47">
        <v>0.02</v>
      </c>
      <c r="BR63" s="47">
        <v>0.01</v>
      </c>
      <c r="BS63" s="47">
        <v>0.01</v>
      </c>
      <c r="BT63" s="188">
        <f>SUMPRODUCT(BP63:BS63,BK$8:BN$8)/BO$8</f>
        <v>1.0024630541871922E-2</v>
      </c>
      <c r="BU63" s="670">
        <v>0.05</v>
      </c>
      <c r="BV63" s="670">
        <v>0.05</v>
      </c>
      <c r="BW63" s="670">
        <v>0.01</v>
      </c>
      <c r="BX63" s="670">
        <v>0.02</v>
      </c>
      <c r="BY63" s="188">
        <f>SUMPRODUCT(BU63:BX63,BP$8:BS$8)/BT$8</f>
        <v>3.298261665141812E-2</v>
      </c>
      <c r="BZ63" s="670">
        <v>0</v>
      </c>
      <c r="CA63" s="670">
        <v>0</v>
      </c>
      <c r="CB63" s="670">
        <v>0.04</v>
      </c>
      <c r="CC63" s="670">
        <f>1%-CC66</f>
        <v>-4.8595505617977514E-3</v>
      </c>
      <c r="CD63" s="188">
        <f>SUMPRODUCT(BZ63:CC63,BU$8:BX$8)/BY$8</f>
        <v>8.5579576816927332E-3</v>
      </c>
      <c r="CE63" s="670">
        <f>4%-CE66</f>
        <v>1.784860557768924E-2</v>
      </c>
      <c r="CF63" s="669">
        <v>0.02</v>
      </c>
      <c r="CG63" s="669">
        <v>-0.02</v>
      </c>
      <c r="CH63" s="47">
        <v>0.01</v>
      </c>
      <c r="CI63" s="188">
        <f>SUMPRODUCT(CE63:CH63,BZ$8:CC$8)/CD$8</f>
        <v>7.3821464393179536E-3</v>
      </c>
      <c r="CJ63" s="47">
        <f>-0.02-CJ65</f>
        <v>-0.02</v>
      </c>
      <c r="CK63" s="47">
        <f>0-CK65</f>
        <v>0</v>
      </c>
      <c r="CL63" s="145">
        <v>0.03</v>
      </c>
      <c r="CM63" s="47">
        <f>((CN63*CI8)-SUMPRODUCT(CE8:CG8,CJ63:CL63))/CH8</f>
        <v>3.011764705882353E-2</v>
      </c>
      <c r="CN63" s="195">
        <v>0.01</v>
      </c>
      <c r="CO63" s="154">
        <v>0.02</v>
      </c>
      <c r="CP63" s="154">
        <v>1.4999999999999999E-2</v>
      </c>
      <c r="CQ63" s="145">
        <v>5.0000000000000001E-3</v>
      </c>
      <c r="CR63" s="47">
        <f ca="1">((CS63*CN8)-SUMPRODUCT(CJ8:CL8,CO63:CQ63))/CM8</f>
        <v>8.8299150344952769E-4</v>
      </c>
      <c r="CS63" s="195">
        <f>CN63</f>
        <v>0.01</v>
      </c>
      <c r="CT63" s="110">
        <f>CX63</f>
        <v>0.01</v>
      </c>
      <c r="CU63" s="110">
        <f>CX63</f>
        <v>0.01</v>
      </c>
      <c r="CV63" s="47">
        <f>CX63</f>
        <v>0.01</v>
      </c>
      <c r="CW63" s="47">
        <f ca="1">((CX63*CS8)-SUMPRODUCT(CO8:CQ8,CT63:CV63))/CR8</f>
        <v>0.01</v>
      </c>
      <c r="CX63" s="195">
        <f>CS63</f>
        <v>0.01</v>
      </c>
      <c r="CY63" s="110">
        <f>DC63</f>
        <v>0.01</v>
      </c>
      <c r="CZ63" s="110">
        <f>DC63</f>
        <v>0.01</v>
      </c>
      <c r="DA63" s="47">
        <f>DC63</f>
        <v>0.01</v>
      </c>
      <c r="DB63" s="47">
        <f ca="1">((DC63*CX8)-SUMPRODUCT(CT8:CV8,CY63:DA63))/CW8</f>
        <v>1.0000000000000002E-2</v>
      </c>
      <c r="DC63" s="195">
        <f>CX63</f>
        <v>0.01</v>
      </c>
      <c r="DD63" s="110">
        <f>DH63</f>
        <v>0.01</v>
      </c>
      <c r="DE63" s="110">
        <f>DH63</f>
        <v>0.01</v>
      </c>
      <c r="DF63" s="47">
        <f>DH63</f>
        <v>0.01</v>
      </c>
      <c r="DG63" s="47">
        <f ca="1">((DH63*DC8)-SUMPRODUCT(CY8:DA8,DD63:DF63))/DB8</f>
        <v>1.0000000000000004E-2</v>
      </c>
      <c r="DH63" s="195">
        <f>DC63</f>
        <v>0.01</v>
      </c>
    </row>
    <row r="64" spans="1:112" hidden="1" outlineLevel="1" x14ac:dyDescent="0.2">
      <c r="A64" s="162" t="s">
        <v>91</v>
      </c>
      <c r="B64" s="60" t="s">
        <v>221</v>
      </c>
      <c r="C64" s="60" t="s">
        <v>221</v>
      </c>
      <c r="D64" s="60" t="s">
        <v>221</v>
      </c>
      <c r="E64" s="60" t="s">
        <v>221</v>
      </c>
      <c r="F64" s="60" t="s">
        <v>221</v>
      </c>
      <c r="G64" s="267" t="s">
        <v>221</v>
      </c>
      <c r="H64" s="60" t="s">
        <v>221</v>
      </c>
      <c r="I64" s="60" t="s">
        <v>221</v>
      </c>
      <c r="J64" s="60" t="s">
        <v>221</v>
      </c>
      <c r="K64" s="60" t="s">
        <v>221</v>
      </c>
      <c r="L64" s="267" t="s">
        <v>221</v>
      </c>
      <c r="M64" s="60" t="s">
        <v>221</v>
      </c>
      <c r="N64" s="60" t="s">
        <v>221</v>
      </c>
      <c r="O64" s="60" t="s">
        <v>221</v>
      </c>
      <c r="P64" s="60" t="s">
        <v>221</v>
      </c>
      <c r="Q64" s="267" t="s">
        <v>221</v>
      </c>
      <c r="R64" s="60" t="s">
        <v>221</v>
      </c>
      <c r="S64" s="60" t="s">
        <v>221</v>
      </c>
      <c r="T64" s="60" t="s">
        <v>221</v>
      </c>
      <c r="U64" s="60" t="s">
        <v>221</v>
      </c>
      <c r="V64" s="267" t="s">
        <v>221</v>
      </c>
      <c r="W64" s="60" t="s">
        <v>221</v>
      </c>
      <c r="X64" s="60" t="s">
        <v>221</v>
      </c>
      <c r="Y64" s="60" t="s">
        <v>221</v>
      </c>
      <c r="Z64" s="60" t="s">
        <v>221</v>
      </c>
      <c r="AA64" s="267" t="s">
        <v>221</v>
      </c>
      <c r="AB64" s="60" t="s">
        <v>221</v>
      </c>
      <c r="AC64" s="60" t="s">
        <v>221</v>
      </c>
      <c r="AD64" s="60" t="s">
        <v>221</v>
      </c>
      <c r="AE64" s="60" t="s">
        <v>221</v>
      </c>
      <c r="AF64" s="267" t="s">
        <v>221</v>
      </c>
      <c r="AG64" s="60" t="s">
        <v>221</v>
      </c>
      <c r="AH64" s="60" t="s">
        <v>221</v>
      </c>
      <c r="AI64" s="60" t="s">
        <v>221</v>
      </c>
      <c r="AJ64" s="60" t="s">
        <v>221</v>
      </c>
      <c r="AK64" s="267" t="s">
        <v>221</v>
      </c>
      <c r="AL64" s="60" t="s">
        <v>221</v>
      </c>
      <c r="AM64" s="60" t="s">
        <v>221</v>
      </c>
      <c r="AN64" s="60" t="s">
        <v>221</v>
      </c>
      <c r="AO64" s="60" t="s">
        <v>221</v>
      </c>
      <c r="AP64" s="267">
        <f>2.8%+0.5%</f>
        <v>3.2999999999999995E-2</v>
      </c>
      <c r="AQ64" s="110">
        <f>AQ67-AQ66-AQ65-AQ63</f>
        <v>3.9539682539682632E-2</v>
      </c>
      <c r="AR64" s="110">
        <f>AR67-AR66-AR65-AR63</f>
        <v>5.317602996254682E-2</v>
      </c>
      <c r="AS64" s="110">
        <f>AS67-AS66-AS65-AS63</f>
        <v>9.131226765799251E-2</v>
      </c>
      <c r="AT64" s="110">
        <f>AT67-AT66-AT65-AT63</f>
        <v>9.9914965986394516E-2</v>
      </c>
      <c r="AU64" s="276">
        <f>7.7%-0.5%</f>
        <v>7.1999999999999995E-2</v>
      </c>
      <c r="AV64" s="110">
        <f>AV67-AV66-AV65-AV63</f>
        <v>8.4657039711191318E-2</v>
      </c>
      <c r="AW64" s="110">
        <f>AW67-AW66-AW65-AW63</f>
        <v>0.11628125000000002</v>
      </c>
      <c r="AX64" s="110">
        <f>AX67-AX66-AX65-AX63</f>
        <v>7.9143968871595347E-2</v>
      </c>
      <c r="AY64" s="110">
        <v>7.0000000000000007E-2</v>
      </c>
      <c r="AZ64" s="276">
        <f>SUMPRODUCT(AV64:AY64,$AQ$8:$AT$8)/$AU$8</f>
        <v>8.7049302325581404E-2</v>
      </c>
      <c r="BA64" s="110">
        <f>BA67-BA66-BA65-BA63</f>
        <v>6.5679104477611994E-2</v>
      </c>
      <c r="BB64" s="110">
        <f>BB67-BB66-BB65-BB63</f>
        <v>4.8109965635738869E-2</v>
      </c>
      <c r="BC64" s="110">
        <f>BC67-BC66-BC65-BC63</f>
        <v>2.7851562499999996E-2</v>
      </c>
      <c r="BD64" s="110">
        <f>BD67-BD66-BD65-BD63</f>
        <v>2.3966417910447874E-2</v>
      </c>
      <c r="BE64" s="188">
        <f>SUMPRODUCT(BA64:BD64,AV$8:AY$8)/AZ$8</f>
        <v>4.1694367497691648E-2</v>
      </c>
      <c r="BF64" s="110">
        <f>BF67-BF66-BF65-BF63</f>
        <v>3.3947761194029799E-2</v>
      </c>
      <c r="BG64" s="110">
        <f>BG67-BG66-BG65-BG63</f>
        <v>2.9781879194630871E-2</v>
      </c>
      <c r="BH64" s="110">
        <f>BH67-BH66-BH65-BH63</f>
        <v>4.1436619718309801E-2</v>
      </c>
      <c r="BI64" s="110">
        <f>BI67-BI66-BI65-BI63</f>
        <v>4.8874172185430498E-2</v>
      </c>
      <c r="BJ64" s="188">
        <f>SUMPRODUCT(BF64:BI64,BA$8:BD$8)/BE$8</f>
        <v>3.8629340277777757E-2</v>
      </c>
      <c r="BK64" s="110">
        <f>BK67-BK66-BK65-BK63</f>
        <v>8.6122448979591759E-2</v>
      </c>
      <c r="BL64" s="110">
        <f>BL67-BL66-BL65-BL63</f>
        <v>6.0942953020134187E-2</v>
      </c>
      <c r="BM64" s="110">
        <f>BM67-BM66-BM65-BM63</f>
        <v>4.0023648648648644E-2</v>
      </c>
      <c r="BN64" s="110">
        <f>BN67-BN66-BN65-BN63</f>
        <v>9.4948553054662363E-2</v>
      </c>
      <c r="BO64" s="188">
        <f>SUMPRODUCT(BK64:BN64,BF$8:BI$8)/BJ$8</f>
        <v>7.0773144286905718E-2</v>
      </c>
      <c r="BP64" s="110">
        <f>BP67-BP66-BP65-BP63</f>
        <v>-2.9471947194719517E-2</v>
      </c>
      <c r="BQ64" s="110">
        <f>BQ67-BQ66-BQ65-BQ63</f>
        <v>1.7973856209150055E-4</v>
      </c>
      <c r="BR64" s="110">
        <f>BR67-BR66-BR65-BR63</f>
        <v>1.729568106312291E-2</v>
      </c>
      <c r="BS64" s="110">
        <f>BS67-BS66-BS65-BS63</f>
        <v>7.6623376623372909E-4</v>
      </c>
      <c r="BT64" s="188">
        <f>SUMPRODUCT(BP64:BS64,BK$8:BN$8)/BO$8</f>
        <v>-2.818555008210205E-3</v>
      </c>
      <c r="BU64" s="670">
        <f>BU67-BU66-BU65-BU63</f>
        <v>4.3127737226277371E-2</v>
      </c>
      <c r="BV64" s="670">
        <f>BV67-BV66-BV65-BV63</f>
        <v>5.670383275261319E-2</v>
      </c>
      <c r="BW64" s="670">
        <f>BW67-BW66-BW65-BW63</f>
        <v>9.7272727272727386E-2</v>
      </c>
      <c r="BX64" s="670">
        <f>BX67-BX66-BX65-BX63</f>
        <v>8.7985074626865722E-2</v>
      </c>
      <c r="BY64" s="188">
        <f>SUMPRODUCT(BU64:BX64,BP$8:BS$8)/BT$8</f>
        <v>7.0769441903019245E-2</v>
      </c>
      <c r="BZ64" s="670">
        <f>BZ67-BZ66-BZ65-BZ63</f>
        <v>5.4218978102189841E-2</v>
      </c>
      <c r="CA64" s="670">
        <f>CA67-CA66-CA65-CA63</f>
        <v>6.161921708185053E-2</v>
      </c>
      <c r="CB64" s="670">
        <f>CB67-CB66-CB65-CB63</f>
        <v>4.0124528301886821E-2</v>
      </c>
      <c r="CC64" s="670">
        <f>CC67-CC66-CC65-CC63</f>
        <v>3.7981273408239716E-2</v>
      </c>
      <c r="CD64" s="188">
        <f>SUMPRODUCT(BZ64:CC64,BU$8:BX$8)/BY$8</f>
        <v>4.8707451701931949E-2</v>
      </c>
      <c r="CE64" s="670">
        <f>CE67-CE66-CE65-CE63</f>
        <v>6.5219123505976084E-2</v>
      </c>
      <c r="CF64" s="670">
        <f>CF67-CF66-CF65-CF63</f>
        <v>3.0496183206106833E-2</v>
      </c>
      <c r="CG64" s="670">
        <f>CG67-CG66-CG65-CG63</f>
        <v>3.1998437500000101E-2</v>
      </c>
      <c r="CH64" s="670">
        <f>CH67-CH66-CH65-CH63</f>
        <v>3.0907581967213216E-2</v>
      </c>
      <c r="CI64" s="188">
        <f>SUMPRODUCT(CE64:CH64,BZ$8:CC$8)/CD$8</f>
        <v>3.9700175526579777E-2</v>
      </c>
      <c r="CJ64" s="670">
        <f>CJ67-CJ66-CJ65-CJ63</f>
        <v>3.1952191235059754E-2</v>
      </c>
      <c r="CK64" s="670">
        <f ca="1">CK67-CK66-CK65-CK63</f>
        <v>3.4243755526083108E-2</v>
      </c>
      <c r="CL64" s="145">
        <v>3.5000000000000003E-2</v>
      </c>
      <c r="CM64" s="47">
        <f ca="1">((CN64*CI8)-SUMPRODUCT(CE8:CG8,CJ64:CL64))/CH8</f>
        <v>3.875921013852051E-2</v>
      </c>
      <c r="CN64" s="195">
        <v>3.5000000000000003E-2</v>
      </c>
      <c r="CO64" s="110">
        <f>CS64</f>
        <v>3.5000000000000003E-2</v>
      </c>
      <c r="CP64" s="110">
        <f>CS64</f>
        <v>3.5000000000000003E-2</v>
      </c>
      <c r="CQ64" s="47">
        <f>CS64</f>
        <v>3.5000000000000003E-2</v>
      </c>
      <c r="CR64" s="47">
        <f ca="1">((CS64*CN8)-SUMPRODUCT(CJ8:CL8,CO64:CQ64))/CM8</f>
        <v>3.5000000000000003E-2</v>
      </c>
      <c r="CS64" s="195">
        <f>CN64</f>
        <v>3.5000000000000003E-2</v>
      </c>
      <c r="CT64" s="110">
        <f>CX64</f>
        <v>3.5000000000000003E-2</v>
      </c>
      <c r="CU64" s="110">
        <f>CX64</f>
        <v>3.5000000000000003E-2</v>
      </c>
      <c r="CV64" s="47">
        <f>CX64</f>
        <v>3.5000000000000003E-2</v>
      </c>
      <c r="CW64" s="47">
        <f ca="1">((CX64*CS8)-SUMPRODUCT(CO8:CQ8,CT64:CV64))/CR8</f>
        <v>3.5000000000000017E-2</v>
      </c>
      <c r="CX64" s="195">
        <f>CS64</f>
        <v>3.5000000000000003E-2</v>
      </c>
      <c r="CY64" s="110">
        <f>DC64</f>
        <v>3.5000000000000003E-2</v>
      </c>
      <c r="CZ64" s="110">
        <f>DC64</f>
        <v>3.5000000000000003E-2</v>
      </c>
      <c r="DA64" s="47">
        <f>DC64</f>
        <v>3.5000000000000003E-2</v>
      </c>
      <c r="DB64" s="47">
        <f ca="1">((DC64*CX8)-SUMPRODUCT(CT8:CV8,CY64:DA64))/CW8</f>
        <v>3.5000000000000024E-2</v>
      </c>
      <c r="DC64" s="195">
        <f>CX64</f>
        <v>3.5000000000000003E-2</v>
      </c>
      <c r="DD64" s="110">
        <f>DH64</f>
        <v>3.5000000000000003E-2</v>
      </c>
      <c r="DE64" s="110">
        <f>DH64</f>
        <v>3.5000000000000003E-2</v>
      </c>
      <c r="DF64" s="47">
        <f>DH64</f>
        <v>3.5000000000000003E-2</v>
      </c>
      <c r="DG64" s="47">
        <f ca="1">((DH64*DC8)-SUMPRODUCT(CY8:DA8,DD64:DF64))/DB8</f>
        <v>3.5000000000000003E-2</v>
      </c>
      <c r="DH64" s="195">
        <f>DC64</f>
        <v>3.5000000000000003E-2</v>
      </c>
    </row>
    <row r="65" spans="1:112" hidden="1" outlineLevel="1" x14ac:dyDescent="0.2">
      <c r="A65" s="109" t="s">
        <v>96</v>
      </c>
      <c r="B65" s="60" t="s">
        <v>221</v>
      </c>
      <c r="C65" s="60" t="s">
        <v>221</v>
      </c>
      <c r="D65" s="60" t="s">
        <v>221</v>
      </c>
      <c r="E65" s="60" t="s">
        <v>221</v>
      </c>
      <c r="F65" s="60" t="s">
        <v>221</v>
      </c>
      <c r="G65" s="267" t="s">
        <v>221</v>
      </c>
      <c r="H65" s="60" t="s">
        <v>221</v>
      </c>
      <c r="I65" s="60" t="s">
        <v>221</v>
      </c>
      <c r="J65" s="60" t="s">
        <v>221</v>
      </c>
      <c r="K65" s="60" t="s">
        <v>221</v>
      </c>
      <c r="L65" s="267" t="s">
        <v>221</v>
      </c>
      <c r="M65" s="60" t="s">
        <v>221</v>
      </c>
      <c r="N65" s="60" t="s">
        <v>221</v>
      </c>
      <c r="O65" s="60" t="s">
        <v>221</v>
      </c>
      <c r="P65" s="60" t="s">
        <v>221</v>
      </c>
      <c r="Q65" s="267" t="s">
        <v>221</v>
      </c>
      <c r="R65" s="60" t="s">
        <v>221</v>
      </c>
      <c r="S65" s="60" t="s">
        <v>221</v>
      </c>
      <c r="T65" s="60" t="s">
        <v>221</v>
      </c>
      <c r="U65" s="60" t="s">
        <v>221</v>
      </c>
      <c r="V65" s="267" t="s">
        <v>221</v>
      </c>
      <c r="W65" s="60" t="s">
        <v>221</v>
      </c>
      <c r="X65" s="60" t="s">
        <v>221</v>
      </c>
      <c r="Y65" s="60" t="s">
        <v>221</v>
      </c>
      <c r="Z65" s="60" t="s">
        <v>221</v>
      </c>
      <c r="AA65" s="267" t="s">
        <v>221</v>
      </c>
      <c r="AB65" s="60" t="s">
        <v>221</v>
      </c>
      <c r="AC65" s="60" t="s">
        <v>221</v>
      </c>
      <c r="AD65" s="60" t="s">
        <v>221</v>
      </c>
      <c r="AE65" s="60" t="s">
        <v>221</v>
      </c>
      <c r="AF65" s="267" t="s">
        <v>221</v>
      </c>
      <c r="AG65" s="60" t="s">
        <v>221</v>
      </c>
      <c r="AH65" s="60" t="s">
        <v>221</v>
      </c>
      <c r="AI65" s="60" t="s">
        <v>221</v>
      </c>
      <c r="AJ65" s="60" t="s">
        <v>221</v>
      </c>
      <c r="AK65" s="267" t="s">
        <v>221</v>
      </c>
      <c r="AL65" s="60" t="s">
        <v>221</v>
      </c>
      <c r="AM65" s="60" t="s">
        <v>221</v>
      </c>
      <c r="AN65" s="60" t="s">
        <v>221</v>
      </c>
      <c r="AO65" s="60" t="s">
        <v>221</v>
      </c>
      <c r="AP65" s="267">
        <v>6.4000000000000001E-2</v>
      </c>
      <c r="AQ65" s="110">
        <f>(AQ30*AL9)/AL8</f>
        <v>1.9666666666666669E-2</v>
      </c>
      <c r="AR65" s="110">
        <f>(AR30*AM9)/AM8</f>
        <v>-0.12437453183520598</v>
      </c>
      <c r="AS65" s="110">
        <f>(AS30*AN9)/AN8</f>
        <v>-0.15592193308550184</v>
      </c>
      <c r="AT65" s="110">
        <f>(AT30*AO9)/AO8</f>
        <v>-0.12712585034013604</v>
      </c>
      <c r="AU65" s="276">
        <v>-9.8000000000000004E-2</v>
      </c>
      <c r="AV65" s="110">
        <f>(AV30*AQ9)/AQ8</f>
        <v>-7.4945848375451263E-2</v>
      </c>
      <c r="AW65" s="110">
        <f>(1.7%*AR9)/AR8</f>
        <v>8.0750000000000002E-2</v>
      </c>
      <c r="AX65" s="110">
        <f>(-0.3%*AS9)/AS8</f>
        <v>-1.5758754863813229E-2</v>
      </c>
      <c r="AY65" s="110">
        <f>(-1.1%*AT9)/AT8</f>
        <v>-5.7692307692307696E-2</v>
      </c>
      <c r="AZ65" s="276">
        <f>SUMPRODUCT(AV65:AY65,$AQ$8:$AT$8)/$AU$8</f>
        <v>-1.919813953488372E-2</v>
      </c>
      <c r="BA65" s="154">
        <f>(BA30*AV9)/AV8</f>
        <v>-6.8067164179104481E-2</v>
      </c>
      <c r="BB65" s="154">
        <f>(BB30*AW9)/AW8</f>
        <v>-9.1855670103092771E-2</v>
      </c>
      <c r="BC65" s="154">
        <f>(BC30*AX9)/AX8</f>
        <v>5.0273437500000004E-2</v>
      </c>
      <c r="BD65" s="110">
        <f>(BD30*AY9)/AY8</f>
        <v>6.9317164179104468E-2</v>
      </c>
      <c r="BE65" s="189">
        <f>SUMPRODUCT(BA65:BD65,AV$8:AY$8)/AZ$8</f>
        <v>-1.2488457987072937E-2</v>
      </c>
      <c r="BF65" s="110">
        <f>(BF30*BA9)/BA8</f>
        <v>3.3067164179104477E-2</v>
      </c>
      <c r="BG65" s="110">
        <f>(BG30*BB9)/BB8</f>
        <v>-1.9781879194630873E-2</v>
      </c>
      <c r="BH65" s="110">
        <f>(BH30*BC9)/BC8</f>
        <v>-9.1830985915492963E-3</v>
      </c>
      <c r="BI65" s="110">
        <f>(BI30*BD9)/BD8</f>
        <v>-4.9072847682119204E-2</v>
      </c>
      <c r="BJ65" s="189">
        <f>SUMPRODUCT(BF65:BI65,BA$8:BD$8)/BE$8</f>
        <v>-1.255295138888889E-2</v>
      </c>
      <c r="BK65" s="47">
        <f>(BK30*BF9)/BF8</f>
        <v>-3.5510204081632649E-2</v>
      </c>
      <c r="BL65" s="47">
        <f>(BL30*BG9)/BG8</f>
        <v>-4.0973154362416112E-3</v>
      </c>
      <c r="BM65" s="47">
        <f>(BM30*BH9)/BH8</f>
        <v>-3.313175675675676E-2</v>
      </c>
      <c r="BN65" s="110">
        <f>(BN30*BI9)/BI8</f>
        <v>-4.4594855305466238E-2</v>
      </c>
      <c r="BO65" s="189">
        <f>SUMPRODUCT(BK65:BN65,BF$8:BI$8)/BJ$8</f>
        <v>-2.9472060050041705E-2</v>
      </c>
      <c r="BP65" s="110">
        <f>(BP30*BK9)/BK8</f>
        <v>-6.6237623762376241E-2</v>
      </c>
      <c r="BQ65" s="110">
        <f>(BQ30*BL9)/BL8</f>
        <v>-8.2271241830065359E-2</v>
      </c>
      <c r="BR65" s="110">
        <f>(BR30*BM9)/BM8</f>
        <v>-0.15021926910299005</v>
      </c>
      <c r="BS65" s="110">
        <f>(BS30*BN9)/BN8</f>
        <v>-0.14063636363636364</v>
      </c>
      <c r="BT65" s="189">
        <f>SUMPRODUCT(BP65:BS65,BK$8:BN$8)/BO$8</f>
        <v>-0.10983333333333335</v>
      </c>
      <c r="BU65" s="670">
        <f>(BU30*BP9)/BP8</f>
        <v>-9.3127737226277374E-2</v>
      </c>
      <c r="BV65" s="670">
        <f>(BV30*BQ9)/BQ8</f>
        <v>-0.12760975609756098</v>
      </c>
      <c r="BW65" s="670">
        <f>(BW30*BR9)/BR8</f>
        <v>-0.10348484848484849</v>
      </c>
      <c r="BX65" s="670">
        <f>(BX30*BS9)/BS8</f>
        <v>-0.11171641791044777</v>
      </c>
      <c r="BY65" s="189">
        <f>SUMPRODUCT(BU65:BX65,BP$8:BS$8)/BT$8</f>
        <v>-0.10924153705397988</v>
      </c>
      <c r="BZ65" s="670">
        <f>(BZ30*BU9)/BU8</f>
        <v>-0.13816058394160585</v>
      </c>
      <c r="CA65" s="670">
        <f>(CA30*BV9)/BV8</f>
        <v>-0.12923487544483986</v>
      </c>
      <c r="CB65" s="670">
        <f>(CB30*BW9)/BW8</f>
        <v>-0.17446415094339623</v>
      </c>
      <c r="CC65" s="670">
        <f>(CC30*BX9)/BX8</f>
        <v>-0.13412359550561798</v>
      </c>
      <c r="CD65" s="189">
        <f>SUMPRODUCT(BZ65:CC65,BU$8:BX$8)/BY$8</f>
        <v>-0.14371205151793928</v>
      </c>
      <c r="CE65" s="670">
        <f>(CE30*BZ9)/BZ8</f>
        <v>-0.10521912350597609</v>
      </c>
      <c r="CF65" s="670">
        <f>(CF30*CA9)/CA8</f>
        <v>-9.7538167938931303E-2</v>
      </c>
      <c r="CG65" s="670">
        <f>(CG30*CB9)/CB8</f>
        <v>-5.9416666666666663E-3</v>
      </c>
      <c r="CH65" s="670">
        <f>(CH30*CC9)/CC8</f>
        <v>-6.5573770491803279E-3</v>
      </c>
      <c r="CI65" s="188">
        <f>SUMPRODUCT(CE65:CH65,BZ$8:CC$8)/CD$8</f>
        <v>-5.5156469408224683E-2</v>
      </c>
      <c r="CJ65" s="670">
        <f>(CJ30*CE9)/CE8</f>
        <v>0</v>
      </c>
      <c r="CK65" s="670">
        <f>(CK30*CF9)/CF8</f>
        <v>0</v>
      </c>
      <c r="CL65" s="145">
        <v>2.2464533881027399E-2</v>
      </c>
      <c r="CM65" s="145">
        <v>1.4857827522549154E-3</v>
      </c>
      <c r="CN65" s="189">
        <f>SUMPRODUCT(CJ65:CM65,CE$8:CH$8)/CI8</f>
        <v>5.8911673310097015E-3</v>
      </c>
      <c r="CO65" s="145">
        <v>-1.8991878483562777E-2</v>
      </c>
      <c r="CP65" s="145">
        <v>-3.0148511064726283E-3</v>
      </c>
      <c r="CQ65" s="145">
        <v>-5.6067216479598831E-3</v>
      </c>
      <c r="CR65" s="145">
        <v>0</v>
      </c>
      <c r="CS65" s="189">
        <f ca="1">SUMPRODUCT(CO65:CR65,CJ$8:CM$8)/CN8</f>
        <v>-6.6943560759286508E-3</v>
      </c>
      <c r="CT65" s="145">
        <v>0</v>
      </c>
      <c r="CU65" s="145">
        <v>0</v>
      </c>
      <c r="CV65" s="145">
        <v>0</v>
      </c>
      <c r="CW65" s="145">
        <v>0</v>
      </c>
      <c r="CX65" s="189">
        <f ca="1">SUMPRODUCT(CT65:CW65,CO$8:CR$8)/CS8</f>
        <v>0</v>
      </c>
      <c r="CY65" s="145">
        <v>0</v>
      </c>
      <c r="CZ65" s="145">
        <v>0</v>
      </c>
      <c r="DA65" s="145">
        <v>0</v>
      </c>
      <c r="DB65" s="145">
        <v>0</v>
      </c>
      <c r="DC65" s="189">
        <f ca="1">SUMPRODUCT(CY65:DB65,CT$8:CW$8)/CX8</f>
        <v>0</v>
      </c>
      <c r="DD65" s="145">
        <v>0</v>
      </c>
      <c r="DE65" s="145">
        <v>0</v>
      </c>
      <c r="DF65" s="145">
        <v>0</v>
      </c>
      <c r="DG65" s="145">
        <v>0</v>
      </c>
      <c r="DH65" s="189">
        <f ca="1">SUMPRODUCT(DD65:DG65,CY$8:DB$8)/DC8</f>
        <v>0</v>
      </c>
    </row>
    <row r="66" spans="1:112" hidden="1" outlineLevel="1" x14ac:dyDescent="0.2">
      <c r="A66" s="162" t="s">
        <v>211</v>
      </c>
      <c r="B66" s="60" t="s">
        <v>221</v>
      </c>
      <c r="C66" s="60" t="s">
        <v>221</v>
      </c>
      <c r="D66" s="60" t="s">
        <v>221</v>
      </c>
      <c r="E66" s="60" t="s">
        <v>221</v>
      </c>
      <c r="F66" s="60" t="s">
        <v>221</v>
      </c>
      <c r="G66" s="267" t="s">
        <v>221</v>
      </c>
      <c r="H66" s="60" t="s">
        <v>221</v>
      </c>
      <c r="I66" s="60" t="s">
        <v>221</v>
      </c>
      <c r="J66" s="60" t="s">
        <v>221</v>
      </c>
      <c r="K66" s="60" t="s">
        <v>221</v>
      </c>
      <c r="L66" s="267" t="s">
        <v>221</v>
      </c>
      <c r="M66" s="60" t="s">
        <v>221</v>
      </c>
      <c r="N66" s="60" t="s">
        <v>221</v>
      </c>
      <c r="O66" s="60" t="s">
        <v>221</v>
      </c>
      <c r="P66" s="60" t="s">
        <v>221</v>
      </c>
      <c r="Q66" s="267" t="s">
        <v>221</v>
      </c>
      <c r="R66" s="60" t="s">
        <v>221</v>
      </c>
      <c r="S66" s="60" t="s">
        <v>221</v>
      </c>
      <c r="T66" s="60" t="s">
        <v>221</v>
      </c>
      <c r="U66" s="60" t="s">
        <v>221</v>
      </c>
      <c r="V66" s="267" t="s">
        <v>221</v>
      </c>
      <c r="W66" s="60" t="s">
        <v>221</v>
      </c>
      <c r="X66" s="60" t="s">
        <v>221</v>
      </c>
      <c r="Y66" s="60" t="s">
        <v>221</v>
      </c>
      <c r="Z66" s="60" t="s">
        <v>221</v>
      </c>
      <c r="AA66" s="267" t="s">
        <v>221</v>
      </c>
      <c r="AB66" s="60" t="s">
        <v>221</v>
      </c>
      <c r="AC66" s="60" t="s">
        <v>221</v>
      </c>
      <c r="AD66" s="60" t="s">
        <v>221</v>
      </c>
      <c r="AE66" s="60" t="s">
        <v>221</v>
      </c>
      <c r="AF66" s="267" t="s">
        <v>221</v>
      </c>
      <c r="AG66" s="60" t="s">
        <v>221</v>
      </c>
      <c r="AH66" s="60" t="s">
        <v>221</v>
      </c>
      <c r="AI66" s="60" t="s">
        <v>221</v>
      </c>
      <c r="AJ66" s="60" t="s">
        <v>221</v>
      </c>
      <c r="AK66" s="267" t="s">
        <v>221</v>
      </c>
      <c r="AL66" s="60" t="s">
        <v>221</v>
      </c>
      <c r="AM66" s="60" t="s">
        <v>221</v>
      </c>
      <c r="AN66" s="60" t="s">
        <v>221</v>
      </c>
      <c r="AO66" s="60" t="s">
        <v>221</v>
      </c>
      <c r="AP66" s="267">
        <v>0</v>
      </c>
      <c r="AQ66" s="110">
        <v>0</v>
      </c>
      <c r="AR66" s="110">
        <v>0</v>
      </c>
      <c r="AS66" s="110">
        <v>0</v>
      </c>
      <c r="AT66" s="110">
        <v>0</v>
      </c>
      <c r="AU66" s="276">
        <v>0</v>
      </c>
      <c r="AV66" s="110">
        <f>(268-288)/AQ8</f>
        <v>-7.2202166064981949E-2</v>
      </c>
      <c r="AW66" s="110">
        <f>(291-309)/AR8</f>
        <v>-7.03125E-2</v>
      </c>
      <c r="AX66" s="110">
        <f>(256-281)/AS8</f>
        <v>-9.727626459143969E-2</v>
      </c>
      <c r="AY66" s="110">
        <f>(268-291)/AT8</f>
        <v>-8.0419580419580416E-2</v>
      </c>
      <c r="AZ66" s="276">
        <f>(1083-1169)/AU8</f>
        <v>-0.08</v>
      </c>
      <c r="BA66" s="110">
        <v>0</v>
      </c>
      <c r="BB66" s="110">
        <v>0</v>
      </c>
      <c r="BC66" s="110">
        <v>0</v>
      </c>
      <c r="BD66" s="110">
        <v>0</v>
      </c>
      <c r="BE66" s="276">
        <f>SUMPRODUCT(BA66:BD66,AV$8:AY$8)/AZ$8</f>
        <v>0</v>
      </c>
      <c r="BF66" s="110">
        <v>0</v>
      </c>
      <c r="BG66" s="110">
        <v>0</v>
      </c>
      <c r="BH66" s="47">
        <v>0</v>
      </c>
      <c r="BI66" s="47">
        <v>0</v>
      </c>
      <c r="BJ66" s="276">
        <f>SUMPRODUCT(BF66:BI66,BA$8:BD$8)/BE$8</f>
        <v>0</v>
      </c>
      <c r="BK66" s="47">
        <v>0</v>
      </c>
      <c r="BL66" s="47">
        <v>0</v>
      </c>
      <c r="BM66" s="47">
        <v>0</v>
      </c>
      <c r="BN66" s="47">
        <v>0</v>
      </c>
      <c r="BO66" s="276">
        <f>SUMPRODUCT(BK66:BN66,BF$8:BI$8)/BJ$8</f>
        <v>0</v>
      </c>
      <c r="BP66" s="47">
        <v>0</v>
      </c>
      <c r="BQ66" s="47">
        <v>0</v>
      </c>
      <c r="BR66" s="47">
        <v>0</v>
      </c>
      <c r="BS66" s="47">
        <v>0</v>
      </c>
      <c r="BT66" s="276">
        <f>SUMPRODUCT(BP66:BS66,BK$8:BN$8)/BO$8</f>
        <v>0</v>
      </c>
      <c r="BU66" s="670">
        <v>0</v>
      </c>
      <c r="BV66" s="670">
        <v>0</v>
      </c>
      <c r="BW66" s="670">
        <v>0</v>
      </c>
      <c r="BX66" s="670">
        <v>0</v>
      </c>
      <c r="BY66" s="276">
        <f>SUMPRODUCT(BU66:BX66,BP$8:BS$8)/BT$8</f>
        <v>0</v>
      </c>
      <c r="BZ66" s="670">
        <v>0</v>
      </c>
      <c r="CA66" s="670">
        <v>0</v>
      </c>
      <c r="CB66" s="670">
        <v>0</v>
      </c>
      <c r="CC66" s="610">
        <f>+(CC298*0.2)/BX8</f>
        <v>1.4859550561797752E-2</v>
      </c>
      <c r="CD66" s="780">
        <f>SUMPRODUCT(BZ66:CC66,BU$8:BX$8)/BY$8</f>
        <v>3.6499540018399262E-3</v>
      </c>
      <c r="CE66" s="670">
        <f>+(CE298*0.2)/BZ8</f>
        <v>2.2151394422310761E-2</v>
      </c>
      <c r="CF66" s="670">
        <f>+(CF298*0.2)/CA8</f>
        <v>2.4141221374045806E-2</v>
      </c>
      <c r="CG66" s="670">
        <f>+(CG298*0.2)/CB8</f>
        <v>2.7276562500000004E-2</v>
      </c>
      <c r="CH66" s="670">
        <f>+(CH298*0.2)/CC8</f>
        <v>1.073176229508197E-2</v>
      </c>
      <c r="CI66" s="188">
        <f>SUMPRODUCT(CE66:CH66,BZ$8:CC$8)/CD$8</f>
        <v>2.1113264794383153E-2</v>
      </c>
      <c r="CJ66" s="806">
        <v>0</v>
      </c>
      <c r="CK66" s="806">
        <f ca="1">CN66</f>
        <v>4.8187444739168882E-3</v>
      </c>
      <c r="CL66" s="145">
        <v>0</v>
      </c>
      <c r="CM66" s="145">
        <f>CM305</f>
        <v>1.4248366013071898E-2</v>
      </c>
      <c r="CN66" s="188">
        <f ca="1">SUMPRODUCT(CJ66:CM66,CE$8:CH$8)/CI$8</f>
        <v>4.8187444739168882E-3</v>
      </c>
      <c r="CO66" s="145">
        <f>CO305</f>
        <v>2.1456692913385832E-2</v>
      </c>
      <c r="CP66" s="145">
        <f>CP305</f>
        <v>2.0488721804511282E-2</v>
      </c>
      <c r="CQ66" s="145">
        <f>CQ305</f>
        <v>2.2027043904384182E-2</v>
      </c>
      <c r="CR66" s="145">
        <f ca="1">CR305</f>
        <v>7.1595801945895472E-3</v>
      </c>
      <c r="CS66" s="188">
        <f ca="1">SUMPRODUCT(CO66:CR66,CJ$8:CM$8)/CN$8</f>
        <v>1.7650988423973876E-2</v>
      </c>
      <c r="CT66" s="154">
        <f>CX66</f>
        <v>0</v>
      </c>
      <c r="CU66" s="154">
        <f>CX66</f>
        <v>0</v>
      </c>
      <c r="CV66" s="145">
        <f>CX66</f>
        <v>0</v>
      </c>
      <c r="CW66" s="47">
        <f ca="1">((CX66*CS8)-SUMPRODUCT(CO8:CQ8,CT66:CV66))/CR8</f>
        <v>0</v>
      </c>
      <c r="CX66" s="195">
        <v>0</v>
      </c>
      <c r="CY66" s="154">
        <f>DC66</f>
        <v>0</v>
      </c>
      <c r="CZ66" s="154">
        <f>DC66</f>
        <v>0</v>
      </c>
      <c r="DA66" s="145">
        <f>DC66</f>
        <v>0</v>
      </c>
      <c r="DB66" s="47">
        <f ca="1">((DC66*CX8)-SUMPRODUCT(CT8:CV8,CY66:DA66))/CW8</f>
        <v>0</v>
      </c>
      <c r="DC66" s="195">
        <v>0</v>
      </c>
      <c r="DD66" s="154">
        <f>DH66</f>
        <v>0</v>
      </c>
      <c r="DE66" s="154">
        <f>DH66</f>
        <v>0</v>
      </c>
      <c r="DF66" s="145">
        <f>DH66</f>
        <v>0</v>
      </c>
      <c r="DG66" s="47">
        <f ca="1">((DH66*DC8)-SUMPRODUCT(CY8:DA8,DD66:DF66))/DB8</f>
        <v>0</v>
      </c>
      <c r="DH66" s="195">
        <v>0</v>
      </c>
    </row>
    <row r="67" spans="1:112" hidden="1" outlineLevel="1" x14ac:dyDescent="0.2">
      <c r="A67" s="169" t="s">
        <v>212</v>
      </c>
      <c r="B67" s="215" t="s">
        <v>221</v>
      </c>
      <c r="C67" s="215" t="s">
        <v>221</v>
      </c>
      <c r="D67" s="215" t="s">
        <v>221</v>
      </c>
      <c r="E67" s="215" t="s">
        <v>221</v>
      </c>
      <c r="F67" s="215" t="s">
        <v>221</v>
      </c>
      <c r="G67" s="268" t="s">
        <v>221</v>
      </c>
      <c r="H67" s="215" t="s">
        <v>221</v>
      </c>
      <c r="I67" s="215" t="s">
        <v>221</v>
      </c>
      <c r="J67" s="215" t="s">
        <v>221</v>
      </c>
      <c r="K67" s="215" t="s">
        <v>221</v>
      </c>
      <c r="L67" s="268" t="s">
        <v>221</v>
      </c>
      <c r="M67" s="215" t="s">
        <v>221</v>
      </c>
      <c r="N67" s="215" t="s">
        <v>221</v>
      </c>
      <c r="O67" s="215" t="s">
        <v>221</v>
      </c>
      <c r="P67" s="215" t="s">
        <v>221</v>
      </c>
      <c r="Q67" s="268" t="s">
        <v>221</v>
      </c>
      <c r="R67" s="215" t="s">
        <v>221</v>
      </c>
      <c r="S67" s="215" t="s">
        <v>221</v>
      </c>
      <c r="T67" s="215" t="s">
        <v>221</v>
      </c>
      <c r="U67" s="215" t="s">
        <v>221</v>
      </c>
      <c r="V67" s="268" t="s">
        <v>221</v>
      </c>
      <c r="W67" s="215" t="s">
        <v>221</v>
      </c>
      <c r="X67" s="215" t="s">
        <v>221</v>
      </c>
      <c r="Y67" s="215" t="s">
        <v>221</v>
      </c>
      <c r="Z67" s="215" t="s">
        <v>221</v>
      </c>
      <c r="AA67" s="268" t="s">
        <v>221</v>
      </c>
      <c r="AB67" s="215" t="s">
        <v>221</v>
      </c>
      <c r="AC67" s="215" t="s">
        <v>221</v>
      </c>
      <c r="AD67" s="215" t="s">
        <v>221</v>
      </c>
      <c r="AE67" s="215" t="s">
        <v>221</v>
      </c>
      <c r="AF67" s="268" t="s">
        <v>221</v>
      </c>
      <c r="AG67" s="215" t="s">
        <v>221</v>
      </c>
      <c r="AH67" s="215" t="s">
        <v>221</v>
      </c>
      <c r="AI67" s="215" t="s">
        <v>221</v>
      </c>
      <c r="AJ67" s="215" t="s">
        <v>221</v>
      </c>
      <c r="AK67" s="268" t="s">
        <v>221</v>
      </c>
      <c r="AL67" s="215">
        <f t="shared" ref="AL67:AT67" si="126">AL8/AG8-1</f>
        <v>0.21739130434782616</v>
      </c>
      <c r="AM67" s="215">
        <f t="shared" si="126"/>
        <v>0.20270270270270263</v>
      </c>
      <c r="AN67" s="215">
        <f t="shared" si="126"/>
        <v>0.13983050847457634</v>
      </c>
      <c r="AO67" s="215">
        <f t="shared" si="126"/>
        <v>0.15748031496062986</v>
      </c>
      <c r="AP67" s="279">
        <f t="shared" si="126"/>
        <v>0.17736670293797596</v>
      </c>
      <c r="AQ67" s="113">
        <f t="shared" si="126"/>
        <v>9.9206349206349298E-2</v>
      </c>
      <c r="AR67" s="113">
        <f t="shared" si="126"/>
        <v>-4.1198501872659166E-2</v>
      </c>
      <c r="AS67" s="113">
        <f t="shared" si="126"/>
        <v>-4.4609665427509326E-2</v>
      </c>
      <c r="AT67" s="113">
        <f t="shared" si="126"/>
        <v>-2.7210884353741527E-2</v>
      </c>
      <c r="AU67" s="279">
        <f t="shared" ref="AU67:AZ67" si="127">AU8/AP8-1</f>
        <v>-6.4695009242143886E-3</v>
      </c>
      <c r="AV67" s="113">
        <f t="shared" si="127"/>
        <v>-3.2490974729241895E-2</v>
      </c>
      <c r="AW67" s="113">
        <f t="shared" si="127"/>
        <v>0.13671875</v>
      </c>
      <c r="AX67" s="113">
        <f t="shared" si="127"/>
        <v>-3.8910505836575737E-3</v>
      </c>
      <c r="AY67" s="113">
        <f t="shared" si="127"/>
        <v>-6.2937062937062915E-2</v>
      </c>
      <c r="AZ67" s="279">
        <f t="shared" si="127"/>
        <v>7.4418604651163012E-3</v>
      </c>
      <c r="BA67" s="113">
        <v>-2.2388059701492491E-2</v>
      </c>
      <c r="BB67" s="113">
        <v>-1.3745704467353903E-2</v>
      </c>
      <c r="BC67" s="113">
        <v>7.8125E-2</v>
      </c>
      <c r="BD67" s="113">
        <v>9.3283582089552342E-2</v>
      </c>
      <c r="BE67" s="196">
        <v>3.2317636195752453E-2</v>
      </c>
      <c r="BF67" s="113">
        <f t="shared" ref="BF67:BM67" si="128">BF8/BA8-1</f>
        <v>9.7014925373134275E-2</v>
      </c>
      <c r="BG67" s="113">
        <f t="shared" si="128"/>
        <v>0</v>
      </c>
      <c r="BH67" s="113">
        <f t="shared" si="128"/>
        <v>4.2253521126760507E-2</v>
      </c>
      <c r="BI67" s="199">
        <f t="shared" si="128"/>
        <v>2.9801324503311299E-2</v>
      </c>
      <c r="BJ67" s="196">
        <f t="shared" si="128"/>
        <v>4.079861111111116E-2</v>
      </c>
      <c r="BK67" s="113">
        <f t="shared" si="128"/>
        <v>3.0612244897959107E-2</v>
      </c>
      <c r="BL67" s="113">
        <f t="shared" si="128"/>
        <v>2.6845637583892579E-2</v>
      </c>
      <c r="BM67" s="113">
        <f t="shared" si="128"/>
        <v>1.6891891891891886E-2</v>
      </c>
      <c r="BN67" s="199">
        <f t="shared" ref="BN67:CC67" si="129">BN8/BI8-1</f>
        <v>-9.6463022508038732E-3</v>
      </c>
      <c r="BO67" s="196">
        <f t="shared" si="129"/>
        <v>1.5846538782318564E-2</v>
      </c>
      <c r="BP67" s="199">
        <f t="shared" si="129"/>
        <v>-9.5709570957095758E-2</v>
      </c>
      <c r="BQ67" s="113">
        <f t="shared" si="129"/>
        <v>-6.2091503267973858E-2</v>
      </c>
      <c r="BR67" s="113">
        <f t="shared" si="129"/>
        <v>-0.12292358803986714</v>
      </c>
      <c r="BS67" s="113">
        <f t="shared" si="129"/>
        <v>-0.12987012987012991</v>
      </c>
      <c r="BT67" s="196">
        <f t="shared" si="129"/>
        <v>-0.10262725779967163</v>
      </c>
      <c r="BU67" s="672">
        <f t="shared" si="129"/>
        <v>0</v>
      </c>
      <c r="BV67" s="672">
        <f t="shared" si="129"/>
        <v>-2.0905923344947785E-2</v>
      </c>
      <c r="BW67" s="672">
        <f t="shared" si="129"/>
        <v>3.7878787878788955E-3</v>
      </c>
      <c r="BX67" s="672">
        <f t="shared" si="129"/>
        <v>-3.7313432835820448E-3</v>
      </c>
      <c r="BY67" s="196">
        <f>BY8/BT8-1</f>
        <v>-5.4894784995425105E-3</v>
      </c>
      <c r="BZ67" s="672">
        <f t="shared" si="129"/>
        <v>-8.3941605839416011E-2</v>
      </c>
      <c r="CA67" s="672">
        <f t="shared" si="129"/>
        <v>-6.7615658362989328E-2</v>
      </c>
      <c r="CB67" s="672">
        <f t="shared" si="129"/>
        <v>-9.4339622641509413E-2</v>
      </c>
      <c r="CC67" s="672">
        <f t="shared" si="129"/>
        <v>-8.6142322097378266E-2</v>
      </c>
      <c r="CD67" s="196">
        <f t="shared" ref="CD67:CK67" si="130">CD8/BY8-1</f>
        <v>-8.279668813247465E-2</v>
      </c>
      <c r="CE67" s="672">
        <f t="shared" si="130"/>
        <v>0</v>
      </c>
      <c r="CF67" s="672">
        <f t="shared" si="130"/>
        <v>-2.2900763358778664E-2</v>
      </c>
      <c r="CG67" s="672">
        <f t="shared" si="130"/>
        <v>3.3333333333333437E-2</v>
      </c>
      <c r="CH67" s="672">
        <f t="shared" si="130"/>
        <v>4.508196721311486E-2</v>
      </c>
      <c r="CI67" s="196">
        <f t="shared" si="130"/>
        <v>1.3039117352056095E-2</v>
      </c>
      <c r="CJ67" s="672">
        <f t="shared" si="130"/>
        <v>1.195219123505975E-2</v>
      </c>
      <c r="CK67" s="672">
        <f t="shared" si="130"/>
        <v>3.90625E-2</v>
      </c>
      <c r="CL67" s="199">
        <f t="shared" ref="CL67:CX67" si="131">SUM(CL63:CL66)</f>
        <v>8.7464533881027401E-2</v>
      </c>
      <c r="CM67" s="199">
        <f t="shared" ca="1" si="131"/>
        <v>8.4611005962670863E-2</v>
      </c>
      <c r="CN67" s="196">
        <f t="shared" ca="1" si="131"/>
        <v>5.5709911804926598E-2</v>
      </c>
      <c r="CO67" s="113">
        <f t="shared" si="131"/>
        <v>5.7464814429823062E-2</v>
      </c>
      <c r="CP67" s="113">
        <f t="shared" si="131"/>
        <v>6.747387069803866E-2</v>
      </c>
      <c r="CQ67" s="199">
        <f t="shared" si="131"/>
        <v>5.64203222564243E-2</v>
      </c>
      <c r="CR67" s="199">
        <f t="shared" ca="1" si="131"/>
        <v>4.3042571698039073E-2</v>
      </c>
      <c r="CS67" s="196">
        <f t="shared" ca="1" si="131"/>
        <v>5.5956632348045231E-2</v>
      </c>
      <c r="CT67" s="113">
        <f t="shared" si="131"/>
        <v>4.5000000000000005E-2</v>
      </c>
      <c r="CU67" s="113">
        <f t="shared" si="131"/>
        <v>4.5000000000000005E-2</v>
      </c>
      <c r="CV67" s="199">
        <f t="shared" si="131"/>
        <v>4.5000000000000005E-2</v>
      </c>
      <c r="CW67" s="199">
        <f ca="1">SUM(CW63:CW66)</f>
        <v>4.5000000000000019E-2</v>
      </c>
      <c r="CX67" s="196">
        <f t="shared" ca="1" si="131"/>
        <v>4.5000000000000005E-2</v>
      </c>
      <c r="CY67" s="113">
        <f t="shared" ref="CY67:DH67" si="132">SUM(CY63:CY66)</f>
        <v>4.5000000000000005E-2</v>
      </c>
      <c r="CZ67" s="113">
        <f t="shared" si="132"/>
        <v>4.5000000000000005E-2</v>
      </c>
      <c r="DA67" s="199">
        <f t="shared" si="132"/>
        <v>4.5000000000000005E-2</v>
      </c>
      <c r="DB67" s="199">
        <f t="shared" ca="1" si="132"/>
        <v>4.5000000000000026E-2</v>
      </c>
      <c r="DC67" s="196">
        <f t="shared" ca="1" si="132"/>
        <v>4.5000000000000005E-2</v>
      </c>
      <c r="DD67" s="113">
        <f t="shared" si="132"/>
        <v>4.5000000000000005E-2</v>
      </c>
      <c r="DE67" s="113">
        <f t="shared" si="132"/>
        <v>4.5000000000000005E-2</v>
      </c>
      <c r="DF67" s="199">
        <f t="shared" si="132"/>
        <v>4.5000000000000005E-2</v>
      </c>
      <c r="DG67" s="199">
        <f t="shared" ca="1" si="132"/>
        <v>4.5000000000000005E-2</v>
      </c>
      <c r="DH67" s="196">
        <f t="shared" ca="1" si="132"/>
        <v>4.5000000000000005E-2</v>
      </c>
    </row>
    <row r="68" spans="1:112" hidden="1" outlineLevel="1" x14ac:dyDescent="0.2">
      <c r="A68" s="163" t="s">
        <v>213</v>
      </c>
      <c r="B68" s="60" t="s">
        <v>221</v>
      </c>
      <c r="C68" s="60" t="s">
        <v>221</v>
      </c>
      <c r="D68" s="60" t="s">
        <v>221</v>
      </c>
      <c r="E68" s="60" t="s">
        <v>221</v>
      </c>
      <c r="F68" s="60" t="s">
        <v>221</v>
      </c>
      <c r="G68" s="267" t="s">
        <v>221</v>
      </c>
      <c r="H68" s="60" t="s">
        <v>221</v>
      </c>
      <c r="I68" s="60" t="s">
        <v>221</v>
      </c>
      <c r="J68" s="60" t="s">
        <v>221</v>
      </c>
      <c r="K68" s="60" t="s">
        <v>221</v>
      </c>
      <c r="L68" s="267" t="s">
        <v>221</v>
      </c>
      <c r="M68" s="60" t="s">
        <v>221</v>
      </c>
      <c r="N68" s="60" t="s">
        <v>221</v>
      </c>
      <c r="O68" s="60" t="s">
        <v>221</v>
      </c>
      <c r="P68" s="60" t="s">
        <v>221</v>
      </c>
      <c r="Q68" s="267" t="s">
        <v>221</v>
      </c>
      <c r="R68" s="60" t="s">
        <v>221</v>
      </c>
      <c r="S68" s="60" t="s">
        <v>221</v>
      </c>
      <c r="T68" s="60" t="s">
        <v>221</v>
      </c>
      <c r="U68" s="60" t="s">
        <v>221</v>
      </c>
      <c r="V68" s="267" t="s">
        <v>221</v>
      </c>
      <c r="W68" s="60" t="s">
        <v>221</v>
      </c>
      <c r="X68" s="60" t="s">
        <v>221</v>
      </c>
      <c r="Y68" s="60" t="s">
        <v>221</v>
      </c>
      <c r="Z68" s="60" t="s">
        <v>221</v>
      </c>
      <c r="AA68" s="267" t="s">
        <v>221</v>
      </c>
      <c r="AB68" s="60" t="s">
        <v>221</v>
      </c>
      <c r="AC68" s="60" t="s">
        <v>221</v>
      </c>
      <c r="AD68" s="60" t="s">
        <v>221</v>
      </c>
      <c r="AE68" s="60" t="s">
        <v>221</v>
      </c>
      <c r="AF68" s="267" t="s">
        <v>221</v>
      </c>
      <c r="AG68" s="60" t="s">
        <v>221</v>
      </c>
      <c r="AH68" s="60" t="s">
        <v>221</v>
      </c>
      <c r="AI68" s="60" t="s">
        <v>221</v>
      </c>
      <c r="AJ68" s="60" t="s">
        <v>221</v>
      </c>
      <c r="AK68" s="267" t="s">
        <v>221</v>
      </c>
      <c r="AL68" s="60" t="s">
        <v>221</v>
      </c>
      <c r="AM68" s="60" t="s">
        <v>221</v>
      </c>
      <c r="AN68" s="60" t="s">
        <v>221</v>
      </c>
      <c r="AO68" s="60" t="s">
        <v>221</v>
      </c>
      <c r="AP68" s="189">
        <f>AP63+AP64</f>
        <v>0.11299999999999999</v>
      </c>
      <c r="AQ68" s="165">
        <f>AQ63+AQ64</f>
        <v>7.9539682539682632E-2</v>
      </c>
      <c r="AR68" s="165">
        <f>AR63+AR64</f>
        <v>8.3176029962546819E-2</v>
      </c>
      <c r="AS68" s="165">
        <f>AS63+AS64</f>
        <v>0.11131226765799251</v>
      </c>
      <c r="AT68" s="165">
        <f t="shared" ref="AT68:BE68" si="133">AT63+AT64</f>
        <v>9.9914965986394516E-2</v>
      </c>
      <c r="AU68" s="189">
        <f t="shared" si="133"/>
        <v>9.1999999999999998E-2</v>
      </c>
      <c r="AV68" s="165">
        <f t="shared" si="133"/>
        <v>0.11465703971119132</v>
      </c>
      <c r="AW68" s="165">
        <f t="shared" si="133"/>
        <v>0.12628125000000001</v>
      </c>
      <c r="AX68" s="165">
        <f t="shared" si="133"/>
        <v>0.10914396887159535</v>
      </c>
      <c r="AY68" s="165">
        <f t="shared" si="133"/>
        <v>7.0000000000000007E-2</v>
      </c>
      <c r="AZ68" s="189">
        <f t="shared" si="133"/>
        <v>0.10704930232558141</v>
      </c>
      <c r="BA68" s="165">
        <f t="shared" si="133"/>
        <v>4.567910447761199E-2</v>
      </c>
      <c r="BB68" s="165">
        <f t="shared" si="133"/>
        <v>7.8109965635738868E-2</v>
      </c>
      <c r="BC68" s="165">
        <f>BC63+BC64</f>
        <v>2.7851562499999996E-2</v>
      </c>
      <c r="BD68" s="165">
        <f t="shared" si="133"/>
        <v>2.3966417910447874E-2</v>
      </c>
      <c r="BE68" s="189">
        <f t="shared" si="133"/>
        <v>4.4806094182825537E-2</v>
      </c>
      <c r="BF68" s="165">
        <f t="shared" ref="BF68:CX68" si="134">BF63+BF64</f>
        <v>6.3947761194029798E-2</v>
      </c>
      <c r="BG68" s="165">
        <f>BG63+BG64</f>
        <v>1.9781879194630869E-2</v>
      </c>
      <c r="BH68" s="165">
        <f t="shared" si="134"/>
        <v>5.1436619718309803E-2</v>
      </c>
      <c r="BI68" s="165">
        <f t="shared" si="134"/>
        <v>7.8874172185430497E-2</v>
      </c>
      <c r="BJ68" s="189">
        <f t="shared" si="134"/>
        <v>5.3351562499999977E-2</v>
      </c>
      <c r="BK68" s="165">
        <f t="shared" si="134"/>
        <v>6.6122448979591755E-2</v>
      </c>
      <c r="BL68" s="165">
        <f t="shared" si="134"/>
        <v>3.0942953020134188E-2</v>
      </c>
      <c r="BM68" s="165">
        <f t="shared" si="134"/>
        <v>5.0023648648648646E-2</v>
      </c>
      <c r="BN68" s="165">
        <f>BN63+BN64</f>
        <v>3.4948553054662365E-2</v>
      </c>
      <c r="BO68" s="189">
        <f>BO63+BO64</f>
        <v>4.5318598832360266E-2</v>
      </c>
      <c r="BP68" s="165">
        <f t="shared" si="134"/>
        <v>-2.9471947194719517E-2</v>
      </c>
      <c r="BQ68" s="165">
        <f t="shared" si="134"/>
        <v>2.0179738562091501E-2</v>
      </c>
      <c r="BR68" s="165">
        <f>BR63+BR64</f>
        <v>2.7295681063122912E-2</v>
      </c>
      <c r="BS68" s="165">
        <f t="shared" si="134"/>
        <v>1.0766233766233729E-2</v>
      </c>
      <c r="BT68" s="189">
        <f>BT63+BT64</f>
        <v>7.2060755336617165E-3</v>
      </c>
      <c r="BU68" s="165">
        <f>BU63+BU64</f>
        <v>9.3127737226277374E-2</v>
      </c>
      <c r="BV68" s="165">
        <f t="shared" si="134"/>
        <v>0.10670383275261319</v>
      </c>
      <c r="BW68" s="165">
        <f t="shared" si="134"/>
        <v>0.10727272727272738</v>
      </c>
      <c r="BX68" s="165">
        <f t="shared" si="134"/>
        <v>0.10798507462686573</v>
      </c>
      <c r="BY68" s="189">
        <f>BY63+BY64</f>
        <v>0.10375205855443737</v>
      </c>
      <c r="BZ68" s="165">
        <f t="shared" si="134"/>
        <v>5.4218978102189841E-2</v>
      </c>
      <c r="CA68" s="165">
        <f t="shared" si="134"/>
        <v>6.161921708185053E-2</v>
      </c>
      <c r="CB68" s="165">
        <f t="shared" si="134"/>
        <v>8.0124528301886822E-2</v>
      </c>
      <c r="CC68" s="165">
        <f t="shared" si="134"/>
        <v>3.3121722846441964E-2</v>
      </c>
      <c r="CD68" s="189">
        <f>CD63+CD64</f>
        <v>5.7265409383624684E-2</v>
      </c>
      <c r="CE68" s="165">
        <f t="shared" si="134"/>
        <v>8.3067729083665331E-2</v>
      </c>
      <c r="CF68" s="108">
        <f>CF63+CF64</f>
        <v>5.0496183206106833E-2</v>
      </c>
      <c r="CG68" s="165">
        <f t="shared" si="134"/>
        <v>1.1998437500000101E-2</v>
      </c>
      <c r="CH68" s="165">
        <f t="shared" si="134"/>
        <v>4.0907581967213218E-2</v>
      </c>
      <c r="CI68" s="189">
        <f t="shared" si="134"/>
        <v>4.7082321965897733E-2</v>
      </c>
      <c r="CJ68" s="165">
        <f t="shared" si="134"/>
        <v>1.1952191235059754E-2</v>
      </c>
      <c r="CK68" s="165">
        <f t="shared" ca="1" si="134"/>
        <v>3.4243755526083108E-2</v>
      </c>
      <c r="CL68" s="165">
        <f t="shared" si="134"/>
        <v>6.5000000000000002E-2</v>
      </c>
      <c r="CM68" s="165">
        <f t="shared" ca="1" si="134"/>
        <v>6.8876857197344044E-2</v>
      </c>
      <c r="CN68" s="189">
        <f t="shared" si="134"/>
        <v>4.5000000000000005E-2</v>
      </c>
      <c r="CO68" s="165">
        <f t="shared" si="134"/>
        <v>5.5000000000000007E-2</v>
      </c>
      <c r="CP68" s="165">
        <f t="shared" si="134"/>
        <v>0.05</v>
      </c>
      <c r="CQ68" s="165">
        <f t="shared" si="134"/>
        <v>0.04</v>
      </c>
      <c r="CR68" s="165">
        <f t="shared" ca="1" si="134"/>
        <v>3.5882991503449528E-2</v>
      </c>
      <c r="CS68" s="189">
        <f t="shared" si="134"/>
        <v>4.5000000000000005E-2</v>
      </c>
      <c r="CT68" s="165">
        <f t="shared" si="134"/>
        <v>4.5000000000000005E-2</v>
      </c>
      <c r="CU68" s="165">
        <f t="shared" si="134"/>
        <v>4.5000000000000005E-2</v>
      </c>
      <c r="CV68" s="165">
        <f t="shared" si="134"/>
        <v>4.5000000000000005E-2</v>
      </c>
      <c r="CW68" s="165">
        <f ca="1">CW63+CW64</f>
        <v>4.5000000000000019E-2</v>
      </c>
      <c r="CX68" s="189">
        <f t="shared" si="134"/>
        <v>4.5000000000000005E-2</v>
      </c>
      <c r="CY68" s="165">
        <f>CY63+CY64</f>
        <v>4.5000000000000005E-2</v>
      </c>
      <c r="CZ68" s="165">
        <f>CZ63+CZ64</f>
        <v>4.5000000000000005E-2</v>
      </c>
      <c r="DA68" s="165">
        <f>DA63+DA64</f>
        <v>4.5000000000000005E-2</v>
      </c>
      <c r="DB68" s="165">
        <f ca="1">DB63+DB64</f>
        <v>4.5000000000000026E-2</v>
      </c>
      <c r="DC68" s="189">
        <f t="shared" ref="DC68:DH68" si="135">DC63+DC64</f>
        <v>4.5000000000000005E-2</v>
      </c>
      <c r="DD68" s="165">
        <f t="shared" si="135"/>
        <v>4.5000000000000005E-2</v>
      </c>
      <c r="DE68" s="165">
        <f t="shared" si="135"/>
        <v>4.5000000000000005E-2</v>
      </c>
      <c r="DF68" s="165">
        <f t="shared" si="135"/>
        <v>4.5000000000000005E-2</v>
      </c>
      <c r="DG68" s="165">
        <f t="shared" ca="1" si="135"/>
        <v>4.5000000000000005E-2</v>
      </c>
      <c r="DH68" s="189">
        <f t="shared" si="135"/>
        <v>4.5000000000000005E-2</v>
      </c>
    </row>
    <row r="69" spans="1:112" ht="12.75" hidden="1" customHeight="1" outlineLevel="1" x14ac:dyDescent="0.2">
      <c r="A69" s="176" t="s">
        <v>227</v>
      </c>
      <c r="B69" s="104"/>
      <c r="C69" s="158"/>
      <c r="D69" s="158"/>
      <c r="E69" s="158"/>
      <c r="F69" s="158"/>
      <c r="G69" s="269"/>
      <c r="H69" s="158"/>
      <c r="I69" s="158"/>
      <c r="J69" s="158"/>
      <c r="K69" s="158"/>
      <c r="L69" s="269"/>
      <c r="M69" s="158"/>
      <c r="N69" s="158"/>
      <c r="O69" s="158"/>
      <c r="P69" s="158"/>
      <c r="Q69" s="269"/>
      <c r="R69" s="158"/>
      <c r="S69" s="158"/>
      <c r="T69" s="158"/>
      <c r="U69" s="158"/>
      <c r="V69" s="269"/>
      <c r="W69" s="158"/>
      <c r="X69" s="158"/>
      <c r="Y69" s="158"/>
      <c r="Z69" s="158"/>
      <c r="AA69" s="186"/>
      <c r="AB69" s="158"/>
      <c r="AC69" s="158"/>
      <c r="AD69" s="158"/>
      <c r="AE69" s="158"/>
      <c r="AF69" s="186"/>
      <c r="AG69" s="158"/>
      <c r="AH69" s="158"/>
      <c r="AI69" s="158"/>
      <c r="AJ69" s="158"/>
      <c r="AK69" s="186"/>
      <c r="AL69" s="158"/>
      <c r="AM69" s="158"/>
      <c r="AN69" s="158"/>
      <c r="AO69" s="158"/>
      <c r="AP69" s="186"/>
      <c r="AQ69" s="104"/>
      <c r="AR69" s="104"/>
      <c r="AS69" s="104"/>
      <c r="AT69" s="104"/>
      <c r="AU69" s="201">
        <f>AVERAGE(AU68,AP68)</f>
        <v>0.10249999999999999</v>
      </c>
      <c r="AV69" s="178">
        <f>AVERAGE(AV68,AQ68)</f>
        <v>9.7098361125436974E-2</v>
      </c>
      <c r="AW69" s="178">
        <f>AVERAGE(AW68,AR68)</f>
        <v>0.10472863998127341</v>
      </c>
      <c r="AX69" s="178">
        <f>AVERAGE(AX68,AS68)</f>
        <v>0.11022811826479392</v>
      </c>
      <c r="AY69" s="178">
        <f>AVERAGE(AY68,AT68)</f>
        <v>8.4957482993197261E-2</v>
      </c>
      <c r="AZ69" s="201">
        <f t="shared" ref="AZ69:BK69" si="136">AVERAGE(AZ68,AU68)</f>
        <v>9.9524651162790703E-2</v>
      </c>
      <c r="BA69" s="178">
        <f t="shared" si="136"/>
        <v>8.016807209440166E-2</v>
      </c>
      <c r="BB69" s="178">
        <f t="shared" si="136"/>
        <v>0.10219560781786943</v>
      </c>
      <c r="BC69" s="178">
        <f t="shared" si="136"/>
        <v>6.8497765685797671E-2</v>
      </c>
      <c r="BD69" s="200">
        <f t="shared" si="136"/>
        <v>4.698320895522394E-2</v>
      </c>
      <c r="BE69" s="201">
        <f t="shared" si="136"/>
        <v>7.592769825420348E-2</v>
      </c>
      <c r="BF69" s="178">
        <f t="shared" si="136"/>
        <v>5.4813432835820894E-2</v>
      </c>
      <c r="BG69" s="178">
        <f t="shared" si="136"/>
        <v>4.8945922415184868E-2</v>
      </c>
      <c r="BH69" s="200">
        <f t="shared" si="136"/>
        <v>3.96440911091549E-2</v>
      </c>
      <c r="BI69" s="200">
        <f t="shared" si="136"/>
        <v>5.1420295047939185E-2</v>
      </c>
      <c r="BJ69" s="201">
        <f t="shared" si="136"/>
        <v>4.9078828341412757E-2</v>
      </c>
      <c r="BK69" s="178">
        <f t="shared" si="136"/>
        <v>6.5035105086810777E-2</v>
      </c>
      <c r="BL69" s="178">
        <f t="shared" ref="BL69:CX69" si="137">AVERAGE(BL68,BG68)</f>
        <v>2.5362416107382529E-2</v>
      </c>
      <c r="BM69" s="178">
        <f t="shared" si="137"/>
        <v>5.0730134183479228E-2</v>
      </c>
      <c r="BN69" s="200">
        <f>AVERAGE(BN68,BI68)</f>
        <v>5.6911362620046431E-2</v>
      </c>
      <c r="BO69" s="201">
        <f>AVERAGE(BO68,BJ68)</f>
        <v>4.9335080666180121E-2</v>
      </c>
      <c r="BP69" s="178">
        <f t="shared" si="137"/>
        <v>1.8325250892436119E-2</v>
      </c>
      <c r="BQ69" s="178">
        <f t="shared" si="137"/>
        <v>2.5561345791112845E-2</v>
      </c>
      <c r="BR69" s="200">
        <f t="shared" si="137"/>
        <v>3.8659664855885775E-2</v>
      </c>
      <c r="BS69" s="200">
        <f t="shared" si="137"/>
        <v>2.2857393410448047E-2</v>
      </c>
      <c r="BT69" s="201">
        <f>AVERAGE(BT68,BO68)</f>
        <v>2.6262337183010992E-2</v>
      </c>
      <c r="BU69" s="178">
        <f>AVERAGE(BU68,BP68)</f>
        <v>3.1827895015778929E-2</v>
      </c>
      <c r="BV69" s="178">
        <f t="shared" si="137"/>
        <v>6.344178565735234E-2</v>
      </c>
      <c r="BW69" s="200">
        <f t="shared" si="137"/>
        <v>6.7284204167925146E-2</v>
      </c>
      <c r="BX69" s="200">
        <f t="shared" si="137"/>
        <v>5.9375654196549728E-2</v>
      </c>
      <c r="BY69" s="201">
        <f>AVERAGE(BY68,BT68)</f>
        <v>5.5479067044049542E-2</v>
      </c>
      <c r="BZ69" s="178">
        <f t="shared" si="137"/>
        <v>7.3673357664233607E-2</v>
      </c>
      <c r="CA69" s="178">
        <f>AVERAGE(CA68,BV68)</f>
        <v>8.4161524917231861E-2</v>
      </c>
      <c r="CB69" s="200">
        <f>AVERAGE(CB68,BW68)</f>
        <v>9.3698627787307101E-2</v>
      </c>
      <c r="CC69" s="200">
        <f t="shared" si="137"/>
        <v>7.0553398736653838E-2</v>
      </c>
      <c r="CD69" s="201">
        <f>AVERAGE(CD68,BY68)</f>
        <v>8.0508733969031021E-2</v>
      </c>
      <c r="CE69" s="178">
        <f t="shared" si="137"/>
        <v>6.8643353592927586E-2</v>
      </c>
      <c r="CF69" s="115">
        <f t="shared" si="137"/>
        <v>5.6057700143978678E-2</v>
      </c>
      <c r="CG69" s="200">
        <f t="shared" si="137"/>
        <v>4.606148290094346E-2</v>
      </c>
      <c r="CH69" s="200">
        <f t="shared" si="137"/>
        <v>3.7014652406827594E-2</v>
      </c>
      <c r="CI69" s="201">
        <f t="shared" si="137"/>
        <v>5.2173865674761205E-2</v>
      </c>
      <c r="CJ69" s="178">
        <f t="shared" si="137"/>
        <v>4.7509960159362541E-2</v>
      </c>
      <c r="CK69" s="178">
        <f t="shared" ca="1" si="137"/>
        <v>4.2369969366094967E-2</v>
      </c>
      <c r="CL69" s="200">
        <f t="shared" si="137"/>
        <v>3.849921875000005E-2</v>
      </c>
      <c r="CM69" s="200">
        <f t="shared" ca="1" si="137"/>
        <v>5.4892219582278634E-2</v>
      </c>
      <c r="CN69" s="201">
        <f t="shared" si="137"/>
        <v>4.6041160982948873E-2</v>
      </c>
      <c r="CO69" s="178">
        <f t="shared" si="137"/>
        <v>3.3476095617529879E-2</v>
      </c>
      <c r="CP69" s="178">
        <f t="shared" ca="1" si="137"/>
        <v>4.2121877763041556E-2</v>
      </c>
      <c r="CQ69" s="200">
        <f t="shared" si="137"/>
        <v>5.2500000000000005E-2</v>
      </c>
      <c r="CR69" s="200">
        <f t="shared" ca="1" si="137"/>
        <v>5.2379924350396789E-2</v>
      </c>
      <c r="CS69" s="201">
        <f t="shared" si="137"/>
        <v>4.5000000000000005E-2</v>
      </c>
      <c r="CT69" s="178">
        <f t="shared" si="137"/>
        <v>0.05</v>
      </c>
      <c r="CU69" s="178">
        <f t="shared" si="137"/>
        <v>4.7500000000000001E-2</v>
      </c>
      <c r="CV69" s="200">
        <f t="shared" si="137"/>
        <v>4.2500000000000003E-2</v>
      </c>
      <c r="CW69" s="200">
        <f t="shared" ca="1" si="137"/>
        <v>4.0441495751724774E-2</v>
      </c>
      <c r="CX69" s="201">
        <f t="shared" si="137"/>
        <v>4.5000000000000005E-2</v>
      </c>
      <c r="CY69" s="178">
        <f t="shared" ref="CY69:DH69" si="138">AVERAGE(CY68,CT68)</f>
        <v>4.5000000000000005E-2</v>
      </c>
      <c r="CZ69" s="178">
        <f t="shared" si="138"/>
        <v>4.5000000000000005E-2</v>
      </c>
      <c r="DA69" s="200">
        <f t="shared" si="138"/>
        <v>4.5000000000000005E-2</v>
      </c>
      <c r="DB69" s="200">
        <f t="shared" ca="1" si="138"/>
        <v>4.5000000000000026E-2</v>
      </c>
      <c r="DC69" s="201">
        <f t="shared" si="138"/>
        <v>4.5000000000000005E-2</v>
      </c>
      <c r="DD69" s="178">
        <f t="shared" si="138"/>
        <v>4.5000000000000005E-2</v>
      </c>
      <c r="DE69" s="178">
        <f t="shared" si="138"/>
        <v>4.5000000000000005E-2</v>
      </c>
      <c r="DF69" s="200">
        <f t="shared" si="138"/>
        <v>4.5000000000000005E-2</v>
      </c>
      <c r="DG69" s="200">
        <f t="shared" ca="1" si="138"/>
        <v>4.5000000000000012E-2</v>
      </c>
      <c r="DH69" s="201">
        <f t="shared" si="138"/>
        <v>4.5000000000000005E-2</v>
      </c>
    </row>
    <row r="70" spans="1:112" ht="12.75" customHeight="1" collapsed="1" x14ac:dyDescent="0.2">
      <c r="A70" s="176"/>
      <c r="B70" s="104"/>
      <c r="C70" s="158"/>
      <c r="D70" s="158"/>
      <c r="E70" s="158"/>
      <c r="F70" s="158"/>
      <c r="G70" s="269"/>
      <c r="H70" s="158"/>
      <c r="I70" s="158"/>
      <c r="J70" s="158"/>
      <c r="K70" s="158"/>
      <c r="L70" s="269"/>
      <c r="M70" s="158"/>
      <c r="N70" s="158"/>
      <c r="O70" s="158"/>
      <c r="P70" s="158"/>
      <c r="Q70" s="269"/>
      <c r="R70" s="158"/>
      <c r="S70" s="158"/>
      <c r="T70" s="158"/>
      <c r="U70" s="158"/>
      <c r="V70" s="269"/>
      <c r="W70" s="158"/>
      <c r="X70" s="158"/>
      <c r="Y70" s="158"/>
      <c r="Z70" s="158"/>
      <c r="AA70" s="186"/>
      <c r="AB70" s="158"/>
      <c r="AC70" s="158"/>
      <c r="AD70" s="158"/>
      <c r="AE70" s="158"/>
      <c r="AF70" s="186"/>
      <c r="AG70" s="158"/>
      <c r="AH70" s="158"/>
      <c r="AI70" s="158"/>
      <c r="AJ70" s="158"/>
      <c r="AK70" s="186"/>
      <c r="AL70" s="158"/>
      <c r="AM70" s="158"/>
      <c r="AN70" s="158"/>
      <c r="AO70" s="158"/>
      <c r="AP70" s="186"/>
      <c r="AQ70" s="104"/>
      <c r="AR70" s="104"/>
      <c r="AS70" s="104"/>
      <c r="AT70" s="104"/>
      <c r="AU70" s="184"/>
      <c r="AV70" s="154"/>
      <c r="AW70" s="104"/>
      <c r="AX70" s="104"/>
      <c r="AY70" s="104"/>
      <c r="AZ70" s="184"/>
      <c r="BA70" s="178"/>
      <c r="BB70" s="178"/>
      <c r="BC70" s="200"/>
      <c r="BD70" s="200"/>
      <c r="BE70" s="201"/>
      <c r="BF70" s="178"/>
      <c r="BG70" s="178"/>
      <c r="BH70" s="200"/>
      <c r="BI70" s="200"/>
      <c r="BJ70" s="201"/>
      <c r="BK70" s="178"/>
      <c r="BL70" s="178"/>
      <c r="BM70" s="200"/>
      <c r="BN70" s="200"/>
      <c r="BO70" s="201"/>
      <c r="BP70" s="178"/>
      <c r="BQ70" s="178"/>
      <c r="BR70" s="200"/>
      <c r="BS70" s="200"/>
      <c r="BT70" s="201"/>
      <c r="BU70" s="178"/>
      <c r="BV70" s="178"/>
      <c r="BW70" s="200"/>
      <c r="BX70" s="200"/>
      <c r="BY70" s="201"/>
      <c r="BZ70" s="178"/>
      <c r="CA70" s="178"/>
      <c r="CB70" s="200"/>
      <c r="CC70" s="200"/>
      <c r="CD70" s="201"/>
      <c r="CE70" s="178"/>
      <c r="CF70" s="115"/>
      <c r="CG70" s="200"/>
      <c r="CH70" s="200"/>
      <c r="CI70" s="201"/>
      <c r="CJ70" s="178"/>
      <c r="CK70" s="178"/>
      <c r="CL70" s="200"/>
      <c r="CM70" s="200"/>
      <c r="CN70" s="201"/>
      <c r="CO70" s="178"/>
      <c r="CP70" s="178"/>
      <c r="CQ70" s="200"/>
      <c r="CR70" s="200"/>
      <c r="CS70" s="201"/>
      <c r="CT70" s="178"/>
      <c r="CU70" s="178"/>
      <c r="CV70" s="200"/>
      <c r="CW70" s="200"/>
      <c r="CX70" s="201"/>
      <c r="CY70" s="178"/>
      <c r="CZ70" s="178"/>
      <c r="DA70" s="200"/>
      <c r="DB70" s="200"/>
      <c r="DC70" s="201"/>
      <c r="DD70" s="178"/>
      <c r="DE70" s="178"/>
      <c r="DF70" s="200"/>
      <c r="DG70" s="200"/>
      <c r="DH70" s="201"/>
    </row>
    <row r="71" spans="1:112" ht="12.75" hidden="1" customHeight="1" outlineLevel="1" x14ac:dyDescent="0.2">
      <c r="A71" s="163" t="s">
        <v>266</v>
      </c>
      <c r="B71" s="104"/>
      <c r="C71" s="158"/>
      <c r="D71" s="158"/>
      <c r="E71" s="158"/>
      <c r="F71" s="158"/>
      <c r="G71" s="269"/>
      <c r="H71" s="158"/>
      <c r="I71" s="158"/>
      <c r="J71" s="158"/>
      <c r="K71" s="158"/>
      <c r="L71" s="269"/>
      <c r="M71" s="158"/>
      <c r="N71" s="158"/>
      <c r="O71" s="158"/>
      <c r="P71" s="158"/>
      <c r="Q71" s="269"/>
      <c r="R71" s="337"/>
      <c r="S71" s="158"/>
      <c r="T71" s="158"/>
      <c r="U71" s="158"/>
      <c r="V71" s="269"/>
      <c r="W71" s="158"/>
      <c r="X71" s="158"/>
      <c r="Y71" s="158"/>
      <c r="Z71" s="158"/>
      <c r="AA71" s="186"/>
      <c r="AB71" s="158"/>
      <c r="AC71" s="158"/>
      <c r="AD71" s="158"/>
      <c r="AE71" s="158"/>
      <c r="AF71" s="186"/>
      <c r="AG71" s="158"/>
      <c r="AH71" s="158"/>
      <c r="AI71" s="158"/>
      <c r="AJ71" s="158"/>
      <c r="AK71" s="186"/>
      <c r="AL71" s="263"/>
      <c r="AM71" s="263"/>
      <c r="AN71" s="263"/>
      <c r="AO71" s="263"/>
      <c r="AP71" s="188"/>
      <c r="AQ71" s="263">
        <v>2.6683674997488027E-2</v>
      </c>
      <c r="AR71" s="263">
        <v>-0.13547871546166743</v>
      </c>
      <c r="AS71" s="263">
        <v>-0.18173306870064573</v>
      </c>
      <c r="AT71" s="263">
        <v>-0.15655726737322492</v>
      </c>
      <c r="AU71" s="616">
        <f>SUMPRODUCT(AQ71:AT71,AL8:AO8)/AP8</f>
        <v>-0.11493767376811463</v>
      </c>
      <c r="AV71" s="263">
        <v>-9.6500037777979553E-2</v>
      </c>
      <c r="AW71" s="263">
        <v>0.10381874862807684</v>
      </c>
      <c r="AX71" s="263">
        <v>0.13205667834643339</v>
      </c>
      <c r="AY71" s="263">
        <v>6.3457296126359516E-2</v>
      </c>
      <c r="AZ71" s="616">
        <f>SUMPRODUCT(AV71:AY71,AQ8:AT8)/AU8</f>
        <v>4.8311109033915847E-2</v>
      </c>
      <c r="BA71" s="263">
        <v>3.9194722764519546E-2</v>
      </c>
      <c r="BB71" s="263">
        <v>4.1053827080159899E-3</v>
      </c>
      <c r="BC71" s="263">
        <v>1.1541509161715559E-2</v>
      </c>
      <c r="BD71" s="263">
        <v>4.3413737036410577E-2</v>
      </c>
      <c r="BE71" s="616">
        <f>SUMPRODUCT(BA71:BD71,AV8:AY8)/AZ8</f>
        <v>2.4273647220758178E-2</v>
      </c>
      <c r="BF71" s="263">
        <v>1.9719237776837501E-2</v>
      </c>
      <c r="BG71" s="263">
        <v>-3.9904502038623987E-2</v>
      </c>
      <c r="BH71" s="263">
        <v>-2.3677067181692778E-2</v>
      </c>
      <c r="BI71" s="263">
        <v>-5.5576833907165168E-2</v>
      </c>
      <c r="BJ71" s="616">
        <f>SUMPRODUCT(BF71:BI71,BA8:BD8)/BE8</f>
        <v>-2.6141733335835179E-2</v>
      </c>
      <c r="BK71" s="263">
        <v>-4.2531575994732458E-2</v>
      </c>
      <c r="BL71" s="263">
        <v>1.6532526073444653E-3</v>
      </c>
      <c r="BM71" s="263">
        <v>-1.7969248234103504E-2</v>
      </c>
      <c r="BN71" s="263">
        <v>-5.5576833907165168E-2</v>
      </c>
      <c r="BO71" s="616">
        <f>SUMPRODUCT(BK71:BN71,BF8:BI8)/BJ8</f>
        <v>-2.8869813918169888E-2</v>
      </c>
      <c r="BP71" s="263">
        <v>-4.8950312764423354E-2</v>
      </c>
      <c r="BQ71" s="263">
        <v>-6.3166052625720503E-2</v>
      </c>
      <c r="BR71" s="263">
        <v>-0.11391736601615775</v>
      </c>
      <c r="BS71" s="263">
        <v>-9.3224264700496204E-2</v>
      </c>
      <c r="BT71" s="188">
        <f>SUMPRODUCT(BP71:BS71,BK8:BN8)/BO8</f>
        <v>-7.9772543160679027E-2</v>
      </c>
      <c r="BU71" s="263">
        <v>-7.9920403759957848E-2</v>
      </c>
      <c r="BV71" s="263">
        <v>-0.11782634105456025</v>
      </c>
      <c r="BW71" s="263">
        <v>-0.12416646487741481</v>
      </c>
      <c r="BX71" s="263">
        <v>-0.13418765196040036</v>
      </c>
      <c r="BY71" s="188">
        <f>SUMPRODUCT(BU71:BX71,BP8:BS8)/BT8</f>
        <v>-0.11386696062754989</v>
      </c>
      <c r="BZ71" s="263">
        <v>-0.168373526421944</v>
      </c>
      <c r="CA71" s="263">
        <v>-0.15448562461651175</v>
      </c>
      <c r="CB71" s="263">
        <v>-0.16457926325829553</v>
      </c>
      <c r="CC71" s="263">
        <v>-0.12792479671086771</v>
      </c>
      <c r="CD71" s="188">
        <f>SUMPRODUCT(BZ71:CC71,BU8:BX8)/BY8</f>
        <v>-0.15392293674526442</v>
      </c>
      <c r="CE71" s="263">
        <v>-8.7329734810052156E-2</v>
      </c>
      <c r="CF71" s="805">
        <v>-8.7216264068358418E-2</v>
      </c>
      <c r="CG71" s="263">
        <v>-1.2355285704940102E-2</v>
      </c>
      <c r="CH71" s="263">
        <v>-3.0463386602555726E-2</v>
      </c>
      <c r="CI71" s="188">
        <f>SUMPRODUCT(CE71:CH71,BZ8:CC8)/CD8</f>
        <v>-5.5334763814886882E-2</v>
      </c>
      <c r="CJ71" s="263">
        <v>1.9071888963255088E-3</v>
      </c>
      <c r="CK71" s="263">
        <v>1.5757448678007751E-2</v>
      </c>
      <c r="CL71" s="263">
        <v>2.2464533881027399E-2</v>
      </c>
      <c r="CM71" s="263">
        <v>1.4857827522549154E-3</v>
      </c>
      <c r="CN71" s="188">
        <f>SUMPRODUCT(CJ71:CM71,CE8:CH8)/CI8</f>
        <v>1.0359099286007412E-2</v>
      </c>
      <c r="CO71" s="263">
        <v>-1.8991878483562777E-2</v>
      </c>
      <c r="CP71" s="263">
        <v>-3.0148511064726283E-3</v>
      </c>
      <c r="CQ71" s="263">
        <v>-5.6067216479598831E-3</v>
      </c>
      <c r="CR71" s="263"/>
      <c r="CS71" s="188">
        <f ca="1">SUMPRODUCT(CO71:CR71,CJ8:CM8)/CN8</f>
        <v>-6.6943560759286508E-3</v>
      </c>
      <c r="CT71" s="263"/>
      <c r="CU71" s="263"/>
      <c r="CV71" s="263"/>
      <c r="CW71" s="263"/>
      <c r="CX71" s="188">
        <f ca="1">SUMPRODUCT(CT71:CW71,CO8:CR8)/CS8</f>
        <v>0</v>
      </c>
      <c r="CY71" s="263"/>
      <c r="CZ71" s="263"/>
      <c r="DA71" s="263"/>
      <c r="DB71" s="263"/>
      <c r="DC71" s="188">
        <f ca="1">SUMPRODUCT(CY71:DB71,CT8:CW8)/CX8</f>
        <v>0</v>
      </c>
      <c r="DD71" s="263"/>
      <c r="DE71" s="263"/>
      <c r="DF71" s="263"/>
      <c r="DG71" s="263"/>
      <c r="DH71" s="188">
        <f ca="1">SUMPRODUCT(DD71:DG71,CY8:DB8)/DC8</f>
        <v>0</v>
      </c>
    </row>
    <row r="72" spans="1:112" ht="12.75" customHeight="1" collapsed="1" x14ac:dyDescent="0.2">
      <c r="A72" s="176"/>
      <c r="B72" s="104"/>
      <c r="C72" s="158"/>
      <c r="D72" s="158"/>
      <c r="E72" s="158"/>
      <c r="F72" s="158"/>
      <c r="G72" s="269"/>
      <c r="H72" s="158"/>
      <c r="I72" s="158"/>
      <c r="J72" s="158"/>
      <c r="K72" s="158"/>
      <c r="L72" s="269"/>
      <c r="M72" s="158"/>
      <c r="N72" s="158"/>
      <c r="O72" s="158"/>
      <c r="P72" s="158"/>
      <c r="Q72" s="269"/>
      <c r="R72" s="158"/>
      <c r="S72" s="158"/>
      <c r="T72" s="158"/>
      <c r="U72" s="158"/>
      <c r="V72" s="269"/>
      <c r="W72" s="158"/>
      <c r="X72" s="158"/>
      <c r="Y72" s="158"/>
      <c r="Z72" s="158"/>
      <c r="AA72" s="186"/>
      <c r="AB72" s="158"/>
      <c r="AC72" s="158"/>
      <c r="AD72" s="158"/>
      <c r="AE72" s="158"/>
      <c r="AF72" s="186"/>
      <c r="AG72" s="158"/>
      <c r="AH72" s="158"/>
      <c r="AI72" s="158"/>
      <c r="AJ72" s="158"/>
      <c r="AK72" s="186"/>
      <c r="AL72" s="158"/>
      <c r="AM72" s="158"/>
      <c r="AN72" s="158"/>
      <c r="AO72" s="158"/>
      <c r="AP72" s="186"/>
      <c r="AQ72" s="48"/>
      <c r="AR72" s="48"/>
      <c r="AS72" s="48"/>
      <c r="AT72" s="48"/>
      <c r="AU72" s="184"/>
      <c r="AV72" s="44"/>
      <c r="AW72" s="44"/>
      <c r="AX72" s="44"/>
      <c r="AY72" s="44"/>
      <c r="AZ72" s="504"/>
      <c r="BA72" s="503"/>
      <c r="BB72" s="503"/>
      <c r="BC72" s="503"/>
      <c r="BD72" s="503"/>
      <c r="BE72" s="504"/>
      <c r="BF72" s="503"/>
      <c r="BG72" s="503"/>
      <c r="BH72" s="503"/>
      <c r="BI72" s="503"/>
      <c r="BJ72" s="504"/>
      <c r="BK72" s="178"/>
      <c r="BL72" s="178"/>
      <c r="BM72" s="200"/>
      <c r="BN72" s="503"/>
      <c r="BO72" s="504"/>
      <c r="BP72" s="178"/>
      <c r="BQ72" s="178"/>
      <c r="BR72" s="200"/>
      <c r="BS72" s="200"/>
      <c r="BT72" s="201"/>
      <c r="BU72" s="178"/>
      <c r="BV72" s="178"/>
      <c r="BW72" s="200"/>
      <c r="BX72" s="200"/>
      <c r="BY72" s="201"/>
      <c r="BZ72" s="178"/>
      <c r="CA72" s="178"/>
      <c r="CB72" s="178"/>
      <c r="CC72" s="178"/>
      <c r="CD72" s="201"/>
      <c r="CE72" s="178"/>
      <c r="CF72" s="178"/>
      <c r="CG72" s="200"/>
      <c r="CH72" s="200"/>
      <c r="CI72" s="201"/>
      <c r="CJ72" s="178"/>
      <c r="CK72" s="178"/>
      <c r="CL72" s="200"/>
      <c r="CM72" s="200"/>
      <c r="CN72" s="201"/>
      <c r="CO72" s="178"/>
      <c r="CP72" s="178"/>
      <c r="CQ72" s="200"/>
      <c r="CR72" s="200"/>
      <c r="CS72" s="201"/>
      <c r="CT72" s="178"/>
      <c r="CU72" s="178"/>
      <c r="CV72" s="200"/>
      <c r="CW72" s="200"/>
      <c r="CX72" s="201"/>
      <c r="CY72" s="178"/>
      <c r="CZ72" s="178"/>
      <c r="DA72" s="200"/>
      <c r="DB72" s="200"/>
      <c r="DC72" s="201"/>
      <c r="DD72" s="178"/>
      <c r="DE72" s="178"/>
      <c r="DF72" s="200"/>
      <c r="DG72" s="200"/>
      <c r="DH72" s="201"/>
    </row>
    <row r="73" spans="1:112" ht="12.75" hidden="1" customHeight="1" outlineLevel="1" x14ac:dyDescent="0.2">
      <c r="A73" s="179" t="s">
        <v>229</v>
      </c>
      <c r="B73" s="104"/>
      <c r="C73" s="158"/>
      <c r="D73" s="158"/>
      <c r="E73" s="158"/>
      <c r="F73" s="158"/>
      <c r="G73" s="269"/>
      <c r="H73" s="324"/>
      <c r="I73" s="325"/>
      <c r="J73" s="325"/>
      <c r="K73" s="325"/>
      <c r="L73" s="326"/>
      <c r="M73" s="325"/>
      <c r="N73" s="325"/>
      <c r="O73" s="325"/>
      <c r="P73" s="325"/>
      <c r="Q73" s="326"/>
      <c r="R73" s="325"/>
      <c r="S73" s="325"/>
      <c r="T73" s="325"/>
      <c r="U73" s="325"/>
      <c r="V73" s="326"/>
      <c r="W73" s="325"/>
      <c r="X73" s="325"/>
      <c r="Y73" s="325"/>
      <c r="Z73" s="325"/>
      <c r="AA73" s="326"/>
      <c r="AB73" s="325"/>
      <c r="AC73" s="325"/>
      <c r="AD73" s="325"/>
      <c r="AE73" s="325"/>
      <c r="AF73" s="326"/>
      <c r="AG73" s="325"/>
      <c r="AH73" s="325"/>
      <c r="AI73" s="325"/>
      <c r="AJ73" s="325"/>
      <c r="AK73" s="326"/>
      <c r="AL73" s="325"/>
      <c r="AM73" s="325"/>
      <c r="AN73" s="325"/>
      <c r="AO73" s="325"/>
      <c r="AP73" s="326"/>
      <c r="AQ73" s="325"/>
      <c r="AR73" s="325"/>
      <c r="AS73" s="325"/>
      <c r="AT73" s="325"/>
      <c r="AU73" s="326"/>
      <c r="AV73" s="154"/>
      <c r="AW73" s="104"/>
      <c r="AX73" s="104"/>
      <c r="AY73" s="104"/>
      <c r="AZ73" s="184"/>
      <c r="BA73" s="178"/>
      <c r="BB73" s="178"/>
      <c r="BC73" s="178"/>
      <c r="BD73" s="178"/>
      <c r="BE73" s="191"/>
      <c r="BF73" s="178"/>
      <c r="BG73" s="178"/>
      <c r="BH73" s="178"/>
      <c r="BI73" s="178"/>
      <c r="BJ73" s="191"/>
      <c r="BK73" s="178"/>
      <c r="BL73" s="178"/>
      <c r="BM73" s="178"/>
      <c r="BN73" s="178"/>
      <c r="BO73" s="191"/>
      <c r="BP73" s="178"/>
      <c r="BQ73" s="178"/>
      <c r="BR73" s="178"/>
      <c r="BS73" s="178"/>
      <c r="BT73" s="191"/>
      <c r="BU73" s="178"/>
      <c r="BV73" s="178"/>
      <c r="BW73" s="178"/>
      <c r="BX73" s="178"/>
      <c r="BY73" s="191"/>
      <c r="BZ73" s="178"/>
      <c r="CA73" s="178"/>
      <c r="CB73" s="178"/>
      <c r="CC73" s="178"/>
      <c r="CD73" s="191"/>
      <c r="CE73" s="178"/>
      <c r="CF73" s="178"/>
      <c r="CG73" s="178"/>
      <c r="CH73" s="178"/>
      <c r="CI73" s="191"/>
      <c r="CJ73" s="178"/>
      <c r="CK73" s="178"/>
      <c r="CL73" s="178"/>
      <c r="CM73" s="178"/>
      <c r="CN73" s="191"/>
      <c r="CO73" s="178"/>
      <c r="CP73" s="178"/>
      <c r="CQ73" s="178"/>
      <c r="CR73" s="178"/>
      <c r="CS73" s="191"/>
      <c r="CT73" s="178"/>
      <c r="CU73" s="178"/>
      <c r="CV73" s="178"/>
      <c r="CW73" s="178"/>
      <c r="CX73" s="191"/>
      <c r="CY73" s="178"/>
      <c r="CZ73" s="178"/>
      <c r="DA73" s="178"/>
      <c r="DB73" s="178"/>
      <c r="DC73" s="191"/>
      <c r="DD73" s="178"/>
      <c r="DE73" s="178"/>
      <c r="DF73" s="178"/>
      <c r="DG73" s="178"/>
      <c r="DH73" s="191"/>
    </row>
    <row r="74" spans="1:112" hidden="1" outlineLevel="1" x14ac:dyDescent="0.2">
      <c r="A74" s="107" t="s">
        <v>85</v>
      </c>
      <c r="B74" s="104"/>
      <c r="C74" s="47"/>
      <c r="D74" s="47"/>
      <c r="E74" s="47"/>
      <c r="F74" s="47"/>
      <c r="G74" s="185"/>
      <c r="H74" s="81"/>
      <c r="I74" s="81"/>
      <c r="J74" s="81"/>
      <c r="K74" s="81"/>
      <c r="L74" s="454"/>
      <c r="M74" s="81"/>
      <c r="N74" s="81"/>
      <c r="O74" s="81"/>
      <c r="P74" s="81"/>
      <c r="Q74" s="454"/>
      <c r="R74" s="81"/>
      <c r="S74" s="81"/>
      <c r="T74" s="81"/>
      <c r="U74" s="81"/>
      <c r="V74" s="454"/>
      <c r="W74" s="81"/>
      <c r="X74" s="81"/>
      <c r="Y74" s="81"/>
      <c r="Z74" s="81"/>
      <c r="AA74" s="334"/>
      <c r="AB74" s="81"/>
      <c r="AC74" s="81"/>
      <c r="AD74" s="81"/>
      <c r="AE74" s="81"/>
      <c r="AF74" s="334"/>
      <c r="AG74" s="81"/>
      <c r="AH74" s="81"/>
      <c r="AI74" s="81"/>
      <c r="AJ74" s="81"/>
      <c r="AK74" s="334"/>
      <c r="AL74" s="81"/>
      <c r="AM74" s="81"/>
      <c r="AN74" s="81"/>
      <c r="AO74" s="81"/>
      <c r="AP74" s="334"/>
      <c r="AQ74" s="81"/>
      <c r="AR74" s="81"/>
      <c r="AS74" s="81"/>
      <c r="AT74" s="81"/>
      <c r="AU74" s="334"/>
      <c r="AV74" s="47"/>
      <c r="AW74" s="47"/>
      <c r="AX74" s="47"/>
      <c r="AY74" s="47"/>
      <c r="AZ74" s="185"/>
      <c r="BA74" s="47"/>
      <c r="BB74" s="47"/>
      <c r="BC74" s="47"/>
      <c r="BD74" s="47"/>
      <c r="BE74" s="185"/>
      <c r="BF74" s="47"/>
      <c r="BG74" s="47"/>
      <c r="BH74" s="47"/>
      <c r="BI74" s="47"/>
      <c r="BJ74" s="185"/>
      <c r="BK74" s="47"/>
      <c r="BL74" s="47"/>
      <c r="BM74" s="47"/>
      <c r="BN74" s="47"/>
      <c r="BO74" s="185"/>
      <c r="BP74" s="47"/>
      <c r="BQ74" s="47"/>
      <c r="BR74" s="47"/>
      <c r="BS74" s="47"/>
      <c r="BT74" s="185"/>
      <c r="BU74" s="47"/>
      <c r="BV74" s="47"/>
      <c r="BW74" s="47"/>
      <c r="BX74" s="47"/>
      <c r="BY74" s="185"/>
      <c r="BZ74" s="47"/>
      <c r="CA74" s="47"/>
      <c r="CB74" s="47"/>
      <c r="CC74" s="47"/>
      <c r="CD74" s="185"/>
      <c r="CE74" s="47"/>
      <c r="CF74" s="47"/>
      <c r="CG74" s="47"/>
      <c r="CH74" s="47"/>
      <c r="CI74" s="185"/>
      <c r="CJ74" s="47"/>
      <c r="CK74" s="47"/>
      <c r="CL74" s="47"/>
      <c r="CM74" s="47"/>
      <c r="CN74" s="185"/>
      <c r="CO74" s="47"/>
      <c r="CP74" s="47"/>
      <c r="CQ74" s="47"/>
      <c r="CR74" s="47"/>
      <c r="CS74" s="185"/>
      <c r="CT74" s="47"/>
      <c r="CU74" s="47"/>
      <c r="CV74" s="47"/>
      <c r="CW74" s="47"/>
      <c r="CX74" s="185"/>
      <c r="CY74" s="47"/>
      <c r="CZ74" s="47"/>
      <c r="DA74" s="47"/>
      <c r="DB74" s="47"/>
      <c r="DC74" s="185"/>
      <c r="DD74" s="47"/>
      <c r="DE74" s="47"/>
      <c r="DF74" s="47"/>
      <c r="DG74" s="47"/>
      <c r="DH74" s="185"/>
    </row>
    <row r="75" spans="1:112" hidden="1" outlineLevel="1" x14ac:dyDescent="0.2">
      <c r="A75" s="116" t="s">
        <v>90</v>
      </c>
      <c r="B75" s="104"/>
      <c r="C75" s="48"/>
      <c r="D75" s="48"/>
      <c r="E75" s="48"/>
      <c r="F75" s="48"/>
      <c r="G75" s="188"/>
      <c r="H75" s="48">
        <v>0.08</v>
      </c>
      <c r="I75" s="48">
        <v>0.04</v>
      </c>
      <c r="J75" s="48">
        <v>0.08</v>
      </c>
      <c r="K75" s="48">
        <v>0.04</v>
      </c>
      <c r="L75" s="188">
        <v>0.06</v>
      </c>
      <c r="M75" s="48">
        <f>((M28*H23)-(M143*H22))/H19</f>
        <v>6.6744730679156913E-2</v>
      </c>
      <c r="N75" s="48">
        <f>((N28*I23)-(N143*I22))/I19</f>
        <v>5.0267022696929238E-2</v>
      </c>
      <c r="O75" s="48">
        <f>((O28*J23)-(O143*J22))/J19</f>
        <v>2.8048780487804879E-2</v>
      </c>
      <c r="P75" s="48">
        <f>((P28*K23)-(P143*K22))/K19</f>
        <v>3.9999999999999994E-2</v>
      </c>
      <c r="Q75" s="188">
        <f>((Q28*L23)-(Q143*L22))/L19</f>
        <v>5.0371110476734225E-2</v>
      </c>
      <c r="R75" s="48">
        <f t="shared" ref="R75:AA75" si="139">(($B$83*R83)+($B$110*R110))/($B$83+$B$110)</f>
        <v>4.9080459770114937E-2</v>
      </c>
      <c r="S75" s="48">
        <f t="shared" si="139"/>
        <v>5.9540229885057479E-2</v>
      </c>
      <c r="T75" s="48">
        <f t="shared" si="139"/>
        <v>4.4597701149425288E-2</v>
      </c>
      <c r="U75" s="48">
        <f t="shared" si="139"/>
        <v>5.4827586206896553E-2</v>
      </c>
      <c r="V75" s="188">
        <f t="shared" si="139"/>
        <v>4.954022988505747E-2</v>
      </c>
      <c r="W75" s="48">
        <f t="shared" si="139"/>
        <v>4.494252873563219E-2</v>
      </c>
      <c r="X75" s="48">
        <f t="shared" si="139"/>
        <v>6.5057471264367825E-2</v>
      </c>
      <c r="Y75" s="48">
        <f t="shared" si="139"/>
        <v>1.4942528735632184E-2</v>
      </c>
      <c r="Z75" s="48">
        <f t="shared" si="139"/>
        <v>2.528735632183908E-2</v>
      </c>
      <c r="AA75" s="188">
        <f t="shared" si="139"/>
        <v>3.5057471264367812E-2</v>
      </c>
      <c r="AB75" s="48">
        <v>0</v>
      </c>
      <c r="AC75" s="48">
        <v>0.02</v>
      </c>
      <c r="AD75" s="48">
        <v>-0.01</v>
      </c>
      <c r="AE75" s="48">
        <v>-0.02</v>
      </c>
      <c r="AF75" s="188">
        <v>0</v>
      </c>
      <c r="AG75" s="48">
        <v>-0.01</v>
      </c>
      <c r="AH75" s="48">
        <v>-0.03</v>
      </c>
      <c r="AI75" s="48">
        <v>0.08</v>
      </c>
      <c r="AJ75" s="48">
        <v>0</v>
      </c>
      <c r="AK75" s="188">
        <v>0.01</v>
      </c>
      <c r="AL75" s="48">
        <f>5%-0.8%</f>
        <v>4.2000000000000003E-2</v>
      </c>
      <c r="AM75" s="48">
        <f>6%-2.2%</f>
        <v>3.7999999999999992E-2</v>
      </c>
      <c r="AN75" s="48">
        <f>4%-2%</f>
        <v>0.02</v>
      </c>
      <c r="AO75" s="48">
        <f>6%-3%</f>
        <v>0.03</v>
      </c>
      <c r="AP75" s="194">
        <f>SUMPRODUCT(AL75:AO75,$AG$19:$AJ$19)/$AK$19</f>
        <v>3.2136561743341403E-2</v>
      </c>
      <c r="AQ75" s="48">
        <f>4%-3.5%</f>
        <v>4.9999999999999975E-3</v>
      </c>
      <c r="AR75" s="48">
        <f>-2%-2.5%</f>
        <v>-4.4999999999999998E-2</v>
      </c>
      <c r="AS75" s="48">
        <f>-4%+0.8%</f>
        <v>-3.2000000000000001E-2</v>
      </c>
      <c r="AT75" s="48">
        <f>-3%+0.5%</f>
        <v>-2.4999999999999998E-2</v>
      </c>
      <c r="AU75" s="188">
        <f>-1%+1.1%</f>
        <v>1.0000000000000009E-3</v>
      </c>
      <c r="AV75" s="173"/>
      <c r="AW75" s="173"/>
      <c r="AX75" s="173"/>
      <c r="AY75" s="173"/>
      <c r="AZ75" s="188"/>
      <c r="BA75" s="173"/>
      <c r="BB75" s="173"/>
      <c r="BC75" s="173"/>
      <c r="BD75" s="173"/>
      <c r="BE75" s="188"/>
      <c r="BF75" s="173"/>
      <c r="BG75" s="173"/>
      <c r="BH75" s="173"/>
      <c r="BI75" s="173"/>
      <c r="BJ75" s="188"/>
      <c r="BK75" s="173"/>
      <c r="BL75" s="173"/>
      <c r="BM75" s="173"/>
      <c r="BN75" s="173"/>
      <c r="BO75" s="188"/>
      <c r="BP75" s="173"/>
      <c r="BQ75" s="173"/>
      <c r="BR75" s="173"/>
      <c r="BS75" s="173"/>
      <c r="BT75" s="188"/>
      <c r="BU75" s="173"/>
      <c r="BV75" s="173"/>
      <c r="BW75" s="173"/>
      <c r="BX75" s="173"/>
      <c r="BY75" s="188"/>
      <c r="BZ75" s="173"/>
      <c r="CA75" s="173"/>
      <c r="CB75" s="173"/>
      <c r="CC75" s="173"/>
      <c r="CD75" s="188"/>
      <c r="CE75" s="173"/>
      <c r="CF75" s="173"/>
      <c r="CG75" s="173"/>
      <c r="CH75" s="173"/>
      <c r="CI75" s="188"/>
      <c r="CJ75" s="173"/>
      <c r="CK75" s="173"/>
      <c r="CL75" s="173"/>
      <c r="CM75" s="173"/>
      <c r="CN75" s="188"/>
      <c r="CO75" s="173"/>
      <c r="CP75" s="173"/>
      <c r="CQ75" s="173"/>
      <c r="CR75" s="173"/>
      <c r="CS75" s="188"/>
      <c r="CT75" s="173"/>
      <c r="CU75" s="173"/>
      <c r="CV75" s="173"/>
      <c r="CW75" s="173"/>
      <c r="CX75" s="188"/>
      <c r="CY75" s="173"/>
      <c r="CZ75" s="173"/>
      <c r="DA75" s="173"/>
      <c r="DB75" s="173"/>
      <c r="DC75" s="188"/>
      <c r="DD75" s="173"/>
      <c r="DE75" s="173"/>
      <c r="DF75" s="173"/>
      <c r="DG75" s="173"/>
      <c r="DH75" s="188"/>
    </row>
    <row r="76" spans="1:112" hidden="1" outlineLevel="1" x14ac:dyDescent="0.2">
      <c r="A76" s="109" t="s">
        <v>91</v>
      </c>
      <c r="B76" s="104"/>
      <c r="C76" s="47"/>
      <c r="D76" s="47"/>
      <c r="E76" s="47"/>
      <c r="F76" s="47"/>
      <c r="G76" s="185"/>
      <c r="H76" s="47">
        <f t="shared" ref="H76:V76" si="140">H79-H78-H77-H75</f>
        <v>-2.9418886198547302E-2</v>
      </c>
      <c r="I76" s="47">
        <f t="shared" si="140"/>
        <v>1.8937931034482776E-2</v>
      </c>
      <c r="J76" s="47">
        <f t="shared" si="140"/>
        <v>4.4211822660098446E-2</v>
      </c>
      <c r="K76" s="47">
        <f t="shared" si="140"/>
        <v>2.566213389121335E-2</v>
      </c>
      <c r="L76" s="185">
        <f t="shared" si="140"/>
        <v>1.7238023501054467E-2</v>
      </c>
      <c r="M76" s="47">
        <f t="shared" si="140"/>
        <v>5.6519906323185112E-2</v>
      </c>
      <c r="N76" s="47">
        <f t="shared" si="140"/>
        <v>6.5451935914552839E-2</v>
      </c>
      <c r="O76" s="47">
        <f t="shared" si="140"/>
        <v>-1.3358924611973423E-2</v>
      </c>
      <c r="P76" s="47">
        <f t="shared" si="140"/>
        <v>-4.6432865731462769E-3</v>
      </c>
      <c r="Q76" s="185">
        <f t="shared" si="140"/>
        <v>1.737853268626894E-2</v>
      </c>
      <c r="R76" s="47">
        <f t="shared" ca="1" si="140"/>
        <v>-5.2412657550920852E-2</v>
      </c>
      <c r="S76" s="47">
        <f t="shared" ca="1" si="140"/>
        <v>-5.2958860637021564E-2</v>
      </c>
      <c r="T76" s="47">
        <f t="shared" ca="1" si="140"/>
        <v>7.1588905231798269E-3</v>
      </c>
      <c r="U76" s="47">
        <f t="shared" ca="1" si="140"/>
        <v>2.1295598300903343E-2</v>
      </c>
      <c r="V76" s="185">
        <f t="shared" si="140"/>
        <v>-4.9002842867801849E-2</v>
      </c>
      <c r="W76" s="47">
        <f t="shared" ref="W76:AL76" si="141">W79-W78-W77-W75</f>
        <v>-1.3322304016530985E-2</v>
      </c>
      <c r="X76" s="47">
        <f t="shared" si="141"/>
        <v>4.9425287356321262E-3</v>
      </c>
      <c r="Y76" s="47">
        <f t="shared" si="141"/>
        <v>3.8485485222568422E-3</v>
      </c>
      <c r="Z76" s="47">
        <f t="shared" si="141"/>
        <v>8.611985164520268E-3</v>
      </c>
      <c r="AA76" s="185">
        <f t="shared" si="141"/>
        <v>-1.7022979091944751E-3</v>
      </c>
      <c r="AB76" s="47">
        <f t="shared" si="141"/>
        <v>2.6100334448160532E-2</v>
      </c>
      <c r="AC76" s="47">
        <f t="shared" si="141"/>
        <v>4.4728132387706857E-2</v>
      </c>
      <c r="AD76" s="47">
        <f t="shared" si="141"/>
        <v>8.2320512820512823E-2</v>
      </c>
      <c r="AE76" s="47">
        <f t="shared" si="141"/>
        <v>7.0333030027297544E-2</v>
      </c>
      <c r="AF76" s="185">
        <f t="shared" si="141"/>
        <v>4.7457359399348351E-2</v>
      </c>
      <c r="AG76" s="47">
        <f t="shared" si="141"/>
        <v>6.2107481559536368E-2</v>
      </c>
      <c r="AH76" s="47">
        <f t="shared" si="141"/>
        <v>5.5555555555555552E-2</v>
      </c>
      <c r="AI76" s="47">
        <f t="shared" si="141"/>
        <v>-2.9180541624874545E-2</v>
      </c>
      <c r="AJ76" s="47">
        <f t="shared" si="141"/>
        <v>-1.5373597929249349E-2</v>
      </c>
      <c r="AK76" s="185">
        <f t="shared" si="141"/>
        <v>1.5701373283395832E-2</v>
      </c>
      <c r="AL76" s="47">
        <f t="shared" si="141"/>
        <v>-3.8660000000000708E-3</v>
      </c>
      <c r="AM76" s="47">
        <f t="shared" ref="AM76:AU76" si="142">AM79-AM78-AM77-AM75</f>
        <v>-8.3813651137595382E-3</v>
      </c>
      <c r="AN76" s="47">
        <f t="shared" si="142"/>
        <v>1.291950757575747E-2</v>
      </c>
      <c r="AO76" s="47">
        <f t="shared" si="142"/>
        <v>3.9437011294526411E-2</v>
      </c>
      <c r="AP76" s="185">
        <f t="shared" si="142"/>
        <v>1.1040920096852189E-2</v>
      </c>
      <c r="AQ76" s="47">
        <f t="shared" si="142"/>
        <v>7.0046711153479435E-2</v>
      </c>
      <c r="AR76" s="47">
        <f t="shared" si="142"/>
        <v>6.0672466734902848E-2</v>
      </c>
      <c r="AS76" s="47">
        <f t="shared" si="142"/>
        <v>5.0384951881014849E-2</v>
      </c>
      <c r="AT76" s="47">
        <f t="shared" si="142"/>
        <v>4.0322580645161366E-2</v>
      </c>
      <c r="AU76" s="185">
        <f t="shared" si="142"/>
        <v>2.7448198198198184E-2</v>
      </c>
      <c r="AV76" s="77"/>
      <c r="AW76" s="77"/>
      <c r="AX76" s="77"/>
      <c r="AY76" s="77"/>
      <c r="AZ76" s="185"/>
      <c r="BA76" s="77"/>
      <c r="BB76" s="77"/>
      <c r="BC76" s="77"/>
      <c r="BD76" s="77"/>
      <c r="BE76" s="185"/>
      <c r="BF76" s="77"/>
      <c r="BG76" s="77"/>
      <c r="BH76" s="77"/>
      <c r="BI76" s="77"/>
      <c r="BJ76" s="185"/>
      <c r="BK76" s="77"/>
      <c r="BL76" s="77"/>
      <c r="BM76" s="77"/>
      <c r="BN76" s="77"/>
      <c r="BO76" s="185"/>
      <c r="BP76" s="77"/>
      <c r="BQ76" s="77"/>
      <c r="BR76" s="77"/>
      <c r="BS76" s="77"/>
      <c r="BT76" s="185"/>
      <c r="BU76" s="77"/>
      <c r="BV76" s="77"/>
      <c r="BW76" s="77"/>
      <c r="BX76" s="77"/>
      <c r="BY76" s="185"/>
      <c r="BZ76" s="77"/>
      <c r="CA76" s="77"/>
      <c r="CB76" s="77"/>
      <c r="CC76" s="77"/>
      <c r="CD76" s="185"/>
      <c r="CE76" s="77"/>
      <c r="CF76" s="77"/>
      <c r="CG76" s="77"/>
      <c r="CH76" s="77"/>
      <c r="CI76" s="185"/>
      <c r="CJ76" s="77"/>
      <c r="CK76" s="77"/>
      <c r="CL76" s="77"/>
      <c r="CM76" s="77"/>
      <c r="CN76" s="185"/>
      <c r="CO76" s="77"/>
      <c r="CP76" s="77"/>
      <c r="CQ76" s="77"/>
      <c r="CR76" s="77"/>
      <c r="CS76" s="185"/>
      <c r="CT76" s="77"/>
      <c r="CU76" s="77"/>
      <c r="CV76" s="77"/>
      <c r="CW76" s="77"/>
      <c r="CX76" s="185"/>
      <c r="CY76" s="77"/>
      <c r="CZ76" s="77"/>
      <c r="DA76" s="77"/>
      <c r="DB76" s="77"/>
      <c r="DC76" s="185"/>
      <c r="DD76" s="77"/>
      <c r="DE76" s="77"/>
      <c r="DF76" s="77"/>
      <c r="DG76" s="77"/>
      <c r="DH76" s="185"/>
    </row>
    <row r="77" spans="1:112" hidden="1" outlineLevel="1" x14ac:dyDescent="0.2">
      <c r="A77" s="109" t="s">
        <v>96</v>
      </c>
      <c r="B77" s="166"/>
      <c r="C77" s="208"/>
      <c r="D77" s="208"/>
      <c r="E77" s="208"/>
      <c r="F77" s="208"/>
      <c r="G77" s="193"/>
      <c r="H77" s="110">
        <f t="shared" ref="H77:AU77" si="143">((H30*C23)-(H145*C22))/C19</f>
        <v>-5.0242130750605329E-3</v>
      </c>
      <c r="I77" s="110">
        <f t="shared" si="143"/>
        <v>-1.6689655172413781E-3</v>
      </c>
      <c r="J77" s="110">
        <f t="shared" si="143"/>
        <v>8.4729064039408847E-3</v>
      </c>
      <c r="K77" s="47">
        <f t="shared" si="143"/>
        <v>-1.7290794979079502E-3</v>
      </c>
      <c r="L77" s="185">
        <f t="shared" si="143"/>
        <v>-4.0072310937027887E-5</v>
      </c>
      <c r="M77" s="47">
        <f t="shared" si="143"/>
        <v>-8.0655737704918035E-3</v>
      </c>
      <c r="N77" s="47">
        <f t="shared" si="143"/>
        <v>-1.2434579439252334E-2</v>
      </c>
      <c r="O77" s="47">
        <f t="shared" si="143"/>
        <v>-1.9847560975609756E-3</v>
      </c>
      <c r="P77" s="47">
        <f t="shared" si="143"/>
        <v>1.977955911823647E-3</v>
      </c>
      <c r="Q77" s="185">
        <f t="shared" si="143"/>
        <v>-4.018555523836711E-3</v>
      </c>
      <c r="R77" s="47">
        <f t="shared" si="143"/>
        <v>3.1852248394004285E-3</v>
      </c>
      <c r="S77" s="47">
        <f t="shared" si="143"/>
        <v>8.5555555555555541E-3</v>
      </c>
      <c r="T77" s="47">
        <f t="shared" si="143"/>
        <v>1.0061590145576707E-2</v>
      </c>
      <c r="U77" s="47">
        <f t="shared" si="143"/>
        <v>3.4142011834319523E-3</v>
      </c>
      <c r="V77" s="185">
        <f t="shared" si="143"/>
        <v>8.4245412215831275E-3</v>
      </c>
      <c r="W77" s="47">
        <f t="shared" si="143"/>
        <v>2.0876404494382028E-3</v>
      </c>
      <c r="X77" s="47">
        <f t="shared" si="143"/>
        <v>-4.6776232616940581E-4</v>
      </c>
      <c r="Y77" s="47">
        <f t="shared" si="143"/>
        <v>-2.9270946681175206E-4</v>
      </c>
      <c r="Z77" s="47">
        <f t="shared" si="143"/>
        <v>-3.2925682031984872E-5</v>
      </c>
      <c r="AA77" s="185">
        <f t="shared" si="143"/>
        <v>4.3188643188643181E-3</v>
      </c>
      <c r="AB77" s="47">
        <f t="shared" si="143"/>
        <v>3.8996655518394657E-3</v>
      </c>
      <c r="AC77" s="47">
        <f t="shared" si="143"/>
        <v>-4.7281323877068557E-3</v>
      </c>
      <c r="AD77" s="47">
        <f t="shared" si="143"/>
        <v>-2.3205128205128207E-3</v>
      </c>
      <c r="AE77" s="47">
        <f t="shared" si="143"/>
        <v>-3.3303002729754373E-4</v>
      </c>
      <c r="AF77" s="185">
        <f t="shared" si="143"/>
        <v>2.5426406006516505E-3</v>
      </c>
      <c r="AG77" s="47">
        <f t="shared" si="143"/>
        <v>1.6332982086406744E-3</v>
      </c>
      <c r="AH77" s="47">
        <f t="shared" si="143"/>
        <v>0</v>
      </c>
      <c r="AI77" s="47">
        <f t="shared" si="143"/>
        <v>1.1604814443329991E-3</v>
      </c>
      <c r="AJ77" s="47">
        <f t="shared" si="143"/>
        <v>1.3062985332182918E-3</v>
      </c>
      <c r="AK77" s="185">
        <f t="shared" si="143"/>
        <v>1.108114856429463E-3</v>
      </c>
      <c r="AL77" s="47">
        <f t="shared" si="143"/>
        <v>2.8479999999999998E-3</v>
      </c>
      <c r="AM77" s="47">
        <f t="shared" si="143"/>
        <v>7.0574214517876484E-3</v>
      </c>
      <c r="AN77" s="47">
        <f t="shared" si="143"/>
        <v>8.2916666666666694E-3</v>
      </c>
      <c r="AO77" s="47">
        <f t="shared" si="143"/>
        <v>4.46046915725456E-3</v>
      </c>
      <c r="AP77" s="185">
        <f t="shared" si="143"/>
        <v>5.3447941888619867E-3</v>
      </c>
      <c r="AQ77" s="47">
        <f t="shared" si="143"/>
        <v>2.0076263107721643E-3</v>
      </c>
      <c r="AR77" s="47">
        <f t="shared" si="143"/>
        <v>-1.0458546571136131E-2</v>
      </c>
      <c r="AS77" s="47">
        <f t="shared" si="143"/>
        <v>-1.0973753280839891E-2</v>
      </c>
      <c r="AT77" s="47">
        <f t="shared" si="143"/>
        <v>-8.2572777340676647E-3</v>
      </c>
      <c r="AU77" s="185">
        <f t="shared" si="143"/>
        <v>-5.3529279279279267E-3</v>
      </c>
      <c r="AV77" s="111"/>
      <c r="AW77" s="111"/>
      <c r="AX77" s="111"/>
      <c r="AY77" s="111"/>
      <c r="AZ77" s="193"/>
      <c r="BA77" s="111"/>
      <c r="BB77" s="111"/>
      <c r="BC77" s="111"/>
      <c r="BD77" s="111"/>
      <c r="BE77" s="193"/>
      <c r="BF77" s="111"/>
      <c r="BG77" s="111"/>
      <c r="BH77" s="111"/>
      <c r="BI77" s="111"/>
      <c r="BJ77" s="193"/>
      <c r="BK77" s="111"/>
      <c r="BL77" s="111"/>
      <c r="BM77" s="111"/>
      <c r="BN77" s="111"/>
      <c r="BO77" s="193"/>
      <c r="BP77" s="111"/>
      <c r="BQ77" s="111"/>
      <c r="BR77" s="111"/>
      <c r="BS77" s="111"/>
      <c r="BT77" s="193"/>
      <c r="BU77" s="111"/>
      <c r="BV77" s="111"/>
      <c r="BW77" s="111"/>
      <c r="BX77" s="111"/>
      <c r="BY77" s="193"/>
      <c r="BZ77" s="111"/>
      <c r="CA77" s="111"/>
      <c r="CB77" s="111"/>
      <c r="CC77" s="111"/>
      <c r="CD77" s="193"/>
      <c r="CE77" s="111"/>
      <c r="CF77" s="111"/>
      <c r="CG77" s="111"/>
      <c r="CH77" s="111"/>
      <c r="CI77" s="193"/>
      <c r="CJ77" s="111"/>
      <c r="CK77" s="111"/>
      <c r="CL77" s="111"/>
      <c r="CM77" s="111"/>
      <c r="CN77" s="193"/>
      <c r="CO77" s="111"/>
      <c r="CP77" s="111"/>
      <c r="CQ77" s="111"/>
      <c r="CR77" s="111"/>
      <c r="CS77" s="193"/>
      <c r="CT77" s="111"/>
      <c r="CU77" s="111"/>
      <c r="CV77" s="111"/>
      <c r="CW77" s="111"/>
      <c r="CX77" s="193"/>
      <c r="CY77" s="111"/>
      <c r="CZ77" s="111"/>
      <c r="DA77" s="111"/>
      <c r="DB77" s="111"/>
      <c r="DC77" s="193"/>
      <c r="DD77" s="111"/>
      <c r="DE77" s="111"/>
      <c r="DF77" s="111"/>
      <c r="DG77" s="111"/>
      <c r="DH77" s="193"/>
    </row>
    <row r="78" spans="1:112" hidden="1" outlineLevel="1" x14ac:dyDescent="0.2">
      <c r="A78" s="109" t="s">
        <v>211</v>
      </c>
      <c r="B78" s="104"/>
      <c r="C78" s="47"/>
      <c r="D78" s="47"/>
      <c r="E78" s="47"/>
      <c r="F78" s="47"/>
      <c r="G78" s="185"/>
      <c r="H78" s="110">
        <f t="shared" ref="H78:AP78" si="144">((H31*C23)-(H146*C22))/C19</f>
        <v>-1.165859564164649E-2</v>
      </c>
      <c r="I78" s="110">
        <f t="shared" si="144"/>
        <v>-2.416551724137931E-2</v>
      </c>
      <c r="J78" s="110">
        <f t="shared" si="144"/>
        <v>-2.184729064039409E-2</v>
      </c>
      <c r="K78" s="110">
        <f t="shared" si="144"/>
        <v>-1.9999999999999997E-2</v>
      </c>
      <c r="L78" s="276">
        <f t="shared" si="144"/>
        <v>-2.1759566134377826E-2</v>
      </c>
      <c r="M78" s="47">
        <f t="shared" si="144"/>
        <v>-2.1522248243559718E-2</v>
      </c>
      <c r="N78" s="47">
        <f t="shared" si="144"/>
        <v>-2.1842456608811754E-2</v>
      </c>
      <c r="O78" s="47">
        <f t="shared" si="144"/>
        <v>-2.2682926829268292E-2</v>
      </c>
      <c r="P78" s="47">
        <f t="shared" si="144"/>
        <v>-2.1302605210420839E-2</v>
      </c>
      <c r="Q78" s="185">
        <f t="shared" si="144"/>
        <v>-2.1481587210962032E-2</v>
      </c>
      <c r="R78" s="47">
        <f t="shared" si="144"/>
        <v>-1.758029978586724E-2</v>
      </c>
      <c r="S78" s="47">
        <f t="shared" si="144"/>
        <v>-1.2864197530864197E-2</v>
      </c>
      <c r="T78" s="47">
        <f t="shared" si="144"/>
        <v>0</v>
      </c>
      <c r="U78" s="47">
        <f t="shared" si="144"/>
        <v>5.9171597633136085E-3</v>
      </c>
      <c r="V78" s="185">
        <f t="shared" si="144"/>
        <v>-5.6751574910983288E-3</v>
      </c>
      <c r="W78" s="47">
        <f t="shared" si="144"/>
        <v>0</v>
      </c>
      <c r="X78" s="47">
        <f t="shared" si="144"/>
        <v>0</v>
      </c>
      <c r="Y78" s="47">
        <f t="shared" si="144"/>
        <v>0</v>
      </c>
      <c r="Z78" s="47">
        <f t="shared" si="144"/>
        <v>0</v>
      </c>
      <c r="AA78" s="185">
        <f t="shared" si="144"/>
        <v>0</v>
      </c>
      <c r="AB78" s="47">
        <f t="shared" si="144"/>
        <v>0</v>
      </c>
      <c r="AC78" s="47">
        <f t="shared" si="144"/>
        <v>0</v>
      </c>
      <c r="AD78" s="47">
        <f t="shared" si="144"/>
        <v>0</v>
      </c>
      <c r="AE78" s="47">
        <f t="shared" si="144"/>
        <v>0</v>
      </c>
      <c r="AF78" s="185">
        <f t="shared" si="144"/>
        <v>0</v>
      </c>
      <c r="AG78" s="47">
        <f t="shared" si="144"/>
        <v>0</v>
      </c>
      <c r="AH78" s="47">
        <f t="shared" si="144"/>
        <v>0</v>
      </c>
      <c r="AI78" s="47">
        <f t="shared" si="144"/>
        <v>7.197592778335005E-3</v>
      </c>
      <c r="AJ78" s="47">
        <f t="shared" si="144"/>
        <v>7.1647972389991361E-3</v>
      </c>
      <c r="AK78" s="185">
        <f t="shared" si="144"/>
        <v>4.4014981273408239E-3</v>
      </c>
      <c r="AL78" s="47">
        <f t="shared" si="144"/>
        <v>8.0179999999999991E-3</v>
      </c>
      <c r="AM78" s="47">
        <f t="shared" si="144"/>
        <v>2.1828819068255689E-2</v>
      </c>
      <c r="AN78" s="47">
        <f t="shared" si="144"/>
        <v>4.1175189393939396E-2</v>
      </c>
      <c r="AO78" s="47">
        <f t="shared" si="144"/>
        <v>3.0359687228496954E-2</v>
      </c>
      <c r="AP78" s="185">
        <f t="shared" si="144"/>
        <v>2.6538256658595643E-2</v>
      </c>
      <c r="AQ78" s="47">
        <f>(AQ31*AL23)/AL19</f>
        <v>3.5433746425166827E-2</v>
      </c>
      <c r="AR78" s="47">
        <f>(AR31*AM23)/AM19</f>
        <v>2.5492323439099282E-2</v>
      </c>
      <c r="AS78" s="47">
        <f>(AS31*AN23)/AN19</f>
        <v>-8.286089238845145E-3</v>
      </c>
      <c r="AT78" s="47">
        <f>(AT31*AO23)/AO19</f>
        <v>-4.7049567269866251E-3</v>
      </c>
      <c r="AU78" s="185">
        <f>(AU31*AP23)/AP19</f>
        <v>1.0688513513513511E-2</v>
      </c>
      <c r="AV78" s="77"/>
      <c r="AW78" s="77"/>
      <c r="AX78" s="77"/>
      <c r="AY78" s="77"/>
      <c r="AZ78" s="185"/>
      <c r="BA78" s="77"/>
      <c r="BB78" s="77"/>
      <c r="BC78" s="77"/>
      <c r="BD78" s="77"/>
      <c r="BE78" s="185"/>
      <c r="BF78" s="77"/>
      <c r="BG78" s="77"/>
      <c r="BH78" s="77"/>
      <c r="BI78" s="77"/>
      <c r="BJ78" s="185"/>
      <c r="BK78" s="77"/>
      <c r="BL78" s="77"/>
      <c r="BM78" s="77"/>
      <c r="BN78" s="77"/>
      <c r="BO78" s="185"/>
      <c r="BP78" s="77"/>
      <c r="BQ78" s="77"/>
      <c r="BR78" s="77"/>
      <c r="BS78" s="77"/>
      <c r="BT78" s="185"/>
      <c r="BU78" s="77"/>
      <c r="BV78" s="77"/>
      <c r="BW78" s="77"/>
      <c r="BX78" s="77"/>
      <c r="BY78" s="185"/>
      <c r="BZ78" s="77"/>
      <c r="CA78" s="77"/>
      <c r="CB78" s="77"/>
      <c r="CC78" s="77"/>
      <c r="CD78" s="185"/>
      <c r="CE78" s="77"/>
      <c r="CF78" s="77"/>
      <c r="CG78" s="77"/>
      <c r="CH78" s="77"/>
      <c r="CI78" s="185"/>
      <c r="CJ78" s="77"/>
      <c r="CK78" s="77"/>
      <c r="CL78" s="77"/>
      <c r="CM78" s="77"/>
      <c r="CN78" s="185"/>
      <c r="CO78" s="77"/>
      <c r="CP78" s="77"/>
      <c r="CQ78" s="77"/>
      <c r="CR78" s="77"/>
      <c r="CS78" s="185"/>
      <c r="CT78" s="77"/>
      <c r="CU78" s="77"/>
      <c r="CV78" s="77"/>
      <c r="CW78" s="77"/>
      <c r="CX78" s="185"/>
      <c r="CY78" s="77"/>
      <c r="CZ78" s="77"/>
      <c r="DA78" s="77"/>
      <c r="DB78" s="77"/>
      <c r="DC78" s="185"/>
      <c r="DD78" s="77"/>
      <c r="DE78" s="77"/>
      <c r="DF78" s="77"/>
      <c r="DG78" s="77"/>
      <c r="DH78" s="185"/>
    </row>
    <row r="79" spans="1:112" hidden="1" outlineLevel="1" x14ac:dyDescent="0.2">
      <c r="A79" s="182" t="s">
        <v>212</v>
      </c>
      <c r="B79" s="167"/>
      <c r="C79" s="541"/>
      <c r="D79" s="541"/>
      <c r="E79" s="541"/>
      <c r="F79" s="541"/>
      <c r="G79" s="196"/>
      <c r="H79" s="170">
        <f>H19/C19-1</f>
        <v>3.3898305084745672E-2</v>
      </c>
      <c r="I79" s="170">
        <f>I19/D19-1</f>
        <v>3.3103448275862091E-2</v>
      </c>
      <c r="J79" s="170">
        <f>J19/E19-1</f>
        <v>0.11083743842364524</v>
      </c>
      <c r="K79" s="170">
        <f>K19/F19-1</f>
        <v>4.3933054393305415E-2</v>
      </c>
      <c r="L79" s="196">
        <f>L19/G19-1</f>
        <v>5.5438385055739614E-2</v>
      </c>
      <c r="M79" s="170">
        <f t="shared" ref="M79:AA79" si="145">M19/H19-1</f>
        <v>9.3676814988290502E-2</v>
      </c>
      <c r="N79" s="170">
        <f t="shared" si="145"/>
        <v>8.1441922563417979E-2</v>
      </c>
      <c r="O79" s="170">
        <f t="shared" si="145"/>
        <v>-9.9778270509978118E-3</v>
      </c>
      <c r="P79" s="170">
        <f t="shared" si="145"/>
        <v>1.6032064128256529E-2</v>
      </c>
      <c r="Q79" s="196">
        <f t="shared" si="145"/>
        <v>4.2249500428204412E-2</v>
      </c>
      <c r="R79" s="170">
        <f ca="1">(R32-(R147*0.12))/0.88</f>
        <v>-1.7727272727272727E-2</v>
      </c>
      <c r="S79" s="170">
        <f ca="1">(S32-(S147*0.12))/0.88</f>
        <v>2.2727272727272709E-3</v>
      </c>
      <c r="T79" s="170">
        <f ca="1">(T32-(T147*0.12))/0.88</f>
        <v>6.1818181818181821E-2</v>
      </c>
      <c r="U79" s="170">
        <f ca="1">(U32-(U147*0.12))/0.88</f>
        <v>8.5454545454545464E-2</v>
      </c>
      <c r="V79" s="196">
        <f t="shared" si="145"/>
        <v>3.2867707477404196E-3</v>
      </c>
      <c r="W79" s="170">
        <f t="shared" si="145"/>
        <v>3.3707865168539408E-2</v>
      </c>
      <c r="X79" s="170">
        <f t="shared" si="145"/>
        <v>6.9532237673830544E-2</v>
      </c>
      <c r="Y79" s="170">
        <f t="shared" si="145"/>
        <v>1.8498367791077275E-2</v>
      </c>
      <c r="Z79" s="170">
        <f t="shared" si="145"/>
        <v>3.3866415804327366E-2</v>
      </c>
      <c r="AA79" s="196">
        <f t="shared" si="145"/>
        <v>3.7674037674037653E-2</v>
      </c>
      <c r="AB79" s="170">
        <v>0.03</v>
      </c>
      <c r="AC79" s="170">
        <v>0.06</v>
      </c>
      <c r="AD79" s="170">
        <v>7.0000000000000007E-2</v>
      </c>
      <c r="AE79" s="170">
        <v>0.05</v>
      </c>
      <c r="AF79" s="196">
        <v>0.05</v>
      </c>
      <c r="AG79" s="170">
        <f>AG19/AB19-1</f>
        <v>5.3740779768177038E-2</v>
      </c>
      <c r="AH79" s="170">
        <f>AH19/AC19-1</f>
        <v>2.5555555555555554E-2</v>
      </c>
      <c r="AI79" s="170">
        <f>AI19/AD19-1</f>
        <v>5.9177532597793459E-2</v>
      </c>
      <c r="AJ79" s="170">
        <f>AJ19/AE19-1</f>
        <v>-6.90250215703192E-3</v>
      </c>
      <c r="AK79" s="196">
        <f>AK19/AF19-1</f>
        <v>3.1210986267166119E-2</v>
      </c>
      <c r="AL79" s="170">
        <f t="shared" ref="AL79:AU79" si="146">AL19/AG19-1</f>
        <v>4.8999999999999932E-2</v>
      </c>
      <c r="AM79" s="170">
        <f t="shared" si="146"/>
        <v>5.8504875406283796E-2</v>
      </c>
      <c r="AN79" s="170">
        <f t="shared" si="146"/>
        <v>8.2386363636363535E-2</v>
      </c>
      <c r="AO79" s="170">
        <f t="shared" si="146"/>
        <v>0.10425716768027793</v>
      </c>
      <c r="AP79" s="196">
        <f t="shared" si="146"/>
        <v>7.5060532687651227E-2</v>
      </c>
      <c r="AQ79" s="170">
        <f t="shared" si="146"/>
        <v>0.11248808388941844</v>
      </c>
      <c r="AR79" s="170">
        <f t="shared" si="146"/>
        <v>3.0706243602866001E-2</v>
      </c>
      <c r="AS79" s="170">
        <f t="shared" si="146"/>
        <v>-8.7489063867018935E-4</v>
      </c>
      <c r="AT79" s="170">
        <f t="shared" si="146"/>
        <v>2.3603461841070761E-3</v>
      </c>
      <c r="AU79" s="196">
        <f t="shared" si="146"/>
        <v>3.3783783783783772E-2</v>
      </c>
      <c r="AV79" s="170"/>
      <c r="AW79" s="170"/>
      <c r="AX79" s="170"/>
      <c r="AY79" s="170"/>
      <c r="AZ79" s="196"/>
      <c r="BA79" s="170"/>
      <c r="BB79" s="170"/>
      <c r="BC79" s="170"/>
      <c r="BD79" s="170"/>
      <c r="BE79" s="196"/>
      <c r="BF79" s="170"/>
      <c r="BG79" s="170"/>
      <c r="BH79" s="170"/>
      <c r="BI79" s="170"/>
      <c r="BJ79" s="196"/>
      <c r="BK79" s="170"/>
      <c r="BL79" s="170"/>
      <c r="BM79" s="170"/>
      <c r="BN79" s="170"/>
      <c r="BO79" s="196"/>
      <c r="BP79" s="170"/>
      <c r="BQ79" s="170"/>
      <c r="BR79" s="170"/>
      <c r="BS79" s="170"/>
      <c r="BT79" s="196"/>
      <c r="BU79" s="170"/>
      <c r="BV79" s="170"/>
      <c r="BW79" s="170"/>
      <c r="BX79" s="170"/>
      <c r="BY79" s="196"/>
      <c r="BZ79" s="170"/>
      <c r="CA79" s="170"/>
      <c r="CB79" s="170"/>
      <c r="CC79" s="170"/>
      <c r="CD79" s="196"/>
      <c r="CE79" s="170"/>
      <c r="CF79" s="170"/>
      <c r="CG79" s="170"/>
      <c r="CH79" s="170"/>
      <c r="CI79" s="196"/>
      <c r="CJ79" s="170"/>
      <c r="CK79" s="170"/>
      <c r="CL79" s="170"/>
      <c r="CM79" s="170"/>
      <c r="CN79" s="196"/>
      <c r="CO79" s="170"/>
      <c r="CP79" s="170"/>
      <c r="CQ79" s="170"/>
      <c r="CR79" s="170"/>
      <c r="CS79" s="196"/>
      <c r="CT79" s="170"/>
      <c r="CU79" s="170"/>
      <c r="CV79" s="170"/>
      <c r="CW79" s="170"/>
      <c r="CX79" s="196"/>
      <c r="CY79" s="170"/>
      <c r="CZ79" s="170"/>
      <c r="DA79" s="170"/>
      <c r="DB79" s="170"/>
      <c r="DC79" s="196"/>
      <c r="DD79" s="170"/>
      <c r="DE79" s="170"/>
      <c r="DF79" s="170"/>
      <c r="DG79" s="170"/>
      <c r="DH79" s="196"/>
    </row>
    <row r="80" spans="1:112" hidden="1" outlineLevel="1" x14ac:dyDescent="0.2">
      <c r="A80" s="163" t="s">
        <v>213</v>
      </c>
      <c r="B80" s="161"/>
      <c r="C80" s="161"/>
      <c r="D80" s="161"/>
      <c r="E80" s="161"/>
      <c r="F80" s="161"/>
      <c r="G80" s="184"/>
      <c r="H80" s="197">
        <f>H75+H76</f>
        <v>5.05811138014527E-2</v>
      </c>
      <c r="I80" s="197">
        <f>I75+I76</f>
        <v>5.8937931034482777E-2</v>
      </c>
      <c r="J80" s="197">
        <f>J75+J76</f>
        <v>0.12421182266009845</v>
      </c>
      <c r="K80" s="197">
        <f>K75+K76</f>
        <v>6.5662133891213351E-2</v>
      </c>
      <c r="L80" s="188">
        <f>L75+L76</f>
        <v>7.7238023501054465E-2</v>
      </c>
      <c r="M80" s="197">
        <f t="shared" ref="M80:V80" si="147">M75+M76</f>
        <v>0.12326463700234203</v>
      </c>
      <c r="N80" s="197">
        <f t="shared" si="147"/>
        <v>0.11571895861148207</v>
      </c>
      <c r="O80" s="197">
        <f t="shared" si="147"/>
        <v>1.4689855875831456E-2</v>
      </c>
      <c r="P80" s="197">
        <f t="shared" si="147"/>
        <v>3.5356713426853717E-2</v>
      </c>
      <c r="Q80" s="188">
        <f t="shared" si="147"/>
        <v>6.7749643163003165E-2</v>
      </c>
      <c r="R80" s="197">
        <f t="shared" ca="1" si="147"/>
        <v>-3.332197780805915E-3</v>
      </c>
      <c r="S80" s="197">
        <f t="shared" ca="1" si="147"/>
        <v>6.5813692480359148E-3</v>
      </c>
      <c r="T80" s="197">
        <f t="shared" ca="1" si="147"/>
        <v>5.1756591672605115E-2</v>
      </c>
      <c r="U80" s="197">
        <f t="shared" ca="1" si="147"/>
        <v>7.6123184507799896E-2</v>
      </c>
      <c r="V80" s="188">
        <f t="shared" si="147"/>
        <v>5.3738701725562082E-4</v>
      </c>
      <c r="W80" s="197">
        <f t="shared" ref="W80:AK80" si="148">W75+W76</f>
        <v>3.1620224719101205E-2</v>
      </c>
      <c r="X80" s="197">
        <f t="shared" si="148"/>
        <v>6.9999999999999951E-2</v>
      </c>
      <c r="Y80" s="197">
        <f t="shared" si="148"/>
        <v>1.8791077257889026E-2</v>
      </c>
      <c r="Z80" s="197">
        <f t="shared" si="148"/>
        <v>3.3899341486359348E-2</v>
      </c>
      <c r="AA80" s="188">
        <f t="shared" si="148"/>
        <v>3.3355173355173337E-2</v>
      </c>
      <c r="AB80" s="197">
        <f t="shared" si="148"/>
        <v>2.6100334448160532E-2</v>
      </c>
      <c r="AC80" s="197">
        <f t="shared" si="148"/>
        <v>6.472813238770686E-2</v>
      </c>
      <c r="AD80" s="197">
        <f t="shared" si="148"/>
        <v>7.2320512820512828E-2</v>
      </c>
      <c r="AE80" s="197">
        <f t="shared" si="148"/>
        <v>5.033303002729754E-2</v>
      </c>
      <c r="AF80" s="188">
        <f t="shared" si="148"/>
        <v>4.7457359399348351E-2</v>
      </c>
      <c r="AG80" s="197">
        <f t="shared" si="148"/>
        <v>5.2107481559536366E-2</v>
      </c>
      <c r="AH80" s="197">
        <f t="shared" si="148"/>
        <v>2.5555555555555554E-2</v>
      </c>
      <c r="AI80" s="197">
        <f t="shared" si="148"/>
        <v>5.0819458375125456E-2</v>
      </c>
      <c r="AJ80" s="197">
        <f t="shared" si="148"/>
        <v>-1.5373597929249349E-2</v>
      </c>
      <c r="AK80" s="188">
        <f t="shared" si="148"/>
        <v>2.5701373283395834E-2</v>
      </c>
      <c r="AL80" s="197">
        <f t="shared" ref="AL80:AU80" si="149">AL75+AL76</f>
        <v>3.8133999999999932E-2</v>
      </c>
      <c r="AM80" s="197">
        <f t="shared" si="149"/>
        <v>2.9618634886240454E-2</v>
      </c>
      <c r="AN80" s="197">
        <f t="shared" si="149"/>
        <v>3.291950757575747E-2</v>
      </c>
      <c r="AO80" s="197">
        <f t="shared" si="149"/>
        <v>6.943701129452641E-2</v>
      </c>
      <c r="AP80" s="188">
        <f t="shared" si="149"/>
        <v>4.3177481840193592E-2</v>
      </c>
      <c r="AQ80" s="197">
        <f t="shared" si="149"/>
        <v>7.504671115347944E-2</v>
      </c>
      <c r="AR80" s="197">
        <f t="shared" si="149"/>
        <v>1.567246673490285E-2</v>
      </c>
      <c r="AS80" s="48">
        <f t="shared" si="149"/>
        <v>1.8384951881014848E-2</v>
      </c>
      <c r="AT80" s="48">
        <f t="shared" si="149"/>
        <v>1.5322580645161368E-2</v>
      </c>
      <c r="AU80" s="188">
        <f t="shared" si="149"/>
        <v>2.8448198198198184E-2</v>
      </c>
      <c r="AV80" s="161"/>
      <c r="AW80" s="161"/>
      <c r="AX80" s="161"/>
      <c r="AY80" s="161"/>
      <c r="AZ80" s="184"/>
      <c r="BA80" s="161"/>
      <c r="BB80" s="161"/>
      <c r="BC80" s="161"/>
      <c r="BD80" s="161"/>
      <c r="BE80" s="184"/>
      <c r="BF80" s="161"/>
      <c r="BG80" s="161"/>
      <c r="BH80" s="161"/>
      <c r="BI80" s="161"/>
      <c r="BJ80" s="184"/>
      <c r="BK80" s="161"/>
      <c r="BL80" s="161"/>
      <c r="BM80" s="161"/>
      <c r="BN80" s="161"/>
      <c r="BO80" s="184"/>
      <c r="BP80" s="161"/>
      <c r="BQ80" s="161"/>
      <c r="BR80" s="161"/>
      <c r="BS80" s="161"/>
      <c r="BT80" s="184"/>
      <c r="BU80" s="161"/>
      <c r="BV80" s="161"/>
      <c r="BW80" s="161"/>
      <c r="BX80" s="161"/>
      <c r="BY80" s="184"/>
      <c r="BZ80" s="161"/>
      <c r="CA80" s="161"/>
      <c r="CB80" s="161"/>
      <c r="CC80" s="161"/>
      <c r="CD80" s="184"/>
      <c r="CE80" s="161"/>
      <c r="CF80" s="161"/>
      <c r="CG80" s="161"/>
      <c r="CH80" s="161"/>
      <c r="CI80" s="184"/>
      <c r="CJ80" s="161"/>
      <c r="CK80" s="161"/>
      <c r="CL80" s="161"/>
      <c r="CM80" s="161"/>
      <c r="CN80" s="184"/>
      <c r="CO80" s="161"/>
      <c r="CP80" s="161"/>
      <c r="CQ80" s="161"/>
      <c r="CR80" s="161"/>
      <c r="CS80" s="184"/>
      <c r="CT80" s="161"/>
      <c r="CU80" s="161"/>
      <c r="CV80" s="161"/>
      <c r="CW80" s="161"/>
      <c r="CX80" s="184"/>
      <c r="CY80" s="161"/>
      <c r="CZ80" s="161"/>
      <c r="DA80" s="161"/>
      <c r="DB80" s="161"/>
      <c r="DC80" s="184"/>
      <c r="DD80" s="161"/>
      <c r="DE80" s="161"/>
      <c r="DF80" s="161"/>
      <c r="DG80" s="161"/>
      <c r="DH80" s="184"/>
    </row>
    <row r="81" spans="1:112" hidden="1" outlineLevel="1" x14ac:dyDescent="0.2">
      <c r="A81" s="109"/>
      <c r="B81" s="104"/>
      <c r="C81" s="47"/>
      <c r="D81" s="47"/>
      <c r="E81" s="47"/>
      <c r="F81" s="47"/>
      <c r="G81" s="185"/>
      <c r="H81" s="47"/>
      <c r="I81" s="47"/>
      <c r="J81" s="47"/>
      <c r="K81" s="47"/>
      <c r="L81" s="185"/>
      <c r="M81" s="47"/>
      <c r="N81" s="47"/>
      <c r="O81" s="47"/>
      <c r="P81" s="47"/>
      <c r="Q81" s="185"/>
      <c r="R81" s="47"/>
      <c r="S81" s="47"/>
      <c r="T81" s="47"/>
      <c r="U81" s="47"/>
      <c r="V81" s="185"/>
      <c r="W81" s="47"/>
      <c r="X81" s="47"/>
      <c r="Y81" s="47"/>
      <c r="Z81" s="47"/>
      <c r="AA81" s="185"/>
      <c r="AB81" s="47"/>
      <c r="AC81" s="47"/>
      <c r="AD81" s="47"/>
      <c r="AE81" s="47"/>
      <c r="AF81" s="185"/>
      <c r="AG81" s="47"/>
      <c r="AH81" s="47"/>
      <c r="AI81" s="81"/>
      <c r="AJ81" s="81"/>
      <c r="AK81" s="185"/>
      <c r="AL81" s="47"/>
      <c r="AM81" s="47"/>
      <c r="AN81" s="47"/>
      <c r="AO81" s="47"/>
      <c r="AP81" s="185"/>
      <c r="AQ81" s="47"/>
      <c r="AR81" s="47"/>
      <c r="AS81" s="47"/>
      <c r="AT81" s="77"/>
      <c r="AU81" s="185"/>
      <c r="AV81" s="77"/>
      <c r="AW81" s="77"/>
      <c r="AX81" s="77"/>
      <c r="AY81" s="77"/>
      <c r="AZ81" s="185"/>
      <c r="BA81" s="77"/>
      <c r="BB81" s="77"/>
      <c r="BC81" s="77"/>
      <c r="BD81" s="77"/>
      <c r="BE81" s="185"/>
      <c r="BF81" s="77"/>
      <c r="BG81" s="77"/>
      <c r="BH81" s="77"/>
      <c r="BI81" s="77"/>
      <c r="BJ81" s="185"/>
      <c r="BK81" s="77"/>
      <c r="BL81" s="77"/>
      <c r="BM81" s="77"/>
      <c r="BN81" s="77"/>
      <c r="BO81" s="185"/>
      <c r="BP81" s="77"/>
      <c r="BQ81" s="77"/>
      <c r="BR81" s="77"/>
      <c r="BS81" s="77"/>
      <c r="BT81" s="185"/>
      <c r="BU81" s="77"/>
      <c r="BV81" s="77"/>
      <c r="BW81" s="77"/>
      <c r="BX81" s="77"/>
      <c r="BY81" s="185"/>
      <c r="BZ81" s="77"/>
      <c r="CA81" s="77"/>
      <c r="CB81" s="77"/>
      <c r="CC81" s="77"/>
      <c r="CD81" s="185"/>
      <c r="CE81" s="77"/>
      <c r="CF81" s="77"/>
      <c r="CG81" s="77"/>
      <c r="CH81" s="77"/>
      <c r="CI81" s="185"/>
      <c r="CJ81" s="77"/>
      <c r="CK81" s="77"/>
      <c r="CL81" s="77"/>
      <c r="CM81" s="77"/>
      <c r="CN81" s="185"/>
      <c r="CO81" s="77"/>
      <c r="CP81" s="77"/>
      <c r="CQ81" s="77"/>
      <c r="CR81" s="77"/>
      <c r="CS81" s="185"/>
      <c r="CT81" s="77"/>
      <c r="CU81" s="77"/>
      <c r="CV81" s="77"/>
      <c r="CW81" s="77"/>
      <c r="CX81" s="185"/>
      <c r="CY81" s="77"/>
      <c r="CZ81" s="77"/>
      <c r="DA81" s="77"/>
      <c r="DB81" s="77"/>
      <c r="DC81" s="185"/>
      <c r="DD81" s="77"/>
      <c r="DE81" s="77"/>
      <c r="DF81" s="77"/>
      <c r="DG81" s="77"/>
      <c r="DH81" s="185"/>
    </row>
    <row r="82" spans="1:112" hidden="1" outlineLevel="2" x14ac:dyDescent="0.2">
      <c r="A82" s="107" t="s">
        <v>92</v>
      </c>
      <c r="B82" s="166"/>
      <c r="C82" s="542"/>
      <c r="D82" s="542"/>
      <c r="E82" s="542"/>
      <c r="F82" s="542"/>
      <c r="G82" s="189"/>
      <c r="H82" s="165">
        <f>($B$95*H95)+($B$101*H101)+($B$119*H119)/SUM($B$95,$B$101,$B$119)</f>
        <v>3.4509090909090913E-2</v>
      </c>
      <c r="I82" s="165">
        <f t="shared" ref="I82:Q82" si="150">($B$95*I95)+($B$101*I101)+($B$119*I119)/SUM($B$95,$B$101,$B$119)</f>
        <v>3.3790909090909094E-2</v>
      </c>
      <c r="J82" s="165">
        <f>($B$95*J95)+($B$101*J101)+($B$119*J119)/SUM($B$95,$B$101,$B$119)</f>
        <v>5.1781818181818179E-2</v>
      </c>
      <c r="K82" s="165">
        <f t="shared" si="150"/>
        <v>1.3927272727272729E-2</v>
      </c>
      <c r="L82" s="189">
        <f t="shared" si="150"/>
        <v>3.3754545454545454E-2</v>
      </c>
      <c r="M82" s="165">
        <f t="shared" si="150"/>
        <v>4.4509090909090908E-2</v>
      </c>
      <c r="N82" s="165">
        <f t="shared" si="150"/>
        <v>3.5945454545454544E-2</v>
      </c>
      <c r="O82" s="165">
        <f t="shared" si="150"/>
        <v>1.5954545454545457E-2</v>
      </c>
      <c r="P82" s="165">
        <f t="shared" si="150"/>
        <v>3.3500000000000002E-2</v>
      </c>
      <c r="Q82" s="189">
        <f t="shared" si="150"/>
        <v>3.1854545454545455E-2</v>
      </c>
      <c r="R82" s="165">
        <f>($B$95*R95)+($B$104*R104)/$B$83</f>
        <v>-3.6681818181818177E-2</v>
      </c>
      <c r="S82" s="165">
        <f t="shared" ref="S82:AK82" si="151">($B$95*S95)+($B$104*S104)/$B$83</f>
        <v>6.4000000000000012E-3</v>
      </c>
      <c r="T82" s="165">
        <f t="shared" si="151"/>
        <v>3.5181818181818189E-2</v>
      </c>
      <c r="U82" s="165">
        <f t="shared" si="151"/>
        <v>3.4709090909090912E-2</v>
      </c>
      <c r="V82" s="189">
        <f t="shared" si="151"/>
        <v>1.0400000000000001E-2</v>
      </c>
      <c r="W82" s="165">
        <f t="shared" si="151"/>
        <v>5.8363636363636361E-3</v>
      </c>
      <c r="X82" s="165">
        <f t="shared" si="151"/>
        <v>3.2681818181818187E-2</v>
      </c>
      <c r="Y82" s="165">
        <f t="shared" si="151"/>
        <v>-1.2618181818181822E-2</v>
      </c>
      <c r="Z82" s="165">
        <f t="shared" si="151"/>
        <v>4.58181818181818E-3</v>
      </c>
      <c r="AA82" s="189">
        <f t="shared" si="151"/>
        <v>7.4181818181818168E-3</v>
      </c>
      <c r="AB82" s="165">
        <f t="shared" si="151"/>
        <v>8.5727272727272735E-3</v>
      </c>
      <c r="AC82" s="165">
        <f t="shared" si="151"/>
        <v>1.55E-2</v>
      </c>
      <c r="AD82" s="165">
        <f t="shared" si="151"/>
        <v>-3.5018181818181823E-2</v>
      </c>
      <c r="AE82" s="165">
        <f t="shared" si="151"/>
        <v>-6.6363636363636364E-3</v>
      </c>
      <c r="AF82" s="189">
        <f t="shared" si="151"/>
        <v>-5.9090909090909098E-3</v>
      </c>
      <c r="AG82" s="165">
        <f t="shared" si="151"/>
        <v>-1.1672727272727274E-2</v>
      </c>
      <c r="AH82" s="165">
        <f t="shared" si="151"/>
        <v>-2.7463636363636364E-2</v>
      </c>
      <c r="AI82" s="165">
        <f t="shared" si="151"/>
        <v>6.0399999999999995E-2</v>
      </c>
      <c r="AJ82" s="165">
        <f t="shared" si="151"/>
        <v>-5.8181818181817987E-4</v>
      </c>
      <c r="AK82" s="189">
        <f t="shared" si="151"/>
        <v>5.9090909090909098E-3</v>
      </c>
      <c r="AL82" s="165"/>
      <c r="AM82" s="165"/>
      <c r="AN82" s="165"/>
      <c r="AO82" s="165"/>
      <c r="AP82" s="189"/>
      <c r="AQ82" s="165"/>
      <c r="AR82" s="165"/>
      <c r="AS82" s="165"/>
      <c r="AT82" s="165"/>
      <c r="AU82" s="189"/>
      <c r="AV82" s="165"/>
      <c r="AW82" s="165"/>
      <c r="AX82" s="165"/>
      <c r="AY82" s="165"/>
      <c r="AZ82" s="189"/>
      <c r="BA82" s="165"/>
      <c r="BB82" s="165"/>
      <c r="BC82" s="165"/>
      <c r="BD82" s="165"/>
      <c r="BE82" s="189"/>
      <c r="BF82" s="165"/>
      <c r="BG82" s="165"/>
      <c r="BH82" s="165"/>
      <c r="BI82" s="165"/>
      <c r="BJ82" s="189"/>
      <c r="BK82" s="165"/>
      <c r="BL82" s="165"/>
      <c r="BM82" s="165"/>
      <c r="BN82" s="165"/>
      <c r="BO82" s="189"/>
      <c r="BP82" s="165"/>
      <c r="BQ82" s="165"/>
      <c r="BR82" s="165"/>
      <c r="BS82" s="165"/>
      <c r="BT82" s="189"/>
      <c r="BU82" s="165"/>
      <c r="BV82" s="165"/>
      <c r="BW82" s="165"/>
      <c r="BX82" s="165"/>
      <c r="BY82" s="189"/>
      <c r="BZ82" s="165"/>
      <c r="CA82" s="165"/>
      <c r="CB82" s="165"/>
      <c r="CC82" s="165"/>
      <c r="CD82" s="189"/>
      <c r="CE82" s="165"/>
      <c r="CF82" s="165"/>
      <c r="CG82" s="165"/>
      <c r="CH82" s="165"/>
      <c r="CI82" s="189"/>
      <c r="CJ82" s="165"/>
      <c r="CK82" s="165"/>
      <c r="CL82" s="165"/>
      <c r="CM82" s="165"/>
      <c r="CN82" s="189"/>
      <c r="CO82" s="165"/>
      <c r="CP82" s="165"/>
      <c r="CQ82" s="165"/>
      <c r="CR82" s="165"/>
      <c r="CS82" s="189"/>
      <c r="CT82" s="165"/>
      <c r="CU82" s="165"/>
      <c r="CV82" s="165"/>
      <c r="CW82" s="165"/>
      <c r="CX82" s="189"/>
      <c r="CY82" s="165"/>
      <c r="CZ82" s="165"/>
      <c r="DA82" s="165"/>
      <c r="DB82" s="165"/>
      <c r="DC82" s="189"/>
      <c r="DD82" s="165"/>
      <c r="DE82" s="165"/>
      <c r="DF82" s="165"/>
      <c r="DG82" s="165"/>
      <c r="DH82" s="189"/>
    </row>
    <row r="83" spans="1:112" hidden="1" outlineLevel="2" x14ac:dyDescent="0.2">
      <c r="A83" s="116" t="s">
        <v>90</v>
      </c>
      <c r="B83" s="164">
        <f>SUM(B95,B104)</f>
        <v>0.44</v>
      </c>
      <c r="C83" s="302"/>
      <c r="D83" s="302"/>
      <c r="E83" s="302"/>
      <c r="F83" s="302"/>
      <c r="G83" s="194"/>
      <c r="H83" s="302">
        <v>0.03</v>
      </c>
      <c r="I83" s="302">
        <v>0.02</v>
      </c>
      <c r="J83" s="302">
        <v>0.11</v>
      </c>
      <c r="K83" s="302">
        <v>0.04</v>
      </c>
      <c r="L83" s="194">
        <v>0.05</v>
      </c>
      <c r="M83" s="165">
        <v>0.09</v>
      </c>
      <c r="N83" s="165">
        <v>0.05</v>
      </c>
      <c r="O83" s="165">
        <v>0</v>
      </c>
      <c r="P83" s="165">
        <v>0.02</v>
      </c>
      <c r="Q83" s="194">
        <v>0.04</v>
      </c>
      <c r="R83" s="546">
        <v>-0.03</v>
      </c>
      <c r="S83" s="546">
        <v>0.02</v>
      </c>
      <c r="T83" s="546">
        <v>0.01</v>
      </c>
      <c r="U83" s="546">
        <v>0.04</v>
      </c>
      <c r="V83" s="563">
        <v>0.01</v>
      </c>
      <c r="W83" s="165">
        <v>0.04</v>
      </c>
      <c r="X83" s="165">
        <v>7.0000000000000007E-2</v>
      </c>
      <c r="Y83" s="165">
        <v>0.01</v>
      </c>
      <c r="Z83" s="165">
        <v>0.05</v>
      </c>
      <c r="AA83" s="194">
        <v>0.04</v>
      </c>
      <c r="AB83" s="165">
        <v>0</v>
      </c>
      <c r="AC83" s="165">
        <v>0.04</v>
      </c>
      <c r="AD83" s="165">
        <v>-0.03</v>
      </c>
      <c r="AE83" s="165">
        <v>-0.03</v>
      </c>
      <c r="AF83" s="194">
        <v>-0.01</v>
      </c>
      <c r="AG83" s="165">
        <v>0</v>
      </c>
      <c r="AH83" s="165">
        <v>-0.05</v>
      </c>
      <c r="AI83" s="165">
        <v>0.09</v>
      </c>
      <c r="AJ83" s="165">
        <v>-0.01</v>
      </c>
      <c r="AK83" s="194">
        <v>0.01</v>
      </c>
      <c r="AL83" s="165"/>
      <c r="AM83" s="165"/>
      <c r="AN83" s="165"/>
      <c r="AO83" s="165"/>
      <c r="AP83" s="194"/>
      <c r="AQ83" s="165"/>
      <c r="AR83" s="165"/>
      <c r="AS83" s="165"/>
      <c r="AT83" s="165"/>
      <c r="AU83" s="194"/>
      <c r="AV83" s="165"/>
      <c r="AW83" s="165"/>
      <c r="AX83" s="165"/>
      <c r="AY83" s="165"/>
      <c r="AZ83" s="194"/>
      <c r="BA83" s="165"/>
      <c r="BB83" s="165"/>
      <c r="BC83" s="165"/>
      <c r="BD83" s="165"/>
      <c r="BE83" s="194"/>
      <c r="BF83" s="165"/>
      <c r="BG83" s="165"/>
      <c r="BH83" s="165"/>
      <c r="BI83" s="165"/>
      <c r="BJ83" s="194"/>
      <c r="BK83" s="165"/>
      <c r="BL83" s="165"/>
      <c r="BM83" s="165"/>
      <c r="BN83" s="165"/>
      <c r="BO83" s="194"/>
      <c r="BP83" s="165"/>
      <c r="BQ83" s="165"/>
      <c r="BR83" s="165"/>
      <c r="BS83" s="165"/>
      <c r="BT83" s="194"/>
      <c r="BU83" s="165"/>
      <c r="BV83" s="165"/>
      <c r="BW83" s="165"/>
      <c r="BX83" s="165"/>
      <c r="BY83" s="194"/>
      <c r="BZ83" s="165"/>
      <c r="CA83" s="165"/>
      <c r="CB83" s="165"/>
      <c r="CC83" s="165"/>
      <c r="CD83" s="194"/>
      <c r="CE83" s="165"/>
      <c r="CF83" s="165"/>
      <c r="CG83" s="165"/>
      <c r="CH83" s="165"/>
      <c r="CI83" s="194"/>
      <c r="CJ83" s="165"/>
      <c r="CK83" s="165"/>
      <c r="CL83" s="165"/>
      <c r="CM83" s="165"/>
      <c r="CN83" s="194"/>
      <c r="CO83" s="165"/>
      <c r="CP83" s="165"/>
      <c r="CQ83" s="165"/>
      <c r="CR83" s="165"/>
      <c r="CS83" s="194"/>
      <c r="CT83" s="165"/>
      <c r="CU83" s="165"/>
      <c r="CV83" s="165"/>
      <c r="CW83" s="165"/>
      <c r="CX83" s="194"/>
      <c r="CY83" s="165"/>
      <c r="CZ83" s="165"/>
      <c r="DA83" s="165"/>
      <c r="DB83" s="165"/>
      <c r="DC83" s="194"/>
      <c r="DD83" s="165"/>
      <c r="DE83" s="165"/>
      <c r="DF83" s="165"/>
      <c r="DG83" s="165"/>
      <c r="DH83" s="194"/>
    </row>
    <row r="84" spans="1:112" hidden="1" outlineLevel="2" x14ac:dyDescent="0.2">
      <c r="A84" s="109" t="s">
        <v>91</v>
      </c>
      <c r="B84" s="100"/>
      <c r="C84" s="110"/>
      <c r="D84" s="110"/>
      <c r="E84" s="110"/>
      <c r="F84" s="110"/>
      <c r="G84" s="193"/>
      <c r="H84" s="110">
        <f t="shared" ref="H84:AK84" si="152">H87-H86-H85-H83</f>
        <v>-0.04</v>
      </c>
      <c r="I84" s="110">
        <f t="shared" si="152"/>
        <v>0</v>
      </c>
      <c r="J84" s="110">
        <f t="shared" si="152"/>
        <v>3.0000000000000013E-2</v>
      </c>
      <c r="K84" s="110">
        <f t="shared" si="152"/>
        <v>1.9999999999999997E-2</v>
      </c>
      <c r="L84" s="276">
        <f t="shared" si="152"/>
        <v>0</v>
      </c>
      <c r="M84" s="110">
        <f t="shared" si="152"/>
        <v>4.0000000000000008E-2</v>
      </c>
      <c r="N84" s="110">
        <f t="shared" si="152"/>
        <v>0.05</v>
      </c>
      <c r="O84" s="110">
        <f t="shared" si="152"/>
        <v>-3.0000000000000002E-2</v>
      </c>
      <c r="P84" s="110">
        <f t="shared" si="152"/>
        <v>0</v>
      </c>
      <c r="Q84" s="276">
        <f t="shared" si="152"/>
        <v>1.9999999999999997E-2</v>
      </c>
      <c r="R84" s="110">
        <f t="shared" si="152"/>
        <v>-1.0000000000000002E-2</v>
      </c>
      <c r="S84" s="110">
        <f t="shared" si="152"/>
        <v>-0.01</v>
      </c>
      <c r="T84" s="110">
        <f t="shared" si="152"/>
        <v>-0.01</v>
      </c>
      <c r="U84" s="110">
        <f t="shared" si="152"/>
        <v>-1.0000000000000002E-2</v>
      </c>
      <c r="V84" s="276">
        <f t="shared" si="152"/>
        <v>-0.01</v>
      </c>
      <c r="W84" s="110">
        <f t="shared" si="152"/>
        <v>-0.02</v>
      </c>
      <c r="X84" s="110">
        <f t="shared" si="152"/>
        <v>0</v>
      </c>
      <c r="Y84" s="110">
        <f t="shared" si="152"/>
        <v>-0.01</v>
      </c>
      <c r="Z84" s="110">
        <f t="shared" si="152"/>
        <v>-3.0000000000000002E-2</v>
      </c>
      <c r="AA84" s="276">
        <f t="shared" si="152"/>
        <v>-1.0000000000000002E-2</v>
      </c>
      <c r="AB84" s="110">
        <f t="shared" si="152"/>
        <v>0.03</v>
      </c>
      <c r="AC84" s="110">
        <f t="shared" si="152"/>
        <v>1.9999999999999997E-2</v>
      </c>
      <c r="AD84" s="110">
        <f t="shared" si="152"/>
        <v>7.0000000000000007E-2</v>
      </c>
      <c r="AE84" s="110">
        <f t="shared" si="152"/>
        <v>0.09</v>
      </c>
      <c r="AF84" s="276">
        <f t="shared" si="152"/>
        <v>6.0000000000000005E-2</v>
      </c>
      <c r="AG84" s="110">
        <f t="shared" si="152"/>
        <v>0.05</v>
      </c>
      <c r="AH84" s="110">
        <f t="shared" si="152"/>
        <v>3.0000000000000002E-2</v>
      </c>
      <c r="AI84" s="110">
        <f t="shared" si="152"/>
        <v>-4.9283851554663985E-2</v>
      </c>
      <c r="AJ84" s="110">
        <f t="shared" si="152"/>
        <v>-2.1249999999999998E-2</v>
      </c>
      <c r="AK84" s="276">
        <f t="shared" si="152"/>
        <v>-5.5667290886392013E-3</v>
      </c>
      <c r="AL84" s="110"/>
      <c r="AM84" s="110"/>
      <c r="AN84" s="110"/>
      <c r="AO84" s="110"/>
      <c r="AP84" s="193"/>
      <c r="AQ84" s="110"/>
      <c r="AR84" s="110"/>
      <c r="AS84" s="110"/>
      <c r="AT84" s="110"/>
      <c r="AU84" s="193"/>
      <c r="AV84" s="110"/>
      <c r="AW84" s="110"/>
      <c r="AX84" s="110"/>
      <c r="AY84" s="110"/>
      <c r="AZ84" s="193"/>
      <c r="BA84" s="110"/>
      <c r="BB84" s="110"/>
      <c r="BC84" s="110"/>
      <c r="BD84" s="110"/>
      <c r="BE84" s="193"/>
      <c r="BF84" s="110"/>
      <c r="BG84" s="110"/>
      <c r="BH84" s="110"/>
      <c r="BI84" s="110"/>
      <c r="BJ84" s="193"/>
      <c r="BK84" s="110"/>
      <c r="BL84" s="110"/>
      <c r="BM84" s="110"/>
      <c r="BN84" s="110"/>
      <c r="BO84" s="193"/>
      <c r="BP84" s="110"/>
      <c r="BQ84" s="110"/>
      <c r="BR84" s="110"/>
      <c r="BS84" s="110"/>
      <c r="BT84" s="193"/>
      <c r="BU84" s="110"/>
      <c r="BV84" s="110"/>
      <c r="BW84" s="110"/>
      <c r="BX84" s="110"/>
      <c r="BY84" s="193"/>
      <c r="BZ84" s="110"/>
      <c r="CA84" s="110"/>
      <c r="CB84" s="110"/>
      <c r="CC84" s="110"/>
      <c r="CD84" s="193"/>
      <c r="CE84" s="110"/>
      <c r="CF84" s="110"/>
      <c r="CG84" s="110"/>
      <c r="CH84" s="110"/>
      <c r="CI84" s="193"/>
      <c r="CJ84" s="110"/>
      <c r="CK84" s="110"/>
      <c r="CL84" s="110"/>
      <c r="CM84" s="110"/>
      <c r="CN84" s="193"/>
      <c r="CO84" s="110"/>
      <c r="CP84" s="110"/>
      <c r="CQ84" s="110"/>
      <c r="CR84" s="110"/>
      <c r="CS84" s="193"/>
      <c r="CT84" s="110"/>
      <c r="CU84" s="110"/>
      <c r="CV84" s="110"/>
      <c r="CW84" s="110"/>
      <c r="CX84" s="193"/>
      <c r="CY84" s="110"/>
      <c r="CZ84" s="110"/>
      <c r="DA84" s="110"/>
      <c r="DB84" s="110"/>
      <c r="DC84" s="193"/>
      <c r="DD84" s="110"/>
      <c r="DE84" s="110"/>
      <c r="DF84" s="110"/>
      <c r="DG84" s="110"/>
      <c r="DH84" s="193"/>
    </row>
    <row r="85" spans="1:112" hidden="1" outlineLevel="2" x14ac:dyDescent="0.2">
      <c r="A85" s="109" t="s">
        <v>96</v>
      </c>
      <c r="B85" s="100"/>
      <c r="C85" s="110"/>
      <c r="D85" s="110"/>
      <c r="E85" s="110"/>
      <c r="F85" s="110"/>
      <c r="G85" s="193"/>
      <c r="H85" s="110">
        <v>0</v>
      </c>
      <c r="I85" s="110">
        <v>0</v>
      </c>
      <c r="J85" s="110">
        <v>0</v>
      </c>
      <c r="K85" s="110">
        <v>0</v>
      </c>
      <c r="L85" s="276">
        <v>0</v>
      </c>
      <c r="M85" s="110">
        <v>0</v>
      </c>
      <c r="N85" s="110">
        <v>0</v>
      </c>
      <c r="O85" s="110">
        <v>0</v>
      </c>
      <c r="P85" s="110">
        <v>0</v>
      </c>
      <c r="Q85" s="276">
        <v>0</v>
      </c>
      <c r="R85" s="110">
        <v>0</v>
      </c>
      <c r="S85" s="110">
        <v>0</v>
      </c>
      <c r="T85" s="110">
        <v>0</v>
      </c>
      <c r="U85" s="110">
        <v>0</v>
      </c>
      <c r="V85" s="276">
        <v>0</v>
      </c>
      <c r="W85" s="110">
        <v>0</v>
      </c>
      <c r="X85" s="110">
        <v>0</v>
      </c>
      <c r="Y85" s="110">
        <v>0</v>
      </c>
      <c r="Z85" s="110">
        <v>0</v>
      </c>
      <c r="AA85" s="276">
        <v>0</v>
      </c>
      <c r="AB85" s="110">
        <v>0</v>
      </c>
      <c r="AC85" s="110">
        <v>0</v>
      </c>
      <c r="AD85" s="110">
        <v>0</v>
      </c>
      <c r="AE85" s="110">
        <v>0</v>
      </c>
      <c r="AF85" s="276">
        <v>0</v>
      </c>
      <c r="AG85" s="110">
        <v>0</v>
      </c>
      <c r="AH85" s="110">
        <v>0</v>
      </c>
      <c r="AI85" s="110">
        <v>0</v>
      </c>
      <c r="AJ85" s="110">
        <v>0</v>
      </c>
      <c r="AK85" s="276">
        <v>0</v>
      </c>
      <c r="AL85" s="110"/>
      <c r="AM85" s="110"/>
      <c r="AN85" s="110"/>
      <c r="AO85" s="110"/>
      <c r="AP85" s="193"/>
      <c r="AQ85" s="110"/>
      <c r="AR85" s="110"/>
      <c r="AS85" s="110"/>
      <c r="AT85" s="110"/>
      <c r="AU85" s="193"/>
      <c r="AV85" s="110"/>
      <c r="AW85" s="110"/>
      <c r="AX85" s="110"/>
      <c r="AY85" s="110"/>
      <c r="AZ85" s="193"/>
      <c r="BA85" s="110"/>
      <c r="BB85" s="110"/>
      <c r="BC85" s="110"/>
      <c r="BD85" s="110"/>
      <c r="BE85" s="193"/>
      <c r="BF85" s="110"/>
      <c r="BG85" s="110"/>
      <c r="BH85" s="110"/>
      <c r="BI85" s="110"/>
      <c r="BJ85" s="193"/>
      <c r="BK85" s="110"/>
      <c r="BL85" s="110"/>
      <c r="BM85" s="110"/>
      <c r="BN85" s="110"/>
      <c r="BO85" s="193"/>
      <c r="BP85" s="110"/>
      <c r="BQ85" s="110"/>
      <c r="BR85" s="110"/>
      <c r="BS85" s="110"/>
      <c r="BT85" s="193"/>
      <c r="BU85" s="110"/>
      <c r="BV85" s="110"/>
      <c r="BW85" s="110"/>
      <c r="BX85" s="110"/>
      <c r="BY85" s="193"/>
      <c r="BZ85" s="110"/>
      <c r="CA85" s="110"/>
      <c r="CB85" s="110"/>
      <c r="CC85" s="110"/>
      <c r="CD85" s="193"/>
      <c r="CE85" s="110"/>
      <c r="CF85" s="110"/>
      <c r="CG85" s="110"/>
      <c r="CH85" s="110"/>
      <c r="CI85" s="193"/>
      <c r="CJ85" s="110"/>
      <c r="CK85" s="110"/>
      <c r="CL85" s="110"/>
      <c r="CM85" s="110"/>
      <c r="CN85" s="193"/>
      <c r="CO85" s="110"/>
      <c r="CP85" s="110"/>
      <c r="CQ85" s="110"/>
      <c r="CR85" s="110"/>
      <c r="CS85" s="193"/>
      <c r="CT85" s="110"/>
      <c r="CU85" s="110"/>
      <c r="CV85" s="110"/>
      <c r="CW85" s="110"/>
      <c r="CX85" s="193"/>
      <c r="CY85" s="110"/>
      <c r="CZ85" s="110"/>
      <c r="DA85" s="110"/>
      <c r="DB85" s="110"/>
      <c r="DC85" s="193"/>
      <c r="DD85" s="110"/>
      <c r="DE85" s="110"/>
      <c r="DF85" s="110"/>
      <c r="DG85" s="110"/>
      <c r="DH85" s="193"/>
    </row>
    <row r="86" spans="1:112" hidden="1" outlineLevel="2" x14ac:dyDescent="0.2">
      <c r="A86" s="109" t="s">
        <v>211</v>
      </c>
      <c r="B86" s="100"/>
      <c r="C86" s="110"/>
      <c r="D86" s="110"/>
      <c r="E86" s="110"/>
      <c r="F86" s="110"/>
      <c r="G86" s="193"/>
      <c r="H86" s="110">
        <v>0</v>
      </c>
      <c r="I86" s="110">
        <v>0.01</v>
      </c>
      <c r="J86" s="110">
        <v>0</v>
      </c>
      <c r="K86" s="110">
        <v>-0.02</v>
      </c>
      <c r="L86" s="276">
        <v>0</v>
      </c>
      <c r="M86" s="110">
        <v>-0.02</v>
      </c>
      <c r="N86" s="110">
        <v>-0.02</v>
      </c>
      <c r="O86" s="110">
        <v>-0.02</v>
      </c>
      <c r="P86" s="110">
        <v>0</v>
      </c>
      <c r="Q86" s="411">
        <v>-0.02</v>
      </c>
      <c r="R86" s="250">
        <v>0</v>
      </c>
      <c r="S86" s="250">
        <v>0</v>
      </c>
      <c r="T86" s="250">
        <v>0</v>
      </c>
      <c r="U86" s="250">
        <v>0</v>
      </c>
      <c r="V86" s="411">
        <v>0</v>
      </c>
      <c r="W86" s="110">
        <v>0</v>
      </c>
      <c r="X86" s="110">
        <v>0</v>
      </c>
      <c r="Y86" s="110">
        <v>0</v>
      </c>
      <c r="Z86" s="110">
        <v>0</v>
      </c>
      <c r="AA86" s="276">
        <v>0</v>
      </c>
      <c r="AB86" s="47">
        <v>0</v>
      </c>
      <c r="AC86" s="47">
        <v>0</v>
      </c>
      <c r="AD86" s="47">
        <v>0</v>
      </c>
      <c r="AE86" s="47">
        <v>0</v>
      </c>
      <c r="AF86" s="185">
        <v>0</v>
      </c>
      <c r="AG86" s="47">
        <v>0</v>
      </c>
      <c r="AH86" s="47">
        <v>0</v>
      </c>
      <c r="AI86" s="110">
        <f>(AI31*AD23)/AD19</f>
        <v>9.2838515546639928E-3</v>
      </c>
      <c r="AJ86" s="110">
        <v>1.125E-2</v>
      </c>
      <c r="AK86" s="276">
        <f>(SUMPRODUCT(AG86:AJ86,AB19:AE19))/AF19</f>
        <v>5.5667290886392013E-3</v>
      </c>
      <c r="AL86" s="110"/>
      <c r="AM86" s="110"/>
      <c r="AN86" s="110"/>
      <c r="AO86" s="110"/>
      <c r="AP86" s="193"/>
      <c r="AQ86" s="110"/>
      <c r="AR86" s="110"/>
      <c r="AS86" s="110"/>
      <c r="AT86" s="110"/>
      <c r="AU86" s="193"/>
      <c r="AV86" s="110"/>
      <c r="AW86" s="110"/>
      <c r="AX86" s="110"/>
      <c r="AY86" s="110"/>
      <c r="AZ86" s="193"/>
      <c r="BA86" s="110"/>
      <c r="BB86" s="110"/>
      <c r="BC86" s="110"/>
      <c r="BD86" s="110"/>
      <c r="BE86" s="193"/>
      <c r="BF86" s="110"/>
      <c r="BG86" s="110"/>
      <c r="BH86" s="110"/>
      <c r="BI86" s="110"/>
      <c r="BJ86" s="193"/>
      <c r="BK86" s="110"/>
      <c r="BL86" s="110"/>
      <c r="BM86" s="110"/>
      <c r="BN86" s="110"/>
      <c r="BO86" s="193"/>
      <c r="BP86" s="110"/>
      <c r="BQ86" s="110"/>
      <c r="BR86" s="110"/>
      <c r="BS86" s="110"/>
      <c r="BT86" s="193"/>
      <c r="BU86" s="110"/>
      <c r="BV86" s="110"/>
      <c r="BW86" s="110"/>
      <c r="BX86" s="110"/>
      <c r="BY86" s="193"/>
      <c r="BZ86" s="110"/>
      <c r="CA86" s="110"/>
      <c r="CB86" s="110"/>
      <c r="CC86" s="110"/>
      <c r="CD86" s="193"/>
      <c r="CE86" s="110"/>
      <c r="CF86" s="110"/>
      <c r="CG86" s="110"/>
      <c r="CH86" s="110"/>
      <c r="CI86" s="193"/>
      <c r="CJ86" s="110"/>
      <c r="CK86" s="110"/>
      <c r="CL86" s="110"/>
      <c r="CM86" s="110"/>
      <c r="CN86" s="193"/>
      <c r="CO86" s="110"/>
      <c r="CP86" s="110"/>
      <c r="CQ86" s="110"/>
      <c r="CR86" s="110"/>
      <c r="CS86" s="193"/>
      <c r="CT86" s="110"/>
      <c r="CU86" s="110"/>
      <c r="CV86" s="110"/>
      <c r="CW86" s="110"/>
      <c r="CX86" s="193"/>
      <c r="CY86" s="110"/>
      <c r="CZ86" s="110"/>
      <c r="DA86" s="110"/>
      <c r="DB86" s="110"/>
      <c r="DC86" s="193"/>
      <c r="DD86" s="110"/>
      <c r="DE86" s="110"/>
      <c r="DF86" s="110"/>
      <c r="DG86" s="110"/>
      <c r="DH86" s="193"/>
    </row>
    <row r="87" spans="1:112" hidden="1" outlineLevel="2" x14ac:dyDescent="0.2">
      <c r="A87" s="182" t="s">
        <v>212</v>
      </c>
      <c r="B87" s="171"/>
      <c r="C87" s="113"/>
      <c r="D87" s="113"/>
      <c r="E87" s="113"/>
      <c r="F87" s="113"/>
      <c r="G87" s="277"/>
      <c r="H87" s="113">
        <v>-0.01</v>
      </c>
      <c r="I87" s="113">
        <v>0.03</v>
      </c>
      <c r="J87" s="113">
        <v>0.14000000000000001</v>
      </c>
      <c r="K87" s="113">
        <v>0.04</v>
      </c>
      <c r="L87" s="277">
        <v>0.05</v>
      </c>
      <c r="M87" s="113">
        <v>0.11</v>
      </c>
      <c r="N87" s="113">
        <v>0.08</v>
      </c>
      <c r="O87" s="113">
        <v>-0.05</v>
      </c>
      <c r="P87" s="113">
        <v>0.02</v>
      </c>
      <c r="Q87" s="277">
        <v>0.04</v>
      </c>
      <c r="R87" s="547">
        <v>-0.04</v>
      </c>
      <c r="S87" s="547">
        <v>0.01</v>
      </c>
      <c r="T87" s="547">
        <v>0</v>
      </c>
      <c r="U87" s="547">
        <v>0.03</v>
      </c>
      <c r="V87" s="410">
        <v>0</v>
      </c>
      <c r="W87" s="113">
        <v>0.02</v>
      </c>
      <c r="X87" s="113">
        <v>7.0000000000000007E-2</v>
      </c>
      <c r="Y87" s="113">
        <v>0</v>
      </c>
      <c r="Z87" s="113">
        <v>0.02</v>
      </c>
      <c r="AA87" s="279">
        <v>0.03</v>
      </c>
      <c r="AB87" s="113">
        <v>0.03</v>
      </c>
      <c r="AC87" s="113">
        <v>0.06</v>
      </c>
      <c r="AD87" s="113">
        <v>0.04</v>
      </c>
      <c r="AE87" s="113">
        <v>0.06</v>
      </c>
      <c r="AF87" s="279">
        <v>0.05</v>
      </c>
      <c r="AG87" s="113">
        <v>0.05</v>
      </c>
      <c r="AH87" s="113">
        <v>-0.02</v>
      </c>
      <c r="AI87" s="113">
        <v>0.05</v>
      </c>
      <c r="AJ87" s="113">
        <v>-0.02</v>
      </c>
      <c r="AK87" s="277">
        <v>0.01</v>
      </c>
      <c r="AL87" s="113"/>
      <c r="AM87" s="113"/>
      <c r="AN87" s="113"/>
      <c r="AO87" s="113"/>
      <c r="AP87" s="277"/>
      <c r="AQ87" s="113"/>
      <c r="AR87" s="113"/>
      <c r="AS87" s="113"/>
      <c r="AT87" s="113"/>
      <c r="AU87" s="277"/>
      <c r="AV87" s="113"/>
      <c r="AW87" s="113"/>
      <c r="AX87" s="113"/>
      <c r="AY87" s="113"/>
      <c r="AZ87" s="277"/>
      <c r="BA87" s="113"/>
      <c r="BB87" s="113"/>
      <c r="BC87" s="113"/>
      <c r="BD87" s="113"/>
      <c r="BE87" s="277"/>
      <c r="BF87" s="113"/>
      <c r="BG87" s="113"/>
      <c r="BH87" s="113"/>
      <c r="BI87" s="113"/>
      <c r="BJ87" s="277"/>
      <c r="BK87" s="113"/>
      <c r="BL87" s="113"/>
      <c r="BM87" s="113"/>
      <c r="BN87" s="113"/>
      <c r="BO87" s="277"/>
      <c r="BP87" s="113"/>
      <c r="BQ87" s="113"/>
      <c r="BR87" s="113"/>
      <c r="BS87" s="113"/>
      <c r="BT87" s="277"/>
      <c r="BU87" s="113"/>
      <c r="BV87" s="113"/>
      <c r="BW87" s="113"/>
      <c r="BX87" s="113"/>
      <c r="BY87" s="277"/>
      <c r="BZ87" s="113"/>
      <c r="CA87" s="113"/>
      <c r="CB87" s="113"/>
      <c r="CC87" s="113"/>
      <c r="CD87" s="277"/>
      <c r="CE87" s="113"/>
      <c r="CF87" s="113"/>
      <c r="CG87" s="113"/>
      <c r="CH87" s="113"/>
      <c r="CI87" s="277"/>
      <c r="CJ87" s="113"/>
      <c r="CK87" s="113"/>
      <c r="CL87" s="113"/>
      <c r="CM87" s="113"/>
      <c r="CN87" s="277"/>
      <c r="CO87" s="113"/>
      <c r="CP87" s="113"/>
      <c r="CQ87" s="113"/>
      <c r="CR87" s="113"/>
      <c r="CS87" s="277"/>
      <c r="CT87" s="113"/>
      <c r="CU87" s="113"/>
      <c r="CV87" s="113"/>
      <c r="CW87" s="113"/>
      <c r="CX87" s="277"/>
      <c r="CY87" s="113"/>
      <c r="CZ87" s="113"/>
      <c r="DA87" s="113"/>
      <c r="DB87" s="113"/>
      <c r="DC87" s="277"/>
      <c r="DD87" s="113"/>
      <c r="DE87" s="113"/>
      <c r="DF87" s="113"/>
      <c r="DG87" s="113"/>
      <c r="DH87" s="277"/>
    </row>
    <row r="88" spans="1:112" hidden="1" outlineLevel="2" x14ac:dyDescent="0.2">
      <c r="A88" s="163" t="s">
        <v>213</v>
      </c>
      <c r="B88" s="104"/>
      <c r="C88" s="165"/>
      <c r="D88" s="165"/>
      <c r="E88" s="165"/>
      <c r="F88" s="165"/>
      <c r="G88" s="194"/>
      <c r="H88" s="165">
        <f>SUM(H83,H84)</f>
        <v>-1.0000000000000002E-2</v>
      </c>
      <c r="I88" s="165">
        <f t="shared" ref="I88:AK88" si="153">SUM(I83,I84)</f>
        <v>0.02</v>
      </c>
      <c r="J88" s="165">
        <f t="shared" si="153"/>
        <v>0.14000000000000001</v>
      </c>
      <c r="K88" s="165">
        <f t="shared" si="153"/>
        <v>0.06</v>
      </c>
      <c r="L88" s="189">
        <f t="shared" si="153"/>
        <v>0.05</v>
      </c>
      <c r="M88" s="165">
        <f t="shared" si="153"/>
        <v>0.13</v>
      </c>
      <c r="N88" s="165">
        <f t="shared" si="153"/>
        <v>0.1</v>
      </c>
      <c r="O88" s="165">
        <f t="shared" si="153"/>
        <v>-3.0000000000000002E-2</v>
      </c>
      <c r="P88" s="165">
        <f t="shared" si="153"/>
        <v>0.02</v>
      </c>
      <c r="Q88" s="189">
        <f t="shared" si="153"/>
        <v>0.06</v>
      </c>
      <c r="R88" s="165">
        <f t="shared" si="153"/>
        <v>-0.04</v>
      </c>
      <c r="S88" s="165">
        <f t="shared" si="153"/>
        <v>0.01</v>
      </c>
      <c r="T88" s="165">
        <f t="shared" si="153"/>
        <v>0</v>
      </c>
      <c r="U88" s="165">
        <f t="shared" si="153"/>
        <v>0.03</v>
      </c>
      <c r="V88" s="189">
        <f t="shared" si="153"/>
        <v>0</v>
      </c>
      <c r="W88" s="165">
        <f t="shared" si="153"/>
        <v>0.02</v>
      </c>
      <c r="X88" s="165">
        <f t="shared" si="153"/>
        <v>7.0000000000000007E-2</v>
      </c>
      <c r="Y88" s="165">
        <f t="shared" si="153"/>
        <v>0</v>
      </c>
      <c r="Z88" s="165">
        <f t="shared" si="153"/>
        <v>0.02</v>
      </c>
      <c r="AA88" s="189">
        <f t="shared" si="153"/>
        <v>0.03</v>
      </c>
      <c r="AB88" s="165">
        <f t="shared" si="153"/>
        <v>0.03</v>
      </c>
      <c r="AC88" s="165">
        <f t="shared" si="153"/>
        <v>0.06</v>
      </c>
      <c r="AD88" s="165">
        <f t="shared" si="153"/>
        <v>4.0000000000000008E-2</v>
      </c>
      <c r="AE88" s="165">
        <f t="shared" si="153"/>
        <v>0.06</v>
      </c>
      <c r="AF88" s="189">
        <f t="shared" si="153"/>
        <v>0.05</v>
      </c>
      <c r="AG88" s="165">
        <f t="shared" si="153"/>
        <v>0.05</v>
      </c>
      <c r="AH88" s="165">
        <f t="shared" si="153"/>
        <v>-0.02</v>
      </c>
      <c r="AI88" s="165">
        <f t="shared" si="153"/>
        <v>4.0716148445336012E-2</v>
      </c>
      <c r="AJ88" s="165">
        <f t="shared" si="153"/>
        <v>-3.125E-2</v>
      </c>
      <c r="AK88" s="189">
        <f t="shared" si="153"/>
        <v>4.4332709113607989E-3</v>
      </c>
      <c r="AL88" s="165"/>
      <c r="AM88" s="165"/>
      <c r="AN88" s="165"/>
      <c r="AO88" s="165"/>
      <c r="AP88" s="194"/>
      <c r="AQ88" s="165"/>
      <c r="AR88" s="165"/>
      <c r="AS88" s="165"/>
      <c r="AT88" s="165"/>
      <c r="AU88" s="194"/>
      <c r="AV88" s="165"/>
      <c r="AW88" s="165"/>
      <c r="AX88" s="165"/>
      <c r="AY88" s="165"/>
      <c r="AZ88" s="194"/>
      <c r="BA88" s="165"/>
      <c r="BB88" s="165"/>
      <c r="BC88" s="165"/>
      <c r="BD88" s="165"/>
      <c r="BE88" s="194"/>
      <c r="BF88" s="165"/>
      <c r="BG88" s="165"/>
      <c r="BH88" s="165"/>
      <c r="BI88" s="165"/>
      <c r="BJ88" s="194"/>
      <c r="BK88" s="165"/>
      <c r="BL88" s="165"/>
      <c r="BM88" s="165"/>
      <c r="BN88" s="165"/>
      <c r="BO88" s="194"/>
      <c r="BP88" s="165"/>
      <c r="BQ88" s="165"/>
      <c r="BR88" s="165"/>
      <c r="BS88" s="165"/>
      <c r="BT88" s="194"/>
      <c r="BU88" s="165"/>
      <c r="BV88" s="165"/>
      <c r="BW88" s="165"/>
      <c r="BX88" s="165"/>
      <c r="BY88" s="194"/>
      <c r="BZ88" s="165"/>
      <c r="CA88" s="165"/>
      <c r="CB88" s="165"/>
      <c r="CC88" s="165"/>
      <c r="CD88" s="194"/>
      <c r="CE88" s="165"/>
      <c r="CF88" s="165"/>
      <c r="CG88" s="165"/>
      <c r="CH88" s="165"/>
      <c r="CI88" s="194"/>
      <c r="CJ88" s="165"/>
      <c r="CK88" s="165"/>
      <c r="CL88" s="165"/>
      <c r="CM88" s="165"/>
      <c r="CN88" s="194"/>
      <c r="CO88" s="165"/>
      <c r="CP88" s="165"/>
      <c r="CQ88" s="165"/>
      <c r="CR88" s="165"/>
      <c r="CS88" s="194"/>
      <c r="CT88" s="165"/>
      <c r="CU88" s="165"/>
      <c r="CV88" s="165"/>
      <c r="CW88" s="165"/>
      <c r="CX88" s="194"/>
      <c r="CY88" s="165"/>
      <c r="CZ88" s="165"/>
      <c r="DA88" s="165"/>
      <c r="DB88" s="165"/>
      <c r="DC88" s="194"/>
      <c r="DD88" s="165"/>
      <c r="DE88" s="165"/>
      <c r="DF88" s="165"/>
      <c r="DG88" s="165"/>
      <c r="DH88" s="194"/>
    </row>
    <row r="89" spans="1:112" hidden="1" outlineLevel="2" x14ac:dyDescent="0.2">
      <c r="A89" s="253"/>
      <c r="B89" s="100"/>
      <c r="C89" s="110"/>
      <c r="D89" s="110"/>
      <c r="E89" s="110"/>
      <c r="F89" s="110"/>
      <c r="G89" s="193"/>
      <c r="H89" s="110"/>
      <c r="I89" s="110"/>
      <c r="J89" s="110"/>
      <c r="K89" s="110"/>
      <c r="L89" s="193"/>
      <c r="M89" s="110"/>
      <c r="N89" s="110"/>
      <c r="O89" s="110"/>
      <c r="P89" s="110"/>
      <c r="Q89" s="193"/>
      <c r="R89" s="250"/>
      <c r="S89" s="250"/>
      <c r="T89" s="250"/>
      <c r="U89" s="250"/>
      <c r="V89" s="411"/>
      <c r="W89" s="110"/>
      <c r="X89" s="110"/>
      <c r="Y89" s="110"/>
      <c r="Z89" s="110"/>
      <c r="AA89" s="276"/>
      <c r="AB89" s="110"/>
      <c r="AC89" s="110"/>
      <c r="AD89" s="110"/>
      <c r="AE89" s="110"/>
      <c r="AF89" s="276"/>
      <c r="AG89" s="110"/>
      <c r="AH89" s="110"/>
      <c r="AI89" s="110"/>
      <c r="AJ89" s="110"/>
      <c r="AK89" s="193"/>
      <c r="AL89" s="110"/>
      <c r="AM89" s="110"/>
      <c r="AN89" s="110"/>
      <c r="AO89" s="110"/>
      <c r="AP89" s="193"/>
      <c r="AQ89" s="110"/>
      <c r="AR89" s="110"/>
      <c r="AS89" s="110"/>
      <c r="AT89" s="110"/>
      <c r="AU89" s="193"/>
      <c r="AV89" s="110"/>
      <c r="AW89" s="110"/>
      <c r="AX89" s="110"/>
      <c r="AY89" s="110"/>
      <c r="AZ89" s="193"/>
      <c r="BA89" s="110"/>
      <c r="BB89" s="110"/>
      <c r="BC89" s="110"/>
      <c r="BD89" s="110"/>
      <c r="BE89" s="193"/>
      <c r="BF89" s="110"/>
      <c r="BG89" s="110"/>
      <c r="BH89" s="110"/>
      <c r="BI89" s="110"/>
      <c r="BJ89" s="193"/>
      <c r="BK89" s="110"/>
      <c r="BL89" s="110"/>
      <c r="BM89" s="110"/>
      <c r="BN89" s="110"/>
      <c r="BO89" s="193"/>
      <c r="BP89" s="110"/>
      <c r="BQ89" s="110"/>
      <c r="BR89" s="110"/>
      <c r="BS89" s="110"/>
      <c r="BT89" s="193"/>
      <c r="BU89" s="110"/>
      <c r="BV89" s="110"/>
      <c r="BW89" s="110"/>
      <c r="BX89" s="110"/>
      <c r="BY89" s="193"/>
      <c r="BZ89" s="110"/>
      <c r="CA89" s="110"/>
      <c r="CB89" s="110"/>
      <c r="CC89" s="110"/>
      <c r="CD89" s="193"/>
      <c r="CE89" s="110"/>
      <c r="CF89" s="110"/>
      <c r="CG89" s="110"/>
      <c r="CH89" s="110"/>
      <c r="CI89" s="193"/>
      <c r="CJ89" s="110"/>
      <c r="CK89" s="110"/>
      <c r="CL89" s="110"/>
      <c r="CM89" s="110"/>
      <c r="CN89" s="193"/>
      <c r="CO89" s="110"/>
      <c r="CP89" s="110"/>
      <c r="CQ89" s="110"/>
      <c r="CR89" s="110"/>
      <c r="CS89" s="193"/>
      <c r="CT89" s="110"/>
      <c r="CU89" s="110"/>
      <c r="CV89" s="110"/>
      <c r="CW89" s="110"/>
      <c r="CX89" s="193"/>
      <c r="CY89" s="110"/>
      <c r="CZ89" s="110"/>
      <c r="DA89" s="110"/>
      <c r="DB89" s="110"/>
      <c r="DC89" s="193"/>
      <c r="DD89" s="110"/>
      <c r="DE89" s="110"/>
      <c r="DF89" s="110"/>
      <c r="DG89" s="110"/>
      <c r="DH89" s="193"/>
    </row>
    <row r="90" spans="1:112" hidden="1" outlineLevel="2" x14ac:dyDescent="0.2">
      <c r="A90" s="102" t="s">
        <v>244</v>
      </c>
      <c r="B90" s="100"/>
      <c r="C90" s="110"/>
      <c r="D90" s="110"/>
      <c r="E90" s="110"/>
      <c r="F90" s="110"/>
      <c r="G90" s="193"/>
      <c r="H90" s="110"/>
      <c r="I90" s="110"/>
      <c r="J90" s="110"/>
      <c r="K90" s="110"/>
      <c r="L90" s="193"/>
      <c r="M90" s="110"/>
      <c r="N90" s="110"/>
      <c r="O90" s="110"/>
      <c r="P90" s="110"/>
      <c r="Q90" s="193"/>
      <c r="R90" s="250"/>
      <c r="S90" s="250"/>
      <c r="T90" s="250"/>
      <c r="U90" s="250"/>
      <c r="V90" s="411"/>
      <c r="W90" s="110"/>
      <c r="X90" s="110"/>
      <c r="Y90" s="110"/>
      <c r="Z90" s="110"/>
      <c r="AA90" s="276"/>
      <c r="AB90" s="110"/>
      <c r="AC90" s="110"/>
      <c r="AD90" s="110"/>
      <c r="AE90" s="110"/>
      <c r="AF90" s="276"/>
      <c r="AG90" s="110"/>
      <c r="AH90" s="110"/>
      <c r="AI90" s="110"/>
      <c r="AJ90" s="110"/>
      <c r="AK90" s="193"/>
      <c r="AL90" s="110"/>
      <c r="AM90" s="110"/>
      <c r="AN90" s="110"/>
      <c r="AO90" s="110"/>
      <c r="AP90" s="193"/>
      <c r="AQ90" s="110"/>
      <c r="AR90" s="110"/>
      <c r="AS90" s="110"/>
      <c r="AT90" s="110"/>
      <c r="AU90" s="193"/>
      <c r="AV90" s="110"/>
      <c r="AW90" s="110"/>
      <c r="AX90" s="110"/>
      <c r="AY90" s="110"/>
      <c r="AZ90" s="193"/>
      <c r="BA90" s="110"/>
      <c r="BB90" s="110"/>
      <c r="BC90" s="110"/>
      <c r="BD90" s="110"/>
      <c r="BE90" s="193"/>
      <c r="BF90" s="110"/>
      <c r="BG90" s="110"/>
      <c r="BH90" s="110"/>
      <c r="BI90" s="110"/>
      <c r="BJ90" s="193"/>
      <c r="BK90" s="110"/>
      <c r="BL90" s="110"/>
      <c r="BM90" s="110"/>
      <c r="BN90" s="110"/>
      <c r="BO90" s="193"/>
      <c r="BP90" s="110"/>
      <c r="BQ90" s="110"/>
      <c r="BR90" s="110"/>
      <c r="BS90" s="110"/>
      <c r="BT90" s="193"/>
      <c r="BU90" s="110"/>
      <c r="BV90" s="110"/>
      <c r="BW90" s="110"/>
      <c r="BX90" s="110"/>
      <c r="BY90" s="193"/>
      <c r="BZ90" s="110"/>
      <c r="CA90" s="110"/>
      <c r="CB90" s="110"/>
      <c r="CC90" s="110"/>
      <c r="CD90" s="193"/>
      <c r="CE90" s="110"/>
      <c r="CF90" s="110"/>
      <c r="CG90" s="110"/>
      <c r="CH90" s="110"/>
      <c r="CI90" s="193"/>
      <c r="CJ90" s="110"/>
      <c r="CK90" s="110"/>
      <c r="CL90" s="110"/>
      <c r="CM90" s="110"/>
      <c r="CN90" s="193"/>
      <c r="CO90" s="110"/>
      <c r="CP90" s="110"/>
      <c r="CQ90" s="110"/>
      <c r="CR90" s="110"/>
      <c r="CS90" s="193"/>
      <c r="CT90" s="110"/>
      <c r="CU90" s="110"/>
      <c r="CV90" s="110"/>
      <c r="CW90" s="110"/>
      <c r="CX90" s="193"/>
      <c r="CY90" s="110"/>
      <c r="CZ90" s="110"/>
      <c r="DA90" s="110"/>
      <c r="DB90" s="110"/>
      <c r="DC90" s="193"/>
      <c r="DD90" s="110"/>
      <c r="DE90" s="110"/>
      <c r="DF90" s="110"/>
      <c r="DG90" s="110"/>
      <c r="DH90" s="193"/>
    </row>
    <row r="91" spans="1:112" hidden="1" outlineLevel="2" x14ac:dyDescent="0.2">
      <c r="A91" s="109" t="s">
        <v>204</v>
      </c>
      <c r="B91" s="100"/>
      <c r="C91" s="110"/>
      <c r="D91" s="110"/>
      <c r="E91" s="110"/>
      <c r="F91" s="110"/>
      <c r="G91" s="193"/>
      <c r="H91" s="110"/>
      <c r="I91" s="110"/>
      <c r="J91" s="110"/>
      <c r="K91" s="110"/>
      <c r="L91" s="193"/>
      <c r="M91" s="110"/>
      <c r="N91" s="110"/>
      <c r="O91" s="110"/>
      <c r="P91" s="110"/>
      <c r="Q91" s="193"/>
      <c r="R91" s="250"/>
      <c r="S91" s="250"/>
      <c r="T91" s="250"/>
      <c r="U91" s="250"/>
      <c r="V91" s="411"/>
      <c r="W91" s="110"/>
      <c r="X91" s="110"/>
      <c r="Y91" s="110"/>
      <c r="Z91" s="110"/>
      <c r="AA91" s="276"/>
      <c r="AB91" s="110"/>
      <c r="AC91" s="110"/>
      <c r="AD91" s="110"/>
      <c r="AE91" s="110"/>
      <c r="AF91" s="276"/>
      <c r="AG91" s="110"/>
      <c r="AH91" s="110"/>
      <c r="AI91" s="110"/>
      <c r="AJ91" s="110"/>
      <c r="AK91" s="193"/>
      <c r="AL91" s="110"/>
      <c r="AM91" s="110"/>
      <c r="AN91" s="110"/>
      <c r="AO91" s="110"/>
      <c r="AP91" s="193"/>
      <c r="AQ91" s="110"/>
      <c r="AR91" s="110"/>
      <c r="AS91" s="110"/>
      <c r="AT91" s="110"/>
      <c r="AU91" s="193"/>
      <c r="AV91" s="110"/>
      <c r="AW91" s="110"/>
      <c r="AX91" s="110"/>
      <c r="AY91" s="110"/>
      <c r="AZ91" s="193"/>
      <c r="BA91" s="110"/>
      <c r="BB91" s="110"/>
      <c r="BC91" s="110"/>
      <c r="BD91" s="110"/>
      <c r="BE91" s="193"/>
      <c r="BF91" s="110"/>
      <c r="BG91" s="110"/>
      <c r="BH91" s="110"/>
      <c r="BI91" s="110"/>
      <c r="BJ91" s="193"/>
      <c r="BK91" s="110"/>
      <c r="BL91" s="110"/>
      <c r="BM91" s="110"/>
      <c r="BN91" s="110"/>
      <c r="BO91" s="193"/>
      <c r="BP91" s="110"/>
      <c r="BQ91" s="110"/>
      <c r="BR91" s="110"/>
      <c r="BS91" s="110"/>
      <c r="BT91" s="193"/>
      <c r="BU91" s="110"/>
      <c r="BV91" s="110"/>
      <c r="BW91" s="110"/>
      <c r="BX91" s="110"/>
      <c r="BY91" s="193"/>
      <c r="BZ91" s="110"/>
      <c r="CA91" s="110"/>
      <c r="CB91" s="110"/>
      <c r="CC91" s="110"/>
      <c r="CD91" s="193"/>
      <c r="CE91" s="110"/>
      <c r="CF91" s="110"/>
      <c r="CG91" s="110"/>
      <c r="CH91" s="110"/>
      <c r="CI91" s="193"/>
      <c r="CJ91" s="110"/>
      <c r="CK91" s="110"/>
      <c r="CL91" s="110"/>
      <c r="CM91" s="110"/>
      <c r="CN91" s="193"/>
      <c r="CO91" s="110"/>
      <c r="CP91" s="110"/>
      <c r="CQ91" s="110"/>
      <c r="CR91" s="110"/>
      <c r="CS91" s="193"/>
      <c r="CT91" s="110"/>
      <c r="CU91" s="110"/>
      <c r="CV91" s="110"/>
      <c r="CW91" s="110"/>
      <c r="CX91" s="193"/>
      <c r="CY91" s="110"/>
      <c r="CZ91" s="110"/>
      <c r="DA91" s="110"/>
      <c r="DB91" s="110"/>
      <c r="DC91" s="193"/>
      <c r="DD91" s="110"/>
      <c r="DE91" s="110"/>
      <c r="DF91" s="110"/>
      <c r="DG91" s="110"/>
      <c r="DH91" s="193"/>
    </row>
    <row r="92" spans="1:112" hidden="1" outlineLevel="2" x14ac:dyDescent="0.2">
      <c r="A92" s="109" t="s">
        <v>230</v>
      </c>
      <c r="B92" s="238">
        <v>0.13</v>
      </c>
      <c r="C92" s="110"/>
      <c r="D92" s="110"/>
      <c r="E92" s="110"/>
      <c r="F92" s="110"/>
      <c r="G92" s="193"/>
      <c r="H92" s="110">
        <v>0.02</v>
      </c>
      <c r="I92" s="110">
        <v>0</v>
      </c>
      <c r="J92" s="110">
        <v>0.03</v>
      </c>
      <c r="K92" s="110">
        <v>-0.03</v>
      </c>
      <c r="L92" s="193">
        <v>0.01</v>
      </c>
      <c r="M92" s="110">
        <v>0.03</v>
      </c>
      <c r="N92" s="110">
        <v>-0.04</v>
      </c>
      <c r="O92" s="110">
        <v>-0.03</v>
      </c>
      <c r="P92" s="110">
        <v>0.01</v>
      </c>
      <c r="Q92" s="193">
        <v>0</v>
      </c>
      <c r="R92" s="250">
        <v>0.02</v>
      </c>
      <c r="S92" s="110">
        <v>0.14000000000000001</v>
      </c>
      <c r="T92" s="110">
        <v>0.09</v>
      </c>
      <c r="U92" s="110">
        <v>7.0000000000000007E-2</v>
      </c>
      <c r="V92" s="193">
        <v>0.08</v>
      </c>
      <c r="W92" s="250">
        <v>0.06</v>
      </c>
      <c r="X92" s="110">
        <v>0</v>
      </c>
      <c r="Y92" s="110">
        <v>0.01</v>
      </c>
      <c r="Z92" s="110">
        <v>-0.01</v>
      </c>
      <c r="AA92" s="276">
        <v>0.02</v>
      </c>
      <c r="AB92" s="300" t="s">
        <v>221</v>
      </c>
      <c r="AC92" s="300" t="s">
        <v>221</v>
      </c>
      <c r="AD92" s="300" t="s">
        <v>221</v>
      </c>
      <c r="AE92" s="300" t="s">
        <v>221</v>
      </c>
      <c r="AF92" s="405" t="s">
        <v>221</v>
      </c>
      <c r="AG92" s="300" t="s">
        <v>221</v>
      </c>
      <c r="AH92" s="300" t="s">
        <v>221</v>
      </c>
      <c r="AI92" s="300" t="s">
        <v>221</v>
      </c>
      <c r="AJ92" s="300" t="s">
        <v>221</v>
      </c>
      <c r="AK92" s="405" t="s">
        <v>221</v>
      </c>
      <c r="AL92" s="110"/>
      <c r="AM92" s="110"/>
      <c r="AN92" s="110"/>
      <c r="AO92" s="110"/>
      <c r="AP92" s="193"/>
      <c r="AQ92" s="110"/>
      <c r="AR92" s="110"/>
      <c r="AS92" s="110"/>
      <c r="AT92" s="110"/>
      <c r="AU92" s="193"/>
      <c r="AV92" s="110"/>
      <c r="AW92" s="110"/>
      <c r="AX92" s="110"/>
      <c r="AY92" s="110"/>
      <c r="AZ92" s="193"/>
      <c r="BA92" s="110"/>
      <c r="BB92" s="110"/>
      <c r="BC92" s="110"/>
      <c r="BD92" s="110"/>
      <c r="BE92" s="193"/>
      <c r="BF92" s="110"/>
      <c r="BG92" s="110"/>
      <c r="BH92" s="110"/>
      <c r="BI92" s="110"/>
      <c r="BJ92" s="193"/>
      <c r="BK92" s="110"/>
      <c r="BL92" s="110"/>
      <c r="BM92" s="110"/>
      <c r="BN92" s="110"/>
      <c r="BO92" s="193"/>
      <c r="BP92" s="110"/>
      <c r="BQ92" s="110"/>
      <c r="BR92" s="110"/>
      <c r="BS92" s="110"/>
      <c r="BT92" s="193"/>
      <c r="BU92" s="110"/>
      <c r="BV92" s="110"/>
      <c r="BW92" s="110"/>
      <c r="BX92" s="110"/>
      <c r="BY92" s="193"/>
      <c r="BZ92" s="110"/>
      <c r="CA92" s="110"/>
      <c r="CB92" s="110"/>
      <c r="CC92" s="110"/>
      <c r="CD92" s="193"/>
      <c r="CE92" s="110"/>
      <c r="CF92" s="110"/>
      <c r="CG92" s="110"/>
      <c r="CH92" s="110"/>
      <c r="CI92" s="193"/>
      <c r="CJ92" s="110"/>
      <c r="CK92" s="110"/>
      <c r="CL92" s="110"/>
      <c r="CM92" s="110"/>
      <c r="CN92" s="193"/>
      <c r="CO92" s="110"/>
      <c r="CP92" s="110"/>
      <c r="CQ92" s="110"/>
      <c r="CR92" s="110"/>
      <c r="CS92" s="193"/>
      <c r="CT92" s="110"/>
      <c r="CU92" s="110"/>
      <c r="CV92" s="110"/>
      <c r="CW92" s="110"/>
      <c r="CX92" s="193"/>
      <c r="CY92" s="110"/>
      <c r="CZ92" s="110"/>
      <c r="DA92" s="110"/>
      <c r="DB92" s="110"/>
      <c r="DC92" s="193"/>
      <c r="DD92" s="110"/>
      <c r="DE92" s="110"/>
      <c r="DF92" s="110"/>
      <c r="DG92" s="110"/>
      <c r="DH92" s="193"/>
    </row>
    <row r="93" spans="1:112" hidden="1" outlineLevel="2" x14ac:dyDescent="0.2">
      <c r="A93" s="109" t="s">
        <v>205</v>
      </c>
      <c r="B93" s="100"/>
      <c r="C93" s="110"/>
      <c r="D93" s="110"/>
      <c r="E93" s="110"/>
      <c r="F93" s="110"/>
      <c r="G93" s="193"/>
      <c r="H93" s="110"/>
      <c r="I93" s="110"/>
      <c r="J93" s="110"/>
      <c r="K93" s="110"/>
      <c r="L93" s="193"/>
      <c r="M93" s="110"/>
      <c r="N93" s="110"/>
      <c r="O93" s="110"/>
      <c r="P93" s="110"/>
      <c r="Q93" s="193"/>
      <c r="R93" s="250"/>
      <c r="S93" s="250"/>
      <c r="T93" s="250"/>
      <c r="U93" s="250"/>
      <c r="V93" s="411"/>
      <c r="W93" s="110"/>
      <c r="X93" s="110"/>
      <c r="Y93" s="110"/>
      <c r="Z93" s="110"/>
      <c r="AA93" s="276"/>
      <c r="AB93" s="110"/>
      <c r="AC93" s="110"/>
      <c r="AD93" s="110"/>
      <c r="AE93" s="110"/>
      <c r="AF93" s="276"/>
      <c r="AG93" s="110"/>
      <c r="AH93" s="110"/>
      <c r="AI93" s="110"/>
      <c r="AJ93" s="110"/>
      <c r="AK93" s="193"/>
      <c r="AL93" s="110"/>
      <c r="AM93" s="110"/>
      <c r="AN93" s="110"/>
      <c r="AO93" s="110"/>
      <c r="AP93" s="193"/>
      <c r="AQ93" s="110"/>
      <c r="AR93" s="110"/>
      <c r="AS93" s="110"/>
      <c r="AT93" s="110"/>
      <c r="AU93" s="193"/>
      <c r="AV93" s="110"/>
      <c r="AW93" s="110"/>
      <c r="AX93" s="110"/>
      <c r="AY93" s="110"/>
      <c r="AZ93" s="193"/>
      <c r="BA93" s="110"/>
      <c r="BB93" s="110"/>
      <c r="BC93" s="110"/>
      <c r="BD93" s="110"/>
      <c r="BE93" s="193"/>
      <c r="BF93" s="110"/>
      <c r="BG93" s="110"/>
      <c r="BH93" s="110"/>
      <c r="BI93" s="110"/>
      <c r="BJ93" s="193"/>
      <c r="BK93" s="110"/>
      <c r="BL93" s="110"/>
      <c r="BM93" s="110"/>
      <c r="BN93" s="110"/>
      <c r="BO93" s="193"/>
      <c r="BP93" s="110"/>
      <c r="BQ93" s="110"/>
      <c r="BR93" s="110"/>
      <c r="BS93" s="110"/>
      <c r="BT93" s="193"/>
      <c r="BU93" s="110"/>
      <c r="BV93" s="110"/>
      <c r="BW93" s="110"/>
      <c r="BX93" s="110"/>
      <c r="BY93" s="193"/>
      <c r="BZ93" s="110"/>
      <c r="CA93" s="110"/>
      <c r="CB93" s="110"/>
      <c r="CC93" s="110"/>
      <c r="CD93" s="193"/>
      <c r="CE93" s="110"/>
      <c r="CF93" s="110"/>
      <c r="CG93" s="110"/>
      <c r="CH93" s="110"/>
      <c r="CI93" s="193"/>
      <c r="CJ93" s="110"/>
      <c r="CK93" s="110"/>
      <c r="CL93" s="110"/>
      <c r="CM93" s="110"/>
      <c r="CN93" s="193"/>
      <c r="CO93" s="110"/>
      <c r="CP93" s="110"/>
      <c r="CQ93" s="110"/>
      <c r="CR93" s="110"/>
      <c r="CS93" s="193"/>
      <c r="CT93" s="110"/>
      <c r="CU93" s="110"/>
      <c r="CV93" s="110"/>
      <c r="CW93" s="110"/>
      <c r="CX93" s="193"/>
      <c r="CY93" s="110"/>
      <c r="CZ93" s="110"/>
      <c r="DA93" s="110"/>
      <c r="DB93" s="110"/>
      <c r="DC93" s="193"/>
      <c r="DD93" s="110"/>
      <c r="DE93" s="110"/>
      <c r="DF93" s="110"/>
      <c r="DG93" s="110"/>
      <c r="DH93" s="193"/>
    </row>
    <row r="94" spans="1:112" hidden="1" outlineLevel="2" x14ac:dyDescent="0.2">
      <c r="A94" s="248" t="s">
        <v>230</v>
      </c>
      <c r="B94" s="254">
        <v>0.18</v>
      </c>
      <c r="C94" s="113"/>
      <c r="D94" s="113"/>
      <c r="E94" s="113"/>
      <c r="F94" s="113"/>
      <c r="G94" s="277"/>
      <c r="H94" s="113">
        <v>-0.01</v>
      </c>
      <c r="I94" s="113">
        <v>-0.03</v>
      </c>
      <c r="J94" s="113">
        <v>0.28999999999999998</v>
      </c>
      <c r="K94" s="113">
        <v>0.17</v>
      </c>
      <c r="L94" s="277">
        <v>0.11</v>
      </c>
      <c r="M94" s="113">
        <v>0.2</v>
      </c>
      <c r="N94" s="113">
        <v>0.11</v>
      </c>
      <c r="O94" s="113">
        <v>-0.03</v>
      </c>
      <c r="P94" s="113">
        <v>-0.01</v>
      </c>
      <c r="Q94" s="277">
        <v>0.06</v>
      </c>
      <c r="R94" s="113">
        <v>-0.02</v>
      </c>
      <c r="S94" s="113">
        <v>-0.01</v>
      </c>
      <c r="T94" s="113">
        <v>-0.04</v>
      </c>
      <c r="U94" s="113">
        <v>0.04</v>
      </c>
      <c r="V94" s="277">
        <v>0</v>
      </c>
      <c r="W94" s="547">
        <v>0.08</v>
      </c>
      <c r="X94" s="113">
        <v>0.15</v>
      </c>
      <c r="Y94" s="113">
        <v>0.03</v>
      </c>
      <c r="Z94" s="113">
        <v>0.14000000000000001</v>
      </c>
      <c r="AA94" s="279">
        <v>0.1</v>
      </c>
      <c r="AB94" s="307" t="s">
        <v>221</v>
      </c>
      <c r="AC94" s="307" t="s">
        <v>221</v>
      </c>
      <c r="AD94" s="307" t="s">
        <v>221</v>
      </c>
      <c r="AE94" s="307" t="s">
        <v>221</v>
      </c>
      <c r="AF94" s="406" t="s">
        <v>221</v>
      </c>
      <c r="AG94" s="307" t="s">
        <v>221</v>
      </c>
      <c r="AH94" s="307" t="s">
        <v>221</v>
      </c>
      <c r="AI94" s="307" t="s">
        <v>221</v>
      </c>
      <c r="AJ94" s="307" t="s">
        <v>221</v>
      </c>
      <c r="AK94" s="406" t="s">
        <v>221</v>
      </c>
      <c r="AL94" s="113"/>
      <c r="AM94" s="113"/>
      <c r="AN94" s="113"/>
      <c r="AO94" s="113"/>
      <c r="AP94" s="277"/>
      <c r="AQ94" s="113"/>
      <c r="AR94" s="113"/>
      <c r="AS94" s="113"/>
      <c r="AT94" s="113"/>
      <c r="AU94" s="277"/>
      <c r="AV94" s="113"/>
      <c r="AW94" s="113"/>
      <c r="AX94" s="113"/>
      <c r="AY94" s="113"/>
      <c r="AZ94" s="277"/>
      <c r="BA94" s="113"/>
      <c r="BB94" s="113"/>
      <c r="BC94" s="113"/>
      <c r="BD94" s="113"/>
      <c r="BE94" s="277"/>
      <c r="BF94" s="113"/>
      <c r="BG94" s="113"/>
      <c r="BH94" s="113"/>
      <c r="BI94" s="113"/>
      <c r="BJ94" s="277"/>
      <c r="BK94" s="113"/>
      <c r="BL94" s="113"/>
      <c r="BM94" s="113"/>
      <c r="BN94" s="113"/>
      <c r="BO94" s="277"/>
      <c r="BP94" s="113"/>
      <c r="BQ94" s="113"/>
      <c r="BR94" s="113"/>
      <c r="BS94" s="113"/>
      <c r="BT94" s="277"/>
      <c r="BU94" s="113"/>
      <c r="BV94" s="113"/>
      <c r="BW94" s="113"/>
      <c r="BX94" s="113"/>
      <c r="BY94" s="277"/>
      <c r="BZ94" s="113"/>
      <c r="CA94" s="113"/>
      <c r="CB94" s="113"/>
      <c r="CC94" s="113"/>
      <c r="CD94" s="277"/>
      <c r="CE94" s="113"/>
      <c r="CF94" s="113"/>
      <c r="CG94" s="113"/>
      <c r="CH94" s="113"/>
      <c r="CI94" s="277"/>
      <c r="CJ94" s="113"/>
      <c r="CK94" s="113"/>
      <c r="CL94" s="113"/>
      <c r="CM94" s="113"/>
      <c r="CN94" s="277"/>
      <c r="CO94" s="113"/>
      <c r="CP94" s="113"/>
      <c r="CQ94" s="113"/>
      <c r="CR94" s="113"/>
      <c r="CS94" s="277"/>
      <c r="CT94" s="113"/>
      <c r="CU94" s="113"/>
      <c r="CV94" s="113"/>
      <c r="CW94" s="113"/>
      <c r="CX94" s="277"/>
      <c r="CY94" s="113"/>
      <c r="CZ94" s="113"/>
      <c r="DA94" s="113"/>
      <c r="DB94" s="113"/>
      <c r="DC94" s="277"/>
      <c r="DD94" s="113"/>
      <c r="DE94" s="113"/>
      <c r="DF94" s="113"/>
      <c r="DG94" s="113"/>
      <c r="DH94" s="277"/>
    </row>
    <row r="95" spans="1:112" hidden="1" outlineLevel="2" x14ac:dyDescent="0.2">
      <c r="A95" s="103" t="s">
        <v>245</v>
      </c>
      <c r="B95" s="239">
        <f>SUM(B92,B94)</f>
        <v>0.31</v>
      </c>
      <c r="C95" s="302"/>
      <c r="D95" s="302"/>
      <c r="E95" s="302"/>
      <c r="F95" s="302"/>
      <c r="G95" s="194"/>
      <c r="H95" s="174">
        <f t="shared" ref="H95:AA95" si="154">((H92*$B$92)+(H94*$B$94))/$B$95</f>
        <v>2.5806451612903239E-3</v>
      </c>
      <c r="I95" s="174">
        <f t="shared" si="154"/>
        <v>-1.7419354838709676E-2</v>
      </c>
      <c r="J95" s="174">
        <f t="shared" si="154"/>
        <v>0.18096774193548387</v>
      </c>
      <c r="K95" s="174">
        <f t="shared" si="154"/>
        <v>8.6129032258064522E-2</v>
      </c>
      <c r="L95" s="408">
        <f t="shared" si="154"/>
        <v>6.8064516129032249E-2</v>
      </c>
      <c r="M95" s="174">
        <f t="shared" si="154"/>
        <v>0.12870967741935482</v>
      </c>
      <c r="N95" s="174">
        <f t="shared" si="154"/>
        <v>4.709677419354838E-2</v>
      </c>
      <c r="O95" s="174">
        <f t="shared" si="154"/>
        <v>-0.03</v>
      </c>
      <c r="P95" s="174">
        <f t="shared" si="154"/>
        <v>-1.612903225806451E-3</v>
      </c>
      <c r="Q95" s="408">
        <f t="shared" si="154"/>
        <v>3.4838709677419352E-2</v>
      </c>
      <c r="R95" s="174">
        <f t="shared" si="154"/>
        <v>-3.2258064516129019E-3</v>
      </c>
      <c r="S95" s="174">
        <f t="shared" si="154"/>
        <v>5.2903225806451619E-2</v>
      </c>
      <c r="T95" s="174">
        <f t="shared" si="154"/>
        <v>1.4516129032258067E-2</v>
      </c>
      <c r="U95" s="174">
        <f t="shared" si="154"/>
        <v>5.2580645161290331E-2</v>
      </c>
      <c r="V95" s="408">
        <f t="shared" si="154"/>
        <v>3.3548387096774199E-2</v>
      </c>
      <c r="W95" s="174">
        <f t="shared" si="154"/>
        <v>7.1612903225806449E-2</v>
      </c>
      <c r="X95" s="174">
        <f t="shared" si="154"/>
        <v>8.7096774193548387E-2</v>
      </c>
      <c r="Y95" s="174">
        <f t="shared" si="154"/>
        <v>2.1612903225806449E-2</v>
      </c>
      <c r="Z95" s="174">
        <f t="shared" si="154"/>
        <v>7.7096774193548392E-2</v>
      </c>
      <c r="AA95" s="408">
        <f t="shared" si="154"/>
        <v>6.6451612903225807E-2</v>
      </c>
      <c r="AB95" s="165">
        <v>-0.02</v>
      </c>
      <c r="AC95" s="165">
        <v>0.05</v>
      </c>
      <c r="AD95" s="165">
        <v>0.03</v>
      </c>
      <c r="AE95" s="165">
        <v>-0.05</v>
      </c>
      <c r="AF95" s="194">
        <v>0</v>
      </c>
      <c r="AG95" s="165">
        <v>0.01</v>
      </c>
      <c r="AH95" s="165">
        <v>-0.06</v>
      </c>
      <c r="AI95" s="165">
        <v>0.09</v>
      </c>
      <c r="AJ95" s="165">
        <v>-0.04</v>
      </c>
      <c r="AK95" s="194">
        <v>0</v>
      </c>
      <c r="AL95" s="252"/>
      <c r="AM95" s="165"/>
      <c r="AN95" s="165"/>
      <c r="AO95" s="172"/>
      <c r="AP95" s="194"/>
      <c r="AQ95" s="172"/>
      <c r="AR95" s="165"/>
      <c r="AS95" s="172"/>
      <c r="AT95" s="172"/>
      <c r="AU95" s="194"/>
      <c r="AV95" s="172"/>
      <c r="AW95" s="172"/>
      <c r="AX95" s="172"/>
      <c r="AY95" s="172"/>
      <c r="AZ95" s="194"/>
      <c r="BA95" s="172"/>
      <c r="BB95" s="172"/>
      <c r="BC95" s="172"/>
      <c r="BD95" s="172"/>
      <c r="BE95" s="194"/>
      <c r="BF95" s="172"/>
      <c r="BG95" s="172"/>
      <c r="BH95" s="172"/>
      <c r="BI95" s="172"/>
      <c r="BJ95" s="194"/>
      <c r="BK95" s="172"/>
      <c r="BL95" s="172"/>
      <c r="BM95" s="172"/>
      <c r="BN95" s="172"/>
      <c r="BO95" s="194"/>
      <c r="BP95" s="172"/>
      <c r="BQ95" s="172"/>
      <c r="BR95" s="172"/>
      <c r="BS95" s="172"/>
      <c r="BT95" s="194"/>
      <c r="BU95" s="172"/>
      <c r="BV95" s="172"/>
      <c r="BW95" s="172"/>
      <c r="BX95" s="172"/>
      <c r="BY95" s="194"/>
      <c r="BZ95" s="172"/>
      <c r="CA95" s="172"/>
      <c r="CB95" s="172"/>
      <c r="CC95" s="172"/>
      <c r="CD95" s="194"/>
      <c r="CE95" s="172"/>
      <c r="CF95" s="172"/>
      <c r="CG95" s="172"/>
      <c r="CH95" s="172"/>
      <c r="CI95" s="194"/>
      <c r="CJ95" s="172"/>
      <c r="CK95" s="172"/>
      <c r="CL95" s="172"/>
      <c r="CM95" s="172"/>
      <c r="CN95" s="194"/>
      <c r="CO95" s="172"/>
      <c r="CP95" s="172"/>
      <c r="CQ95" s="172"/>
      <c r="CR95" s="172"/>
      <c r="CS95" s="194"/>
      <c r="CT95" s="172"/>
      <c r="CU95" s="172"/>
      <c r="CV95" s="172"/>
      <c r="CW95" s="172"/>
      <c r="CX95" s="194"/>
      <c r="CY95" s="172"/>
      <c r="CZ95" s="172"/>
      <c r="DA95" s="172"/>
      <c r="DB95" s="172"/>
      <c r="DC95" s="194"/>
      <c r="DD95" s="172"/>
      <c r="DE95" s="172"/>
      <c r="DF95" s="172"/>
      <c r="DG95" s="172"/>
      <c r="DH95" s="194"/>
    </row>
    <row r="96" spans="1:112" hidden="1" outlineLevel="2" x14ac:dyDescent="0.2">
      <c r="A96" s="109" t="s">
        <v>91</v>
      </c>
      <c r="B96" s="239"/>
      <c r="C96" s="302"/>
      <c r="D96" s="302"/>
      <c r="E96" s="302"/>
      <c r="F96" s="302"/>
      <c r="G96" s="194"/>
      <c r="H96" s="379" t="s">
        <v>221</v>
      </c>
      <c r="I96" s="379" t="s">
        <v>221</v>
      </c>
      <c r="J96" s="379" t="s">
        <v>221</v>
      </c>
      <c r="K96" s="379" t="s">
        <v>221</v>
      </c>
      <c r="L96" s="487" t="s">
        <v>221</v>
      </c>
      <c r="M96" s="379" t="s">
        <v>221</v>
      </c>
      <c r="N96" s="379" t="s">
        <v>221</v>
      </c>
      <c r="O96" s="379" t="s">
        <v>221</v>
      </c>
      <c r="P96" s="379" t="s">
        <v>221</v>
      </c>
      <c r="Q96" s="487" t="s">
        <v>221</v>
      </c>
      <c r="R96" s="379" t="s">
        <v>221</v>
      </c>
      <c r="S96" s="379" t="s">
        <v>221</v>
      </c>
      <c r="T96" s="379" t="s">
        <v>221</v>
      </c>
      <c r="U96" s="379" t="s">
        <v>221</v>
      </c>
      <c r="V96" s="487" t="s">
        <v>221</v>
      </c>
      <c r="W96" s="43">
        <f>W97-W95</f>
        <v>-2.1612903225806446E-2</v>
      </c>
      <c r="X96" s="43">
        <f t="shared" ref="X96:AK96" si="155">X97-X95</f>
        <v>-1.7096774193548381E-2</v>
      </c>
      <c r="Y96" s="43">
        <f t="shared" si="155"/>
        <v>-1.6129032258064488E-3</v>
      </c>
      <c r="Z96" s="43">
        <f t="shared" si="155"/>
        <v>-3.7096774193548392E-2</v>
      </c>
      <c r="AA96" s="407">
        <f t="shared" si="155"/>
        <v>-1.6451612903225804E-2</v>
      </c>
      <c r="AB96" s="43">
        <f t="shared" si="155"/>
        <v>0.03</v>
      </c>
      <c r="AC96" s="43">
        <f t="shared" si="155"/>
        <v>2.0000000000000004E-2</v>
      </c>
      <c r="AD96" s="43">
        <f t="shared" si="155"/>
        <v>0.05</v>
      </c>
      <c r="AE96" s="43">
        <f t="shared" si="155"/>
        <v>7.0000000000000007E-2</v>
      </c>
      <c r="AF96" s="407">
        <f t="shared" si="155"/>
        <v>0.04</v>
      </c>
      <c r="AG96" s="43">
        <f t="shared" si="155"/>
        <v>0.03</v>
      </c>
      <c r="AH96" s="43">
        <f t="shared" si="155"/>
        <v>1.9999999999999997E-2</v>
      </c>
      <c r="AI96" s="43">
        <f t="shared" si="155"/>
        <v>-4.9999999999999996E-2</v>
      </c>
      <c r="AJ96" s="43">
        <f t="shared" si="155"/>
        <v>-1.9999999999999997E-2</v>
      </c>
      <c r="AK96" s="407">
        <f t="shared" si="155"/>
        <v>-5.0000000000000001E-3</v>
      </c>
      <c r="AL96" s="252"/>
      <c r="AM96" s="165"/>
      <c r="AN96" s="165"/>
      <c r="AO96" s="172"/>
      <c r="AP96" s="194"/>
      <c r="AQ96" s="172"/>
      <c r="AR96" s="165"/>
      <c r="AS96" s="172"/>
      <c r="AT96" s="172"/>
      <c r="AU96" s="194"/>
      <c r="AV96" s="172"/>
      <c r="AW96" s="172"/>
      <c r="AX96" s="172"/>
      <c r="AY96" s="172"/>
      <c r="AZ96" s="194"/>
      <c r="BA96" s="172"/>
      <c r="BB96" s="172"/>
      <c r="BC96" s="172"/>
      <c r="BD96" s="172"/>
      <c r="BE96" s="194"/>
      <c r="BF96" s="172"/>
      <c r="BG96" s="172"/>
      <c r="BH96" s="172"/>
      <c r="BI96" s="172"/>
      <c r="BJ96" s="194"/>
      <c r="BK96" s="172"/>
      <c r="BL96" s="172"/>
      <c r="BM96" s="172"/>
      <c r="BN96" s="172"/>
      <c r="BO96" s="194"/>
      <c r="BP96" s="172"/>
      <c r="BQ96" s="172"/>
      <c r="BR96" s="172"/>
      <c r="BS96" s="172"/>
      <c r="BT96" s="194"/>
      <c r="BU96" s="172"/>
      <c r="BV96" s="172"/>
      <c r="BW96" s="172"/>
      <c r="BX96" s="172"/>
      <c r="BY96" s="194"/>
      <c r="BZ96" s="172"/>
      <c r="CA96" s="172"/>
      <c r="CB96" s="172"/>
      <c r="CC96" s="172"/>
      <c r="CD96" s="194"/>
      <c r="CE96" s="172"/>
      <c r="CF96" s="172"/>
      <c r="CG96" s="172"/>
      <c r="CH96" s="172"/>
      <c r="CI96" s="194"/>
      <c r="CJ96" s="172"/>
      <c r="CK96" s="172"/>
      <c r="CL96" s="172"/>
      <c r="CM96" s="172"/>
      <c r="CN96" s="194"/>
      <c r="CO96" s="172"/>
      <c r="CP96" s="172"/>
      <c r="CQ96" s="172"/>
      <c r="CR96" s="172"/>
      <c r="CS96" s="194"/>
      <c r="CT96" s="172"/>
      <c r="CU96" s="172"/>
      <c r="CV96" s="172"/>
      <c r="CW96" s="172"/>
      <c r="CX96" s="194"/>
      <c r="CY96" s="172"/>
      <c r="CZ96" s="172"/>
      <c r="DA96" s="172"/>
      <c r="DB96" s="172"/>
      <c r="DC96" s="194"/>
      <c r="DD96" s="172"/>
      <c r="DE96" s="172"/>
      <c r="DF96" s="172"/>
      <c r="DG96" s="172"/>
      <c r="DH96" s="194"/>
    </row>
    <row r="97" spans="1:112" hidden="1" outlineLevel="2" x14ac:dyDescent="0.2">
      <c r="A97" s="182" t="s">
        <v>248</v>
      </c>
      <c r="B97" s="255"/>
      <c r="C97" s="543"/>
      <c r="D97" s="543"/>
      <c r="E97" s="543"/>
      <c r="F97" s="543"/>
      <c r="G97" s="278"/>
      <c r="H97" s="548" t="s">
        <v>221</v>
      </c>
      <c r="I97" s="548" t="s">
        <v>221</v>
      </c>
      <c r="J97" s="548" t="s">
        <v>221</v>
      </c>
      <c r="K97" s="548" t="s">
        <v>221</v>
      </c>
      <c r="L97" s="554" t="s">
        <v>221</v>
      </c>
      <c r="M97" s="548" t="s">
        <v>221</v>
      </c>
      <c r="N97" s="548" t="s">
        <v>221</v>
      </c>
      <c r="O97" s="548" t="s">
        <v>221</v>
      </c>
      <c r="P97" s="548" t="s">
        <v>221</v>
      </c>
      <c r="Q97" s="554" t="s">
        <v>221</v>
      </c>
      <c r="R97" s="548" t="s">
        <v>221</v>
      </c>
      <c r="S97" s="548" t="s">
        <v>221</v>
      </c>
      <c r="T97" s="548" t="s">
        <v>221</v>
      </c>
      <c r="U97" s="548" t="s">
        <v>221</v>
      </c>
      <c r="V97" s="554" t="s">
        <v>221</v>
      </c>
      <c r="W97" s="549">
        <v>0.05</v>
      </c>
      <c r="X97" s="549">
        <v>7.0000000000000007E-2</v>
      </c>
      <c r="Y97" s="549">
        <v>0.02</v>
      </c>
      <c r="Z97" s="549">
        <v>0.04</v>
      </c>
      <c r="AA97" s="564">
        <v>0.05</v>
      </c>
      <c r="AB97" s="312">
        <v>0.01</v>
      </c>
      <c r="AC97" s="312">
        <v>7.0000000000000007E-2</v>
      </c>
      <c r="AD97" s="312">
        <v>0.08</v>
      </c>
      <c r="AE97" s="312">
        <v>0.02</v>
      </c>
      <c r="AF97" s="278">
        <v>0.04</v>
      </c>
      <c r="AG97" s="312">
        <v>0.04</v>
      </c>
      <c r="AH97" s="312">
        <v>-0.04</v>
      </c>
      <c r="AI97" s="312">
        <v>0.04</v>
      </c>
      <c r="AJ97" s="312">
        <v>-0.06</v>
      </c>
      <c r="AK97" s="278">
        <v>-5.0000000000000001E-3</v>
      </c>
      <c r="AL97" s="313"/>
      <c r="AM97" s="312"/>
      <c r="AN97" s="312"/>
      <c r="AO97" s="314"/>
      <c r="AP97" s="278"/>
      <c r="AQ97" s="314"/>
      <c r="AR97" s="312"/>
      <c r="AS97" s="314"/>
      <c r="AT97" s="314"/>
      <c r="AU97" s="278"/>
      <c r="AV97" s="314"/>
      <c r="AW97" s="314"/>
      <c r="AX97" s="314"/>
      <c r="AY97" s="314"/>
      <c r="AZ97" s="278"/>
      <c r="BA97" s="314"/>
      <c r="BB97" s="314"/>
      <c r="BC97" s="314"/>
      <c r="BD97" s="314"/>
      <c r="BE97" s="278"/>
      <c r="BF97" s="314"/>
      <c r="BG97" s="314"/>
      <c r="BH97" s="314"/>
      <c r="BI97" s="314"/>
      <c r="BJ97" s="278"/>
      <c r="BK97" s="314"/>
      <c r="BL97" s="314"/>
      <c r="BM97" s="314"/>
      <c r="BN97" s="314"/>
      <c r="BO97" s="278"/>
      <c r="BP97" s="314"/>
      <c r="BQ97" s="314"/>
      <c r="BR97" s="314"/>
      <c r="BS97" s="314"/>
      <c r="BT97" s="278"/>
      <c r="BU97" s="314"/>
      <c r="BV97" s="314"/>
      <c r="BW97" s="314"/>
      <c r="BX97" s="314"/>
      <c r="BY97" s="278"/>
      <c r="BZ97" s="314"/>
      <c r="CA97" s="314"/>
      <c r="CB97" s="314"/>
      <c r="CC97" s="314"/>
      <c r="CD97" s="278"/>
      <c r="CE97" s="314"/>
      <c r="CF97" s="314"/>
      <c r="CG97" s="314"/>
      <c r="CH97" s="314"/>
      <c r="CI97" s="278"/>
      <c r="CJ97" s="314"/>
      <c r="CK97" s="314"/>
      <c r="CL97" s="314"/>
      <c r="CM97" s="314"/>
      <c r="CN97" s="278"/>
      <c r="CO97" s="314"/>
      <c r="CP97" s="314"/>
      <c r="CQ97" s="314"/>
      <c r="CR97" s="314"/>
      <c r="CS97" s="278"/>
      <c r="CT97" s="314"/>
      <c r="CU97" s="314"/>
      <c r="CV97" s="314"/>
      <c r="CW97" s="314"/>
      <c r="CX97" s="278"/>
      <c r="CY97" s="314"/>
      <c r="CZ97" s="314"/>
      <c r="DA97" s="314"/>
      <c r="DB97" s="314"/>
      <c r="DC97" s="278"/>
      <c r="DD97" s="314"/>
      <c r="DE97" s="314"/>
      <c r="DF97" s="314"/>
      <c r="DG97" s="314"/>
      <c r="DH97" s="278"/>
    </row>
    <row r="98" spans="1:112" hidden="1" outlineLevel="2" x14ac:dyDescent="0.2">
      <c r="A98" s="109"/>
      <c r="B98" s="54"/>
      <c r="C98" s="208"/>
      <c r="D98" s="208"/>
      <c r="E98" s="208"/>
      <c r="F98" s="208"/>
      <c r="G98" s="193"/>
      <c r="H98" s="208"/>
      <c r="I98" s="208"/>
      <c r="J98" s="208"/>
      <c r="K98" s="208"/>
      <c r="L98" s="193"/>
      <c r="M98" s="110"/>
      <c r="N98" s="110"/>
      <c r="O98" s="110"/>
      <c r="P98" s="110"/>
      <c r="Q98" s="193"/>
      <c r="R98" s="250"/>
      <c r="S98" s="250"/>
      <c r="T98" s="250"/>
      <c r="U98" s="250"/>
      <c r="V98" s="557"/>
      <c r="W98" s="110"/>
      <c r="X98" s="110"/>
      <c r="Y98" s="110"/>
      <c r="Z98" s="110"/>
      <c r="AA98" s="276"/>
      <c r="AB98" s="110"/>
      <c r="AC98" s="110"/>
      <c r="AD98" s="110"/>
      <c r="AE98" s="110"/>
      <c r="AF98" s="276"/>
      <c r="AG98" s="110"/>
      <c r="AH98" s="110"/>
      <c r="AI98" s="110"/>
      <c r="AJ98" s="110"/>
      <c r="AK98" s="276"/>
      <c r="AL98" s="110"/>
      <c r="AM98" s="110"/>
      <c r="AN98" s="110"/>
      <c r="AO98" s="111"/>
      <c r="AP98" s="193"/>
      <c r="AQ98" s="111"/>
      <c r="AR98" s="110"/>
      <c r="AS98" s="111"/>
      <c r="AT98" s="111"/>
      <c r="AU98" s="193"/>
      <c r="AV98" s="111"/>
      <c r="AW98" s="111"/>
      <c r="AX98" s="111"/>
      <c r="AY98" s="111"/>
      <c r="AZ98" s="193"/>
      <c r="BA98" s="111"/>
      <c r="BB98" s="111"/>
      <c r="BC98" s="111"/>
      <c r="BD98" s="111"/>
      <c r="BE98" s="193"/>
      <c r="BF98" s="111"/>
      <c r="BG98" s="111"/>
      <c r="BH98" s="111"/>
      <c r="BI98" s="111"/>
      <c r="BJ98" s="193"/>
      <c r="BK98" s="111"/>
      <c r="BL98" s="111"/>
      <c r="BM98" s="111"/>
      <c r="BN98" s="111"/>
      <c r="BO98" s="193"/>
      <c r="BP98" s="111"/>
      <c r="BQ98" s="111"/>
      <c r="BR98" s="111"/>
      <c r="BS98" s="111"/>
      <c r="BT98" s="193"/>
      <c r="BU98" s="111"/>
      <c r="BV98" s="111"/>
      <c r="BW98" s="111"/>
      <c r="BX98" s="111"/>
      <c r="BY98" s="193"/>
      <c r="BZ98" s="111"/>
      <c r="CA98" s="111"/>
      <c r="CB98" s="111"/>
      <c r="CC98" s="111"/>
      <c r="CD98" s="193"/>
      <c r="CE98" s="111"/>
      <c r="CF98" s="111"/>
      <c r="CG98" s="111"/>
      <c r="CH98" s="111"/>
      <c r="CI98" s="193"/>
      <c r="CJ98" s="111"/>
      <c r="CK98" s="111"/>
      <c r="CL98" s="111"/>
      <c r="CM98" s="111"/>
      <c r="CN98" s="193"/>
      <c r="CO98" s="111"/>
      <c r="CP98" s="111"/>
      <c r="CQ98" s="111"/>
      <c r="CR98" s="111"/>
      <c r="CS98" s="193"/>
      <c r="CT98" s="111"/>
      <c r="CU98" s="111"/>
      <c r="CV98" s="111"/>
      <c r="CW98" s="111"/>
      <c r="CX98" s="193"/>
      <c r="CY98" s="111"/>
      <c r="CZ98" s="111"/>
      <c r="DA98" s="111"/>
      <c r="DB98" s="111"/>
      <c r="DC98" s="193"/>
      <c r="DD98" s="111"/>
      <c r="DE98" s="111"/>
      <c r="DF98" s="111"/>
      <c r="DG98" s="111"/>
      <c r="DH98" s="193"/>
    </row>
    <row r="99" spans="1:112" hidden="1" outlineLevel="2" x14ac:dyDescent="0.2">
      <c r="A99" s="102" t="s">
        <v>246</v>
      </c>
      <c r="B99" s="54"/>
      <c r="C99" s="208"/>
      <c r="D99" s="208"/>
      <c r="E99" s="208"/>
      <c r="F99" s="208"/>
      <c r="G99" s="193"/>
      <c r="H99" s="208"/>
      <c r="I99" s="208"/>
      <c r="J99" s="208"/>
      <c r="K99" s="208"/>
      <c r="L99" s="193"/>
      <c r="M99" s="110"/>
      <c r="N99" s="110"/>
      <c r="O99" s="110"/>
      <c r="P99" s="110"/>
      <c r="Q99" s="193"/>
      <c r="R99" s="250"/>
      <c r="S99" s="250"/>
      <c r="T99" s="250"/>
      <c r="U99" s="250"/>
      <c r="V99" s="557"/>
      <c r="W99" s="110"/>
      <c r="X99" s="110"/>
      <c r="Y99" s="110"/>
      <c r="Z99" s="110"/>
      <c r="AA99" s="193"/>
      <c r="AB99" s="110"/>
      <c r="AC99" s="110"/>
      <c r="AD99" s="110"/>
      <c r="AE99" s="110"/>
      <c r="AF99" s="193"/>
      <c r="AG99" s="110"/>
      <c r="AH99" s="110"/>
      <c r="AI99" s="110"/>
      <c r="AJ99" s="111"/>
      <c r="AK99" s="193"/>
      <c r="AL99" s="111"/>
      <c r="AM99" s="110"/>
      <c r="AN99" s="110"/>
      <c r="AO99" s="111"/>
      <c r="AP99" s="193"/>
      <c r="AQ99" s="111"/>
      <c r="AR99" s="110"/>
      <c r="AS99" s="111"/>
      <c r="AT99" s="111"/>
      <c r="AU99" s="193"/>
      <c r="AV99" s="111"/>
      <c r="AW99" s="111"/>
      <c r="AX99" s="111"/>
      <c r="AY99" s="111"/>
      <c r="AZ99" s="193"/>
      <c r="BA99" s="111"/>
      <c r="BB99" s="111"/>
      <c r="BC99" s="111"/>
      <c r="BD99" s="111"/>
      <c r="BE99" s="193"/>
      <c r="BF99" s="111"/>
      <c r="BG99" s="111"/>
      <c r="BH99" s="111"/>
      <c r="BI99" s="111"/>
      <c r="BJ99" s="193"/>
      <c r="BK99" s="111"/>
      <c r="BL99" s="111"/>
      <c r="BM99" s="111"/>
      <c r="BN99" s="111"/>
      <c r="BO99" s="193"/>
      <c r="BP99" s="111"/>
      <c r="BQ99" s="111"/>
      <c r="BR99" s="111"/>
      <c r="BS99" s="111"/>
      <c r="BT99" s="193"/>
      <c r="BU99" s="111"/>
      <c r="BV99" s="111"/>
      <c r="BW99" s="111"/>
      <c r="BX99" s="111"/>
      <c r="BY99" s="193"/>
      <c r="BZ99" s="111"/>
      <c r="CA99" s="111"/>
      <c r="CB99" s="111"/>
      <c r="CC99" s="111"/>
      <c r="CD99" s="193"/>
      <c r="CE99" s="111"/>
      <c r="CF99" s="111"/>
      <c r="CG99" s="111"/>
      <c r="CH99" s="111"/>
      <c r="CI99" s="193"/>
      <c r="CJ99" s="111"/>
      <c r="CK99" s="111"/>
      <c r="CL99" s="111"/>
      <c r="CM99" s="111"/>
      <c r="CN99" s="193"/>
      <c r="CO99" s="111"/>
      <c r="CP99" s="111"/>
      <c r="CQ99" s="111"/>
      <c r="CR99" s="111"/>
      <c r="CS99" s="193"/>
      <c r="CT99" s="111"/>
      <c r="CU99" s="111"/>
      <c r="CV99" s="111"/>
      <c r="CW99" s="111"/>
      <c r="CX99" s="193"/>
      <c r="CY99" s="111"/>
      <c r="CZ99" s="111"/>
      <c r="DA99" s="111"/>
      <c r="DB99" s="111"/>
      <c r="DC99" s="193"/>
      <c r="DD99" s="111"/>
      <c r="DE99" s="111"/>
      <c r="DF99" s="111"/>
      <c r="DG99" s="111"/>
      <c r="DH99" s="193"/>
    </row>
    <row r="100" spans="1:112" hidden="1" outlineLevel="2" x14ac:dyDescent="0.2">
      <c r="A100" s="109" t="s">
        <v>232</v>
      </c>
      <c r="B100" s="54"/>
      <c r="C100" s="208"/>
      <c r="D100" s="208"/>
      <c r="E100" s="208"/>
      <c r="F100" s="208"/>
      <c r="G100" s="193"/>
      <c r="H100" s="208"/>
      <c r="I100" s="208"/>
      <c r="J100" s="208"/>
      <c r="K100" s="208"/>
      <c r="L100" s="193"/>
      <c r="M100" s="110"/>
      <c r="N100" s="110"/>
      <c r="O100" s="110"/>
      <c r="P100" s="110"/>
      <c r="Q100" s="193"/>
      <c r="R100" s="250"/>
      <c r="S100" s="250"/>
      <c r="T100" s="250"/>
      <c r="U100" s="250"/>
      <c r="V100" s="557"/>
      <c r="W100" s="110"/>
      <c r="X100" s="110"/>
      <c r="Y100" s="110"/>
      <c r="Z100" s="110"/>
      <c r="AA100" s="193"/>
      <c r="AB100" s="110"/>
      <c r="AC100" s="110"/>
      <c r="AD100" s="110"/>
      <c r="AE100" s="110"/>
      <c r="AF100" s="193"/>
      <c r="AG100" s="110"/>
      <c r="AH100" s="110"/>
      <c r="AI100" s="110"/>
      <c r="AJ100" s="111"/>
      <c r="AK100" s="193"/>
      <c r="AL100" s="111"/>
      <c r="AM100" s="110"/>
      <c r="AN100" s="110"/>
      <c r="AO100" s="111"/>
      <c r="AP100" s="193"/>
      <c r="AQ100" s="111"/>
      <c r="AR100" s="110"/>
      <c r="AS100" s="111"/>
      <c r="AT100" s="111"/>
      <c r="AU100" s="193"/>
      <c r="AV100" s="111"/>
      <c r="AW100" s="111"/>
      <c r="AX100" s="111"/>
      <c r="AY100" s="111"/>
      <c r="AZ100" s="193"/>
      <c r="BA100" s="111"/>
      <c r="BB100" s="111"/>
      <c r="BC100" s="111"/>
      <c r="BD100" s="111"/>
      <c r="BE100" s="193"/>
      <c r="BF100" s="111"/>
      <c r="BG100" s="111"/>
      <c r="BH100" s="111"/>
      <c r="BI100" s="111"/>
      <c r="BJ100" s="193"/>
      <c r="BK100" s="111"/>
      <c r="BL100" s="111"/>
      <c r="BM100" s="111"/>
      <c r="BN100" s="111"/>
      <c r="BO100" s="193"/>
      <c r="BP100" s="111"/>
      <c r="BQ100" s="111"/>
      <c r="BR100" s="111"/>
      <c r="BS100" s="111"/>
      <c r="BT100" s="193"/>
      <c r="BU100" s="111"/>
      <c r="BV100" s="111"/>
      <c r="BW100" s="111"/>
      <c r="BX100" s="111"/>
      <c r="BY100" s="193"/>
      <c r="BZ100" s="111"/>
      <c r="CA100" s="111"/>
      <c r="CB100" s="111"/>
      <c r="CC100" s="111"/>
      <c r="CD100" s="193"/>
      <c r="CE100" s="111"/>
      <c r="CF100" s="111"/>
      <c r="CG100" s="111"/>
      <c r="CH100" s="111"/>
      <c r="CI100" s="193"/>
      <c r="CJ100" s="111"/>
      <c r="CK100" s="111"/>
      <c r="CL100" s="111"/>
      <c r="CM100" s="111"/>
      <c r="CN100" s="193"/>
      <c r="CO100" s="111"/>
      <c r="CP100" s="111"/>
      <c r="CQ100" s="111"/>
      <c r="CR100" s="111"/>
      <c r="CS100" s="193"/>
      <c r="CT100" s="111"/>
      <c r="CU100" s="111"/>
      <c r="CV100" s="111"/>
      <c r="CW100" s="111"/>
      <c r="CX100" s="193"/>
      <c r="CY100" s="111"/>
      <c r="CZ100" s="111"/>
      <c r="DA100" s="111"/>
      <c r="DB100" s="111"/>
      <c r="DC100" s="193"/>
      <c r="DD100" s="111"/>
      <c r="DE100" s="111"/>
      <c r="DF100" s="111"/>
      <c r="DG100" s="111"/>
      <c r="DH100" s="193"/>
    </row>
    <row r="101" spans="1:112" hidden="1" outlineLevel="2" x14ac:dyDescent="0.2">
      <c r="A101" s="109" t="s">
        <v>230</v>
      </c>
      <c r="B101" s="238">
        <v>7.0000000000000007E-2</v>
      </c>
      <c r="C101" s="208"/>
      <c r="D101" s="208"/>
      <c r="E101" s="208"/>
      <c r="F101" s="208"/>
      <c r="G101" s="193"/>
      <c r="H101" s="110">
        <v>0.04</v>
      </c>
      <c r="I101" s="110">
        <v>0.03</v>
      </c>
      <c r="J101" s="110">
        <v>-0.15</v>
      </c>
      <c r="K101" s="110">
        <v>-0.05</v>
      </c>
      <c r="L101" s="193">
        <v>-0.04</v>
      </c>
      <c r="M101" s="110">
        <v>0.11</v>
      </c>
      <c r="N101" s="110">
        <v>0.04</v>
      </c>
      <c r="O101" s="110">
        <v>0.14000000000000001</v>
      </c>
      <c r="P101" s="110">
        <v>0</v>
      </c>
      <c r="Q101" s="193">
        <v>0.08</v>
      </c>
      <c r="R101" s="250">
        <v>-0.13</v>
      </c>
      <c r="S101" s="250">
        <v>-0.02</v>
      </c>
      <c r="T101" s="250">
        <v>0.21</v>
      </c>
      <c r="U101" s="250">
        <v>0.21</v>
      </c>
      <c r="V101" s="557">
        <v>0.06</v>
      </c>
      <c r="W101" s="110">
        <v>0</v>
      </c>
      <c r="X101" s="110">
        <v>7.0000000000000007E-2</v>
      </c>
      <c r="Y101" s="110">
        <v>-0.13</v>
      </c>
      <c r="Z101" s="110">
        <v>-7.0000000000000007E-2</v>
      </c>
      <c r="AA101" s="193">
        <v>-0.04</v>
      </c>
      <c r="AB101" s="300" t="s">
        <v>221</v>
      </c>
      <c r="AC101" s="300" t="s">
        <v>221</v>
      </c>
      <c r="AD101" s="300" t="s">
        <v>221</v>
      </c>
      <c r="AE101" s="300" t="s">
        <v>221</v>
      </c>
      <c r="AF101" s="405" t="s">
        <v>221</v>
      </c>
      <c r="AG101" s="300" t="s">
        <v>221</v>
      </c>
      <c r="AH101" s="300" t="s">
        <v>221</v>
      </c>
      <c r="AI101" s="300" t="s">
        <v>221</v>
      </c>
      <c r="AJ101" s="300" t="s">
        <v>221</v>
      </c>
      <c r="AK101" s="405" t="s">
        <v>221</v>
      </c>
      <c r="AL101" s="300"/>
      <c r="AM101" s="300"/>
      <c r="AN101" s="300"/>
      <c r="AO101" s="300"/>
      <c r="AP101" s="193"/>
      <c r="AQ101" s="111"/>
      <c r="AR101" s="110"/>
      <c r="AS101" s="111"/>
      <c r="AT101" s="111"/>
      <c r="AU101" s="193"/>
      <c r="AV101" s="111"/>
      <c r="AW101" s="111"/>
      <c r="AX101" s="111"/>
      <c r="AY101" s="111"/>
      <c r="AZ101" s="193"/>
      <c r="BA101" s="111"/>
      <c r="BB101" s="111"/>
      <c r="BC101" s="111"/>
      <c r="BD101" s="111"/>
      <c r="BE101" s="193"/>
      <c r="BF101" s="111"/>
      <c r="BG101" s="111"/>
      <c r="BH101" s="111"/>
      <c r="BI101" s="111"/>
      <c r="BJ101" s="193"/>
      <c r="BK101" s="111"/>
      <c r="BL101" s="111"/>
      <c r="BM101" s="111"/>
      <c r="BN101" s="111"/>
      <c r="BO101" s="193"/>
      <c r="BP101" s="111"/>
      <c r="BQ101" s="111"/>
      <c r="BR101" s="111"/>
      <c r="BS101" s="111"/>
      <c r="BT101" s="193"/>
      <c r="BU101" s="111"/>
      <c r="BV101" s="111"/>
      <c r="BW101" s="111"/>
      <c r="BX101" s="111"/>
      <c r="BY101" s="193"/>
      <c r="BZ101" s="111"/>
      <c r="CA101" s="111"/>
      <c r="CB101" s="111"/>
      <c r="CC101" s="111"/>
      <c r="CD101" s="193"/>
      <c r="CE101" s="111"/>
      <c r="CF101" s="111"/>
      <c r="CG101" s="111"/>
      <c r="CH101" s="111"/>
      <c r="CI101" s="193"/>
      <c r="CJ101" s="111"/>
      <c r="CK101" s="111"/>
      <c r="CL101" s="111"/>
      <c r="CM101" s="111"/>
      <c r="CN101" s="193"/>
      <c r="CO101" s="111"/>
      <c r="CP101" s="111"/>
      <c r="CQ101" s="111"/>
      <c r="CR101" s="111"/>
      <c r="CS101" s="193"/>
      <c r="CT101" s="111"/>
      <c r="CU101" s="111"/>
      <c r="CV101" s="111"/>
      <c r="CW101" s="111"/>
      <c r="CX101" s="193"/>
      <c r="CY101" s="111"/>
      <c r="CZ101" s="111"/>
      <c r="DA101" s="111"/>
      <c r="DB101" s="111"/>
      <c r="DC101" s="193"/>
      <c r="DD101" s="111"/>
      <c r="DE101" s="111"/>
      <c r="DF101" s="111"/>
      <c r="DG101" s="111"/>
      <c r="DH101" s="193"/>
    </row>
    <row r="102" spans="1:112" hidden="1" outlineLevel="2" x14ac:dyDescent="0.2">
      <c r="A102" s="109" t="s">
        <v>206</v>
      </c>
      <c r="B102" s="100"/>
      <c r="C102" s="208"/>
      <c r="D102" s="208"/>
      <c r="E102" s="208"/>
      <c r="F102" s="208"/>
      <c r="G102" s="193"/>
      <c r="H102" s="110"/>
      <c r="I102" s="110"/>
      <c r="J102" s="110"/>
      <c r="K102" s="110"/>
      <c r="L102" s="193"/>
      <c r="M102" s="110"/>
      <c r="N102" s="110"/>
      <c r="O102" s="110"/>
      <c r="P102" s="110"/>
      <c r="Q102" s="193"/>
      <c r="R102" s="166"/>
      <c r="S102" s="166"/>
      <c r="T102" s="166"/>
      <c r="U102" s="166"/>
      <c r="V102" s="183"/>
      <c r="W102" s="166"/>
      <c r="X102" s="110"/>
      <c r="Y102" s="110"/>
      <c r="Z102" s="110"/>
      <c r="AA102" s="193"/>
      <c r="AB102" s="110"/>
      <c r="AC102" s="110"/>
      <c r="AD102" s="110"/>
      <c r="AE102" s="110"/>
      <c r="AF102" s="276"/>
      <c r="AG102" s="110"/>
      <c r="AH102" s="110"/>
      <c r="AI102" s="110"/>
      <c r="AJ102" s="110"/>
      <c r="AK102" s="276"/>
      <c r="AL102" s="110"/>
      <c r="AM102" s="110"/>
      <c r="AN102" s="110"/>
      <c r="AO102" s="110"/>
      <c r="AP102" s="193"/>
      <c r="AQ102" s="111"/>
      <c r="AR102" s="110"/>
      <c r="AS102" s="111"/>
      <c r="AT102" s="111"/>
      <c r="AU102" s="193"/>
      <c r="AV102" s="111"/>
      <c r="AW102" s="111"/>
      <c r="AX102" s="111"/>
      <c r="AY102" s="111"/>
      <c r="AZ102" s="193"/>
      <c r="BA102" s="111"/>
      <c r="BB102" s="111"/>
      <c r="BC102" s="111"/>
      <c r="BD102" s="111"/>
      <c r="BE102" s="193"/>
      <c r="BF102" s="111"/>
      <c r="BG102" s="111"/>
      <c r="BH102" s="111"/>
      <c r="BI102" s="111"/>
      <c r="BJ102" s="193"/>
      <c r="BK102" s="111"/>
      <c r="BL102" s="111"/>
      <c r="BM102" s="111"/>
      <c r="BN102" s="111"/>
      <c r="BO102" s="193"/>
      <c r="BP102" s="111"/>
      <c r="BQ102" s="111"/>
      <c r="BR102" s="111"/>
      <c r="BS102" s="111"/>
      <c r="BT102" s="193"/>
      <c r="BU102" s="111"/>
      <c r="BV102" s="111"/>
      <c r="BW102" s="111"/>
      <c r="BX102" s="111"/>
      <c r="BY102" s="193"/>
      <c r="BZ102" s="111"/>
      <c r="CA102" s="111"/>
      <c r="CB102" s="111"/>
      <c r="CC102" s="111"/>
      <c r="CD102" s="193"/>
      <c r="CE102" s="111"/>
      <c r="CF102" s="111"/>
      <c r="CG102" s="111"/>
      <c r="CH102" s="111"/>
      <c r="CI102" s="193"/>
      <c r="CJ102" s="111"/>
      <c r="CK102" s="111"/>
      <c r="CL102" s="111"/>
      <c r="CM102" s="111"/>
      <c r="CN102" s="193"/>
      <c r="CO102" s="111"/>
      <c r="CP102" s="111"/>
      <c r="CQ102" s="111"/>
      <c r="CR102" s="111"/>
      <c r="CS102" s="193"/>
      <c r="CT102" s="111"/>
      <c r="CU102" s="111"/>
      <c r="CV102" s="111"/>
      <c r="CW102" s="111"/>
      <c r="CX102" s="193"/>
      <c r="CY102" s="111"/>
      <c r="CZ102" s="111"/>
      <c r="DA102" s="111"/>
      <c r="DB102" s="111"/>
      <c r="DC102" s="193"/>
      <c r="DD102" s="111"/>
      <c r="DE102" s="111"/>
      <c r="DF102" s="111"/>
      <c r="DG102" s="111"/>
      <c r="DH102" s="193"/>
    </row>
    <row r="103" spans="1:112" hidden="1" outlineLevel="2" x14ac:dyDescent="0.2">
      <c r="A103" s="248" t="s">
        <v>230</v>
      </c>
      <c r="B103" s="254">
        <v>0.06</v>
      </c>
      <c r="C103" s="544"/>
      <c r="D103" s="544"/>
      <c r="E103" s="544"/>
      <c r="F103" s="544"/>
      <c r="G103" s="277"/>
      <c r="H103" s="113">
        <v>0.26</v>
      </c>
      <c r="I103" s="113">
        <v>7.0000000000000007E-2</v>
      </c>
      <c r="J103" s="113">
        <v>-0.01</v>
      </c>
      <c r="K103" s="113">
        <v>0.01</v>
      </c>
      <c r="L103" s="277">
        <v>7.0000000000000007E-2</v>
      </c>
      <c r="M103" s="113">
        <v>0</v>
      </c>
      <c r="N103" s="113">
        <v>-0.01</v>
      </c>
      <c r="O103" s="113">
        <v>7.0000000000000007E-2</v>
      </c>
      <c r="P103" s="113">
        <v>-0.03</v>
      </c>
      <c r="Q103" s="277">
        <v>0.01</v>
      </c>
      <c r="R103" s="547">
        <v>-0.11</v>
      </c>
      <c r="S103" s="547">
        <v>-0.05</v>
      </c>
      <c r="T103" s="547">
        <v>-0.02</v>
      </c>
      <c r="U103" s="547">
        <v>-0.11</v>
      </c>
      <c r="V103" s="558">
        <v>-7.0000000000000007E-2</v>
      </c>
      <c r="W103" s="113">
        <v>-0.12</v>
      </c>
      <c r="X103" s="113">
        <v>-0.04</v>
      </c>
      <c r="Y103" s="113">
        <v>0.01</v>
      </c>
      <c r="Z103" s="113">
        <v>-0.06</v>
      </c>
      <c r="AA103" s="277">
        <v>-0.05</v>
      </c>
      <c r="AB103" s="307" t="s">
        <v>221</v>
      </c>
      <c r="AC103" s="307" t="s">
        <v>221</v>
      </c>
      <c r="AD103" s="307" t="s">
        <v>221</v>
      </c>
      <c r="AE103" s="307" t="s">
        <v>221</v>
      </c>
      <c r="AF103" s="406" t="s">
        <v>221</v>
      </c>
      <c r="AG103" s="307" t="s">
        <v>221</v>
      </c>
      <c r="AH103" s="307" t="s">
        <v>221</v>
      </c>
      <c r="AI103" s="307" t="s">
        <v>221</v>
      </c>
      <c r="AJ103" s="307" t="s">
        <v>221</v>
      </c>
      <c r="AK103" s="406" t="s">
        <v>221</v>
      </c>
      <c r="AL103" s="307"/>
      <c r="AM103" s="307"/>
      <c r="AN103" s="307"/>
      <c r="AO103" s="307"/>
      <c r="AP103" s="277"/>
      <c r="AQ103" s="112"/>
      <c r="AR103" s="113"/>
      <c r="AS103" s="112"/>
      <c r="AT103" s="112"/>
      <c r="AU103" s="277"/>
      <c r="AV103" s="112"/>
      <c r="AW103" s="112"/>
      <c r="AX103" s="112"/>
      <c r="AY103" s="112"/>
      <c r="AZ103" s="277"/>
      <c r="BA103" s="112"/>
      <c r="BB103" s="112"/>
      <c r="BC103" s="112"/>
      <c r="BD103" s="112"/>
      <c r="BE103" s="277"/>
      <c r="BF103" s="112"/>
      <c r="BG103" s="112"/>
      <c r="BH103" s="112"/>
      <c r="BI103" s="112"/>
      <c r="BJ103" s="277"/>
      <c r="BK103" s="112"/>
      <c r="BL103" s="112"/>
      <c r="BM103" s="112"/>
      <c r="BN103" s="112"/>
      <c r="BO103" s="277"/>
      <c r="BP103" s="112"/>
      <c r="BQ103" s="112"/>
      <c r="BR103" s="112"/>
      <c r="BS103" s="112"/>
      <c r="BT103" s="277"/>
      <c r="BU103" s="112"/>
      <c r="BV103" s="112"/>
      <c r="BW103" s="112"/>
      <c r="BX103" s="112"/>
      <c r="BY103" s="277"/>
      <c r="BZ103" s="112"/>
      <c r="CA103" s="112"/>
      <c r="CB103" s="112"/>
      <c r="CC103" s="112"/>
      <c r="CD103" s="277"/>
      <c r="CE103" s="112"/>
      <c r="CF103" s="112"/>
      <c r="CG103" s="112"/>
      <c r="CH103" s="112"/>
      <c r="CI103" s="277"/>
      <c r="CJ103" s="112"/>
      <c r="CK103" s="112"/>
      <c r="CL103" s="112"/>
      <c r="CM103" s="112"/>
      <c r="CN103" s="277"/>
      <c r="CO103" s="112"/>
      <c r="CP103" s="112"/>
      <c r="CQ103" s="112"/>
      <c r="CR103" s="112"/>
      <c r="CS103" s="277"/>
      <c r="CT103" s="112"/>
      <c r="CU103" s="112"/>
      <c r="CV103" s="112"/>
      <c r="CW103" s="112"/>
      <c r="CX103" s="277"/>
      <c r="CY103" s="112"/>
      <c r="CZ103" s="112"/>
      <c r="DA103" s="112"/>
      <c r="DB103" s="112"/>
      <c r="DC103" s="277"/>
      <c r="DD103" s="112"/>
      <c r="DE103" s="112"/>
      <c r="DF103" s="112"/>
      <c r="DG103" s="112"/>
      <c r="DH103" s="277"/>
    </row>
    <row r="104" spans="1:112" hidden="1" outlineLevel="2" x14ac:dyDescent="0.2">
      <c r="A104" s="102" t="s">
        <v>247</v>
      </c>
      <c r="B104" s="239">
        <f>SUM(B101,B103)</f>
        <v>0.13</v>
      </c>
      <c r="C104" s="302"/>
      <c r="D104" s="302"/>
      <c r="E104" s="302"/>
      <c r="F104" s="302"/>
      <c r="G104" s="194"/>
      <c r="H104" s="174">
        <f t="shared" ref="H104:AA104" si="156">((H101*$B$101)+(H103*$B$103))/$B$104</f>
        <v>0.14153846153846153</v>
      </c>
      <c r="I104" s="174">
        <f t="shared" si="156"/>
        <v>4.8461538461538466E-2</v>
      </c>
      <c r="J104" s="174">
        <f t="shared" si="156"/>
        <v>-8.5384615384615392E-2</v>
      </c>
      <c r="K104" s="174">
        <f t="shared" si="156"/>
        <v>-2.2307692307692313E-2</v>
      </c>
      <c r="L104" s="408">
        <f t="shared" si="156"/>
        <v>1.0769230769230771E-2</v>
      </c>
      <c r="M104" s="174">
        <f t="shared" si="156"/>
        <v>5.923076923076924E-2</v>
      </c>
      <c r="N104" s="174">
        <f t="shared" si="156"/>
        <v>1.6923076923076926E-2</v>
      </c>
      <c r="O104" s="174">
        <f t="shared" si="156"/>
        <v>0.1076923076923077</v>
      </c>
      <c r="P104" s="174">
        <f t="shared" si="156"/>
        <v>-1.3846153846153845E-2</v>
      </c>
      <c r="Q104" s="408">
        <f t="shared" si="156"/>
        <v>4.7692307692307694E-2</v>
      </c>
      <c r="R104" s="174">
        <f t="shared" si="156"/>
        <v>-0.12076923076923075</v>
      </c>
      <c r="S104" s="174">
        <f t="shared" si="156"/>
        <v>-3.3846153846153845E-2</v>
      </c>
      <c r="T104" s="174">
        <f t="shared" si="156"/>
        <v>0.10384615384615385</v>
      </c>
      <c r="U104" s="174">
        <f t="shared" si="156"/>
        <v>6.2307692307692314E-2</v>
      </c>
      <c r="V104" s="408">
        <f t="shared" si="156"/>
        <v>0</v>
      </c>
      <c r="W104" s="174">
        <f t="shared" si="156"/>
        <v>-5.5384615384615379E-2</v>
      </c>
      <c r="X104" s="174">
        <f t="shared" si="156"/>
        <v>1.9230769230769239E-2</v>
      </c>
      <c r="Y104" s="174">
        <f t="shared" si="156"/>
        <v>-6.5384615384615388E-2</v>
      </c>
      <c r="Z104" s="174">
        <f t="shared" si="156"/>
        <v>-6.5384615384615388E-2</v>
      </c>
      <c r="AA104" s="408">
        <f t="shared" si="156"/>
        <v>-4.4615384615384619E-2</v>
      </c>
      <c r="AB104" s="165">
        <v>0.05</v>
      </c>
      <c r="AC104" s="165">
        <v>0</v>
      </c>
      <c r="AD104" s="165">
        <v>-0.15</v>
      </c>
      <c r="AE104" s="165">
        <v>0.03</v>
      </c>
      <c r="AF104" s="194">
        <v>-0.02</v>
      </c>
      <c r="AG104" s="165">
        <v>-0.05</v>
      </c>
      <c r="AH104" s="165">
        <v>-0.03</v>
      </c>
      <c r="AI104" s="165">
        <v>0.11</v>
      </c>
      <c r="AJ104" s="165">
        <v>0.04</v>
      </c>
      <c r="AK104" s="194">
        <v>0.02</v>
      </c>
      <c r="AL104" s="172"/>
      <c r="AM104" s="165"/>
      <c r="AN104" s="165"/>
      <c r="AO104" s="172"/>
      <c r="AP104" s="194"/>
      <c r="AQ104" s="172"/>
      <c r="AR104" s="165"/>
      <c r="AS104" s="172"/>
      <c r="AT104" s="172"/>
      <c r="AU104" s="194"/>
      <c r="AV104" s="172"/>
      <c r="AW104" s="172"/>
      <c r="AX104" s="172"/>
      <c r="AY104" s="172"/>
      <c r="AZ104" s="194"/>
      <c r="BA104" s="172"/>
      <c r="BB104" s="172"/>
      <c r="BC104" s="172"/>
      <c r="BD104" s="172"/>
      <c r="BE104" s="194"/>
      <c r="BF104" s="172"/>
      <c r="BG104" s="172"/>
      <c r="BH104" s="172"/>
      <c r="BI104" s="172"/>
      <c r="BJ104" s="194"/>
      <c r="BK104" s="172"/>
      <c r="BL104" s="172"/>
      <c r="BM104" s="172"/>
      <c r="BN104" s="172"/>
      <c r="BO104" s="194"/>
      <c r="BP104" s="172"/>
      <c r="BQ104" s="172"/>
      <c r="BR104" s="172"/>
      <c r="BS104" s="172"/>
      <c r="BT104" s="194"/>
      <c r="BU104" s="172"/>
      <c r="BV104" s="172"/>
      <c r="BW104" s="172"/>
      <c r="BX104" s="172"/>
      <c r="BY104" s="194"/>
      <c r="BZ104" s="172"/>
      <c r="CA104" s="172"/>
      <c r="CB104" s="172"/>
      <c r="CC104" s="172"/>
      <c r="CD104" s="194"/>
      <c r="CE104" s="172"/>
      <c r="CF104" s="172"/>
      <c r="CG104" s="172"/>
      <c r="CH104" s="172"/>
      <c r="CI104" s="194"/>
      <c r="CJ104" s="172"/>
      <c r="CK104" s="172"/>
      <c r="CL104" s="172"/>
      <c r="CM104" s="172"/>
      <c r="CN104" s="194"/>
      <c r="CO104" s="172"/>
      <c r="CP104" s="172"/>
      <c r="CQ104" s="172"/>
      <c r="CR104" s="172"/>
      <c r="CS104" s="194"/>
      <c r="CT104" s="172"/>
      <c r="CU104" s="172"/>
      <c r="CV104" s="172"/>
      <c r="CW104" s="172"/>
      <c r="CX104" s="194"/>
      <c r="CY104" s="172"/>
      <c r="CZ104" s="172"/>
      <c r="DA104" s="172"/>
      <c r="DB104" s="172"/>
      <c r="DC104" s="194"/>
      <c r="DD104" s="172"/>
      <c r="DE104" s="172"/>
      <c r="DF104" s="172"/>
      <c r="DG104" s="172"/>
      <c r="DH104" s="194"/>
    </row>
    <row r="105" spans="1:112" hidden="1" outlineLevel="2" x14ac:dyDescent="0.2">
      <c r="A105" s="109" t="s">
        <v>91</v>
      </c>
      <c r="B105" s="239"/>
      <c r="C105" s="302"/>
      <c r="D105" s="302"/>
      <c r="E105" s="302"/>
      <c r="F105" s="302"/>
      <c r="G105" s="194"/>
      <c r="H105" s="379" t="s">
        <v>221</v>
      </c>
      <c r="I105" s="379" t="s">
        <v>221</v>
      </c>
      <c r="J105" s="379" t="s">
        <v>221</v>
      </c>
      <c r="K105" s="379" t="s">
        <v>221</v>
      </c>
      <c r="L105" s="487" t="s">
        <v>221</v>
      </c>
      <c r="M105" s="379" t="s">
        <v>221</v>
      </c>
      <c r="N105" s="379" t="s">
        <v>221</v>
      </c>
      <c r="O105" s="379" t="s">
        <v>221</v>
      </c>
      <c r="P105" s="379" t="s">
        <v>221</v>
      </c>
      <c r="Q105" s="487" t="s">
        <v>221</v>
      </c>
      <c r="R105" s="379" t="s">
        <v>221</v>
      </c>
      <c r="S105" s="379" t="s">
        <v>221</v>
      </c>
      <c r="T105" s="379" t="s">
        <v>221</v>
      </c>
      <c r="U105" s="379" t="s">
        <v>221</v>
      </c>
      <c r="V105" s="487" t="s">
        <v>221</v>
      </c>
      <c r="W105" s="174">
        <f>W106-W104</f>
        <v>1.5384615384615379E-2</v>
      </c>
      <c r="X105" s="174">
        <f t="shared" ref="X105:AK105" si="157">X106-X104</f>
        <v>2.0769230769230762E-2</v>
      </c>
      <c r="Y105" s="174">
        <f t="shared" si="157"/>
        <v>6.5384615384615388E-2</v>
      </c>
      <c r="Z105" s="174">
        <f t="shared" si="157"/>
        <v>4.5384615384615384E-2</v>
      </c>
      <c r="AA105" s="408">
        <f t="shared" si="157"/>
        <v>3.4615384615384617E-2</v>
      </c>
      <c r="AB105" s="174">
        <f t="shared" si="157"/>
        <v>0.03</v>
      </c>
      <c r="AC105" s="174">
        <f t="shared" si="157"/>
        <v>0.05</v>
      </c>
      <c r="AD105" s="174">
        <f t="shared" si="157"/>
        <v>0.10999999999999999</v>
      </c>
      <c r="AE105" s="174">
        <f t="shared" si="157"/>
        <v>0.1</v>
      </c>
      <c r="AF105" s="408">
        <f t="shared" si="157"/>
        <v>7.0000000000000007E-2</v>
      </c>
      <c r="AG105" s="174">
        <f t="shared" si="157"/>
        <v>0.11</v>
      </c>
      <c r="AH105" s="174">
        <f t="shared" si="157"/>
        <v>0.04</v>
      </c>
      <c r="AI105" s="174">
        <f t="shared" si="157"/>
        <v>-0.03</v>
      </c>
      <c r="AJ105" s="174">
        <f t="shared" si="157"/>
        <v>0</v>
      </c>
      <c r="AK105" s="408">
        <f t="shared" si="157"/>
        <v>3.0000000000000002E-2</v>
      </c>
      <c r="AL105" s="172"/>
      <c r="AM105" s="165"/>
      <c r="AN105" s="165"/>
      <c r="AO105" s="172"/>
      <c r="AP105" s="194"/>
      <c r="AQ105" s="172"/>
      <c r="AR105" s="165"/>
      <c r="AS105" s="172"/>
      <c r="AT105" s="172"/>
      <c r="AU105" s="194"/>
      <c r="AV105" s="172"/>
      <c r="AW105" s="172"/>
      <c r="AX105" s="172"/>
      <c r="AY105" s="172"/>
      <c r="AZ105" s="194"/>
      <c r="BA105" s="172"/>
      <c r="BB105" s="172"/>
      <c r="BC105" s="172"/>
      <c r="BD105" s="172"/>
      <c r="BE105" s="194"/>
      <c r="BF105" s="172"/>
      <c r="BG105" s="172"/>
      <c r="BH105" s="172"/>
      <c r="BI105" s="172"/>
      <c r="BJ105" s="194"/>
      <c r="BK105" s="172"/>
      <c r="BL105" s="172"/>
      <c r="BM105" s="172"/>
      <c r="BN105" s="172"/>
      <c r="BO105" s="194"/>
      <c r="BP105" s="172"/>
      <c r="BQ105" s="172"/>
      <c r="BR105" s="172"/>
      <c r="BS105" s="172"/>
      <c r="BT105" s="194"/>
      <c r="BU105" s="172"/>
      <c r="BV105" s="172"/>
      <c r="BW105" s="172"/>
      <c r="BX105" s="172"/>
      <c r="BY105" s="194"/>
      <c r="BZ105" s="172"/>
      <c r="CA105" s="172"/>
      <c r="CB105" s="172"/>
      <c r="CC105" s="172"/>
      <c r="CD105" s="194"/>
      <c r="CE105" s="172"/>
      <c r="CF105" s="172"/>
      <c r="CG105" s="172"/>
      <c r="CH105" s="172"/>
      <c r="CI105" s="194"/>
      <c r="CJ105" s="172"/>
      <c r="CK105" s="172"/>
      <c r="CL105" s="172"/>
      <c r="CM105" s="172"/>
      <c r="CN105" s="194"/>
      <c r="CO105" s="172"/>
      <c r="CP105" s="172"/>
      <c r="CQ105" s="172"/>
      <c r="CR105" s="172"/>
      <c r="CS105" s="194"/>
      <c r="CT105" s="172"/>
      <c r="CU105" s="172"/>
      <c r="CV105" s="172"/>
      <c r="CW105" s="172"/>
      <c r="CX105" s="194"/>
      <c r="CY105" s="172"/>
      <c r="CZ105" s="172"/>
      <c r="DA105" s="172"/>
      <c r="DB105" s="172"/>
      <c r="DC105" s="194"/>
      <c r="DD105" s="172"/>
      <c r="DE105" s="172"/>
      <c r="DF105" s="172"/>
      <c r="DG105" s="172"/>
      <c r="DH105" s="194"/>
    </row>
    <row r="106" spans="1:112" hidden="1" outlineLevel="2" x14ac:dyDescent="0.2">
      <c r="A106" s="182" t="s">
        <v>248</v>
      </c>
      <c r="B106" s="255"/>
      <c r="C106" s="543"/>
      <c r="D106" s="543"/>
      <c r="E106" s="543"/>
      <c r="F106" s="543"/>
      <c r="G106" s="278"/>
      <c r="H106" s="548" t="s">
        <v>221</v>
      </c>
      <c r="I106" s="548" t="s">
        <v>221</v>
      </c>
      <c r="J106" s="548" t="s">
        <v>221</v>
      </c>
      <c r="K106" s="548" t="s">
        <v>221</v>
      </c>
      <c r="L106" s="554" t="s">
        <v>221</v>
      </c>
      <c r="M106" s="548" t="s">
        <v>221</v>
      </c>
      <c r="N106" s="548" t="s">
        <v>221</v>
      </c>
      <c r="O106" s="548" t="s">
        <v>221</v>
      </c>
      <c r="P106" s="548" t="s">
        <v>221</v>
      </c>
      <c r="Q106" s="554" t="s">
        <v>221</v>
      </c>
      <c r="R106" s="548" t="s">
        <v>221</v>
      </c>
      <c r="S106" s="548" t="s">
        <v>221</v>
      </c>
      <c r="T106" s="548" t="s">
        <v>221</v>
      </c>
      <c r="U106" s="548" t="s">
        <v>221</v>
      </c>
      <c r="V106" s="554" t="s">
        <v>221</v>
      </c>
      <c r="W106" s="549">
        <v>-0.04</v>
      </c>
      <c r="X106" s="549">
        <v>0.04</v>
      </c>
      <c r="Y106" s="549">
        <v>0</v>
      </c>
      <c r="Z106" s="549">
        <v>-0.02</v>
      </c>
      <c r="AA106" s="564">
        <v>-0.01</v>
      </c>
      <c r="AB106" s="312">
        <v>0.08</v>
      </c>
      <c r="AC106" s="312">
        <v>0.05</v>
      </c>
      <c r="AD106" s="312">
        <v>-0.04</v>
      </c>
      <c r="AE106" s="312">
        <v>0.13</v>
      </c>
      <c r="AF106" s="278">
        <v>0.05</v>
      </c>
      <c r="AG106" s="312">
        <v>0.06</v>
      </c>
      <c r="AH106" s="312">
        <v>0.01</v>
      </c>
      <c r="AI106" s="312">
        <v>0.08</v>
      </c>
      <c r="AJ106" s="312">
        <v>0.04</v>
      </c>
      <c r="AK106" s="278">
        <v>0.05</v>
      </c>
      <c r="AL106" s="314"/>
      <c r="AM106" s="312"/>
      <c r="AN106" s="312"/>
      <c r="AO106" s="314"/>
      <c r="AP106" s="278"/>
      <c r="AQ106" s="314"/>
      <c r="AR106" s="312"/>
      <c r="AS106" s="314"/>
      <c r="AT106" s="314"/>
      <c r="AU106" s="278"/>
      <c r="AV106" s="314"/>
      <c r="AW106" s="314"/>
      <c r="AX106" s="314"/>
      <c r="AY106" s="314"/>
      <c r="AZ106" s="278"/>
      <c r="BA106" s="314"/>
      <c r="BB106" s="314"/>
      <c r="BC106" s="314"/>
      <c r="BD106" s="314"/>
      <c r="BE106" s="278"/>
      <c r="BF106" s="314"/>
      <c r="BG106" s="314"/>
      <c r="BH106" s="314"/>
      <c r="BI106" s="314"/>
      <c r="BJ106" s="278"/>
      <c r="BK106" s="314"/>
      <c r="BL106" s="314"/>
      <c r="BM106" s="314"/>
      <c r="BN106" s="314"/>
      <c r="BO106" s="278"/>
      <c r="BP106" s="314"/>
      <c r="BQ106" s="314"/>
      <c r="BR106" s="314"/>
      <c r="BS106" s="314"/>
      <c r="BT106" s="278"/>
      <c r="BU106" s="314"/>
      <c r="BV106" s="314"/>
      <c r="BW106" s="314"/>
      <c r="BX106" s="314"/>
      <c r="BY106" s="278"/>
      <c r="BZ106" s="314"/>
      <c r="CA106" s="314"/>
      <c r="CB106" s="314"/>
      <c r="CC106" s="314"/>
      <c r="CD106" s="278"/>
      <c r="CE106" s="314"/>
      <c r="CF106" s="314"/>
      <c r="CG106" s="314"/>
      <c r="CH106" s="314"/>
      <c r="CI106" s="278"/>
      <c r="CJ106" s="314"/>
      <c r="CK106" s="314"/>
      <c r="CL106" s="314"/>
      <c r="CM106" s="314"/>
      <c r="CN106" s="278"/>
      <c r="CO106" s="314"/>
      <c r="CP106" s="314"/>
      <c r="CQ106" s="314"/>
      <c r="CR106" s="314"/>
      <c r="CS106" s="278"/>
      <c r="CT106" s="314"/>
      <c r="CU106" s="314"/>
      <c r="CV106" s="314"/>
      <c r="CW106" s="314"/>
      <c r="CX106" s="278"/>
      <c r="CY106" s="314"/>
      <c r="CZ106" s="314"/>
      <c r="DA106" s="314"/>
      <c r="DB106" s="314"/>
      <c r="DC106" s="278"/>
      <c r="DD106" s="314"/>
      <c r="DE106" s="314"/>
      <c r="DF106" s="314"/>
      <c r="DG106" s="314"/>
      <c r="DH106" s="278"/>
    </row>
    <row r="107" spans="1:112" hidden="1" outlineLevel="2" x14ac:dyDescent="0.2">
      <c r="A107" s="109"/>
      <c r="B107" s="166"/>
      <c r="C107" s="166"/>
      <c r="D107" s="166"/>
      <c r="E107" s="166"/>
      <c r="F107" s="166"/>
      <c r="G107" s="183"/>
      <c r="H107" s="166"/>
      <c r="I107" s="166"/>
      <c r="J107" s="166"/>
      <c r="K107" s="166"/>
      <c r="L107" s="183"/>
      <c r="M107" s="175"/>
      <c r="N107" s="175"/>
      <c r="O107" s="175"/>
      <c r="P107" s="175"/>
      <c r="Q107" s="185"/>
      <c r="R107" s="166"/>
      <c r="S107" s="166"/>
      <c r="T107" s="166"/>
      <c r="U107" s="166"/>
      <c r="V107" s="183"/>
      <c r="W107" s="110"/>
      <c r="X107" s="110"/>
      <c r="Y107" s="110"/>
      <c r="Z107" s="110"/>
      <c r="AA107" s="276"/>
      <c r="AB107" s="110"/>
      <c r="AC107" s="110"/>
      <c r="AD107" s="110"/>
      <c r="AE107" s="110"/>
      <c r="AF107" s="276"/>
      <c r="AG107" s="110"/>
      <c r="AH107" s="110"/>
      <c r="AI107" s="110"/>
      <c r="AJ107" s="110"/>
      <c r="AK107" s="276"/>
      <c r="AL107" s="110"/>
      <c r="AM107" s="110"/>
      <c r="AN107" s="110"/>
      <c r="AO107" s="111"/>
      <c r="AP107" s="193"/>
      <c r="AQ107" s="111"/>
      <c r="AR107" s="110"/>
      <c r="AS107" s="111"/>
      <c r="AT107" s="111"/>
      <c r="AU107" s="193"/>
      <c r="AV107" s="111"/>
      <c r="AW107" s="111"/>
      <c r="AX107" s="111"/>
      <c r="AY107" s="111"/>
      <c r="AZ107" s="193"/>
      <c r="BA107" s="111"/>
      <c r="BB107" s="111"/>
      <c r="BC107" s="111"/>
      <c r="BD107" s="111"/>
      <c r="BE107" s="193"/>
      <c r="BF107" s="111"/>
      <c r="BG107" s="111"/>
      <c r="BH107" s="111"/>
      <c r="BI107" s="111"/>
      <c r="BJ107" s="193"/>
      <c r="BK107" s="111"/>
      <c r="BL107" s="111"/>
      <c r="BM107" s="111"/>
      <c r="BN107" s="111"/>
      <c r="BO107" s="193"/>
      <c r="BP107" s="111"/>
      <c r="BQ107" s="111"/>
      <c r="BR107" s="111"/>
      <c r="BS107" s="111"/>
      <c r="BT107" s="193"/>
      <c r="BU107" s="111"/>
      <c r="BV107" s="111"/>
      <c r="BW107" s="111"/>
      <c r="BX107" s="111"/>
      <c r="BY107" s="193"/>
      <c r="BZ107" s="111"/>
      <c r="CA107" s="111"/>
      <c r="CB107" s="111"/>
      <c r="CC107" s="111"/>
      <c r="CD107" s="193"/>
      <c r="CE107" s="111"/>
      <c r="CF107" s="111"/>
      <c r="CG107" s="111"/>
      <c r="CH107" s="111"/>
      <c r="CI107" s="193"/>
      <c r="CJ107" s="111"/>
      <c r="CK107" s="111"/>
      <c r="CL107" s="111"/>
      <c r="CM107" s="111"/>
      <c r="CN107" s="193"/>
      <c r="CO107" s="111"/>
      <c r="CP107" s="111"/>
      <c r="CQ107" s="111"/>
      <c r="CR107" s="111"/>
      <c r="CS107" s="193"/>
      <c r="CT107" s="111"/>
      <c r="CU107" s="111"/>
      <c r="CV107" s="111"/>
      <c r="CW107" s="111"/>
      <c r="CX107" s="193"/>
      <c r="CY107" s="111"/>
      <c r="CZ107" s="111"/>
      <c r="DA107" s="111"/>
      <c r="DB107" s="111"/>
      <c r="DC107" s="193"/>
      <c r="DD107" s="111"/>
      <c r="DE107" s="111"/>
      <c r="DF107" s="111"/>
      <c r="DG107" s="111"/>
      <c r="DH107" s="193"/>
    </row>
    <row r="108" spans="1:112" hidden="1" outlineLevel="2" x14ac:dyDescent="0.2">
      <c r="A108" s="101"/>
      <c r="B108" s="166"/>
      <c r="C108" s="208"/>
      <c r="D108" s="208"/>
      <c r="E108" s="208"/>
      <c r="F108" s="208"/>
      <c r="G108" s="193"/>
      <c r="H108" s="208"/>
      <c r="I108" s="208"/>
      <c r="J108" s="208"/>
      <c r="K108" s="208"/>
      <c r="L108" s="193"/>
      <c r="M108" s="110"/>
      <c r="N108" s="110"/>
      <c r="O108" s="110"/>
      <c r="P108" s="110"/>
      <c r="Q108" s="193"/>
      <c r="R108" s="250"/>
      <c r="S108" s="250"/>
      <c r="T108" s="250"/>
      <c r="U108" s="250"/>
      <c r="V108" s="557"/>
      <c r="W108" s="110"/>
      <c r="X108" s="110"/>
      <c r="Y108" s="110"/>
      <c r="Z108" s="110"/>
      <c r="AA108" s="193"/>
      <c r="AB108" s="110"/>
      <c r="AC108" s="110"/>
      <c r="AD108" s="110"/>
      <c r="AE108" s="110"/>
      <c r="AF108" s="193"/>
      <c r="AG108" s="110"/>
      <c r="AH108" s="110"/>
      <c r="AI108" s="110"/>
      <c r="AJ108" s="110"/>
      <c r="AK108" s="193"/>
      <c r="AL108" s="110"/>
      <c r="AM108" s="110"/>
      <c r="AN108" s="110"/>
      <c r="AO108" s="110"/>
      <c r="AP108" s="193"/>
      <c r="AQ108" s="110"/>
      <c r="AR108" s="110"/>
      <c r="AS108" s="110"/>
      <c r="AT108" s="110"/>
      <c r="AU108" s="193"/>
      <c r="AV108" s="110"/>
      <c r="AW108" s="110"/>
      <c r="AX108" s="110"/>
      <c r="AY108" s="110"/>
      <c r="AZ108" s="193"/>
      <c r="BA108" s="110"/>
      <c r="BB108" s="110"/>
      <c r="BC108" s="110"/>
      <c r="BD108" s="110"/>
      <c r="BE108" s="193"/>
      <c r="BF108" s="110"/>
      <c r="BG108" s="110"/>
      <c r="BH108" s="110"/>
      <c r="BI108" s="110"/>
      <c r="BJ108" s="193"/>
      <c r="BK108" s="110"/>
      <c r="BL108" s="110"/>
      <c r="BM108" s="110"/>
      <c r="BN108" s="110"/>
      <c r="BO108" s="193"/>
      <c r="BP108" s="110"/>
      <c r="BQ108" s="110"/>
      <c r="BR108" s="110"/>
      <c r="BS108" s="110"/>
      <c r="BT108" s="193"/>
      <c r="BU108" s="110"/>
      <c r="BV108" s="110"/>
      <c r="BW108" s="110"/>
      <c r="BX108" s="110"/>
      <c r="BY108" s="193"/>
      <c r="BZ108" s="110"/>
      <c r="CA108" s="110"/>
      <c r="CB108" s="110"/>
      <c r="CC108" s="110"/>
      <c r="CD108" s="193"/>
      <c r="CE108" s="110"/>
      <c r="CF108" s="110"/>
      <c r="CG108" s="110"/>
      <c r="CH108" s="110"/>
      <c r="CI108" s="193"/>
      <c r="CJ108" s="110"/>
      <c r="CK108" s="110"/>
      <c r="CL108" s="110"/>
      <c r="CM108" s="110"/>
      <c r="CN108" s="193"/>
      <c r="CO108" s="110"/>
      <c r="CP108" s="110"/>
      <c r="CQ108" s="110"/>
      <c r="CR108" s="110"/>
      <c r="CS108" s="193"/>
      <c r="CT108" s="110"/>
      <c r="CU108" s="110"/>
      <c r="CV108" s="110"/>
      <c r="CW108" s="110"/>
      <c r="CX108" s="193"/>
      <c r="CY108" s="110"/>
      <c r="CZ108" s="110"/>
      <c r="DA108" s="110"/>
      <c r="DB108" s="110"/>
      <c r="DC108" s="193"/>
      <c r="DD108" s="110"/>
      <c r="DE108" s="110"/>
      <c r="DF108" s="110"/>
      <c r="DG108" s="110"/>
      <c r="DH108" s="193"/>
    </row>
    <row r="109" spans="1:112" hidden="1" outlineLevel="2" x14ac:dyDescent="0.2">
      <c r="A109" s="107" t="s">
        <v>93</v>
      </c>
      <c r="B109" s="166"/>
      <c r="C109" s="165"/>
      <c r="D109" s="165"/>
      <c r="E109" s="165"/>
      <c r="F109" s="165"/>
      <c r="G109" s="189"/>
      <c r="H109" s="165"/>
      <c r="I109" s="165"/>
      <c r="J109" s="165"/>
      <c r="K109" s="165"/>
      <c r="L109" s="189"/>
      <c r="M109" s="165"/>
      <c r="N109" s="165"/>
      <c r="O109" s="165"/>
      <c r="P109" s="165"/>
      <c r="Q109" s="189"/>
      <c r="R109" s="165"/>
      <c r="S109" s="165"/>
      <c r="T109" s="165"/>
      <c r="U109" s="165"/>
      <c r="V109" s="189">
        <f>(($B$119*V119)+($B$133*V133))/$B$110</f>
        <v>8.9534883720930242E-2</v>
      </c>
      <c r="W109" s="165">
        <f>(($B$119*W119)+($B$133*W133))/$B$110</f>
        <v>3.7674418604651171E-2</v>
      </c>
      <c r="X109" s="165">
        <f t="shared" ref="X109:AK109" si="158">(($B$119*X119)+($B$133*X133))/$B$110</f>
        <v>6.3023255813953474E-2</v>
      </c>
      <c r="Y109" s="165">
        <f t="shared" si="158"/>
        <v>8.1395348837209301E-3</v>
      </c>
      <c r="Z109" s="165">
        <f t="shared" si="158"/>
        <v>3.9534883720930229E-3</v>
      </c>
      <c r="AA109" s="189">
        <f t="shared" si="158"/>
        <v>3.1395348837209305E-2</v>
      </c>
      <c r="AB109" s="165">
        <f t="shared" si="158"/>
        <v>-9.5348837209302383E-3</v>
      </c>
      <c r="AC109" s="165">
        <f t="shared" si="158"/>
        <v>-8.1395348837209301E-3</v>
      </c>
      <c r="AD109" s="165">
        <f t="shared" si="158"/>
        <v>1.4186046511627904E-2</v>
      </c>
      <c r="AE109" s="165">
        <f t="shared" si="158"/>
        <v>-1.1627906976744184E-2</v>
      </c>
      <c r="AF109" s="189">
        <f t="shared" si="158"/>
        <v>2.325581395348843E-4</v>
      </c>
      <c r="AG109" s="165">
        <f t="shared" si="158"/>
        <v>-2.1627906976744191E-2</v>
      </c>
      <c r="AH109" s="165">
        <f t="shared" si="158"/>
        <v>1.2558139534883717E-2</v>
      </c>
      <c r="AI109" s="165">
        <f t="shared" si="158"/>
        <v>5.9999999999999991E-2</v>
      </c>
      <c r="AJ109" s="165">
        <f t="shared" si="158"/>
        <v>1.5813953488372091E-2</v>
      </c>
      <c r="AK109" s="189">
        <f t="shared" si="158"/>
        <v>1.4186046511627904E-2</v>
      </c>
      <c r="AL109" s="172"/>
      <c r="AM109" s="165"/>
      <c r="AN109" s="165"/>
      <c r="AO109" s="165"/>
      <c r="AP109" s="189"/>
      <c r="AQ109" s="165"/>
      <c r="AR109" s="165"/>
      <c r="AS109" s="165"/>
      <c r="AT109" s="165"/>
      <c r="AU109" s="189"/>
      <c r="AV109" s="165"/>
      <c r="AW109" s="165"/>
      <c r="AX109" s="165"/>
      <c r="AY109" s="165"/>
      <c r="AZ109" s="189"/>
      <c r="BA109" s="165"/>
      <c r="BB109" s="165"/>
      <c r="BC109" s="165"/>
      <c r="BD109" s="165"/>
      <c r="BE109" s="189"/>
      <c r="BF109" s="165"/>
      <c r="BG109" s="165"/>
      <c r="BH109" s="165"/>
      <c r="BI109" s="165"/>
      <c r="BJ109" s="189"/>
      <c r="BK109" s="165"/>
      <c r="BL109" s="165"/>
      <c r="BM109" s="165"/>
      <c r="BN109" s="165"/>
      <c r="BO109" s="189"/>
      <c r="BP109" s="165"/>
      <c r="BQ109" s="165"/>
      <c r="BR109" s="165"/>
      <c r="BS109" s="165"/>
      <c r="BT109" s="189"/>
      <c r="BU109" s="165"/>
      <c r="BV109" s="165"/>
      <c r="BW109" s="165"/>
      <c r="BX109" s="165"/>
      <c r="BY109" s="189"/>
      <c r="BZ109" s="165"/>
      <c r="CA109" s="165"/>
      <c r="CB109" s="165"/>
      <c r="CC109" s="165"/>
      <c r="CD109" s="189"/>
      <c r="CE109" s="165"/>
      <c r="CF109" s="165"/>
      <c r="CG109" s="165"/>
      <c r="CH109" s="165"/>
      <c r="CI109" s="189"/>
      <c r="CJ109" s="165"/>
      <c r="CK109" s="165"/>
      <c r="CL109" s="165"/>
      <c r="CM109" s="165"/>
      <c r="CN109" s="189"/>
      <c r="CO109" s="165"/>
      <c r="CP109" s="165"/>
      <c r="CQ109" s="165"/>
      <c r="CR109" s="165"/>
      <c r="CS109" s="189"/>
      <c r="CT109" s="165"/>
      <c r="CU109" s="165"/>
      <c r="CV109" s="165"/>
      <c r="CW109" s="165"/>
      <c r="CX109" s="189"/>
      <c r="CY109" s="165"/>
      <c r="CZ109" s="165"/>
      <c r="DA109" s="165"/>
      <c r="DB109" s="165"/>
      <c r="DC109" s="189"/>
      <c r="DD109" s="165"/>
      <c r="DE109" s="165"/>
      <c r="DF109" s="165"/>
      <c r="DG109" s="165"/>
      <c r="DH109" s="189"/>
    </row>
    <row r="110" spans="1:112" hidden="1" outlineLevel="2" x14ac:dyDescent="0.2">
      <c r="A110" s="116" t="s">
        <v>90</v>
      </c>
      <c r="B110" s="240">
        <f>SUM(B119,B133)</f>
        <v>0.43000000000000005</v>
      </c>
      <c r="C110" s="302"/>
      <c r="D110" s="302"/>
      <c r="E110" s="302"/>
      <c r="F110" s="302"/>
      <c r="G110" s="194"/>
      <c r="H110" s="302">
        <v>0.17</v>
      </c>
      <c r="I110" s="302">
        <v>7.0000000000000007E-2</v>
      </c>
      <c r="J110" s="302">
        <v>0.03</v>
      </c>
      <c r="K110" s="302">
        <v>0.05</v>
      </c>
      <c r="L110" s="194">
        <v>7.0000000000000007E-2</v>
      </c>
      <c r="M110" s="546">
        <v>0.04</v>
      </c>
      <c r="N110" s="546">
        <v>0.06</v>
      </c>
      <c r="O110" s="546">
        <v>0.09</v>
      </c>
      <c r="P110" s="546">
        <v>0.05</v>
      </c>
      <c r="Q110" s="562">
        <v>0.06</v>
      </c>
      <c r="R110" s="546">
        <v>0.13</v>
      </c>
      <c r="S110" s="546">
        <v>0.1</v>
      </c>
      <c r="T110" s="546">
        <v>0.08</v>
      </c>
      <c r="U110" s="546">
        <v>7.0000000000000007E-2</v>
      </c>
      <c r="V110" s="562">
        <v>0.09</v>
      </c>
      <c r="W110" s="165">
        <v>0.05</v>
      </c>
      <c r="X110" s="165">
        <v>0.06</v>
      </c>
      <c r="Y110" s="165">
        <v>0.02</v>
      </c>
      <c r="Z110" s="165">
        <v>0</v>
      </c>
      <c r="AA110" s="194">
        <v>0.03</v>
      </c>
      <c r="AB110" s="165">
        <v>-0.01</v>
      </c>
      <c r="AC110" s="165">
        <v>0</v>
      </c>
      <c r="AD110" s="165">
        <v>0.02</v>
      </c>
      <c r="AE110" s="165">
        <v>0</v>
      </c>
      <c r="AF110" s="194">
        <v>0</v>
      </c>
      <c r="AG110" s="165">
        <v>-0.02</v>
      </c>
      <c r="AH110" s="165">
        <v>0</v>
      </c>
      <c r="AI110" s="165">
        <v>0.06</v>
      </c>
      <c r="AJ110" s="165">
        <v>0.02</v>
      </c>
      <c r="AK110" s="194">
        <v>0.01</v>
      </c>
      <c r="AL110" s="172"/>
      <c r="AM110" s="165"/>
      <c r="AN110" s="165"/>
      <c r="AO110" s="165"/>
      <c r="AP110" s="194"/>
      <c r="AQ110" s="165"/>
      <c r="AR110" s="165"/>
      <c r="AS110" s="165"/>
      <c r="AT110" s="165"/>
      <c r="AU110" s="194"/>
      <c r="AV110" s="165"/>
      <c r="AW110" s="165"/>
      <c r="AX110" s="165"/>
      <c r="AY110" s="165"/>
      <c r="AZ110" s="194"/>
      <c r="BA110" s="165"/>
      <c r="BB110" s="165"/>
      <c r="BC110" s="165"/>
      <c r="BD110" s="165"/>
      <c r="BE110" s="194"/>
      <c r="BF110" s="165"/>
      <c r="BG110" s="165"/>
      <c r="BH110" s="165"/>
      <c r="BI110" s="165"/>
      <c r="BJ110" s="194"/>
      <c r="BK110" s="165"/>
      <c r="BL110" s="165"/>
      <c r="BM110" s="165"/>
      <c r="BN110" s="165"/>
      <c r="BO110" s="194"/>
      <c r="BP110" s="165"/>
      <c r="BQ110" s="165"/>
      <c r="BR110" s="165"/>
      <c r="BS110" s="165"/>
      <c r="BT110" s="194"/>
      <c r="BU110" s="165"/>
      <c r="BV110" s="165"/>
      <c r="BW110" s="165"/>
      <c r="BX110" s="165"/>
      <c r="BY110" s="194"/>
      <c r="BZ110" s="165"/>
      <c r="CA110" s="165"/>
      <c r="CB110" s="165"/>
      <c r="CC110" s="165"/>
      <c r="CD110" s="194"/>
      <c r="CE110" s="165"/>
      <c r="CF110" s="165"/>
      <c r="CG110" s="165"/>
      <c r="CH110" s="165"/>
      <c r="CI110" s="194"/>
      <c r="CJ110" s="165"/>
      <c r="CK110" s="165"/>
      <c r="CL110" s="165"/>
      <c r="CM110" s="165"/>
      <c r="CN110" s="194"/>
      <c r="CO110" s="165"/>
      <c r="CP110" s="165"/>
      <c r="CQ110" s="165"/>
      <c r="CR110" s="165"/>
      <c r="CS110" s="194"/>
      <c r="CT110" s="165"/>
      <c r="CU110" s="165"/>
      <c r="CV110" s="165"/>
      <c r="CW110" s="165"/>
      <c r="CX110" s="194"/>
      <c r="CY110" s="165"/>
      <c r="CZ110" s="165"/>
      <c r="DA110" s="165"/>
      <c r="DB110" s="165"/>
      <c r="DC110" s="194"/>
      <c r="DD110" s="165"/>
      <c r="DE110" s="165"/>
      <c r="DF110" s="165"/>
      <c r="DG110" s="165"/>
      <c r="DH110" s="194"/>
    </row>
    <row r="111" spans="1:112" hidden="1" outlineLevel="2" x14ac:dyDescent="0.2">
      <c r="A111" s="109" t="s">
        <v>91</v>
      </c>
      <c r="B111" s="166"/>
      <c r="C111" s="165"/>
      <c r="D111" s="165"/>
      <c r="E111" s="165"/>
      <c r="F111" s="165"/>
      <c r="G111" s="189"/>
      <c r="H111" s="110">
        <f t="shared" ref="H111:AB111" si="159">H114-H113-H112-H110</f>
        <v>-1.0000000000000009E-2</v>
      </c>
      <c r="I111" s="110">
        <f t="shared" si="159"/>
        <v>0.05</v>
      </c>
      <c r="J111" s="110">
        <f t="shared" si="159"/>
        <v>7.0000000000000007E-2</v>
      </c>
      <c r="K111" s="110">
        <f t="shared" si="159"/>
        <v>0.03</v>
      </c>
      <c r="L111" s="276">
        <f t="shared" si="159"/>
        <v>4.0000000000000008E-2</v>
      </c>
      <c r="M111" s="110">
        <f t="shared" si="159"/>
        <v>0.04</v>
      </c>
      <c r="N111" s="110">
        <f t="shared" si="159"/>
        <v>7.0000000000000007E-2</v>
      </c>
      <c r="O111" s="110">
        <f t="shared" si="159"/>
        <v>1.0000000000000009E-2</v>
      </c>
      <c r="P111" s="110">
        <f t="shared" si="159"/>
        <v>-2.0000000000000004E-2</v>
      </c>
      <c r="Q111" s="276">
        <f t="shared" si="159"/>
        <v>2.0000000000000004E-2</v>
      </c>
      <c r="R111" s="110">
        <f t="shared" si="159"/>
        <v>0</v>
      </c>
      <c r="S111" s="110">
        <f t="shared" si="159"/>
        <v>0</v>
      </c>
      <c r="T111" s="110">
        <f t="shared" si="159"/>
        <v>0</v>
      </c>
      <c r="U111" s="110">
        <f t="shared" si="159"/>
        <v>0</v>
      </c>
      <c r="V111" s="276">
        <f t="shared" si="159"/>
        <v>0</v>
      </c>
      <c r="W111" s="110">
        <f t="shared" si="159"/>
        <v>9.999999999999995E-3</v>
      </c>
      <c r="X111" s="110">
        <f t="shared" si="159"/>
        <v>0.03</v>
      </c>
      <c r="Y111" s="110">
        <f t="shared" si="159"/>
        <v>3.0000000000000002E-2</v>
      </c>
      <c r="Z111" s="110">
        <f t="shared" si="159"/>
        <v>7.0000000000000007E-2</v>
      </c>
      <c r="AA111" s="276">
        <f t="shared" si="159"/>
        <v>4.0000000000000008E-2</v>
      </c>
      <c r="AB111" s="110">
        <f t="shared" si="159"/>
        <v>0.04</v>
      </c>
      <c r="AC111" s="110">
        <f t="shared" ref="AC111:AK111" si="160">AC114-AC113-AC112-AC110</f>
        <v>0.06</v>
      </c>
      <c r="AD111" s="110">
        <f t="shared" si="160"/>
        <v>6.9999999999999993E-2</v>
      </c>
      <c r="AE111" s="110">
        <f t="shared" si="160"/>
        <v>0.05</v>
      </c>
      <c r="AF111" s="276">
        <f t="shared" si="160"/>
        <v>0.06</v>
      </c>
      <c r="AG111" s="110">
        <f t="shared" si="160"/>
        <v>0.08</v>
      </c>
      <c r="AH111" s="110">
        <f t="shared" si="160"/>
        <v>0.08</v>
      </c>
      <c r="AI111" s="110">
        <f t="shared" si="160"/>
        <v>1.0000000000000009E-2</v>
      </c>
      <c r="AJ111" s="110">
        <f t="shared" si="160"/>
        <v>-0.01</v>
      </c>
      <c r="AK111" s="276">
        <f t="shared" si="160"/>
        <v>0.04</v>
      </c>
      <c r="AL111" s="110"/>
      <c r="AM111" s="110"/>
      <c r="AN111" s="110"/>
      <c r="AO111" s="110"/>
      <c r="AP111" s="193"/>
      <c r="AQ111" s="110"/>
      <c r="AR111" s="110"/>
      <c r="AS111" s="110"/>
      <c r="AT111" s="110"/>
      <c r="AU111" s="193"/>
      <c r="AV111" s="110"/>
      <c r="AW111" s="110"/>
      <c r="AX111" s="110"/>
      <c r="AY111" s="110"/>
      <c r="AZ111" s="193"/>
      <c r="BA111" s="110"/>
      <c r="BB111" s="110"/>
      <c r="BC111" s="110"/>
      <c r="BD111" s="110"/>
      <c r="BE111" s="193"/>
      <c r="BF111" s="110"/>
      <c r="BG111" s="110"/>
      <c r="BH111" s="110"/>
      <c r="BI111" s="110"/>
      <c r="BJ111" s="193"/>
      <c r="BK111" s="110"/>
      <c r="BL111" s="110"/>
      <c r="BM111" s="110"/>
      <c r="BN111" s="110"/>
      <c r="BO111" s="193"/>
      <c r="BP111" s="110"/>
      <c r="BQ111" s="110"/>
      <c r="BR111" s="110"/>
      <c r="BS111" s="110"/>
      <c r="BT111" s="193"/>
      <c r="BU111" s="110"/>
      <c r="BV111" s="110"/>
      <c r="BW111" s="110"/>
      <c r="BX111" s="110"/>
      <c r="BY111" s="193"/>
      <c r="BZ111" s="110"/>
      <c r="CA111" s="110"/>
      <c r="CB111" s="110"/>
      <c r="CC111" s="110"/>
      <c r="CD111" s="193"/>
      <c r="CE111" s="110"/>
      <c r="CF111" s="110"/>
      <c r="CG111" s="110"/>
      <c r="CH111" s="110"/>
      <c r="CI111" s="193"/>
      <c r="CJ111" s="110"/>
      <c r="CK111" s="110"/>
      <c r="CL111" s="110"/>
      <c r="CM111" s="110"/>
      <c r="CN111" s="193"/>
      <c r="CO111" s="110"/>
      <c r="CP111" s="110"/>
      <c r="CQ111" s="110"/>
      <c r="CR111" s="110"/>
      <c r="CS111" s="193"/>
      <c r="CT111" s="110"/>
      <c r="CU111" s="110"/>
      <c r="CV111" s="110"/>
      <c r="CW111" s="110"/>
      <c r="CX111" s="193"/>
      <c r="CY111" s="110"/>
      <c r="CZ111" s="110"/>
      <c r="DA111" s="110"/>
      <c r="DB111" s="110"/>
      <c r="DC111" s="193"/>
      <c r="DD111" s="110"/>
      <c r="DE111" s="110"/>
      <c r="DF111" s="110"/>
      <c r="DG111" s="110"/>
      <c r="DH111" s="193"/>
    </row>
    <row r="112" spans="1:112" hidden="1" outlineLevel="2" x14ac:dyDescent="0.2">
      <c r="A112" s="109" t="s">
        <v>96</v>
      </c>
      <c r="B112" s="166"/>
      <c r="C112" s="165"/>
      <c r="D112" s="165"/>
      <c r="E112" s="165"/>
      <c r="F112" s="165"/>
      <c r="G112" s="189"/>
      <c r="H112" s="110">
        <v>0</v>
      </c>
      <c r="I112" s="110">
        <v>0</v>
      </c>
      <c r="J112" s="110">
        <v>0</v>
      </c>
      <c r="K112" s="110">
        <v>0</v>
      </c>
      <c r="L112" s="276">
        <v>0</v>
      </c>
      <c r="M112" s="110">
        <v>0</v>
      </c>
      <c r="N112" s="110">
        <v>0</v>
      </c>
      <c r="O112" s="110">
        <v>0</v>
      </c>
      <c r="P112" s="110">
        <v>0</v>
      </c>
      <c r="Q112" s="276">
        <v>0</v>
      </c>
      <c r="R112" s="110">
        <v>0</v>
      </c>
      <c r="S112" s="110">
        <v>0</v>
      </c>
      <c r="T112" s="110">
        <v>0</v>
      </c>
      <c r="U112" s="110">
        <v>0</v>
      </c>
      <c r="V112" s="276">
        <v>0</v>
      </c>
      <c r="W112" s="110">
        <v>0</v>
      </c>
      <c r="X112" s="110">
        <v>0</v>
      </c>
      <c r="Y112" s="110">
        <v>0</v>
      </c>
      <c r="Z112" s="110">
        <v>0</v>
      </c>
      <c r="AA112" s="276">
        <v>0</v>
      </c>
      <c r="AB112" s="110">
        <v>0</v>
      </c>
      <c r="AC112" s="110">
        <v>0</v>
      </c>
      <c r="AD112" s="110">
        <v>0</v>
      </c>
      <c r="AE112" s="110">
        <v>0</v>
      </c>
      <c r="AF112" s="276">
        <v>0</v>
      </c>
      <c r="AG112" s="110">
        <v>0</v>
      </c>
      <c r="AH112" s="110">
        <v>0</v>
      </c>
      <c r="AI112" s="110">
        <v>0</v>
      </c>
      <c r="AJ112" s="110">
        <v>0</v>
      </c>
      <c r="AK112" s="276">
        <v>0</v>
      </c>
      <c r="AL112" s="110"/>
      <c r="AM112" s="110"/>
      <c r="AN112" s="110"/>
      <c r="AO112" s="110"/>
      <c r="AP112" s="193"/>
      <c r="AQ112" s="110"/>
      <c r="AR112" s="110"/>
      <c r="AS112" s="110"/>
      <c r="AT112" s="110"/>
      <c r="AU112" s="193"/>
      <c r="AV112" s="110"/>
      <c r="AW112" s="110"/>
      <c r="AX112" s="110"/>
      <c r="AY112" s="110"/>
      <c r="AZ112" s="193"/>
      <c r="BA112" s="110"/>
      <c r="BB112" s="110"/>
      <c r="BC112" s="110"/>
      <c r="BD112" s="110"/>
      <c r="BE112" s="193"/>
      <c r="BF112" s="110"/>
      <c r="BG112" s="110"/>
      <c r="BH112" s="110"/>
      <c r="BI112" s="110"/>
      <c r="BJ112" s="193"/>
      <c r="BK112" s="110"/>
      <c r="BL112" s="110"/>
      <c r="BM112" s="110"/>
      <c r="BN112" s="110"/>
      <c r="BO112" s="193"/>
      <c r="BP112" s="110"/>
      <c r="BQ112" s="110"/>
      <c r="BR112" s="110"/>
      <c r="BS112" s="110"/>
      <c r="BT112" s="193"/>
      <c r="BU112" s="110"/>
      <c r="BV112" s="110"/>
      <c r="BW112" s="110"/>
      <c r="BX112" s="110"/>
      <c r="BY112" s="193"/>
      <c r="BZ112" s="110"/>
      <c r="CA112" s="110"/>
      <c r="CB112" s="110"/>
      <c r="CC112" s="110"/>
      <c r="CD112" s="193"/>
      <c r="CE112" s="110"/>
      <c r="CF112" s="110"/>
      <c r="CG112" s="110"/>
      <c r="CH112" s="110"/>
      <c r="CI112" s="193"/>
      <c r="CJ112" s="110"/>
      <c r="CK112" s="110"/>
      <c r="CL112" s="110"/>
      <c r="CM112" s="110"/>
      <c r="CN112" s="193"/>
      <c r="CO112" s="110"/>
      <c r="CP112" s="110"/>
      <c r="CQ112" s="110"/>
      <c r="CR112" s="110"/>
      <c r="CS112" s="193"/>
      <c r="CT112" s="110"/>
      <c r="CU112" s="110"/>
      <c r="CV112" s="110"/>
      <c r="CW112" s="110"/>
      <c r="CX112" s="193"/>
      <c r="CY112" s="110"/>
      <c r="CZ112" s="110"/>
      <c r="DA112" s="110"/>
      <c r="DB112" s="110"/>
      <c r="DC112" s="193"/>
      <c r="DD112" s="110"/>
      <c r="DE112" s="110"/>
      <c r="DF112" s="110"/>
      <c r="DG112" s="110"/>
      <c r="DH112" s="193"/>
    </row>
    <row r="113" spans="1:112" hidden="1" outlineLevel="2" x14ac:dyDescent="0.2">
      <c r="A113" s="109" t="s">
        <v>211</v>
      </c>
      <c r="B113" s="166"/>
      <c r="C113" s="165"/>
      <c r="D113" s="165"/>
      <c r="E113" s="165"/>
      <c r="F113" s="165"/>
      <c r="G113" s="189"/>
      <c r="H113" s="110">
        <v>-0.04</v>
      </c>
      <c r="I113" s="110">
        <v>-7.0000000000000007E-2</v>
      </c>
      <c r="J113" s="110">
        <v>-0.04</v>
      </c>
      <c r="K113" s="110">
        <v>-0.03</v>
      </c>
      <c r="L113" s="276">
        <v>-0.04</v>
      </c>
      <c r="M113" s="110">
        <v>-0.02</v>
      </c>
      <c r="N113" s="110">
        <v>-0.04</v>
      </c>
      <c r="O113" s="110">
        <v>-0.04</v>
      </c>
      <c r="P113" s="110">
        <v>-0.02</v>
      </c>
      <c r="Q113" s="276">
        <v>-0.03</v>
      </c>
      <c r="R113" s="110">
        <v>-0.03</v>
      </c>
      <c r="S113" s="110">
        <v>-0.02</v>
      </c>
      <c r="T113" s="110">
        <v>0</v>
      </c>
      <c r="U113" s="110">
        <v>0</v>
      </c>
      <c r="V113" s="276">
        <v>-0.01</v>
      </c>
      <c r="W113" s="110">
        <v>0</v>
      </c>
      <c r="X113" s="110">
        <v>0</v>
      </c>
      <c r="Y113" s="110">
        <v>0</v>
      </c>
      <c r="Z113" s="110">
        <v>0</v>
      </c>
      <c r="AA113" s="276">
        <v>0</v>
      </c>
      <c r="AB113" s="110">
        <v>0</v>
      </c>
      <c r="AC113" s="110">
        <v>0</v>
      </c>
      <c r="AD113" s="110">
        <v>0</v>
      </c>
      <c r="AE113" s="110">
        <v>0</v>
      </c>
      <c r="AF113" s="276">
        <v>0</v>
      </c>
      <c r="AG113" s="110">
        <v>0</v>
      </c>
      <c r="AH113" s="110">
        <v>0</v>
      </c>
      <c r="AI113" s="110">
        <v>0</v>
      </c>
      <c r="AJ113" s="110">
        <v>0</v>
      </c>
      <c r="AK113" s="276">
        <v>0</v>
      </c>
      <c r="AL113" s="110"/>
      <c r="AM113" s="110"/>
      <c r="AN113" s="110"/>
      <c r="AO113" s="110"/>
      <c r="AP113" s="193"/>
      <c r="AQ113" s="110"/>
      <c r="AR113" s="110"/>
      <c r="AS113" s="110"/>
      <c r="AT113" s="110"/>
      <c r="AU113" s="193"/>
      <c r="AV113" s="110"/>
      <c r="AW113" s="110"/>
      <c r="AX113" s="110"/>
      <c r="AY113" s="110"/>
      <c r="AZ113" s="193"/>
      <c r="BA113" s="110"/>
      <c r="BB113" s="110"/>
      <c r="BC113" s="110"/>
      <c r="BD113" s="110"/>
      <c r="BE113" s="193"/>
      <c r="BF113" s="110"/>
      <c r="BG113" s="110"/>
      <c r="BH113" s="110"/>
      <c r="BI113" s="110"/>
      <c r="BJ113" s="193"/>
      <c r="BK113" s="110"/>
      <c r="BL113" s="110"/>
      <c r="BM113" s="110"/>
      <c r="BN113" s="110"/>
      <c r="BO113" s="193"/>
      <c r="BP113" s="110"/>
      <c r="BQ113" s="110"/>
      <c r="BR113" s="110"/>
      <c r="BS113" s="110"/>
      <c r="BT113" s="193"/>
      <c r="BU113" s="110"/>
      <c r="BV113" s="110"/>
      <c r="BW113" s="110"/>
      <c r="BX113" s="110"/>
      <c r="BY113" s="193"/>
      <c r="BZ113" s="110"/>
      <c r="CA113" s="110"/>
      <c r="CB113" s="110"/>
      <c r="CC113" s="110"/>
      <c r="CD113" s="193"/>
      <c r="CE113" s="110"/>
      <c r="CF113" s="110"/>
      <c r="CG113" s="110"/>
      <c r="CH113" s="110"/>
      <c r="CI113" s="193"/>
      <c r="CJ113" s="110"/>
      <c r="CK113" s="110"/>
      <c r="CL113" s="110"/>
      <c r="CM113" s="110"/>
      <c r="CN113" s="193"/>
      <c r="CO113" s="110"/>
      <c r="CP113" s="110"/>
      <c r="CQ113" s="110"/>
      <c r="CR113" s="110"/>
      <c r="CS113" s="193"/>
      <c r="CT113" s="110"/>
      <c r="CU113" s="110"/>
      <c r="CV113" s="110"/>
      <c r="CW113" s="110"/>
      <c r="CX113" s="193"/>
      <c r="CY113" s="110"/>
      <c r="CZ113" s="110"/>
      <c r="DA113" s="110"/>
      <c r="DB113" s="110"/>
      <c r="DC113" s="193"/>
      <c r="DD113" s="110"/>
      <c r="DE113" s="110"/>
      <c r="DF113" s="110"/>
      <c r="DG113" s="110"/>
      <c r="DH113" s="193"/>
    </row>
    <row r="114" spans="1:112" hidden="1" outlineLevel="2" x14ac:dyDescent="0.2">
      <c r="A114" s="182" t="s">
        <v>212</v>
      </c>
      <c r="B114" s="171"/>
      <c r="C114" s="312"/>
      <c r="D114" s="312"/>
      <c r="E114" s="312"/>
      <c r="F114" s="312"/>
      <c r="G114" s="190"/>
      <c r="H114" s="113">
        <v>0.12</v>
      </c>
      <c r="I114" s="113">
        <v>0.05</v>
      </c>
      <c r="J114" s="113">
        <v>0.06</v>
      </c>
      <c r="K114" s="113">
        <v>0.05</v>
      </c>
      <c r="L114" s="279">
        <v>7.0000000000000007E-2</v>
      </c>
      <c r="M114" s="113">
        <v>0.06</v>
      </c>
      <c r="N114" s="113">
        <v>0.09</v>
      </c>
      <c r="O114" s="113">
        <v>0.06</v>
      </c>
      <c r="P114" s="113">
        <v>0.01</v>
      </c>
      <c r="Q114" s="279">
        <v>0.05</v>
      </c>
      <c r="R114" s="547">
        <v>0.1</v>
      </c>
      <c r="S114" s="547">
        <v>0.08</v>
      </c>
      <c r="T114" s="547">
        <v>0.08</v>
      </c>
      <c r="U114" s="547">
        <v>7.0000000000000007E-2</v>
      </c>
      <c r="V114" s="410">
        <v>0.08</v>
      </c>
      <c r="W114" s="113">
        <v>0.06</v>
      </c>
      <c r="X114" s="113">
        <v>0.09</v>
      </c>
      <c r="Y114" s="113">
        <v>0.05</v>
      </c>
      <c r="Z114" s="113">
        <v>7.0000000000000007E-2</v>
      </c>
      <c r="AA114" s="410">
        <v>7.0000000000000007E-2</v>
      </c>
      <c r="AB114" s="312">
        <v>0.03</v>
      </c>
      <c r="AC114" s="312">
        <v>0.06</v>
      </c>
      <c r="AD114" s="312">
        <v>0.09</v>
      </c>
      <c r="AE114" s="312">
        <v>0.05</v>
      </c>
      <c r="AF114" s="190">
        <v>0.06</v>
      </c>
      <c r="AG114" s="312">
        <v>0.06</v>
      </c>
      <c r="AH114" s="312">
        <v>0.08</v>
      </c>
      <c r="AI114" s="312">
        <v>7.0000000000000007E-2</v>
      </c>
      <c r="AJ114" s="312">
        <v>0.01</v>
      </c>
      <c r="AK114" s="190">
        <v>0.05</v>
      </c>
      <c r="AL114" s="113"/>
      <c r="AM114" s="113"/>
      <c r="AN114" s="113"/>
      <c r="AO114" s="113"/>
      <c r="AP114" s="277"/>
      <c r="AQ114" s="113"/>
      <c r="AR114" s="113"/>
      <c r="AS114" s="113"/>
      <c r="AT114" s="113"/>
      <c r="AU114" s="277"/>
      <c r="AV114" s="113"/>
      <c r="AW114" s="113"/>
      <c r="AX114" s="113"/>
      <c r="AY114" s="113"/>
      <c r="AZ114" s="277"/>
      <c r="BA114" s="113"/>
      <c r="BB114" s="113"/>
      <c r="BC114" s="113"/>
      <c r="BD114" s="113"/>
      <c r="BE114" s="277"/>
      <c r="BF114" s="113"/>
      <c r="BG114" s="113"/>
      <c r="BH114" s="113"/>
      <c r="BI114" s="113"/>
      <c r="BJ114" s="277"/>
      <c r="BK114" s="113"/>
      <c r="BL114" s="113"/>
      <c r="BM114" s="113"/>
      <c r="BN114" s="113"/>
      <c r="BO114" s="277"/>
      <c r="BP114" s="113"/>
      <c r="BQ114" s="113"/>
      <c r="BR114" s="113"/>
      <c r="BS114" s="113"/>
      <c r="BT114" s="277"/>
      <c r="BU114" s="113"/>
      <c r="BV114" s="113"/>
      <c r="BW114" s="113"/>
      <c r="BX114" s="113"/>
      <c r="BY114" s="277"/>
      <c r="BZ114" s="113"/>
      <c r="CA114" s="113"/>
      <c r="CB114" s="113"/>
      <c r="CC114" s="113"/>
      <c r="CD114" s="277"/>
      <c r="CE114" s="113"/>
      <c r="CF114" s="113"/>
      <c r="CG114" s="113"/>
      <c r="CH114" s="113"/>
      <c r="CI114" s="277"/>
      <c r="CJ114" s="113"/>
      <c r="CK114" s="113"/>
      <c r="CL114" s="113"/>
      <c r="CM114" s="113"/>
      <c r="CN114" s="277"/>
      <c r="CO114" s="113"/>
      <c r="CP114" s="113"/>
      <c r="CQ114" s="113"/>
      <c r="CR114" s="113"/>
      <c r="CS114" s="277"/>
      <c r="CT114" s="113"/>
      <c r="CU114" s="113"/>
      <c r="CV114" s="113"/>
      <c r="CW114" s="113"/>
      <c r="CX114" s="277"/>
      <c r="CY114" s="113"/>
      <c r="CZ114" s="113"/>
      <c r="DA114" s="113"/>
      <c r="DB114" s="113"/>
      <c r="DC114" s="277"/>
      <c r="DD114" s="113"/>
      <c r="DE114" s="113"/>
      <c r="DF114" s="113"/>
      <c r="DG114" s="113"/>
      <c r="DH114" s="277"/>
    </row>
    <row r="115" spans="1:112" hidden="1" outlineLevel="2" x14ac:dyDescent="0.2">
      <c r="A115" s="163" t="s">
        <v>213</v>
      </c>
      <c r="B115" s="161"/>
      <c r="C115" s="165"/>
      <c r="D115" s="165"/>
      <c r="E115" s="165"/>
      <c r="F115" s="165"/>
      <c r="G115" s="189"/>
      <c r="H115" s="165">
        <f t="shared" ref="H115:AB115" si="161">SUM(H110:H111)</f>
        <v>0.16</v>
      </c>
      <c r="I115" s="165">
        <f t="shared" si="161"/>
        <v>0.12000000000000001</v>
      </c>
      <c r="J115" s="165">
        <f t="shared" si="161"/>
        <v>0.1</v>
      </c>
      <c r="K115" s="165">
        <f t="shared" si="161"/>
        <v>0.08</v>
      </c>
      <c r="L115" s="189">
        <f t="shared" si="161"/>
        <v>0.11000000000000001</v>
      </c>
      <c r="M115" s="165">
        <f t="shared" si="161"/>
        <v>0.08</v>
      </c>
      <c r="N115" s="165">
        <f t="shared" si="161"/>
        <v>0.13</v>
      </c>
      <c r="O115" s="165">
        <f t="shared" si="161"/>
        <v>0.1</v>
      </c>
      <c r="P115" s="165">
        <f t="shared" si="161"/>
        <v>0.03</v>
      </c>
      <c r="Q115" s="189">
        <f t="shared" si="161"/>
        <v>0.08</v>
      </c>
      <c r="R115" s="165">
        <f t="shared" si="161"/>
        <v>0.13</v>
      </c>
      <c r="S115" s="165">
        <f t="shared" si="161"/>
        <v>0.1</v>
      </c>
      <c r="T115" s="165">
        <f t="shared" si="161"/>
        <v>0.08</v>
      </c>
      <c r="U115" s="165">
        <f t="shared" si="161"/>
        <v>7.0000000000000007E-2</v>
      </c>
      <c r="V115" s="189">
        <f t="shared" si="161"/>
        <v>0.09</v>
      </c>
      <c r="W115" s="165">
        <f t="shared" si="161"/>
        <v>0.06</v>
      </c>
      <c r="X115" s="165">
        <f t="shared" si="161"/>
        <v>0.09</v>
      </c>
      <c r="Y115" s="165">
        <f t="shared" si="161"/>
        <v>0.05</v>
      </c>
      <c r="Z115" s="165">
        <f t="shared" si="161"/>
        <v>7.0000000000000007E-2</v>
      </c>
      <c r="AA115" s="189">
        <f t="shared" si="161"/>
        <v>7.0000000000000007E-2</v>
      </c>
      <c r="AB115" s="165">
        <f t="shared" si="161"/>
        <v>0.03</v>
      </c>
      <c r="AC115" s="165">
        <f t="shared" ref="AC115:AK115" si="162">SUM(AC110:AC111)</f>
        <v>0.06</v>
      </c>
      <c r="AD115" s="165">
        <f t="shared" si="162"/>
        <v>0.09</v>
      </c>
      <c r="AE115" s="165">
        <f t="shared" si="162"/>
        <v>0.05</v>
      </c>
      <c r="AF115" s="189">
        <f t="shared" si="162"/>
        <v>0.06</v>
      </c>
      <c r="AG115" s="165">
        <f t="shared" si="162"/>
        <v>0.06</v>
      </c>
      <c r="AH115" s="165">
        <f t="shared" si="162"/>
        <v>0.08</v>
      </c>
      <c r="AI115" s="165">
        <f t="shared" si="162"/>
        <v>7.0000000000000007E-2</v>
      </c>
      <c r="AJ115" s="165">
        <f t="shared" si="162"/>
        <v>0.01</v>
      </c>
      <c r="AK115" s="189">
        <f t="shared" si="162"/>
        <v>0.05</v>
      </c>
      <c r="AL115" s="165"/>
      <c r="AM115" s="165"/>
      <c r="AN115" s="165"/>
      <c r="AO115" s="165"/>
      <c r="AP115" s="194"/>
      <c r="AQ115" s="165"/>
      <c r="AR115" s="165"/>
      <c r="AS115" s="165"/>
      <c r="AT115" s="165"/>
      <c r="AU115" s="194"/>
      <c r="AV115" s="165"/>
      <c r="AW115" s="165"/>
      <c r="AX115" s="165"/>
      <c r="AY115" s="165"/>
      <c r="AZ115" s="194"/>
      <c r="BA115" s="165"/>
      <c r="BB115" s="165"/>
      <c r="BC115" s="165"/>
      <c r="BD115" s="165"/>
      <c r="BE115" s="194"/>
      <c r="BF115" s="165"/>
      <c r="BG115" s="165"/>
      <c r="BH115" s="165"/>
      <c r="BI115" s="165"/>
      <c r="BJ115" s="194"/>
      <c r="BK115" s="165"/>
      <c r="BL115" s="165"/>
      <c r="BM115" s="165"/>
      <c r="BN115" s="165"/>
      <c r="BO115" s="194"/>
      <c r="BP115" s="165"/>
      <c r="BQ115" s="165"/>
      <c r="BR115" s="165"/>
      <c r="BS115" s="165"/>
      <c r="BT115" s="194"/>
      <c r="BU115" s="165"/>
      <c r="BV115" s="165"/>
      <c r="BW115" s="165"/>
      <c r="BX115" s="165"/>
      <c r="BY115" s="194"/>
      <c r="BZ115" s="165"/>
      <c r="CA115" s="165"/>
      <c r="CB115" s="165"/>
      <c r="CC115" s="165"/>
      <c r="CD115" s="194"/>
      <c r="CE115" s="165"/>
      <c r="CF115" s="165"/>
      <c r="CG115" s="165"/>
      <c r="CH115" s="165"/>
      <c r="CI115" s="194"/>
      <c r="CJ115" s="165"/>
      <c r="CK115" s="165"/>
      <c r="CL115" s="165"/>
      <c r="CM115" s="165"/>
      <c r="CN115" s="194"/>
      <c r="CO115" s="165"/>
      <c r="CP115" s="165"/>
      <c r="CQ115" s="165"/>
      <c r="CR115" s="165"/>
      <c r="CS115" s="194"/>
      <c r="CT115" s="165"/>
      <c r="CU115" s="165"/>
      <c r="CV115" s="165"/>
      <c r="CW115" s="165"/>
      <c r="CX115" s="194"/>
      <c r="CY115" s="165"/>
      <c r="CZ115" s="165"/>
      <c r="DA115" s="165"/>
      <c r="DB115" s="165"/>
      <c r="DC115" s="194"/>
      <c r="DD115" s="165"/>
      <c r="DE115" s="165"/>
      <c r="DF115" s="165"/>
      <c r="DG115" s="165"/>
      <c r="DH115" s="194"/>
    </row>
    <row r="116" spans="1:112" hidden="1" outlineLevel="2" x14ac:dyDescent="0.2">
      <c r="A116" s="109"/>
      <c r="B116" s="166"/>
      <c r="C116" s="165"/>
      <c r="D116" s="165"/>
      <c r="E116" s="165"/>
      <c r="F116" s="165"/>
      <c r="G116" s="189"/>
      <c r="H116" s="110"/>
      <c r="I116" s="110"/>
      <c r="J116" s="110"/>
      <c r="K116" s="110"/>
      <c r="L116" s="276"/>
      <c r="M116" s="110"/>
      <c r="N116" s="110"/>
      <c r="O116" s="110"/>
      <c r="P116" s="110"/>
      <c r="Q116" s="193"/>
      <c r="R116" s="166"/>
      <c r="S116" s="166"/>
      <c r="T116" s="166"/>
      <c r="U116" s="166"/>
      <c r="V116" s="183"/>
      <c r="W116" s="110"/>
      <c r="X116" s="110"/>
      <c r="Y116" s="110"/>
      <c r="Z116" s="110"/>
      <c r="AA116" s="276"/>
      <c r="AB116" s="110"/>
      <c r="AC116" s="110"/>
      <c r="AD116" s="110"/>
      <c r="AE116" s="110"/>
      <c r="AF116" s="276"/>
      <c r="AG116" s="110"/>
      <c r="AH116" s="110"/>
      <c r="AI116" s="110"/>
      <c r="AJ116" s="111"/>
      <c r="AK116" s="193"/>
      <c r="AL116" s="111"/>
      <c r="AM116" s="110"/>
      <c r="AN116" s="110"/>
      <c r="AO116" s="111"/>
      <c r="AP116" s="193"/>
      <c r="AQ116" s="111"/>
      <c r="AR116" s="110"/>
      <c r="AS116" s="111"/>
      <c r="AT116" s="111"/>
      <c r="AU116" s="193"/>
      <c r="AV116" s="111"/>
      <c r="AW116" s="111"/>
      <c r="AX116" s="111"/>
      <c r="AY116" s="111"/>
      <c r="AZ116" s="193"/>
      <c r="BA116" s="111"/>
      <c r="BB116" s="111"/>
      <c r="BC116" s="111"/>
      <c r="BD116" s="111"/>
      <c r="BE116" s="193"/>
      <c r="BF116" s="111"/>
      <c r="BG116" s="111"/>
      <c r="BH116" s="111"/>
      <c r="BI116" s="111"/>
      <c r="BJ116" s="193"/>
      <c r="BK116" s="111"/>
      <c r="BL116" s="111"/>
      <c r="BM116" s="111"/>
      <c r="BN116" s="111"/>
      <c r="BO116" s="193"/>
      <c r="BP116" s="111"/>
      <c r="BQ116" s="111"/>
      <c r="BR116" s="111"/>
      <c r="BS116" s="111"/>
      <c r="BT116" s="193"/>
      <c r="BU116" s="111"/>
      <c r="BV116" s="111"/>
      <c r="BW116" s="111"/>
      <c r="BX116" s="111"/>
      <c r="BY116" s="193"/>
      <c r="BZ116" s="111"/>
      <c r="CA116" s="111"/>
      <c r="CB116" s="111"/>
      <c r="CC116" s="111"/>
      <c r="CD116" s="193"/>
      <c r="CE116" s="111"/>
      <c r="CF116" s="111"/>
      <c r="CG116" s="111"/>
      <c r="CH116" s="111"/>
      <c r="CI116" s="193"/>
      <c r="CJ116" s="111"/>
      <c r="CK116" s="111"/>
      <c r="CL116" s="111"/>
      <c r="CM116" s="111"/>
      <c r="CN116" s="193"/>
      <c r="CO116" s="111"/>
      <c r="CP116" s="111"/>
      <c r="CQ116" s="111"/>
      <c r="CR116" s="111"/>
      <c r="CS116" s="193"/>
      <c r="CT116" s="111"/>
      <c r="CU116" s="111"/>
      <c r="CV116" s="111"/>
      <c r="CW116" s="111"/>
      <c r="CX116" s="193"/>
      <c r="CY116" s="111"/>
      <c r="CZ116" s="111"/>
      <c r="DA116" s="111"/>
      <c r="DB116" s="111"/>
      <c r="DC116" s="193"/>
      <c r="DD116" s="111"/>
      <c r="DE116" s="111"/>
      <c r="DF116" s="111"/>
      <c r="DG116" s="111"/>
      <c r="DH116" s="193"/>
    </row>
    <row r="117" spans="1:112" hidden="1" outlineLevel="2" x14ac:dyDescent="0.2">
      <c r="A117" s="109"/>
      <c r="B117" s="166"/>
      <c r="C117" s="165"/>
      <c r="D117" s="165"/>
      <c r="E117" s="165"/>
      <c r="F117" s="165"/>
      <c r="G117" s="189"/>
      <c r="H117" s="110"/>
      <c r="I117" s="110"/>
      <c r="J117" s="110"/>
      <c r="K117" s="110"/>
      <c r="L117" s="276"/>
      <c r="M117" s="110"/>
      <c r="N117" s="110"/>
      <c r="O117" s="110"/>
      <c r="P117" s="110"/>
      <c r="Q117" s="193"/>
      <c r="R117" s="166"/>
      <c r="S117" s="166"/>
      <c r="T117" s="166"/>
      <c r="U117" s="166"/>
      <c r="V117" s="183"/>
      <c r="W117" s="110"/>
      <c r="X117" s="110"/>
      <c r="Y117" s="110"/>
      <c r="Z117" s="110"/>
      <c r="AA117" s="276"/>
      <c r="AB117" s="110"/>
      <c r="AC117" s="110"/>
      <c r="AD117" s="110"/>
      <c r="AE117" s="110"/>
      <c r="AF117" s="276"/>
      <c r="AG117" s="110"/>
      <c r="AH117" s="110"/>
      <c r="AI117" s="110"/>
      <c r="AJ117" s="111"/>
      <c r="AK117" s="193"/>
      <c r="AL117" s="111"/>
      <c r="AM117" s="110"/>
      <c r="AN117" s="110"/>
      <c r="AO117" s="111"/>
      <c r="AP117" s="193"/>
      <c r="AQ117" s="111"/>
      <c r="AR117" s="110"/>
      <c r="AS117" s="111"/>
      <c r="AT117" s="111"/>
      <c r="AU117" s="193"/>
      <c r="AV117" s="111"/>
      <c r="AW117" s="111"/>
      <c r="AX117" s="111"/>
      <c r="AY117" s="111"/>
      <c r="AZ117" s="193"/>
      <c r="BA117" s="111"/>
      <c r="BB117" s="111"/>
      <c r="BC117" s="111"/>
      <c r="BD117" s="111"/>
      <c r="BE117" s="193"/>
      <c r="BF117" s="111"/>
      <c r="BG117" s="111"/>
      <c r="BH117" s="111"/>
      <c r="BI117" s="111"/>
      <c r="BJ117" s="193"/>
      <c r="BK117" s="111"/>
      <c r="BL117" s="111"/>
      <c r="BM117" s="111"/>
      <c r="BN117" s="111"/>
      <c r="BO117" s="193"/>
      <c r="BP117" s="111"/>
      <c r="BQ117" s="111"/>
      <c r="BR117" s="111"/>
      <c r="BS117" s="111"/>
      <c r="BT117" s="193"/>
      <c r="BU117" s="111"/>
      <c r="BV117" s="111"/>
      <c r="BW117" s="111"/>
      <c r="BX117" s="111"/>
      <c r="BY117" s="193"/>
      <c r="BZ117" s="111"/>
      <c r="CA117" s="111"/>
      <c r="CB117" s="111"/>
      <c r="CC117" s="111"/>
      <c r="CD117" s="193"/>
      <c r="CE117" s="111"/>
      <c r="CF117" s="111"/>
      <c r="CG117" s="111"/>
      <c r="CH117" s="111"/>
      <c r="CI117" s="193"/>
      <c r="CJ117" s="111"/>
      <c r="CK117" s="111"/>
      <c r="CL117" s="111"/>
      <c r="CM117" s="111"/>
      <c r="CN117" s="193"/>
      <c r="CO117" s="111"/>
      <c r="CP117" s="111"/>
      <c r="CQ117" s="111"/>
      <c r="CR117" s="111"/>
      <c r="CS117" s="193"/>
      <c r="CT117" s="111"/>
      <c r="CU117" s="111"/>
      <c r="CV117" s="111"/>
      <c r="CW117" s="111"/>
      <c r="CX117" s="193"/>
      <c r="CY117" s="111"/>
      <c r="CZ117" s="111"/>
      <c r="DA117" s="111"/>
      <c r="DB117" s="111"/>
      <c r="DC117" s="193"/>
      <c r="DD117" s="111"/>
      <c r="DE117" s="111"/>
      <c r="DF117" s="111"/>
      <c r="DG117" s="111"/>
      <c r="DH117" s="193"/>
    </row>
    <row r="118" spans="1:112" hidden="1" outlineLevel="2" x14ac:dyDescent="0.2">
      <c r="A118" s="103" t="s">
        <v>94</v>
      </c>
      <c r="B118" s="166"/>
      <c r="C118" s="208"/>
      <c r="D118" s="208"/>
      <c r="E118" s="208"/>
      <c r="F118" s="208"/>
      <c r="G118" s="193"/>
      <c r="H118" s="166"/>
      <c r="I118" s="166"/>
      <c r="J118" s="166"/>
      <c r="K118" s="166"/>
      <c r="L118" s="183"/>
      <c r="M118" s="166"/>
      <c r="N118" s="166"/>
      <c r="O118" s="166"/>
      <c r="P118" s="166"/>
      <c r="Q118" s="183"/>
      <c r="R118" s="166"/>
      <c r="S118" s="166"/>
      <c r="T118" s="166"/>
      <c r="U118" s="166"/>
      <c r="V118" s="183"/>
      <c r="W118" s="175"/>
      <c r="X118" s="175"/>
      <c r="Y118" s="175"/>
      <c r="Z118" s="175"/>
      <c r="AA118" s="185"/>
      <c r="AB118" s="166"/>
      <c r="AC118" s="166"/>
      <c r="AD118" s="166"/>
      <c r="AE118" s="166"/>
      <c r="AF118" s="183"/>
      <c r="AG118" s="166"/>
      <c r="AH118" s="166"/>
      <c r="AI118" s="166"/>
      <c r="AJ118" s="166"/>
      <c r="AK118" s="183"/>
      <c r="AL118" s="308"/>
      <c r="AM118" s="175"/>
      <c r="AN118" s="175"/>
      <c r="AO118" s="175"/>
      <c r="AP118" s="185"/>
      <c r="AQ118" s="175"/>
      <c r="AR118" s="175"/>
      <c r="AS118" s="175"/>
      <c r="AT118" s="175"/>
      <c r="AU118" s="185"/>
      <c r="AV118" s="175"/>
      <c r="AW118" s="175"/>
      <c r="AX118" s="175"/>
      <c r="AY118" s="175"/>
      <c r="AZ118" s="185"/>
      <c r="BA118" s="175"/>
      <c r="BB118" s="175"/>
      <c r="BC118" s="175"/>
      <c r="BD118" s="175"/>
      <c r="BE118" s="185"/>
      <c r="BF118" s="175"/>
      <c r="BG118" s="175"/>
      <c r="BH118" s="175"/>
      <c r="BI118" s="175"/>
      <c r="BJ118" s="185"/>
      <c r="BK118" s="175"/>
      <c r="BL118" s="175"/>
      <c r="BM118" s="175"/>
      <c r="BN118" s="175"/>
      <c r="BO118" s="185"/>
      <c r="BP118" s="175"/>
      <c r="BQ118" s="175"/>
      <c r="BR118" s="175"/>
      <c r="BS118" s="175"/>
      <c r="BT118" s="185"/>
      <c r="BU118" s="175"/>
      <c r="BV118" s="175"/>
      <c r="BW118" s="175"/>
      <c r="BX118" s="175"/>
      <c r="BY118" s="185"/>
      <c r="BZ118" s="175"/>
      <c r="CA118" s="175"/>
      <c r="CB118" s="175"/>
      <c r="CC118" s="175"/>
      <c r="CD118" s="185"/>
      <c r="CE118" s="175"/>
      <c r="CF118" s="175"/>
      <c r="CG118" s="175"/>
      <c r="CH118" s="175"/>
      <c r="CI118" s="185"/>
      <c r="CJ118" s="175"/>
      <c r="CK118" s="175"/>
      <c r="CL118" s="175"/>
      <c r="CM118" s="175"/>
      <c r="CN118" s="185"/>
      <c r="CO118" s="175"/>
      <c r="CP118" s="175"/>
      <c r="CQ118" s="175"/>
      <c r="CR118" s="175"/>
      <c r="CS118" s="185"/>
      <c r="CT118" s="175"/>
      <c r="CU118" s="175"/>
      <c r="CV118" s="175"/>
      <c r="CW118" s="175"/>
      <c r="CX118" s="185"/>
      <c r="CY118" s="175"/>
      <c r="CZ118" s="175"/>
      <c r="DA118" s="175"/>
      <c r="DB118" s="175"/>
      <c r="DC118" s="185"/>
      <c r="DD118" s="175"/>
      <c r="DE118" s="175"/>
      <c r="DF118" s="175"/>
      <c r="DG118" s="175"/>
      <c r="DH118" s="185"/>
    </row>
    <row r="119" spans="1:112" hidden="1" outlineLevel="2" x14ac:dyDescent="0.2">
      <c r="A119" s="116" t="s">
        <v>90</v>
      </c>
      <c r="B119" s="239">
        <v>0.17</v>
      </c>
      <c r="C119" s="302"/>
      <c r="D119" s="302"/>
      <c r="E119" s="302"/>
      <c r="F119" s="302"/>
      <c r="G119" s="194"/>
      <c r="H119" s="302">
        <v>0.1</v>
      </c>
      <c r="I119" s="302">
        <v>0.12</v>
      </c>
      <c r="J119" s="302">
        <v>0.02</v>
      </c>
      <c r="K119" s="302">
        <v>-0.03</v>
      </c>
      <c r="L119" s="194">
        <v>0.05</v>
      </c>
      <c r="M119" s="165">
        <v>-0.01</v>
      </c>
      <c r="N119" s="165">
        <v>0.06</v>
      </c>
      <c r="O119" s="165">
        <v>0.05</v>
      </c>
      <c r="P119" s="165">
        <v>0.11</v>
      </c>
      <c r="Q119" s="194">
        <v>0.05</v>
      </c>
      <c r="R119" s="546">
        <v>0.11</v>
      </c>
      <c r="S119" s="546">
        <v>0.09</v>
      </c>
      <c r="T119" s="546">
        <v>0.09</v>
      </c>
      <c r="U119" s="546">
        <v>7.0000000000000007E-2</v>
      </c>
      <c r="V119" s="563">
        <v>0.09</v>
      </c>
      <c r="W119" s="165">
        <v>0.14000000000000001</v>
      </c>
      <c r="X119" s="165">
        <v>0.09</v>
      </c>
      <c r="Y119" s="165">
        <v>0.03</v>
      </c>
      <c r="Z119" s="165">
        <v>0.03</v>
      </c>
      <c r="AA119" s="194">
        <v>7.0000000000000007E-2</v>
      </c>
      <c r="AB119" s="165">
        <v>-7.0000000000000007E-2</v>
      </c>
      <c r="AC119" s="165">
        <v>0.01</v>
      </c>
      <c r="AD119" s="165">
        <v>-0.01</v>
      </c>
      <c r="AE119" s="165">
        <v>-0.06</v>
      </c>
      <c r="AF119" s="194">
        <v>-0.03</v>
      </c>
      <c r="AG119" s="165">
        <v>-7.0000000000000007E-2</v>
      </c>
      <c r="AH119" s="165">
        <v>-0.06</v>
      </c>
      <c r="AI119" s="165">
        <v>0.06</v>
      </c>
      <c r="AJ119" s="165">
        <v>0.04</v>
      </c>
      <c r="AK119" s="194">
        <v>-0.01</v>
      </c>
      <c r="AL119" s="172"/>
      <c r="AM119" s="165"/>
      <c r="AN119" s="165"/>
      <c r="AO119" s="172"/>
      <c r="AP119" s="194"/>
      <c r="AQ119" s="172"/>
      <c r="AR119" s="165"/>
      <c r="AS119" s="172"/>
      <c r="AT119" s="172"/>
      <c r="AU119" s="194"/>
      <c r="AV119" s="172"/>
      <c r="AW119" s="172"/>
      <c r="AX119" s="172"/>
      <c r="AY119" s="172"/>
      <c r="AZ119" s="194"/>
      <c r="BA119" s="172"/>
      <c r="BB119" s="172"/>
      <c r="BC119" s="172"/>
      <c r="BD119" s="172"/>
      <c r="BE119" s="194"/>
      <c r="BF119" s="172"/>
      <c r="BG119" s="172"/>
      <c r="BH119" s="172"/>
      <c r="BI119" s="172"/>
      <c r="BJ119" s="194"/>
      <c r="BK119" s="172"/>
      <c r="BL119" s="172"/>
      <c r="BM119" s="172"/>
      <c r="BN119" s="172"/>
      <c r="BO119" s="194"/>
      <c r="BP119" s="172"/>
      <c r="BQ119" s="172"/>
      <c r="BR119" s="172"/>
      <c r="BS119" s="172"/>
      <c r="BT119" s="194"/>
      <c r="BU119" s="172"/>
      <c r="BV119" s="172"/>
      <c r="BW119" s="172"/>
      <c r="BX119" s="172"/>
      <c r="BY119" s="194"/>
      <c r="BZ119" s="172"/>
      <c r="CA119" s="172"/>
      <c r="CB119" s="172"/>
      <c r="CC119" s="172"/>
      <c r="CD119" s="194"/>
      <c r="CE119" s="172"/>
      <c r="CF119" s="172"/>
      <c r="CG119" s="172"/>
      <c r="CH119" s="172"/>
      <c r="CI119" s="194"/>
      <c r="CJ119" s="172"/>
      <c r="CK119" s="172"/>
      <c r="CL119" s="172"/>
      <c r="CM119" s="172"/>
      <c r="CN119" s="194"/>
      <c r="CO119" s="172"/>
      <c r="CP119" s="172"/>
      <c r="CQ119" s="172"/>
      <c r="CR119" s="172"/>
      <c r="CS119" s="194"/>
      <c r="CT119" s="172"/>
      <c r="CU119" s="172"/>
      <c r="CV119" s="172"/>
      <c r="CW119" s="172"/>
      <c r="CX119" s="194"/>
      <c r="CY119" s="172"/>
      <c r="CZ119" s="172"/>
      <c r="DA119" s="172"/>
      <c r="DB119" s="172"/>
      <c r="DC119" s="194"/>
      <c r="DD119" s="172"/>
      <c r="DE119" s="172"/>
      <c r="DF119" s="172"/>
      <c r="DG119" s="172"/>
      <c r="DH119" s="194"/>
    </row>
    <row r="120" spans="1:112" hidden="1" outlineLevel="2" x14ac:dyDescent="0.2">
      <c r="A120" s="109" t="s">
        <v>91</v>
      </c>
      <c r="B120" s="54"/>
      <c r="C120" s="208"/>
      <c r="D120" s="208"/>
      <c r="E120" s="208"/>
      <c r="F120" s="208"/>
      <c r="G120" s="193"/>
      <c r="H120" s="550" t="s">
        <v>221</v>
      </c>
      <c r="I120" s="550" t="s">
        <v>221</v>
      </c>
      <c r="J120" s="550" t="s">
        <v>221</v>
      </c>
      <c r="K120" s="550" t="s">
        <v>221</v>
      </c>
      <c r="L120" s="555" t="s">
        <v>221</v>
      </c>
      <c r="M120" s="550" t="s">
        <v>221</v>
      </c>
      <c r="N120" s="550" t="s">
        <v>221</v>
      </c>
      <c r="O120" s="550" t="s">
        <v>221</v>
      </c>
      <c r="P120" s="550" t="s">
        <v>221</v>
      </c>
      <c r="Q120" s="555" t="s">
        <v>221</v>
      </c>
      <c r="R120" s="550" t="s">
        <v>221</v>
      </c>
      <c r="S120" s="550" t="s">
        <v>221</v>
      </c>
      <c r="T120" s="550" t="s">
        <v>221</v>
      </c>
      <c r="U120" s="550" t="s">
        <v>221</v>
      </c>
      <c r="V120" s="555" t="s">
        <v>221</v>
      </c>
      <c r="W120" s="110">
        <f>W123-SUM(W119,W121,W122)</f>
        <v>1.999999999999999E-2</v>
      </c>
      <c r="X120" s="110">
        <f>X123-SUM(X119,X121,X122)</f>
        <v>0.03</v>
      </c>
      <c r="Y120" s="110">
        <f>Y123-SUM(Y119,Y121,Y122)</f>
        <v>0.09</v>
      </c>
      <c r="Z120" s="110">
        <f>Z123-SUM(Z119,Z121,Z122)</f>
        <v>0.19</v>
      </c>
      <c r="AA120" s="276">
        <f>AA123-SUM(AA119,AA121,AA122)</f>
        <v>7.9999999999999988E-2</v>
      </c>
      <c r="AB120" s="110">
        <f t="shared" ref="AB120:AJ120" si="163">AB123-SUM(AB119,AB121,AB122)</f>
        <v>0.13</v>
      </c>
      <c r="AC120" s="110">
        <f t="shared" si="163"/>
        <v>0.13</v>
      </c>
      <c r="AD120" s="110">
        <f t="shared" si="163"/>
        <v>0.17</v>
      </c>
      <c r="AE120" s="110">
        <f t="shared" si="163"/>
        <v>0.12</v>
      </c>
      <c r="AF120" s="276">
        <f t="shared" si="163"/>
        <v>0.14000000000000001</v>
      </c>
      <c r="AG120" s="110">
        <f t="shared" si="163"/>
        <v>0.13</v>
      </c>
      <c r="AH120" s="110">
        <f t="shared" si="163"/>
        <v>0.12</v>
      </c>
      <c r="AI120" s="110">
        <f t="shared" si="163"/>
        <v>-0.03</v>
      </c>
      <c r="AJ120" s="110">
        <f t="shared" si="163"/>
        <v>-0.06</v>
      </c>
      <c r="AK120" s="276">
        <f>AK123-SUM(AK119,AK121,AK122)</f>
        <v>0.04</v>
      </c>
      <c r="AL120" s="110"/>
      <c r="AM120" s="110"/>
      <c r="AN120" s="110"/>
      <c r="AO120" s="111"/>
      <c r="AP120" s="193"/>
      <c r="AQ120" s="111"/>
      <c r="AR120" s="110"/>
      <c r="AS120" s="111"/>
      <c r="AT120" s="111"/>
      <c r="AU120" s="193"/>
      <c r="AV120" s="111"/>
      <c r="AW120" s="111"/>
      <c r="AX120" s="111"/>
      <c r="AY120" s="111"/>
      <c r="AZ120" s="193"/>
      <c r="BA120" s="111"/>
      <c r="BB120" s="111"/>
      <c r="BC120" s="111"/>
      <c r="BD120" s="111"/>
      <c r="BE120" s="193"/>
      <c r="BF120" s="111"/>
      <c r="BG120" s="111"/>
      <c r="BH120" s="111"/>
      <c r="BI120" s="111"/>
      <c r="BJ120" s="193"/>
      <c r="BK120" s="111"/>
      <c r="BL120" s="111"/>
      <c r="BM120" s="111"/>
      <c r="BN120" s="111"/>
      <c r="BO120" s="193"/>
      <c r="BP120" s="111"/>
      <c r="BQ120" s="111"/>
      <c r="BR120" s="111"/>
      <c r="BS120" s="111"/>
      <c r="BT120" s="193"/>
      <c r="BU120" s="111"/>
      <c r="BV120" s="111"/>
      <c r="BW120" s="111"/>
      <c r="BX120" s="111"/>
      <c r="BY120" s="193"/>
      <c r="BZ120" s="111"/>
      <c r="CA120" s="111"/>
      <c r="CB120" s="111"/>
      <c r="CC120" s="111"/>
      <c r="CD120" s="193"/>
      <c r="CE120" s="111"/>
      <c r="CF120" s="111"/>
      <c r="CG120" s="111"/>
      <c r="CH120" s="111"/>
      <c r="CI120" s="193"/>
      <c r="CJ120" s="111"/>
      <c r="CK120" s="111"/>
      <c r="CL120" s="111"/>
      <c r="CM120" s="111"/>
      <c r="CN120" s="193"/>
      <c r="CO120" s="111"/>
      <c r="CP120" s="111"/>
      <c r="CQ120" s="111"/>
      <c r="CR120" s="111"/>
      <c r="CS120" s="193"/>
      <c r="CT120" s="111"/>
      <c r="CU120" s="111"/>
      <c r="CV120" s="111"/>
      <c r="CW120" s="111"/>
      <c r="CX120" s="193"/>
      <c r="CY120" s="111"/>
      <c r="CZ120" s="111"/>
      <c r="DA120" s="111"/>
      <c r="DB120" s="111"/>
      <c r="DC120" s="193"/>
      <c r="DD120" s="111"/>
      <c r="DE120" s="111"/>
      <c r="DF120" s="111"/>
      <c r="DG120" s="111"/>
      <c r="DH120" s="193"/>
    </row>
    <row r="121" spans="1:112" hidden="1" outlineLevel="2" x14ac:dyDescent="0.2">
      <c r="A121" s="109" t="s">
        <v>96</v>
      </c>
      <c r="B121" s="54"/>
      <c r="C121" s="208"/>
      <c r="D121" s="208"/>
      <c r="E121" s="208"/>
      <c r="F121" s="208"/>
      <c r="G121" s="193"/>
      <c r="H121" s="550" t="s">
        <v>221</v>
      </c>
      <c r="I121" s="550" t="s">
        <v>221</v>
      </c>
      <c r="J121" s="550" t="s">
        <v>221</v>
      </c>
      <c r="K121" s="550" t="s">
        <v>221</v>
      </c>
      <c r="L121" s="555" t="s">
        <v>221</v>
      </c>
      <c r="M121" s="550" t="s">
        <v>221</v>
      </c>
      <c r="N121" s="550" t="s">
        <v>221</v>
      </c>
      <c r="O121" s="550" t="s">
        <v>221</v>
      </c>
      <c r="P121" s="550" t="s">
        <v>221</v>
      </c>
      <c r="Q121" s="555" t="s">
        <v>221</v>
      </c>
      <c r="R121" s="550" t="s">
        <v>221</v>
      </c>
      <c r="S121" s="550" t="s">
        <v>221</v>
      </c>
      <c r="T121" s="550" t="s">
        <v>221</v>
      </c>
      <c r="U121" s="550" t="s">
        <v>221</v>
      </c>
      <c r="V121" s="555" t="s">
        <v>221</v>
      </c>
      <c r="W121" s="110">
        <v>0</v>
      </c>
      <c r="X121" s="110">
        <v>0</v>
      </c>
      <c r="Y121" s="110">
        <v>0</v>
      </c>
      <c r="Z121" s="110">
        <v>0</v>
      </c>
      <c r="AA121" s="276">
        <v>0</v>
      </c>
      <c r="AB121" s="110">
        <v>0</v>
      </c>
      <c r="AC121" s="110">
        <v>0</v>
      </c>
      <c r="AD121" s="110">
        <v>0</v>
      </c>
      <c r="AE121" s="110">
        <v>0</v>
      </c>
      <c r="AF121" s="276">
        <v>0</v>
      </c>
      <c r="AG121" s="110">
        <v>0</v>
      </c>
      <c r="AH121" s="110">
        <v>0</v>
      </c>
      <c r="AI121" s="110">
        <v>0</v>
      </c>
      <c r="AJ121" s="110">
        <v>0</v>
      </c>
      <c r="AK121" s="276">
        <v>0</v>
      </c>
      <c r="AL121" s="110"/>
      <c r="AM121" s="110"/>
      <c r="AN121" s="110"/>
      <c r="AO121" s="111"/>
      <c r="AP121" s="193"/>
      <c r="AQ121" s="111"/>
      <c r="AR121" s="110"/>
      <c r="AS121" s="111"/>
      <c r="AT121" s="111"/>
      <c r="AU121" s="193"/>
      <c r="AV121" s="111"/>
      <c r="AW121" s="111"/>
      <c r="AX121" s="111"/>
      <c r="AY121" s="111"/>
      <c r="AZ121" s="193"/>
      <c r="BA121" s="111"/>
      <c r="BB121" s="111"/>
      <c r="BC121" s="111"/>
      <c r="BD121" s="111"/>
      <c r="BE121" s="193"/>
      <c r="BF121" s="111"/>
      <c r="BG121" s="111"/>
      <c r="BH121" s="111"/>
      <c r="BI121" s="111"/>
      <c r="BJ121" s="193"/>
      <c r="BK121" s="111"/>
      <c r="BL121" s="111"/>
      <c r="BM121" s="111"/>
      <c r="BN121" s="111"/>
      <c r="BO121" s="193"/>
      <c r="BP121" s="111"/>
      <c r="BQ121" s="111"/>
      <c r="BR121" s="111"/>
      <c r="BS121" s="111"/>
      <c r="BT121" s="193"/>
      <c r="BU121" s="111"/>
      <c r="BV121" s="111"/>
      <c r="BW121" s="111"/>
      <c r="BX121" s="111"/>
      <c r="BY121" s="193"/>
      <c r="BZ121" s="111"/>
      <c r="CA121" s="111"/>
      <c r="CB121" s="111"/>
      <c r="CC121" s="111"/>
      <c r="CD121" s="193"/>
      <c r="CE121" s="111"/>
      <c r="CF121" s="111"/>
      <c r="CG121" s="111"/>
      <c r="CH121" s="111"/>
      <c r="CI121" s="193"/>
      <c r="CJ121" s="111"/>
      <c r="CK121" s="111"/>
      <c r="CL121" s="111"/>
      <c r="CM121" s="111"/>
      <c r="CN121" s="193"/>
      <c r="CO121" s="111"/>
      <c r="CP121" s="111"/>
      <c r="CQ121" s="111"/>
      <c r="CR121" s="111"/>
      <c r="CS121" s="193"/>
      <c r="CT121" s="111"/>
      <c r="CU121" s="111"/>
      <c r="CV121" s="111"/>
      <c r="CW121" s="111"/>
      <c r="CX121" s="193"/>
      <c r="CY121" s="111"/>
      <c r="CZ121" s="111"/>
      <c r="DA121" s="111"/>
      <c r="DB121" s="111"/>
      <c r="DC121" s="193"/>
      <c r="DD121" s="111"/>
      <c r="DE121" s="111"/>
      <c r="DF121" s="111"/>
      <c r="DG121" s="111"/>
      <c r="DH121" s="193"/>
    </row>
    <row r="122" spans="1:112" hidden="1" outlineLevel="2" x14ac:dyDescent="0.2">
      <c r="A122" s="109" t="s">
        <v>211</v>
      </c>
      <c r="B122" s="54"/>
      <c r="C122" s="208"/>
      <c r="D122" s="208"/>
      <c r="E122" s="208"/>
      <c r="F122" s="208"/>
      <c r="G122" s="193"/>
      <c r="H122" s="550" t="s">
        <v>221</v>
      </c>
      <c r="I122" s="550" t="s">
        <v>221</v>
      </c>
      <c r="J122" s="550" t="s">
        <v>221</v>
      </c>
      <c r="K122" s="550" t="s">
        <v>221</v>
      </c>
      <c r="L122" s="555" t="s">
        <v>221</v>
      </c>
      <c r="M122" s="550" t="s">
        <v>221</v>
      </c>
      <c r="N122" s="550" t="s">
        <v>221</v>
      </c>
      <c r="O122" s="550" t="s">
        <v>221</v>
      </c>
      <c r="P122" s="550" t="s">
        <v>221</v>
      </c>
      <c r="Q122" s="555" t="s">
        <v>221</v>
      </c>
      <c r="R122" s="550" t="s">
        <v>221</v>
      </c>
      <c r="S122" s="550" t="s">
        <v>221</v>
      </c>
      <c r="T122" s="550" t="s">
        <v>221</v>
      </c>
      <c r="U122" s="550" t="s">
        <v>221</v>
      </c>
      <c r="V122" s="555" t="s">
        <v>221</v>
      </c>
      <c r="W122" s="110">
        <v>0</v>
      </c>
      <c r="X122" s="110">
        <v>0</v>
      </c>
      <c r="Y122" s="110">
        <v>0</v>
      </c>
      <c r="Z122" s="110">
        <v>0</v>
      </c>
      <c r="AA122" s="276">
        <v>0</v>
      </c>
      <c r="AB122" s="110">
        <v>0</v>
      </c>
      <c r="AC122" s="110">
        <v>0</v>
      </c>
      <c r="AD122" s="110">
        <v>0</v>
      </c>
      <c r="AE122" s="110">
        <v>0</v>
      </c>
      <c r="AF122" s="276">
        <v>0</v>
      </c>
      <c r="AG122" s="110">
        <v>0</v>
      </c>
      <c r="AH122" s="110">
        <v>0</v>
      </c>
      <c r="AI122" s="110">
        <v>0</v>
      </c>
      <c r="AJ122" s="110">
        <v>0</v>
      </c>
      <c r="AK122" s="276">
        <v>0</v>
      </c>
      <c r="AL122" s="110"/>
      <c r="AM122" s="110"/>
      <c r="AN122" s="110"/>
      <c r="AO122" s="111"/>
      <c r="AP122" s="193"/>
      <c r="AQ122" s="111"/>
      <c r="AR122" s="110"/>
      <c r="AS122" s="111"/>
      <c r="AT122" s="111"/>
      <c r="AU122" s="193"/>
      <c r="AV122" s="111"/>
      <c r="AW122" s="111"/>
      <c r="AX122" s="111"/>
      <c r="AY122" s="111"/>
      <c r="AZ122" s="193"/>
      <c r="BA122" s="111"/>
      <c r="BB122" s="111"/>
      <c r="BC122" s="111"/>
      <c r="BD122" s="111"/>
      <c r="BE122" s="193"/>
      <c r="BF122" s="111"/>
      <c r="BG122" s="111"/>
      <c r="BH122" s="111"/>
      <c r="BI122" s="111"/>
      <c r="BJ122" s="193"/>
      <c r="BK122" s="111"/>
      <c r="BL122" s="111"/>
      <c r="BM122" s="111"/>
      <c r="BN122" s="111"/>
      <c r="BO122" s="193"/>
      <c r="BP122" s="111"/>
      <c r="BQ122" s="111"/>
      <c r="BR122" s="111"/>
      <c r="BS122" s="111"/>
      <c r="BT122" s="193"/>
      <c r="BU122" s="111"/>
      <c r="BV122" s="111"/>
      <c r="BW122" s="111"/>
      <c r="BX122" s="111"/>
      <c r="BY122" s="193"/>
      <c r="BZ122" s="111"/>
      <c r="CA122" s="111"/>
      <c r="CB122" s="111"/>
      <c r="CC122" s="111"/>
      <c r="CD122" s="193"/>
      <c r="CE122" s="111"/>
      <c r="CF122" s="111"/>
      <c r="CG122" s="111"/>
      <c r="CH122" s="111"/>
      <c r="CI122" s="193"/>
      <c r="CJ122" s="111"/>
      <c r="CK122" s="111"/>
      <c r="CL122" s="111"/>
      <c r="CM122" s="111"/>
      <c r="CN122" s="193"/>
      <c r="CO122" s="111"/>
      <c r="CP122" s="111"/>
      <c r="CQ122" s="111"/>
      <c r="CR122" s="111"/>
      <c r="CS122" s="193"/>
      <c r="CT122" s="111"/>
      <c r="CU122" s="111"/>
      <c r="CV122" s="111"/>
      <c r="CW122" s="111"/>
      <c r="CX122" s="193"/>
      <c r="CY122" s="111"/>
      <c r="CZ122" s="111"/>
      <c r="DA122" s="111"/>
      <c r="DB122" s="111"/>
      <c r="DC122" s="193"/>
      <c r="DD122" s="111"/>
      <c r="DE122" s="111"/>
      <c r="DF122" s="111"/>
      <c r="DG122" s="111"/>
      <c r="DH122" s="193"/>
    </row>
    <row r="123" spans="1:112" hidden="1" outlineLevel="2" x14ac:dyDescent="0.2">
      <c r="A123" s="182" t="s">
        <v>212</v>
      </c>
      <c r="B123" s="91"/>
      <c r="C123" s="544"/>
      <c r="D123" s="544"/>
      <c r="E123" s="544"/>
      <c r="F123" s="544"/>
      <c r="G123" s="277"/>
      <c r="H123" s="551" t="s">
        <v>221</v>
      </c>
      <c r="I123" s="551" t="s">
        <v>221</v>
      </c>
      <c r="J123" s="551" t="s">
        <v>221</v>
      </c>
      <c r="K123" s="551" t="s">
        <v>221</v>
      </c>
      <c r="L123" s="556" t="s">
        <v>221</v>
      </c>
      <c r="M123" s="551" t="s">
        <v>221</v>
      </c>
      <c r="N123" s="551" t="s">
        <v>221</v>
      </c>
      <c r="O123" s="551" t="s">
        <v>221</v>
      </c>
      <c r="P123" s="551" t="s">
        <v>221</v>
      </c>
      <c r="Q123" s="556" t="s">
        <v>221</v>
      </c>
      <c r="R123" s="551" t="s">
        <v>221</v>
      </c>
      <c r="S123" s="551" t="s">
        <v>221</v>
      </c>
      <c r="T123" s="551" t="s">
        <v>221</v>
      </c>
      <c r="U123" s="551" t="s">
        <v>221</v>
      </c>
      <c r="V123" s="556" t="s">
        <v>221</v>
      </c>
      <c r="W123" s="113">
        <v>0.16</v>
      </c>
      <c r="X123" s="113">
        <v>0.12</v>
      </c>
      <c r="Y123" s="113">
        <v>0.12</v>
      </c>
      <c r="Z123" s="113">
        <v>0.22</v>
      </c>
      <c r="AA123" s="410">
        <v>0.15</v>
      </c>
      <c r="AB123" s="199">
        <v>0.06</v>
      </c>
      <c r="AC123" s="199">
        <v>0.14000000000000001</v>
      </c>
      <c r="AD123" s="199">
        <v>0.16</v>
      </c>
      <c r="AE123" s="199">
        <v>0.06</v>
      </c>
      <c r="AF123" s="235">
        <v>0.11</v>
      </c>
      <c r="AG123" s="199">
        <v>0.06</v>
      </c>
      <c r="AH123" s="199">
        <v>0.06</v>
      </c>
      <c r="AI123" s="199">
        <v>0.03</v>
      </c>
      <c r="AJ123" s="113">
        <v>-0.02</v>
      </c>
      <c r="AK123" s="235">
        <v>0.03</v>
      </c>
      <c r="AL123" s="113"/>
      <c r="AM123" s="113"/>
      <c r="AN123" s="113"/>
      <c r="AO123" s="112"/>
      <c r="AP123" s="277"/>
      <c r="AQ123" s="112"/>
      <c r="AR123" s="113"/>
      <c r="AS123" s="112"/>
      <c r="AT123" s="112"/>
      <c r="AU123" s="277"/>
      <c r="AV123" s="112"/>
      <c r="AW123" s="112"/>
      <c r="AX123" s="112"/>
      <c r="AY123" s="112"/>
      <c r="AZ123" s="277"/>
      <c r="BA123" s="112"/>
      <c r="BB123" s="112"/>
      <c r="BC123" s="112"/>
      <c r="BD123" s="112"/>
      <c r="BE123" s="277"/>
      <c r="BF123" s="112"/>
      <c r="BG123" s="112"/>
      <c r="BH123" s="112"/>
      <c r="BI123" s="112"/>
      <c r="BJ123" s="277"/>
      <c r="BK123" s="112"/>
      <c r="BL123" s="112"/>
      <c r="BM123" s="112"/>
      <c r="BN123" s="112"/>
      <c r="BO123" s="277"/>
      <c r="BP123" s="112"/>
      <c r="BQ123" s="112"/>
      <c r="BR123" s="112"/>
      <c r="BS123" s="112"/>
      <c r="BT123" s="277"/>
      <c r="BU123" s="112"/>
      <c r="BV123" s="112"/>
      <c r="BW123" s="112"/>
      <c r="BX123" s="112"/>
      <c r="BY123" s="277"/>
      <c r="BZ123" s="112"/>
      <c r="CA123" s="112"/>
      <c r="CB123" s="112"/>
      <c r="CC123" s="112"/>
      <c r="CD123" s="277"/>
      <c r="CE123" s="112"/>
      <c r="CF123" s="112"/>
      <c r="CG123" s="112"/>
      <c r="CH123" s="112"/>
      <c r="CI123" s="277"/>
      <c r="CJ123" s="112"/>
      <c r="CK123" s="112"/>
      <c r="CL123" s="112"/>
      <c r="CM123" s="112"/>
      <c r="CN123" s="277"/>
      <c r="CO123" s="112"/>
      <c r="CP123" s="112"/>
      <c r="CQ123" s="112"/>
      <c r="CR123" s="112"/>
      <c r="CS123" s="277"/>
      <c r="CT123" s="112"/>
      <c r="CU123" s="112"/>
      <c r="CV123" s="112"/>
      <c r="CW123" s="112"/>
      <c r="CX123" s="277"/>
      <c r="CY123" s="112"/>
      <c r="CZ123" s="112"/>
      <c r="DA123" s="112"/>
      <c r="DB123" s="112"/>
      <c r="DC123" s="277"/>
      <c r="DD123" s="112"/>
      <c r="DE123" s="112"/>
      <c r="DF123" s="112"/>
      <c r="DG123" s="112"/>
      <c r="DH123" s="277"/>
    </row>
    <row r="124" spans="1:112" hidden="1" outlineLevel="2" x14ac:dyDescent="0.2">
      <c r="A124" s="163" t="s">
        <v>213</v>
      </c>
      <c r="B124" s="164"/>
      <c r="C124" s="302"/>
      <c r="D124" s="302"/>
      <c r="E124" s="302"/>
      <c r="F124" s="302"/>
      <c r="G124" s="194"/>
      <c r="H124" s="550" t="s">
        <v>221</v>
      </c>
      <c r="I124" s="550" t="s">
        <v>221</v>
      </c>
      <c r="J124" s="550" t="s">
        <v>221</v>
      </c>
      <c r="K124" s="550" t="s">
        <v>221</v>
      </c>
      <c r="L124" s="555" t="s">
        <v>221</v>
      </c>
      <c r="M124" s="550" t="s">
        <v>221</v>
      </c>
      <c r="N124" s="550" t="s">
        <v>221</v>
      </c>
      <c r="O124" s="550" t="s">
        <v>221</v>
      </c>
      <c r="P124" s="550" t="s">
        <v>221</v>
      </c>
      <c r="Q124" s="555" t="s">
        <v>221</v>
      </c>
      <c r="R124" s="550" t="s">
        <v>221</v>
      </c>
      <c r="S124" s="550" t="s">
        <v>221</v>
      </c>
      <c r="T124" s="550" t="s">
        <v>221</v>
      </c>
      <c r="U124" s="550" t="s">
        <v>221</v>
      </c>
      <c r="V124" s="555" t="s">
        <v>221</v>
      </c>
      <c r="W124" s="165">
        <f t="shared" ref="W124:AB124" si="164">SUM(W119:W120)</f>
        <v>0.16</v>
      </c>
      <c r="X124" s="165">
        <f t="shared" si="164"/>
        <v>0.12</v>
      </c>
      <c r="Y124" s="165">
        <f t="shared" si="164"/>
        <v>0.12</v>
      </c>
      <c r="Z124" s="165">
        <f t="shared" si="164"/>
        <v>0.22</v>
      </c>
      <c r="AA124" s="189">
        <f t="shared" si="164"/>
        <v>0.15</v>
      </c>
      <c r="AB124" s="165">
        <f t="shared" si="164"/>
        <v>0.06</v>
      </c>
      <c r="AC124" s="165">
        <f t="shared" ref="AC124:AK124" si="165">SUM(AC119:AC120)</f>
        <v>0.14000000000000001</v>
      </c>
      <c r="AD124" s="165">
        <f t="shared" si="165"/>
        <v>0.16</v>
      </c>
      <c r="AE124" s="165">
        <f t="shared" si="165"/>
        <v>0.06</v>
      </c>
      <c r="AF124" s="189">
        <f t="shared" si="165"/>
        <v>0.11000000000000001</v>
      </c>
      <c r="AG124" s="165">
        <f t="shared" si="165"/>
        <v>0.06</v>
      </c>
      <c r="AH124" s="165">
        <f t="shared" si="165"/>
        <v>0.06</v>
      </c>
      <c r="AI124" s="165">
        <f t="shared" si="165"/>
        <v>0.03</v>
      </c>
      <c r="AJ124" s="165">
        <f t="shared" si="165"/>
        <v>-1.9999999999999997E-2</v>
      </c>
      <c r="AK124" s="189">
        <f t="shared" si="165"/>
        <v>0.03</v>
      </c>
      <c r="AL124" s="172"/>
      <c r="AM124" s="165"/>
      <c r="AN124" s="165"/>
      <c r="AO124" s="172"/>
      <c r="AP124" s="194"/>
      <c r="AQ124" s="172"/>
      <c r="AR124" s="165"/>
      <c r="AS124" s="172"/>
      <c r="AT124" s="172"/>
      <c r="AU124" s="194"/>
      <c r="AV124" s="172"/>
      <c r="AW124" s="172"/>
      <c r="AX124" s="172"/>
      <c r="AY124" s="172"/>
      <c r="AZ124" s="194"/>
      <c r="BA124" s="172"/>
      <c r="BB124" s="172"/>
      <c r="BC124" s="172"/>
      <c r="BD124" s="172"/>
      <c r="BE124" s="194"/>
      <c r="BF124" s="172"/>
      <c r="BG124" s="172"/>
      <c r="BH124" s="172"/>
      <c r="BI124" s="172"/>
      <c r="BJ124" s="194"/>
      <c r="BK124" s="172"/>
      <c r="BL124" s="172"/>
      <c r="BM124" s="172"/>
      <c r="BN124" s="172"/>
      <c r="BO124" s="194"/>
      <c r="BP124" s="172"/>
      <c r="BQ124" s="172"/>
      <c r="BR124" s="172"/>
      <c r="BS124" s="172"/>
      <c r="BT124" s="194"/>
      <c r="BU124" s="172"/>
      <c r="BV124" s="172"/>
      <c r="BW124" s="172"/>
      <c r="BX124" s="172"/>
      <c r="BY124" s="194"/>
      <c r="BZ124" s="172"/>
      <c r="CA124" s="172"/>
      <c r="CB124" s="172"/>
      <c r="CC124" s="172"/>
      <c r="CD124" s="194"/>
      <c r="CE124" s="172"/>
      <c r="CF124" s="172"/>
      <c r="CG124" s="172"/>
      <c r="CH124" s="172"/>
      <c r="CI124" s="194"/>
      <c r="CJ124" s="172"/>
      <c r="CK124" s="172"/>
      <c r="CL124" s="172"/>
      <c r="CM124" s="172"/>
      <c r="CN124" s="194"/>
      <c r="CO124" s="172"/>
      <c r="CP124" s="172"/>
      <c r="CQ124" s="172"/>
      <c r="CR124" s="172"/>
      <c r="CS124" s="194"/>
      <c r="CT124" s="172"/>
      <c r="CU124" s="172"/>
      <c r="CV124" s="172"/>
      <c r="CW124" s="172"/>
      <c r="CX124" s="194"/>
      <c r="CY124" s="172"/>
      <c r="CZ124" s="172"/>
      <c r="DA124" s="172"/>
      <c r="DB124" s="172"/>
      <c r="DC124" s="194"/>
      <c r="DD124" s="172"/>
      <c r="DE124" s="172"/>
      <c r="DF124" s="172"/>
      <c r="DG124" s="172"/>
      <c r="DH124" s="194"/>
    </row>
    <row r="125" spans="1:112" hidden="1" outlineLevel="2" x14ac:dyDescent="0.2">
      <c r="A125" s="163"/>
      <c r="B125" s="54"/>
      <c r="C125" s="208"/>
      <c r="D125" s="208"/>
      <c r="E125" s="208"/>
      <c r="F125" s="208"/>
      <c r="G125" s="193"/>
      <c r="H125" s="208"/>
      <c r="I125" s="208"/>
      <c r="J125" s="208"/>
      <c r="K125" s="208"/>
      <c r="L125" s="193"/>
      <c r="M125" s="110"/>
      <c r="N125" s="110"/>
      <c r="O125" s="110"/>
      <c r="P125" s="110"/>
      <c r="Q125" s="193"/>
      <c r="R125" s="250"/>
      <c r="S125" s="250"/>
      <c r="T125" s="250"/>
      <c r="U125" s="250"/>
      <c r="V125" s="557"/>
      <c r="W125" s="110"/>
      <c r="X125" s="110"/>
      <c r="Y125" s="110"/>
      <c r="Z125" s="110"/>
      <c r="AA125" s="193"/>
      <c r="AB125" s="110"/>
      <c r="AC125" s="110"/>
      <c r="AD125" s="110"/>
      <c r="AE125" s="110"/>
      <c r="AF125" s="193"/>
      <c r="AG125" s="110"/>
      <c r="AH125" s="110"/>
      <c r="AI125" s="110"/>
      <c r="AJ125" s="111"/>
      <c r="AK125" s="193"/>
      <c r="AL125" s="111"/>
      <c r="AM125" s="110"/>
      <c r="AN125" s="110"/>
      <c r="AO125" s="111"/>
      <c r="AP125" s="193"/>
      <c r="AQ125" s="111"/>
      <c r="AR125" s="110"/>
      <c r="AS125" s="111"/>
      <c r="AT125" s="111"/>
      <c r="AU125" s="193"/>
      <c r="AV125" s="111"/>
      <c r="AW125" s="111"/>
      <c r="AX125" s="111"/>
      <c r="AY125" s="111"/>
      <c r="AZ125" s="193"/>
      <c r="BA125" s="111"/>
      <c r="BB125" s="111"/>
      <c r="BC125" s="111"/>
      <c r="BD125" s="111"/>
      <c r="BE125" s="193"/>
      <c r="BF125" s="111"/>
      <c r="BG125" s="111"/>
      <c r="BH125" s="111"/>
      <c r="BI125" s="111"/>
      <c r="BJ125" s="193"/>
      <c r="BK125" s="111"/>
      <c r="BL125" s="111"/>
      <c r="BM125" s="111"/>
      <c r="BN125" s="111"/>
      <c r="BO125" s="193"/>
      <c r="BP125" s="111"/>
      <c r="BQ125" s="111"/>
      <c r="BR125" s="111"/>
      <c r="BS125" s="111"/>
      <c r="BT125" s="193"/>
      <c r="BU125" s="111"/>
      <c r="BV125" s="111"/>
      <c r="BW125" s="111"/>
      <c r="BX125" s="111"/>
      <c r="BY125" s="193"/>
      <c r="BZ125" s="111"/>
      <c r="CA125" s="111"/>
      <c r="CB125" s="111"/>
      <c r="CC125" s="111"/>
      <c r="CD125" s="193"/>
      <c r="CE125" s="111"/>
      <c r="CF125" s="111"/>
      <c r="CG125" s="111"/>
      <c r="CH125" s="111"/>
      <c r="CI125" s="193"/>
      <c r="CJ125" s="111"/>
      <c r="CK125" s="111"/>
      <c r="CL125" s="111"/>
      <c r="CM125" s="111"/>
      <c r="CN125" s="193"/>
      <c r="CO125" s="111"/>
      <c r="CP125" s="111"/>
      <c r="CQ125" s="111"/>
      <c r="CR125" s="111"/>
      <c r="CS125" s="193"/>
      <c r="CT125" s="111"/>
      <c r="CU125" s="111"/>
      <c r="CV125" s="111"/>
      <c r="CW125" s="111"/>
      <c r="CX125" s="193"/>
      <c r="CY125" s="111"/>
      <c r="CZ125" s="111"/>
      <c r="DA125" s="111"/>
      <c r="DB125" s="111"/>
      <c r="DC125" s="193"/>
      <c r="DD125" s="111"/>
      <c r="DE125" s="111"/>
      <c r="DF125" s="111"/>
      <c r="DG125" s="111"/>
      <c r="DH125" s="193"/>
    </row>
    <row r="126" spans="1:112" hidden="1" outlineLevel="2" x14ac:dyDescent="0.2">
      <c r="A126" s="103" t="s">
        <v>95</v>
      </c>
      <c r="B126" s="54"/>
      <c r="C126" s="208"/>
      <c r="D126" s="208"/>
      <c r="E126" s="208"/>
      <c r="F126" s="208"/>
      <c r="G126" s="193"/>
      <c r="H126" s="208"/>
      <c r="I126" s="208"/>
      <c r="J126" s="208"/>
      <c r="K126" s="208"/>
      <c r="L126" s="193"/>
      <c r="M126" s="110"/>
      <c r="N126" s="110"/>
      <c r="O126" s="110"/>
      <c r="P126" s="110"/>
      <c r="Q126" s="193"/>
      <c r="R126" s="250"/>
      <c r="S126" s="250"/>
      <c r="T126" s="250"/>
      <c r="U126" s="250"/>
      <c r="V126" s="557"/>
      <c r="W126" s="110"/>
      <c r="X126" s="110"/>
      <c r="Y126" s="110"/>
      <c r="Z126" s="110"/>
      <c r="AA126" s="193"/>
      <c r="AB126" s="110"/>
      <c r="AC126" s="110"/>
      <c r="AD126" s="110"/>
      <c r="AE126" s="110"/>
      <c r="AF126" s="193"/>
      <c r="AG126" s="110"/>
      <c r="AH126" s="110"/>
      <c r="AI126" s="110"/>
      <c r="AJ126" s="111"/>
      <c r="AK126" s="193"/>
      <c r="AL126" s="111"/>
      <c r="AM126" s="110"/>
      <c r="AN126" s="110"/>
      <c r="AO126" s="111"/>
      <c r="AP126" s="193"/>
      <c r="AQ126" s="111"/>
      <c r="AR126" s="110"/>
      <c r="AS126" s="111"/>
      <c r="AT126" s="111"/>
      <c r="AU126" s="193"/>
      <c r="AV126" s="111"/>
      <c r="AW126" s="111"/>
      <c r="AX126" s="111"/>
      <c r="AY126" s="111"/>
      <c r="AZ126" s="193"/>
      <c r="BA126" s="111"/>
      <c r="BB126" s="111"/>
      <c r="BC126" s="111"/>
      <c r="BD126" s="111"/>
      <c r="BE126" s="193"/>
      <c r="BF126" s="111"/>
      <c r="BG126" s="111"/>
      <c r="BH126" s="111"/>
      <c r="BI126" s="111"/>
      <c r="BJ126" s="193"/>
      <c r="BK126" s="111"/>
      <c r="BL126" s="111"/>
      <c r="BM126" s="111"/>
      <c r="BN126" s="111"/>
      <c r="BO126" s="193"/>
      <c r="BP126" s="111"/>
      <c r="BQ126" s="111"/>
      <c r="BR126" s="111"/>
      <c r="BS126" s="111"/>
      <c r="BT126" s="193"/>
      <c r="BU126" s="111"/>
      <c r="BV126" s="111"/>
      <c r="BW126" s="111"/>
      <c r="BX126" s="111"/>
      <c r="BY126" s="193"/>
      <c r="BZ126" s="111"/>
      <c r="CA126" s="111"/>
      <c r="CB126" s="111"/>
      <c r="CC126" s="111"/>
      <c r="CD126" s="193"/>
      <c r="CE126" s="111"/>
      <c r="CF126" s="111"/>
      <c r="CG126" s="111"/>
      <c r="CH126" s="111"/>
      <c r="CI126" s="193"/>
      <c r="CJ126" s="111"/>
      <c r="CK126" s="111"/>
      <c r="CL126" s="111"/>
      <c r="CM126" s="111"/>
      <c r="CN126" s="193"/>
      <c r="CO126" s="111"/>
      <c r="CP126" s="111"/>
      <c r="CQ126" s="111"/>
      <c r="CR126" s="111"/>
      <c r="CS126" s="193"/>
      <c r="CT126" s="111"/>
      <c r="CU126" s="111"/>
      <c r="CV126" s="111"/>
      <c r="CW126" s="111"/>
      <c r="CX126" s="193"/>
      <c r="CY126" s="111"/>
      <c r="CZ126" s="111"/>
      <c r="DA126" s="111"/>
      <c r="DB126" s="111"/>
      <c r="DC126" s="193"/>
      <c r="DD126" s="111"/>
      <c r="DE126" s="111"/>
      <c r="DF126" s="111"/>
      <c r="DG126" s="111"/>
      <c r="DH126" s="193"/>
    </row>
    <row r="127" spans="1:112" hidden="1" outlineLevel="2" x14ac:dyDescent="0.2">
      <c r="A127" s="109" t="s">
        <v>207</v>
      </c>
      <c r="B127" s="54"/>
      <c r="C127" s="208"/>
      <c r="D127" s="208"/>
      <c r="E127" s="208"/>
      <c r="F127" s="208"/>
      <c r="G127" s="193"/>
      <c r="H127" s="208"/>
      <c r="I127" s="208"/>
      <c r="J127" s="208"/>
      <c r="K127" s="208"/>
      <c r="L127" s="193"/>
      <c r="M127" s="110"/>
      <c r="N127" s="110"/>
      <c r="O127" s="110"/>
      <c r="P127" s="110"/>
      <c r="Q127" s="193"/>
      <c r="R127" s="250"/>
      <c r="S127" s="250"/>
      <c r="T127" s="250"/>
      <c r="U127" s="250"/>
      <c r="V127" s="557"/>
      <c r="W127" s="110"/>
      <c r="X127" s="110"/>
      <c r="Y127" s="110"/>
      <c r="Z127" s="110"/>
      <c r="AA127" s="193"/>
      <c r="AB127" s="110"/>
      <c r="AC127" s="110"/>
      <c r="AD127" s="110"/>
      <c r="AE127" s="110"/>
      <c r="AF127" s="193"/>
      <c r="AG127" s="110"/>
      <c r="AH127" s="110"/>
      <c r="AI127" s="110"/>
      <c r="AJ127" s="111"/>
      <c r="AK127" s="193"/>
      <c r="AL127" s="111"/>
      <c r="AM127" s="110"/>
      <c r="AN127" s="110"/>
      <c r="AO127" s="111"/>
      <c r="AP127" s="193"/>
      <c r="AQ127" s="111"/>
      <c r="AR127" s="110"/>
      <c r="AS127" s="111"/>
      <c r="AT127" s="111"/>
      <c r="AU127" s="193"/>
      <c r="AV127" s="111"/>
      <c r="AW127" s="111"/>
      <c r="AX127" s="111"/>
      <c r="AY127" s="111"/>
      <c r="AZ127" s="193"/>
      <c r="BA127" s="111"/>
      <c r="BB127" s="111"/>
      <c r="BC127" s="111"/>
      <c r="BD127" s="111"/>
      <c r="BE127" s="193"/>
      <c r="BF127" s="111"/>
      <c r="BG127" s="111"/>
      <c r="BH127" s="111"/>
      <c r="BI127" s="111"/>
      <c r="BJ127" s="193"/>
      <c r="BK127" s="111"/>
      <c r="BL127" s="111"/>
      <c r="BM127" s="111"/>
      <c r="BN127" s="111"/>
      <c r="BO127" s="193"/>
      <c r="BP127" s="111"/>
      <c r="BQ127" s="111"/>
      <c r="BR127" s="111"/>
      <c r="BS127" s="111"/>
      <c r="BT127" s="193"/>
      <c r="BU127" s="111"/>
      <c r="BV127" s="111"/>
      <c r="BW127" s="111"/>
      <c r="BX127" s="111"/>
      <c r="BY127" s="193"/>
      <c r="BZ127" s="111"/>
      <c r="CA127" s="111"/>
      <c r="CB127" s="111"/>
      <c r="CC127" s="111"/>
      <c r="CD127" s="193"/>
      <c r="CE127" s="111"/>
      <c r="CF127" s="111"/>
      <c r="CG127" s="111"/>
      <c r="CH127" s="111"/>
      <c r="CI127" s="193"/>
      <c r="CJ127" s="111"/>
      <c r="CK127" s="111"/>
      <c r="CL127" s="111"/>
      <c r="CM127" s="111"/>
      <c r="CN127" s="193"/>
      <c r="CO127" s="111"/>
      <c r="CP127" s="111"/>
      <c r="CQ127" s="111"/>
      <c r="CR127" s="111"/>
      <c r="CS127" s="193"/>
      <c r="CT127" s="111"/>
      <c r="CU127" s="111"/>
      <c r="CV127" s="111"/>
      <c r="CW127" s="111"/>
      <c r="CX127" s="193"/>
      <c r="CY127" s="111"/>
      <c r="CZ127" s="111"/>
      <c r="DA127" s="111"/>
      <c r="DB127" s="111"/>
      <c r="DC127" s="193"/>
      <c r="DD127" s="111"/>
      <c r="DE127" s="111"/>
      <c r="DF127" s="111"/>
      <c r="DG127" s="111"/>
      <c r="DH127" s="193"/>
    </row>
    <row r="128" spans="1:112" hidden="1" outlineLevel="2" x14ac:dyDescent="0.2">
      <c r="A128" s="109" t="s">
        <v>230</v>
      </c>
      <c r="B128" s="238">
        <v>0.12</v>
      </c>
      <c r="C128" s="208"/>
      <c r="D128" s="208"/>
      <c r="E128" s="208"/>
      <c r="F128" s="208"/>
      <c r="G128" s="193"/>
      <c r="H128" s="250">
        <v>0.17</v>
      </c>
      <c r="I128" s="250">
        <v>0.2</v>
      </c>
      <c r="J128" s="250">
        <v>0.08</v>
      </c>
      <c r="K128" s="250">
        <v>0.06</v>
      </c>
      <c r="L128" s="557">
        <v>0.1</v>
      </c>
      <c r="M128" s="250">
        <v>0.08</v>
      </c>
      <c r="N128" s="250">
        <v>0.05</v>
      </c>
      <c r="O128" s="250">
        <v>0.1</v>
      </c>
      <c r="P128" s="250">
        <v>0.02</v>
      </c>
      <c r="Q128" s="557">
        <v>0.06</v>
      </c>
      <c r="R128" s="250">
        <v>0.09</v>
      </c>
      <c r="S128" s="250">
        <v>7.0000000000000007E-2</v>
      </c>
      <c r="T128" s="250">
        <v>7.0000000000000007E-2</v>
      </c>
      <c r="U128" s="250">
        <v>0.06</v>
      </c>
      <c r="V128" s="557">
        <v>7.0000000000000007E-2</v>
      </c>
      <c r="W128" s="110">
        <v>-0.06</v>
      </c>
      <c r="X128" s="110">
        <v>0.04</v>
      </c>
      <c r="Y128" s="110">
        <v>-0.05</v>
      </c>
      <c r="Z128" s="110">
        <v>0.02</v>
      </c>
      <c r="AA128" s="193">
        <v>0.01</v>
      </c>
      <c r="AB128" s="300" t="s">
        <v>221</v>
      </c>
      <c r="AC128" s="300" t="s">
        <v>221</v>
      </c>
      <c r="AD128" s="300" t="s">
        <v>221</v>
      </c>
      <c r="AE128" s="300" t="s">
        <v>221</v>
      </c>
      <c r="AF128" s="405" t="s">
        <v>221</v>
      </c>
      <c r="AG128" s="300" t="s">
        <v>221</v>
      </c>
      <c r="AH128" s="300" t="s">
        <v>221</v>
      </c>
      <c r="AI128" s="300" t="s">
        <v>221</v>
      </c>
      <c r="AJ128" s="300" t="s">
        <v>221</v>
      </c>
      <c r="AK128" s="405" t="s">
        <v>221</v>
      </c>
      <c r="AL128" s="111"/>
      <c r="AM128" s="110"/>
      <c r="AN128" s="110"/>
      <c r="AO128" s="111"/>
      <c r="AP128" s="193"/>
      <c r="AQ128" s="111"/>
      <c r="AR128" s="110"/>
      <c r="AS128" s="111"/>
      <c r="AT128" s="111"/>
      <c r="AU128" s="193"/>
      <c r="AV128" s="111"/>
      <c r="AW128" s="111"/>
      <c r="AX128" s="111"/>
      <c r="AY128" s="111"/>
      <c r="AZ128" s="193"/>
      <c r="BA128" s="111"/>
      <c r="BB128" s="111"/>
      <c r="BC128" s="111"/>
      <c r="BD128" s="111"/>
      <c r="BE128" s="193"/>
      <c r="BF128" s="111"/>
      <c r="BG128" s="111"/>
      <c r="BH128" s="111"/>
      <c r="BI128" s="111"/>
      <c r="BJ128" s="193"/>
      <c r="BK128" s="111"/>
      <c r="BL128" s="111"/>
      <c r="BM128" s="111"/>
      <c r="BN128" s="111"/>
      <c r="BO128" s="193"/>
      <c r="BP128" s="111"/>
      <c r="BQ128" s="111"/>
      <c r="BR128" s="111"/>
      <c r="BS128" s="111"/>
      <c r="BT128" s="193"/>
      <c r="BU128" s="111"/>
      <c r="BV128" s="111"/>
      <c r="BW128" s="111"/>
      <c r="BX128" s="111"/>
      <c r="BY128" s="193"/>
      <c r="BZ128" s="111"/>
      <c r="CA128" s="111"/>
      <c r="CB128" s="111"/>
      <c r="CC128" s="111"/>
      <c r="CD128" s="193"/>
      <c r="CE128" s="111"/>
      <c r="CF128" s="111"/>
      <c r="CG128" s="111"/>
      <c r="CH128" s="111"/>
      <c r="CI128" s="193"/>
      <c r="CJ128" s="111"/>
      <c r="CK128" s="111"/>
      <c r="CL128" s="111"/>
      <c r="CM128" s="111"/>
      <c r="CN128" s="193"/>
      <c r="CO128" s="111"/>
      <c r="CP128" s="111"/>
      <c r="CQ128" s="111"/>
      <c r="CR128" s="111"/>
      <c r="CS128" s="193"/>
      <c r="CT128" s="111"/>
      <c r="CU128" s="111"/>
      <c r="CV128" s="111"/>
      <c r="CW128" s="111"/>
      <c r="CX128" s="193"/>
      <c r="CY128" s="111"/>
      <c r="CZ128" s="111"/>
      <c r="DA128" s="111"/>
      <c r="DB128" s="111"/>
      <c r="DC128" s="193"/>
      <c r="DD128" s="111"/>
      <c r="DE128" s="111"/>
      <c r="DF128" s="111"/>
      <c r="DG128" s="111"/>
      <c r="DH128" s="193"/>
    </row>
    <row r="129" spans="1:112" hidden="1" outlineLevel="2" x14ac:dyDescent="0.2">
      <c r="A129" s="109" t="s">
        <v>208</v>
      </c>
      <c r="B129" s="54"/>
      <c r="C129" s="208"/>
      <c r="D129" s="208"/>
      <c r="E129" s="208"/>
      <c r="F129" s="208"/>
      <c r="G129" s="193"/>
      <c r="H129" s="250"/>
      <c r="I129" s="250"/>
      <c r="J129" s="250"/>
      <c r="K129" s="250"/>
      <c r="L129" s="557"/>
      <c r="M129" s="250"/>
      <c r="N129" s="250"/>
      <c r="O129" s="250"/>
      <c r="P129" s="250"/>
      <c r="Q129" s="557"/>
      <c r="R129" s="250"/>
      <c r="S129" s="250"/>
      <c r="T129" s="250"/>
      <c r="U129" s="250"/>
      <c r="V129" s="557"/>
      <c r="W129" s="110"/>
      <c r="X129" s="110"/>
      <c r="Y129" s="110"/>
      <c r="Z129" s="110"/>
      <c r="AA129" s="193"/>
      <c r="AB129" s="300"/>
      <c r="AC129" s="300"/>
      <c r="AD129" s="300"/>
      <c r="AE129" s="300"/>
      <c r="AF129" s="405"/>
      <c r="AG129" s="300"/>
      <c r="AH129" s="300"/>
      <c r="AI129" s="300"/>
      <c r="AJ129" s="300"/>
      <c r="AK129" s="405"/>
      <c r="AL129" s="111"/>
      <c r="AM129" s="110"/>
      <c r="AN129" s="110"/>
      <c r="AO129" s="111"/>
      <c r="AP129" s="193"/>
      <c r="AQ129" s="111"/>
      <c r="AR129" s="110"/>
      <c r="AS129" s="111"/>
      <c r="AT129" s="111"/>
      <c r="AU129" s="193"/>
      <c r="AV129" s="111"/>
      <c r="AW129" s="111"/>
      <c r="AX129" s="111"/>
      <c r="AY129" s="111"/>
      <c r="AZ129" s="193"/>
      <c r="BA129" s="111"/>
      <c r="BB129" s="111"/>
      <c r="BC129" s="111"/>
      <c r="BD129" s="111"/>
      <c r="BE129" s="193"/>
      <c r="BF129" s="111"/>
      <c r="BG129" s="111"/>
      <c r="BH129" s="111"/>
      <c r="BI129" s="111"/>
      <c r="BJ129" s="193"/>
      <c r="BK129" s="111"/>
      <c r="BL129" s="111"/>
      <c r="BM129" s="111"/>
      <c r="BN129" s="111"/>
      <c r="BO129" s="193"/>
      <c r="BP129" s="111"/>
      <c r="BQ129" s="111"/>
      <c r="BR129" s="111"/>
      <c r="BS129" s="111"/>
      <c r="BT129" s="193"/>
      <c r="BU129" s="111"/>
      <c r="BV129" s="111"/>
      <c r="BW129" s="111"/>
      <c r="BX129" s="111"/>
      <c r="BY129" s="193"/>
      <c r="BZ129" s="111"/>
      <c r="CA129" s="111"/>
      <c r="CB129" s="111"/>
      <c r="CC129" s="111"/>
      <c r="CD129" s="193"/>
      <c r="CE129" s="111"/>
      <c r="CF129" s="111"/>
      <c r="CG129" s="111"/>
      <c r="CH129" s="111"/>
      <c r="CI129" s="193"/>
      <c r="CJ129" s="111"/>
      <c r="CK129" s="111"/>
      <c r="CL129" s="111"/>
      <c r="CM129" s="111"/>
      <c r="CN129" s="193"/>
      <c r="CO129" s="111"/>
      <c r="CP129" s="111"/>
      <c r="CQ129" s="111"/>
      <c r="CR129" s="111"/>
      <c r="CS129" s="193"/>
      <c r="CT129" s="111"/>
      <c r="CU129" s="111"/>
      <c r="CV129" s="111"/>
      <c r="CW129" s="111"/>
      <c r="CX129" s="193"/>
      <c r="CY129" s="111"/>
      <c r="CZ129" s="111"/>
      <c r="DA129" s="111"/>
      <c r="DB129" s="111"/>
      <c r="DC129" s="193"/>
      <c r="DD129" s="111"/>
      <c r="DE129" s="111"/>
      <c r="DF129" s="111"/>
      <c r="DG129" s="111"/>
      <c r="DH129" s="193"/>
    </row>
    <row r="130" spans="1:112" hidden="1" outlineLevel="2" x14ac:dyDescent="0.2">
      <c r="A130" s="109" t="s">
        <v>230</v>
      </c>
      <c r="B130" s="238">
        <v>0.06</v>
      </c>
      <c r="C130" s="208"/>
      <c r="D130" s="208"/>
      <c r="E130" s="208"/>
      <c r="F130" s="208"/>
      <c r="G130" s="193"/>
      <c r="H130" s="250">
        <v>0.14000000000000001</v>
      </c>
      <c r="I130" s="250">
        <v>0.11</v>
      </c>
      <c r="J130" s="250">
        <v>-0.01</v>
      </c>
      <c r="K130" s="250">
        <v>0.06</v>
      </c>
      <c r="L130" s="557">
        <v>7.0000000000000007E-2</v>
      </c>
      <c r="M130" s="250">
        <v>-0.02</v>
      </c>
      <c r="N130" s="250">
        <v>7.0000000000000007E-2</v>
      </c>
      <c r="O130" s="250">
        <v>0.13</v>
      </c>
      <c r="P130" s="250">
        <v>0.1</v>
      </c>
      <c r="Q130" s="557">
        <v>7.0000000000000007E-2</v>
      </c>
      <c r="R130" s="250">
        <v>0.17</v>
      </c>
      <c r="S130" s="250">
        <v>0.13</v>
      </c>
      <c r="T130" s="250">
        <v>0.04</v>
      </c>
      <c r="U130" s="250">
        <v>0.08</v>
      </c>
      <c r="V130" s="557">
        <v>0.1</v>
      </c>
      <c r="W130" s="110">
        <v>0.02</v>
      </c>
      <c r="X130" s="110">
        <v>0.05</v>
      </c>
      <c r="Y130" s="110">
        <v>0.06</v>
      </c>
      <c r="Z130" s="110">
        <v>-0.03</v>
      </c>
      <c r="AA130" s="193">
        <v>0.02</v>
      </c>
      <c r="AB130" s="300" t="s">
        <v>221</v>
      </c>
      <c r="AC130" s="300" t="s">
        <v>221</v>
      </c>
      <c r="AD130" s="300" t="s">
        <v>221</v>
      </c>
      <c r="AE130" s="300" t="s">
        <v>221</v>
      </c>
      <c r="AF130" s="405" t="s">
        <v>221</v>
      </c>
      <c r="AG130" s="300" t="s">
        <v>221</v>
      </c>
      <c r="AH130" s="300" t="s">
        <v>221</v>
      </c>
      <c r="AI130" s="300" t="s">
        <v>221</v>
      </c>
      <c r="AJ130" s="300" t="s">
        <v>221</v>
      </c>
      <c r="AK130" s="405" t="s">
        <v>221</v>
      </c>
      <c r="AL130" s="111"/>
      <c r="AM130" s="110"/>
      <c r="AN130" s="110"/>
      <c r="AO130" s="111"/>
      <c r="AP130" s="193"/>
      <c r="AQ130" s="111"/>
      <c r="AR130" s="110"/>
      <c r="AS130" s="111"/>
      <c r="AT130" s="111"/>
      <c r="AU130" s="193"/>
      <c r="AV130" s="111"/>
      <c r="AW130" s="111"/>
      <c r="AX130" s="111"/>
      <c r="AY130" s="111"/>
      <c r="AZ130" s="193"/>
      <c r="BA130" s="111"/>
      <c r="BB130" s="111"/>
      <c r="BC130" s="111"/>
      <c r="BD130" s="111"/>
      <c r="BE130" s="193"/>
      <c r="BF130" s="111"/>
      <c r="BG130" s="111"/>
      <c r="BH130" s="111"/>
      <c r="BI130" s="111"/>
      <c r="BJ130" s="193"/>
      <c r="BK130" s="111"/>
      <c r="BL130" s="111"/>
      <c r="BM130" s="111"/>
      <c r="BN130" s="111"/>
      <c r="BO130" s="193"/>
      <c r="BP130" s="111"/>
      <c r="BQ130" s="111"/>
      <c r="BR130" s="111"/>
      <c r="BS130" s="111"/>
      <c r="BT130" s="193"/>
      <c r="BU130" s="111"/>
      <c r="BV130" s="111"/>
      <c r="BW130" s="111"/>
      <c r="BX130" s="111"/>
      <c r="BY130" s="193"/>
      <c r="BZ130" s="111"/>
      <c r="CA130" s="111"/>
      <c r="CB130" s="111"/>
      <c r="CC130" s="111"/>
      <c r="CD130" s="193"/>
      <c r="CE130" s="111"/>
      <c r="CF130" s="111"/>
      <c r="CG130" s="111"/>
      <c r="CH130" s="111"/>
      <c r="CI130" s="193"/>
      <c r="CJ130" s="111"/>
      <c r="CK130" s="111"/>
      <c r="CL130" s="111"/>
      <c r="CM130" s="111"/>
      <c r="CN130" s="193"/>
      <c r="CO130" s="111"/>
      <c r="CP130" s="111"/>
      <c r="CQ130" s="111"/>
      <c r="CR130" s="111"/>
      <c r="CS130" s="193"/>
      <c r="CT130" s="111"/>
      <c r="CU130" s="111"/>
      <c r="CV130" s="111"/>
      <c r="CW130" s="111"/>
      <c r="CX130" s="193"/>
      <c r="CY130" s="111"/>
      <c r="CZ130" s="111"/>
      <c r="DA130" s="111"/>
      <c r="DB130" s="111"/>
      <c r="DC130" s="193"/>
      <c r="DD130" s="111"/>
      <c r="DE130" s="111"/>
      <c r="DF130" s="111"/>
      <c r="DG130" s="111"/>
      <c r="DH130" s="193"/>
    </row>
    <row r="131" spans="1:112" hidden="1" outlineLevel="2" x14ac:dyDescent="0.2">
      <c r="A131" s="109" t="s">
        <v>231</v>
      </c>
      <c r="B131" s="54"/>
      <c r="C131" s="208"/>
      <c r="D131" s="208"/>
      <c r="E131" s="208"/>
      <c r="F131" s="208"/>
      <c r="G131" s="193"/>
      <c r="H131" s="250"/>
      <c r="I131" s="250"/>
      <c r="J131" s="250"/>
      <c r="K131" s="250"/>
      <c r="L131" s="557"/>
      <c r="M131" s="250"/>
      <c r="N131" s="250"/>
      <c r="O131" s="250"/>
      <c r="P131" s="250"/>
      <c r="Q131" s="557"/>
      <c r="R131" s="250"/>
      <c r="S131" s="250"/>
      <c r="T131" s="250"/>
      <c r="U131" s="250"/>
      <c r="V131" s="557"/>
      <c r="W131" s="110"/>
      <c r="X131" s="110"/>
      <c r="Y131" s="110"/>
      <c r="Z131" s="110"/>
      <c r="AA131" s="193"/>
      <c r="AB131" s="300"/>
      <c r="AC131" s="300"/>
      <c r="AD131" s="300"/>
      <c r="AE131" s="300"/>
      <c r="AF131" s="405"/>
      <c r="AG131" s="300"/>
      <c r="AH131" s="300"/>
      <c r="AI131" s="300"/>
      <c r="AJ131" s="300"/>
      <c r="AK131" s="405"/>
      <c r="AL131" s="111"/>
      <c r="AM131" s="110"/>
      <c r="AN131" s="110"/>
      <c r="AO131" s="111"/>
      <c r="AP131" s="193"/>
      <c r="AQ131" s="111"/>
      <c r="AR131" s="110"/>
      <c r="AS131" s="111"/>
      <c r="AT131" s="111"/>
      <c r="AU131" s="193"/>
      <c r="AV131" s="111"/>
      <c r="AW131" s="111"/>
      <c r="AX131" s="111"/>
      <c r="AY131" s="111"/>
      <c r="AZ131" s="193"/>
      <c r="BA131" s="111"/>
      <c r="BB131" s="111"/>
      <c r="BC131" s="111"/>
      <c r="BD131" s="111"/>
      <c r="BE131" s="193"/>
      <c r="BF131" s="111"/>
      <c r="BG131" s="111"/>
      <c r="BH131" s="111"/>
      <c r="BI131" s="111"/>
      <c r="BJ131" s="193"/>
      <c r="BK131" s="111"/>
      <c r="BL131" s="111"/>
      <c r="BM131" s="111"/>
      <c r="BN131" s="111"/>
      <c r="BO131" s="193"/>
      <c r="BP131" s="111"/>
      <c r="BQ131" s="111"/>
      <c r="BR131" s="111"/>
      <c r="BS131" s="111"/>
      <c r="BT131" s="193"/>
      <c r="BU131" s="111"/>
      <c r="BV131" s="111"/>
      <c r="BW131" s="111"/>
      <c r="BX131" s="111"/>
      <c r="BY131" s="193"/>
      <c r="BZ131" s="111"/>
      <c r="CA131" s="111"/>
      <c r="CB131" s="111"/>
      <c r="CC131" s="111"/>
      <c r="CD131" s="193"/>
      <c r="CE131" s="111"/>
      <c r="CF131" s="111"/>
      <c r="CG131" s="111"/>
      <c r="CH131" s="111"/>
      <c r="CI131" s="193"/>
      <c r="CJ131" s="111"/>
      <c r="CK131" s="111"/>
      <c r="CL131" s="111"/>
      <c r="CM131" s="111"/>
      <c r="CN131" s="193"/>
      <c r="CO131" s="111"/>
      <c r="CP131" s="111"/>
      <c r="CQ131" s="111"/>
      <c r="CR131" s="111"/>
      <c r="CS131" s="193"/>
      <c r="CT131" s="111"/>
      <c r="CU131" s="111"/>
      <c r="CV131" s="111"/>
      <c r="CW131" s="111"/>
      <c r="CX131" s="193"/>
      <c r="CY131" s="111"/>
      <c r="CZ131" s="111"/>
      <c r="DA131" s="111"/>
      <c r="DB131" s="111"/>
      <c r="DC131" s="193"/>
      <c r="DD131" s="111"/>
      <c r="DE131" s="111"/>
      <c r="DF131" s="111"/>
      <c r="DG131" s="111"/>
      <c r="DH131" s="193"/>
    </row>
    <row r="132" spans="1:112" hidden="1" outlineLevel="2" x14ac:dyDescent="0.2">
      <c r="A132" s="248" t="s">
        <v>230</v>
      </c>
      <c r="B132" s="254">
        <v>0.08</v>
      </c>
      <c r="C132" s="544"/>
      <c r="D132" s="544"/>
      <c r="E132" s="544"/>
      <c r="F132" s="544"/>
      <c r="G132" s="277"/>
      <c r="H132" s="547">
        <v>0.09</v>
      </c>
      <c r="I132" s="547">
        <v>-0.06</v>
      </c>
      <c r="J132" s="547">
        <v>0.06</v>
      </c>
      <c r="K132" s="547">
        <v>0.03</v>
      </c>
      <c r="L132" s="558">
        <v>0.03</v>
      </c>
      <c r="M132" s="547">
        <v>0.15</v>
      </c>
      <c r="N132" s="547">
        <v>0.12</v>
      </c>
      <c r="O132" s="547">
        <v>7.0000000000000007E-2</v>
      </c>
      <c r="P132" s="547">
        <v>0.16</v>
      </c>
      <c r="Q132" s="558">
        <v>0.12</v>
      </c>
      <c r="R132" s="547">
        <v>0.15</v>
      </c>
      <c r="S132" s="547">
        <v>0.1</v>
      </c>
      <c r="T132" s="547">
        <v>0.14000000000000001</v>
      </c>
      <c r="U132" s="547">
        <v>7.0000000000000007E-2</v>
      </c>
      <c r="V132" s="558">
        <v>0.11</v>
      </c>
      <c r="W132" s="113">
        <v>-0.02</v>
      </c>
      <c r="X132" s="113">
        <v>0.05</v>
      </c>
      <c r="Y132" s="113">
        <v>0.01</v>
      </c>
      <c r="Z132" s="113">
        <v>-0.05</v>
      </c>
      <c r="AA132" s="277">
        <v>-0.01</v>
      </c>
      <c r="AB132" s="307" t="s">
        <v>221</v>
      </c>
      <c r="AC132" s="307" t="s">
        <v>221</v>
      </c>
      <c r="AD132" s="307" t="s">
        <v>221</v>
      </c>
      <c r="AE132" s="307" t="s">
        <v>221</v>
      </c>
      <c r="AF132" s="406" t="s">
        <v>221</v>
      </c>
      <c r="AG132" s="307" t="s">
        <v>221</v>
      </c>
      <c r="AH132" s="307" t="s">
        <v>221</v>
      </c>
      <c r="AI132" s="307" t="s">
        <v>221</v>
      </c>
      <c r="AJ132" s="307" t="s">
        <v>221</v>
      </c>
      <c r="AK132" s="406" t="s">
        <v>221</v>
      </c>
      <c r="AL132" s="112"/>
      <c r="AM132" s="113"/>
      <c r="AN132" s="113"/>
      <c r="AO132" s="112"/>
      <c r="AP132" s="277"/>
      <c r="AQ132" s="112"/>
      <c r="AR132" s="113"/>
      <c r="AS132" s="112"/>
      <c r="AT132" s="112"/>
      <c r="AU132" s="277"/>
      <c r="AV132" s="112"/>
      <c r="AW132" s="112"/>
      <c r="AX132" s="112"/>
      <c r="AY132" s="112"/>
      <c r="AZ132" s="277"/>
      <c r="BA132" s="112"/>
      <c r="BB132" s="112"/>
      <c r="BC132" s="112"/>
      <c r="BD132" s="112"/>
      <c r="BE132" s="277"/>
      <c r="BF132" s="112"/>
      <c r="BG132" s="112"/>
      <c r="BH132" s="112"/>
      <c r="BI132" s="112"/>
      <c r="BJ132" s="277"/>
      <c r="BK132" s="112"/>
      <c r="BL132" s="112"/>
      <c r="BM132" s="112"/>
      <c r="BN132" s="112"/>
      <c r="BO132" s="277"/>
      <c r="BP132" s="112"/>
      <c r="BQ132" s="112"/>
      <c r="BR132" s="112"/>
      <c r="BS132" s="112"/>
      <c r="BT132" s="277"/>
      <c r="BU132" s="112"/>
      <c r="BV132" s="112"/>
      <c r="BW132" s="112"/>
      <c r="BX132" s="112"/>
      <c r="BY132" s="277"/>
      <c r="BZ132" s="112"/>
      <c r="CA132" s="112"/>
      <c r="CB132" s="112"/>
      <c r="CC132" s="112"/>
      <c r="CD132" s="277"/>
      <c r="CE132" s="112"/>
      <c r="CF132" s="112"/>
      <c r="CG132" s="112"/>
      <c r="CH132" s="112"/>
      <c r="CI132" s="277"/>
      <c r="CJ132" s="112"/>
      <c r="CK132" s="112"/>
      <c r="CL132" s="112"/>
      <c r="CM132" s="112"/>
      <c r="CN132" s="277"/>
      <c r="CO132" s="112"/>
      <c r="CP132" s="112"/>
      <c r="CQ132" s="112"/>
      <c r="CR132" s="112"/>
      <c r="CS132" s="277"/>
      <c r="CT132" s="112"/>
      <c r="CU132" s="112"/>
      <c r="CV132" s="112"/>
      <c r="CW132" s="112"/>
      <c r="CX132" s="277"/>
      <c r="CY132" s="112"/>
      <c r="CZ132" s="112"/>
      <c r="DA132" s="112"/>
      <c r="DB132" s="112"/>
      <c r="DC132" s="277"/>
      <c r="DD132" s="112"/>
      <c r="DE132" s="112"/>
      <c r="DF132" s="112"/>
      <c r="DG132" s="112"/>
      <c r="DH132" s="277"/>
    </row>
    <row r="133" spans="1:112" hidden="1" outlineLevel="2" x14ac:dyDescent="0.2">
      <c r="A133" s="103" t="s">
        <v>249</v>
      </c>
      <c r="B133" s="239">
        <f>SUM(B128,B130,B132)</f>
        <v>0.26</v>
      </c>
      <c r="C133" s="302"/>
      <c r="D133" s="302"/>
      <c r="E133" s="302"/>
      <c r="F133" s="302"/>
      <c r="G133" s="194"/>
      <c r="H133" s="197">
        <f t="shared" ref="H133:AA133" si="166">((H128*$B$128)+(H130*$B$130)+(H132*$B$132))/$B$133</f>
        <v>0.13846153846153847</v>
      </c>
      <c r="I133" s="197">
        <f t="shared" si="166"/>
        <v>9.9230769230769247E-2</v>
      </c>
      <c r="J133" s="197">
        <f t="shared" si="166"/>
        <v>5.3076923076923077E-2</v>
      </c>
      <c r="K133" s="197">
        <f t="shared" si="166"/>
        <v>5.0769230769230768E-2</v>
      </c>
      <c r="L133" s="188">
        <f t="shared" si="166"/>
        <v>7.1538461538461537E-2</v>
      </c>
      <c r="M133" s="197">
        <f t="shared" si="166"/>
        <v>7.8461538461538458E-2</v>
      </c>
      <c r="N133" s="197">
        <f t="shared" si="166"/>
        <v>7.6153846153846141E-2</v>
      </c>
      <c r="O133" s="197">
        <f t="shared" si="166"/>
        <v>9.7692307692307689E-2</v>
      </c>
      <c r="P133" s="197">
        <f t="shared" si="166"/>
        <v>8.1538461538461532E-2</v>
      </c>
      <c r="Q133" s="188">
        <f t="shared" si="166"/>
        <v>8.076923076923076E-2</v>
      </c>
      <c r="R133" s="197">
        <f t="shared" si="166"/>
        <v>0.12692307692307692</v>
      </c>
      <c r="S133" s="197">
        <f t="shared" si="166"/>
        <v>9.3076923076923071E-2</v>
      </c>
      <c r="T133" s="197">
        <f t="shared" si="166"/>
        <v>8.461538461538462E-2</v>
      </c>
      <c r="U133" s="197">
        <f t="shared" si="166"/>
        <v>6.7692307692307691E-2</v>
      </c>
      <c r="V133" s="188">
        <f t="shared" si="166"/>
        <v>8.9230769230769238E-2</v>
      </c>
      <c r="W133" s="197">
        <f t="shared" si="166"/>
        <v>-2.923076923076923E-2</v>
      </c>
      <c r="X133" s="197">
        <f t="shared" si="166"/>
        <v>4.5384615384615384E-2</v>
      </c>
      <c r="Y133" s="197">
        <f t="shared" si="166"/>
        <v>-6.1538461538461547E-3</v>
      </c>
      <c r="Z133" s="197">
        <f t="shared" si="166"/>
        <v>-1.3076923076923078E-2</v>
      </c>
      <c r="AA133" s="188">
        <f t="shared" si="166"/>
        <v>6.153846153846153E-3</v>
      </c>
      <c r="AB133" s="165">
        <v>0.03</v>
      </c>
      <c r="AC133" s="165">
        <v>-0.02</v>
      </c>
      <c r="AD133" s="165">
        <v>0.03</v>
      </c>
      <c r="AE133" s="165">
        <v>0.02</v>
      </c>
      <c r="AF133" s="194">
        <v>0.02</v>
      </c>
      <c r="AG133" s="165">
        <v>0.01</v>
      </c>
      <c r="AH133" s="165">
        <v>0.06</v>
      </c>
      <c r="AI133" s="165">
        <v>0.06</v>
      </c>
      <c r="AJ133" s="165">
        <v>0</v>
      </c>
      <c r="AK133" s="194">
        <v>0.03</v>
      </c>
      <c r="AL133" s="172"/>
      <c r="AM133" s="165"/>
      <c r="AN133" s="165"/>
      <c r="AO133" s="172"/>
      <c r="AP133" s="194"/>
      <c r="AQ133" s="172"/>
      <c r="AR133" s="165"/>
      <c r="AS133" s="172"/>
      <c r="AT133" s="172"/>
      <c r="AU133" s="194"/>
      <c r="AV133" s="172"/>
      <c r="AW133" s="172"/>
      <c r="AX133" s="172"/>
      <c r="AY133" s="172"/>
      <c r="AZ133" s="194"/>
      <c r="BA133" s="172"/>
      <c r="BB133" s="172"/>
      <c r="BC133" s="172"/>
      <c r="BD133" s="172"/>
      <c r="BE133" s="194"/>
      <c r="BF133" s="172"/>
      <c r="BG133" s="172"/>
      <c r="BH133" s="172"/>
      <c r="BI133" s="172"/>
      <c r="BJ133" s="194"/>
      <c r="BK133" s="172"/>
      <c r="BL133" s="172"/>
      <c r="BM133" s="172"/>
      <c r="BN133" s="172"/>
      <c r="BO133" s="194"/>
      <c r="BP133" s="172"/>
      <c r="BQ133" s="172"/>
      <c r="BR133" s="172"/>
      <c r="BS133" s="172"/>
      <c r="BT133" s="194"/>
      <c r="BU133" s="172"/>
      <c r="BV133" s="172"/>
      <c r="BW133" s="172"/>
      <c r="BX133" s="172"/>
      <c r="BY133" s="194"/>
      <c r="BZ133" s="172"/>
      <c r="CA133" s="172"/>
      <c r="CB133" s="172"/>
      <c r="CC133" s="172"/>
      <c r="CD133" s="194"/>
      <c r="CE133" s="172"/>
      <c r="CF133" s="172"/>
      <c r="CG133" s="172"/>
      <c r="CH133" s="172"/>
      <c r="CI133" s="194"/>
      <c r="CJ133" s="172"/>
      <c r="CK133" s="172"/>
      <c r="CL133" s="172"/>
      <c r="CM133" s="172"/>
      <c r="CN133" s="194"/>
      <c r="CO133" s="172"/>
      <c r="CP133" s="172"/>
      <c r="CQ133" s="172"/>
      <c r="CR133" s="172"/>
      <c r="CS133" s="194"/>
      <c r="CT133" s="172"/>
      <c r="CU133" s="172"/>
      <c r="CV133" s="172"/>
      <c r="CW133" s="172"/>
      <c r="CX133" s="194"/>
      <c r="CY133" s="172"/>
      <c r="CZ133" s="172"/>
      <c r="DA133" s="172"/>
      <c r="DB133" s="172"/>
      <c r="DC133" s="194"/>
      <c r="DD133" s="172"/>
      <c r="DE133" s="172"/>
      <c r="DF133" s="172"/>
      <c r="DG133" s="172"/>
      <c r="DH133" s="194"/>
    </row>
    <row r="134" spans="1:112" hidden="1" outlineLevel="2" x14ac:dyDescent="0.2">
      <c r="A134" s="105" t="s">
        <v>91</v>
      </c>
      <c r="B134" s="161"/>
      <c r="C134" s="110"/>
      <c r="D134" s="110"/>
      <c r="E134" s="110"/>
      <c r="F134" s="110"/>
      <c r="G134" s="276"/>
      <c r="H134" s="236" t="s">
        <v>221</v>
      </c>
      <c r="I134" s="236" t="s">
        <v>221</v>
      </c>
      <c r="J134" s="236" t="s">
        <v>221</v>
      </c>
      <c r="K134" s="236" t="s">
        <v>221</v>
      </c>
      <c r="L134" s="281" t="s">
        <v>221</v>
      </c>
      <c r="M134" s="236" t="s">
        <v>221</v>
      </c>
      <c r="N134" s="236" t="s">
        <v>221</v>
      </c>
      <c r="O134" s="236" t="s">
        <v>221</v>
      </c>
      <c r="P134" s="236" t="s">
        <v>221</v>
      </c>
      <c r="Q134" s="281" t="s">
        <v>221</v>
      </c>
      <c r="R134" s="236" t="s">
        <v>221</v>
      </c>
      <c r="S134" s="236" t="s">
        <v>221</v>
      </c>
      <c r="T134" s="236" t="s">
        <v>221</v>
      </c>
      <c r="U134" s="236" t="s">
        <v>221</v>
      </c>
      <c r="V134" s="281" t="s">
        <v>221</v>
      </c>
      <c r="W134" s="110">
        <f>W137-W133</f>
        <v>1.9230769230769232E-2</v>
      </c>
      <c r="X134" s="110">
        <f t="shared" ref="X134:AK134" si="167">X137-X133</f>
        <v>4.6153846153846184E-3</v>
      </c>
      <c r="Y134" s="110">
        <f t="shared" si="167"/>
        <v>2.6153846153846156E-2</v>
      </c>
      <c r="Z134" s="110">
        <f t="shared" si="167"/>
        <v>2.3076923076923078E-2</v>
      </c>
      <c r="AA134" s="276">
        <f t="shared" si="167"/>
        <v>1.3846153846153848E-2</v>
      </c>
      <c r="AB134" s="110">
        <f t="shared" si="167"/>
        <v>-1.9999999999999997E-2</v>
      </c>
      <c r="AC134" s="110">
        <f t="shared" si="167"/>
        <v>0.01</v>
      </c>
      <c r="AD134" s="110">
        <f t="shared" si="167"/>
        <v>2.0000000000000004E-2</v>
      </c>
      <c r="AE134" s="110">
        <f t="shared" si="167"/>
        <v>9.9999999999999985E-3</v>
      </c>
      <c r="AF134" s="276">
        <f t="shared" si="167"/>
        <v>0</v>
      </c>
      <c r="AG134" s="110">
        <f t="shared" si="167"/>
        <v>4.9999999999999996E-2</v>
      </c>
      <c r="AH134" s="110">
        <f t="shared" si="167"/>
        <v>0.05</v>
      </c>
      <c r="AI134" s="110">
        <f t="shared" si="167"/>
        <v>4.0000000000000008E-2</v>
      </c>
      <c r="AJ134" s="110">
        <f t="shared" si="167"/>
        <v>0.03</v>
      </c>
      <c r="AK134" s="276">
        <f t="shared" si="167"/>
        <v>4.4999999999999998E-2</v>
      </c>
      <c r="AL134" s="110"/>
      <c r="AM134" s="110"/>
      <c r="AN134" s="110"/>
      <c r="AO134" s="111"/>
      <c r="AP134" s="193"/>
      <c r="AQ134" s="111"/>
      <c r="AR134" s="110"/>
      <c r="AS134" s="111"/>
      <c r="AT134" s="111"/>
      <c r="AU134" s="193"/>
      <c r="AV134" s="111"/>
      <c r="AW134" s="111"/>
      <c r="AX134" s="111"/>
      <c r="AY134" s="111"/>
      <c r="AZ134" s="193"/>
      <c r="BA134" s="111"/>
      <c r="BB134" s="111"/>
      <c r="BC134" s="111"/>
      <c r="BD134" s="111"/>
      <c r="BE134" s="193"/>
      <c r="BF134" s="111"/>
      <c r="BG134" s="111"/>
      <c r="BH134" s="111"/>
      <c r="BI134" s="111"/>
      <c r="BJ134" s="193"/>
      <c r="BK134" s="111"/>
      <c r="BL134" s="111"/>
      <c r="BM134" s="111"/>
      <c r="BN134" s="111"/>
      <c r="BO134" s="193"/>
      <c r="BP134" s="111"/>
      <c r="BQ134" s="111"/>
      <c r="BR134" s="111"/>
      <c r="BS134" s="111"/>
      <c r="BT134" s="193"/>
      <c r="BU134" s="111"/>
      <c r="BV134" s="111"/>
      <c r="BW134" s="111"/>
      <c r="BX134" s="111"/>
      <c r="BY134" s="193"/>
      <c r="BZ134" s="111"/>
      <c r="CA134" s="111"/>
      <c r="CB134" s="111"/>
      <c r="CC134" s="111"/>
      <c r="CD134" s="193"/>
      <c r="CE134" s="111"/>
      <c r="CF134" s="111"/>
      <c r="CG134" s="111"/>
      <c r="CH134" s="111"/>
      <c r="CI134" s="193"/>
      <c r="CJ134" s="111"/>
      <c r="CK134" s="111"/>
      <c r="CL134" s="111"/>
      <c r="CM134" s="111"/>
      <c r="CN134" s="193"/>
      <c r="CO134" s="111"/>
      <c r="CP134" s="111"/>
      <c r="CQ134" s="111"/>
      <c r="CR134" s="111"/>
      <c r="CS134" s="193"/>
      <c r="CT134" s="111"/>
      <c r="CU134" s="111"/>
      <c r="CV134" s="111"/>
      <c r="CW134" s="111"/>
      <c r="CX134" s="193"/>
      <c r="CY134" s="111"/>
      <c r="CZ134" s="111"/>
      <c r="DA134" s="111"/>
      <c r="DB134" s="111"/>
      <c r="DC134" s="193"/>
      <c r="DD134" s="111"/>
      <c r="DE134" s="111"/>
      <c r="DF134" s="111"/>
      <c r="DG134" s="111"/>
      <c r="DH134" s="193"/>
    </row>
    <row r="135" spans="1:112" hidden="1" outlineLevel="2" x14ac:dyDescent="0.2">
      <c r="A135" s="105" t="s">
        <v>96</v>
      </c>
      <c r="B135" s="161"/>
      <c r="C135" s="110"/>
      <c r="D135" s="110"/>
      <c r="E135" s="110"/>
      <c r="F135" s="110"/>
      <c r="G135" s="276"/>
      <c r="H135" s="236" t="s">
        <v>221</v>
      </c>
      <c r="I135" s="236" t="s">
        <v>221</v>
      </c>
      <c r="J135" s="236" t="s">
        <v>221</v>
      </c>
      <c r="K135" s="236" t="s">
        <v>221</v>
      </c>
      <c r="L135" s="281" t="s">
        <v>221</v>
      </c>
      <c r="M135" s="236" t="s">
        <v>221</v>
      </c>
      <c r="N135" s="236" t="s">
        <v>221</v>
      </c>
      <c r="O135" s="236" t="s">
        <v>221</v>
      </c>
      <c r="P135" s="236" t="s">
        <v>221</v>
      </c>
      <c r="Q135" s="281" t="s">
        <v>221</v>
      </c>
      <c r="R135" s="236" t="s">
        <v>221</v>
      </c>
      <c r="S135" s="236" t="s">
        <v>221</v>
      </c>
      <c r="T135" s="236" t="s">
        <v>221</v>
      </c>
      <c r="U135" s="236" t="s">
        <v>221</v>
      </c>
      <c r="V135" s="281" t="s">
        <v>221</v>
      </c>
      <c r="W135" s="110">
        <v>0</v>
      </c>
      <c r="X135" s="110">
        <v>0</v>
      </c>
      <c r="Y135" s="110">
        <v>0</v>
      </c>
      <c r="Z135" s="110">
        <v>0</v>
      </c>
      <c r="AA135" s="276">
        <v>0</v>
      </c>
      <c r="AB135" s="110">
        <v>0</v>
      </c>
      <c r="AC135" s="110">
        <v>0</v>
      </c>
      <c r="AD135" s="110">
        <v>0</v>
      </c>
      <c r="AE135" s="110">
        <v>0</v>
      </c>
      <c r="AF135" s="276">
        <v>0</v>
      </c>
      <c r="AG135" s="110">
        <v>0</v>
      </c>
      <c r="AH135" s="110">
        <v>0</v>
      </c>
      <c r="AI135" s="110">
        <v>0</v>
      </c>
      <c r="AJ135" s="110">
        <v>0</v>
      </c>
      <c r="AK135" s="276">
        <v>0</v>
      </c>
      <c r="AL135" s="110"/>
      <c r="AM135" s="110"/>
      <c r="AN135" s="110"/>
      <c r="AO135" s="111"/>
      <c r="AP135" s="193"/>
      <c r="AQ135" s="111"/>
      <c r="AR135" s="110"/>
      <c r="AS135" s="111"/>
      <c r="AT135" s="111"/>
      <c r="AU135" s="193"/>
      <c r="AV135" s="111"/>
      <c r="AW135" s="111"/>
      <c r="AX135" s="111"/>
      <c r="AY135" s="111"/>
      <c r="AZ135" s="193"/>
      <c r="BA135" s="111"/>
      <c r="BB135" s="111"/>
      <c r="BC135" s="111"/>
      <c r="BD135" s="111"/>
      <c r="BE135" s="193"/>
      <c r="BF135" s="111"/>
      <c r="BG135" s="111"/>
      <c r="BH135" s="111"/>
      <c r="BI135" s="111"/>
      <c r="BJ135" s="193"/>
      <c r="BK135" s="111"/>
      <c r="BL135" s="111"/>
      <c r="BM135" s="111"/>
      <c r="BN135" s="111"/>
      <c r="BO135" s="193"/>
      <c r="BP135" s="111"/>
      <c r="BQ135" s="111"/>
      <c r="BR135" s="111"/>
      <c r="BS135" s="111"/>
      <c r="BT135" s="193"/>
      <c r="BU135" s="111"/>
      <c r="BV135" s="111"/>
      <c r="BW135" s="111"/>
      <c r="BX135" s="111"/>
      <c r="BY135" s="193"/>
      <c r="BZ135" s="111"/>
      <c r="CA135" s="111"/>
      <c r="CB135" s="111"/>
      <c r="CC135" s="111"/>
      <c r="CD135" s="193"/>
      <c r="CE135" s="111"/>
      <c r="CF135" s="111"/>
      <c r="CG135" s="111"/>
      <c r="CH135" s="111"/>
      <c r="CI135" s="193"/>
      <c r="CJ135" s="111"/>
      <c r="CK135" s="111"/>
      <c r="CL135" s="111"/>
      <c r="CM135" s="111"/>
      <c r="CN135" s="193"/>
      <c r="CO135" s="111"/>
      <c r="CP135" s="111"/>
      <c r="CQ135" s="111"/>
      <c r="CR135" s="111"/>
      <c r="CS135" s="193"/>
      <c r="CT135" s="111"/>
      <c r="CU135" s="111"/>
      <c r="CV135" s="111"/>
      <c r="CW135" s="111"/>
      <c r="CX135" s="193"/>
      <c r="CY135" s="111"/>
      <c r="CZ135" s="111"/>
      <c r="DA135" s="111"/>
      <c r="DB135" s="111"/>
      <c r="DC135" s="193"/>
      <c r="DD135" s="111"/>
      <c r="DE135" s="111"/>
      <c r="DF135" s="111"/>
      <c r="DG135" s="111"/>
      <c r="DH135" s="193"/>
    </row>
    <row r="136" spans="1:112" hidden="1" outlineLevel="2" x14ac:dyDescent="0.2">
      <c r="A136" s="105" t="s">
        <v>211</v>
      </c>
      <c r="B136" s="161"/>
      <c r="C136" s="110"/>
      <c r="D136" s="110"/>
      <c r="E136" s="110"/>
      <c r="F136" s="110"/>
      <c r="G136" s="276"/>
      <c r="H136" s="236" t="s">
        <v>221</v>
      </c>
      <c r="I136" s="236" t="s">
        <v>221</v>
      </c>
      <c r="J136" s="236" t="s">
        <v>221</v>
      </c>
      <c r="K136" s="236" t="s">
        <v>221</v>
      </c>
      <c r="L136" s="281" t="s">
        <v>221</v>
      </c>
      <c r="M136" s="236" t="s">
        <v>221</v>
      </c>
      <c r="N136" s="236" t="s">
        <v>221</v>
      </c>
      <c r="O136" s="236" t="s">
        <v>221</v>
      </c>
      <c r="P136" s="236" t="s">
        <v>221</v>
      </c>
      <c r="Q136" s="281" t="s">
        <v>221</v>
      </c>
      <c r="R136" s="236" t="s">
        <v>221</v>
      </c>
      <c r="S136" s="236" t="s">
        <v>221</v>
      </c>
      <c r="T136" s="236" t="s">
        <v>221</v>
      </c>
      <c r="U136" s="236" t="s">
        <v>221</v>
      </c>
      <c r="V136" s="281" t="s">
        <v>221</v>
      </c>
      <c r="W136" s="110">
        <v>0</v>
      </c>
      <c r="X136" s="110">
        <v>0</v>
      </c>
      <c r="Y136" s="110">
        <v>0</v>
      </c>
      <c r="Z136" s="110">
        <v>0</v>
      </c>
      <c r="AA136" s="276">
        <v>0</v>
      </c>
      <c r="AB136" s="110">
        <v>0</v>
      </c>
      <c r="AC136" s="110">
        <v>0</v>
      </c>
      <c r="AD136" s="110">
        <v>0</v>
      </c>
      <c r="AE136" s="110">
        <v>0</v>
      </c>
      <c r="AF136" s="276">
        <v>0</v>
      </c>
      <c r="AG136" s="110">
        <v>0</v>
      </c>
      <c r="AH136" s="110">
        <v>0</v>
      </c>
      <c r="AI136" s="110">
        <v>0</v>
      </c>
      <c r="AJ136" s="110">
        <v>0</v>
      </c>
      <c r="AK136" s="276">
        <v>0</v>
      </c>
      <c r="AL136" s="110"/>
      <c r="AM136" s="110"/>
      <c r="AN136" s="110"/>
      <c r="AO136" s="111"/>
      <c r="AP136" s="193"/>
      <c r="AQ136" s="111"/>
      <c r="AR136" s="110"/>
      <c r="AS136" s="111"/>
      <c r="AT136" s="111"/>
      <c r="AU136" s="193"/>
      <c r="AV136" s="111"/>
      <c r="AW136" s="111"/>
      <c r="AX136" s="111"/>
      <c r="AY136" s="111"/>
      <c r="AZ136" s="193"/>
      <c r="BA136" s="111"/>
      <c r="BB136" s="111"/>
      <c r="BC136" s="111"/>
      <c r="BD136" s="111"/>
      <c r="BE136" s="193"/>
      <c r="BF136" s="111"/>
      <c r="BG136" s="111"/>
      <c r="BH136" s="111"/>
      <c r="BI136" s="111"/>
      <c r="BJ136" s="193"/>
      <c r="BK136" s="111"/>
      <c r="BL136" s="111"/>
      <c r="BM136" s="111"/>
      <c r="BN136" s="111"/>
      <c r="BO136" s="193"/>
      <c r="BP136" s="111"/>
      <c r="BQ136" s="111"/>
      <c r="BR136" s="111"/>
      <c r="BS136" s="111"/>
      <c r="BT136" s="193"/>
      <c r="BU136" s="111"/>
      <c r="BV136" s="111"/>
      <c r="BW136" s="111"/>
      <c r="BX136" s="111"/>
      <c r="BY136" s="193"/>
      <c r="BZ136" s="111"/>
      <c r="CA136" s="111"/>
      <c r="CB136" s="111"/>
      <c r="CC136" s="111"/>
      <c r="CD136" s="193"/>
      <c r="CE136" s="111"/>
      <c r="CF136" s="111"/>
      <c r="CG136" s="111"/>
      <c r="CH136" s="111"/>
      <c r="CI136" s="193"/>
      <c r="CJ136" s="111"/>
      <c r="CK136" s="111"/>
      <c r="CL136" s="111"/>
      <c r="CM136" s="111"/>
      <c r="CN136" s="193"/>
      <c r="CO136" s="111"/>
      <c r="CP136" s="111"/>
      <c r="CQ136" s="111"/>
      <c r="CR136" s="111"/>
      <c r="CS136" s="193"/>
      <c r="CT136" s="111"/>
      <c r="CU136" s="111"/>
      <c r="CV136" s="111"/>
      <c r="CW136" s="111"/>
      <c r="CX136" s="193"/>
      <c r="CY136" s="111"/>
      <c r="CZ136" s="111"/>
      <c r="DA136" s="111"/>
      <c r="DB136" s="111"/>
      <c r="DC136" s="193"/>
      <c r="DD136" s="111"/>
      <c r="DE136" s="111"/>
      <c r="DF136" s="111"/>
      <c r="DG136" s="111"/>
      <c r="DH136" s="193"/>
    </row>
    <row r="137" spans="1:112" hidden="1" outlineLevel="2" x14ac:dyDescent="0.2">
      <c r="A137" s="182" t="s">
        <v>212</v>
      </c>
      <c r="B137" s="167"/>
      <c r="C137" s="312"/>
      <c r="D137" s="312"/>
      <c r="E137" s="312"/>
      <c r="F137" s="312"/>
      <c r="G137" s="190"/>
      <c r="H137" s="552" t="s">
        <v>221</v>
      </c>
      <c r="I137" s="552" t="s">
        <v>221</v>
      </c>
      <c r="J137" s="552" t="s">
        <v>221</v>
      </c>
      <c r="K137" s="552" t="s">
        <v>221</v>
      </c>
      <c r="L137" s="559" t="s">
        <v>221</v>
      </c>
      <c r="M137" s="552" t="s">
        <v>221</v>
      </c>
      <c r="N137" s="552" t="s">
        <v>221</v>
      </c>
      <c r="O137" s="552" t="s">
        <v>221</v>
      </c>
      <c r="P137" s="552" t="s">
        <v>221</v>
      </c>
      <c r="Q137" s="559" t="s">
        <v>221</v>
      </c>
      <c r="R137" s="552" t="s">
        <v>221</v>
      </c>
      <c r="S137" s="552" t="s">
        <v>221</v>
      </c>
      <c r="T137" s="552" t="s">
        <v>221</v>
      </c>
      <c r="U137" s="552" t="s">
        <v>221</v>
      </c>
      <c r="V137" s="559" t="s">
        <v>221</v>
      </c>
      <c r="W137" s="312">
        <v>-0.01</v>
      </c>
      <c r="X137" s="312">
        <v>0.05</v>
      </c>
      <c r="Y137" s="312">
        <v>0.02</v>
      </c>
      <c r="Z137" s="312">
        <v>0.01</v>
      </c>
      <c r="AA137" s="409">
        <v>0.02</v>
      </c>
      <c r="AB137" s="312">
        <v>0.01</v>
      </c>
      <c r="AC137" s="312">
        <v>-0.01</v>
      </c>
      <c r="AD137" s="312">
        <v>0.05</v>
      </c>
      <c r="AE137" s="312">
        <v>0.03</v>
      </c>
      <c r="AF137" s="409">
        <v>0.02</v>
      </c>
      <c r="AG137" s="312">
        <v>0.06</v>
      </c>
      <c r="AH137" s="312">
        <v>0.11</v>
      </c>
      <c r="AI137" s="312">
        <v>0.1</v>
      </c>
      <c r="AJ137" s="312">
        <v>0.03</v>
      </c>
      <c r="AK137" s="409">
        <v>7.4999999999999997E-2</v>
      </c>
      <c r="AL137" s="312"/>
      <c r="AM137" s="312"/>
      <c r="AN137" s="312"/>
      <c r="AO137" s="314"/>
      <c r="AP137" s="278"/>
      <c r="AQ137" s="314"/>
      <c r="AR137" s="312"/>
      <c r="AS137" s="314"/>
      <c r="AT137" s="314"/>
      <c r="AU137" s="278"/>
      <c r="AV137" s="314"/>
      <c r="AW137" s="314"/>
      <c r="AX137" s="314"/>
      <c r="AY137" s="314"/>
      <c r="AZ137" s="278"/>
      <c r="BA137" s="314"/>
      <c r="BB137" s="314"/>
      <c r="BC137" s="314"/>
      <c r="BD137" s="314"/>
      <c r="BE137" s="278"/>
      <c r="BF137" s="314"/>
      <c r="BG137" s="314"/>
      <c r="BH137" s="314"/>
      <c r="BI137" s="314"/>
      <c r="BJ137" s="278"/>
      <c r="BK137" s="314"/>
      <c r="BL137" s="314"/>
      <c r="BM137" s="314"/>
      <c r="BN137" s="314"/>
      <c r="BO137" s="278"/>
      <c r="BP137" s="314"/>
      <c r="BQ137" s="314"/>
      <c r="BR137" s="314"/>
      <c r="BS137" s="314"/>
      <c r="BT137" s="278"/>
      <c r="BU137" s="314"/>
      <c r="BV137" s="314"/>
      <c r="BW137" s="314"/>
      <c r="BX137" s="314"/>
      <c r="BY137" s="278"/>
      <c r="BZ137" s="314"/>
      <c r="CA137" s="314"/>
      <c r="CB137" s="314"/>
      <c r="CC137" s="314"/>
      <c r="CD137" s="278"/>
      <c r="CE137" s="314"/>
      <c r="CF137" s="314"/>
      <c r="CG137" s="314"/>
      <c r="CH137" s="314"/>
      <c r="CI137" s="278"/>
      <c r="CJ137" s="314"/>
      <c r="CK137" s="314"/>
      <c r="CL137" s="314"/>
      <c r="CM137" s="314"/>
      <c r="CN137" s="278"/>
      <c r="CO137" s="314"/>
      <c r="CP137" s="314"/>
      <c r="CQ137" s="314"/>
      <c r="CR137" s="314"/>
      <c r="CS137" s="278"/>
      <c r="CT137" s="314"/>
      <c r="CU137" s="314"/>
      <c r="CV137" s="314"/>
      <c r="CW137" s="314"/>
      <c r="CX137" s="278"/>
      <c r="CY137" s="314"/>
      <c r="CZ137" s="314"/>
      <c r="DA137" s="314"/>
      <c r="DB137" s="314"/>
      <c r="DC137" s="278"/>
      <c r="DD137" s="314"/>
      <c r="DE137" s="314"/>
      <c r="DF137" s="314"/>
      <c r="DG137" s="314"/>
      <c r="DH137" s="278"/>
    </row>
    <row r="138" spans="1:112" hidden="1" outlineLevel="2" x14ac:dyDescent="0.2">
      <c r="A138" s="256" t="s">
        <v>213</v>
      </c>
      <c r="B138" s="161"/>
      <c r="C138" s="165"/>
      <c r="D138" s="165"/>
      <c r="E138" s="165"/>
      <c r="F138" s="165"/>
      <c r="G138" s="189"/>
      <c r="H138" s="553" t="s">
        <v>221</v>
      </c>
      <c r="I138" s="553" t="s">
        <v>221</v>
      </c>
      <c r="J138" s="553" t="s">
        <v>221</v>
      </c>
      <c r="K138" s="553" t="s">
        <v>221</v>
      </c>
      <c r="L138" s="560" t="s">
        <v>221</v>
      </c>
      <c r="M138" s="553" t="s">
        <v>221</v>
      </c>
      <c r="N138" s="553" t="s">
        <v>221</v>
      </c>
      <c r="O138" s="553" t="s">
        <v>221</v>
      </c>
      <c r="P138" s="553" t="s">
        <v>221</v>
      </c>
      <c r="Q138" s="560" t="s">
        <v>221</v>
      </c>
      <c r="R138" s="553" t="s">
        <v>221</v>
      </c>
      <c r="S138" s="553" t="s">
        <v>221</v>
      </c>
      <c r="T138" s="553" t="s">
        <v>221</v>
      </c>
      <c r="U138" s="553" t="s">
        <v>221</v>
      </c>
      <c r="V138" s="560" t="s">
        <v>221</v>
      </c>
      <c r="W138" s="165">
        <f>SUM(W133,W134)</f>
        <v>-9.9999999999999985E-3</v>
      </c>
      <c r="X138" s="165">
        <f t="shared" ref="X138:AK138" si="168">SUM(X133,X134)</f>
        <v>0.05</v>
      </c>
      <c r="Y138" s="165">
        <f t="shared" si="168"/>
        <v>0.02</v>
      </c>
      <c r="Z138" s="165">
        <f t="shared" si="168"/>
        <v>0.01</v>
      </c>
      <c r="AA138" s="189">
        <f t="shared" si="168"/>
        <v>0.02</v>
      </c>
      <c r="AB138" s="165">
        <f t="shared" si="168"/>
        <v>1.0000000000000002E-2</v>
      </c>
      <c r="AC138" s="165">
        <f t="shared" si="168"/>
        <v>-0.01</v>
      </c>
      <c r="AD138" s="165">
        <f t="shared" si="168"/>
        <v>0.05</v>
      </c>
      <c r="AE138" s="165">
        <f t="shared" si="168"/>
        <v>0.03</v>
      </c>
      <c r="AF138" s="189">
        <f t="shared" si="168"/>
        <v>0.02</v>
      </c>
      <c r="AG138" s="165">
        <f t="shared" si="168"/>
        <v>0.06</v>
      </c>
      <c r="AH138" s="165">
        <f t="shared" si="168"/>
        <v>0.11</v>
      </c>
      <c r="AI138" s="165">
        <f t="shared" si="168"/>
        <v>0.1</v>
      </c>
      <c r="AJ138" s="165">
        <f t="shared" si="168"/>
        <v>0.03</v>
      </c>
      <c r="AK138" s="189">
        <f t="shared" si="168"/>
        <v>7.4999999999999997E-2</v>
      </c>
      <c r="AL138" s="165"/>
      <c r="AM138" s="165"/>
      <c r="AN138" s="165"/>
      <c r="AO138" s="172"/>
      <c r="AP138" s="194"/>
      <c r="AQ138" s="172"/>
      <c r="AR138" s="165"/>
      <c r="AS138" s="172"/>
      <c r="AT138" s="172"/>
      <c r="AU138" s="194"/>
      <c r="AV138" s="172"/>
      <c r="AW138" s="172"/>
      <c r="AX138" s="172"/>
      <c r="AY138" s="172"/>
      <c r="AZ138" s="194"/>
      <c r="BA138" s="172"/>
      <c r="BB138" s="172"/>
      <c r="BC138" s="172"/>
      <c r="BD138" s="172"/>
      <c r="BE138" s="194"/>
      <c r="BF138" s="172"/>
      <c r="BG138" s="172"/>
      <c r="BH138" s="172"/>
      <c r="BI138" s="172"/>
      <c r="BJ138" s="194"/>
      <c r="BK138" s="172"/>
      <c r="BL138" s="172"/>
      <c r="BM138" s="172"/>
      <c r="BN138" s="172"/>
      <c r="BO138" s="194"/>
      <c r="BP138" s="172"/>
      <c r="BQ138" s="172"/>
      <c r="BR138" s="172"/>
      <c r="BS138" s="172"/>
      <c r="BT138" s="194"/>
      <c r="BU138" s="172"/>
      <c r="BV138" s="172"/>
      <c r="BW138" s="172"/>
      <c r="BX138" s="172"/>
      <c r="BY138" s="194"/>
      <c r="BZ138" s="172"/>
      <c r="CA138" s="172"/>
      <c r="CB138" s="172"/>
      <c r="CC138" s="172"/>
      <c r="CD138" s="194"/>
      <c r="CE138" s="172"/>
      <c r="CF138" s="172"/>
      <c r="CG138" s="172"/>
      <c r="CH138" s="172"/>
      <c r="CI138" s="194"/>
      <c r="CJ138" s="172"/>
      <c r="CK138" s="172"/>
      <c r="CL138" s="172"/>
      <c r="CM138" s="172"/>
      <c r="CN138" s="194"/>
      <c r="CO138" s="172"/>
      <c r="CP138" s="172"/>
      <c r="CQ138" s="172"/>
      <c r="CR138" s="172"/>
      <c r="CS138" s="194"/>
      <c r="CT138" s="172"/>
      <c r="CU138" s="172"/>
      <c r="CV138" s="172"/>
      <c r="CW138" s="172"/>
      <c r="CX138" s="194"/>
      <c r="CY138" s="172"/>
      <c r="CZ138" s="172"/>
      <c r="DA138" s="172"/>
      <c r="DB138" s="172"/>
      <c r="DC138" s="194"/>
      <c r="DD138" s="172"/>
      <c r="DE138" s="172"/>
      <c r="DF138" s="172"/>
      <c r="DG138" s="172"/>
      <c r="DH138" s="194"/>
    </row>
    <row r="139" spans="1:112" hidden="1" outlineLevel="2" x14ac:dyDescent="0.2">
      <c r="A139" s="182"/>
      <c r="B139" s="167"/>
      <c r="C139" s="113"/>
      <c r="D139" s="113"/>
      <c r="E139" s="113"/>
      <c r="F139" s="113"/>
      <c r="G139" s="279"/>
      <c r="H139" s="113"/>
      <c r="I139" s="113"/>
      <c r="J139" s="113"/>
      <c r="K139" s="113"/>
      <c r="L139" s="279"/>
      <c r="M139" s="199"/>
      <c r="N139" s="199"/>
      <c r="O139" s="199"/>
      <c r="P139" s="199"/>
      <c r="Q139" s="235"/>
      <c r="R139" s="167"/>
      <c r="S139" s="167"/>
      <c r="T139" s="167"/>
      <c r="U139" s="167"/>
      <c r="V139" s="187"/>
      <c r="W139" s="113"/>
      <c r="X139" s="113"/>
      <c r="Y139" s="113"/>
      <c r="Z139" s="113"/>
      <c r="AA139" s="410"/>
      <c r="AB139" s="113"/>
      <c r="AC139" s="113"/>
      <c r="AD139" s="113"/>
      <c r="AE139" s="113"/>
      <c r="AF139" s="410"/>
      <c r="AG139" s="113"/>
      <c r="AH139" s="113"/>
      <c r="AI139" s="113"/>
      <c r="AJ139" s="113"/>
      <c r="AK139" s="410"/>
      <c r="AL139" s="113"/>
      <c r="AM139" s="113"/>
      <c r="AN139" s="113"/>
      <c r="AO139" s="112"/>
      <c r="AP139" s="277"/>
      <c r="AQ139" s="112"/>
      <c r="AR139" s="113"/>
      <c r="AS139" s="112"/>
      <c r="AT139" s="112"/>
      <c r="AU139" s="277"/>
      <c r="AV139" s="112"/>
      <c r="AW139" s="112"/>
      <c r="AX139" s="112"/>
      <c r="AY139" s="112"/>
      <c r="AZ139" s="277"/>
      <c r="BA139" s="112"/>
      <c r="BB139" s="112"/>
      <c r="BC139" s="112"/>
      <c r="BD139" s="112"/>
      <c r="BE139" s="277"/>
      <c r="BF139" s="112"/>
      <c r="BG139" s="112"/>
      <c r="BH139" s="112"/>
      <c r="BI139" s="112"/>
      <c r="BJ139" s="277"/>
      <c r="BK139" s="112"/>
      <c r="BL139" s="112"/>
      <c r="BM139" s="112"/>
      <c r="BN139" s="112"/>
      <c r="BO139" s="277"/>
      <c r="BP139" s="112"/>
      <c r="BQ139" s="112"/>
      <c r="BR139" s="112"/>
      <c r="BS139" s="112"/>
      <c r="BT139" s="277"/>
      <c r="BU139" s="112"/>
      <c r="BV139" s="112"/>
      <c r="BW139" s="112"/>
      <c r="BX139" s="112"/>
      <c r="BY139" s="277"/>
      <c r="BZ139" s="112"/>
      <c r="CA139" s="112"/>
      <c r="CB139" s="112"/>
      <c r="CC139" s="112"/>
      <c r="CD139" s="277"/>
      <c r="CE139" s="112"/>
      <c r="CF139" s="112"/>
      <c r="CG139" s="112"/>
      <c r="CH139" s="112"/>
      <c r="CI139" s="277"/>
      <c r="CJ139" s="112"/>
      <c r="CK139" s="112"/>
      <c r="CL139" s="112"/>
      <c r="CM139" s="112"/>
      <c r="CN139" s="277"/>
      <c r="CO139" s="112"/>
      <c r="CP139" s="112"/>
      <c r="CQ139" s="112"/>
      <c r="CR139" s="112"/>
      <c r="CS139" s="277"/>
      <c r="CT139" s="112"/>
      <c r="CU139" s="112"/>
      <c r="CV139" s="112"/>
      <c r="CW139" s="112"/>
      <c r="CX139" s="277"/>
      <c r="CY139" s="112"/>
      <c r="CZ139" s="112"/>
      <c r="DA139" s="112"/>
      <c r="DB139" s="112"/>
      <c r="DC139" s="277"/>
      <c r="DD139" s="112"/>
      <c r="DE139" s="112"/>
      <c r="DF139" s="112"/>
      <c r="DG139" s="112"/>
      <c r="DH139" s="277"/>
    </row>
    <row r="140" spans="1:112" hidden="1" outlineLevel="2" x14ac:dyDescent="0.2">
      <c r="A140" s="163"/>
      <c r="B140" s="161"/>
      <c r="C140" s="110"/>
      <c r="D140" s="110"/>
      <c r="E140" s="110"/>
      <c r="F140" s="110"/>
      <c r="G140" s="276"/>
      <c r="H140" s="165"/>
      <c r="I140" s="165"/>
      <c r="J140" s="165"/>
      <c r="K140" s="165"/>
      <c r="L140" s="189"/>
      <c r="M140" s="165"/>
      <c r="N140" s="165"/>
      <c r="O140" s="165"/>
      <c r="P140" s="165"/>
      <c r="Q140" s="189"/>
      <c r="R140" s="161"/>
      <c r="S140" s="161"/>
      <c r="T140" s="161"/>
      <c r="U140" s="161"/>
      <c r="V140" s="184"/>
      <c r="W140" s="110"/>
      <c r="X140" s="110"/>
      <c r="Y140" s="110"/>
      <c r="Z140" s="110"/>
      <c r="AA140" s="411"/>
      <c r="AB140" s="110"/>
      <c r="AC140" s="110"/>
      <c r="AD140" s="110"/>
      <c r="AE140" s="110"/>
      <c r="AF140" s="411"/>
      <c r="AG140" s="110"/>
      <c r="AH140" s="110"/>
      <c r="AI140" s="110"/>
      <c r="AJ140" s="110"/>
      <c r="AK140" s="411"/>
      <c r="AL140" s="110"/>
      <c r="AM140" s="110"/>
      <c r="AN140" s="110"/>
      <c r="AO140" s="111"/>
      <c r="AP140" s="193"/>
      <c r="AQ140" s="111"/>
      <c r="AR140" s="110"/>
      <c r="AS140" s="111"/>
      <c r="AT140" s="111"/>
      <c r="AU140" s="193"/>
      <c r="AV140" s="111"/>
      <c r="AW140" s="111"/>
      <c r="AX140" s="111"/>
      <c r="AY140" s="111"/>
      <c r="AZ140" s="193"/>
      <c r="BA140" s="111"/>
      <c r="BB140" s="111"/>
      <c r="BC140" s="111"/>
      <c r="BD140" s="111"/>
      <c r="BE140" s="193"/>
      <c r="BF140" s="111"/>
      <c r="BG140" s="111"/>
      <c r="BH140" s="111"/>
      <c r="BI140" s="111"/>
      <c r="BJ140" s="193"/>
      <c r="BK140" s="111"/>
      <c r="BL140" s="111"/>
      <c r="BM140" s="111"/>
      <c r="BN140" s="111"/>
      <c r="BO140" s="193"/>
      <c r="BP140" s="111"/>
      <c r="BQ140" s="111"/>
      <c r="BR140" s="111"/>
      <c r="BS140" s="111"/>
      <c r="BT140" s="193"/>
      <c r="BU140" s="111"/>
      <c r="BV140" s="111"/>
      <c r="BW140" s="111"/>
      <c r="BX140" s="111"/>
      <c r="BY140" s="193"/>
      <c r="BZ140" s="111"/>
      <c r="CA140" s="111"/>
      <c r="CB140" s="111"/>
      <c r="CC140" s="111"/>
      <c r="CD140" s="193"/>
      <c r="CE140" s="111"/>
      <c r="CF140" s="111"/>
      <c r="CG140" s="111"/>
      <c r="CH140" s="111"/>
      <c r="CI140" s="193"/>
      <c r="CJ140" s="111"/>
      <c r="CK140" s="111"/>
      <c r="CL140" s="111"/>
      <c r="CM140" s="111"/>
      <c r="CN140" s="193"/>
      <c r="CO140" s="111"/>
      <c r="CP140" s="111"/>
      <c r="CQ140" s="111"/>
      <c r="CR140" s="111"/>
      <c r="CS140" s="193"/>
      <c r="CT140" s="111"/>
      <c r="CU140" s="111"/>
      <c r="CV140" s="111"/>
      <c r="CW140" s="111"/>
      <c r="CX140" s="193"/>
      <c r="CY140" s="111"/>
      <c r="CZ140" s="111"/>
      <c r="DA140" s="111"/>
      <c r="DB140" s="111"/>
      <c r="DC140" s="193"/>
      <c r="DD140" s="111"/>
      <c r="DE140" s="111"/>
      <c r="DF140" s="111"/>
      <c r="DG140" s="111"/>
      <c r="DH140" s="193"/>
    </row>
    <row r="141" spans="1:112" hidden="1" outlineLevel="1" collapsed="1" x14ac:dyDescent="0.2">
      <c r="A141" s="102"/>
      <c r="B141" s="161"/>
      <c r="C141" s="302"/>
      <c r="D141" s="302"/>
      <c r="E141" s="302"/>
      <c r="F141" s="302"/>
      <c r="G141" s="194"/>
      <c r="H141" s="302"/>
      <c r="I141" s="302"/>
      <c r="J141" s="302"/>
      <c r="K141" s="302"/>
      <c r="L141" s="194"/>
      <c r="M141" s="165"/>
      <c r="N141" s="165"/>
      <c r="O141" s="165"/>
      <c r="P141" s="165"/>
      <c r="Q141" s="194"/>
      <c r="R141" s="165"/>
      <c r="S141" s="165"/>
      <c r="T141" s="165"/>
      <c r="U141" s="165"/>
      <c r="V141" s="194"/>
      <c r="W141" s="165"/>
      <c r="X141" s="165"/>
      <c r="Y141" s="165"/>
      <c r="Z141" s="165"/>
      <c r="AA141" s="194"/>
      <c r="AB141" s="165"/>
      <c r="AC141" s="165"/>
      <c r="AD141" s="165"/>
      <c r="AE141" s="165"/>
      <c r="AF141" s="194"/>
      <c r="AG141" s="165"/>
      <c r="AH141" s="164"/>
      <c r="AI141" s="165"/>
      <c r="AJ141" s="165"/>
      <c r="AK141" s="194"/>
      <c r="AL141" s="165"/>
      <c r="AM141" s="165"/>
      <c r="AN141" s="165"/>
      <c r="AO141" s="165"/>
      <c r="AP141" s="194"/>
      <c r="AQ141" s="110"/>
      <c r="AR141" s="110"/>
      <c r="AS141" s="110"/>
      <c r="AT141" s="110"/>
      <c r="AU141" s="194"/>
      <c r="AV141" s="110"/>
      <c r="AW141" s="110"/>
      <c r="AX141" s="110"/>
      <c r="AY141" s="110"/>
      <c r="AZ141" s="194"/>
      <c r="BA141" s="110"/>
      <c r="BB141" s="110"/>
      <c r="BC141" s="110"/>
      <c r="BD141" s="110"/>
      <c r="BE141" s="194"/>
      <c r="BF141" s="110"/>
      <c r="BG141" s="110"/>
      <c r="BH141" s="110"/>
      <c r="BI141" s="110"/>
      <c r="BJ141" s="194"/>
      <c r="BK141" s="110"/>
      <c r="BL141" s="110"/>
      <c r="BM141" s="110"/>
      <c r="BN141" s="110"/>
      <c r="BO141" s="194"/>
      <c r="BP141" s="110"/>
      <c r="BQ141" s="110"/>
      <c r="BR141" s="110"/>
      <c r="BS141" s="110"/>
      <c r="BT141" s="194"/>
      <c r="BU141" s="110"/>
      <c r="BV141" s="110"/>
      <c r="BW141" s="110"/>
      <c r="BX141" s="110"/>
      <c r="BY141" s="194"/>
      <c r="BZ141" s="110"/>
      <c r="CA141" s="110"/>
      <c r="CB141" s="110"/>
      <c r="CC141" s="110"/>
      <c r="CD141" s="194"/>
      <c r="CE141" s="110"/>
      <c r="CF141" s="110"/>
      <c r="CG141" s="110"/>
      <c r="CH141" s="110"/>
      <c r="CI141" s="194"/>
      <c r="CJ141" s="110"/>
      <c r="CK141" s="110"/>
      <c r="CL141" s="110"/>
      <c r="CM141" s="110"/>
      <c r="CN141" s="194"/>
      <c r="CO141" s="110"/>
      <c r="CP141" s="110"/>
      <c r="CQ141" s="110"/>
      <c r="CR141" s="110"/>
      <c r="CS141" s="194"/>
      <c r="CT141" s="110"/>
      <c r="CU141" s="110"/>
      <c r="CV141" s="110"/>
      <c r="CW141" s="110"/>
      <c r="CX141" s="194"/>
      <c r="CY141" s="110"/>
      <c r="CZ141" s="110"/>
      <c r="DA141" s="110"/>
      <c r="DB141" s="110"/>
      <c r="DC141" s="194"/>
      <c r="DD141" s="110"/>
      <c r="DE141" s="110"/>
      <c r="DF141" s="110"/>
      <c r="DG141" s="110"/>
      <c r="DH141" s="194"/>
    </row>
    <row r="142" spans="1:112" hidden="1" outlineLevel="1" x14ac:dyDescent="0.2">
      <c r="A142" s="107" t="s">
        <v>88</v>
      </c>
      <c r="B142" s="161"/>
      <c r="C142" s="302"/>
      <c r="D142" s="302"/>
      <c r="E142" s="302"/>
      <c r="F142" s="302"/>
      <c r="G142" s="194"/>
      <c r="H142" s="205"/>
      <c r="I142" s="205"/>
      <c r="J142" s="205"/>
      <c r="K142" s="205"/>
      <c r="L142" s="561"/>
      <c r="M142" s="205"/>
      <c r="N142" s="205"/>
      <c r="O142" s="205"/>
      <c r="P142" s="205"/>
      <c r="Q142" s="561"/>
      <c r="R142" s="205"/>
      <c r="S142" s="205"/>
      <c r="T142" s="205"/>
      <c r="U142" s="205"/>
      <c r="V142" s="561"/>
      <c r="W142" s="165"/>
      <c r="X142" s="165"/>
      <c r="Y142" s="165"/>
      <c r="Z142" s="165"/>
      <c r="AA142" s="335"/>
      <c r="AB142" s="165"/>
      <c r="AC142" s="165"/>
      <c r="AD142" s="165"/>
      <c r="AE142" s="165"/>
      <c r="AF142" s="519"/>
      <c r="AG142" s="205"/>
      <c r="AH142" s="205"/>
      <c r="AI142" s="205"/>
      <c r="AJ142" s="205"/>
      <c r="AK142" s="335">
        <f>AK148*AF22</f>
        <v>56.949999999999996</v>
      </c>
      <c r="AL142" s="205">
        <f t="shared" ref="AL142:AT142" si="169">AL145*AG22</f>
        <v>6.44</v>
      </c>
      <c r="AM142" s="205">
        <f t="shared" si="169"/>
        <v>8.9</v>
      </c>
      <c r="AN142" s="205">
        <f t="shared" si="169"/>
        <v>11.1</v>
      </c>
      <c r="AO142" s="205">
        <f t="shared" si="169"/>
        <v>9.65</v>
      </c>
      <c r="AP142" s="335">
        <f>AP148*AK22</f>
        <v>48.97</v>
      </c>
      <c r="AQ142" s="205">
        <f t="shared" si="169"/>
        <v>2.85</v>
      </c>
      <c r="AR142" s="205">
        <f t="shared" si="169"/>
        <v>-22.99</v>
      </c>
      <c r="AS142" s="205">
        <f t="shared" si="169"/>
        <v>-29.400000000000002</v>
      </c>
      <c r="AT142" s="205">
        <f t="shared" si="169"/>
        <v>-26.88</v>
      </c>
      <c r="AU142" s="335">
        <f>AU148*AP22</f>
        <v>103.02000000000001</v>
      </c>
      <c r="AV142" s="110"/>
      <c r="AW142" s="110"/>
      <c r="AX142" s="110"/>
      <c r="AY142" s="110"/>
      <c r="AZ142" s="194"/>
      <c r="BA142" s="110"/>
      <c r="BB142" s="110"/>
      <c r="BC142" s="110"/>
      <c r="BD142" s="110"/>
      <c r="BE142" s="194"/>
      <c r="BF142" s="110"/>
      <c r="BG142" s="110"/>
      <c r="BH142" s="110"/>
      <c r="BI142" s="110"/>
      <c r="BJ142" s="194"/>
      <c r="BK142" s="110"/>
      <c r="BL142" s="110"/>
      <c r="BM142" s="110"/>
      <c r="BN142" s="110"/>
      <c r="BO142" s="194"/>
      <c r="BP142" s="110"/>
      <c r="BQ142" s="110"/>
      <c r="BR142" s="110"/>
      <c r="BS142" s="110"/>
      <c r="BT142" s="194"/>
      <c r="BU142" s="110"/>
      <c r="BV142" s="110"/>
      <c r="BW142" s="110"/>
      <c r="BX142" s="110"/>
      <c r="BY142" s="194"/>
      <c r="BZ142" s="110"/>
      <c r="CA142" s="110"/>
      <c r="CB142" s="110"/>
      <c r="CC142" s="110"/>
      <c r="CD142" s="194"/>
      <c r="CE142" s="110"/>
      <c r="CF142" s="110"/>
      <c r="CG142" s="110"/>
      <c r="CH142" s="110"/>
      <c r="CI142" s="194"/>
      <c r="CJ142" s="110"/>
      <c r="CK142" s="110"/>
      <c r="CL142" s="110"/>
      <c r="CM142" s="110"/>
      <c r="CN142" s="194"/>
      <c r="CO142" s="110"/>
      <c r="CP142" s="110"/>
      <c r="CQ142" s="110"/>
      <c r="CR142" s="110"/>
      <c r="CS142" s="194"/>
      <c r="CT142" s="110"/>
      <c r="CU142" s="110"/>
      <c r="CV142" s="110"/>
      <c r="CW142" s="110"/>
      <c r="CX142" s="194"/>
      <c r="CY142" s="110"/>
      <c r="CZ142" s="110"/>
      <c r="DA142" s="110"/>
      <c r="DB142" s="110"/>
      <c r="DC142" s="194"/>
      <c r="DD142" s="110"/>
      <c r="DE142" s="110"/>
      <c r="DF142" s="110"/>
      <c r="DG142" s="110"/>
      <c r="DH142" s="194"/>
    </row>
    <row r="143" spans="1:112" hidden="1" outlineLevel="1" x14ac:dyDescent="0.2">
      <c r="A143" s="116" t="s">
        <v>90</v>
      </c>
      <c r="B143" s="239">
        <v>0.13</v>
      </c>
      <c r="C143" s="302"/>
      <c r="D143" s="302"/>
      <c r="E143" s="302"/>
      <c r="F143" s="302"/>
      <c r="G143" s="194"/>
      <c r="H143" s="302">
        <v>0.06</v>
      </c>
      <c r="I143" s="302">
        <v>0.02</v>
      </c>
      <c r="J143" s="302">
        <v>0.01</v>
      </c>
      <c r="K143" s="302">
        <v>-0.03</v>
      </c>
      <c r="L143" s="194">
        <v>0.01</v>
      </c>
      <c r="M143" s="165">
        <v>-0.06</v>
      </c>
      <c r="N143" s="165">
        <v>-0.08</v>
      </c>
      <c r="O143" s="165">
        <v>-0.04</v>
      </c>
      <c r="P143" s="165">
        <v>0.04</v>
      </c>
      <c r="Q143" s="194">
        <v>-0.03</v>
      </c>
      <c r="R143" s="165">
        <v>0.08</v>
      </c>
      <c r="S143" s="165">
        <v>0.04</v>
      </c>
      <c r="T143" s="165">
        <v>0.02</v>
      </c>
      <c r="U143" s="165">
        <v>0.06</v>
      </c>
      <c r="V143" s="194">
        <v>0.05</v>
      </c>
      <c r="W143" s="165">
        <v>7.0000000000000007E-2</v>
      </c>
      <c r="X143" s="165">
        <v>0.13</v>
      </c>
      <c r="Y143" s="165">
        <v>0.09</v>
      </c>
      <c r="Z143" s="165">
        <v>0.13</v>
      </c>
      <c r="AA143" s="194">
        <v>0.1</v>
      </c>
      <c r="AB143" s="165">
        <v>0.14000000000000001</v>
      </c>
      <c r="AC143" s="165">
        <v>0.01</v>
      </c>
      <c r="AD143" s="165">
        <v>0.04</v>
      </c>
      <c r="AE143" s="165">
        <v>0.06</v>
      </c>
      <c r="AF143" s="194">
        <v>0.06</v>
      </c>
      <c r="AG143" s="165">
        <v>0.01</v>
      </c>
      <c r="AH143" s="165">
        <v>0.1</v>
      </c>
      <c r="AI143" s="165">
        <f>13%-1.3%</f>
        <v>0.11700000000000001</v>
      </c>
      <c r="AJ143" s="165">
        <f>12%-4.5%</f>
        <v>7.4999999999999997E-2</v>
      </c>
      <c r="AK143" s="194">
        <f>9%-1.5%</f>
        <v>7.4999999999999997E-2</v>
      </c>
      <c r="AL143" s="165">
        <f>11%-8%</f>
        <v>0.03</v>
      </c>
      <c r="AM143" s="165">
        <f>6%-6%</f>
        <v>0</v>
      </c>
      <c r="AN143" s="165">
        <f>4%-2%</f>
        <v>0.02</v>
      </c>
      <c r="AO143" s="165">
        <v>7.0000000000000007E-2</v>
      </c>
      <c r="AP143" s="194">
        <f>SUMPRODUCT(AL143:AO143,$AG$22:$AJ$22)/$AK$22</f>
        <v>3.0739191073919109E-2</v>
      </c>
      <c r="AQ143" s="165">
        <v>0.05</v>
      </c>
      <c r="AR143" s="165">
        <v>0.04</v>
      </c>
      <c r="AS143" s="48">
        <v>0.02</v>
      </c>
      <c r="AT143" s="48">
        <v>0.03</v>
      </c>
      <c r="AU143" s="194">
        <f>SUMPRODUCT(AQ143:AT143,$AL$22:$AO$22)/$AP$22</f>
        <v>3.4549819927971188E-2</v>
      </c>
      <c r="AV143" s="172"/>
      <c r="AW143" s="172"/>
      <c r="AX143" s="172"/>
      <c r="AY143" s="172"/>
      <c r="AZ143" s="194"/>
      <c r="BA143" s="172"/>
      <c r="BB143" s="172"/>
      <c r="BC143" s="172"/>
      <c r="BD143" s="172"/>
      <c r="BE143" s="194"/>
      <c r="BF143" s="172"/>
      <c r="BG143" s="172"/>
      <c r="BH143" s="172"/>
      <c r="BI143" s="172"/>
      <c r="BJ143" s="194"/>
      <c r="BK143" s="172"/>
      <c r="BL143" s="172"/>
      <c r="BM143" s="172"/>
      <c r="BN143" s="172"/>
      <c r="BO143" s="194"/>
      <c r="BP143" s="172"/>
      <c r="BQ143" s="172"/>
      <c r="BR143" s="172"/>
      <c r="BS143" s="172"/>
      <c r="BT143" s="194"/>
      <c r="BU143" s="172"/>
      <c r="BV143" s="172"/>
      <c r="BW143" s="172"/>
      <c r="BX143" s="172"/>
      <c r="BY143" s="194"/>
      <c r="BZ143" s="172"/>
      <c r="CA143" s="172"/>
      <c r="CB143" s="172"/>
      <c r="CC143" s="172"/>
      <c r="CD143" s="194"/>
      <c r="CE143" s="172"/>
      <c r="CF143" s="172"/>
      <c r="CG143" s="172"/>
      <c r="CH143" s="172"/>
      <c r="CI143" s="194"/>
      <c r="CJ143" s="172"/>
      <c r="CK143" s="172"/>
      <c r="CL143" s="172"/>
      <c r="CM143" s="172"/>
      <c r="CN143" s="194"/>
      <c r="CO143" s="172"/>
      <c r="CP143" s="172"/>
      <c r="CQ143" s="172"/>
      <c r="CR143" s="172"/>
      <c r="CS143" s="194"/>
      <c r="CT143" s="172"/>
      <c r="CU143" s="172"/>
      <c r="CV143" s="172"/>
      <c r="CW143" s="172"/>
      <c r="CX143" s="194"/>
      <c r="CY143" s="172"/>
      <c r="CZ143" s="172"/>
      <c r="DA143" s="172"/>
      <c r="DB143" s="172"/>
      <c r="DC143" s="194"/>
      <c r="DD143" s="172"/>
      <c r="DE143" s="172"/>
      <c r="DF143" s="172"/>
      <c r="DG143" s="172"/>
      <c r="DH143" s="194"/>
    </row>
    <row r="144" spans="1:112" hidden="1" outlineLevel="1" x14ac:dyDescent="0.2">
      <c r="A144" s="109" t="s">
        <v>91</v>
      </c>
      <c r="B144" s="166"/>
      <c r="C144" s="208"/>
      <c r="D144" s="208"/>
      <c r="E144" s="208"/>
      <c r="F144" s="208"/>
      <c r="G144" s="193"/>
      <c r="H144" s="110">
        <f t="shared" ref="H144:V144" si="170">H147-H146-H143-H145</f>
        <v>-1.9999999999999997E-2</v>
      </c>
      <c r="I144" s="110">
        <f t="shared" si="170"/>
        <v>0.04</v>
      </c>
      <c r="J144" s="110">
        <f t="shared" si="170"/>
        <v>-2.0000000000000004E-2</v>
      </c>
      <c r="K144" s="110">
        <f t="shared" si="170"/>
        <v>6.4157534246575332E-2</v>
      </c>
      <c r="L144" s="276">
        <f t="shared" si="170"/>
        <v>2.6604452054794524E-2</v>
      </c>
      <c r="M144" s="110">
        <f t="shared" si="170"/>
        <v>3.7630769230769245E-2</v>
      </c>
      <c r="N144" s="110">
        <f t="shared" si="170"/>
        <v>5.5916666666666656E-2</v>
      </c>
      <c r="O144" s="110">
        <f t="shared" si="170"/>
        <v>0.10879958677685959</v>
      </c>
      <c r="P144" s="110">
        <f t="shared" si="170"/>
        <v>3.3384615384615367E-3</v>
      </c>
      <c r="Q144" s="276">
        <f t="shared" si="170"/>
        <v>4.0275529865125233E-2</v>
      </c>
      <c r="R144" s="110">
        <f t="shared" si="170"/>
        <v>7.0000000000000007E-2</v>
      </c>
      <c r="S144" s="110">
        <f t="shared" si="170"/>
        <v>3.999999999999998E-2</v>
      </c>
      <c r="T144" s="110">
        <f t="shared" si="170"/>
        <v>0.06</v>
      </c>
      <c r="U144" s="110">
        <f t="shared" si="170"/>
        <v>-3.5000000000000003E-2</v>
      </c>
      <c r="V144" s="276">
        <f t="shared" si="170"/>
        <v>3.1521298174442179E-2</v>
      </c>
      <c r="W144" s="110">
        <f t="shared" ref="W144:AO144" si="171">W147-W146-W143-W145</f>
        <v>-2.0000000000000011E-2</v>
      </c>
      <c r="X144" s="110">
        <f t="shared" si="171"/>
        <v>1.9999999999999997E-2</v>
      </c>
      <c r="Y144" s="110">
        <f t="shared" si="171"/>
        <v>-1.9999999999999997E-2</v>
      </c>
      <c r="Z144" s="110">
        <f t="shared" si="171"/>
        <v>6.0000000000000005E-2</v>
      </c>
      <c r="AA144" s="276">
        <f t="shared" si="171"/>
        <v>9.9999999999999898E-3</v>
      </c>
      <c r="AB144" s="110">
        <f t="shared" si="171"/>
        <v>1.6153846153846137E-2</v>
      </c>
      <c r="AC144" s="110">
        <f t="shared" si="171"/>
        <v>4.9999999999999996E-2</v>
      </c>
      <c r="AD144" s="110">
        <f t="shared" si="171"/>
        <v>3.0000000000000006E-2</v>
      </c>
      <c r="AE144" s="110">
        <f t="shared" si="171"/>
        <v>0</v>
      </c>
      <c r="AF144" s="276">
        <f t="shared" si="171"/>
        <v>2.4038461538461536E-2</v>
      </c>
      <c r="AG144" s="110">
        <f t="shared" si="171"/>
        <v>0.04</v>
      </c>
      <c r="AH144" s="110">
        <f t="shared" si="171"/>
        <v>-1.0000000000000009E-2</v>
      </c>
      <c r="AI144" s="110">
        <f t="shared" si="171"/>
        <v>2.9999999999999985E-2</v>
      </c>
      <c r="AJ144" s="110">
        <f t="shared" si="171"/>
        <v>1.5000000000000006E-2</v>
      </c>
      <c r="AK144" s="276">
        <f t="shared" si="171"/>
        <v>1.4123630672926442E-2</v>
      </c>
      <c r="AL144" s="110">
        <f t="shared" si="171"/>
        <v>2.9999999999999992E-2</v>
      </c>
      <c r="AM144" s="110">
        <f t="shared" si="171"/>
        <v>6.0000000000000012E-2</v>
      </c>
      <c r="AN144" s="110">
        <f t="shared" si="171"/>
        <v>2.0000000000000004E-2</v>
      </c>
      <c r="AO144" s="110">
        <f t="shared" si="171"/>
        <v>3.9999999999999994E-2</v>
      </c>
      <c r="AP144" s="193">
        <f>SUMPRODUCT(AL144:AO144,$AG$22:$AJ$22)/$AK$22</f>
        <v>3.7559274755927477E-2</v>
      </c>
      <c r="AQ144" s="110">
        <f>AQ147-AQ146-AQ143-AQ145</f>
        <v>7.5000000000000011E-2</v>
      </c>
      <c r="AR144" s="110">
        <f>AR147-AR146-AR143-AR145</f>
        <v>7.0000000000000007E-2</v>
      </c>
      <c r="AS144" s="110">
        <f>AS147-AS146-AS143-AS145</f>
        <v>0.11047619047619052</v>
      </c>
      <c r="AT144" s="110">
        <f>AT147-AT146-AT143-AT145</f>
        <v>9.8928571428571394E-2</v>
      </c>
      <c r="AU144" s="193">
        <f>SUMPRODUCT(AQ144:AT144,$AL$22:$AO$22)/$AP$22</f>
        <v>8.9123649459783919E-2</v>
      </c>
      <c r="AV144" s="111"/>
      <c r="AW144" s="111"/>
      <c r="AX144" s="111"/>
      <c r="AY144" s="111"/>
      <c r="AZ144" s="193"/>
      <c r="BA144" s="111"/>
      <c r="BB144" s="111"/>
      <c r="BC144" s="111"/>
      <c r="BD144" s="111"/>
      <c r="BE144" s="193"/>
      <c r="BF144" s="111"/>
      <c r="BG144" s="111"/>
      <c r="BH144" s="111"/>
      <c r="BI144" s="111"/>
      <c r="BJ144" s="193"/>
      <c r="BK144" s="111"/>
      <c r="BL144" s="111"/>
      <c r="BM144" s="111"/>
      <c r="BN144" s="111"/>
      <c r="BO144" s="193"/>
      <c r="BP144" s="111"/>
      <c r="BQ144" s="111"/>
      <c r="BR144" s="111"/>
      <c r="BS144" s="111"/>
      <c r="BT144" s="193"/>
      <c r="BU144" s="111"/>
      <c r="BV144" s="111"/>
      <c r="BW144" s="111"/>
      <c r="BX144" s="111"/>
      <c r="BY144" s="193"/>
      <c r="BZ144" s="111"/>
      <c r="CA144" s="111"/>
      <c r="CB144" s="111"/>
      <c r="CC144" s="111"/>
      <c r="CD144" s="193"/>
      <c r="CE144" s="111"/>
      <c r="CF144" s="111"/>
      <c r="CG144" s="111"/>
      <c r="CH144" s="111"/>
      <c r="CI144" s="193"/>
      <c r="CJ144" s="111"/>
      <c r="CK144" s="111"/>
      <c r="CL144" s="111"/>
      <c r="CM144" s="111"/>
      <c r="CN144" s="193"/>
      <c r="CO144" s="111"/>
      <c r="CP144" s="111"/>
      <c r="CQ144" s="111"/>
      <c r="CR144" s="111"/>
      <c r="CS144" s="193"/>
      <c r="CT144" s="111"/>
      <c r="CU144" s="111"/>
      <c r="CV144" s="111"/>
      <c r="CW144" s="111"/>
      <c r="CX144" s="193"/>
      <c r="CY144" s="111"/>
      <c r="CZ144" s="111"/>
      <c r="DA144" s="111"/>
      <c r="DB144" s="111"/>
      <c r="DC144" s="193"/>
      <c r="DD144" s="111"/>
      <c r="DE144" s="111"/>
      <c r="DF144" s="111"/>
      <c r="DG144" s="111"/>
      <c r="DH144" s="193"/>
    </row>
    <row r="145" spans="1:112" hidden="1" outlineLevel="1" x14ac:dyDescent="0.2">
      <c r="A145" s="109" t="s">
        <v>96</v>
      </c>
      <c r="B145" s="166"/>
      <c r="C145" s="208"/>
      <c r="D145" s="208"/>
      <c r="E145" s="208"/>
      <c r="F145" s="208"/>
      <c r="G145" s="193"/>
      <c r="H145" s="110">
        <v>-0.04</v>
      </c>
      <c r="I145" s="110">
        <v>-0.05</v>
      </c>
      <c r="J145" s="110">
        <v>-0.11</v>
      </c>
      <c r="K145" s="110">
        <f>((K30*F23)*0.85)/F22</f>
        <v>-6.4157534246575332E-2</v>
      </c>
      <c r="L145" s="193">
        <f>SUMPRODUCT(H145:K145,$C$22:$F$22)/$G$22</f>
        <v>-6.6604452054794525E-2</v>
      </c>
      <c r="M145" s="110">
        <f>((M30*H23)*0.65)/H22</f>
        <v>-9.8400000000000001E-2</v>
      </c>
      <c r="N145" s="110">
        <f>((N30*I23)*0.65)/I22</f>
        <v>-0.12533695652173915</v>
      </c>
      <c r="O145" s="110">
        <f>((O30*J23)*0.65)/J22</f>
        <v>-2.7477272727272729E-2</v>
      </c>
      <c r="P145" s="110">
        <f>((P30*K23)*0.65)/K22</f>
        <v>2.8199999999999999E-2</v>
      </c>
      <c r="Q145" s="276">
        <f>((Q30*L23)*0.65)/L22</f>
        <v>-5.0371868978805398E-2</v>
      </c>
      <c r="R145" s="110">
        <v>0.02</v>
      </c>
      <c r="S145" s="110">
        <v>0.06</v>
      </c>
      <c r="T145" s="110">
        <v>0.05</v>
      </c>
      <c r="U145" s="110">
        <v>2.5000000000000001E-2</v>
      </c>
      <c r="V145" s="193">
        <f>SUMPRODUCT(R145:U145,$M$22:$P$22)/$Q$22</f>
        <v>3.8478701825557814E-2</v>
      </c>
      <c r="W145" s="110">
        <v>0.01</v>
      </c>
      <c r="X145" s="110">
        <v>0.01</v>
      </c>
      <c r="Y145" s="110">
        <v>0.01</v>
      </c>
      <c r="Z145" s="110">
        <v>0.01</v>
      </c>
      <c r="AA145" s="276">
        <v>0.01</v>
      </c>
      <c r="AB145" s="110">
        <v>5.3846153846153842E-2</v>
      </c>
      <c r="AC145" s="110">
        <v>0</v>
      </c>
      <c r="AD145" s="110">
        <v>0</v>
      </c>
      <c r="AE145" s="110">
        <v>-0.03</v>
      </c>
      <c r="AF145" s="276">
        <v>5.9615384615384608E-3</v>
      </c>
      <c r="AG145" s="110">
        <v>-0.01</v>
      </c>
      <c r="AH145" s="110">
        <v>0</v>
      </c>
      <c r="AI145" s="110">
        <v>0</v>
      </c>
      <c r="AJ145" s="110">
        <v>0.04</v>
      </c>
      <c r="AK145" s="193">
        <f>SUMPRODUCT(AG145:AJ145,$AB$22:$AE$22)/$AF$22</f>
        <v>7.5899843505477316E-3</v>
      </c>
      <c r="AL145" s="110">
        <v>0.04</v>
      </c>
      <c r="AM145" s="47">
        <v>0.05</v>
      </c>
      <c r="AN145" s="110">
        <v>0.06</v>
      </c>
      <c r="AO145" s="110">
        <v>0.05</v>
      </c>
      <c r="AP145" s="193">
        <f>SUMPRODUCT(AL145:AO145,$AG$22:$AJ$22)/$AK$22</f>
        <v>5.0334728033472796E-2</v>
      </c>
      <c r="AQ145" s="154">
        <v>1.4999999999999999E-2</v>
      </c>
      <c r="AR145" s="110">
        <v>-0.11</v>
      </c>
      <c r="AS145" s="110">
        <v>-0.14000000000000001</v>
      </c>
      <c r="AT145" s="110">
        <v>-0.12</v>
      </c>
      <c r="AU145" s="193">
        <f>SUMPRODUCT(AQ145:AT145,$AL$22:$AO$22)/$AP$22</f>
        <v>-9.1740696278511405E-2</v>
      </c>
      <c r="AV145" s="111"/>
      <c r="AW145" s="111"/>
      <c r="AX145" s="111"/>
      <c r="AY145" s="111"/>
      <c r="AZ145" s="193"/>
      <c r="BA145" s="111"/>
      <c r="BB145" s="111"/>
      <c r="BC145" s="111"/>
      <c r="BD145" s="111"/>
      <c r="BE145" s="193"/>
      <c r="BF145" s="111"/>
      <c r="BG145" s="111"/>
      <c r="BH145" s="111"/>
      <c r="BI145" s="111"/>
      <c r="BJ145" s="193"/>
      <c r="BK145" s="111"/>
      <c r="BL145" s="111"/>
      <c r="BM145" s="111"/>
      <c r="BN145" s="111"/>
      <c r="BO145" s="193"/>
      <c r="BP145" s="111"/>
      <c r="BQ145" s="111"/>
      <c r="BR145" s="111"/>
      <c r="BS145" s="111"/>
      <c r="BT145" s="193"/>
      <c r="BU145" s="111"/>
      <c r="BV145" s="111"/>
      <c r="BW145" s="111"/>
      <c r="BX145" s="111"/>
      <c r="BY145" s="193"/>
      <c r="BZ145" s="111"/>
      <c r="CA145" s="111"/>
      <c r="CB145" s="111"/>
      <c r="CC145" s="111"/>
      <c r="CD145" s="193"/>
      <c r="CE145" s="111"/>
      <c r="CF145" s="111"/>
      <c r="CG145" s="111"/>
      <c r="CH145" s="111"/>
      <c r="CI145" s="193"/>
      <c r="CJ145" s="111"/>
      <c r="CK145" s="111"/>
      <c r="CL145" s="111"/>
      <c r="CM145" s="111"/>
      <c r="CN145" s="193"/>
      <c r="CO145" s="111"/>
      <c r="CP145" s="111"/>
      <c r="CQ145" s="111"/>
      <c r="CR145" s="111"/>
      <c r="CS145" s="193"/>
      <c r="CT145" s="111"/>
      <c r="CU145" s="111"/>
      <c r="CV145" s="111"/>
      <c r="CW145" s="111"/>
      <c r="CX145" s="193"/>
      <c r="CY145" s="111"/>
      <c r="CZ145" s="111"/>
      <c r="DA145" s="111"/>
      <c r="DB145" s="111"/>
      <c r="DC145" s="193"/>
      <c r="DD145" s="111"/>
      <c r="DE145" s="111"/>
      <c r="DF145" s="111"/>
      <c r="DG145" s="111"/>
      <c r="DH145" s="193"/>
    </row>
    <row r="146" spans="1:112" hidden="1" outlineLevel="1" x14ac:dyDescent="0.2">
      <c r="A146" s="109" t="s">
        <v>211</v>
      </c>
      <c r="B146" s="166"/>
      <c r="C146" s="208"/>
      <c r="D146" s="208"/>
      <c r="E146" s="208"/>
      <c r="F146" s="208"/>
      <c r="G146" s="193"/>
      <c r="H146" s="110">
        <v>0</v>
      </c>
      <c r="I146" s="110">
        <v>0</v>
      </c>
      <c r="J146" s="110">
        <v>-0.01</v>
      </c>
      <c r="K146" s="110">
        <v>-0.02</v>
      </c>
      <c r="L146" s="276">
        <v>-0.01</v>
      </c>
      <c r="M146" s="110">
        <v>-0.01</v>
      </c>
      <c r="N146" s="110">
        <v>-0.01</v>
      </c>
      <c r="O146" s="110">
        <v>0</v>
      </c>
      <c r="P146" s="110">
        <v>-0.01</v>
      </c>
      <c r="Q146" s="276">
        <v>-0.01</v>
      </c>
      <c r="R146" s="110">
        <v>-0.04</v>
      </c>
      <c r="S146" s="110">
        <v>0.01</v>
      </c>
      <c r="T146" s="110">
        <v>0</v>
      </c>
      <c r="U146" s="110">
        <v>0.04</v>
      </c>
      <c r="V146" s="276">
        <v>0</v>
      </c>
      <c r="W146" s="110">
        <v>0</v>
      </c>
      <c r="X146" s="110">
        <v>0</v>
      </c>
      <c r="Y146" s="110">
        <v>0</v>
      </c>
      <c r="Z146" s="110">
        <v>0</v>
      </c>
      <c r="AA146" s="276">
        <v>0</v>
      </c>
      <c r="AB146" s="110">
        <v>0</v>
      </c>
      <c r="AC146" s="110">
        <v>0</v>
      </c>
      <c r="AD146" s="110">
        <v>0</v>
      </c>
      <c r="AE146" s="110">
        <v>0</v>
      </c>
      <c r="AF146" s="276">
        <v>0</v>
      </c>
      <c r="AG146" s="110">
        <v>0</v>
      </c>
      <c r="AH146" s="110">
        <v>0</v>
      </c>
      <c r="AI146" s="110">
        <v>1.2999999999999999E-2</v>
      </c>
      <c r="AJ146" s="110">
        <f>4.5%+3.5%</f>
        <v>0.08</v>
      </c>
      <c r="AK146" s="193">
        <f>SUMPRODUCT(AG146:AJ146,$AB$22:$AE$22)/$AF$22</f>
        <v>2.3286384976525822E-2</v>
      </c>
      <c r="AL146" s="47">
        <v>0.08</v>
      </c>
      <c r="AM146" s="47">
        <v>0.06</v>
      </c>
      <c r="AN146" s="47">
        <v>0.04</v>
      </c>
      <c r="AO146" s="110">
        <v>0</v>
      </c>
      <c r="AP146" s="193">
        <f>SUMPRODUCT(AL146:AO146,$AG$22:$AJ$22)/$AK$22</f>
        <v>4.3179916317991632E-2</v>
      </c>
      <c r="AQ146" s="47">
        <v>0</v>
      </c>
      <c r="AR146" s="47">
        <v>0</v>
      </c>
      <c r="AS146" s="47">
        <v>0</v>
      </c>
      <c r="AT146" s="47">
        <v>0</v>
      </c>
      <c r="AU146" s="193">
        <f>SUMPRODUCT(AQ146:AT146,$AL$22:$AO$22)/$AP$22</f>
        <v>0</v>
      </c>
      <c r="AV146" s="111"/>
      <c r="AW146" s="111"/>
      <c r="AX146" s="111"/>
      <c r="AY146" s="111"/>
      <c r="AZ146" s="193"/>
      <c r="BA146" s="111"/>
      <c r="BB146" s="111"/>
      <c r="BC146" s="111"/>
      <c r="BD146" s="111"/>
      <c r="BE146" s="193"/>
      <c r="BF146" s="111"/>
      <c r="BG146" s="111"/>
      <c r="BH146" s="111"/>
      <c r="BI146" s="111"/>
      <c r="BJ146" s="193"/>
      <c r="BK146" s="111"/>
      <c r="BL146" s="111"/>
      <c r="BM146" s="111"/>
      <c r="BN146" s="111"/>
      <c r="BO146" s="193"/>
      <c r="BP146" s="111"/>
      <c r="BQ146" s="111"/>
      <c r="BR146" s="111"/>
      <c r="BS146" s="111"/>
      <c r="BT146" s="193"/>
      <c r="BU146" s="111"/>
      <c r="BV146" s="111"/>
      <c r="BW146" s="111"/>
      <c r="BX146" s="111"/>
      <c r="BY146" s="193"/>
      <c r="BZ146" s="111"/>
      <c r="CA146" s="111"/>
      <c r="CB146" s="111"/>
      <c r="CC146" s="111"/>
      <c r="CD146" s="193"/>
      <c r="CE146" s="111"/>
      <c r="CF146" s="111"/>
      <c r="CG146" s="111"/>
      <c r="CH146" s="111"/>
      <c r="CI146" s="193"/>
      <c r="CJ146" s="111"/>
      <c r="CK146" s="111"/>
      <c r="CL146" s="111"/>
      <c r="CM146" s="111"/>
      <c r="CN146" s="193"/>
      <c r="CO146" s="111"/>
      <c r="CP146" s="111"/>
      <c r="CQ146" s="111"/>
      <c r="CR146" s="111"/>
      <c r="CS146" s="193"/>
      <c r="CT146" s="111"/>
      <c r="CU146" s="111"/>
      <c r="CV146" s="111"/>
      <c r="CW146" s="111"/>
      <c r="CX146" s="193"/>
      <c r="CY146" s="111"/>
      <c r="CZ146" s="111"/>
      <c r="DA146" s="111"/>
      <c r="DB146" s="111"/>
      <c r="DC146" s="193"/>
      <c r="DD146" s="111"/>
      <c r="DE146" s="111"/>
      <c r="DF146" s="111"/>
      <c r="DG146" s="111"/>
      <c r="DH146" s="193"/>
    </row>
    <row r="147" spans="1:112" hidden="1" outlineLevel="1" x14ac:dyDescent="0.2">
      <c r="A147" s="182" t="s">
        <v>212</v>
      </c>
      <c r="B147" s="249"/>
      <c r="C147" s="543"/>
      <c r="D147" s="543"/>
      <c r="E147" s="543"/>
      <c r="F147" s="543"/>
      <c r="G147" s="190"/>
      <c r="H147" s="312">
        <v>0</v>
      </c>
      <c r="I147" s="312">
        <v>0.01</v>
      </c>
      <c r="J147" s="312">
        <v>-0.13</v>
      </c>
      <c r="K147" s="312">
        <v>-0.05</v>
      </c>
      <c r="L147" s="190">
        <v>-0.04</v>
      </c>
      <c r="M147" s="312">
        <f>M22/H22-1</f>
        <v>-0.13076923076923075</v>
      </c>
      <c r="N147" s="312">
        <f>N22/I22-1</f>
        <v>-0.15942028985507251</v>
      </c>
      <c r="O147" s="312">
        <f>O22/J22-1</f>
        <v>4.1322314049586861E-2</v>
      </c>
      <c r="P147" s="312">
        <f>P22/K22-1</f>
        <v>6.1538461538461542E-2</v>
      </c>
      <c r="Q147" s="190">
        <f>Q22/L22-1</f>
        <v>-5.0096339113680166E-2</v>
      </c>
      <c r="R147" s="312">
        <v>0.13</v>
      </c>
      <c r="S147" s="312">
        <v>0.15</v>
      </c>
      <c r="T147" s="312">
        <v>0.13</v>
      </c>
      <c r="U147" s="312">
        <v>0.09</v>
      </c>
      <c r="V147" s="190">
        <v>0.12</v>
      </c>
      <c r="W147" s="312">
        <v>0.06</v>
      </c>
      <c r="X147" s="312">
        <v>0.16</v>
      </c>
      <c r="Y147" s="312">
        <v>0.08</v>
      </c>
      <c r="Z147" s="312">
        <v>0.2</v>
      </c>
      <c r="AA147" s="190">
        <v>0.12</v>
      </c>
      <c r="AB147" s="312">
        <v>0.21</v>
      </c>
      <c r="AC147" s="312">
        <v>0.06</v>
      </c>
      <c r="AD147" s="312">
        <v>7.0000000000000007E-2</v>
      </c>
      <c r="AE147" s="312">
        <v>0.03</v>
      </c>
      <c r="AF147" s="190">
        <v>0.09</v>
      </c>
      <c r="AG147" s="312">
        <v>0.04</v>
      </c>
      <c r="AH147" s="312">
        <v>0.09</v>
      </c>
      <c r="AI147" s="312">
        <v>0.16</v>
      </c>
      <c r="AJ147" s="312">
        <v>0.21</v>
      </c>
      <c r="AK147" s="190">
        <v>0.12</v>
      </c>
      <c r="AL147" s="113">
        <v>0.18</v>
      </c>
      <c r="AM147" s="113">
        <v>0.17</v>
      </c>
      <c r="AN147" s="113">
        <v>0.14000000000000001</v>
      </c>
      <c r="AO147" s="113">
        <v>0.16</v>
      </c>
      <c r="AP147" s="279">
        <v>0.16</v>
      </c>
      <c r="AQ147" s="113">
        <v>0.14000000000000001</v>
      </c>
      <c r="AR147" s="113">
        <v>0</v>
      </c>
      <c r="AS147" s="113">
        <f>AS22/AN22-1</f>
        <v>-9.52380952380949E-3</v>
      </c>
      <c r="AT147" s="113">
        <f>AT22/AO22-1</f>
        <v>8.9285714285713969E-3</v>
      </c>
      <c r="AU147" s="277">
        <f>SUMPRODUCT(AQ147:AT147,$AL$22:$AO$22)/$AP$22</f>
        <v>3.1932773109243702E-2</v>
      </c>
      <c r="AV147" s="312"/>
      <c r="AW147" s="312"/>
      <c r="AX147" s="312"/>
      <c r="AY147" s="312"/>
      <c r="AZ147" s="190"/>
      <c r="BA147" s="312"/>
      <c r="BB147" s="312"/>
      <c r="BC147" s="312"/>
      <c r="BD147" s="312"/>
      <c r="BE147" s="190"/>
      <c r="BF147" s="312"/>
      <c r="BG147" s="312"/>
      <c r="BH147" s="312"/>
      <c r="BI147" s="312"/>
      <c r="BJ147" s="190"/>
      <c r="BK147" s="312"/>
      <c r="BL147" s="312"/>
      <c r="BM147" s="312"/>
      <c r="BN147" s="312"/>
      <c r="BO147" s="190"/>
      <c r="BP147" s="312"/>
      <c r="BQ147" s="312"/>
      <c r="BR147" s="312"/>
      <c r="BS147" s="312"/>
      <c r="BT147" s="190"/>
      <c r="BU147" s="312"/>
      <c r="BV147" s="312"/>
      <c r="BW147" s="312"/>
      <c r="BX147" s="312"/>
      <c r="BY147" s="190"/>
      <c r="BZ147" s="312"/>
      <c r="CA147" s="312"/>
      <c r="CB147" s="312"/>
      <c r="CC147" s="312"/>
      <c r="CD147" s="190"/>
      <c r="CE147" s="312"/>
      <c r="CF147" s="312"/>
      <c r="CG147" s="312"/>
      <c r="CH147" s="312"/>
      <c r="CI147" s="190"/>
      <c r="CJ147" s="312"/>
      <c r="CK147" s="312"/>
      <c r="CL147" s="312"/>
      <c r="CM147" s="312"/>
      <c r="CN147" s="190"/>
      <c r="CO147" s="312"/>
      <c r="CP147" s="312"/>
      <c r="CQ147" s="312"/>
      <c r="CR147" s="312"/>
      <c r="CS147" s="190"/>
      <c r="CT147" s="312"/>
      <c r="CU147" s="312"/>
      <c r="CV147" s="312"/>
      <c r="CW147" s="312"/>
      <c r="CX147" s="190"/>
      <c r="CY147" s="312"/>
      <c r="CZ147" s="312"/>
      <c r="DA147" s="312"/>
      <c r="DB147" s="312"/>
      <c r="DC147" s="190"/>
      <c r="DD147" s="312"/>
      <c r="DE147" s="312"/>
      <c r="DF147" s="312"/>
      <c r="DG147" s="312"/>
      <c r="DH147" s="190"/>
    </row>
    <row r="148" spans="1:112" hidden="1" outlineLevel="1" x14ac:dyDescent="0.2">
      <c r="A148" s="163" t="s">
        <v>213</v>
      </c>
      <c r="B148" s="161"/>
      <c r="C148" s="161"/>
      <c r="D148" s="161"/>
      <c r="E148" s="161"/>
      <c r="F148" s="161"/>
      <c r="G148" s="184"/>
      <c r="H148" s="165">
        <f t="shared" ref="H148:V148" si="172">H143+H144</f>
        <v>0.04</v>
      </c>
      <c r="I148" s="165">
        <f t="shared" si="172"/>
        <v>0.06</v>
      </c>
      <c r="J148" s="165">
        <f t="shared" si="172"/>
        <v>-1.0000000000000004E-2</v>
      </c>
      <c r="K148" s="165">
        <f t="shared" si="172"/>
        <v>3.4157534246575333E-2</v>
      </c>
      <c r="L148" s="189">
        <f t="shared" si="172"/>
        <v>3.6604452054794526E-2</v>
      </c>
      <c r="M148" s="165">
        <f t="shared" si="172"/>
        <v>-2.2369230769230752E-2</v>
      </c>
      <c r="N148" s="165">
        <f t="shared" si="172"/>
        <v>-2.4083333333333345E-2</v>
      </c>
      <c r="O148" s="165">
        <f t="shared" si="172"/>
        <v>6.87995867768596E-2</v>
      </c>
      <c r="P148" s="165">
        <f t="shared" si="172"/>
        <v>4.3338461538461534E-2</v>
      </c>
      <c r="Q148" s="189">
        <f t="shared" si="172"/>
        <v>1.0275529865125234E-2</v>
      </c>
      <c r="R148" s="48">
        <f t="shared" si="172"/>
        <v>0.15000000000000002</v>
      </c>
      <c r="S148" s="48">
        <f t="shared" si="172"/>
        <v>7.9999999999999988E-2</v>
      </c>
      <c r="T148" s="48">
        <f t="shared" si="172"/>
        <v>0.08</v>
      </c>
      <c r="U148" s="48">
        <f t="shared" si="172"/>
        <v>2.4999999999999994E-2</v>
      </c>
      <c r="V148" s="188">
        <f t="shared" si="172"/>
        <v>8.1521298174442175E-2</v>
      </c>
      <c r="W148" s="48">
        <f t="shared" ref="W148:AK148" si="173">W143+W144</f>
        <v>4.9999999999999996E-2</v>
      </c>
      <c r="X148" s="48">
        <f t="shared" si="173"/>
        <v>0.15</v>
      </c>
      <c r="Y148" s="48">
        <f t="shared" si="173"/>
        <v>7.0000000000000007E-2</v>
      </c>
      <c r="Z148" s="48">
        <f t="shared" si="173"/>
        <v>0.19</v>
      </c>
      <c r="AA148" s="188">
        <f t="shared" si="173"/>
        <v>0.11</v>
      </c>
      <c r="AB148" s="48">
        <f t="shared" si="173"/>
        <v>0.15615384615384614</v>
      </c>
      <c r="AC148" s="48">
        <f t="shared" si="173"/>
        <v>0.06</v>
      </c>
      <c r="AD148" s="48">
        <f t="shared" si="173"/>
        <v>7.0000000000000007E-2</v>
      </c>
      <c r="AE148" s="48">
        <f t="shared" si="173"/>
        <v>0.06</v>
      </c>
      <c r="AF148" s="188">
        <f t="shared" si="173"/>
        <v>8.4038461538461534E-2</v>
      </c>
      <c r="AG148" s="48">
        <f t="shared" si="173"/>
        <v>0.05</v>
      </c>
      <c r="AH148" s="48">
        <f t="shared" si="173"/>
        <v>0.09</v>
      </c>
      <c r="AI148" s="48">
        <f t="shared" si="173"/>
        <v>0.14699999999999999</v>
      </c>
      <c r="AJ148" s="48">
        <f t="shared" si="173"/>
        <v>0.09</v>
      </c>
      <c r="AK148" s="188">
        <f t="shared" si="173"/>
        <v>8.9123630672926446E-2</v>
      </c>
      <c r="AL148" s="48">
        <f>AL143+AL144</f>
        <v>5.9999999999999991E-2</v>
      </c>
      <c r="AM148" s="48">
        <f t="shared" ref="AM148:AR148" si="174">AM143+AM144</f>
        <v>6.0000000000000012E-2</v>
      </c>
      <c r="AN148" s="48">
        <f t="shared" si="174"/>
        <v>4.0000000000000008E-2</v>
      </c>
      <c r="AO148" s="48">
        <f t="shared" si="174"/>
        <v>0.11</v>
      </c>
      <c r="AP148" s="188">
        <f t="shared" si="174"/>
        <v>6.8298465829846583E-2</v>
      </c>
      <c r="AQ148" s="48">
        <f t="shared" si="174"/>
        <v>0.125</v>
      </c>
      <c r="AR148" s="48">
        <f t="shared" si="174"/>
        <v>0.11000000000000001</v>
      </c>
      <c r="AS148" s="48">
        <f>AS143+AS144</f>
        <v>0.13047619047619052</v>
      </c>
      <c r="AT148" s="48">
        <f>AT143+AT144</f>
        <v>0.12892857142857139</v>
      </c>
      <c r="AU148" s="188">
        <f>AU143+AU144</f>
        <v>0.12367346938775511</v>
      </c>
      <c r="AV148" s="161"/>
      <c r="AW148" s="161"/>
      <c r="AX148" s="161"/>
      <c r="AY148" s="161"/>
      <c r="AZ148" s="184"/>
      <c r="BA148" s="161"/>
      <c r="BB148" s="161"/>
      <c r="BC148" s="161"/>
      <c r="BD148" s="161"/>
      <c r="BE148" s="184"/>
      <c r="BF148" s="161"/>
      <c r="BG148" s="161"/>
      <c r="BH148" s="161"/>
      <c r="BI148" s="161"/>
      <c r="BJ148" s="184"/>
      <c r="BK148" s="161"/>
      <c r="BL148" s="161"/>
      <c r="BM148" s="161"/>
      <c r="BN148" s="161"/>
      <c r="BO148" s="184"/>
      <c r="BP148" s="161"/>
      <c r="BQ148" s="161"/>
      <c r="BR148" s="161"/>
      <c r="BS148" s="161"/>
      <c r="BT148" s="184"/>
      <c r="BU148" s="161"/>
      <c r="BV148" s="161"/>
      <c r="BW148" s="161"/>
      <c r="BX148" s="161"/>
      <c r="BY148" s="184"/>
      <c r="BZ148" s="161"/>
      <c r="CA148" s="161"/>
      <c r="CB148" s="161"/>
      <c r="CC148" s="161"/>
      <c r="CD148" s="184"/>
      <c r="CE148" s="161"/>
      <c r="CF148" s="161"/>
      <c r="CG148" s="161"/>
      <c r="CH148" s="161"/>
      <c r="CI148" s="184"/>
      <c r="CJ148" s="161"/>
      <c r="CK148" s="161"/>
      <c r="CL148" s="161"/>
      <c r="CM148" s="161"/>
      <c r="CN148" s="184"/>
      <c r="CO148" s="161"/>
      <c r="CP148" s="161"/>
      <c r="CQ148" s="161"/>
      <c r="CR148" s="161"/>
      <c r="CS148" s="184"/>
      <c r="CT148" s="161"/>
      <c r="CU148" s="161"/>
      <c r="CV148" s="161"/>
      <c r="CW148" s="161"/>
      <c r="CX148" s="184"/>
      <c r="CY148" s="161"/>
      <c r="CZ148" s="161"/>
      <c r="DA148" s="161"/>
      <c r="DB148" s="161"/>
      <c r="DC148" s="184"/>
      <c r="DD148" s="161"/>
      <c r="DE148" s="161"/>
      <c r="DF148" s="161"/>
      <c r="DG148" s="161"/>
      <c r="DH148" s="184"/>
    </row>
    <row r="149" spans="1:112" collapsed="1" x14ac:dyDescent="0.2">
      <c r="A149" s="109"/>
      <c r="B149" s="239"/>
      <c r="C149" s="208"/>
      <c r="D149" s="208"/>
      <c r="E149" s="208"/>
      <c r="F149" s="208"/>
      <c r="G149" s="190"/>
      <c r="H149" s="108"/>
      <c r="I149" s="108"/>
      <c r="J149" s="108"/>
      <c r="K149" s="108"/>
      <c r="L149" s="190"/>
      <c r="M149" s="165"/>
      <c r="N149" s="165"/>
      <c r="O149" s="165"/>
      <c r="P149" s="165"/>
      <c r="Q149" s="190"/>
      <c r="R149" s="165"/>
      <c r="S149" s="165"/>
      <c r="T149" s="165"/>
      <c r="U149" s="165"/>
      <c r="V149" s="190"/>
      <c r="W149" s="172"/>
      <c r="X149" s="172"/>
      <c r="Y149" s="172"/>
      <c r="Z149" s="172"/>
      <c r="AA149" s="412"/>
      <c r="AB149" s="172"/>
      <c r="AC149" s="172"/>
      <c r="AD149" s="172"/>
      <c r="AE149" s="172"/>
      <c r="AF149" s="412"/>
      <c r="AG149" s="172"/>
      <c r="AH149" s="172"/>
      <c r="AI149" s="172"/>
      <c r="AJ149" s="172"/>
      <c r="AK149" s="412"/>
      <c r="AL149" s="165"/>
      <c r="AM149" s="165"/>
      <c r="AN149" s="165"/>
      <c r="AO149" s="165"/>
      <c r="AP149" s="190"/>
      <c r="AQ149" s="165"/>
      <c r="AR149" s="165"/>
      <c r="AS149" s="165"/>
      <c r="AT149" s="165"/>
      <c r="AU149" s="190"/>
      <c r="AV149" s="502"/>
      <c r="AW149" s="165"/>
      <c r="AX149" s="165"/>
      <c r="AY149" s="165"/>
      <c r="AZ149" s="190"/>
      <c r="BA149" s="165"/>
      <c r="BB149" s="165"/>
      <c r="BC149" s="165"/>
      <c r="BD149" s="165"/>
      <c r="BE149" s="190"/>
      <c r="BF149" s="165"/>
      <c r="BG149" s="165"/>
      <c r="BH149" s="165"/>
      <c r="BI149" s="165"/>
      <c r="BJ149" s="190"/>
      <c r="BK149" s="165"/>
      <c r="BL149" s="165"/>
      <c r="BM149" s="165"/>
      <c r="BN149" s="165"/>
      <c r="BO149" s="190"/>
      <c r="BP149" s="165"/>
      <c r="BQ149" s="165"/>
      <c r="BR149" s="165"/>
      <c r="BS149" s="165"/>
      <c r="BT149" s="639"/>
      <c r="BU149" s="640"/>
      <c r="BV149" s="640"/>
      <c r="BW149" s="640"/>
      <c r="BX149" s="640"/>
      <c r="BY149" s="639"/>
      <c r="BZ149" s="165"/>
      <c r="CA149" s="165"/>
      <c r="CB149" s="165"/>
      <c r="CC149" s="165"/>
      <c r="CD149" s="190"/>
      <c r="CE149" s="165"/>
      <c r="CF149" s="165"/>
      <c r="CG149" s="165"/>
      <c r="CH149" s="165"/>
      <c r="CI149" s="190"/>
      <c r="CJ149" s="165"/>
      <c r="CK149" s="165"/>
      <c r="CL149" s="165"/>
      <c r="CM149" s="165"/>
      <c r="CN149" s="190"/>
      <c r="CO149" s="165"/>
      <c r="CP149" s="165"/>
      <c r="CQ149" s="165"/>
      <c r="CR149" s="165"/>
      <c r="CS149" s="190"/>
      <c r="CT149" s="165"/>
      <c r="CU149" s="165"/>
      <c r="CV149" s="165"/>
      <c r="CW149" s="165"/>
      <c r="CX149" s="190"/>
      <c r="CY149" s="165"/>
      <c r="CZ149" s="165"/>
      <c r="DA149" s="165"/>
      <c r="DB149" s="165"/>
      <c r="DC149" s="190"/>
      <c r="DD149" s="165"/>
      <c r="DE149" s="165"/>
      <c r="DF149" s="165"/>
      <c r="DG149" s="165"/>
      <c r="DH149" s="190"/>
    </row>
    <row r="150" spans="1:112" x14ac:dyDescent="0.2">
      <c r="A150" s="114"/>
      <c r="B150" s="177"/>
      <c r="C150" s="178"/>
      <c r="D150" s="178"/>
      <c r="E150" s="178"/>
      <c r="F150" s="178"/>
      <c r="G150" s="178"/>
      <c r="H150" s="115"/>
      <c r="I150" s="115"/>
      <c r="J150" s="115"/>
      <c r="K150" s="115"/>
      <c r="L150" s="178"/>
      <c r="M150" s="178"/>
      <c r="N150" s="178"/>
      <c r="O150" s="178"/>
      <c r="P150" s="178"/>
      <c r="Q150" s="178"/>
      <c r="R150" s="178"/>
      <c r="S150" s="178"/>
      <c r="T150" s="178"/>
      <c r="U150" s="178"/>
      <c r="V150" s="178"/>
      <c r="W150" s="178"/>
      <c r="X150" s="178"/>
      <c r="Y150" s="178"/>
      <c r="Z150" s="178"/>
      <c r="AA150" s="178"/>
      <c r="AB150" s="178"/>
      <c r="AC150" s="178"/>
      <c r="AD150" s="178"/>
      <c r="AE150" s="178"/>
      <c r="AF150" s="178"/>
      <c r="AG150" s="48"/>
      <c r="AH150" s="48"/>
      <c r="AI150" s="48"/>
      <c r="AJ150" s="48"/>
      <c r="AK150" s="48"/>
      <c r="AL150" s="48"/>
      <c r="AM150" s="48"/>
      <c r="AN150" s="48"/>
      <c r="AO150" s="48"/>
      <c r="AP150" s="48"/>
      <c r="AQ150" s="48"/>
      <c r="AR150" s="48"/>
      <c r="AS150" s="48"/>
      <c r="AT150" s="48"/>
      <c r="AU150" s="48"/>
      <c r="AV150" s="48"/>
      <c r="AW150" s="48"/>
      <c r="AX150" s="48"/>
      <c r="AY150" s="48"/>
      <c r="AZ150" s="48"/>
      <c r="BA150" s="48"/>
      <c r="BB150" s="48"/>
      <c r="BC150" s="48"/>
      <c r="BD150" s="48"/>
      <c r="BE150" s="48"/>
      <c r="BF150" s="48"/>
      <c r="BG150" s="48"/>
      <c r="BH150" s="48"/>
      <c r="BI150" s="48"/>
      <c r="BJ150" s="247"/>
      <c r="BK150" s="178"/>
      <c r="BL150" s="178"/>
      <c r="BM150" s="178"/>
      <c r="BN150" s="48"/>
      <c r="BO150" s="247"/>
      <c r="BP150" s="178"/>
      <c r="BQ150" s="178"/>
      <c r="BR150" s="178"/>
      <c r="BS150" s="178"/>
      <c r="BT150" s="638"/>
      <c r="BU150" s="641"/>
      <c r="BV150" s="641"/>
      <c r="BW150" s="641"/>
      <c r="BX150" s="641"/>
      <c r="BY150" s="641"/>
      <c r="BZ150" s="641"/>
      <c r="CA150" s="641"/>
      <c r="CB150" s="641"/>
      <c r="CC150" s="641"/>
      <c r="CD150" s="641"/>
      <c r="CE150" s="178"/>
      <c r="CF150" s="178"/>
      <c r="CG150" s="178"/>
      <c r="CH150" s="178"/>
      <c r="CI150" s="641"/>
      <c r="CJ150" s="178"/>
      <c r="CK150" s="178"/>
      <c r="CL150" s="178"/>
      <c r="CM150" s="178"/>
      <c r="CN150" s="178"/>
      <c r="CO150" s="178"/>
      <c r="CP150" s="178"/>
      <c r="CQ150" s="178"/>
      <c r="CR150" s="178"/>
      <c r="CS150" s="178"/>
      <c r="CT150" s="178"/>
      <c r="CU150" s="178"/>
      <c r="CV150" s="178"/>
      <c r="CW150" s="178"/>
      <c r="CX150" s="178"/>
      <c r="CY150" s="178"/>
      <c r="CZ150" s="178"/>
      <c r="DA150" s="178"/>
      <c r="DB150" s="178"/>
      <c r="DC150" s="178"/>
      <c r="DD150" s="178"/>
      <c r="DE150" s="178"/>
      <c r="DF150" s="178"/>
      <c r="DG150" s="178"/>
      <c r="DH150" s="178"/>
    </row>
    <row r="151" spans="1:112" x14ac:dyDescent="0.2">
      <c r="A151" s="362"/>
      <c r="B151" s="155"/>
      <c r="C151" s="156">
        <v>2001</v>
      </c>
      <c r="D151" s="156"/>
      <c r="E151" s="156"/>
      <c r="F151" s="156"/>
      <c r="G151" s="274"/>
      <c r="H151" s="156">
        <f>L152</f>
        <v>2002</v>
      </c>
      <c r="I151" s="156"/>
      <c r="J151" s="156"/>
      <c r="K151" s="156"/>
      <c r="L151" s="274"/>
      <c r="M151" s="156">
        <v>2003</v>
      </c>
      <c r="N151" s="156"/>
      <c r="O151" s="156"/>
      <c r="P151" s="156"/>
      <c r="Q151" s="274"/>
      <c r="R151" s="156">
        <v>2004</v>
      </c>
      <c r="S151" s="156"/>
      <c r="T151" s="156"/>
      <c r="U151" s="156"/>
      <c r="V151" s="274"/>
      <c r="W151" s="156" t="str">
        <f>AA152</f>
        <v>2005</v>
      </c>
      <c r="X151" s="156"/>
      <c r="Y151" s="156"/>
      <c r="Z151" s="156"/>
      <c r="AA151" s="274"/>
      <c r="AB151" s="156">
        <f>AF152</f>
        <v>2006</v>
      </c>
      <c r="AC151" s="156"/>
      <c r="AD151" s="156"/>
      <c r="AE151" s="156"/>
      <c r="AF151" s="274"/>
      <c r="AG151" s="156">
        <f>AK152</f>
        <v>2007</v>
      </c>
      <c r="AH151" s="156"/>
      <c r="AI151" s="156"/>
      <c r="AJ151" s="156"/>
      <c r="AK151" s="274"/>
      <c r="AL151" s="156">
        <f>AL2</f>
        <v>2008</v>
      </c>
      <c r="AM151" s="156"/>
      <c r="AN151" s="156"/>
      <c r="AO151" s="156"/>
      <c r="AP151" s="274"/>
      <c r="AQ151" s="156">
        <f>AQ2</f>
        <v>2009</v>
      </c>
      <c r="AR151" s="156"/>
      <c r="AS151" s="156"/>
      <c r="AT151" s="156"/>
      <c r="AU151" s="274"/>
      <c r="AV151" s="156">
        <f>AV2</f>
        <v>2010</v>
      </c>
      <c r="AW151" s="156"/>
      <c r="AX151" s="156"/>
      <c r="AY151" s="156"/>
      <c r="AZ151" s="274"/>
      <c r="BA151" s="156">
        <f>BA2</f>
        <v>2011</v>
      </c>
      <c r="BB151" s="156"/>
      <c r="BC151" s="156"/>
      <c r="BD151" s="156"/>
      <c r="BE151" s="274"/>
      <c r="BF151" s="156">
        <f>BF2</f>
        <v>2012</v>
      </c>
      <c r="BG151" s="156"/>
      <c r="BH151" s="156"/>
      <c r="BI151" s="156"/>
      <c r="BJ151" s="274"/>
      <c r="BK151" s="156">
        <f>BK2</f>
        <v>2013</v>
      </c>
      <c r="BL151" s="156"/>
      <c r="BM151" s="156"/>
      <c r="BN151" s="156"/>
      <c r="BO151" s="274"/>
      <c r="BP151" s="156">
        <f>BP2</f>
        <v>2014</v>
      </c>
      <c r="BQ151" s="156"/>
      <c r="BR151" s="156"/>
      <c r="BS151" s="156"/>
      <c r="BT151" s="274"/>
      <c r="BU151" s="156">
        <f>BU2</f>
        <v>2015</v>
      </c>
      <c r="BV151" s="156"/>
      <c r="BW151" s="156"/>
      <c r="BX151" s="156"/>
      <c r="BY151" s="274"/>
      <c r="BZ151" s="156">
        <f>BZ2</f>
        <v>2016</v>
      </c>
      <c r="CA151" s="156"/>
      <c r="CB151" s="156"/>
      <c r="CC151" s="156"/>
      <c r="CD151" s="274"/>
      <c r="CE151" s="156">
        <f>CE2</f>
        <v>2017</v>
      </c>
      <c r="CF151" s="156"/>
      <c r="CG151" s="156"/>
      <c r="CH151" s="156"/>
      <c r="CI151" s="274"/>
      <c r="CJ151" s="156" t="str">
        <f>CJ2</f>
        <v>2018e</v>
      </c>
      <c r="CK151" s="156"/>
      <c r="CL151" s="156"/>
      <c r="CM151" s="156"/>
      <c r="CN151" s="274"/>
      <c r="CO151" s="156" t="str">
        <f>CO2</f>
        <v>2019e</v>
      </c>
      <c r="CP151" s="156"/>
      <c r="CQ151" s="156"/>
      <c r="CR151" s="156"/>
      <c r="CS151" s="274"/>
      <c r="CT151" s="156" t="str">
        <f>CT2</f>
        <v>2020e</v>
      </c>
      <c r="CU151" s="156"/>
      <c r="CV151" s="156"/>
      <c r="CW151" s="156"/>
      <c r="CX151" s="274"/>
      <c r="CY151" s="156" t="str">
        <f>CY2</f>
        <v>2021e</v>
      </c>
      <c r="CZ151" s="156"/>
      <c r="DA151" s="156"/>
      <c r="DB151" s="156"/>
      <c r="DC151" s="274"/>
      <c r="DD151" s="156" t="str">
        <f>DD2</f>
        <v>2022e</v>
      </c>
      <c r="DE151" s="156"/>
      <c r="DF151" s="156"/>
      <c r="DG151" s="156"/>
      <c r="DH151" s="274"/>
    </row>
    <row r="152" spans="1:112" x14ac:dyDescent="0.2">
      <c r="A152" s="363" t="s">
        <v>83</v>
      </c>
      <c r="B152" s="180"/>
      <c r="C152" s="181">
        <v>36799</v>
      </c>
      <c r="D152" s="181">
        <v>36891</v>
      </c>
      <c r="E152" s="181">
        <v>36981</v>
      </c>
      <c r="F152" s="181">
        <v>37072</v>
      </c>
      <c r="G152" s="275">
        <v>2001</v>
      </c>
      <c r="H152" s="181">
        <v>37164</v>
      </c>
      <c r="I152" s="181">
        <v>37256</v>
      </c>
      <c r="J152" s="181">
        <v>37346</v>
      </c>
      <c r="K152" s="181">
        <v>37437</v>
      </c>
      <c r="L152" s="275">
        <v>2002</v>
      </c>
      <c r="M152" s="181">
        <v>37529</v>
      </c>
      <c r="N152" s="181">
        <v>37621</v>
      </c>
      <c r="O152" s="181">
        <v>37711</v>
      </c>
      <c r="P152" s="181">
        <v>37802</v>
      </c>
      <c r="Q152" s="275">
        <v>2003</v>
      </c>
      <c r="R152" s="181">
        <v>37894</v>
      </c>
      <c r="S152" s="181">
        <v>37986</v>
      </c>
      <c r="T152" s="181">
        <v>38077</v>
      </c>
      <c r="U152" s="181">
        <v>38168</v>
      </c>
      <c r="V152" s="275">
        <v>2004</v>
      </c>
      <c r="W152" s="181" t="s">
        <v>1</v>
      </c>
      <c r="X152" s="181" t="s">
        <v>2</v>
      </c>
      <c r="Y152" s="181" t="s">
        <v>3</v>
      </c>
      <c r="Z152" s="181" t="s">
        <v>4</v>
      </c>
      <c r="AA152" s="275" t="s">
        <v>5</v>
      </c>
      <c r="AB152" s="181" t="s">
        <v>6</v>
      </c>
      <c r="AC152" s="181" t="s">
        <v>7</v>
      </c>
      <c r="AD152" s="181" t="s">
        <v>8</v>
      </c>
      <c r="AE152" s="181" t="s">
        <v>9</v>
      </c>
      <c r="AF152" s="275">
        <v>2006</v>
      </c>
      <c r="AG152" s="181" t="str">
        <f>AG3</f>
        <v>Sep-06</v>
      </c>
      <c r="AH152" s="181" t="str">
        <f>AH3</f>
        <v>Dec-06</v>
      </c>
      <c r="AI152" s="181" t="str">
        <f>AI3</f>
        <v>Mar-07</v>
      </c>
      <c r="AJ152" s="181" t="str">
        <f>AJ3</f>
        <v>Jun-07</v>
      </c>
      <c r="AK152" s="275">
        <v>2007</v>
      </c>
      <c r="AL152" s="181" t="str">
        <f>AL3</f>
        <v>Sep-07</v>
      </c>
      <c r="AM152" s="181" t="str">
        <f>AM3</f>
        <v>Dec-07</v>
      </c>
      <c r="AN152" s="181" t="str">
        <f>AN3</f>
        <v>Mar-08</v>
      </c>
      <c r="AO152" s="181" t="str">
        <f>AO3</f>
        <v>Jun-08</v>
      </c>
      <c r="AP152" s="275">
        <f>AP3</f>
        <v>2008</v>
      </c>
      <c r="AQ152" s="181" t="str">
        <f>AQ3</f>
        <v>Sep-08</v>
      </c>
      <c r="AR152" s="181" t="str">
        <f>AR3</f>
        <v>Dec-08</v>
      </c>
      <c r="AS152" s="181" t="str">
        <f>AS3</f>
        <v>Mar-09</v>
      </c>
      <c r="AT152" s="181" t="str">
        <f>AT3</f>
        <v>Jun-09</v>
      </c>
      <c r="AU152" s="275">
        <f>AU3</f>
        <v>2009</v>
      </c>
      <c r="AV152" s="181" t="str">
        <f>AV3</f>
        <v>Sep-09</v>
      </c>
      <c r="AW152" s="181" t="str">
        <f>AW3</f>
        <v>Dec-09</v>
      </c>
      <c r="AX152" s="181" t="str">
        <f>AX3</f>
        <v>Mar-10</v>
      </c>
      <c r="AY152" s="181" t="str">
        <f>AY3</f>
        <v>Jun-10</v>
      </c>
      <c r="AZ152" s="275">
        <f>AZ3</f>
        <v>2010</v>
      </c>
      <c r="BA152" s="181" t="str">
        <f>BA3</f>
        <v>Sep-10</v>
      </c>
      <c r="BB152" s="181" t="str">
        <f>BB3</f>
        <v>Dec-10</v>
      </c>
      <c r="BC152" s="181">
        <f>BC3</f>
        <v>40613</v>
      </c>
      <c r="BD152" s="181" t="str">
        <f>BD3</f>
        <v>Jun-11</v>
      </c>
      <c r="BE152" s="275">
        <f>BE3</f>
        <v>2011</v>
      </c>
      <c r="BF152" s="181" t="str">
        <f>BF3</f>
        <v>Sep-11</v>
      </c>
      <c r="BG152" s="181" t="str">
        <f>BG3</f>
        <v>Dec-11</v>
      </c>
      <c r="BH152" s="181" t="str">
        <f>BH3</f>
        <v>Mar-12</v>
      </c>
      <c r="BI152" s="181" t="str">
        <f>BI3</f>
        <v>Jun-12</v>
      </c>
      <c r="BJ152" s="275">
        <f>BJ3</f>
        <v>2012</v>
      </c>
      <c r="BK152" s="181" t="str">
        <f>BK3</f>
        <v>Sep-12</v>
      </c>
      <c r="BL152" s="181" t="str">
        <f>BL3</f>
        <v>Dec-12</v>
      </c>
      <c r="BM152" s="181" t="str">
        <f>BM3</f>
        <v>Mar-13</v>
      </c>
      <c r="BN152" s="181" t="str">
        <f>BN3</f>
        <v>Jun-13</v>
      </c>
      <c r="BO152" s="275">
        <f>BO3</f>
        <v>2013</v>
      </c>
      <c r="BP152" s="181" t="str">
        <f>BP3</f>
        <v>Sep-13</v>
      </c>
      <c r="BQ152" s="181" t="str">
        <f>BQ3</f>
        <v>Dec-13</v>
      </c>
      <c r="BR152" s="181" t="str">
        <f>BR3</f>
        <v>Mar-14</v>
      </c>
      <c r="BS152" s="181" t="str">
        <f>BS3</f>
        <v>Jun-14</v>
      </c>
      <c r="BT152" s="275">
        <f>BT3</f>
        <v>2014</v>
      </c>
      <c r="BU152" s="181" t="str">
        <f>BU3</f>
        <v>Sep-14</v>
      </c>
      <c r="BV152" s="181" t="str">
        <f>BV3</f>
        <v>Dec-14</v>
      </c>
      <c r="BW152" s="181" t="str">
        <f>BW3</f>
        <v>Mar-15</v>
      </c>
      <c r="BX152" s="181" t="str">
        <f>BX3</f>
        <v>Jun-15</v>
      </c>
      <c r="BY152" s="275">
        <f>BY3</f>
        <v>2015</v>
      </c>
      <c r="BZ152" s="181" t="str">
        <f>BZ3</f>
        <v>Sep-15</v>
      </c>
      <c r="CA152" s="181" t="str">
        <f>CA3</f>
        <v>Dec-15</v>
      </c>
      <c r="CB152" s="181" t="str">
        <f>CB3</f>
        <v>Mar-16</v>
      </c>
      <c r="CC152" s="181" t="str">
        <f>CC3</f>
        <v>Jun-16</v>
      </c>
      <c r="CD152" s="275">
        <f>CD3</f>
        <v>2016</v>
      </c>
      <c r="CE152" s="181" t="str">
        <f>CE3</f>
        <v>Sep-16</v>
      </c>
      <c r="CF152" s="181" t="str">
        <f>CF3</f>
        <v>Dec-16</v>
      </c>
      <c r="CG152" s="181" t="str">
        <f>CG3</f>
        <v>Mar-17</v>
      </c>
      <c r="CH152" s="181" t="str">
        <f>CH3</f>
        <v>Jun-17</v>
      </c>
      <c r="CI152" s="275">
        <f>CI3</f>
        <v>2017</v>
      </c>
      <c r="CJ152" s="181" t="str">
        <f>CJ3</f>
        <v>Sep-17</v>
      </c>
      <c r="CK152" s="181" t="str">
        <f>CK3</f>
        <v>Dec-17</v>
      </c>
      <c r="CL152" s="181" t="str">
        <f>CL3</f>
        <v>Mar-18e</v>
      </c>
      <c r="CM152" s="181" t="str">
        <f>CM3</f>
        <v>Jun-18e</v>
      </c>
      <c r="CN152" s="275" t="str">
        <f>CN3</f>
        <v>2018e</v>
      </c>
      <c r="CO152" s="181" t="str">
        <f>CO3</f>
        <v>Sep-18e</v>
      </c>
      <c r="CP152" s="181" t="str">
        <f>CP3</f>
        <v>Dec-18e</v>
      </c>
      <c r="CQ152" s="181" t="str">
        <f>CQ3</f>
        <v>Mar-19e</v>
      </c>
      <c r="CR152" s="181" t="str">
        <f>CR3</f>
        <v>Jun-19e</v>
      </c>
      <c r="CS152" s="275" t="str">
        <f>CS3</f>
        <v>2019e</v>
      </c>
      <c r="CT152" s="181" t="str">
        <f>CT3</f>
        <v>Sep-19e</v>
      </c>
      <c r="CU152" s="181" t="str">
        <f>CU3</f>
        <v>Dec-19e</v>
      </c>
      <c r="CV152" s="181" t="str">
        <f>CV3</f>
        <v>Mar-20e</v>
      </c>
      <c r="CW152" s="181" t="str">
        <f>CW3</f>
        <v>Jun-20e</v>
      </c>
      <c r="CX152" s="275" t="str">
        <f>CX3</f>
        <v>2020e</v>
      </c>
      <c r="CY152" s="181" t="str">
        <f>CY3</f>
        <v>Sep-20e</v>
      </c>
      <c r="CZ152" s="181" t="str">
        <f>CZ3</f>
        <v>Dec-20e</v>
      </c>
      <c r="DA152" s="181" t="str">
        <f>DA3</f>
        <v>Mar-21e</v>
      </c>
      <c r="DB152" s="181" t="str">
        <f>DB3</f>
        <v>Jun-21e</v>
      </c>
      <c r="DC152" s="275" t="str">
        <f>DC3</f>
        <v>2021e</v>
      </c>
      <c r="DD152" s="181" t="str">
        <f>DD3</f>
        <v>Sep-21e</v>
      </c>
      <c r="DE152" s="181" t="str">
        <f>DE3</f>
        <v>Dec-21e</v>
      </c>
      <c r="DF152" s="181" t="str">
        <f>DF3</f>
        <v>Mar-22e</v>
      </c>
      <c r="DG152" s="181" t="str">
        <f>DG3</f>
        <v>Jun-22e</v>
      </c>
      <c r="DH152" s="275" t="str">
        <f>DH3</f>
        <v>2022e</v>
      </c>
    </row>
    <row r="153" spans="1:112" x14ac:dyDescent="0.2">
      <c r="A153" s="364" t="s">
        <v>339</v>
      </c>
      <c r="B153" s="100"/>
      <c r="C153" s="208"/>
      <c r="D153" s="208"/>
      <c r="E153" s="208"/>
      <c r="F153" s="208"/>
      <c r="G153" s="193"/>
      <c r="H153" s="208"/>
      <c r="I153" s="208"/>
      <c r="J153" s="208"/>
      <c r="K153" s="208"/>
      <c r="L153" s="193"/>
      <c r="M153" s="110"/>
      <c r="N153" s="110"/>
      <c r="O153" s="110"/>
      <c r="P153" s="110"/>
      <c r="Q153" s="193"/>
      <c r="R153" s="110"/>
      <c r="S153" s="110"/>
      <c r="T153" s="110"/>
      <c r="U153" s="110"/>
      <c r="V153" s="193"/>
      <c r="W153" s="110"/>
      <c r="X153" s="110"/>
      <c r="Y153" s="110"/>
      <c r="Z153" s="110"/>
      <c r="AA153" s="193"/>
      <c r="AB153" s="100"/>
      <c r="AC153" s="100"/>
      <c r="AD153" s="100"/>
      <c r="AE153" s="100"/>
      <c r="AF153" s="193"/>
      <c r="AG153" s="100"/>
      <c r="AH153" s="100"/>
      <c r="AI153" s="100"/>
      <c r="AJ153" s="100"/>
      <c r="AK153" s="183"/>
      <c r="AL153" s="100"/>
      <c r="AM153" s="100"/>
      <c r="AN153" s="100"/>
      <c r="AO153" s="100"/>
      <c r="AP153" s="183"/>
      <c r="AQ153" s="100"/>
      <c r="AR153" s="100"/>
      <c r="AS153" s="100"/>
      <c r="AT153" s="100"/>
      <c r="AU153" s="183"/>
      <c r="AV153" s="100"/>
      <c r="AW153" s="100"/>
      <c r="AX153" s="100"/>
      <c r="AY153" s="100"/>
      <c r="AZ153" s="183"/>
      <c r="BA153" s="100"/>
      <c r="BB153" s="100"/>
      <c r="BC153" s="100"/>
      <c r="BD153" s="100"/>
      <c r="BE153" s="183"/>
      <c r="BF153" s="100"/>
      <c r="BG153" s="100"/>
      <c r="BH153" s="100"/>
      <c r="BI153" s="100"/>
      <c r="BJ153" s="183"/>
      <c r="BK153" s="100"/>
      <c r="BL153" s="100"/>
      <c r="BM153" s="100"/>
      <c r="BN153" s="100"/>
      <c r="BO153" s="183"/>
      <c r="BP153" s="100"/>
      <c r="BQ153" s="100"/>
      <c r="BR153" s="100"/>
      <c r="BS153" s="100"/>
      <c r="BT153" s="183"/>
      <c r="BU153" s="100"/>
      <c r="BV153" s="100"/>
      <c r="BW153" s="100"/>
      <c r="BX153" s="100"/>
      <c r="BY153" s="183"/>
      <c r="BZ153" s="100"/>
      <c r="CA153" s="100"/>
      <c r="CB153" s="100"/>
      <c r="CC153" s="100"/>
      <c r="CD153" s="183"/>
      <c r="CE153" s="100"/>
      <c r="CF153" s="100"/>
      <c r="CG153" s="100"/>
      <c r="CH153" s="100"/>
      <c r="CI153" s="183"/>
      <c r="CJ153" s="100"/>
      <c r="CK153" s="100"/>
      <c r="CL153" s="100"/>
      <c r="CM153" s="100"/>
      <c r="CN153" s="183"/>
      <c r="CO153" s="100"/>
      <c r="CP153" s="100"/>
      <c r="CQ153" s="100"/>
      <c r="CR153" s="100"/>
      <c r="CS153" s="183"/>
      <c r="CT153" s="100"/>
      <c r="CU153" s="100"/>
      <c r="CV153" s="100"/>
      <c r="CW153" s="100"/>
      <c r="CX153" s="183"/>
      <c r="CY153" s="100"/>
      <c r="CZ153" s="100"/>
      <c r="DA153" s="100"/>
      <c r="DB153" s="100"/>
      <c r="DC153" s="183"/>
      <c r="DD153" s="100"/>
      <c r="DE153" s="100"/>
      <c r="DF153" s="100"/>
      <c r="DG153" s="100"/>
      <c r="DH153" s="183"/>
    </row>
    <row r="154" spans="1:112" ht="12.75" customHeight="1" x14ac:dyDescent="0.2">
      <c r="A154" s="101" t="s">
        <v>217</v>
      </c>
      <c r="B154" s="100"/>
      <c r="C154" s="393" t="s">
        <v>221</v>
      </c>
      <c r="D154" s="393" t="s">
        <v>221</v>
      </c>
      <c r="E154" s="393" t="s">
        <v>221</v>
      </c>
      <c r="F154" s="393" t="s">
        <v>221</v>
      </c>
      <c r="G154" s="271" t="s">
        <v>221</v>
      </c>
      <c r="H154" s="393" t="s">
        <v>221</v>
      </c>
      <c r="I154" s="393" t="s">
        <v>221</v>
      </c>
      <c r="J154" s="393" t="s">
        <v>221</v>
      </c>
      <c r="K154" s="393" t="s">
        <v>221</v>
      </c>
      <c r="L154" s="271" t="s">
        <v>221</v>
      </c>
      <c r="M154" s="393" t="s">
        <v>221</v>
      </c>
      <c r="N154" s="393" t="s">
        <v>221</v>
      </c>
      <c r="O154" s="393" t="s">
        <v>221</v>
      </c>
      <c r="P154" s="393" t="s">
        <v>221</v>
      </c>
      <c r="Q154" s="271" t="s">
        <v>221</v>
      </c>
      <c r="R154" s="393" t="s">
        <v>221</v>
      </c>
      <c r="S154" s="393" t="s">
        <v>221</v>
      </c>
      <c r="T154" s="393" t="s">
        <v>221</v>
      </c>
      <c r="U154" s="393" t="s">
        <v>221</v>
      </c>
      <c r="V154" s="271" t="s">
        <v>221</v>
      </c>
      <c r="W154" s="393" t="s">
        <v>221</v>
      </c>
      <c r="X154" s="393" t="s">
        <v>221</v>
      </c>
      <c r="Y154" s="393" t="s">
        <v>221</v>
      </c>
      <c r="Z154" s="393" t="s">
        <v>221</v>
      </c>
      <c r="AA154" s="271" t="s">
        <v>221</v>
      </c>
      <c r="AB154" s="393" t="s">
        <v>221</v>
      </c>
      <c r="AC154" s="393" t="s">
        <v>221</v>
      </c>
      <c r="AD154" s="393" t="s">
        <v>221</v>
      </c>
      <c r="AE154" s="393" t="s">
        <v>221</v>
      </c>
      <c r="AF154" s="271" t="s">
        <v>221</v>
      </c>
      <c r="AG154" s="100">
        <v>112</v>
      </c>
      <c r="AH154" s="100">
        <v>77</v>
      </c>
      <c r="AI154" s="100">
        <v>109</v>
      </c>
      <c r="AJ154" s="100">
        <v>94</v>
      </c>
      <c r="AK154" s="184">
        <v>392</v>
      </c>
      <c r="AL154" s="100">
        <v>111</v>
      </c>
      <c r="AM154" s="100">
        <v>76</v>
      </c>
      <c r="AN154" s="100">
        <v>87</v>
      </c>
      <c r="AO154" s="100">
        <v>86</v>
      </c>
      <c r="AP154" s="184">
        <v>360</v>
      </c>
      <c r="AQ154" s="100">
        <v>115</v>
      </c>
      <c r="AR154" s="100">
        <v>78</v>
      </c>
      <c r="AS154" s="100">
        <v>111</v>
      </c>
      <c r="AT154" s="100">
        <v>106</v>
      </c>
      <c r="AU154" s="184">
        <v>410</v>
      </c>
      <c r="AV154" s="100">
        <v>119</v>
      </c>
      <c r="AW154" s="100">
        <v>70</v>
      </c>
      <c r="AX154" s="100">
        <v>94</v>
      </c>
      <c r="AY154" s="100">
        <v>85</v>
      </c>
      <c r="AZ154" s="183">
        <f>+AV154+AW154+AX154+AY154</f>
        <v>368</v>
      </c>
      <c r="BA154" s="100">
        <v>121</v>
      </c>
      <c r="BB154" s="100">
        <v>64</v>
      </c>
      <c r="BC154" s="100">
        <v>89</v>
      </c>
      <c r="BD154" s="100">
        <v>82</v>
      </c>
      <c r="BE154" s="183">
        <f>+BA154+BB154+BC154+BD154</f>
        <v>356</v>
      </c>
      <c r="BF154" s="100">
        <v>108</v>
      </c>
      <c r="BG154" s="100">
        <v>78</v>
      </c>
      <c r="BH154" s="100">
        <v>101</v>
      </c>
      <c r="BI154" s="100">
        <v>94</v>
      </c>
      <c r="BJ154" s="183">
        <f>+BF154+BG154+BH154+BI154</f>
        <v>381</v>
      </c>
      <c r="BK154" s="100">
        <v>120</v>
      </c>
      <c r="BL154" s="100">
        <v>100</v>
      </c>
      <c r="BM154" s="100">
        <v>99</v>
      </c>
      <c r="BN154" s="100">
        <v>101</v>
      </c>
      <c r="BO154" s="183">
        <f>+BK154+BL154+BM154+BN154</f>
        <v>420</v>
      </c>
      <c r="BP154" s="100">
        <v>131</v>
      </c>
      <c r="BQ154" s="100">
        <v>101</v>
      </c>
      <c r="BR154" s="645">
        <v>93</v>
      </c>
      <c r="BS154" s="645">
        <v>103</v>
      </c>
      <c r="BT154" s="183">
        <f>+BP154+BQ154+BR154+BS154</f>
        <v>428</v>
      </c>
      <c r="BU154" s="645">
        <v>124</v>
      </c>
      <c r="BV154" s="645">
        <v>107</v>
      </c>
      <c r="BW154" s="645">
        <v>100</v>
      </c>
      <c r="BX154" s="645">
        <v>114</v>
      </c>
      <c r="BY154" s="183">
        <f>+BU154+BV154+BW154+BX154</f>
        <v>445</v>
      </c>
      <c r="BZ154" s="100">
        <v>149</v>
      </c>
      <c r="CA154" s="100">
        <v>123</v>
      </c>
      <c r="CB154" s="100">
        <v>122</v>
      </c>
      <c r="CC154" s="100">
        <v>117</v>
      </c>
      <c r="CD154" s="183">
        <f>+BZ154+CA154+CB154+CC154</f>
        <v>511</v>
      </c>
      <c r="CE154" s="100">
        <v>164</v>
      </c>
      <c r="CF154" s="645">
        <v>104</v>
      </c>
      <c r="CG154" s="100">
        <v>132</v>
      </c>
      <c r="CH154" s="100">
        <v>123</v>
      </c>
      <c r="CI154" s="183">
        <f>SUM(CE154:CH154)</f>
        <v>523</v>
      </c>
      <c r="CJ154" s="100">
        <v>172</v>
      </c>
      <c r="CK154" s="100">
        <v>121</v>
      </c>
      <c r="CL154" s="100">
        <f t="shared" ref="CL154:CL157" si="175">CL188*CL5</f>
        <v>131.766006</v>
      </c>
      <c r="CM154" s="100">
        <f>CN154-SUM(CJ154:CL154)</f>
        <v>129.114394</v>
      </c>
      <c r="CN154" s="183">
        <f t="shared" ref="CN154:CQ157" si="176">CN188*CN5</f>
        <v>553.88040000000001</v>
      </c>
      <c r="CO154" s="100">
        <f t="shared" si="176"/>
        <v>178.29090000000002</v>
      </c>
      <c r="CP154" s="100">
        <f t="shared" si="176"/>
        <v>122.19919999999999</v>
      </c>
      <c r="CQ154" s="100">
        <f t="shared" si="176"/>
        <v>141.49166850000003</v>
      </c>
      <c r="CR154" s="100">
        <f>CS154-SUM(CO154:CQ154)</f>
        <v>129.93182349999995</v>
      </c>
      <c r="CS154" s="183">
        <f t="shared" ref="CS154:CV157" si="177">CS188*CS5</f>
        <v>571.91359199999999</v>
      </c>
      <c r="CT154" s="100">
        <f t="shared" si="177"/>
        <v>183.60146880000002</v>
      </c>
      <c r="CU154" s="100">
        <f t="shared" si="177"/>
        <v>126.1308336</v>
      </c>
      <c r="CV154" s="100">
        <f t="shared" si="177"/>
        <v>145.92155659200006</v>
      </c>
      <c r="CW154" s="100">
        <f>CX154-SUM(CT154:CV154)</f>
        <v>134.10286330799988</v>
      </c>
      <c r="CX154" s="183">
        <f t="shared" ref="CX154:DA157" si="178">CX188*CX5</f>
        <v>589.75672229999998</v>
      </c>
      <c r="CY154" s="100">
        <f t="shared" si="178"/>
        <v>188.93450093760003</v>
      </c>
      <c r="CZ154" s="100">
        <f t="shared" si="178"/>
        <v>130.0696926912</v>
      </c>
      <c r="DA154" s="100">
        <f t="shared" si="178"/>
        <v>150.36323981918406</v>
      </c>
      <c r="DB154" s="100">
        <f>DC154-SUM(CY154:DA154)</f>
        <v>138.28184855193592</v>
      </c>
      <c r="DC154" s="183">
        <f t="shared" ref="DC154:DF157" si="179">DC188*DC5</f>
        <v>607.64928199992005</v>
      </c>
      <c r="DD154" s="100">
        <f t="shared" si="179"/>
        <v>194.22588989995205</v>
      </c>
      <c r="DE154" s="100">
        <f t="shared" si="179"/>
        <v>133.96087874822402</v>
      </c>
      <c r="DF154" s="100">
        <f t="shared" si="179"/>
        <v>154.75775205954173</v>
      </c>
      <c r="DG154" s="100">
        <f>DH154-SUM(DD154:DF154)</f>
        <v>142.41075921702065</v>
      </c>
      <c r="DH154" s="183">
        <f>DH188*DH5</f>
        <v>625.35527992473851</v>
      </c>
    </row>
    <row r="155" spans="1:112" ht="12.75" customHeight="1" x14ac:dyDescent="0.2">
      <c r="A155" s="101" t="s">
        <v>218</v>
      </c>
      <c r="B155" s="100"/>
      <c r="C155" s="393" t="s">
        <v>221</v>
      </c>
      <c r="D155" s="393" t="s">
        <v>221</v>
      </c>
      <c r="E155" s="393" t="s">
        <v>221</v>
      </c>
      <c r="F155" s="393" t="s">
        <v>221</v>
      </c>
      <c r="G155" s="271" t="s">
        <v>221</v>
      </c>
      <c r="H155" s="393" t="s">
        <v>221</v>
      </c>
      <c r="I155" s="393" t="s">
        <v>221</v>
      </c>
      <c r="J155" s="393" t="s">
        <v>221</v>
      </c>
      <c r="K155" s="393" t="s">
        <v>221</v>
      </c>
      <c r="L155" s="271" t="s">
        <v>221</v>
      </c>
      <c r="M155" s="393" t="s">
        <v>221</v>
      </c>
      <c r="N155" s="393" t="s">
        <v>221</v>
      </c>
      <c r="O155" s="393" t="s">
        <v>221</v>
      </c>
      <c r="P155" s="393" t="s">
        <v>221</v>
      </c>
      <c r="Q155" s="271" t="s">
        <v>221</v>
      </c>
      <c r="R155" s="393" t="s">
        <v>221</v>
      </c>
      <c r="S155" s="393" t="s">
        <v>221</v>
      </c>
      <c r="T155" s="393" t="s">
        <v>221</v>
      </c>
      <c r="U155" s="393" t="s">
        <v>221</v>
      </c>
      <c r="V155" s="271" t="s">
        <v>221</v>
      </c>
      <c r="W155" s="393" t="s">
        <v>221</v>
      </c>
      <c r="X155" s="393" t="s">
        <v>221</v>
      </c>
      <c r="Y155" s="393" t="s">
        <v>221</v>
      </c>
      <c r="Z155" s="393" t="s">
        <v>221</v>
      </c>
      <c r="AA155" s="271" t="s">
        <v>221</v>
      </c>
      <c r="AB155" s="393" t="s">
        <v>221</v>
      </c>
      <c r="AC155" s="393" t="s">
        <v>221</v>
      </c>
      <c r="AD155" s="393" t="s">
        <v>221</v>
      </c>
      <c r="AE155" s="393" t="s">
        <v>221</v>
      </c>
      <c r="AF155" s="271" t="s">
        <v>221</v>
      </c>
      <c r="AG155" s="100">
        <v>36</v>
      </c>
      <c r="AH155" s="100">
        <v>29</v>
      </c>
      <c r="AI155" s="100">
        <v>55</v>
      </c>
      <c r="AJ155" s="100">
        <v>105</v>
      </c>
      <c r="AK155" s="184">
        <v>225</v>
      </c>
      <c r="AL155" s="100">
        <v>25</v>
      </c>
      <c r="AM155" s="100">
        <v>35</v>
      </c>
      <c r="AN155" s="100">
        <v>50</v>
      </c>
      <c r="AO155" s="100">
        <v>115</v>
      </c>
      <c r="AP155" s="184">
        <v>225</v>
      </c>
      <c r="AQ155" s="100">
        <v>62</v>
      </c>
      <c r="AR155" s="100">
        <v>27</v>
      </c>
      <c r="AS155" s="100">
        <v>78</v>
      </c>
      <c r="AT155" s="100">
        <v>122</v>
      </c>
      <c r="AU155" s="184">
        <v>289</v>
      </c>
      <c r="AV155" s="100">
        <v>55</v>
      </c>
      <c r="AW155" s="100">
        <v>27</v>
      </c>
      <c r="AX155" s="100">
        <v>72</v>
      </c>
      <c r="AY155" s="100">
        <v>136</v>
      </c>
      <c r="AZ155" s="183">
        <v>290</v>
      </c>
      <c r="BA155" s="100">
        <v>53</v>
      </c>
      <c r="BB155" s="100">
        <v>25</v>
      </c>
      <c r="BC155" s="100">
        <v>73</v>
      </c>
      <c r="BD155" s="100">
        <v>127</v>
      </c>
      <c r="BE155" s="183">
        <f>+BA155+BB155+BC155+BD155</f>
        <v>278</v>
      </c>
      <c r="BF155" s="100">
        <v>42</v>
      </c>
      <c r="BG155" s="100">
        <v>34</v>
      </c>
      <c r="BH155" s="100">
        <v>77</v>
      </c>
      <c r="BI155" s="100">
        <v>145</v>
      </c>
      <c r="BJ155" s="183">
        <f>+BF155+BG155+BH155+BI155</f>
        <v>298</v>
      </c>
      <c r="BK155" s="100">
        <v>50</v>
      </c>
      <c r="BL155" s="100">
        <v>56</v>
      </c>
      <c r="BM155" s="100">
        <v>76</v>
      </c>
      <c r="BN155" s="100">
        <v>154</v>
      </c>
      <c r="BO155" s="183">
        <f>+BK155+BL155+BM155+BN155</f>
        <v>336</v>
      </c>
      <c r="BP155" s="100">
        <v>52</v>
      </c>
      <c r="BQ155" s="100">
        <v>41</v>
      </c>
      <c r="BR155" s="645">
        <v>76</v>
      </c>
      <c r="BS155" s="645">
        <v>157</v>
      </c>
      <c r="BT155" s="183">
        <f>+BP155+BQ155+BR155+BS155</f>
        <v>326</v>
      </c>
      <c r="BU155" s="645">
        <v>52</v>
      </c>
      <c r="BV155" s="645">
        <v>51</v>
      </c>
      <c r="BW155" s="645">
        <v>102</v>
      </c>
      <c r="BX155" s="645">
        <v>170</v>
      </c>
      <c r="BY155" s="183">
        <f>+BU155+BV155+BW155+BX155</f>
        <v>375</v>
      </c>
      <c r="BZ155" s="100">
        <v>82</v>
      </c>
      <c r="CA155" s="100">
        <v>67</v>
      </c>
      <c r="CB155" s="100">
        <v>113</v>
      </c>
      <c r="CC155" s="100">
        <v>166</v>
      </c>
      <c r="CD155" s="183">
        <f>+BZ155+CA155+CB155+CC155</f>
        <v>428</v>
      </c>
      <c r="CE155" s="100">
        <v>69</v>
      </c>
      <c r="CF155" s="645">
        <v>71</v>
      </c>
      <c r="CG155" s="100">
        <v>106</v>
      </c>
      <c r="CH155" s="100">
        <v>173</v>
      </c>
      <c r="CI155" s="183">
        <f>SUM(CE155:CH155)</f>
        <v>419</v>
      </c>
      <c r="CJ155" s="100">
        <v>73</v>
      </c>
      <c r="CK155" s="100">
        <v>54</v>
      </c>
      <c r="CL155" s="100">
        <f t="shared" si="175"/>
        <v>100.654</v>
      </c>
      <c r="CM155" s="100">
        <f>CN155-SUM(CJ155:CL155)</f>
        <v>170.30993444161146</v>
      </c>
      <c r="CN155" s="183">
        <f t="shared" si="176"/>
        <v>397.96393444161146</v>
      </c>
      <c r="CO155" s="100">
        <f t="shared" si="176"/>
        <v>73.768637755102048</v>
      </c>
      <c r="CP155" s="100">
        <f t="shared" si="176"/>
        <v>58.309443902439028</v>
      </c>
      <c r="CQ155" s="100">
        <f t="shared" si="176"/>
        <v>108.86264598148148</v>
      </c>
      <c r="CR155" s="100">
        <f>CS155-SUM(CO155:CQ155)</f>
        <v>174.34564652676022</v>
      </c>
      <c r="CS155" s="183">
        <f t="shared" si="177"/>
        <v>415.28637416578277</v>
      </c>
      <c r="CT155" s="100">
        <f t="shared" si="177"/>
        <v>80.346575571428573</v>
      </c>
      <c r="CU155" s="100">
        <f t="shared" si="177"/>
        <v>64.446708310975609</v>
      </c>
      <c r="CV155" s="100">
        <f t="shared" si="177"/>
        <v>116.6000996637037</v>
      </c>
      <c r="CW155" s="100">
        <f>CX155-SUM(CT155:CV155)</f>
        <v>184.82926616441154</v>
      </c>
      <c r="CX155" s="183">
        <f t="shared" si="178"/>
        <v>446.22264971051942</v>
      </c>
      <c r="CY155" s="100">
        <f t="shared" si="178"/>
        <v>82.965387136499984</v>
      </c>
      <c r="CZ155" s="100">
        <f t="shared" si="178"/>
        <v>66.773079286140231</v>
      </c>
      <c r="DA155" s="100">
        <f t="shared" si="178"/>
        <v>119.92628559199424</v>
      </c>
      <c r="DB155" s="100">
        <f>DC155-SUM(CY155:DA155)</f>
        <v>189.63462262040224</v>
      </c>
      <c r="DC155" s="183">
        <f t="shared" si="179"/>
        <v>459.29937463503671</v>
      </c>
      <c r="DD155" s="100">
        <f t="shared" si="179"/>
        <v>85.490954662719361</v>
      </c>
      <c r="DE155" s="100">
        <f t="shared" si="179"/>
        <v>69.006876730572955</v>
      </c>
      <c r="DF155" s="100">
        <f t="shared" si="179"/>
        <v>123.15450326858399</v>
      </c>
      <c r="DG155" s="100">
        <f>DH155-SUM(DD155:DF155)</f>
        <v>194.32147341102728</v>
      </c>
      <c r="DH155" s="183">
        <f>DH189*DH6</f>
        <v>471.97380807290358</v>
      </c>
    </row>
    <row r="156" spans="1:112" ht="12.75" customHeight="1" x14ac:dyDescent="0.2">
      <c r="A156" s="101" t="s">
        <v>219</v>
      </c>
      <c r="B156" s="100"/>
      <c r="C156" s="393" t="s">
        <v>221</v>
      </c>
      <c r="D156" s="393" t="s">
        <v>221</v>
      </c>
      <c r="E156" s="393" t="s">
        <v>221</v>
      </c>
      <c r="F156" s="393" t="s">
        <v>221</v>
      </c>
      <c r="G156" s="271" t="s">
        <v>221</v>
      </c>
      <c r="H156" s="393" t="s">
        <v>221</v>
      </c>
      <c r="I156" s="393" t="s">
        <v>221</v>
      </c>
      <c r="J156" s="393" t="s">
        <v>221</v>
      </c>
      <c r="K156" s="393" t="s">
        <v>221</v>
      </c>
      <c r="L156" s="271" t="s">
        <v>221</v>
      </c>
      <c r="M156" s="393" t="s">
        <v>221</v>
      </c>
      <c r="N156" s="393" t="s">
        <v>221</v>
      </c>
      <c r="O156" s="393" t="s">
        <v>221</v>
      </c>
      <c r="P156" s="393" t="s">
        <v>221</v>
      </c>
      <c r="Q156" s="271" t="s">
        <v>221</v>
      </c>
      <c r="R156" s="393" t="s">
        <v>221</v>
      </c>
      <c r="S156" s="393" t="s">
        <v>221</v>
      </c>
      <c r="T156" s="393" t="s">
        <v>221</v>
      </c>
      <c r="U156" s="393" t="s">
        <v>221</v>
      </c>
      <c r="V156" s="271" t="s">
        <v>221</v>
      </c>
      <c r="W156" s="393" t="s">
        <v>221</v>
      </c>
      <c r="X156" s="393" t="s">
        <v>221</v>
      </c>
      <c r="Y156" s="393" t="s">
        <v>221</v>
      </c>
      <c r="Z156" s="393" t="s">
        <v>221</v>
      </c>
      <c r="AA156" s="271" t="s">
        <v>221</v>
      </c>
      <c r="AB156" s="393" t="s">
        <v>221</v>
      </c>
      <c r="AC156" s="393" t="s">
        <v>221</v>
      </c>
      <c r="AD156" s="393" t="s">
        <v>221</v>
      </c>
      <c r="AE156" s="393" t="s">
        <v>221</v>
      </c>
      <c r="AF156" s="271" t="s">
        <v>221</v>
      </c>
      <c r="AG156" s="100">
        <v>41</v>
      </c>
      <c r="AH156" s="100">
        <v>46</v>
      </c>
      <c r="AI156" s="100">
        <v>48</v>
      </c>
      <c r="AJ156" s="100">
        <v>51</v>
      </c>
      <c r="AK156" s="184">
        <v>186</v>
      </c>
      <c r="AL156" s="100">
        <v>50</v>
      </c>
      <c r="AM156" s="100">
        <v>44</v>
      </c>
      <c r="AN156" s="100">
        <v>58</v>
      </c>
      <c r="AO156" s="100">
        <v>53</v>
      </c>
      <c r="AP156" s="184">
        <v>205</v>
      </c>
      <c r="AQ156" s="100">
        <v>56</v>
      </c>
      <c r="AR156" s="100">
        <v>67</v>
      </c>
      <c r="AS156" s="100">
        <v>75</v>
      </c>
      <c r="AT156" s="100">
        <v>73</v>
      </c>
      <c r="AU156" s="184">
        <v>270</v>
      </c>
      <c r="AV156" s="100">
        <v>66</v>
      </c>
      <c r="AW156" s="100">
        <v>78</v>
      </c>
      <c r="AX156" s="100">
        <v>82</v>
      </c>
      <c r="AY156" s="100">
        <v>77</v>
      </c>
      <c r="AZ156" s="183">
        <v>303</v>
      </c>
      <c r="BA156" s="100">
        <v>59</v>
      </c>
      <c r="BB156" s="100">
        <f>-99+164</f>
        <v>65</v>
      </c>
      <c r="BC156" s="100">
        <v>68</v>
      </c>
      <c r="BD156" s="100">
        <v>63</v>
      </c>
      <c r="BE156" s="183">
        <f>+BA156+BB156+BC156+BD156</f>
        <v>255</v>
      </c>
      <c r="BF156" s="100">
        <v>55</v>
      </c>
      <c r="BG156" s="100">
        <v>69</v>
      </c>
      <c r="BH156" s="100">
        <v>76</v>
      </c>
      <c r="BI156" s="100">
        <v>65</v>
      </c>
      <c r="BJ156" s="183">
        <f>+BF156+BG156+BH156+BI156</f>
        <v>265</v>
      </c>
      <c r="BK156" s="100">
        <v>56</v>
      </c>
      <c r="BL156" s="100">
        <v>70</v>
      </c>
      <c r="BM156" s="100">
        <v>71</v>
      </c>
      <c r="BN156" s="100">
        <v>62</v>
      </c>
      <c r="BO156" s="183">
        <f>+BK156+BL156+BM156+BN156</f>
        <v>259</v>
      </c>
      <c r="BP156" s="100">
        <v>53</v>
      </c>
      <c r="BQ156" s="100">
        <v>69</v>
      </c>
      <c r="BR156" s="645">
        <v>67</v>
      </c>
      <c r="BS156" s="645">
        <v>69</v>
      </c>
      <c r="BT156" s="183">
        <f>+BP156+BQ156+BR156+BS156</f>
        <v>258</v>
      </c>
      <c r="BU156" s="645">
        <v>56</v>
      </c>
      <c r="BV156" s="645">
        <v>73</v>
      </c>
      <c r="BW156" s="645">
        <v>71</v>
      </c>
      <c r="BX156" s="645">
        <v>57</v>
      </c>
      <c r="BY156" s="183">
        <f>+BU156+BV156+BW156+BX156</f>
        <v>257</v>
      </c>
      <c r="BZ156" s="100">
        <v>59</v>
      </c>
      <c r="CA156" s="100">
        <v>72</v>
      </c>
      <c r="CB156" s="100">
        <v>70</v>
      </c>
      <c r="CC156" s="100">
        <v>50</v>
      </c>
      <c r="CD156" s="183">
        <f>+BZ156+CA156+CB156+CC156</f>
        <v>251</v>
      </c>
      <c r="CE156" s="100">
        <v>62</v>
      </c>
      <c r="CF156" s="645">
        <v>77</v>
      </c>
      <c r="CG156" s="100">
        <v>51</v>
      </c>
      <c r="CH156" s="100">
        <v>54</v>
      </c>
      <c r="CI156" s="183">
        <f>SUM(CE156:CH156)</f>
        <v>244</v>
      </c>
      <c r="CJ156" s="100">
        <v>64</v>
      </c>
      <c r="CK156" s="100">
        <v>69</v>
      </c>
      <c r="CL156" s="100">
        <f t="shared" si="175"/>
        <v>55.10264999999999</v>
      </c>
      <c r="CM156" s="100">
        <f>CN156-SUM(CJ156:CL156)</f>
        <v>55.59235000000001</v>
      </c>
      <c r="CN156" s="183">
        <f t="shared" si="176"/>
        <v>243.69499999999999</v>
      </c>
      <c r="CO156" s="100">
        <f t="shared" si="176"/>
        <v>66.749220000000008</v>
      </c>
      <c r="CP156" s="100">
        <f t="shared" si="176"/>
        <v>72.755200000000002</v>
      </c>
      <c r="CQ156" s="100">
        <f t="shared" si="176"/>
        <v>55.402343849999987</v>
      </c>
      <c r="CR156" s="100">
        <f>CS156-SUM(CO156:CQ156)</f>
        <v>57.006461149999978</v>
      </c>
      <c r="CS156" s="183">
        <f t="shared" si="177"/>
        <v>251.91322499999998</v>
      </c>
      <c r="CT156" s="100">
        <f t="shared" si="177"/>
        <v>69.200876249999993</v>
      </c>
      <c r="CU156" s="100">
        <f t="shared" si="177"/>
        <v>75.410541500000008</v>
      </c>
      <c r="CV156" s="100">
        <f t="shared" si="177"/>
        <v>57.597428017499986</v>
      </c>
      <c r="CW156" s="100">
        <f>CX156-SUM(CT156:CV156)</f>
        <v>59.27070423249998</v>
      </c>
      <c r="CX156" s="183">
        <f t="shared" si="178"/>
        <v>261.47954999999996</v>
      </c>
      <c r="CY156" s="100">
        <f t="shared" si="178"/>
        <v>71.679897123749996</v>
      </c>
      <c r="CZ156" s="100">
        <f t="shared" si="178"/>
        <v>78.096019872500008</v>
      </c>
      <c r="DA156" s="100">
        <f t="shared" si="178"/>
        <v>59.812288181099973</v>
      </c>
      <c r="DB156" s="100">
        <f>DC156-SUM(CY156:DA156)</f>
        <v>61.555193191399979</v>
      </c>
      <c r="DC156" s="183">
        <f t="shared" si="179"/>
        <v>271.14339836874996</v>
      </c>
      <c r="DD156" s="100">
        <f t="shared" si="179"/>
        <v>74.157362356921865</v>
      </c>
      <c r="DE156" s="100">
        <f t="shared" si="179"/>
        <v>80.78075983884375</v>
      </c>
      <c r="DF156" s="100">
        <f t="shared" si="179"/>
        <v>62.016789648789576</v>
      </c>
      <c r="DG156" s="100">
        <f>DH156-SUM(DD156:DF156)</f>
        <v>63.82870640235879</v>
      </c>
      <c r="DH156" s="183">
        <f>DH190*DH7</f>
        <v>280.78361824691399</v>
      </c>
    </row>
    <row r="157" spans="1:112" ht="12.75" customHeight="1" x14ac:dyDescent="0.2">
      <c r="A157" s="117" t="s">
        <v>220</v>
      </c>
      <c r="B157" s="241"/>
      <c r="C157" s="342" t="s">
        <v>221</v>
      </c>
      <c r="D157" s="342" t="s">
        <v>221</v>
      </c>
      <c r="E157" s="342" t="s">
        <v>221</v>
      </c>
      <c r="F157" s="342" t="s">
        <v>221</v>
      </c>
      <c r="G157" s="272" t="s">
        <v>221</v>
      </c>
      <c r="H157" s="342" t="s">
        <v>221</v>
      </c>
      <c r="I157" s="342" t="s">
        <v>221</v>
      </c>
      <c r="J157" s="342" t="s">
        <v>221</v>
      </c>
      <c r="K157" s="342" t="s">
        <v>221</v>
      </c>
      <c r="L157" s="272" t="s">
        <v>221</v>
      </c>
      <c r="M157" s="342" t="s">
        <v>221</v>
      </c>
      <c r="N157" s="342" t="s">
        <v>221</v>
      </c>
      <c r="O157" s="342" t="s">
        <v>221</v>
      </c>
      <c r="P157" s="342" t="s">
        <v>221</v>
      </c>
      <c r="Q157" s="272" t="s">
        <v>221</v>
      </c>
      <c r="R157" s="342" t="s">
        <v>221</v>
      </c>
      <c r="S157" s="342" t="s">
        <v>221</v>
      </c>
      <c r="T157" s="342" t="s">
        <v>221</v>
      </c>
      <c r="U157" s="342" t="s">
        <v>221</v>
      </c>
      <c r="V157" s="272" t="s">
        <v>221</v>
      </c>
      <c r="W157" s="342" t="s">
        <v>221</v>
      </c>
      <c r="X157" s="342" t="s">
        <v>221</v>
      </c>
      <c r="Y157" s="342" t="s">
        <v>221</v>
      </c>
      <c r="Z157" s="342" t="s">
        <v>221</v>
      </c>
      <c r="AA157" s="272" t="s">
        <v>221</v>
      </c>
      <c r="AB157" s="342" t="s">
        <v>221</v>
      </c>
      <c r="AC157" s="342" t="s">
        <v>221</v>
      </c>
      <c r="AD157" s="342" t="s">
        <v>221</v>
      </c>
      <c r="AE157" s="342" t="s">
        <v>221</v>
      </c>
      <c r="AF157" s="272" t="s">
        <v>221</v>
      </c>
      <c r="AG157" s="171">
        <v>39</v>
      </c>
      <c r="AH157" s="171">
        <v>39</v>
      </c>
      <c r="AI157" s="171">
        <v>48</v>
      </c>
      <c r="AJ157" s="171">
        <v>44</v>
      </c>
      <c r="AK157" s="187">
        <v>170</v>
      </c>
      <c r="AL157" s="171">
        <v>41</v>
      </c>
      <c r="AM157" s="171">
        <v>46</v>
      </c>
      <c r="AN157" s="171">
        <v>33</v>
      </c>
      <c r="AO157" s="171">
        <v>57</v>
      </c>
      <c r="AP157" s="187">
        <v>177</v>
      </c>
      <c r="AQ157" s="171">
        <v>34</v>
      </c>
      <c r="AR157" s="171">
        <v>35</v>
      </c>
      <c r="AS157" s="171">
        <v>47</v>
      </c>
      <c r="AT157" s="171">
        <v>24</v>
      </c>
      <c r="AU157" s="187">
        <v>140</v>
      </c>
      <c r="AV157" s="171">
        <v>43</v>
      </c>
      <c r="AW157" s="171">
        <v>32</v>
      </c>
      <c r="AX157" s="171">
        <v>38</v>
      </c>
      <c r="AY157" s="171">
        <v>31</v>
      </c>
      <c r="AZ157" s="343">
        <f>+AV157+AW157+AX157+AY157</f>
        <v>144</v>
      </c>
      <c r="BA157" s="171">
        <v>39</v>
      </c>
      <c r="BB157" s="171">
        <f>-52+94</f>
        <v>42</v>
      </c>
      <c r="BC157" s="171">
        <v>39</v>
      </c>
      <c r="BD157" s="171">
        <v>29</v>
      </c>
      <c r="BE157" s="343">
        <f>+BA157+BB157+BC157+BD157</f>
        <v>149</v>
      </c>
      <c r="BF157" s="171">
        <v>40</v>
      </c>
      <c r="BG157" s="171">
        <v>33</v>
      </c>
      <c r="BH157" s="171">
        <v>21</v>
      </c>
      <c r="BI157" s="171">
        <v>25</v>
      </c>
      <c r="BJ157" s="343">
        <f>+BF157+BG157+BH157+BI157</f>
        <v>119</v>
      </c>
      <c r="BK157" s="171">
        <v>28</v>
      </c>
      <c r="BL157" s="171">
        <v>25</v>
      </c>
      <c r="BM157" s="171">
        <v>20</v>
      </c>
      <c r="BN157" s="171">
        <v>23</v>
      </c>
      <c r="BO157" s="343">
        <f>+BK157+BL157+BM157+BN157</f>
        <v>96</v>
      </c>
      <c r="BP157" s="674">
        <v>31</v>
      </c>
      <c r="BQ157" s="674">
        <v>33</v>
      </c>
      <c r="BR157" s="675">
        <v>23</v>
      </c>
      <c r="BS157" s="675">
        <v>12</v>
      </c>
      <c r="BT157" s="343">
        <f>+BP157+BQ157+BR157+BS157</f>
        <v>99</v>
      </c>
      <c r="BU157" s="646">
        <v>26</v>
      </c>
      <c r="BV157" s="646">
        <v>24</v>
      </c>
      <c r="BW157" s="646">
        <v>17</v>
      </c>
      <c r="BX157" s="646">
        <v>12</v>
      </c>
      <c r="BY157" s="343">
        <f>+BU157+BV157+BW157+BX157</f>
        <v>79</v>
      </c>
      <c r="BZ157" s="171">
        <v>32</v>
      </c>
      <c r="CA157" s="171">
        <v>22</v>
      </c>
      <c r="CB157" s="171">
        <v>11</v>
      </c>
      <c r="CC157" s="171">
        <v>1</v>
      </c>
      <c r="CD157" s="343">
        <f>+BZ157+CA157+CB157+CC157</f>
        <v>66</v>
      </c>
      <c r="CE157" s="171">
        <v>27</v>
      </c>
      <c r="CF157" s="646">
        <v>28</v>
      </c>
      <c r="CG157" s="171">
        <v>20</v>
      </c>
      <c r="CH157" s="171">
        <v>6</v>
      </c>
      <c r="CI157" s="343">
        <f>SUM(CE157:CH157)</f>
        <v>81</v>
      </c>
      <c r="CJ157" s="171">
        <v>23</v>
      </c>
      <c r="CK157" s="171">
        <v>23</v>
      </c>
      <c r="CL157" s="171">
        <f t="shared" si="175"/>
        <v>15.816084180765662</v>
      </c>
      <c r="CM157" s="171">
        <f ca="1">CN157-SUM(CJ157:CL157)</f>
        <v>6.6361465006657809</v>
      </c>
      <c r="CN157" s="343">
        <f t="shared" ca="1" si="176"/>
        <v>68.452230681431445</v>
      </c>
      <c r="CO157" s="171">
        <f t="shared" si="176"/>
        <v>22.978710417560055</v>
      </c>
      <c r="CP157" s="171">
        <f t="shared" si="176"/>
        <v>23.132158778026497</v>
      </c>
      <c r="CQ157" s="171">
        <f t="shared" si="176"/>
        <v>15.283896401756165</v>
      </c>
      <c r="CR157" s="171">
        <f ca="1">CS157-SUM(CO157:CQ157)</f>
        <v>5.2581627795429497</v>
      </c>
      <c r="CS157" s="343">
        <f t="shared" ca="1" si="177"/>
        <v>66.652928376885669</v>
      </c>
      <c r="CT157" s="171">
        <f t="shared" si="177"/>
        <v>25.696849700514903</v>
      </c>
      <c r="CU157" s="171">
        <f t="shared" si="177"/>
        <v>25.953460194065293</v>
      </c>
      <c r="CV157" s="171">
        <f t="shared" si="177"/>
        <v>17.758040316870275</v>
      </c>
      <c r="CW157" s="171">
        <f ca="1">CX157-SUM(CT157:CV157)</f>
        <v>7.3035518395735721</v>
      </c>
      <c r="CX157" s="343">
        <f t="shared" ca="1" si="178"/>
        <v>76.71190205102404</v>
      </c>
      <c r="CY157" s="171">
        <f t="shared" si="178"/>
        <v>27.674486060579031</v>
      </c>
      <c r="CZ157" s="171">
        <f t="shared" si="178"/>
        <v>27.989585335636022</v>
      </c>
      <c r="DA157" s="171">
        <f t="shared" si="178"/>
        <v>19.428304540530213</v>
      </c>
      <c r="DB157" s="171">
        <f ca="1">DC157-SUM(CY157:DA157)</f>
        <v>8.5142893550988958</v>
      </c>
      <c r="DC157" s="343">
        <f t="shared" ca="1" si="179"/>
        <v>83.606665291844166</v>
      </c>
      <c r="DD157" s="171">
        <f t="shared" si="179"/>
        <v>29.686119753930356</v>
      </c>
      <c r="DE157" s="171">
        <f t="shared" si="179"/>
        <v>30.059196414414192</v>
      </c>
      <c r="DF157" s="171">
        <f t="shared" si="179"/>
        <v>21.115394555411044</v>
      </c>
      <c r="DG157" s="171">
        <f ca="1">DH157-SUM(DD157:DF157)</f>
        <v>9.7204423568533826</v>
      </c>
      <c r="DH157" s="343">
        <f ca="1">DH191*DH8</f>
        <v>90.581153080608971</v>
      </c>
    </row>
    <row r="158" spans="1:112" ht="12.75" customHeight="1" x14ac:dyDescent="0.2">
      <c r="A158" s="103" t="s">
        <v>234</v>
      </c>
      <c r="B158" s="242"/>
      <c r="C158" s="396" t="s">
        <v>221</v>
      </c>
      <c r="D158" s="396" t="s">
        <v>221</v>
      </c>
      <c r="E158" s="396" t="s">
        <v>221</v>
      </c>
      <c r="F158" s="396" t="s">
        <v>221</v>
      </c>
      <c r="G158" s="273" t="s">
        <v>221</v>
      </c>
      <c r="H158" s="396" t="s">
        <v>221</v>
      </c>
      <c r="I158" s="396" t="s">
        <v>221</v>
      </c>
      <c r="J158" s="396" t="s">
        <v>221</v>
      </c>
      <c r="K158" s="396" t="s">
        <v>221</v>
      </c>
      <c r="L158" s="273" t="s">
        <v>221</v>
      </c>
      <c r="M158" s="396" t="s">
        <v>221</v>
      </c>
      <c r="N158" s="396" t="s">
        <v>221</v>
      </c>
      <c r="O158" s="396" t="s">
        <v>221</v>
      </c>
      <c r="P158" s="396" t="s">
        <v>221</v>
      </c>
      <c r="Q158" s="273" t="s">
        <v>221</v>
      </c>
      <c r="R158" s="396" t="s">
        <v>221</v>
      </c>
      <c r="S158" s="396" t="s">
        <v>221</v>
      </c>
      <c r="T158" s="396" t="s">
        <v>221</v>
      </c>
      <c r="U158" s="396" t="s">
        <v>221</v>
      </c>
      <c r="V158" s="273" t="s">
        <v>221</v>
      </c>
      <c r="W158" s="396" t="s">
        <v>221</v>
      </c>
      <c r="X158" s="396" t="s">
        <v>221</v>
      </c>
      <c r="Y158" s="396" t="s">
        <v>221</v>
      </c>
      <c r="Z158" s="396" t="s">
        <v>221</v>
      </c>
      <c r="AA158" s="273" t="s">
        <v>221</v>
      </c>
      <c r="AB158" s="396" t="s">
        <v>221</v>
      </c>
      <c r="AC158" s="396" t="s">
        <v>221</v>
      </c>
      <c r="AD158" s="396" t="s">
        <v>221</v>
      </c>
      <c r="AE158" s="396" t="s">
        <v>221</v>
      </c>
      <c r="AF158" s="273" t="s">
        <v>221</v>
      </c>
      <c r="AG158" s="104">
        <f t="shared" ref="AG158:AZ158" si="180">SUM(AG154:AG157)</f>
        <v>228</v>
      </c>
      <c r="AH158" s="104">
        <f t="shared" si="180"/>
        <v>191</v>
      </c>
      <c r="AI158" s="104">
        <f t="shared" si="180"/>
        <v>260</v>
      </c>
      <c r="AJ158" s="104">
        <f t="shared" si="180"/>
        <v>294</v>
      </c>
      <c r="AK158" s="184">
        <f t="shared" si="180"/>
        <v>973</v>
      </c>
      <c r="AL158" s="104">
        <f t="shared" si="180"/>
        <v>227</v>
      </c>
      <c r="AM158" s="104">
        <f t="shared" si="180"/>
        <v>201</v>
      </c>
      <c r="AN158" s="104">
        <f t="shared" si="180"/>
        <v>228</v>
      </c>
      <c r="AO158" s="104">
        <f t="shared" si="180"/>
        <v>311</v>
      </c>
      <c r="AP158" s="184">
        <f t="shared" si="180"/>
        <v>967</v>
      </c>
      <c r="AQ158" s="104">
        <f t="shared" si="180"/>
        <v>267</v>
      </c>
      <c r="AR158" s="104">
        <f t="shared" si="180"/>
        <v>207</v>
      </c>
      <c r="AS158" s="104">
        <f t="shared" si="180"/>
        <v>311</v>
      </c>
      <c r="AT158" s="104">
        <f t="shared" si="180"/>
        <v>325</v>
      </c>
      <c r="AU158" s="184">
        <f t="shared" si="180"/>
        <v>1109</v>
      </c>
      <c r="AV158" s="104">
        <f t="shared" si="180"/>
        <v>283</v>
      </c>
      <c r="AW158" s="104">
        <f t="shared" si="180"/>
        <v>207</v>
      </c>
      <c r="AX158" s="104">
        <f t="shared" si="180"/>
        <v>286</v>
      </c>
      <c r="AY158" s="104">
        <f t="shared" si="180"/>
        <v>329</v>
      </c>
      <c r="AZ158" s="184">
        <f t="shared" si="180"/>
        <v>1105</v>
      </c>
      <c r="BA158" s="104">
        <f t="shared" ref="BA158:CA158" si="181">SUM(BA154:BA157)</f>
        <v>272</v>
      </c>
      <c r="BB158" s="104">
        <f t="shared" si="181"/>
        <v>196</v>
      </c>
      <c r="BC158" s="104">
        <f t="shared" si="181"/>
        <v>269</v>
      </c>
      <c r="BD158" s="104">
        <f t="shared" si="181"/>
        <v>301</v>
      </c>
      <c r="BE158" s="184">
        <f t="shared" si="181"/>
        <v>1038</v>
      </c>
      <c r="BF158" s="104">
        <f t="shared" si="181"/>
        <v>245</v>
      </c>
      <c r="BG158" s="104">
        <f t="shared" si="181"/>
        <v>214</v>
      </c>
      <c r="BH158" s="104">
        <f t="shared" si="181"/>
        <v>275</v>
      </c>
      <c r="BI158" s="104">
        <f t="shared" si="181"/>
        <v>329</v>
      </c>
      <c r="BJ158" s="184">
        <f t="shared" si="181"/>
        <v>1063</v>
      </c>
      <c r="BK158" s="104">
        <f t="shared" si="181"/>
        <v>254</v>
      </c>
      <c r="BL158" s="104">
        <f t="shared" si="181"/>
        <v>251</v>
      </c>
      <c r="BM158" s="104">
        <f t="shared" si="181"/>
        <v>266</v>
      </c>
      <c r="BN158" s="104">
        <f t="shared" ref="BN158:BT158" si="182">SUM(BN154:BN157)</f>
        <v>340</v>
      </c>
      <c r="BO158" s="184">
        <f t="shared" si="182"/>
        <v>1111</v>
      </c>
      <c r="BP158" s="104">
        <f t="shared" si="182"/>
        <v>267</v>
      </c>
      <c r="BQ158" s="104">
        <f t="shared" si="182"/>
        <v>244</v>
      </c>
      <c r="BR158" s="647">
        <f t="shared" si="182"/>
        <v>259</v>
      </c>
      <c r="BS158" s="647">
        <f t="shared" si="182"/>
        <v>341</v>
      </c>
      <c r="BT158" s="184">
        <f t="shared" si="182"/>
        <v>1111</v>
      </c>
      <c r="BU158" s="104">
        <f>SUM(BU154:BU157)</f>
        <v>258</v>
      </c>
      <c r="BV158" s="104">
        <f t="shared" si="181"/>
        <v>255</v>
      </c>
      <c r="BW158" s="104">
        <f t="shared" si="181"/>
        <v>290</v>
      </c>
      <c r="BX158" s="104">
        <f t="shared" si="181"/>
        <v>353</v>
      </c>
      <c r="BY158" s="184">
        <f>SUM(BY154:BY157)</f>
        <v>1156</v>
      </c>
      <c r="BZ158" s="104">
        <f t="shared" si="181"/>
        <v>322</v>
      </c>
      <c r="CA158" s="104">
        <f t="shared" si="181"/>
        <v>284</v>
      </c>
      <c r="CB158" s="104">
        <f t="shared" ref="CB158:CG158" si="183">SUM(CB154:CB157)</f>
        <v>316</v>
      </c>
      <c r="CC158" s="104">
        <f t="shared" si="183"/>
        <v>334</v>
      </c>
      <c r="CD158" s="184">
        <f>SUM(CD154:CD157)</f>
        <v>1256</v>
      </c>
      <c r="CE158" s="104">
        <f t="shared" si="183"/>
        <v>322</v>
      </c>
      <c r="CF158" s="647">
        <f t="shared" si="183"/>
        <v>280</v>
      </c>
      <c r="CG158" s="104">
        <f t="shared" si="183"/>
        <v>309</v>
      </c>
      <c r="CH158" s="104">
        <f t="shared" ref="CH158:CX158" si="184">SUM(CH154:CH157)</f>
        <v>356</v>
      </c>
      <c r="CI158" s="184">
        <f>SUM(CI154:CI157)</f>
        <v>1267</v>
      </c>
      <c r="CJ158" s="104">
        <f t="shared" si="184"/>
        <v>332</v>
      </c>
      <c r="CK158" s="104">
        <f t="shared" si="184"/>
        <v>267</v>
      </c>
      <c r="CL158" s="104">
        <f t="shared" si="184"/>
        <v>303.33874018076563</v>
      </c>
      <c r="CM158" s="104">
        <f t="shared" ca="1" si="184"/>
        <v>361.65282494227728</v>
      </c>
      <c r="CN158" s="184">
        <f t="shared" ca="1" si="184"/>
        <v>1263.9915651230428</v>
      </c>
      <c r="CO158" s="104">
        <f t="shared" si="184"/>
        <v>341.78746817266216</v>
      </c>
      <c r="CP158" s="104">
        <f t="shared" si="184"/>
        <v>276.39600268046553</v>
      </c>
      <c r="CQ158" s="104">
        <f t="shared" si="184"/>
        <v>321.04055473323768</v>
      </c>
      <c r="CR158" s="104">
        <f t="shared" ca="1" si="184"/>
        <v>366.54209395630306</v>
      </c>
      <c r="CS158" s="184">
        <f t="shared" ca="1" si="184"/>
        <v>1305.7661195426685</v>
      </c>
      <c r="CT158" s="104">
        <f t="shared" si="184"/>
        <v>358.84577032194352</v>
      </c>
      <c r="CU158" s="104">
        <f t="shared" si="184"/>
        <v>291.94154360504092</v>
      </c>
      <c r="CV158" s="104">
        <f t="shared" si="184"/>
        <v>337.877124590074</v>
      </c>
      <c r="CW158" s="104">
        <f t="shared" ca="1" si="184"/>
        <v>385.506385544485</v>
      </c>
      <c r="CX158" s="184">
        <f t="shared" ca="1" si="184"/>
        <v>1374.1708240615435</v>
      </c>
      <c r="CY158" s="104">
        <f t="shared" ref="CY158:DH158" si="185">SUM(CY154:CY157)</f>
        <v>371.25427125842907</v>
      </c>
      <c r="CZ158" s="104">
        <f t="shared" si="185"/>
        <v>302.92837718547628</v>
      </c>
      <c r="DA158" s="104">
        <f t="shared" si="185"/>
        <v>349.53011813280852</v>
      </c>
      <c r="DB158" s="104">
        <f t="shared" ca="1" si="185"/>
        <v>397.98595371883698</v>
      </c>
      <c r="DC158" s="184">
        <f t="shared" ca="1" si="185"/>
        <v>1421.6987202955509</v>
      </c>
      <c r="DD158" s="104">
        <f t="shared" si="185"/>
        <v>383.56032667352366</v>
      </c>
      <c r="DE158" s="104">
        <f t="shared" si="185"/>
        <v>313.80771173205488</v>
      </c>
      <c r="DF158" s="104">
        <f t="shared" si="185"/>
        <v>361.04443953232641</v>
      </c>
      <c r="DG158" s="104">
        <f t="shared" ca="1" si="185"/>
        <v>410.28138138726013</v>
      </c>
      <c r="DH158" s="184">
        <f t="shared" ca="1" si="185"/>
        <v>1468.6938593251652</v>
      </c>
    </row>
    <row r="159" spans="1:112" ht="12.75" customHeight="1" x14ac:dyDescent="0.2">
      <c r="A159" s="117" t="s">
        <v>210</v>
      </c>
      <c r="B159" s="241"/>
      <c r="C159" s="342" t="s">
        <v>221</v>
      </c>
      <c r="D159" s="342" t="s">
        <v>221</v>
      </c>
      <c r="E159" s="342" t="s">
        <v>221</v>
      </c>
      <c r="F159" s="342" t="s">
        <v>221</v>
      </c>
      <c r="G159" s="272" t="s">
        <v>221</v>
      </c>
      <c r="H159" s="342" t="s">
        <v>221</v>
      </c>
      <c r="I159" s="342" t="s">
        <v>221</v>
      </c>
      <c r="J159" s="342" t="s">
        <v>221</v>
      </c>
      <c r="K159" s="342" t="s">
        <v>221</v>
      </c>
      <c r="L159" s="272" t="s">
        <v>221</v>
      </c>
      <c r="M159" s="342" t="s">
        <v>221</v>
      </c>
      <c r="N159" s="342" t="s">
        <v>221</v>
      </c>
      <c r="O159" s="342" t="s">
        <v>221</v>
      </c>
      <c r="P159" s="342" t="s">
        <v>221</v>
      </c>
      <c r="Q159" s="272" t="s">
        <v>221</v>
      </c>
      <c r="R159" s="342" t="s">
        <v>221</v>
      </c>
      <c r="S159" s="342" t="s">
        <v>221</v>
      </c>
      <c r="T159" s="342" t="s">
        <v>221</v>
      </c>
      <c r="U159" s="342" t="s">
        <v>221</v>
      </c>
      <c r="V159" s="272" t="s">
        <v>221</v>
      </c>
      <c r="W159" s="342" t="s">
        <v>221</v>
      </c>
      <c r="X159" s="342" t="s">
        <v>221</v>
      </c>
      <c r="Y159" s="342" t="s">
        <v>221</v>
      </c>
      <c r="Z159" s="342" t="s">
        <v>221</v>
      </c>
      <c r="AA159" s="272" t="s">
        <v>221</v>
      </c>
      <c r="AB159" s="342" t="s">
        <v>221</v>
      </c>
      <c r="AC159" s="342" t="s">
        <v>221</v>
      </c>
      <c r="AD159" s="342" t="s">
        <v>221</v>
      </c>
      <c r="AE159" s="342" t="s">
        <v>221</v>
      </c>
      <c r="AF159" s="272" t="s">
        <v>221</v>
      </c>
      <c r="AG159" s="243">
        <f t="shared" ref="AG159:AP159" si="186">AG164-AG163</f>
        <v>-24</v>
      </c>
      <c r="AH159" s="243">
        <f t="shared" si="186"/>
        <v>-26</v>
      </c>
      <c r="AI159" s="243">
        <f t="shared" si="186"/>
        <v>-39</v>
      </c>
      <c r="AJ159" s="243">
        <f t="shared" si="186"/>
        <v>-28</v>
      </c>
      <c r="AK159" s="346">
        <f t="shared" si="186"/>
        <v>-117</v>
      </c>
      <c r="AL159" s="243">
        <f t="shared" si="186"/>
        <v>-20</v>
      </c>
      <c r="AM159" s="243">
        <f t="shared" si="186"/>
        <v>-27</v>
      </c>
      <c r="AN159" s="243">
        <f t="shared" si="186"/>
        <v>-31</v>
      </c>
      <c r="AO159" s="243">
        <f t="shared" si="186"/>
        <v>-28</v>
      </c>
      <c r="AP159" s="346">
        <f t="shared" si="186"/>
        <v>-106</v>
      </c>
      <c r="AQ159" s="243">
        <f t="shared" ref="AQ159:BE159" si="187">AQ164-AQ163</f>
        <v>-39</v>
      </c>
      <c r="AR159" s="243">
        <f t="shared" si="187"/>
        <v>-32</v>
      </c>
      <c r="AS159" s="243">
        <f t="shared" si="187"/>
        <v>-39</v>
      </c>
      <c r="AT159" s="243">
        <f t="shared" si="187"/>
        <v>-28</v>
      </c>
      <c r="AU159" s="346">
        <f t="shared" si="187"/>
        <v>-137</v>
      </c>
      <c r="AV159" s="243">
        <f t="shared" si="187"/>
        <v>-30</v>
      </c>
      <c r="AW159" s="243">
        <f t="shared" si="187"/>
        <v>-33</v>
      </c>
      <c r="AX159" s="243">
        <f t="shared" si="187"/>
        <v>-43</v>
      </c>
      <c r="AY159" s="243">
        <f t="shared" si="187"/>
        <v>-55</v>
      </c>
      <c r="AZ159" s="346">
        <f t="shared" si="187"/>
        <v>-161</v>
      </c>
      <c r="BA159" s="243">
        <f t="shared" si="187"/>
        <v>-38</v>
      </c>
      <c r="BB159" s="243">
        <f t="shared" si="187"/>
        <v>-17</v>
      </c>
      <c r="BC159" s="243">
        <f t="shared" si="187"/>
        <v>-21</v>
      </c>
      <c r="BD159" s="243">
        <f t="shared" si="187"/>
        <v>-18</v>
      </c>
      <c r="BE159" s="416">
        <f t="shared" si="187"/>
        <v>-94</v>
      </c>
      <c r="BF159" s="243">
        <f>BF164-BF163</f>
        <v>-29</v>
      </c>
      <c r="BG159" s="243">
        <f>BG164-BG163</f>
        <v>-29</v>
      </c>
      <c r="BH159" s="243">
        <f>BH164-BH163</f>
        <v>-44</v>
      </c>
      <c r="BI159" s="243">
        <f>BI164-BI163</f>
        <v>-45</v>
      </c>
      <c r="BJ159" s="416">
        <f>+BF159+BG159+BH159+BI159</f>
        <v>-147</v>
      </c>
      <c r="BK159" s="243">
        <f>BK164-BK163</f>
        <v>-27</v>
      </c>
      <c r="BL159" s="243">
        <f>BL164-BL163</f>
        <v>-30</v>
      </c>
      <c r="BM159" s="243">
        <f>BM164-BM163</f>
        <v>-34</v>
      </c>
      <c r="BN159" s="243">
        <f>BN164-BN163</f>
        <v>-45</v>
      </c>
      <c r="BO159" s="416">
        <f>+BK159+BL159+BM159+BN159</f>
        <v>-136</v>
      </c>
      <c r="BP159" s="243">
        <f>BP164-BP163</f>
        <v>-30</v>
      </c>
      <c r="BQ159" s="243">
        <f>BQ164-BQ163</f>
        <v>-34</v>
      </c>
      <c r="BR159" s="648">
        <f>BR164-BR163</f>
        <v>-8</v>
      </c>
      <c r="BS159" s="243">
        <f>BS164-BS163</f>
        <v>-52</v>
      </c>
      <c r="BT159" s="416">
        <f>+BP159+BQ159+BR159+BS159</f>
        <v>-124</v>
      </c>
      <c r="BU159" s="648">
        <f>BU164-BU163</f>
        <v>-14</v>
      </c>
      <c r="BV159" s="648">
        <f>BV164-BV163</f>
        <v>-32</v>
      </c>
      <c r="BW159" s="648">
        <f>BW164-BW163</f>
        <v>-48</v>
      </c>
      <c r="BX159" s="648">
        <f>BX164-BX163</f>
        <v>-41</v>
      </c>
      <c r="BY159" s="416">
        <f>+BU159+BV159+BW159+BX159</f>
        <v>-135</v>
      </c>
      <c r="BZ159" s="648">
        <f>BZ164-BZ163</f>
        <v>-35</v>
      </c>
      <c r="CA159" s="648">
        <f>CA164-CA163</f>
        <v>-32</v>
      </c>
      <c r="CB159" s="648">
        <f>CB164-CB163</f>
        <v>-57</v>
      </c>
      <c r="CC159" s="648">
        <f>CC164-CC163</f>
        <v>-61</v>
      </c>
      <c r="CD159" s="416">
        <f>+BZ159+CA159+CB159+CC159</f>
        <v>-185</v>
      </c>
      <c r="CE159" s="648">
        <f>CE164-CE163</f>
        <v>-36</v>
      </c>
      <c r="CF159" s="648">
        <f>CF164-CF163</f>
        <v>-31</v>
      </c>
      <c r="CG159" s="648">
        <f>CG164-CG163</f>
        <v>-40</v>
      </c>
      <c r="CH159" s="243">
        <f>CH164-CH163</f>
        <v>-39</v>
      </c>
      <c r="CI159" s="416">
        <f>+CE159+CF159+CG159+CH159</f>
        <v>-146</v>
      </c>
      <c r="CJ159" s="648">
        <f>CJ164-CJ163</f>
        <v>-29</v>
      </c>
      <c r="CK159" s="648">
        <f>CK164-CK163</f>
        <v>-26</v>
      </c>
      <c r="CL159" s="341">
        <v>-41</v>
      </c>
      <c r="CM159" s="243">
        <f>CN159-SUM(CJ159:CL159)</f>
        <v>-39</v>
      </c>
      <c r="CN159" s="344">
        <v>-135</v>
      </c>
      <c r="CO159" s="341">
        <f>CJ159/CN159*CS159</f>
        <v>-29.725000000000001</v>
      </c>
      <c r="CP159" s="341">
        <f>CK159/CN159*CS159</f>
        <v>-26.65</v>
      </c>
      <c r="CQ159" s="341">
        <f>CL159/CN159*CS159</f>
        <v>-42.024999999999999</v>
      </c>
      <c r="CR159" s="243">
        <f>CS159-SUM(CO159:CQ159)</f>
        <v>-39.974999999999994</v>
      </c>
      <c r="CS159" s="344">
        <f>CN159*1.025</f>
        <v>-138.375</v>
      </c>
      <c r="CT159" s="341">
        <f>CO159/CS159*CX159</f>
        <v>-30.468125000000001</v>
      </c>
      <c r="CU159" s="341">
        <f>CP159/CS159*CX159</f>
        <v>-27.31625</v>
      </c>
      <c r="CV159" s="341">
        <f>CQ159/CS159*CX159</f>
        <v>-43.075624999999995</v>
      </c>
      <c r="CW159" s="243">
        <f>CX159-SUM(CT159:CV159)</f>
        <v>-40.974375000000009</v>
      </c>
      <c r="CX159" s="344">
        <f>CS159*1.025</f>
        <v>-141.83437499999999</v>
      </c>
      <c r="CY159" s="341">
        <f>CT159/CX159*DC159</f>
        <v>-31.229828124999997</v>
      </c>
      <c r="CZ159" s="341">
        <f>CU159/CX159*DC159</f>
        <v>-27.999156249999999</v>
      </c>
      <c r="DA159" s="341">
        <f>CV159/CX159*DC159</f>
        <v>-44.152515624999992</v>
      </c>
      <c r="DB159" s="243">
        <f>DC159-SUM(CY159:DA159)</f>
        <v>-41.998734374999998</v>
      </c>
      <c r="DC159" s="344">
        <f>CX159*1.025</f>
        <v>-145.38023437499999</v>
      </c>
      <c r="DD159" s="341">
        <f>CY159/DC159*DH159</f>
        <v>-32.010573828124997</v>
      </c>
      <c r="DE159" s="341">
        <f>CZ159/DC159*DH159</f>
        <v>-28.699135156249998</v>
      </c>
      <c r="DF159" s="341">
        <f>DA159/DC159*DH159</f>
        <v>-45.256328515624993</v>
      </c>
      <c r="DG159" s="243">
        <f>DH159-SUM(DD159:DF159)</f>
        <v>-43.048702734374984</v>
      </c>
      <c r="DH159" s="344">
        <f>DC159*1.025</f>
        <v>-149.01474023437498</v>
      </c>
    </row>
    <row r="160" spans="1:112" ht="12.75" customHeight="1" x14ac:dyDescent="0.2">
      <c r="A160" s="103" t="s">
        <v>340</v>
      </c>
      <c r="B160" s="242"/>
      <c r="C160" s="396" t="s">
        <v>221</v>
      </c>
      <c r="D160" s="396" t="s">
        <v>221</v>
      </c>
      <c r="E160" s="396" t="s">
        <v>221</v>
      </c>
      <c r="F160" s="396" t="s">
        <v>221</v>
      </c>
      <c r="G160" s="273" t="s">
        <v>221</v>
      </c>
      <c r="H160" s="396" t="s">
        <v>221</v>
      </c>
      <c r="I160" s="396" t="s">
        <v>221</v>
      </c>
      <c r="J160" s="396" t="s">
        <v>221</v>
      </c>
      <c r="K160" s="396" t="s">
        <v>221</v>
      </c>
      <c r="L160" s="273" t="s">
        <v>221</v>
      </c>
      <c r="M160" s="396" t="s">
        <v>221</v>
      </c>
      <c r="N160" s="396" t="s">
        <v>221</v>
      </c>
      <c r="O160" s="396" t="s">
        <v>221</v>
      </c>
      <c r="P160" s="396" t="s">
        <v>221</v>
      </c>
      <c r="Q160" s="273" t="s">
        <v>221</v>
      </c>
      <c r="R160" s="396" t="s">
        <v>221</v>
      </c>
      <c r="S160" s="396" t="s">
        <v>221</v>
      </c>
      <c r="T160" s="396" t="s">
        <v>221</v>
      </c>
      <c r="U160" s="396" t="s">
        <v>221</v>
      </c>
      <c r="V160" s="273" t="s">
        <v>221</v>
      </c>
      <c r="W160" s="396" t="s">
        <v>221</v>
      </c>
      <c r="X160" s="396" t="s">
        <v>221</v>
      </c>
      <c r="Y160" s="396" t="s">
        <v>221</v>
      </c>
      <c r="Z160" s="396" t="s">
        <v>221</v>
      </c>
      <c r="AA160" s="273" t="s">
        <v>221</v>
      </c>
      <c r="AB160" s="396" t="s">
        <v>221</v>
      </c>
      <c r="AC160" s="396" t="s">
        <v>221</v>
      </c>
      <c r="AD160" s="396" t="s">
        <v>221</v>
      </c>
      <c r="AE160" s="396" t="s">
        <v>221</v>
      </c>
      <c r="AF160" s="273" t="s">
        <v>221</v>
      </c>
      <c r="AG160" s="104">
        <f t="shared" ref="AG160:AW160" si="188">SUM(AG158,AG159)</f>
        <v>204</v>
      </c>
      <c r="AH160" s="104">
        <f t="shared" si="188"/>
        <v>165</v>
      </c>
      <c r="AI160" s="104">
        <f t="shared" si="188"/>
        <v>221</v>
      </c>
      <c r="AJ160" s="104">
        <f t="shared" si="188"/>
        <v>266</v>
      </c>
      <c r="AK160" s="184">
        <f t="shared" si="188"/>
        <v>856</v>
      </c>
      <c r="AL160" s="104">
        <f t="shared" si="188"/>
        <v>207</v>
      </c>
      <c r="AM160" s="104">
        <f t="shared" si="188"/>
        <v>174</v>
      </c>
      <c r="AN160" s="104">
        <f t="shared" si="188"/>
        <v>197</v>
      </c>
      <c r="AO160" s="104">
        <f t="shared" si="188"/>
        <v>283</v>
      </c>
      <c r="AP160" s="184">
        <f t="shared" si="188"/>
        <v>861</v>
      </c>
      <c r="AQ160" s="104">
        <f t="shared" si="188"/>
        <v>228</v>
      </c>
      <c r="AR160" s="104">
        <f t="shared" si="188"/>
        <v>175</v>
      </c>
      <c r="AS160" s="104">
        <f t="shared" si="188"/>
        <v>272</v>
      </c>
      <c r="AT160" s="104">
        <f t="shared" si="188"/>
        <v>297</v>
      </c>
      <c r="AU160" s="184">
        <f t="shared" si="188"/>
        <v>972</v>
      </c>
      <c r="AV160" s="104">
        <f t="shared" si="188"/>
        <v>253</v>
      </c>
      <c r="AW160" s="104">
        <f t="shared" si="188"/>
        <v>174</v>
      </c>
      <c r="AX160" s="104">
        <f t="shared" ref="AX160:CA160" si="189">SUM(AX158,AX159)</f>
        <v>243</v>
      </c>
      <c r="AY160" s="104">
        <f t="shared" si="189"/>
        <v>274</v>
      </c>
      <c r="AZ160" s="184">
        <f t="shared" si="189"/>
        <v>944</v>
      </c>
      <c r="BA160" s="104">
        <f t="shared" si="189"/>
        <v>234</v>
      </c>
      <c r="BB160" s="104">
        <f t="shared" si="189"/>
        <v>179</v>
      </c>
      <c r="BC160" s="104">
        <f t="shared" si="189"/>
        <v>248</v>
      </c>
      <c r="BD160" s="104">
        <f t="shared" si="189"/>
        <v>283</v>
      </c>
      <c r="BE160" s="184">
        <f t="shared" si="189"/>
        <v>944</v>
      </c>
      <c r="BF160" s="104">
        <f>SUM(BF158,BF159)</f>
        <v>216</v>
      </c>
      <c r="BG160" s="104">
        <f t="shared" si="189"/>
        <v>185</v>
      </c>
      <c r="BH160" s="104">
        <f t="shared" si="189"/>
        <v>231</v>
      </c>
      <c r="BI160" s="104">
        <f t="shared" si="189"/>
        <v>284</v>
      </c>
      <c r="BJ160" s="184">
        <f t="shared" si="189"/>
        <v>916</v>
      </c>
      <c r="BK160" s="104">
        <f t="shared" si="189"/>
        <v>227</v>
      </c>
      <c r="BL160" s="104">
        <f t="shared" si="189"/>
        <v>221</v>
      </c>
      <c r="BM160" s="104">
        <f t="shared" si="189"/>
        <v>232</v>
      </c>
      <c r="BN160" s="104">
        <f>SUM(BN158,BN159)</f>
        <v>295</v>
      </c>
      <c r="BO160" s="184">
        <f>SUM(BO158,BO159)</f>
        <v>975</v>
      </c>
      <c r="BP160" s="104">
        <f t="shared" si="189"/>
        <v>237</v>
      </c>
      <c r="BQ160" s="104">
        <f t="shared" ref="BQ160:BX160" si="190">SUM(BQ158,BQ159)</f>
        <v>210</v>
      </c>
      <c r="BR160" s="647">
        <f t="shared" si="190"/>
        <v>251</v>
      </c>
      <c r="BS160" s="647">
        <f t="shared" si="190"/>
        <v>289</v>
      </c>
      <c r="BT160" s="184">
        <f t="shared" si="190"/>
        <v>987</v>
      </c>
      <c r="BU160" s="104">
        <f>SUM(BU158,BU159)</f>
        <v>244</v>
      </c>
      <c r="BV160" s="104">
        <f t="shared" si="190"/>
        <v>223</v>
      </c>
      <c r="BW160" s="104">
        <f t="shared" si="190"/>
        <v>242</v>
      </c>
      <c r="BX160" s="104">
        <f t="shared" si="190"/>
        <v>312</v>
      </c>
      <c r="BY160" s="184">
        <f>SUM(BY158,BY159)</f>
        <v>1021</v>
      </c>
      <c r="BZ160" s="104">
        <f t="shared" si="189"/>
        <v>287</v>
      </c>
      <c r="CA160" s="104">
        <f t="shared" si="189"/>
        <v>252</v>
      </c>
      <c r="CB160" s="104">
        <f t="shared" ref="CB160:CH160" si="191">SUM(CB158,CB159)</f>
        <v>259</v>
      </c>
      <c r="CC160" s="104">
        <f t="shared" si="191"/>
        <v>273</v>
      </c>
      <c r="CD160" s="184">
        <f t="shared" si="191"/>
        <v>1071</v>
      </c>
      <c r="CE160" s="104">
        <f t="shared" si="191"/>
        <v>286</v>
      </c>
      <c r="CF160" s="104">
        <f t="shared" si="191"/>
        <v>249</v>
      </c>
      <c r="CG160" s="104">
        <f t="shared" si="191"/>
        <v>269</v>
      </c>
      <c r="CH160" s="104">
        <f t="shared" si="191"/>
        <v>317</v>
      </c>
      <c r="CI160" s="184">
        <f t="shared" ref="CI160:CX160" si="192">SUM(CI158,CI159)</f>
        <v>1121</v>
      </c>
      <c r="CJ160" s="104">
        <f t="shared" si="192"/>
        <v>303</v>
      </c>
      <c r="CK160" s="104">
        <f t="shared" si="192"/>
        <v>241</v>
      </c>
      <c r="CL160" s="104">
        <f t="shared" si="192"/>
        <v>262.33874018076563</v>
      </c>
      <c r="CM160" s="104">
        <f t="shared" ca="1" si="192"/>
        <v>322.65282494227728</v>
      </c>
      <c r="CN160" s="184">
        <f t="shared" ca="1" si="192"/>
        <v>1128.9915651230428</v>
      </c>
      <c r="CO160" s="104">
        <f t="shared" si="192"/>
        <v>312.06246817266214</v>
      </c>
      <c r="CP160" s="104">
        <f t="shared" si="192"/>
        <v>249.74600268046552</v>
      </c>
      <c r="CQ160" s="104">
        <f t="shared" si="192"/>
        <v>279.01555473323771</v>
      </c>
      <c r="CR160" s="104">
        <f t="shared" ca="1" si="192"/>
        <v>326.5670939563031</v>
      </c>
      <c r="CS160" s="184">
        <f t="shared" ca="1" si="192"/>
        <v>1167.3911195426685</v>
      </c>
      <c r="CT160" s="104">
        <f t="shared" si="192"/>
        <v>328.37764532194353</v>
      </c>
      <c r="CU160" s="104">
        <f t="shared" si="192"/>
        <v>264.62529360504089</v>
      </c>
      <c r="CV160" s="104">
        <f t="shared" si="192"/>
        <v>294.801499590074</v>
      </c>
      <c r="CW160" s="104">
        <f t="shared" ca="1" si="192"/>
        <v>344.53201054448499</v>
      </c>
      <c r="CX160" s="184">
        <f t="shared" ca="1" si="192"/>
        <v>1232.3364490615436</v>
      </c>
      <c r="CY160" s="104">
        <f t="shared" ref="CY160:DH160" si="193">SUM(CY158,CY159)</f>
        <v>340.02444313342909</v>
      </c>
      <c r="CZ160" s="104">
        <f t="shared" si="193"/>
        <v>274.92922093547628</v>
      </c>
      <c r="DA160" s="104">
        <f t="shared" si="193"/>
        <v>305.37760250780855</v>
      </c>
      <c r="DB160" s="104">
        <f t="shared" ca="1" si="193"/>
        <v>355.98721934383695</v>
      </c>
      <c r="DC160" s="184">
        <f t="shared" ca="1" si="193"/>
        <v>1276.3184859205508</v>
      </c>
      <c r="DD160" s="104">
        <f t="shared" si="193"/>
        <v>351.54975284539864</v>
      </c>
      <c r="DE160" s="104">
        <f t="shared" si="193"/>
        <v>285.10857657580488</v>
      </c>
      <c r="DF160" s="104">
        <f t="shared" si="193"/>
        <v>315.78811101670141</v>
      </c>
      <c r="DG160" s="104">
        <f t="shared" ca="1" si="193"/>
        <v>367.23267865288517</v>
      </c>
      <c r="DH160" s="184">
        <f t="shared" ca="1" si="193"/>
        <v>1319.6791190907902</v>
      </c>
    </row>
    <row r="161" spans="1:112" ht="12.75" customHeight="1" x14ac:dyDescent="0.2">
      <c r="A161" s="306" t="s">
        <v>341</v>
      </c>
      <c r="B161" s="242"/>
      <c r="C161" s="396"/>
      <c r="D161" s="396"/>
      <c r="E161" s="396"/>
      <c r="F161" s="396"/>
      <c r="G161" s="273"/>
      <c r="H161" s="396"/>
      <c r="I161" s="396"/>
      <c r="J161" s="396"/>
      <c r="K161" s="396"/>
      <c r="L161" s="273"/>
      <c r="M161" s="396"/>
      <c r="N161" s="396"/>
      <c r="O161" s="396"/>
      <c r="P161" s="396"/>
      <c r="Q161" s="273"/>
      <c r="R161" s="396"/>
      <c r="S161" s="396"/>
      <c r="T161" s="396"/>
      <c r="U161" s="396"/>
      <c r="V161" s="273"/>
      <c r="W161" s="396"/>
      <c r="X161" s="396"/>
      <c r="Y161" s="396"/>
      <c r="Z161" s="396"/>
      <c r="AA161" s="273"/>
      <c r="AB161" s="396"/>
      <c r="AC161" s="396"/>
      <c r="AD161" s="396"/>
      <c r="AE161" s="396"/>
      <c r="AF161" s="273" t="s">
        <v>221</v>
      </c>
      <c r="AG161" s="514">
        <f>Financials!AF50+Financials!AF66</f>
        <v>204</v>
      </c>
      <c r="AH161" s="514">
        <f>Financials!AG50+Financials!AG66</f>
        <v>165</v>
      </c>
      <c r="AI161" s="514">
        <f>Financials!AH50+Financials!AH66</f>
        <v>221</v>
      </c>
      <c r="AJ161" s="514">
        <f>Financials!AI50+Financials!AI66</f>
        <v>266</v>
      </c>
      <c r="AK161" s="515">
        <f>Financials!AJ50+Financials!AJ66</f>
        <v>856</v>
      </c>
      <c r="AL161" s="514">
        <f>Financials!AK50+Financials!AK66</f>
        <v>207</v>
      </c>
      <c r="AM161" s="514">
        <f>Financials!AL50+Financials!AL66</f>
        <v>174</v>
      </c>
      <c r="AN161" s="514">
        <f>Financials!AM50+Financials!AM66</f>
        <v>197</v>
      </c>
      <c r="AO161" s="514">
        <f>Financials!AN50+Financials!AN66</f>
        <v>283</v>
      </c>
      <c r="AP161" s="515">
        <f>Financials!AO50+Financials!AO66</f>
        <v>861</v>
      </c>
      <c r="AQ161" s="514">
        <f>Financials!AP50+Financials!AP66</f>
        <v>228</v>
      </c>
      <c r="AR161" s="514">
        <f>Financials!AQ50+Financials!AQ66</f>
        <v>175</v>
      </c>
      <c r="AS161" s="514">
        <f>Financials!AR50+Financials!AR66</f>
        <v>272</v>
      </c>
      <c r="AT161" s="514">
        <f>Financials!AS50+Financials!AS66</f>
        <v>297</v>
      </c>
      <c r="AU161" s="515">
        <f>Financials!AT50+Financials!AT66</f>
        <v>972</v>
      </c>
      <c r="AV161" s="514">
        <f>Financials!AU50+Financials!AU66</f>
        <v>253</v>
      </c>
      <c r="AW161" s="514">
        <f>Financials!AV50+Financials!AV66</f>
        <v>174</v>
      </c>
      <c r="AX161" s="514">
        <f>Financials!AW50+Financials!AW66</f>
        <v>243</v>
      </c>
      <c r="AY161" s="514">
        <f>Financials!AX50+Financials!AX66</f>
        <v>274</v>
      </c>
      <c r="AZ161" s="515">
        <f>Financials!AY50+Financials!AY66</f>
        <v>944</v>
      </c>
      <c r="BA161" s="514">
        <f>Financials!AZ50+Financials!AZ66</f>
        <v>234</v>
      </c>
      <c r="BB161" s="514">
        <f>Financials!BA50+Financials!BA66</f>
        <v>179</v>
      </c>
      <c r="BC161" s="514">
        <f>Financials!BB50+Financials!BB66</f>
        <v>248</v>
      </c>
      <c r="BD161" s="514">
        <f>Financials!BC50+Financials!BC66</f>
        <v>283</v>
      </c>
      <c r="BE161" s="184">
        <f>Financials!BD50+Financials!BD66</f>
        <v>944</v>
      </c>
      <c r="BF161" s="514">
        <f>Financials!BE50+Financials!BE66</f>
        <v>216</v>
      </c>
      <c r="BG161" s="514">
        <f>Financials!BF50+Financials!BF66</f>
        <v>185</v>
      </c>
      <c r="BH161" s="514">
        <f>Financials!BG50+Financials!BG66</f>
        <v>231</v>
      </c>
      <c r="BI161" s="514">
        <f>Financials!BH50+Financials!BH66</f>
        <v>284</v>
      </c>
      <c r="BJ161" s="184"/>
      <c r="BK161" s="514">
        <f>Financials!BJ50+Financials!BJ66</f>
        <v>227</v>
      </c>
      <c r="BL161" s="514">
        <f>Financials!BK50+Financials!BK66</f>
        <v>221</v>
      </c>
      <c r="BM161" s="514">
        <f>Financials!BL50+Financials!BL66</f>
        <v>232</v>
      </c>
      <c r="BN161" s="514">
        <f>Financials!BM50+Financials!BM66</f>
        <v>295</v>
      </c>
      <c r="BO161" s="184"/>
      <c r="BP161" s="514">
        <f>Financials!BO50+Financials!BO66</f>
        <v>237</v>
      </c>
      <c r="BQ161" s="514">
        <f>Financials!BP50+Financials!BP66</f>
        <v>210</v>
      </c>
      <c r="BR161" s="649">
        <f>Financials!BQ50+Financials!BQ66</f>
        <v>251</v>
      </c>
      <c r="BS161" s="649">
        <f>Financials!BR50+Financials!BR66</f>
        <v>289</v>
      </c>
      <c r="BT161" s="184"/>
      <c r="BU161" s="823">
        <f>Financials!BT50+Financials!BT66</f>
        <v>244</v>
      </c>
      <c r="BV161" s="823">
        <f>Financials!BU50+Financials!BU66</f>
        <v>223</v>
      </c>
      <c r="BW161" s="823">
        <f>Financials!BV50+Financials!BV66</f>
        <v>242</v>
      </c>
      <c r="BX161" s="823">
        <f>Financials!BW50+Financials!BW66</f>
        <v>312</v>
      </c>
      <c r="BY161" s="184"/>
      <c r="BZ161" s="823">
        <f>Financials!BY50+Financials!BY66</f>
        <v>287</v>
      </c>
      <c r="CA161" s="823">
        <f>Financials!BZ50+Financials!BZ66</f>
        <v>252</v>
      </c>
      <c r="CB161" s="823">
        <f>Financials!CA50+Financials!CA66</f>
        <v>259</v>
      </c>
      <c r="CC161" s="823">
        <f>Financials!CB50+Financials!CB66</f>
        <v>273</v>
      </c>
      <c r="CD161" s="184"/>
      <c r="CE161" s="823">
        <f>Financials!CD50+Financials!CD66</f>
        <v>286.39999999999998</v>
      </c>
      <c r="CF161" s="823">
        <f>Financials!CE50+Financials!CE66</f>
        <v>248.5</v>
      </c>
      <c r="CG161" s="823">
        <f>Financials!CF50+Financials!CF66</f>
        <v>269.5</v>
      </c>
      <c r="CH161" s="823">
        <f>Financials!CG50+Financials!CG66</f>
        <v>317.39999999999998</v>
      </c>
      <c r="CI161" s="184"/>
      <c r="CJ161" s="823"/>
      <c r="CK161" s="104"/>
      <c r="CL161" s="104"/>
      <c r="CM161" s="104"/>
      <c r="CN161" s="184"/>
      <c r="CO161" s="104"/>
      <c r="CP161" s="104"/>
      <c r="CQ161" s="104"/>
      <c r="CR161" s="104"/>
      <c r="CS161" s="184"/>
      <c r="CT161" s="104"/>
      <c r="CU161" s="104"/>
      <c r="CV161" s="104"/>
      <c r="CW161" s="104"/>
      <c r="CX161" s="184"/>
      <c r="CY161" s="104"/>
      <c r="CZ161" s="104"/>
      <c r="DA161" s="104"/>
      <c r="DB161" s="104"/>
      <c r="DC161" s="184"/>
      <c r="DD161" s="104"/>
      <c r="DE161" s="104"/>
      <c r="DF161" s="104"/>
      <c r="DG161" s="104"/>
      <c r="DH161" s="184"/>
    </row>
    <row r="162" spans="1:112" ht="3" customHeight="1" x14ac:dyDescent="0.2">
      <c r="A162" s="306"/>
      <c r="B162" s="242"/>
      <c r="C162" s="396"/>
      <c r="D162" s="396"/>
      <c r="E162" s="396"/>
      <c r="F162" s="396"/>
      <c r="G162" s="273"/>
      <c r="H162" s="396"/>
      <c r="I162" s="396"/>
      <c r="J162" s="396"/>
      <c r="K162" s="396"/>
      <c r="L162" s="273"/>
      <c r="M162" s="396"/>
      <c r="N162" s="396"/>
      <c r="O162" s="396"/>
      <c r="P162" s="396"/>
      <c r="Q162" s="273"/>
      <c r="R162" s="396"/>
      <c r="S162" s="396"/>
      <c r="T162" s="396"/>
      <c r="U162" s="396"/>
      <c r="V162" s="273"/>
      <c r="W162" s="396"/>
      <c r="X162" s="396"/>
      <c r="Y162" s="396"/>
      <c r="Z162" s="396"/>
      <c r="AA162" s="273"/>
      <c r="AB162" s="396"/>
      <c r="AC162" s="396"/>
      <c r="AD162" s="396"/>
      <c r="AE162" s="396"/>
      <c r="AF162" s="273"/>
      <c r="AG162" s="514"/>
      <c r="AH162" s="514"/>
      <c r="AI162" s="514"/>
      <c r="AJ162" s="514"/>
      <c r="AK162" s="515"/>
      <c r="AL162" s="514"/>
      <c r="AM162" s="514"/>
      <c r="AN162" s="514"/>
      <c r="AO162" s="514"/>
      <c r="AP162" s="515"/>
      <c r="AQ162" s="514"/>
      <c r="AR162" s="514"/>
      <c r="AS162" s="514"/>
      <c r="AT162" s="514"/>
      <c r="AU162" s="515"/>
      <c r="AV162" s="514"/>
      <c r="AW162" s="514"/>
      <c r="AX162" s="514"/>
      <c r="AY162" s="100"/>
      <c r="AZ162" s="184"/>
      <c r="BA162" s="104"/>
      <c r="BB162" s="104"/>
      <c r="BC162" s="104"/>
      <c r="BD162" s="104"/>
      <c r="BE162" s="184"/>
      <c r="BF162" s="104"/>
      <c r="BG162" s="104"/>
      <c r="BH162" s="104"/>
      <c r="BI162" s="104"/>
      <c r="BJ162" s="184"/>
      <c r="BK162" s="104"/>
      <c r="BL162" s="104"/>
      <c r="BM162" s="104"/>
      <c r="BN162" s="104"/>
      <c r="BO162" s="184"/>
      <c r="BP162" s="104"/>
      <c r="BQ162" s="104"/>
      <c r="BR162" s="647"/>
      <c r="BS162" s="647"/>
      <c r="BT162" s="184"/>
      <c r="BU162" s="104"/>
      <c r="BV162" s="104"/>
      <c r="BW162" s="104"/>
      <c r="BX162" s="104"/>
      <c r="BY162" s="184"/>
      <c r="BZ162" s="104"/>
      <c r="CA162" s="104"/>
      <c r="CB162" s="104"/>
      <c r="CC162" s="104"/>
      <c r="CD162" s="184"/>
      <c r="CE162" s="104"/>
      <c r="CF162" s="104"/>
      <c r="CG162" s="104"/>
      <c r="CH162" s="104"/>
      <c r="CI162" s="184"/>
      <c r="CJ162" s="104"/>
      <c r="CK162" s="104"/>
      <c r="CL162" s="104"/>
      <c r="CM162" s="104"/>
      <c r="CN162" s="184"/>
      <c r="CO162" s="104"/>
      <c r="CP162" s="104"/>
      <c r="CQ162" s="104"/>
      <c r="CR162" s="104"/>
      <c r="CS162" s="184"/>
      <c r="CT162" s="104"/>
      <c r="CU162" s="104"/>
      <c r="CV162" s="104"/>
      <c r="CW162" s="104"/>
      <c r="CX162" s="184"/>
      <c r="CY162" s="104"/>
      <c r="CZ162" s="104"/>
      <c r="DA162" s="104"/>
      <c r="DB162" s="104"/>
      <c r="DC162" s="184"/>
      <c r="DD162" s="104"/>
      <c r="DE162" s="104"/>
      <c r="DF162" s="104"/>
      <c r="DG162" s="104"/>
      <c r="DH162" s="184"/>
    </row>
    <row r="163" spans="1:112" ht="12.75" customHeight="1" x14ac:dyDescent="0.2">
      <c r="A163" s="117" t="s">
        <v>64</v>
      </c>
      <c r="B163" s="241"/>
      <c r="C163" s="342" t="s">
        <v>221</v>
      </c>
      <c r="D163" s="342" t="s">
        <v>221</v>
      </c>
      <c r="E163" s="342" t="s">
        <v>221</v>
      </c>
      <c r="F163" s="342" t="s">
        <v>221</v>
      </c>
      <c r="G163" s="272" t="s">
        <v>221</v>
      </c>
      <c r="H163" s="342" t="s">
        <v>221</v>
      </c>
      <c r="I163" s="342" t="s">
        <v>221</v>
      </c>
      <c r="J163" s="342" t="s">
        <v>221</v>
      </c>
      <c r="K163" s="342" t="s">
        <v>221</v>
      </c>
      <c r="L163" s="272" t="s">
        <v>221</v>
      </c>
      <c r="M163" s="342" t="s">
        <v>221</v>
      </c>
      <c r="N163" s="342" t="s">
        <v>221</v>
      </c>
      <c r="O163" s="342" t="s">
        <v>221</v>
      </c>
      <c r="P163" s="342" t="s">
        <v>221</v>
      </c>
      <c r="Q163" s="272" t="s">
        <v>221</v>
      </c>
      <c r="R163" s="342" t="s">
        <v>221</v>
      </c>
      <c r="S163" s="342" t="s">
        <v>221</v>
      </c>
      <c r="T163" s="342" t="s">
        <v>221</v>
      </c>
      <c r="U163" s="342" t="s">
        <v>221</v>
      </c>
      <c r="V163" s="272" t="s">
        <v>221</v>
      </c>
      <c r="W163" s="342" t="s">
        <v>221</v>
      </c>
      <c r="X163" s="342" t="s">
        <v>221</v>
      </c>
      <c r="Y163" s="342" t="s">
        <v>221</v>
      </c>
      <c r="Z163" s="342" t="s">
        <v>221</v>
      </c>
      <c r="AA163" s="272" t="s">
        <v>221</v>
      </c>
      <c r="AB163" s="342" t="s">
        <v>221</v>
      </c>
      <c r="AC163" s="342" t="s">
        <v>221</v>
      </c>
      <c r="AD163" s="342" t="s">
        <v>221</v>
      </c>
      <c r="AE163" s="342" t="s">
        <v>221</v>
      </c>
      <c r="AF163" s="272" t="s">
        <v>221</v>
      </c>
      <c r="AG163" s="243">
        <f>Financials!AF65</f>
        <v>-29</v>
      </c>
      <c r="AH163" s="243">
        <f>Financials!AG65</f>
        <v>-29</v>
      </c>
      <c r="AI163" s="243">
        <f>Financials!AH65</f>
        <v>-28</v>
      </c>
      <c r="AJ163" s="243">
        <f>Financials!AI65</f>
        <v>-27</v>
      </c>
      <c r="AK163" s="346">
        <f>Financials!AJ65</f>
        <v>-113</v>
      </c>
      <c r="AL163" s="243">
        <f>Financials!AK65</f>
        <v>-33</v>
      </c>
      <c r="AM163" s="243">
        <f>Financials!AL65</f>
        <v>-46</v>
      </c>
      <c r="AN163" s="243">
        <f>Financials!AM65</f>
        <v>-46</v>
      </c>
      <c r="AO163" s="243">
        <f>Financials!AN65</f>
        <v>-43</v>
      </c>
      <c r="AP163" s="346">
        <f>Financials!AO65</f>
        <v>-168</v>
      </c>
      <c r="AQ163" s="243">
        <f>Financials!AP65</f>
        <v>-42</v>
      </c>
      <c r="AR163" s="243">
        <f>Financials!AQ65</f>
        <v>-44</v>
      </c>
      <c r="AS163" s="243">
        <f>Financials!AR65</f>
        <v>-39</v>
      </c>
      <c r="AT163" s="243">
        <f>Financials!AS65</f>
        <v>-36</v>
      </c>
      <c r="AU163" s="346">
        <f>Financials!AT65</f>
        <v>-161</v>
      </c>
      <c r="AV163" s="243">
        <f>Financials!AU65</f>
        <v>-36</v>
      </c>
      <c r="AW163" s="243">
        <f>Financials!AV65</f>
        <v>-37</v>
      </c>
      <c r="AX163" s="243">
        <f>Financials!AW65</f>
        <v>-34</v>
      </c>
      <c r="AY163" s="243">
        <f>Financials!AX65</f>
        <v>-32</v>
      </c>
      <c r="AZ163" s="346">
        <f>Financials!AY65</f>
        <v>-139</v>
      </c>
      <c r="BA163" s="243">
        <f>Financials!AZ65</f>
        <v>-32</v>
      </c>
      <c r="BB163" s="243">
        <f>Financials!BA65</f>
        <v>-33</v>
      </c>
      <c r="BC163" s="243">
        <f>Financials!BB65</f>
        <v>-29</v>
      </c>
      <c r="BD163" s="243">
        <f>Financials!BC65</f>
        <v>-29</v>
      </c>
      <c r="BE163" s="346">
        <f>SUM(BA163:BD163)</f>
        <v>-123</v>
      </c>
      <c r="BF163" s="243">
        <f>Financials!BE65</f>
        <v>-29</v>
      </c>
      <c r="BG163" s="243">
        <f>Financials!BF65</f>
        <v>-30</v>
      </c>
      <c r="BH163" s="243">
        <f>Financials!BG65</f>
        <v>-33</v>
      </c>
      <c r="BI163" s="243">
        <f>Financials!BH65</f>
        <v>-33</v>
      </c>
      <c r="BJ163" s="346">
        <f>SUM(BF163:BI163)</f>
        <v>-125</v>
      </c>
      <c r="BK163" s="243">
        <f>Financials!BJ65</f>
        <v>-33</v>
      </c>
      <c r="BL163" s="243">
        <f>Financials!BK65</f>
        <v>-33</v>
      </c>
      <c r="BM163" s="243">
        <f>Financials!BL65</f>
        <v>-30</v>
      </c>
      <c r="BN163" s="243">
        <f>Financials!BM65</f>
        <v>-26</v>
      </c>
      <c r="BO163" s="346">
        <f>SUM(BK163:BN163)</f>
        <v>-122</v>
      </c>
      <c r="BP163" s="243">
        <f>Financials!BO65</f>
        <v>-26</v>
      </c>
      <c r="BQ163" s="243">
        <f>Financials!BP65</f>
        <v>-26</v>
      </c>
      <c r="BR163" s="648">
        <f>Financials!BQ65</f>
        <v>-25</v>
      </c>
      <c r="BS163" s="648">
        <f>Financials!BR65</f>
        <v>-26</v>
      </c>
      <c r="BT163" s="346">
        <f>SUM(BP163:BS163)</f>
        <v>-103</v>
      </c>
      <c r="BU163" s="243">
        <f>Financials!BT65</f>
        <v>-26</v>
      </c>
      <c r="BV163" s="243">
        <f>Financials!BU65</f>
        <v>-26</v>
      </c>
      <c r="BW163" s="243">
        <f>Financials!BV65</f>
        <v>-25</v>
      </c>
      <c r="BX163" s="243">
        <f>Financials!BW65</f>
        <v>-23</v>
      </c>
      <c r="BY163" s="346">
        <f>SUM(BU163:BX163)</f>
        <v>-100</v>
      </c>
      <c r="BZ163" s="243">
        <f>Financials!BY65</f>
        <v>-23</v>
      </c>
      <c r="CA163" s="243">
        <f>Financials!BZ65</f>
        <v>-22</v>
      </c>
      <c r="CB163" s="243">
        <f>Financials!CA65</f>
        <v>-22</v>
      </c>
      <c r="CC163" s="243">
        <f>Financials!CB65</f>
        <v>-21</v>
      </c>
      <c r="CD163" s="346">
        <f>SUM(BZ163:CC163)</f>
        <v>-88</v>
      </c>
      <c r="CE163" s="243">
        <f>Financials!CD65</f>
        <v>-22</v>
      </c>
      <c r="CF163" s="243">
        <f>Financials!CE65</f>
        <v>-22</v>
      </c>
      <c r="CG163" s="243">
        <f>Financials!CF65</f>
        <v>-22</v>
      </c>
      <c r="CH163" s="243">
        <f>Financials!CG65</f>
        <v>-22</v>
      </c>
      <c r="CI163" s="346">
        <f>SUM(CE163:CH163)</f>
        <v>-88</v>
      </c>
      <c r="CJ163" s="243">
        <f>Financials!CI65</f>
        <v>-21</v>
      </c>
      <c r="CK163" s="243">
        <f>Financials!CJ65</f>
        <v>-20</v>
      </c>
      <c r="CL163" s="243">
        <f ca="1">Financials!CK65</f>
        <v>-22.094917528802075</v>
      </c>
      <c r="CM163" s="243">
        <f ca="1">Financials!CL65</f>
        <v>-22.484417484147151</v>
      </c>
      <c r="CN163" s="346">
        <f ca="1">SUM(CJ163:CM163)</f>
        <v>-85.57933501294923</v>
      </c>
      <c r="CO163" s="243">
        <f ca="1">Financials!CN65</f>
        <v>-22.143467070570185</v>
      </c>
      <c r="CP163" s="243">
        <f ca="1">Financials!CO65</f>
        <v>-23.203715540825602</v>
      </c>
      <c r="CQ163" s="243">
        <f ca="1">Financials!CP65</f>
        <v>-24.740545023402056</v>
      </c>
      <c r="CR163" s="243">
        <f ca="1">Financials!CQ65</f>
        <v>-24.52236103577593</v>
      </c>
      <c r="CS163" s="346">
        <f ca="1">SUM(CO163:CR163)</f>
        <v>-94.610088670573774</v>
      </c>
      <c r="CT163" s="243">
        <f ca="1">Financials!CS65</f>
        <v>-23.778415233158128</v>
      </c>
      <c r="CU163" s="243">
        <f ca="1">Financials!CT65</f>
        <v>-24.826609411979192</v>
      </c>
      <c r="CV163" s="243">
        <f ca="1">Financials!CU65</f>
        <v>-26.413586606524532</v>
      </c>
      <c r="CW163" s="243">
        <f ca="1">Financials!CV65</f>
        <v>-26.212012844232522</v>
      </c>
      <c r="CX163" s="346">
        <f ca="1">SUM(CT163:CW163)</f>
        <v>-101.23062409589437</v>
      </c>
      <c r="CY163" s="243">
        <f ca="1">Financials!CX65</f>
        <v>-25.523402820248833</v>
      </c>
      <c r="CZ163" s="243">
        <f ca="1">Financials!CY65</f>
        <v>-26.661529333549705</v>
      </c>
      <c r="DA163" s="243">
        <f ca="1">Financials!CZ65</f>
        <v>-28.330946077939089</v>
      </c>
      <c r="DB163" s="243">
        <f ca="1">Financials!DA65</f>
        <v>-28.212906413496512</v>
      </c>
      <c r="DC163" s="346">
        <f ca="1">SUM(CY163:DB163)</f>
        <v>-108.72878464523414</v>
      </c>
      <c r="DD163" s="243">
        <f ca="1">Financials!DC65</f>
        <v>-27.548733704672898</v>
      </c>
      <c r="DE163" s="243">
        <f ca="1">Financials!DD65</f>
        <v>-28.718838872004664</v>
      </c>
      <c r="DF163" s="243">
        <f ca="1">Financials!DE65</f>
        <v>-30.488268580569667</v>
      </c>
      <c r="DG163" s="243">
        <f ca="1">Financials!DF65</f>
        <v>-30.471825264010391</v>
      </c>
      <c r="DH163" s="346">
        <f ca="1">SUM(DD163:DG163)</f>
        <v>-117.22766642125762</v>
      </c>
    </row>
    <row r="164" spans="1:112" ht="12.75" customHeight="1" x14ac:dyDescent="0.2">
      <c r="A164" s="103" t="s">
        <v>233</v>
      </c>
      <c r="B164" s="242"/>
      <c r="C164" s="396" t="s">
        <v>221</v>
      </c>
      <c r="D164" s="396" t="s">
        <v>221</v>
      </c>
      <c r="E164" s="396" t="s">
        <v>221</v>
      </c>
      <c r="F164" s="396" t="s">
        <v>221</v>
      </c>
      <c r="G164" s="273" t="s">
        <v>221</v>
      </c>
      <c r="H164" s="396" t="s">
        <v>221</v>
      </c>
      <c r="I164" s="396" t="s">
        <v>221</v>
      </c>
      <c r="J164" s="396" t="s">
        <v>221</v>
      </c>
      <c r="K164" s="396" t="s">
        <v>221</v>
      </c>
      <c r="L164" s="273" t="s">
        <v>221</v>
      </c>
      <c r="M164" s="396" t="s">
        <v>221</v>
      </c>
      <c r="N164" s="396" t="s">
        <v>221</v>
      </c>
      <c r="O164" s="396" t="s">
        <v>221</v>
      </c>
      <c r="P164" s="396" t="s">
        <v>221</v>
      </c>
      <c r="Q164" s="273" t="s">
        <v>221</v>
      </c>
      <c r="R164" s="396" t="s">
        <v>221</v>
      </c>
      <c r="S164" s="396" t="s">
        <v>221</v>
      </c>
      <c r="T164" s="396" t="s">
        <v>221</v>
      </c>
      <c r="U164" s="396" t="s">
        <v>221</v>
      </c>
      <c r="V164" s="273" t="s">
        <v>221</v>
      </c>
      <c r="W164" s="396" t="s">
        <v>221</v>
      </c>
      <c r="X164" s="396" t="s">
        <v>221</v>
      </c>
      <c r="Y164" s="396" t="s">
        <v>221</v>
      </c>
      <c r="Z164" s="396" t="s">
        <v>221</v>
      </c>
      <c r="AA164" s="273" t="s">
        <v>221</v>
      </c>
      <c r="AB164" s="396" t="s">
        <v>221</v>
      </c>
      <c r="AC164" s="396" t="s">
        <v>221</v>
      </c>
      <c r="AD164" s="396" t="s">
        <v>221</v>
      </c>
      <c r="AE164" s="396" t="s">
        <v>221</v>
      </c>
      <c r="AF164" s="273" t="s">
        <v>221</v>
      </c>
      <c r="AG164" s="244">
        <v>-53</v>
      </c>
      <c r="AH164" s="244">
        <v>-55</v>
      </c>
      <c r="AI164" s="244">
        <v>-67</v>
      </c>
      <c r="AJ164" s="244">
        <v>-55</v>
      </c>
      <c r="AK164" s="345">
        <v>-230</v>
      </c>
      <c r="AL164" s="244">
        <v>-53</v>
      </c>
      <c r="AM164" s="244">
        <v>-73</v>
      </c>
      <c r="AN164" s="244">
        <v>-77</v>
      </c>
      <c r="AO164" s="244">
        <v>-71</v>
      </c>
      <c r="AP164" s="345">
        <v>-274</v>
      </c>
      <c r="AQ164" s="244">
        <v>-81</v>
      </c>
      <c r="AR164" s="244">
        <v>-76</v>
      </c>
      <c r="AS164" s="244">
        <v>-78</v>
      </c>
      <c r="AT164" s="244">
        <v>-64</v>
      </c>
      <c r="AU164" s="345">
        <v>-298</v>
      </c>
      <c r="AV164" s="244">
        <v>-66</v>
      </c>
      <c r="AW164" s="244">
        <v>-70</v>
      </c>
      <c r="AX164" s="244">
        <v>-77</v>
      </c>
      <c r="AY164" s="244">
        <v>-87</v>
      </c>
      <c r="AZ164" s="345">
        <f>+AV164+AW164+AX164+AY164</f>
        <v>-300</v>
      </c>
      <c r="BA164" s="244">
        <v>-70</v>
      </c>
      <c r="BB164" s="244">
        <v>-50</v>
      </c>
      <c r="BC164" s="244">
        <v>-50</v>
      </c>
      <c r="BD164" s="244">
        <v>-47</v>
      </c>
      <c r="BE164" s="345">
        <f>+BA164+BB164+BC164+BD164</f>
        <v>-217</v>
      </c>
      <c r="BF164" s="244">
        <v>-58</v>
      </c>
      <c r="BG164" s="244">
        <v>-59</v>
      </c>
      <c r="BH164" s="244">
        <v>-77</v>
      </c>
      <c r="BI164" s="244">
        <v>-78</v>
      </c>
      <c r="BJ164" s="345">
        <f>SUM(BJ159,BJ163)</f>
        <v>-272</v>
      </c>
      <c r="BK164" s="244">
        <v>-60</v>
      </c>
      <c r="BL164" s="244">
        <v>-63</v>
      </c>
      <c r="BM164" s="244">
        <v>-64</v>
      </c>
      <c r="BN164" s="244">
        <v>-71</v>
      </c>
      <c r="BO164" s="345">
        <f>SUM(BO159,BO163)</f>
        <v>-258</v>
      </c>
      <c r="BP164" s="244">
        <v>-56</v>
      </c>
      <c r="BQ164" s="244">
        <v>-60</v>
      </c>
      <c r="BR164" s="650">
        <f>-33</f>
        <v>-33</v>
      </c>
      <c r="BS164" s="650">
        <v>-78</v>
      </c>
      <c r="BT164" s="345">
        <f>SUM(BT159,BT163)</f>
        <v>-227</v>
      </c>
      <c r="BU164" s="650">
        <v>-40</v>
      </c>
      <c r="BV164" s="650">
        <v>-58</v>
      </c>
      <c r="BW164" s="650">
        <v>-73</v>
      </c>
      <c r="BX164" s="650">
        <v>-64</v>
      </c>
      <c r="BY164" s="345">
        <f>SUM(BY159,BY163)</f>
        <v>-235</v>
      </c>
      <c r="BZ164" s="244">
        <v>-58</v>
      </c>
      <c r="CA164" s="244">
        <v>-54</v>
      </c>
      <c r="CB164" s="244">
        <v>-79</v>
      </c>
      <c r="CC164" s="244">
        <v>-82</v>
      </c>
      <c r="CD164" s="345">
        <f>SUM(CD159,CD163)</f>
        <v>-273</v>
      </c>
      <c r="CE164" s="244">
        <v>-58</v>
      </c>
      <c r="CF164" s="650">
        <v>-53</v>
      </c>
      <c r="CG164" s="244">
        <v>-62</v>
      </c>
      <c r="CH164" s="244">
        <v>-61</v>
      </c>
      <c r="CI164" s="345">
        <f>SUM(CI159,CI163)</f>
        <v>-234</v>
      </c>
      <c r="CJ164" s="244">
        <f>-53+3</f>
        <v>-50</v>
      </c>
      <c r="CK164" s="244">
        <f>-40-6</f>
        <v>-46</v>
      </c>
      <c r="CL164" s="244">
        <f t="shared" ref="CL164:CX164" ca="1" si="194">SUM(CL159,CL163)</f>
        <v>-63.094917528802071</v>
      </c>
      <c r="CM164" s="244">
        <f t="shared" ca="1" si="194"/>
        <v>-61.484417484147151</v>
      </c>
      <c r="CN164" s="345">
        <f t="shared" ca="1" si="194"/>
        <v>-220.57933501294923</v>
      </c>
      <c r="CO164" s="244">
        <f t="shared" ca="1" si="194"/>
        <v>-51.86846707057019</v>
      </c>
      <c r="CP164" s="244">
        <f t="shared" ca="1" si="194"/>
        <v>-49.853715540825604</v>
      </c>
      <c r="CQ164" s="244">
        <f t="shared" ca="1" si="194"/>
        <v>-66.765545023402055</v>
      </c>
      <c r="CR164" s="244">
        <f t="shared" ca="1" si="194"/>
        <v>-64.497361035775924</v>
      </c>
      <c r="CS164" s="345">
        <f t="shared" ca="1" si="194"/>
        <v>-232.98508867057376</v>
      </c>
      <c r="CT164" s="244">
        <f t="shared" ca="1" si="194"/>
        <v>-54.246540233158129</v>
      </c>
      <c r="CU164" s="244">
        <f t="shared" ca="1" si="194"/>
        <v>-52.142859411979188</v>
      </c>
      <c r="CV164" s="244">
        <f t="shared" ca="1" si="194"/>
        <v>-69.48921160652452</v>
      </c>
      <c r="CW164" s="244">
        <f t="shared" ca="1" si="194"/>
        <v>-67.186387844232527</v>
      </c>
      <c r="CX164" s="345">
        <f t="shared" ca="1" si="194"/>
        <v>-243.06499909589436</v>
      </c>
      <c r="CY164" s="244">
        <f t="shared" ref="CY164:DH164" ca="1" si="195">SUM(CY159,CY163)</f>
        <v>-56.753230945248831</v>
      </c>
      <c r="CZ164" s="244">
        <f t="shared" ca="1" si="195"/>
        <v>-54.660685583549707</v>
      </c>
      <c r="DA164" s="244">
        <f t="shared" ca="1" si="195"/>
        <v>-72.483461702939081</v>
      </c>
      <c r="DB164" s="244">
        <f t="shared" ca="1" si="195"/>
        <v>-70.21164078849651</v>
      </c>
      <c r="DC164" s="345">
        <f t="shared" ca="1" si="195"/>
        <v>-254.10901902023414</v>
      </c>
      <c r="DD164" s="244">
        <f t="shared" ca="1" si="195"/>
        <v>-59.559307532797895</v>
      </c>
      <c r="DE164" s="244">
        <f t="shared" ca="1" si="195"/>
        <v>-57.417974028254662</v>
      </c>
      <c r="DF164" s="244">
        <f t="shared" ca="1" si="195"/>
        <v>-75.744597096194667</v>
      </c>
      <c r="DG164" s="244">
        <f t="shared" ca="1" si="195"/>
        <v>-73.520527998385376</v>
      </c>
      <c r="DH164" s="345">
        <f t="shared" ca="1" si="195"/>
        <v>-266.24240665563264</v>
      </c>
    </row>
    <row r="165" spans="1:112" ht="4.5" customHeight="1" x14ac:dyDescent="0.2">
      <c r="A165" s="98"/>
      <c r="B165" s="168"/>
      <c r="C165" s="396"/>
      <c r="D165" s="396"/>
      <c r="E165" s="396"/>
      <c r="F165" s="396"/>
      <c r="G165" s="273"/>
      <c r="H165" s="396"/>
      <c r="I165" s="396"/>
      <c r="J165" s="396"/>
      <c r="K165" s="396"/>
      <c r="L165" s="273"/>
      <c r="M165" s="396"/>
      <c r="N165" s="396"/>
      <c r="O165" s="396"/>
      <c r="P165" s="396"/>
      <c r="Q165" s="273"/>
      <c r="R165" s="396"/>
      <c r="S165" s="396"/>
      <c r="T165" s="396"/>
      <c r="U165" s="396"/>
      <c r="V165" s="273"/>
      <c r="W165" s="396"/>
      <c r="X165" s="396"/>
      <c r="Y165" s="396"/>
      <c r="Z165" s="396"/>
      <c r="AA165" s="273"/>
      <c r="AB165" s="396"/>
      <c r="AC165" s="396"/>
      <c r="AD165" s="396"/>
      <c r="AE165" s="396"/>
      <c r="AF165" s="273"/>
      <c r="AG165" s="100"/>
      <c r="AH165" s="100"/>
      <c r="AI165" s="100"/>
      <c r="AJ165" s="100"/>
      <c r="AK165" s="184"/>
      <c r="AL165" s="100"/>
      <c r="AM165" s="100"/>
      <c r="AN165" s="100"/>
      <c r="AO165" s="100"/>
      <c r="AP165" s="184"/>
      <c r="AQ165" s="100"/>
      <c r="AR165" s="100"/>
      <c r="AS165" s="100"/>
      <c r="AT165" s="100"/>
      <c r="AU165" s="184"/>
      <c r="AV165" s="100"/>
      <c r="AW165" s="100"/>
      <c r="AX165" s="100"/>
      <c r="AY165" s="159"/>
      <c r="AZ165" s="184"/>
      <c r="BA165" s="100"/>
      <c r="BB165" s="100"/>
      <c r="BC165" s="100"/>
      <c r="BD165" s="159"/>
      <c r="BE165" s="184"/>
      <c r="BF165" s="100"/>
      <c r="BG165" s="100"/>
      <c r="BH165" s="100"/>
      <c r="BI165" s="159"/>
      <c r="BJ165" s="184"/>
      <c r="BK165" s="100"/>
      <c r="BL165" s="100"/>
      <c r="BM165" s="100"/>
      <c r="BN165" s="159"/>
      <c r="BO165" s="184"/>
      <c r="BP165" s="100"/>
      <c r="BQ165" s="100"/>
      <c r="BR165" s="100"/>
      <c r="BS165" s="159"/>
      <c r="BT165" s="184"/>
      <c r="BU165" s="100"/>
      <c r="BV165" s="100"/>
      <c r="BW165" s="100"/>
      <c r="BX165" s="159"/>
      <c r="BY165" s="184"/>
      <c r="BZ165" s="100"/>
      <c r="CA165" s="100"/>
      <c r="CB165" s="100"/>
      <c r="CC165" s="100"/>
      <c r="CD165" s="184"/>
      <c r="CE165" s="100"/>
      <c r="CF165" s="100"/>
      <c r="CG165" s="100"/>
      <c r="CH165" s="159"/>
      <c r="CI165" s="184"/>
      <c r="CJ165" s="100"/>
      <c r="CK165" s="100"/>
      <c r="CL165" s="100"/>
      <c r="CM165" s="159"/>
      <c r="CN165" s="184"/>
      <c r="CO165" s="100"/>
      <c r="CP165" s="100"/>
      <c r="CQ165" s="100"/>
      <c r="CR165" s="159"/>
      <c r="CS165" s="184"/>
      <c r="CT165" s="100"/>
      <c r="CU165" s="100"/>
      <c r="CV165" s="100"/>
      <c r="CW165" s="159"/>
      <c r="CX165" s="184"/>
      <c r="CY165" s="100"/>
      <c r="CZ165" s="100"/>
      <c r="DA165" s="100"/>
      <c r="DB165" s="159"/>
      <c r="DC165" s="184"/>
      <c r="DD165" s="100"/>
      <c r="DE165" s="100"/>
      <c r="DF165" s="100"/>
      <c r="DG165" s="159"/>
      <c r="DH165" s="184"/>
    </row>
    <row r="166" spans="1:112" ht="12.75" customHeight="1" x14ac:dyDescent="0.2">
      <c r="A166" s="102" t="s">
        <v>236</v>
      </c>
      <c r="B166" s="104"/>
      <c r="C166" s="396" t="s">
        <v>221</v>
      </c>
      <c r="D166" s="396" t="s">
        <v>221</v>
      </c>
      <c r="E166" s="396" t="s">
        <v>221</v>
      </c>
      <c r="F166" s="396" t="s">
        <v>221</v>
      </c>
      <c r="G166" s="273" t="s">
        <v>221</v>
      </c>
      <c r="H166" s="396" t="s">
        <v>221</v>
      </c>
      <c r="I166" s="396" t="s">
        <v>221</v>
      </c>
      <c r="J166" s="396" t="s">
        <v>221</v>
      </c>
      <c r="K166" s="396" t="s">
        <v>221</v>
      </c>
      <c r="L166" s="273" t="s">
        <v>221</v>
      </c>
      <c r="M166" s="396" t="s">
        <v>221</v>
      </c>
      <c r="N166" s="396" t="s">
        <v>221</v>
      </c>
      <c r="O166" s="396" t="s">
        <v>221</v>
      </c>
      <c r="P166" s="396" t="s">
        <v>221</v>
      </c>
      <c r="Q166" s="273" t="s">
        <v>221</v>
      </c>
      <c r="R166" s="396" t="s">
        <v>221</v>
      </c>
      <c r="S166" s="396" t="s">
        <v>221</v>
      </c>
      <c r="T166" s="396" t="s">
        <v>221</v>
      </c>
      <c r="U166" s="396" t="s">
        <v>221</v>
      </c>
      <c r="V166" s="273" t="s">
        <v>221</v>
      </c>
      <c r="W166" s="396" t="s">
        <v>221</v>
      </c>
      <c r="X166" s="396" t="s">
        <v>221</v>
      </c>
      <c r="Y166" s="396" t="s">
        <v>221</v>
      </c>
      <c r="Z166" s="396" t="s">
        <v>221</v>
      </c>
      <c r="AA166" s="273" t="s">
        <v>221</v>
      </c>
      <c r="AB166" s="396" t="s">
        <v>221</v>
      </c>
      <c r="AC166" s="396" t="s">
        <v>221</v>
      </c>
      <c r="AD166" s="396" t="s">
        <v>221</v>
      </c>
      <c r="AE166" s="396" t="s">
        <v>221</v>
      </c>
      <c r="AF166" s="273" t="s">
        <v>221</v>
      </c>
      <c r="AG166" s="104">
        <f t="shared" ref="AG166:BA166" si="196">SUM(AG158,AG164)</f>
        <v>175</v>
      </c>
      <c r="AH166" s="104">
        <f t="shared" si="196"/>
        <v>136</v>
      </c>
      <c r="AI166" s="104">
        <f t="shared" si="196"/>
        <v>193</v>
      </c>
      <c r="AJ166" s="104">
        <f t="shared" si="196"/>
        <v>239</v>
      </c>
      <c r="AK166" s="184">
        <f t="shared" si="196"/>
        <v>743</v>
      </c>
      <c r="AL166" s="104">
        <f t="shared" si="196"/>
        <v>174</v>
      </c>
      <c r="AM166" s="104">
        <f t="shared" si="196"/>
        <v>128</v>
      </c>
      <c r="AN166" s="104">
        <f t="shared" si="196"/>
        <v>151</v>
      </c>
      <c r="AO166" s="104">
        <f t="shared" si="196"/>
        <v>240</v>
      </c>
      <c r="AP166" s="184">
        <f t="shared" si="196"/>
        <v>693</v>
      </c>
      <c r="AQ166" s="104">
        <f t="shared" si="196"/>
        <v>186</v>
      </c>
      <c r="AR166" s="104">
        <f t="shared" si="196"/>
        <v>131</v>
      </c>
      <c r="AS166" s="104">
        <f t="shared" si="196"/>
        <v>233</v>
      </c>
      <c r="AT166" s="104">
        <f t="shared" si="196"/>
        <v>261</v>
      </c>
      <c r="AU166" s="184">
        <f t="shared" si="196"/>
        <v>811</v>
      </c>
      <c r="AV166" s="104">
        <f t="shared" si="196"/>
        <v>217</v>
      </c>
      <c r="AW166" s="104">
        <f t="shared" si="196"/>
        <v>137</v>
      </c>
      <c r="AX166" s="104">
        <f t="shared" si="196"/>
        <v>209</v>
      </c>
      <c r="AY166" s="104">
        <f>SUM(AY158,AY164)</f>
        <v>242</v>
      </c>
      <c r="AZ166" s="184">
        <f t="shared" si="196"/>
        <v>805</v>
      </c>
      <c r="BA166" s="104">
        <f t="shared" si="196"/>
        <v>202</v>
      </c>
      <c r="BB166" s="104">
        <f>SUM(BB158,BB164)</f>
        <v>146</v>
      </c>
      <c r="BC166" s="104">
        <f>SUM(BC158,BC164)</f>
        <v>219</v>
      </c>
      <c r="BD166" s="104">
        <f>SUM(BD158,BD164)</f>
        <v>254</v>
      </c>
      <c r="BE166" s="184">
        <f>SUM(BA166:BD166)</f>
        <v>821</v>
      </c>
      <c r="BF166" s="104">
        <f>SUM(BF158,BF164)</f>
        <v>187</v>
      </c>
      <c r="BG166" s="104">
        <f>SUM(BG158,BG164)</f>
        <v>155</v>
      </c>
      <c r="BH166" s="104">
        <f>SUM(BH158,BH164)</f>
        <v>198</v>
      </c>
      <c r="BI166" s="104">
        <f>SUM(BI158,BI164)</f>
        <v>251</v>
      </c>
      <c r="BJ166" s="184">
        <f>SUM(BF166:BI166)</f>
        <v>791</v>
      </c>
      <c r="BK166" s="104">
        <f>SUM(BK158,BK164)+Financials!BJ66</f>
        <v>194</v>
      </c>
      <c r="BL166" s="104">
        <f>SUM(BL158,BL164)</f>
        <v>188</v>
      </c>
      <c r="BM166" s="104">
        <f>SUM(BM158,BM164)</f>
        <v>202</v>
      </c>
      <c r="BN166" s="104">
        <f>SUM(BN158,BN164)</f>
        <v>269</v>
      </c>
      <c r="BO166" s="184">
        <f>SUM(BK166:BN166)</f>
        <v>853</v>
      </c>
      <c r="BP166" s="104">
        <f>SUM(BP158,BP164)</f>
        <v>211</v>
      </c>
      <c r="BQ166" s="104">
        <f>SUM(BQ158,BQ164)</f>
        <v>184</v>
      </c>
      <c r="BR166" s="104">
        <f>SUM(BR158,BR164)</f>
        <v>226</v>
      </c>
      <c r="BS166" s="104">
        <f>SUM(BS158,BS164)</f>
        <v>263</v>
      </c>
      <c r="BT166" s="184">
        <f>SUM(BP166:BS166)</f>
        <v>884</v>
      </c>
      <c r="BU166" s="104">
        <f>SUM(BU158,BU164)</f>
        <v>218</v>
      </c>
      <c r="BV166" s="104">
        <f>SUM(BV158,BV164)</f>
        <v>197</v>
      </c>
      <c r="BW166" s="104">
        <f>SUM(BW158,BW164)</f>
        <v>217</v>
      </c>
      <c r="BX166" s="104">
        <f>SUM(BX158,BX164)</f>
        <v>289</v>
      </c>
      <c r="BY166" s="184">
        <f>SUM(BU166:BX166)</f>
        <v>921</v>
      </c>
      <c r="BZ166" s="104">
        <f>SUM(BZ158,BZ164)</f>
        <v>264</v>
      </c>
      <c r="CA166" s="104">
        <f>SUM(CA158,CA164)</f>
        <v>230</v>
      </c>
      <c r="CB166" s="104">
        <f>SUM(CB158,CB164)</f>
        <v>237</v>
      </c>
      <c r="CC166" s="104">
        <f>SUM(CC158,CC164)</f>
        <v>252</v>
      </c>
      <c r="CD166" s="184">
        <f>SUM(BZ166:CC166)</f>
        <v>983</v>
      </c>
      <c r="CE166" s="104">
        <f>SUM(CE158,CE164)</f>
        <v>264</v>
      </c>
      <c r="CF166" s="104">
        <f>SUM(CF158,CF164)</f>
        <v>227</v>
      </c>
      <c r="CG166" s="104">
        <f>SUM(CG158,CG164)</f>
        <v>247</v>
      </c>
      <c r="CH166" s="104">
        <f>SUM(CH158,CH164)</f>
        <v>295</v>
      </c>
      <c r="CI166" s="184">
        <f>SUM(CE166:CH166)</f>
        <v>1033</v>
      </c>
      <c r="CJ166" s="104">
        <f>SUM(CJ158,CJ164)+Financials!CI66</f>
        <v>279</v>
      </c>
      <c r="CK166" s="104">
        <f>SUM(CK158,CK164)+Financials!CJ66</f>
        <v>227</v>
      </c>
      <c r="CL166" s="104">
        <f ca="1">SUM(CL158,CL164)+Financials!CK66</f>
        <v>240.24382265196357</v>
      </c>
      <c r="CM166" s="104">
        <f ca="1">SUM(CM158,CM164)+Financials!CL66</f>
        <v>300.1684074581301</v>
      </c>
      <c r="CN166" s="184">
        <f ca="1">SUM(CJ166:CM166)</f>
        <v>1046.4122301100938</v>
      </c>
      <c r="CO166" s="104">
        <f ca="1">SUM(CO158,CO164)+Financials!CN66</f>
        <v>286.91900110209195</v>
      </c>
      <c r="CP166" s="104">
        <f ca="1">SUM(CP158,CP164)+Financials!CO66</f>
        <v>232.54228713963994</v>
      </c>
      <c r="CQ166" s="104">
        <f ca="1">SUM(CQ158,CQ164)+Financials!CP66</f>
        <v>254.27500970983562</v>
      </c>
      <c r="CR166" s="104">
        <f ca="1">SUM(CR158,CR164)+Financials!CQ66</f>
        <v>302.04473292052717</v>
      </c>
      <c r="CS166" s="184">
        <f ca="1">SUM(CO166:CR166)</f>
        <v>1075.7810308720946</v>
      </c>
      <c r="CT166" s="104">
        <f ca="1">SUM(CT158,CT164)+Financials!CS66</f>
        <v>304.59923008878536</v>
      </c>
      <c r="CU166" s="104">
        <f ca="1">SUM(CU158,CU164)+Financials!CT66</f>
        <v>239.79868419306172</v>
      </c>
      <c r="CV166" s="104">
        <f ca="1">SUM(CV158,CV164)+Financials!CU66</f>
        <v>268.38791298354948</v>
      </c>
      <c r="CW166" s="104">
        <f ca="1">SUM(CW158,CW164)+Financials!CV66</f>
        <v>318.31999770025249</v>
      </c>
      <c r="CX166" s="184">
        <f ca="1">SUM(CT166:CW166)</f>
        <v>1131.1058249656492</v>
      </c>
      <c r="CY166" s="104">
        <f ca="1">SUM(CY158,CY164)+Financials!CX66</f>
        <v>314.50104031318023</v>
      </c>
      <c r="CZ166" s="104">
        <f ca="1">SUM(CZ158,CZ164)+Financials!CY66</f>
        <v>248.26769160192657</v>
      </c>
      <c r="DA166" s="104">
        <f ca="1">SUM(DA158,DA164)+Financials!CZ66</f>
        <v>277.04665642986947</v>
      </c>
      <c r="DB166" s="104">
        <f ca="1">SUM(DB158,DB164)+Financials!DA66</f>
        <v>327.77431293034044</v>
      </c>
      <c r="DC166" s="184">
        <f ca="1">SUM(CY166:DB166)</f>
        <v>1167.5897012753167</v>
      </c>
      <c r="DD166" s="104">
        <f ca="1">SUM(DD158,DD164)+Financials!DC66</f>
        <v>324.00101914072576</v>
      </c>
      <c r="DE166" s="104">
        <f ca="1">SUM(DE158,DE164)+Financials!DD66</f>
        <v>256.38973770380022</v>
      </c>
      <c r="DF166" s="104">
        <f ca="1">SUM(DF158,DF164)+Financials!DE66</f>
        <v>285.29984243613171</v>
      </c>
      <c r="DG166" s="104">
        <f ca="1">SUM(DG158,DG164)+Financials!DF66</f>
        <v>336.76085338887475</v>
      </c>
      <c r="DH166" s="184">
        <f ca="1">SUM(DD166:DG166)</f>
        <v>1202.4514526695325</v>
      </c>
    </row>
    <row r="167" spans="1:112" s="821" customFormat="1" ht="12.75" customHeight="1" x14ac:dyDescent="0.2">
      <c r="A167" s="815"/>
      <c r="B167" s="816"/>
      <c r="C167" s="817"/>
      <c r="D167" s="817"/>
      <c r="E167" s="817"/>
      <c r="F167" s="817"/>
      <c r="G167" s="818"/>
      <c r="H167" s="817"/>
      <c r="I167" s="817"/>
      <c r="J167" s="817"/>
      <c r="K167" s="817"/>
      <c r="L167" s="818"/>
      <c r="M167" s="817"/>
      <c r="N167" s="817"/>
      <c r="O167" s="817"/>
      <c r="P167" s="817"/>
      <c r="Q167" s="818"/>
      <c r="R167" s="817"/>
      <c r="S167" s="817"/>
      <c r="T167" s="817"/>
      <c r="U167" s="817"/>
      <c r="V167" s="818"/>
      <c r="W167" s="817"/>
      <c r="X167" s="817"/>
      <c r="Y167" s="817"/>
      <c r="Z167" s="817"/>
      <c r="AA167" s="818"/>
      <c r="AB167" s="817"/>
      <c r="AC167" s="817"/>
      <c r="AD167" s="817"/>
      <c r="AE167" s="817"/>
      <c r="AF167" s="818"/>
      <c r="AG167" s="819"/>
      <c r="AH167" s="819"/>
      <c r="AI167" s="819"/>
      <c r="AJ167" s="819"/>
      <c r="AK167" s="820"/>
      <c r="AL167" s="819"/>
      <c r="AM167" s="819"/>
      <c r="AN167" s="819"/>
      <c r="AO167" s="819"/>
      <c r="AP167" s="820"/>
      <c r="AQ167" s="819"/>
      <c r="AR167" s="819"/>
      <c r="AS167" s="819"/>
      <c r="AT167" s="819"/>
      <c r="AU167" s="820"/>
      <c r="AV167" s="819"/>
      <c r="AW167" s="819"/>
      <c r="AX167" s="819"/>
      <c r="AY167" s="819"/>
      <c r="AZ167" s="820"/>
      <c r="BA167" s="819"/>
      <c r="BB167" s="819"/>
      <c r="BC167" s="819"/>
      <c r="BD167" s="819"/>
      <c r="BE167" s="820"/>
      <c r="BF167" s="819"/>
      <c r="BG167" s="819"/>
      <c r="BH167" s="819"/>
      <c r="BI167" s="819"/>
      <c r="BJ167" s="820"/>
      <c r="BK167" s="819"/>
      <c r="BL167" s="819"/>
      <c r="BM167" s="819"/>
      <c r="BN167" s="819"/>
      <c r="BO167" s="820"/>
      <c r="BP167" s="819"/>
      <c r="BQ167" s="819"/>
      <c r="BR167" s="819"/>
      <c r="BS167" s="819"/>
      <c r="BT167" s="822"/>
      <c r="BU167" s="819"/>
      <c r="BV167" s="819"/>
      <c r="BW167" s="819"/>
      <c r="BX167" s="819"/>
      <c r="BY167" s="822"/>
      <c r="BZ167" s="819"/>
      <c r="CA167" s="819"/>
      <c r="CB167" s="819"/>
      <c r="CC167" s="819"/>
      <c r="CD167" s="822"/>
      <c r="CE167" s="824"/>
      <c r="CF167" s="824"/>
      <c r="CG167" s="824"/>
      <c r="CH167" s="819"/>
      <c r="CI167" s="822"/>
      <c r="CJ167" s="819"/>
      <c r="CK167" s="819"/>
      <c r="CL167" s="819"/>
      <c r="CM167" s="819"/>
      <c r="CN167" s="820"/>
      <c r="CO167" s="819"/>
      <c r="CP167" s="819"/>
      <c r="CQ167" s="819"/>
      <c r="CR167" s="819"/>
      <c r="CS167" s="820"/>
      <c r="CT167" s="819"/>
      <c r="CU167" s="819"/>
      <c r="CV167" s="819"/>
      <c r="CW167" s="819"/>
      <c r="CX167" s="820"/>
      <c r="CY167" s="819"/>
      <c r="CZ167" s="819"/>
      <c r="DA167" s="819"/>
      <c r="DB167" s="819"/>
      <c r="DC167" s="820"/>
      <c r="DD167" s="819"/>
      <c r="DE167" s="819"/>
      <c r="DF167" s="819"/>
      <c r="DG167" s="819"/>
      <c r="DH167" s="820"/>
    </row>
    <row r="168" spans="1:112" ht="12.75" customHeight="1" x14ac:dyDescent="0.2">
      <c r="A168" s="207"/>
      <c r="B168" s="104"/>
      <c r="C168" s="158"/>
      <c r="D168" s="158"/>
      <c r="E168" s="158"/>
      <c r="F168" s="158"/>
      <c r="G168" s="269"/>
      <c r="H168" s="158"/>
      <c r="I168" s="158"/>
      <c r="J168" s="158"/>
      <c r="K168" s="158"/>
      <c r="L168" s="269"/>
      <c r="M168" s="158"/>
      <c r="N168" s="158"/>
      <c r="O168" s="158"/>
      <c r="P168" s="158"/>
      <c r="Q168" s="269"/>
      <c r="R168" s="158"/>
      <c r="S168" s="158"/>
      <c r="T168" s="158"/>
      <c r="U168" s="158"/>
      <c r="V168" s="269"/>
      <c r="W168" s="158"/>
      <c r="X168" s="158"/>
      <c r="Y168" s="158"/>
      <c r="Z168" s="158"/>
      <c r="AA168" s="269"/>
      <c r="AB168" s="158"/>
      <c r="AC168" s="158"/>
      <c r="AD168" s="158"/>
      <c r="AE168" s="158"/>
      <c r="AF168" s="269"/>
      <c r="AG168" s="158"/>
      <c r="AH168" s="158"/>
      <c r="AI168" s="158"/>
      <c r="AJ168" s="158"/>
      <c r="AK168" s="186"/>
      <c r="AL168" s="158"/>
      <c r="AM168" s="158"/>
      <c r="AN168" s="158"/>
      <c r="AO168" s="158"/>
      <c r="AP168" s="186"/>
      <c r="AQ168" s="104"/>
      <c r="AR168" s="104"/>
      <c r="AS168" s="104"/>
      <c r="AT168" s="104"/>
      <c r="AU168" s="184"/>
      <c r="AV168" s="203"/>
      <c r="AW168" s="599"/>
      <c r="AX168" s="104"/>
      <c r="AY168" s="104"/>
      <c r="AZ168" s="186"/>
      <c r="BA168" s="158"/>
      <c r="BB168" s="599"/>
      <c r="BC168" s="158"/>
      <c r="BD168" s="158"/>
      <c r="BE168" s="186"/>
      <c r="BF168" s="158"/>
      <c r="BG168" s="158"/>
      <c r="BH168" s="158"/>
      <c r="BI168" s="158"/>
      <c r="BJ168" s="186"/>
      <c r="BK168" s="158"/>
      <c r="BL168" s="158"/>
      <c r="BM168" s="158"/>
      <c r="BN168" s="158"/>
      <c r="BO168" s="186"/>
      <c r="BP168" s="158"/>
      <c r="BQ168" s="158"/>
      <c r="BR168" s="643"/>
      <c r="BS168" s="643"/>
      <c r="BT168" s="298"/>
      <c r="BU168" s="158"/>
      <c r="BV168" s="158"/>
      <c r="BW168" s="158"/>
      <c r="BX168" s="158"/>
      <c r="BY168" s="186"/>
      <c r="BZ168" s="158"/>
      <c r="CA168" s="158"/>
      <c r="CB168" s="158"/>
      <c r="CC168" s="158"/>
      <c r="CD168" s="186"/>
      <c r="CE168" s="158"/>
      <c r="CF168" s="158"/>
      <c r="CG168" s="158"/>
      <c r="CH168" s="158"/>
      <c r="CI168" s="186"/>
      <c r="CJ168" s="158"/>
      <c r="CK168" s="158"/>
      <c r="CL168" s="158"/>
      <c r="CM168" s="158"/>
      <c r="CN168" s="186"/>
      <c r="CO168" s="158"/>
      <c r="CP168" s="158"/>
      <c r="CQ168" s="158"/>
      <c r="CR168" s="158"/>
      <c r="CS168" s="186"/>
      <c r="CT168" s="158"/>
      <c r="CU168" s="158"/>
      <c r="CV168" s="158"/>
      <c r="CW168" s="158"/>
      <c r="CX168" s="186"/>
      <c r="CY168" s="158"/>
      <c r="CZ168" s="158"/>
      <c r="DA168" s="158"/>
      <c r="DB168" s="158"/>
      <c r="DC168" s="186"/>
      <c r="DD168" s="158"/>
      <c r="DE168" s="158"/>
      <c r="DF168" s="158"/>
      <c r="DG168" s="158"/>
      <c r="DH168" s="186"/>
    </row>
    <row r="169" spans="1:112" ht="12.75" hidden="1" customHeight="1" outlineLevel="1" x14ac:dyDescent="0.2">
      <c r="A169" s="364" t="s">
        <v>214</v>
      </c>
      <c r="B169" s="104"/>
      <c r="C169" s="158"/>
      <c r="D169" s="158"/>
      <c r="E169" s="158"/>
      <c r="F169" s="158"/>
      <c r="G169" s="269"/>
      <c r="H169" s="158"/>
      <c r="I169" s="158"/>
      <c r="J169" s="158"/>
      <c r="K169" s="158"/>
      <c r="L169" s="269"/>
      <c r="M169" s="158"/>
      <c r="N169" s="158"/>
      <c r="O169" s="158"/>
      <c r="P169" s="158"/>
      <c r="Q169" s="269"/>
      <c r="R169" s="158"/>
      <c r="S169" s="158"/>
      <c r="T169" s="158"/>
      <c r="U169" s="158"/>
      <c r="V169" s="269"/>
      <c r="W169" s="158"/>
      <c r="X169" s="158"/>
      <c r="Y169" s="158"/>
      <c r="Z169" s="158"/>
      <c r="AA169" s="269"/>
      <c r="AB169" s="158"/>
      <c r="AC169" s="158"/>
      <c r="AD169" s="158"/>
      <c r="AE169" s="158"/>
      <c r="AF169" s="269"/>
      <c r="AG169" s="158"/>
      <c r="AH169" s="158"/>
      <c r="AI169" s="158"/>
      <c r="AJ169" s="158"/>
      <c r="AK169" s="186"/>
      <c r="AL169" s="158"/>
      <c r="AM169" s="158"/>
      <c r="AN169" s="158"/>
      <c r="AO169" s="158"/>
      <c r="AP169" s="186"/>
      <c r="AQ169" s="104"/>
      <c r="AR169" s="104"/>
      <c r="AS169" s="104"/>
      <c r="AT169" s="104"/>
      <c r="AU169" s="184"/>
      <c r="AV169" s="203"/>
      <c r="AW169" s="104"/>
      <c r="AX169" s="104"/>
      <c r="AY169" s="104"/>
      <c r="AZ169" s="186"/>
      <c r="BA169" s="158"/>
      <c r="BB169" s="158"/>
      <c r="BC169" s="158"/>
      <c r="BD169" s="158"/>
      <c r="BE169" s="186"/>
      <c r="BF169" s="158"/>
      <c r="BG169" s="158"/>
      <c r="BH169" s="158"/>
      <c r="BI169" s="158"/>
      <c r="BJ169" s="186"/>
      <c r="BK169" s="158"/>
      <c r="BL169" s="158"/>
      <c r="BM169" s="158"/>
      <c r="BN169" s="158"/>
      <c r="BO169" s="186"/>
      <c r="BP169" s="158"/>
      <c r="BQ169" s="158"/>
      <c r="BR169" s="158"/>
      <c r="BS169" s="158"/>
      <c r="BT169" s="186"/>
      <c r="BU169" s="158"/>
      <c r="BV169" s="158"/>
      <c r="BW169" s="158"/>
      <c r="BX169" s="158"/>
      <c r="BY169" s="186"/>
      <c r="BZ169" s="158"/>
      <c r="CA169" s="158"/>
      <c r="CB169" s="158"/>
      <c r="CC169" s="158"/>
      <c r="CD169" s="186"/>
      <c r="CE169" s="158"/>
      <c r="CF169" s="158"/>
      <c r="CG169" s="158"/>
      <c r="CH169" s="158"/>
      <c r="CI169" s="186"/>
      <c r="CJ169" s="158"/>
      <c r="CK169" s="158"/>
      <c r="CL169" s="158"/>
      <c r="CM169" s="158"/>
      <c r="CN169" s="186"/>
      <c r="CO169" s="158"/>
      <c r="CP169" s="158"/>
      <c r="CQ169" s="158"/>
      <c r="CR169" s="158"/>
      <c r="CS169" s="186"/>
      <c r="CT169" s="158"/>
      <c r="CU169" s="158"/>
      <c r="CV169" s="158"/>
      <c r="CW169" s="158"/>
      <c r="CX169" s="186"/>
      <c r="CY169" s="158"/>
      <c r="CZ169" s="158"/>
      <c r="DA169" s="158"/>
      <c r="DB169" s="158"/>
      <c r="DC169" s="186"/>
      <c r="DD169" s="158"/>
      <c r="DE169" s="158"/>
      <c r="DF169" s="158"/>
      <c r="DG169" s="158"/>
      <c r="DH169" s="186"/>
    </row>
    <row r="170" spans="1:112" ht="12.75" hidden="1" customHeight="1" outlineLevel="1" x14ac:dyDescent="0.2">
      <c r="A170" s="366" t="s">
        <v>229</v>
      </c>
      <c r="B170" s="104"/>
      <c r="C170" s="158"/>
      <c r="D170" s="158"/>
      <c r="E170" s="158"/>
      <c r="F170" s="158"/>
      <c r="G170" s="269"/>
      <c r="H170" s="158"/>
      <c r="I170" s="158"/>
      <c r="J170" s="158"/>
      <c r="K170" s="158"/>
      <c r="L170" s="269"/>
      <c r="M170" s="158"/>
      <c r="N170" s="158"/>
      <c r="O170" s="158"/>
      <c r="P170" s="158"/>
      <c r="Q170" s="269"/>
      <c r="R170" s="158"/>
      <c r="S170" s="158"/>
      <c r="T170" s="158"/>
      <c r="U170" s="158"/>
      <c r="V170" s="269"/>
      <c r="W170" s="158"/>
      <c r="X170" s="158"/>
      <c r="Y170" s="158"/>
      <c r="Z170" s="158"/>
      <c r="AA170" s="269"/>
      <c r="AB170" s="158"/>
      <c r="AC170" s="158"/>
      <c r="AD170" s="158"/>
      <c r="AE170" s="158"/>
      <c r="AF170" s="269"/>
      <c r="AG170" s="158"/>
      <c r="AH170" s="158"/>
      <c r="AI170" s="158"/>
      <c r="AJ170" s="158"/>
      <c r="AK170" s="186"/>
      <c r="AL170" s="158"/>
      <c r="AM170" s="158"/>
      <c r="AN170" s="158"/>
      <c r="AO170" s="158"/>
      <c r="AP170" s="186"/>
      <c r="AQ170" s="104"/>
      <c r="AR170" s="104"/>
      <c r="AS170" s="104"/>
      <c r="AT170" s="104"/>
      <c r="AU170" s="184"/>
      <c r="AV170" s="203"/>
      <c r="AW170" s="104"/>
      <c r="AX170" s="104"/>
      <c r="AY170" s="104"/>
      <c r="AZ170" s="186"/>
      <c r="BA170" s="158"/>
      <c r="BB170" s="158"/>
      <c r="BC170" s="158"/>
      <c r="BD170" s="158"/>
      <c r="BE170" s="186"/>
      <c r="BF170" s="158"/>
      <c r="BG170" s="158"/>
      <c r="BH170" s="158"/>
      <c r="BI170" s="158"/>
      <c r="BJ170" s="186"/>
      <c r="BK170" s="158"/>
      <c r="BL170" s="158"/>
      <c r="BM170" s="158"/>
      <c r="BN170" s="158"/>
      <c r="BO170" s="186"/>
      <c r="BP170" s="158"/>
      <c r="BQ170" s="158"/>
      <c r="BR170" s="158"/>
      <c r="BS170" s="158"/>
      <c r="BT170" s="186"/>
      <c r="BU170" s="158"/>
      <c r="BV170" s="158"/>
      <c r="BW170" s="158"/>
      <c r="BX170" s="158"/>
      <c r="BY170" s="186"/>
      <c r="BZ170" s="158"/>
      <c r="CA170" s="158"/>
      <c r="CB170" s="158"/>
      <c r="CC170" s="158"/>
      <c r="CD170" s="186"/>
      <c r="CE170" s="158"/>
      <c r="CF170" s="158"/>
      <c r="CG170" s="158"/>
      <c r="CH170" s="158"/>
      <c r="CI170" s="186"/>
      <c r="CJ170" s="158"/>
      <c r="CK170" s="158"/>
      <c r="CL170" s="158"/>
      <c r="CM170" s="158"/>
      <c r="CN170" s="186"/>
      <c r="CO170" s="158"/>
      <c r="CP170" s="158"/>
      <c r="CQ170" s="158"/>
      <c r="CR170" s="158"/>
      <c r="CS170" s="186"/>
      <c r="CT170" s="158"/>
      <c r="CU170" s="158"/>
      <c r="CV170" s="158"/>
      <c r="CW170" s="158"/>
      <c r="CX170" s="186"/>
      <c r="CY170" s="158"/>
      <c r="CZ170" s="158"/>
      <c r="DA170" s="158"/>
      <c r="DB170" s="158"/>
      <c r="DC170" s="186"/>
      <c r="DD170" s="158"/>
      <c r="DE170" s="158"/>
      <c r="DF170" s="158"/>
      <c r="DG170" s="158"/>
      <c r="DH170" s="186"/>
    </row>
    <row r="171" spans="1:112" hidden="1" outlineLevel="1" x14ac:dyDescent="0.2">
      <c r="A171" s="121" t="s">
        <v>85</v>
      </c>
      <c r="B171" s="100"/>
      <c r="C171" s="100"/>
      <c r="D171" s="100"/>
      <c r="E171" s="100"/>
      <c r="F171" s="100"/>
      <c r="G171" s="183"/>
      <c r="H171" s="100">
        <f t="shared" ref="H171:AK171" si="197">H172+H173</f>
        <v>238</v>
      </c>
      <c r="I171" s="100">
        <f t="shared" si="197"/>
        <v>209</v>
      </c>
      <c r="J171" s="100">
        <f t="shared" si="197"/>
        <v>280</v>
      </c>
      <c r="K171" s="100">
        <f t="shared" si="197"/>
        <v>323</v>
      </c>
      <c r="L171" s="183">
        <f t="shared" si="197"/>
        <v>1050</v>
      </c>
      <c r="M171" s="100">
        <f t="shared" si="197"/>
        <v>320</v>
      </c>
      <c r="N171" s="100">
        <f t="shared" si="197"/>
        <v>250</v>
      </c>
      <c r="O171" s="100">
        <f t="shared" si="197"/>
        <v>257</v>
      </c>
      <c r="P171" s="100">
        <f t="shared" si="197"/>
        <v>301</v>
      </c>
      <c r="Q171" s="183">
        <f t="shared" si="197"/>
        <v>1128</v>
      </c>
      <c r="R171" s="100">
        <f t="shared" si="197"/>
        <v>241</v>
      </c>
      <c r="S171" s="100">
        <f t="shared" si="197"/>
        <v>221</v>
      </c>
      <c r="T171" s="100">
        <f t="shared" si="197"/>
        <v>265</v>
      </c>
      <c r="U171" s="100">
        <f t="shared" si="197"/>
        <v>324</v>
      </c>
      <c r="V171" s="183">
        <f t="shared" si="197"/>
        <v>1051</v>
      </c>
      <c r="W171" s="100">
        <f t="shared" si="197"/>
        <v>240</v>
      </c>
      <c r="X171" s="100">
        <f t="shared" si="197"/>
        <v>247</v>
      </c>
      <c r="Y171" s="100">
        <f t="shared" si="197"/>
        <v>258</v>
      </c>
      <c r="Z171" s="100">
        <f t="shared" si="197"/>
        <v>322</v>
      </c>
      <c r="AA171" s="183">
        <f t="shared" si="197"/>
        <v>1067</v>
      </c>
      <c r="AB171" s="100">
        <f t="shared" si="197"/>
        <v>259</v>
      </c>
      <c r="AC171" s="100">
        <f t="shared" si="197"/>
        <v>243</v>
      </c>
      <c r="AD171" s="100">
        <f t="shared" si="197"/>
        <v>272</v>
      </c>
      <c r="AE171" s="100">
        <f t="shared" si="197"/>
        <v>357</v>
      </c>
      <c r="AF171" s="183">
        <f t="shared" si="197"/>
        <v>1131</v>
      </c>
      <c r="AG171" s="100">
        <f t="shared" si="197"/>
        <v>287</v>
      </c>
      <c r="AH171" s="100">
        <f t="shared" si="197"/>
        <v>254</v>
      </c>
      <c r="AI171" s="100">
        <f t="shared" si="197"/>
        <v>306</v>
      </c>
      <c r="AJ171" s="100">
        <f t="shared" si="197"/>
        <v>358</v>
      </c>
      <c r="AK171" s="183">
        <f t="shared" si="197"/>
        <v>1205</v>
      </c>
      <c r="AL171" s="100">
        <v>286</v>
      </c>
      <c r="AM171" s="100">
        <v>257</v>
      </c>
      <c r="AN171" s="100">
        <v>296</v>
      </c>
      <c r="AO171" s="100">
        <v>372</v>
      </c>
      <c r="AP171" s="183">
        <f>SUM(AL171:AO171)</f>
        <v>1211</v>
      </c>
      <c r="AQ171" s="100">
        <v>329</v>
      </c>
      <c r="AR171" s="100">
        <v>273</v>
      </c>
      <c r="AS171" s="100">
        <v>367</v>
      </c>
      <c r="AT171" s="100">
        <v>427</v>
      </c>
      <c r="AU171" s="183">
        <f>SUM(AQ171:AT171)</f>
        <v>1396</v>
      </c>
      <c r="AV171" s="236"/>
      <c r="AW171" s="236"/>
      <c r="AX171" s="236"/>
      <c r="AY171" s="236"/>
      <c r="AZ171" s="281"/>
      <c r="BA171" s="230" t="s">
        <v>221</v>
      </c>
      <c r="BB171" s="230" t="s">
        <v>221</v>
      </c>
      <c r="BC171" s="230" t="s">
        <v>221</v>
      </c>
      <c r="BD171" s="230" t="s">
        <v>221</v>
      </c>
      <c r="BE171" s="281" t="s">
        <v>221</v>
      </c>
      <c r="BF171" s="230" t="s">
        <v>221</v>
      </c>
      <c r="BG171" s="230" t="s">
        <v>221</v>
      </c>
      <c r="BH171" s="230" t="s">
        <v>221</v>
      </c>
      <c r="BI171" s="230" t="s">
        <v>221</v>
      </c>
      <c r="BJ171" s="281" t="s">
        <v>221</v>
      </c>
      <c r="BK171" s="230" t="s">
        <v>221</v>
      </c>
      <c r="BL171" s="230" t="s">
        <v>221</v>
      </c>
      <c r="BM171" s="230" t="s">
        <v>221</v>
      </c>
      <c r="BN171" s="230" t="s">
        <v>221</v>
      </c>
      <c r="BO171" s="281" t="s">
        <v>221</v>
      </c>
      <c r="BP171" s="230" t="s">
        <v>221</v>
      </c>
      <c r="BQ171" s="230" t="s">
        <v>221</v>
      </c>
      <c r="BR171" s="230" t="s">
        <v>221</v>
      </c>
      <c r="BS171" s="230" t="s">
        <v>221</v>
      </c>
      <c r="BT171" s="281" t="s">
        <v>221</v>
      </c>
      <c r="BU171" s="230" t="s">
        <v>221</v>
      </c>
      <c r="BV171" s="230" t="s">
        <v>221</v>
      </c>
      <c r="BW171" s="230" t="s">
        <v>221</v>
      </c>
      <c r="BX171" s="230" t="s">
        <v>221</v>
      </c>
      <c r="BY171" s="281" t="s">
        <v>221</v>
      </c>
      <c r="BZ171" s="230" t="s">
        <v>221</v>
      </c>
      <c r="CA171" s="230" t="s">
        <v>221</v>
      </c>
      <c r="CB171" s="230" t="s">
        <v>221</v>
      </c>
      <c r="CC171" s="230" t="s">
        <v>221</v>
      </c>
      <c r="CD171" s="281" t="s">
        <v>221</v>
      </c>
      <c r="CE171" s="230" t="s">
        <v>221</v>
      </c>
      <c r="CF171" s="230" t="s">
        <v>221</v>
      </c>
      <c r="CG171" s="230" t="s">
        <v>221</v>
      </c>
      <c r="CH171" s="230" t="s">
        <v>221</v>
      </c>
      <c r="CI171" s="281" t="s">
        <v>221</v>
      </c>
      <c r="CJ171" s="230" t="s">
        <v>221</v>
      </c>
      <c r="CK171" s="230" t="s">
        <v>221</v>
      </c>
      <c r="CL171" s="230" t="s">
        <v>221</v>
      </c>
      <c r="CM171" s="230" t="s">
        <v>221</v>
      </c>
      <c r="CN171" s="281" t="s">
        <v>221</v>
      </c>
      <c r="CO171" s="230" t="s">
        <v>221</v>
      </c>
      <c r="CP171" s="230" t="s">
        <v>221</v>
      </c>
      <c r="CQ171" s="230" t="s">
        <v>221</v>
      </c>
      <c r="CR171" s="230" t="s">
        <v>221</v>
      </c>
      <c r="CS171" s="281" t="s">
        <v>221</v>
      </c>
      <c r="CT171" s="230" t="s">
        <v>221</v>
      </c>
      <c r="CU171" s="230" t="s">
        <v>221</v>
      </c>
      <c r="CV171" s="230" t="s">
        <v>221</v>
      </c>
      <c r="CW171" s="230" t="s">
        <v>221</v>
      </c>
      <c r="CX171" s="281" t="s">
        <v>221</v>
      </c>
      <c r="CY171" s="230" t="s">
        <v>221</v>
      </c>
      <c r="CZ171" s="230" t="s">
        <v>221</v>
      </c>
      <c r="DA171" s="230" t="s">
        <v>221</v>
      </c>
      <c r="DB171" s="230" t="s">
        <v>221</v>
      </c>
      <c r="DC171" s="281" t="s">
        <v>221</v>
      </c>
      <c r="DD171" s="230" t="s">
        <v>221</v>
      </c>
      <c r="DE171" s="230" t="s">
        <v>221</v>
      </c>
      <c r="DF171" s="230" t="s">
        <v>221</v>
      </c>
      <c r="DG171" s="230" t="s">
        <v>221</v>
      </c>
      <c r="DH171" s="281" t="s">
        <v>221</v>
      </c>
    </row>
    <row r="172" spans="1:112" hidden="1" outlineLevel="2" x14ac:dyDescent="0.2">
      <c r="A172" s="121" t="s">
        <v>97</v>
      </c>
      <c r="B172" s="100"/>
      <c r="C172" s="58"/>
      <c r="D172" s="58"/>
      <c r="E172" s="58"/>
      <c r="F172" s="58"/>
      <c r="G172" s="415"/>
      <c r="H172" s="58">
        <v>141</v>
      </c>
      <c r="I172" s="58">
        <v>125</v>
      </c>
      <c r="J172" s="58">
        <v>127</v>
      </c>
      <c r="K172" s="58">
        <v>142</v>
      </c>
      <c r="L172" s="415">
        <f>SUM(H172:K172)</f>
        <v>535</v>
      </c>
      <c r="M172" s="58">
        <v>206</v>
      </c>
      <c r="N172" s="58">
        <v>149</v>
      </c>
      <c r="O172" s="58">
        <v>122</v>
      </c>
      <c r="P172" s="58">
        <v>130</v>
      </c>
      <c r="Q172" s="415">
        <f>SUM(M172:P172)</f>
        <v>607</v>
      </c>
      <c r="R172" s="58">
        <v>157</v>
      </c>
      <c r="S172" s="58">
        <v>142</v>
      </c>
      <c r="T172" s="58">
        <v>165</v>
      </c>
      <c r="U172" s="58">
        <v>170</v>
      </c>
      <c r="V172" s="415">
        <f>SUM(R172:U172)</f>
        <v>634</v>
      </c>
      <c r="W172" s="58">
        <v>167</v>
      </c>
      <c r="X172" s="58">
        <v>155</v>
      </c>
      <c r="Y172" s="58">
        <v>162</v>
      </c>
      <c r="Z172" s="58">
        <v>148</v>
      </c>
      <c r="AA172" s="415">
        <f>SUM(W172:Z172)</f>
        <v>632</v>
      </c>
      <c r="AB172" s="58">
        <v>170</v>
      </c>
      <c r="AC172" s="58">
        <v>161</v>
      </c>
      <c r="AD172" s="58">
        <v>162</v>
      </c>
      <c r="AE172" s="58">
        <v>178</v>
      </c>
      <c r="AF172" s="415">
        <f>SUM(AB172:AE172)</f>
        <v>671</v>
      </c>
      <c r="AG172" s="58">
        <v>178</v>
      </c>
      <c r="AH172" s="58">
        <v>147</v>
      </c>
      <c r="AI172" s="58">
        <v>175</v>
      </c>
      <c r="AJ172" s="58">
        <v>171</v>
      </c>
      <c r="AK172" s="415">
        <f>SUM(AG172:AJ172)</f>
        <v>671</v>
      </c>
      <c r="AL172" s="387" t="s">
        <v>221</v>
      </c>
      <c r="AM172" s="387" t="s">
        <v>221</v>
      </c>
      <c r="AN172" s="387" t="s">
        <v>221</v>
      </c>
      <c r="AO172" s="387" t="s">
        <v>221</v>
      </c>
      <c r="AP172" s="426" t="s">
        <v>221</v>
      </c>
      <c r="AQ172" s="387" t="s">
        <v>221</v>
      </c>
      <c r="AR172" s="387" t="s">
        <v>221</v>
      </c>
      <c r="AS172" s="387" t="s">
        <v>221</v>
      </c>
      <c r="AT172" s="387" t="s">
        <v>221</v>
      </c>
      <c r="AU172" s="426" t="s">
        <v>221</v>
      </c>
      <c r="AV172" s="303"/>
      <c r="AW172" s="303"/>
      <c r="AX172" s="303"/>
      <c r="AY172" s="303"/>
      <c r="AZ172" s="288"/>
      <c r="BA172" s="231" t="s">
        <v>221</v>
      </c>
      <c r="BB172" s="231" t="s">
        <v>221</v>
      </c>
      <c r="BC172" s="231" t="s">
        <v>221</v>
      </c>
      <c r="BD172" s="231" t="s">
        <v>221</v>
      </c>
      <c r="BE172" s="288" t="s">
        <v>221</v>
      </c>
      <c r="BF172" s="231" t="s">
        <v>221</v>
      </c>
      <c r="BG172" s="231" t="s">
        <v>221</v>
      </c>
      <c r="BH172" s="231" t="s">
        <v>221</v>
      </c>
      <c r="BI172" s="231" t="s">
        <v>221</v>
      </c>
      <c r="BJ172" s="288" t="s">
        <v>221</v>
      </c>
      <c r="BK172" s="231" t="s">
        <v>221</v>
      </c>
      <c r="BL172" s="231" t="s">
        <v>221</v>
      </c>
      <c r="BM172" s="231" t="s">
        <v>221</v>
      </c>
      <c r="BN172" s="231" t="s">
        <v>221</v>
      </c>
      <c r="BO172" s="288" t="s">
        <v>221</v>
      </c>
      <c r="BP172" s="231" t="s">
        <v>221</v>
      </c>
      <c r="BQ172" s="231" t="s">
        <v>221</v>
      </c>
      <c r="BR172" s="231" t="s">
        <v>221</v>
      </c>
      <c r="BS172" s="231" t="s">
        <v>221</v>
      </c>
      <c r="BT172" s="288" t="s">
        <v>221</v>
      </c>
      <c r="BU172" s="231" t="s">
        <v>221</v>
      </c>
      <c r="BV172" s="231" t="s">
        <v>221</v>
      </c>
      <c r="BW172" s="231" t="s">
        <v>221</v>
      </c>
      <c r="BX172" s="231" t="s">
        <v>221</v>
      </c>
      <c r="BY172" s="288" t="s">
        <v>221</v>
      </c>
      <c r="BZ172" s="231" t="s">
        <v>221</v>
      </c>
      <c r="CA172" s="231" t="s">
        <v>221</v>
      </c>
      <c r="CB172" s="231" t="s">
        <v>221</v>
      </c>
      <c r="CC172" s="231" t="s">
        <v>221</v>
      </c>
      <c r="CD172" s="288" t="s">
        <v>221</v>
      </c>
      <c r="CE172" s="231" t="s">
        <v>221</v>
      </c>
      <c r="CF172" s="231" t="s">
        <v>221</v>
      </c>
      <c r="CG172" s="231" t="s">
        <v>221</v>
      </c>
      <c r="CH172" s="231" t="s">
        <v>221</v>
      </c>
      <c r="CI172" s="288" t="s">
        <v>221</v>
      </c>
      <c r="CJ172" s="231" t="s">
        <v>221</v>
      </c>
      <c r="CK172" s="231" t="s">
        <v>221</v>
      </c>
      <c r="CL172" s="231" t="s">
        <v>221</v>
      </c>
      <c r="CM172" s="231" t="s">
        <v>221</v>
      </c>
      <c r="CN172" s="288" t="s">
        <v>221</v>
      </c>
      <c r="CO172" s="231" t="s">
        <v>221</v>
      </c>
      <c r="CP172" s="231" t="s">
        <v>221</v>
      </c>
      <c r="CQ172" s="231" t="s">
        <v>221</v>
      </c>
      <c r="CR172" s="231" t="s">
        <v>221</v>
      </c>
      <c r="CS172" s="288" t="s">
        <v>221</v>
      </c>
      <c r="CT172" s="231" t="s">
        <v>221</v>
      </c>
      <c r="CU172" s="231" t="s">
        <v>221</v>
      </c>
      <c r="CV172" s="231" t="s">
        <v>221</v>
      </c>
      <c r="CW172" s="231" t="s">
        <v>221</v>
      </c>
      <c r="CX172" s="288" t="s">
        <v>221</v>
      </c>
      <c r="CY172" s="231" t="s">
        <v>221</v>
      </c>
      <c r="CZ172" s="231" t="s">
        <v>221</v>
      </c>
      <c r="DA172" s="231" t="s">
        <v>221</v>
      </c>
      <c r="DB172" s="231" t="s">
        <v>221</v>
      </c>
      <c r="DC172" s="288" t="s">
        <v>221</v>
      </c>
      <c r="DD172" s="231" t="s">
        <v>221</v>
      </c>
      <c r="DE172" s="231" t="s">
        <v>221</v>
      </c>
      <c r="DF172" s="231" t="s">
        <v>221</v>
      </c>
      <c r="DG172" s="231" t="s">
        <v>221</v>
      </c>
      <c r="DH172" s="288" t="s">
        <v>221</v>
      </c>
    </row>
    <row r="173" spans="1:112" hidden="1" outlineLevel="2" x14ac:dyDescent="0.2">
      <c r="A173" s="121" t="s">
        <v>87</v>
      </c>
      <c r="B173" s="100"/>
      <c r="C173" s="58"/>
      <c r="D173" s="58"/>
      <c r="E173" s="58"/>
      <c r="F173" s="58"/>
      <c r="G173" s="415"/>
      <c r="H173" s="58">
        <v>97</v>
      </c>
      <c r="I173" s="58">
        <v>84</v>
      </c>
      <c r="J173" s="58">
        <v>153</v>
      </c>
      <c r="K173" s="58">
        <v>181</v>
      </c>
      <c r="L173" s="415">
        <f>SUM(H173:K173)</f>
        <v>515</v>
      </c>
      <c r="M173" s="58">
        <v>114</v>
      </c>
      <c r="N173" s="58">
        <v>101</v>
      </c>
      <c r="O173" s="58">
        <v>135</v>
      </c>
      <c r="P173" s="58">
        <v>171</v>
      </c>
      <c r="Q173" s="415">
        <f>SUM(M173:P173)</f>
        <v>521</v>
      </c>
      <c r="R173" s="58">
        <v>84</v>
      </c>
      <c r="S173" s="58">
        <v>79</v>
      </c>
      <c r="T173" s="58">
        <v>100</v>
      </c>
      <c r="U173" s="58">
        <v>154</v>
      </c>
      <c r="V173" s="415">
        <f>SUM(R173:U173)</f>
        <v>417</v>
      </c>
      <c r="W173" s="58">
        <v>73</v>
      </c>
      <c r="X173" s="58">
        <v>92</v>
      </c>
      <c r="Y173" s="58">
        <v>96</v>
      </c>
      <c r="Z173" s="58">
        <v>174</v>
      </c>
      <c r="AA173" s="415">
        <f>SUM(W173:Z173)</f>
        <v>435</v>
      </c>
      <c r="AB173" s="58">
        <v>89</v>
      </c>
      <c r="AC173" s="58">
        <v>82</v>
      </c>
      <c r="AD173" s="58">
        <v>110</v>
      </c>
      <c r="AE173" s="58">
        <v>179</v>
      </c>
      <c r="AF173" s="415">
        <f>SUM(AB173:AE173)</f>
        <v>460</v>
      </c>
      <c r="AG173" s="58">
        <v>109</v>
      </c>
      <c r="AH173" s="58">
        <v>107</v>
      </c>
      <c r="AI173" s="58">
        <v>131</v>
      </c>
      <c r="AJ173" s="58">
        <v>187</v>
      </c>
      <c r="AK173" s="415">
        <f>SUM(AG173:AJ173)</f>
        <v>534</v>
      </c>
      <c r="AL173" s="387" t="s">
        <v>221</v>
      </c>
      <c r="AM173" s="387" t="s">
        <v>221</v>
      </c>
      <c r="AN173" s="387" t="s">
        <v>221</v>
      </c>
      <c r="AO173" s="387" t="s">
        <v>221</v>
      </c>
      <c r="AP173" s="426" t="s">
        <v>221</v>
      </c>
      <c r="AQ173" s="387" t="s">
        <v>221</v>
      </c>
      <c r="AR173" s="387" t="s">
        <v>221</v>
      </c>
      <c r="AS173" s="387" t="s">
        <v>221</v>
      </c>
      <c r="AT173" s="387" t="s">
        <v>221</v>
      </c>
      <c r="AU173" s="426" t="s">
        <v>221</v>
      </c>
      <c r="AV173" s="303"/>
      <c r="AW173" s="303"/>
      <c r="AX173" s="303"/>
      <c r="AY173" s="303"/>
      <c r="AZ173" s="288"/>
      <c r="BA173" s="231" t="s">
        <v>221</v>
      </c>
      <c r="BB173" s="231" t="s">
        <v>221</v>
      </c>
      <c r="BC173" s="231" t="s">
        <v>221</v>
      </c>
      <c r="BD173" s="231" t="s">
        <v>221</v>
      </c>
      <c r="BE173" s="288" t="s">
        <v>221</v>
      </c>
      <c r="BF173" s="231" t="s">
        <v>221</v>
      </c>
      <c r="BG173" s="231" t="s">
        <v>221</v>
      </c>
      <c r="BH173" s="231" t="s">
        <v>221</v>
      </c>
      <c r="BI173" s="231" t="s">
        <v>221</v>
      </c>
      <c r="BJ173" s="288" t="s">
        <v>221</v>
      </c>
      <c r="BK173" s="231" t="s">
        <v>221</v>
      </c>
      <c r="BL173" s="231" t="s">
        <v>221</v>
      </c>
      <c r="BM173" s="231" t="s">
        <v>221</v>
      </c>
      <c r="BN173" s="231" t="s">
        <v>221</v>
      </c>
      <c r="BO173" s="288" t="s">
        <v>221</v>
      </c>
      <c r="BP173" s="231" t="s">
        <v>221</v>
      </c>
      <c r="BQ173" s="231" t="s">
        <v>221</v>
      </c>
      <c r="BR173" s="231" t="s">
        <v>221</v>
      </c>
      <c r="BS173" s="231" t="s">
        <v>221</v>
      </c>
      <c r="BT173" s="288" t="s">
        <v>221</v>
      </c>
      <c r="BU173" s="231" t="s">
        <v>221</v>
      </c>
      <c r="BV173" s="231" t="s">
        <v>221</v>
      </c>
      <c r="BW173" s="231" t="s">
        <v>221</v>
      </c>
      <c r="BX173" s="231" t="s">
        <v>221</v>
      </c>
      <c r="BY173" s="288" t="s">
        <v>221</v>
      </c>
      <c r="BZ173" s="231" t="s">
        <v>221</v>
      </c>
      <c r="CA173" s="231" t="s">
        <v>221</v>
      </c>
      <c r="CB173" s="231" t="s">
        <v>221</v>
      </c>
      <c r="CC173" s="231" t="s">
        <v>221</v>
      </c>
      <c r="CD173" s="288" t="s">
        <v>221</v>
      </c>
      <c r="CE173" s="231" t="s">
        <v>221</v>
      </c>
      <c r="CF173" s="231" t="s">
        <v>221</v>
      </c>
      <c r="CG173" s="231" t="s">
        <v>221</v>
      </c>
      <c r="CH173" s="231" t="s">
        <v>221</v>
      </c>
      <c r="CI173" s="288" t="s">
        <v>221</v>
      </c>
      <c r="CJ173" s="231" t="s">
        <v>221</v>
      </c>
      <c r="CK173" s="231" t="s">
        <v>221</v>
      </c>
      <c r="CL173" s="231" t="s">
        <v>221</v>
      </c>
      <c r="CM173" s="231" t="s">
        <v>221</v>
      </c>
      <c r="CN173" s="288" t="s">
        <v>221</v>
      </c>
      <c r="CO173" s="231" t="s">
        <v>221</v>
      </c>
      <c r="CP173" s="231" t="s">
        <v>221</v>
      </c>
      <c r="CQ173" s="231" t="s">
        <v>221</v>
      </c>
      <c r="CR173" s="231" t="s">
        <v>221</v>
      </c>
      <c r="CS173" s="288" t="s">
        <v>221</v>
      </c>
      <c r="CT173" s="231" t="s">
        <v>221</v>
      </c>
      <c r="CU173" s="231" t="s">
        <v>221</v>
      </c>
      <c r="CV173" s="231" t="s">
        <v>221</v>
      </c>
      <c r="CW173" s="231" t="s">
        <v>221</v>
      </c>
      <c r="CX173" s="288" t="s">
        <v>221</v>
      </c>
      <c r="CY173" s="231" t="s">
        <v>221</v>
      </c>
      <c r="CZ173" s="231" t="s">
        <v>221</v>
      </c>
      <c r="DA173" s="231" t="s">
        <v>221</v>
      </c>
      <c r="DB173" s="231" t="s">
        <v>221</v>
      </c>
      <c r="DC173" s="288" t="s">
        <v>221</v>
      </c>
      <c r="DD173" s="231" t="s">
        <v>221</v>
      </c>
      <c r="DE173" s="231" t="s">
        <v>221</v>
      </c>
      <c r="DF173" s="231" t="s">
        <v>221</v>
      </c>
      <c r="DG173" s="231" t="s">
        <v>221</v>
      </c>
      <c r="DH173" s="288" t="s">
        <v>221</v>
      </c>
    </row>
    <row r="174" spans="1:112" hidden="1" outlineLevel="1" collapsed="1" x14ac:dyDescent="0.2">
      <c r="A174" s="367" t="s">
        <v>88</v>
      </c>
      <c r="B174" s="171"/>
      <c r="C174" s="243"/>
      <c r="D174" s="243"/>
      <c r="E174" s="243"/>
      <c r="F174" s="243"/>
      <c r="G174" s="416"/>
      <c r="H174" s="243">
        <v>21</v>
      </c>
      <c r="I174" s="243">
        <v>-28</v>
      </c>
      <c r="J174" s="243">
        <v>-73</v>
      </c>
      <c r="K174" s="243">
        <v>13</v>
      </c>
      <c r="L174" s="416">
        <f>SUM(H174:K174)</f>
        <v>-67</v>
      </c>
      <c r="M174" s="243">
        <v>16</v>
      </c>
      <c r="N174" s="243">
        <v>-9</v>
      </c>
      <c r="O174" s="243">
        <v>30</v>
      </c>
      <c r="P174" s="243">
        <v>28</v>
      </c>
      <c r="Q174" s="416">
        <f>SUM(M174:P174)</f>
        <v>65</v>
      </c>
      <c r="R174" s="243">
        <f>61-S174</f>
        <v>29</v>
      </c>
      <c r="S174" s="243">
        <v>32</v>
      </c>
      <c r="T174" s="243">
        <v>32</v>
      </c>
      <c r="U174" s="243">
        <v>22</v>
      </c>
      <c r="V174" s="416">
        <f>SUM(R174:U174)</f>
        <v>115</v>
      </c>
      <c r="W174" s="243">
        <v>28</v>
      </c>
      <c r="X174" s="243">
        <v>38</v>
      </c>
      <c r="Y174" s="243">
        <v>26</v>
      </c>
      <c r="Z174" s="243">
        <v>28</v>
      </c>
      <c r="AA174" s="416">
        <f>SUM(W174:Z174)</f>
        <v>120</v>
      </c>
      <c r="AB174" s="243">
        <v>35</v>
      </c>
      <c r="AC174" s="243">
        <v>33</v>
      </c>
      <c r="AD174" s="243">
        <v>33</v>
      </c>
      <c r="AE174" s="243">
        <v>28</v>
      </c>
      <c r="AF174" s="416">
        <f>SUM(AB174:AE174)</f>
        <v>129</v>
      </c>
      <c r="AG174" s="243">
        <v>34</v>
      </c>
      <c r="AH174" s="243">
        <v>34</v>
      </c>
      <c r="AI174" s="243">
        <v>38</v>
      </c>
      <c r="AJ174" s="243">
        <v>35</v>
      </c>
      <c r="AK174" s="416">
        <f>SUM(AG174:AJ174)</f>
        <v>141</v>
      </c>
      <c r="AL174" s="243">
        <v>37</v>
      </c>
      <c r="AM174" s="243">
        <v>38</v>
      </c>
      <c r="AN174" s="243">
        <v>32</v>
      </c>
      <c r="AO174" s="243">
        <v>39</v>
      </c>
      <c r="AP174" s="416">
        <f>SUM(AL174:AO174)</f>
        <v>146</v>
      </c>
      <c r="AQ174" s="243">
        <v>29</v>
      </c>
      <c r="AR174" s="243">
        <v>29</v>
      </c>
      <c r="AS174" s="243">
        <v>41</v>
      </c>
      <c r="AT174" s="243">
        <v>35</v>
      </c>
      <c r="AU174" s="416">
        <f>SUM(AQ174:AT174)</f>
        <v>134</v>
      </c>
      <c r="AV174" s="304"/>
      <c r="AW174" s="304"/>
      <c r="AX174" s="304"/>
      <c r="AY174" s="304"/>
      <c r="AZ174" s="289"/>
      <c r="BA174" s="232" t="s">
        <v>221</v>
      </c>
      <c r="BB174" s="232" t="s">
        <v>221</v>
      </c>
      <c r="BC174" s="232" t="s">
        <v>221</v>
      </c>
      <c r="BD174" s="232" t="s">
        <v>221</v>
      </c>
      <c r="BE174" s="289" t="s">
        <v>221</v>
      </c>
      <c r="BF174" s="232" t="s">
        <v>221</v>
      </c>
      <c r="BG174" s="232" t="s">
        <v>221</v>
      </c>
      <c r="BH174" s="232" t="s">
        <v>221</v>
      </c>
      <c r="BI174" s="232" t="s">
        <v>221</v>
      </c>
      <c r="BJ174" s="289" t="s">
        <v>221</v>
      </c>
      <c r="BK174" s="232" t="s">
        <v>221</v>
      </c>
      <c r="BL174" s="232" t="s">
        <v>221</v>
      </c>
      <c r="BM174" s="232" t="s">
        <v>221</v>
      </c>
      <c r="BN174" s="232" t="s">
        <v>221</v>
      </c>
      <c r="BO174" s="289" t="s">
        <v>221</v>
      </c>
      <c r="BP174" s="232" t="s">
        <v>221</v>
      </c>
      <c r="BQ174" s="232" t="s">
        <v>221</v>
      </c>
      <c r="BR174" s="232" t="s">
        <v>221</v>
      </c>
      <c r="BS174" s="232" t="s">
        <v>221</v>
      </c>
      <c r="BT174" s="289" t="s">
        <v>221</v>
      </c>
      <c r="BU174" s="232" t="s">
        <v>221</v>
      </c>
      <c r="BV174" s="232" t="s">
        <v>221</v>
      </c>
      <c r="BW174" s="232" t="s">
        <v>221</v>
      </c>
      <c r="BX174" s="232" t="s">
        <v>221</v>
      </c>
      <c r="BY174" s="289" t="s">
        <v>221</v>
      </c>
      <c r="BZ174" s="232" t="s">
        <v>221</v>
      </c>
      <c r="CA174" s="232" t="s">
        <v>221</v>
      </c>
      <c r="CB174" s="232" t="s">
        <v>221</v>
      </c>
      <c r="CC174" s="232" t="s">
        <v>221</v>
      </c>
      <c r="CD174" s="289" t="s">
        <v>221</v>
      </c>
      <c r="CE174" s="232" t="s">
        <v>221</v>
      </c>
      <c r="CF174" s="232" t="s">
        <v>221</v>
      </c>
      <c r="CG174" s="232" t="s">
        <v>221</v>
      </c>
      <c r="CH174" s="232" t="s">
        <v>221</v>
      </c>
      <c r="CI174" s="289" t="s">
        <v>221</v>
      </c>
      <c r="CJ174" s="232" t="s">
        <v>221</v>
      </c>
      <c r="CK174" s="232" t="s">
        <v>221</v>
      </c>
      <c r="CL174" s="232" t="s">
        <v>221</v>
      </c>
      <c r="CM174" s="232" t="s">
        <v>221</v>
      </c>
      <c r="CN174" s="289" t="s">
        <v>221</v>
      </c>
      <c r="CO174" s="232" t="s">
        <v>221</v>
      </c>
      <c r="CP174" s="232" t="s">
        <v>221</v>
      </c>
      <c r="CQ174" s="232" t="s">
        <v>221</v>
      </c>
      <c r="CR174" s="232" t="s">
        <v>221</v>
      </c>
      <c r="CS174" s="289" t="s">
        <v>221</v>
      </c>
      <c r="CT174" s="232" t="s">
        <v>221</v>
      </c>
      <c r="CU174" s="232" t="s">
        <v>221</v>
      </c>
      <c r="CV174" s="232" t="s">
        <v>221</v>
      </c>
      <c r="CW174" s="232" t="s">
        <v>221</v>
      </c>
      <c r="CX174" s="289" t="s">
        <v>221</v>
      </c>
      <c r="CY174" s="232" t="s">
        <v>221</v>
      </c>
      <c r="CZ174" s="232" t="s">
        <v>221</v>
      </c>
      <c r="DA174" s="232" t="s">
        <v>221</v>
      </c>
      <c r="DB174" s="232" t="s">
        <v>221</v>
      </c>
      <c r="DC174" s="289" t="s">
        <v>221</v>
      </c>
      <c r="DD174" s="232" t="s">
        <v>221</v>
      </c>
      <c r="DE174" s="232" t="s">
        <v>221</v>
      </c>
      <c r="DF174" s="232" t="s">
        <v>221</v>
      </c>
      <c r="DG174" s="232" t="s">
        <v>221</v>
      </c>
      <c r="DH174" s="289" t="s">
        <v>221</v>
      </c>
    </row>
    <row r="175" spans="1:112" hidden="1" outlineLevel="1" x14ac:dyDescent="0.2">
      <c r="A175" s="103" t="s">
        <v>234</v>
      </c>
      <c r="B175" s="104"/>
      <c r="C175" s="244"/>
      <c r="D175" s="244"/>
      <c r="E175" s="244"/>
      <c r="F175" s="244"/>
      <c r="G175" s="345"/>
      <c r="H175" s="244">
        <f t="shared" ref="H175:W175" si="198">+H172+H173+H174</f>
        <v>259</v>
      </c>
      <c r="I175" s="244">
        <f t="shared" si="198"/>
        <v>181</v>
      </c>
      <c r="J175" s="244">
        <f t="shared" si="198"/>
        <v>207</v>
      </c>
      <c r="K175" s="244">
        <f t="shared" si="198"/>
        <v>336</v>
      </c>
      <c r="L175" s="345">
        <f t="shared" si="198"/>
        <v>983</v>
      </c>
      <c r="M175" s="244">
        <f t="shared" si="198"/>
        <v>336</v>
      </c>
      <c r="N175" s="244">
        <f t="shared" si="198"/>
        <v>241</v>
      </c>
      <c r="O175" s="244">
        <f t="shared" si="198"/>
        <v>287</v>
      </c>
      <c r="P175" s="244">
        <f t="shared" si="198"/>
        <v>329</v>
      </c>
      <c r="Q175" s="345">
        <f t="shared" si="198"/>
        <v>1193</v>
      </c>
      <c r="R175" s="244">
        <f t="shared" si="198"/>
        <v>270</v>
      </c>
      <c r="S175" s="244">
        <f t="shared" si="198"/>
        <v>253</v>
      </c>
      <c r="T175" s="244">
        <f t="shared" si="198"/>
        <v>297</v>
      </c>
      <c r="U175" s="244">
        <f t="shared" si="198"/>
        <v>346</v>
      </c>
      <c r="V175" s="345">
        <f t="shared" si="198"/>
        <v>1166</v>
      </c>
      <c r="W175" s="244">
        <f t="shared" si="198"/>
        <v>268</v>
      </c>
      <c r="X175" s="244">
        <f t="shared" ref="X175:AK175" si="199">SUM(X172:X174)</f>
        <v>285</v>
      </c>
      <c r="Y175" s="244">
        <f t="shared" si="199"/>
        <v>284</v>
      </c>
      <c r="Z175" s="244">
        <f t="shared" si="199"/>
        <v>350</v>
      </c>
      <c r="AA175" s="345">
        <f t="shared" si="199"/>
        <v>1187</v>
      </c>
      <c r="AB175" s="244">
        <f t="shared" si="199"/>
        <v>294</v>
      </c>
      <c r="AC175" s="244">
        <f t="shared" si="199"/>
        <v>276</v>
      </c>
      <c r="AD175" s="244">
        <f t="shared" si="199"/>
        <v>305</v>
      </c>
      <c r="AE175" s="244">
        <f t="shared" si="199"/>
        <v>385</v>
      </c>
      <c r="AF175" s="345">
        <f t="shared" si="199"/>
        <v>1260</v>
      </c>
      <c r="AG175" s="244">
        <f t="shared" si="199"/>
        <v>321</v>
      </c>
      <c r="AH175" s="244">
        <f t="shared" si="199"/>
        <v>288</v>
      </c>
      <c r="AI175" s="244">
        <f t="shared" si="199"/>
        <v>344</v>
      </c>
      <c r="AJ175" s="244">
        <f t="shared" si="199"/>
        <v>393</v>
      </c>
      <c r="AK175" s="345">
        <f t="shared" si="199"/>
        <v>1346</v>
      </c>
      <c r="AL175" s="244">
        <f t="shared" ref="AL175:AU175" si="200">AL174+AL171</f>
        <v>323</v>
      </c>
      <c r="AM175" s="244">
        <f t="shared" si="200"/>
        <v>295</v>
      </c>
      <c r="AN175" s="244">
        <f t="shared" si="200"/>
        <v>328</v>
      </c>
      <c r="AO175" s="244">
        <f t="shared" si="200"/>
        <v>411</v>
      </c>
      <c r="AP175" s="345">
        <f t="shared" si="200"/>
        <v>1357</v>
      </c>
      <c r="AQ175" s="104">
        <f t="shared" si="200"/>
        <v>358</v>
      </c>
      <c r="AR175" s="104">
        <f t="shared" si="200"/>
        <v>302</v>
      </c>
      <c r="AS175" s="244">
        <f t="shared" si="200"/>
        <v>408</v>
      </c>
      <c r="AT175" s="244">
        <f t="shared" si="200"/>
        <v>462</v>
      </c>
      <c r="AU175" s="345">
        <f t="shared" si="200"/>
        <v>1530</v>
      </c>
      <c r="AV175" s="305"/>
      <c r="AW175" s="305"/>
      <c r="AX175" s="305"/>
      <c r="AY175" s="305"/>
      <c r="AZ175" s="290"/>
      <c r="BA175" s="233" t="s">
        <v>221</v>
      </c>
      <c r="BB175" s="233" t="s">
        <v>221</v>
      </c>
      <c r="BC175" s="233" t="s">
        <v>221</v>
      </c>
      <c r="BD175" s="233" t="s">
        <v>221</v>
      </c>
      <c r="BE175" s="290" t="s">
        <v>221</v>
      </c>
      <c r="BF175" s="233" t="s">
        <v>221</v>
      </c>
      <c r="BG175" s="233" t="s">
        <v>221</v>
      </c>
      <c r="BH175" s="233" t="s">
        <v>221</v>
      </c>
      <c r="BI175" s="233" t="s">
        <v>221</v>
      </c>
      <c r="BJ175" s="290" t="s">
        <v>221</v>
      </c>
      <c r="BK175" s="233" t="s">
        <v>221</v>
      </c>
      <c r="BL175" s="233" t="s">
        <v>221</v>
      </c>
      <c r="BM175" s="233" t="s">
        <v>221</v>
      </c>
      <c r="BN175" s="233" t="s">
        <v>221</v>
      </c>
      <c r="BO175" s="290" t="s">
        <v>221</v>
      </c>
      <c r="BP175" s="233" t="s">
        <v>221</v>
      </c>
      <c r="BQ175" s="233" t="s">
        <v>221</v>
      </c>
      <c r="BR175" s="233" t="s">
        <v>221</v>
      </c>
      <c r="BS175" s="233" t="s">
        <v>221</v>
      </c>
      <c r="BT175" s="290" t="s">
        <v>221</v>
      </c>
      <c r="BU175" s="233" t="s">
        <v>221</v>
      </c>
      <c r="BV175" s="233" t="s">
        <v>221</v>
      </c>
      <c r="BW175" s="233" t="s">
        <v>221</v>
      </c>
      <c r="BX175" s="233" t="s">
        <v>221</v>
      </c>
      <c r="BY175" s="290" t="s">
        <v>221</v>
      </c>
      <c r="BZ175" s="233" t="s">
        <v>221</v>
      </c>
      <c r="CA175" s="233" t="s">
        <v>221</v>
      </c>
      <c r="CB175" s="233" t="s">
        <v>221</v>
      </c>
      <c r="CC175" s="233" t="s">
        <v>221</v>
      </c>
      <c r="CD175" s="290" t="s">
        <v>221</v>
      </c>
      <c r="CE175" s="233" t="s">
        <v>221</v>
      </c>
      <c r="CF175" s="233" t="s">
        <v>221</v>
      </c>
      <c r="CG175" s="233" t="s">
        <v>221</v>
      </c>
      <c r="CH175" s="233" t="s">
        <v>221</v>
      </c>
      <c r="CI175" s="290" t="s">
        <v>221</v>
      </c>
      <c r="CJ175" s="233" t="s">
        <v>221</v>
      </c>
      <c r="CK175" s="233" t="s">
        <v>221</v>
      </c>
      <c r="CL175" s="233" t="s">
        <v>221</v>
      </c>
      <c r="CM175" s="233" t="s">
        <v>221</v>
      </c>
      <c r="CN175" s="290" t="s">
        <v>221</v>
      </c>
      <c r="CO175" s="233" t="s">
        <v>221</v>
      </c>
      <c r="CP175" s="233" t="s">
        <v>221</v>
      </c>
      <c r="CQ175" s="233" t="s">
        <v>221</v>
      </c>
      <c r="CR175" s="233" t="s">
        <v>221</v>
      </c>
      <c r="CS175" s="290" t="s">
        <v>221</v>
      </c>
      <c r="CT175" s="233" t="s">
        <v>221</v>
      </c>
      <c r="CU175" s="233" t="s">
        <v>221</v>
      </c>
      <c r="CV175" s="233" t="s">
        <v>221</v>
      </c>
      <c r="CW175" s="233" t="s">
        <v>221</v>
      </c>
      <c r="CX175" s="290" t="s">
        <v>221</v>
      </c>
      <c r="CY175" s="233" t="s">
        <v>221</v>
      </c>
      <c r="CZ175" s="233" t="s">
        <v>221</v>
      </c>
      <c r="DA175" s="233" t="s">
        <v>221</v>
      </c>
      <c r="DB175" s="233" t="s">
        <v>221</v>
      </c>
      <c r="DC175" s="290" t="s">
        <v>221</v>
      </c>
      <c r="DD175" s="233" t="s">
        <v>221</v>
      </c>
      <c r="DE175" s="233" t="s">
        <v>221</v>
      </c>
      <c r="DF175" s="233" t="s">
        <v>221</v>
      </c>
      <c r="DG175" s="233" t="s">
        <v>221</v>
      </c>
      <c r="DH175" s="290" t="s">
        <v>221</v>
      </c>
    </row>
    <row r="176" spans="1:112" hidden="1" outlineLevel="1" x14ac:dyDescent="0.2">
      <c r="A176" s="117" t="s">
        <v>238</v>
      </c>
      <c r="B176" s="171"/>
      <c r="C176" s="243"/>
      <c r="D176" s="243"/>
      <c r="E176" s="243"/>
      <c r="F176" s="243"/>
      <c r="G176" s="416"/>
      <c r="H176" s="243">
        <f t="shared" ref="H176:AP176" si="201">H182-H181-H180</f>
        <v>-93</v>
      </c>
      <c r="I176" s="243">
        <f t="shared" si="201"/>
        <v>-90</v>
      </c>
      <c r="J176" s="243">
        <f t="shared" si="201"/>
        <v>-131</v>
      </c>
      <c r="K176" s="243">
        <f t="shared" si="201"/>
        <v>-94</v>
      </c>
      <c r="L176" s="416">
        <f t="shared" si="201"/>
        <v>-408</v>
      </c>
      <c r="M176" s="243">
        <f t="shared" si="201"/>
        <v>-78</v>
      </c>
      <c r="N176" s="243">
        <f t="shared" si="201"/>
        <v>-94</v>
      </c>
      <c r="O176" s="243">
        <f t="shared" si="201"/>
        <v>-112</v>
      </c>
      <c r="P176" s="243">
        <f t="shared" si="201"/>
        <v>-88</v>
      </c>
      <c r="Q176" s="416">
        <f t="shared" si="201"/>
        <v>-372</v>
      </c>
      <c r="R176" s="243">
        <f t="shared" si="201"/>
        <v>-83</v>
      </c>
      <c r="S176" s="243">
        <f t="shared" si="201"/>
        <v>-94</v>
      </c>
      <c r="T176" s="243">
        <f t="shared" si="201"/>
        <v>-119</v>
      </c>
      <c r="U176" s="243">
        <f t="shared" si="201"/>
        <v>-97</v>
      </c>
      <c r="V176" s="416">
        <f t="shared" si="201"/>
        <v>-393</v>
      </c>
      <c r="W176" s="243">
        <f t="shared" si="201"/>
        <v>-97</v>
      </c>
      <c r="X176" s="243">
        <f t="shared" si="201"/>
        <v>-103</v>
      </c>
      <c r="Y176" s="243">
        <f t="shared" si="201"/>
        <v>-102</v>
      </c>
      <c r="Z176" s="243">
        <f t="shared" si="201"/>
        <v>-100</v>
      </c>
      <c r="AA176" s="416">
        <f t="shared" si="201"/>
        <v>-402</v>
      </c>
      <c r="AB176" s="243">
        <f t="shared" si="201"/>
        <v>-109</v>
      </c>
      <c r="AC176" s="243">
        <f t="shared" si="201"/>
        <v>-125</v>
      </c>
      <c r="AD176" s="243">
        <f t="shared" si="201"/>
        <v>-102</v>
      </c>
      <c r="AE176" s="243">
        <f t="shared" si="201"/>
        <v>-146</v>
      </c>
      <c r="AF176" s="416">
        <f t="shared" si="201"/>
        <v>-482</v>
      </c>
      <c r="AG176" s="243">
        <f t="shared" si="201"/>
        <v>-119</v>
      </c>
      <c r="AH176" s="243">
        <f t="shared" si="201"/>
        <v>-128</v>
      </c>
      <c r="AI176" s="243">
        <f t="shared" si="201"/>
        <v>-125</v>
      </c>
      <c r="AJ176" s="243">
        <f t="shared" si="201"/>
        <v>-120</v>
      </c>
      <c r="AK176" s="416">
        <f t="shared" si="201"/>
        <v>-492</v>
      </c>
      <c r="AL176" s="243">
        <f t="shared" si="201"/>
        <v>-116</v>
      </c>
      <c r="AM176" s="243">
        <f t="shared" si="201"/>
        <v>-123</v>
      </c>
      <c r="AN176" s="243">
        <f t="shared" si="201"/>
        <v>-129</v>
      </c>
      <c r="AO176" s="243">
        <f t="shared" si="201"/>
        <v>-137</v>
      </c>
      <c r="AP176" s="416">
        <f t="shared" si="201"/>
        <v>-505</v>
      </c>
      <c r="AQ176" s="243">
        <f>AQ182-AQ181-AQ180</f>
        <v>-127</v>
      </c>
      <c r="AR176" s="243">
        <f>AR182-AR181-AR180</f>
        <v>-123</v>
      </c>
      <c r="AS176" s="243">
        <f>AS182-AS181-AS180</f>
        <v>-137</v>
      </c>
      <c r="AT176" s="243">
        <f>AT182-AT181-AT180</f>
        <v>-145</v>
      </c>
      <c r="AU176" s="416">
        <f>AU182-AU181-AU180</f>
        <v>-532</v>
      </c>
      <c r="AV176" s="304"/>
      <c r="AW176" s="304"/>
      <c r="AX176" s="304"/>
      <c r="AY176" s="304"/>
      <c r="AZ176" s="289"/>
      <c r="BA176" s="232" t="s">
        <v>221</v>
      </c>
      <c r="BB176" s="232" t="s">
        <v>221</v>
      </c>
      <c r="BC176" s="232" t="s">
        <v>221</v>
      </c>
      <c r="BD176" s="232" t="s">
        <v>221</v>
      </c>
      <c r="BE176" s="289" t="s">
        <v>221</v>
      </c>
      <c r="BF176" s="232" t="s">
        <v>221</v>
      </c>
      <c r="BG176" s="232" t="s">
        <v>221</v>
      </c>
      <c r="BH176" s="232" t="s">
        <v>221</v>
      </c>
      <c r="BI176" s="232" t="s">
        <v>221</v>
      </c>
      <c r="BJ176" s="289" t="s">
        <v>221</v>
      </c>
      <c r="BK176" s="232" t="s">
        <v>221</v>
      </c>
      <c r="BL176" s="232" t="s">
        <v>221</v>
      </c>
      <c r="BM176" s="232" t="s">
        <v>221</v>
      </c>
      <c r="BN176" s="232" t="s">
        <v>221</v>
      </c>
      <c r="BO176" s="289" t="s">
        <v>221</v>
      </c>
      <c r="BP176" s="232" t="s">
        <v>221</v>
      </c>
      <c r="BQ176" s="232" t="s">
        <v>221</v>
      </c>
      <c r="BR176" s="232" t="s">
        <v>221</v>
      </c>
      <c r="BS176" s="232" t="s">
        <v>221</v>
      </c>
      <c r="BT176" s="289" t="s">
        <v>221</v>
      </c>
      <c r="BU176" s="232" t="s">
        <v>221</v>
      </c>
      <c r="BV176" s="232" t="s">
        <v>221</v>
      </c>
      <c r="BW176" s="232" t="s">
        <v>221</v>
      </c>
      <c r="BX176" s="232" t="s">
        <v>221</v>
      </c>
      <c r="BY176" s="289" t="s">
        <v>221</v>
      </c>
      <c r="BZ176" s="232" t="s">
        <v>221</v>
      </c>
      <c r="CA176" s="232" t="s">
        <v>221</v>
      </c>
      <c r="CB176" s="232" t="s">
        <v>221</v>
      </c>
      <c r="CC176" s="232" t="s">
        <v>221</v>
      </c>
      <c r="CD176" s="289" t="s">
        <v>221</v>
      </c>
      <c r="CE176" s="232" t="s">
        <v>221</v>
      </c>
      <c r="CF176" s="232" t="s">
        <v>221</v>
      </c>
      <c r="CG176" s="232" t="s">
        <v>221</v>
      </c>
      <c r="CH176" s="232" t="s">
        <v>221</v>
      </c>
      <c r="CI176" s="289" t="s">
        <v>221</v>
      </c>
      <c r="CJ176" s="232" t="s">
        <v>221</v>
      </c>
      <c r="CK176" s="232" t="s">
        <v>221</v>
      </c>
      <c r="CL176" s="232" t="s">
        <v>221</v>
      </c>
      <c r="CM176" s="232" t="s">
        <v>221</v>
      </c>
      <c r="CN176" s="289" t="s">
        <v>221</v>
      </c>
      <c r="CO176" s="232" t="s">
        <v>221</v>
      </c>
      <c r="CP176" s="232" t="s">
        <v>221</v>
      </c>
      <c r="CQ176" s="232" t="s">
        <v>221</v>
      </c>
      <c r="CR176" s="232" t="s">
        <v>221</v>
      </c>
      <c r="CS176" s="289" t="s">
        <v>221</v>
      </c>
      <c r="CT176" s="232" t="s">
        <v>221</v>
      </c>
      <c r="CU176" s="232" t="s">
        <v>221</v>
      </c>
      <c r="CV176" s="232" t="s">
        <v>221</v>
      </c>
      <c r="CW176" s="232" t="s">
        <v>221</v>
      </c>
      <c r="CX176" s="289" t="s">
        <v>221</v>
      </c>
      <c r="CY176" s="232" t="s">
        <v>221</v>
      </c>
      <c r="CZ176" s="232" t="s">
        <v>221</v>
      </c>
      <c r="DA176" s="232" t="s">
        <v>221</v>
      </c>
      <c r="DB176" s="232" t="s">
        <v>221</v>
      </c>
      <c r="DC176" s="289" t="s">
        <v>221</v>
      </c>
      <c r="DD176" s="232" t="s">
        <v>221</v>
      </c>
      <c r="DE176" s="232" t="s">
        <v>221</v>
      </c>
      <c r="DF176" s="232" t="s">
        <v>221</v>
      </c>
      <c r="DG176" s="232" t="s">
        <v>221</v>
      </c>
      <c r="DH176" s="289" t="s">
        <v>221</v>
      </c>
    </row>
    <row r="177" spans="1:112" hidden="1" outlineLevel="1" x14ac:dyDescent="0.2">
      <c r="A177" s="103" t="s">
        <v>237</v>
      </c>
      <c r="B177" s="100"/>
      <c r="C177" s="58"/>
      <c r="D177" s="58"/>
      <c r="E177" s="58"/>
      <c r="F177" s="58"/>
      <c r="G177" s="415"/>
      <c r="H177" s="58">
        <f t="shared" ref="H177:AP177" si="202">H175+H176</f>
        <v>166</v>
      </c>
      <c r="I177" s="58">
        <f t="shared" si="202"/>
        <v>91</v>
      </c>
      <c r="J177" s="58">
        <f t="shared" si="202"/>
        <v>76</v>
      </c>
      <c r="K177" s="58">
        <f t="shared" si="202"/>
        <v>242</v>
      </c>
      <c r="L177" s="415">
        <f t="shared" si="202"/>
        <v>575</v>
      </c>
      <c r="M177" s="58">
        <f t="shared" si="202"/>
        <v>258</v>
      </c>
      <c r="N177" s="58">
        <f t="shared" si="202"/>
        <v>147</v>
      </c>
      <c r="O177" s="58">
        <f t="shared" si="202"/>
        <v>175</v>
      </c>
      <c r="P177" s="58">
        <f t="shared" si="202"/>
        <v>241</v>
      </c>
      <c r="Q177" s="415">
        <f t="shared" si="202"/>
        <v>821</v>
      </c>
      <c r="R177" s="58">
        <f t="shared" si="202"/>
        <v>187</v>
      </c>
      <c r="S177" s="58">
        <f t="shared" si="202"/>
        <v>159</v>
      </c>
      <c r="T177" s="58">
        <f t="shared" si="202"/>
        <v>178</v>
      </c>
      <c r="U177" s="58">
        <f t="shared" si="202"/>
        <v>249</v>
      </c>
      <c r="V177" s="415">
        <f t="shared" si="202"/>
        <v>773</v>
      </c>
      <c r="W177" s="58">
        <f t="shared" si="202"/>
        <v>171</v>
      </c>
      <c r="X177" s="58">
        <f t="shared" si="202"/>
        <v>182</v>
      </c>
      <c r="Y177" s="58">
        <f t="shared" si="202"/>
        <v>182</v>
      </c>
      <c r="Z177" s="58">
        <f t="shared" si="202"/>
        <v>250</v>
      </c>
      <c r="AA177" s="415">
        <f t="shared" si="202"/>
        <v>785</v>
      </c>
      <c r="AB177" s="58">
        <f t="shared" si="202"/>
        <v>185</v>
      </c>
      <c r="AC177" s="58">
        <f t="shared" si="202"/>
        <v>151</v>
      </c>
      <c r="AD177" s="58">
        <f t="shared" si="202"/>
        <v>203</v>
      </c>
      <c r="AE177" s="58">
        <f t="shared" si="202"/>
        <v>239</v>
      </c>
      <c r="AF177" s="415">
        <f t="shared" si="202"/>
        <v>778</v>
      </c>
      <c r="AG177" s="104">
        <f t="shared" si="202"/>
        <v>202</v>
      </c>
      <c r="AH177" s="104">
        <f t="shared" si="202"/>
        <v>160</v>
      </c>
      <c r="AI177" s="104">
        <f t="shared" si="202"/>
        <v>219</v>
      </c>
      <c r="AJ177" s="104">
        <f t="shared" si="202"/>
        <v>273</v>
      </c>
      <c r="AK177" s="184">
        <f t="shared" si="202"/>
        <v>854</v>
      </c>
      <c r="AL177" s="104">
        <f t="shared" si="202"/>
        <v>207</v>
      </c>
      <c r="AM177" s="104">
        <f t="shared" si="202"/>
        <v>172</v>
      </c>
      <c r="AN177" s="104">
        <f t="shared" si="202"/>
        <v>199</v>
      </c>
      <c r="AO177" s="104">
        <f t="shared" si="202"/>
        <v>274</v>
      </c>
      <c r="AP177" s="184">
        <f t="shared" si="202"/>
        <v>852</v>
      </c>
      <c r="AQ177" s="104">
        <f>AQ175+AQ176</f>
        <v>231</v>
      </c>
      <c r="AR177" s="104">
        <f>AR175+AR176</f>
        <v>179</v>
      </c>
      <c r="AS177" s="104">
        <f>AS175+AS176</f>
        <v>271</v>
      </c>
      <c r="AT177" s="104">
        <f>AT175+AT176</f>
        <v>317</v>
      </c>
      <c r="AU177" s="184">
        <f>AU175+AU176</f>
        <v>998</v>
      </c>
      <c r="AV177" s="303"/>
      <c r="AW177" s="303"/>
      <c r="AX177" s="303"/>
      <c r="AY177" s="303"/>
      <c r="AZ177" s="288"/>
      <c r="BA177" s="231" t="s">
        <v>221</v>
      </c>
      <c r="BB177" s="231" t="s">
        <v>221</v>
      </c>
      <c r="BC177" s="231" t="s">
        <v>221</v>
      </c>
      <c r="BD177" s="231" t="s">
        <v>221</v>
      </c>
      <c r="BE177" s="288" t="s">
        <v>221</v>
      </c>
      <c r="BF177" s="231" t="s">
        <v>221</v>
      </c>
      <c r="BG177" s="231" t="s">
        <v>221</v>
      </c>
      <c r="BH177" s="231" t="s">
        <v>221</v>
      </c>
      <c r="BI177" s="231" t="s">
        <v>221</v>
      </c>
      <c r="BJ177" s="288" t="s">
        <v>221</v>
      </c>
      <c r="BK177" s="231" t="s">
        <v>221</v>
      </c>
      <c r="BL177" s="231" t="s">
        <v>221</v>
      </c>
      <c r="BM177" s="231" t="s">
        <v>221</v>
      </c>
      <c r="BN177" s="231" t="s">
        <v>221</v>
      </c>
      <c r="BO177" s="288" t="s">
        <v>221</v>
      </c>
      <c r="BP177" s="231" t="s">
        <v>221</v>
      </c>
      <c r="BQ177" s="231" t="s">
        <v>221</v>
      </c>
      <c r="BR177" s="231" t="s">
        <v>221</v>
      </c>
      <c r="BS177" s="231" t="s">
        <v>221</v>
      </c>
      <c r="BT177" s="288" t="s">
        <v>221</v>
      </c>
      <c r="BU177" s="231" t="s">
        <v>221</v>
      </c>
      <c r="BV177" s="231" t="s">
        <v>221</v>
      </c>
      <c r="BW177" s="231" t="s">
        <v>221</v>
      </c>
      <c r="BX177" s="231" t="s">
        <v>221</v>
      </c>
      <c r="BY177" s="288" t="s">
        <v>221</v>
      </c>
      <c r="BZ177" s="231" t="s">
        <v>221</v>
      </c>
      <c r="CA177" s="231" t="s">
        <v>221</v>
      </c>
      <c r="CB177" s="231" t="s">
        <v>221</v>
      </c>
      <c r="CC177" s="231" t="s">
        <v>221</v>
      </c>
      <c r="CD177" s="288" t="s">
        <v>221</v>
      </c>
      <c r="CE177" s="231" t="s">
        <v>221</v>
      </c>
      <c r="CF177" s="231" t="s">
        <v>221</v>
      </c>
      <c r="CG177" s="231" t="s">
        <v>221</v>
      </c>
      <c r="CH177" s="231" t="s">
        <v>221</v>
      </c>
      <c r="CI177" s="288" t="s">
        <v>221</v>
      </c>
      <c r="CJ177" s="231" t="s">
        <v>221</v>
      </c>
      <c r="CK177" s="231" t="s">
        <v>221</v>
      </c>
      <c r="CL177" s="231" t="s">
        <v>221</v>
      </c>
      <c r="CM177" s="231" t="s">
        <v>221</v>
      </c>
      <c r="CN177" s="288" t="s">
        <v>221</v>
      </c>
      <c r="CO177" s="231" t="s">
        <v>221</v>
      </c>
      <c r="CP177" s="231" t="s">
        <v>221</v>
      </c>
      <c r="CQ177" s="231" t="s">
        <v>221</v>
      </c>
      <c r="CR177" s="231" t="s">
        <v>221</v>
      </c>
      <c r="CS177" s="288" t="s">
        <v>221</v>
      </c>
      <c r="CT177" s="231" t="s">
        <v>221</v>
      </c>
      <c r="CU177" s="231" t="s">
        <v>221</v>
      </c>
      <c r="CV177" s="231" t="s">
        <v>221</v>
      </c>
      <c r="CW177" s="231" t="s">
        <v>221</v>
      </c>
      <c r="CX177" s="288" t="s">
        <v>221</v>
      </c>
      <c r="CY177" s="231" t="s">
        <v>221</v>
      </c>
      <c r="CZ177" s="231" t="s">
        <v>221</v>
      </c>
      <c r="DA177" s="231" t="s">
        <v>221</v>
      </c>
      <c r="DB177" s="231" t="s">
        <v>221</v>
      </c>
      <c r="DC177" s="288" t="s">
        <v>221</v>
      </c>
      <c r="DD177" s="231" t="s">
        <v>221</v>
      </c>
      <c r="DE177" s="231" t="s">
        <v>221</v>
      </c>
      <c r="DF177" s="231" t="s">
        <v>221</v>
      </c>
      <c r="DG177" s="231" t="s">
        <v>221</v>
      </c>
      <c r="DH177" s="288" t="s">
        <v>221</v>
      </c>
    </row>
    <row r="178" spans="1:112" hidden="1" outlineLevel="1" x14ac:dyDescent="0.2">
      <c r="A178" s="206" t="s">
        <v>98</v>
      </c>
      <c r="B178" s="100"/>
      <c r="C178" s="58"/>
      <c r="D178" s="58"/>
      <c r="E178" s="58"/>
      <c r="F178" s="58"/>
      <c r="G178" s="415"/>
      <c r="H178" s="58">
        <f>Financials!G50</f>
        <v>166</v>
      </c>
      <c r="I178" s="58">
        <f>Financials!H50</f>
        <v>91</v>
      </c>
      <c r="J178" s="58">
        <f>Financials!I50</f>
        <v>76</v>
      </c>
      <c r="K178" s="58">
        <f>Financials!J50</f>
        <v>242</v>
      </c>
      <c r="L178" s="415">
        <f>Financials!K50</f>
        <v>575</v>
      </c>
      <c r="M178" s="58">
        <f>Financials!L50</f>
        <v>258</v>
      </c>
      <c r="N178" s="58">
        <f>Financials!M50</f>
        <v>147</v>
      </c>
      <c r="O178" s="58">
        <f>Financials!N50</f>
        <v>175</v>
      </c>
      <c r="P178" s="58">
        <f>Financials!O50</f>
        <v>241</v>
      </c>
      <c r="Q178" s="415">
        <f>Financials!P50</f>
        <v>821</v>
      </c>
      <c r="R178" s="58">
        <f>Financials!Q50</f>
        <v>187</v>
      </c>
      <c r="S178" s="58">
        <f>Financials!R50</f>
        <v>159</v>
      </c>
      <c r="T178" s="58">
        <f>Financials!S50</f>
        <v>178</v>
      </c>
      <c r="U178" s="58">
        <f>Financials!T50</f>
        <v>249</v>
      </c>
      <c r="V178" s="415">
        <f>Financials!U50</f>
        <v>773</v>
      </c>
      <c r="W178" s="58">
        <f>Financials!V50</f>
        <v>171</v>
      </c>
      <c r="X178" s="58">
        <f>Financials!W50</f>
        <v>182</v>
      </c>
      <c r="Y178" s="58">
        <f>Financials!X50</f>
        <v>182</v>
      </c>
      <c r="Z178" s="58">
        <f>Financials!Y50</f>
        <v>250</v>
      </c>
      <c r="AA178" s="415">
        <f>Financials!Z50</f>
        <v>785</v>
      </c>
      <c r="AB178" s="58">
        <f>Financials!AA50</f>
        <v>185</v>
      </c>
      <c r="AC178" s="58">
        <f>Financials!AB50</f>
        <v>151</v>
      </c>
      <c r="AD178" s="58">
        <f>Financials!AC50</f>
        <v>203</v>
      </c>
      <c r="AE178" s="58">
        <f>Financials!AD50</f>
        <v>239</v>
      </c>
      <c r="AF178" s="415">
        <f>Financials!AE50</f>
        <v>778</v>
      </c>
      <c r="AG178" s="203">
        <f>Financials!AF50</f>
        <v>202</v>
      </c>
      <c r="AH178" s="203">
        <f>Financials!AG50</f>
        <v>160</v>
      </c>
      <c r="AI178" s="203">
        <f>Financials!AH50</f>
        <v>219</v>
      </c>
      <c r="AJ178" s="203">
        <f>Financials!AI50</f>
        <v>273</v>
      </c>
      <c r="AK178" s="298">
        <f>Financials!AJ50</f>
        <v>854</v>
      </c>
      <c r="AL178" s="203">
        <f>Financials!AK50</f>
        <v>207</v>
      </c>
      <c r="AM178" s="203">
        <f>Financials!AL50</f>
        <v>172</v>
      </c>
      <c r="AN178" s="203">
        <f>Financials!AM50</f>
        <v>199</v>
      </c>
      <c r="AO178" s="203">
        <f>Financials!AN50</f>
        <v>274</v>
      </c>
      <c r="AP178" s="298">
        <f>Financials!AO50</f>
        <v>852</v>
      </c>
      <c r="AQ178" s="203">
        <f>Financials!AP50</f>
        <v>231</v>
      </c>
      <c r="AR178" s="203">
        <f>Financials!AQ50</f>
        <v>179</v>
      </c>
      <c r="AS178" s="203">
        <f>Financials!AR50</f>
        <v>271</v>
      </c>
      <c r="AT178" s="203">
        <f>Financials!AS50</f>
        <v>317</v>
      </c>
      <c r="AU178" s="298">
        <f>Financials!AT50</f>
        <v>998</v>
      </c>
      <c r="AV178" s="303"/>
      <c r="AW178" s="303"/>
      <c r="AX178" s="303"/>
      <c r="AY178" s="303"/>
      <c r="AZ178" s="288"/>
      <c r="BA178" s="231"/>
      <c r="BB178" s="231"/>
      <c r="BC178" s="231"/>
      <c r="BD178" s="231"/>
      <c r="BE178" s="288"/>
      <c r="BF178" s="231"/>
      <c r="BG178" s="231"/>
      <c r="BH178" s="231"/>
      <c r="BI178" s="231"/>
      <c r="BJ178" s="288"/>
      <c r="BK178" s="231"/>
      <c r="BL178" s="231"/>
      <c r="BM178" s="231"/>
      <c r="BN178" s="231"/>
      <c r="BO178" s="288"/>
      <c r="BP178" s="231"/>
      <c r="BQ178" s="231"/>
      <c r="BR178" s="231"/>
      <c r="BS178" s="231"/>
      <c r="BT178" s="288"/>
      <c r="BU178" s="231"/>
      <c r="BV178" s="231"/>
      <c r="BW178" s="231"/>
      <c r="BX178" s="231"/>
      <c r="BY178" s="288"/>
      <c r="BZ178" s="231"/>
      <c r="CA178" s="231"/>
      <c r="CB178" s="231"/>
      <c r="CC178" s="231"/>
      <c r="CD178" s="288"/>
      <c r="CE178" s="231"/>
      <c r="CF178" s="231"/>
      <c r="CG178" s="231"/>
      <c r="CH178" s="231"/>
      <c r="CI178" s="288"/>
      <c r="CJ178" s="231"/>
      <c r="CK178" s="231"/>
      <c r="CL178" s="231"/>
      <c r="CM178" s="231"/>
      <c r="CN178" s="288"/>
      <c r="CO178" s="231"/>
      <c r="CP178" s="231"/>
      <c r="CQ178" s="231"/>
      <c r="CR178" s="231"/>
      <c r="CS178" s="288"/>
      <c r="CT178" s="231"/>
      <c r="CU178" s="231"/>
      <c r="CV178" s="231"/>
      <c r="CW178" s="231"/>
      <c r="CX178" s="288"/>
      <c r="CY178" s="231"/>
      <c r="CZ178" s="231"/>
      <c r="DA178" s="231"/>
      <c r="DB178" s="231"/>
      <c r="DC178" s="288"/>
      <c r="DD178" s="231"/>
      <c r="DE178" s="231"/>
      <c r="DF178" s="231"/>
      <c r="DG178" s="231"/>
      <c r="DH178" s="288"/>
    </row>
    <row r="179" spans="1:112" hidden="1" outlineLevel="1" x14ac:dyDescent="0.2">
      <c r="A179" s="206"/>
      <c r="B179" s="100"/>
      <c r="C179" s="58"/>
      <c r="D179" s="58"/>
      <c r="E179" s="58"/>
      <c r="F179" s="58"/>
      <c r="G179" s="415"/>
      <c r="H179" s="58"/>
      <c r="I179" s="58"/>
      <c r="J179" s="58"/>
      <c r="K179" s="58"/>
      <c r="L179" s="415"/>
      <c r="M179" s="58"/>
      <c r="N179" s="58"/>
      <c r="O179" s="58"/>
      <c r="P179" s="58"/>
      <c r="Q179" s="415"/>
      <c r="R179" s="58"/>
      <c r="S179" s="58"/>
      <c r="T179" s="58"/>
      <c r="U179" s="58"/>
      <c r="V179" s="415"/>
      <c r="W179" s="58"/>
      <c r="X179" s="58"/>
      <c r="Y179" s="58"/>
      <c r="Z179" s="58"/>
      <c r="AA179" s="415"/>
      <c r="AB179" s="58"/>
      <c r="AC179" s="58"/>
      <c r="AD179" s="58"/>
      <c r="AE179" s="58"/>
      <c r="AF179" s="415"/>
      <c r="AG179" s="58"/>
      <c r="AH179" s="58"/>
      <c r="AI179" s="58"/>
      <c r="AJ179" s="58"/>
      <c r="AK179" s="415"/>
      <c r="AL179" s="58"/>
      <c r="AM179" s="58"/>
      <c r="AN179" s="58"/>
      <c r="AO179" s="58"/>
      <c r="AP179" s="415"/>
      <c r="AQ179" s="58"/>
      <c r="AR179" s="58"/>
      <c r="AS179" s="58"/>
      <c r="AT179" s="58"/>
      <c r="AU179" s="415"/>
      <c r="AV179" s="303"/>
      <c r="AW179" s="303"/>
      <c r="AX179" s="303"/>
      <c r="AY179" s="303"/>
      <c r="AZ179" s="288"/>
      <c r="BA179" s="231"/>
      <c r="BB179" s="231"/>
      <c r="BC179" s="231"/>
      <c r="BD179" s="231"/>
      <c r="BE179" s="288"/>
      <c r="BF179" s="231"/>
      <c r="BG179" s="231"/>
      <c r="BH179" s="231"/>
      <c r="BI179" s="231"/>
      <c r="BJ179" s="288"/>
      <c r="BK179" s="231"/>
      <c r="BL179" s="231"/>
      <c r="BM179" s="231"/>
      <c r="BN179" s="231"/>
      <c r="BO179" s="288"/>
      <c r="BP179" s="231"/>
      <c r="BQ179" s="231"/>
      <c r="BR179" s="231"/>
      <c r="BS179" s="231"/>
      <c r="BT179" s="288"/>
      <c r="BU179" s="231"/>
      <c r="BV179" s="231"/>
      <c r="BW179" s="231"/>
      <c r="BX179" s="231"/>
      <c r="BY179" s="288"/>
      <c r="BZ179" s="231"/>
      <c r="CA179" s="231"/>
      <c r="CB179" s="231"/>
      <c r="CC179" s="231"/>
      <c r="CD179" s="288"/>
      <c r="CE179" s="231"/>
      <c r="CF179" s="231"/>
      <c r="CG179" s="231"/>
      <c r="CH179" s="231"/>
      <c r="CI179" s="288"/>
      <c r="CJ179" s="231"/>
      <c r="CK179" s="231"/>
      <c r="CL179" s="231"/>
      <c r="CM179" s="231"/>
      <c r="CN179" s="288"/>
      <c r="CO179" s="231"/>
      <c r="CP179" s="231"/>
      <c r="CQ179" s="231"/>
      <c r="CR179" s="231"/>
      <c r="CS179" s="288"/>
      <c r="CT179" s="231"/>
      <c r="CU179" s="231"/>
      <c r="CV179" s="231"/>
      <c r="CW179" s="231"/>
      <c r="CX179" s="288"/>
      <c r="CY179" s="231"/>
      <c r="CZ179" s="231"/>
      <c r="DA179" s="231"/>
      <c r="DB179" s="231"/>
      <c r="DC179" s="288"/>
      <c r="DD179" s="231"/>
      <c r="DE179" s="231"/>
      <c r="DF179" s="231"/>
      <c r="DG179" s="231"/>
      <c r="DH179" s="288"/>
    </row>
    <row r="180" spans="1:112" hidden="1" outlineLevel="1" x14ac:dyDescent="0.2">
      <c r="A180" s="98" t="s">
        <v>235</v>
      </c>
      <c r="B180" s="100"/>
      <c r="C180" s="58"/>
      <c r="D180" s="58"/>
      <c r="E180" s="58"/>
      <c r="F180" s="58"/>
      <c r="G180" s="415"/>
      <c r="H180" s="58">
        <f>Financials!G66</f>
        <v>2</v>
      </c>
      <c r="I180" s="58">
        <f>Financials!H66</f>
        <v>-4</v>
      </c>
      <c r="J180" s="58">
        <f>Financials!I66</f>
        <v>30</v>
      </c>
      <c r="K180" s="58">
        <f>Financials!J66</f>
        <v>-4</v>
      </c>
      <c r="L180" s="415">
        <f>Financials!K66</f>
        <v>24</v>
      </c>
      <c r="M180" s="58">
        <f>Financials!L66</f>
        <v>-6</v>
      </c>
      <c r="N180" s="58">
        <f>Financials!M66</f>
        <v>3</v>
      </c>
      <c r="O180" s="58">
        <f>Financials!N66</f>
        <v>4</v>
      </c>
      <c r="P180" s="58">
        <f>Financials!O66</f>
        <v>7</v>
      </c>
      <c r="Q180" s="415">
        <f>Financials!P66</f>
        <v>8</v>
      </c>
      <c r="R180" s="58">
        <f>Financials!Q66</f>
        <v>-3</v>
      </c>
      <c r="S180" s="58">
        <f>Financials!R66</f>
        <v>2</v>
      </c>
      <c r="T180" s="58">
        <f>Financials!S66</f>
        <v>6</v>
      </c>
      <c r="U180" s="58">
        <f>Financials!T66</f>
        <v>4</v>
      </c>
      <c r="V180" s="415">
        <f>Financials!U66</f>
        <v>9</v>
      </c>
      <c r="W180" s="58">
        <f>Financials!V66</f>
        <v>4</v>
      </c>
      <c r="X180" s="58">
        <f>Financials!W66</f>
        <v>29</v>
      </c>
      <c r="Y180" s="58">
        <f>Financials!X66</f>
        <v>-18</v>
      </c>
      <c r="Z180" s="58">
        <f>Financials!Y66</f>
        <v>8</v>
      </c>
      <c r="AA180" s="415">
        <f>Financials!Z66</f>
        <v>23</v>
      </c>
      <c r="AB180" s="58">
        <f>Financials!AA66</f>
        <v>-1</v>
      </c>
      <c r="AC180" s="58">
        <f>Financials!AB66</f>
        <v>1</v>
      </c>
      <c r="AD180" s="58">
        <f>Financials!AC66</f>
        <v>-2</v>
      </c>
      <c r="AE180" s="58">
        <f>Financials!AD66</f>
        <v>4</v>
      </c>
      <c r="AF180" s="415">
        <f>Financials!AE66</f>
        <v>2</v>
      </c>
      <c r="AG180" s="58">
        <f>Financials!AF66</f>
        <v>2</v>
      </c>
      <c r="AH180" s="58">
        <f>Financials!AG66</f>
        <v>5</v>
      </c>
      <c r="AI180" s="58">
        <f>Financials!AH66</f>
        <v>2</v>
      </c>
      <c r="AJ180" s="58">
        <f>Financials!AI66</f>
        <v>-7</v>
      </c>
      <c r="AK180" s="415">
        <f>Financials!AJ66</f>
        <v>2</v>
      </c>
      <c r="AL180" s="58">
        <f>Financials!AK66</f>
        <v>0</v>
      </c>
      <c r="AM180" s="58">
        <f>Financials!AL66</f>
        <v>2</v>
      </c>
      <c r="AN180" s="58">
        <f>Financials!AM66</f>
        <v>-2</v>
      </c>
      <c r="AO180" s="58">
        <f>Financials!AN66</f>
        <v>9</v>
      </c>
      <c r="AP180" s="415">
        <f>Financials!AO66</f>
        <v>9</v>
      </c>
      <c r="AQ180" s="58">
        <f>Financials!AP66</f>
        <v>-3</v>
      </c>
      <c r="AR180" s="58">
        <f>Financials!AQ66</f>
        <v>-4</v>
      </c>
      <c r="AS180" s="58">
        <f>Financials!AR66</f>
        <v>1</v>
      </c>
      <c r="AT180" s="58">
        <f>Financials!AS66</f>
        <v>-20</v>
      </c>
      <c r="AU180" s="415">
        <f>Financials!AT66</f>
        <v>-26</v>
      </c>
      <c r="AV180" s="303"/>
      <c r="AW180" s="303"/>
      <c r="AX180" s="303"/>
      <c r="AY180" s="303"/>
      <c r="AZ180" s="288"/>
      <c r="BA180" s="231" t="s">
        <v>221</v>
      </c>
      <c r="BB180" s="231" t="s">
        <v>221</v>
      </c>
      <c r="BC180" s="231" t="s">
        <v>221</v>
      </c>
      <c r="BD180" s="231" t="s">
        <v>221</v>
      </c>
      <c r="BE180" s="288" t="s">
        <v>221</v>
      </c>
      <c r="BF180" s="231" t="s">
        <v>221</v>
      </c>
      <c r="BG180" s="231" t="s">
        <v>221</v>
      </c>
      <c r="BH180" s="231" t="s">
        <v>221</v>
      </c>
      <c r="BI180" s="231" t="s">
        <v>221</v>
      </c>
      <c r="BJ180" s="288" t="s">
        <v>221</v>
      </c>
      <c r="BK180" s="231" t="s">
        <v>221</v>
      </c>
      <c r="BL180" s="231" t="s">
        <v>221</v>
      </c>
      <c r="BM180" s="231" t="s">
        <v>221</v>
      </c>
      <c r="BN180" s="231" t="s">
        <v>221</v>
      </c>
      <c r="BO180" s="288" t="s">
        <v>221</v>
      </c>
      <c r="BP180" s="231" t="s">
        <v>221</v>
      </c>
      <c r="BQ180" s="231" t="s">
        <v>221</v>
      </c>
      <c r="BR180" s="231" t="s">
        <v>221</v>
      </c>
      <c r="BS180" s="231" t="s">
        <v>221</v>
      </c>
      <c r="BT180" s="288" t="s">
        <v>221</v>
      </c>
      <c r="BU180" s="231" t="s">
        <v>221</v>
      </c>
      <c r="BV180" s="231" t="s">
        <v>221</v>
      </c>
      <c r="BW180" s="231" t="s">
        <v>221</v>
      </c>
      <c r="BX180" s="231" t="s">
        <v>221</v>
      </c>
      <c r="BY180" s="288" t="s">
        <v>221</v>
      </c>
      <c r="BZ180" s="231" t="s">
        <v>221</v>
      </c>
      <c r="CA180" s="231" t="s">
        <v>221</v>
      </c>
      <c r="CB180" s="231" t="s">
        <v>221</v>
      </c>
      <c r="CC180" s="231" t="s">
        <v>221</v>
      </c>
      <c r="CD180" s="288" t="s">
        <v>221</v>
      </c>
      <c r="CE180" s="231" t="s">
        <v>221</v>
      </c>
      <c r="CF180" s="231" t="s">
        <v>221</v>
      </c>
      <c r="CG180" s="231" t="s">
        <v>221</v>
      </c>
      <c r="CH180" s="231" t="s">
        <v>221</v>
      </c>
      <c r="CI180" s="288" t="s">
        <v>221</v>
      </c>
      <c r="CJ180" s="231" t="s">
        <v>221</v>
      </c>
      <c r="CK180" s="231" t="s">
        <v>221</v>
      </c>
      <c r="CL180" s="231" t="s">
        <v>221</v>
      </c>
      <c r="CM180" s="231" t="s">
        <v>221</v>
      </c>
      <c r="CN180" s="288" t="s">
        <v>221</v>
      </c>
      <c r="CO180" s="231" t="s">
        <v>221</v>
      </c>
      <c r="CP180" s="231" t="s">
        <v>221</v>
      </c>
      <c r="CQ180" s="231" t="s">
        <v>221</v>
      </c>
      <c r="CR180" s="231" t="s">
        <v>221</v>
      </c>
      <c r="CS180" s="288" t="s">
        <v>221</v>
      </c>
      <c r="CT180" s="231" t="s">
        <v>221</v>
      </c>
      <c r="CU180" s="231" t="s">
        <v>221</v>
      </c>
      <c r="CV180" s="231" t="s">
        <v>221</v>
      </c>
      <c r="CW180" s="231" t="s">
        <v>221</v>
      </c>
      <c r="CX180" s="288" t="s">
        <v>221</v>
      </c>
      <c r="CY180" s="231" t="s">
        <v>221</v>
      </c>
      <c r="CZ180" s="231" t="s">
        <v>221</v>
      </c>
      <c r="DA180" s="231" t="s">
        <v>221</v>
      </c>
      <c r="DB180" s="231" t="s">
        <v>221</v>
      </c>
      <c r="DC180" s="288" t="s">
        <v>221</v>
      </c>
      <c r="DD180" s="231" t="s">
        <v>221</v>
      </c>
      <c r="DE180" s="231" t="s">
        <v>221</v>
      </c>
      <c r="DF180" s="231" t="s">
        <v>221</v>
      </c>
      <c r="DG180" s="231" t="s">
        <v>221</v>
      </c>
      <c r="DH180" s="288" t="s">
        <v>221</v>
      </c>
    </row>
    <row r="181" spans="1:112" hidden="1" outlineLevel="1" x14ac:dyDescent="0.2">
      <c r="A181" s="117" t="s">
        <v>64</v>
      </c>
      <c r="B181" s="171"/>
      <c r="C181" s="243"/>
      <c r="D181" s="243"/>
      <c r="E181" s="243"/>
      <c r="F181" s="243"/>
      <c r="G181" s="416"/>
      <c r="H181" s="243">
        <f>Financials!G65</f>
        <v>-12</v>
      </c>
      <c r="I181" s="243">
        <f>Financials!H65</f>
        <v>-12</v>
      </c>
      <c r="J181" s="243">
        <f>Financials!I65</f>
        <v>-7</v>
      </c>
      <c r="K181" s="243">
        <f>Financials!J65</f>
        <v>-8</v>
      </c>
      <c r="L181" s="416">
        <f>Financials!K65</f>
        <v>-39</v>
      </c>
      <c r="M181" s="243">
        <f>Financials!L65</f>
        <v>-8</v>
      </c>
      <c r="N181" s="243">
        <f>Financials!M65</f>
        <v>-8</v>
      </c>
      <c r="O181" s="243">
        <f>Financials!N65</f>
        <v>-6</v>
      </c>
      <c r="P181" s="243">
        <f>Financials!O65</f>
        <v>-6</v>
      </c>
      <c r="Q181" s="416">
        <f>Financials!P65</f>
        <v>-28</v>
      </c>
      <c r="R181" s="243">
        <f>Financials!Q65</f>
        <v>-6</v>
      </c>
      <c r="S181" s="243">
        <f>Financials!R65</f>
        <v>-7</v>
      </c>
      <c r="T181" s="243">
        <f>Financials!S65</f>
        <v>-8</v>
      </c>
      <c r="U181" s="243">
        <f>Financials!T65</f>
        <v>-9</v>
      </c>
      <c r="V181" s="416">
        <f>Financials!U65</f>
        <v>-30</v>
      </c>
      <c r="W181" s="243">
        <f>Financials!V65</f>
        <v>-8</v>
      </c>
      <c r="X181" s="243">
        <f>Financials!W65</f>
        <v>-17</v>
      </c>
      <c r="Y181" s="243">
        <f>Financials!X65</f>
        <v>-27</v>
      </c>
      <c r="Z181" s="243">
        <f>Financials!Y65</f>
        <v>-27</v>
      </c>
      <c r="AA181" s="416">
        <f>Financials!Z65</f>
        <v>-79</v>
      </c>
      <c r="AB181" s="243">
        <f>Financials!AA65</f>
        <v>-30</v>
      </c>
      <c r="AC181" s="243">
        <f>Financials!AB65</f>
        <v>-32</v>
      </c>
      <c r="AD181" s="243">
        <f>Financials!AC65</f>
        <v>-33</v>
      </c>
      <c r="AE181" s="243">
        <f>Financials!AD65</f>
        <v>-32</v>
      </c>
      <c r="AF181" s="416">
        <f>Financials!AE65</f>
        <v>-127</v>
      </c>
      <c r="AG181" s="243">
        <f>Financials!AF65</f>
        <v>-29</v>
      </c>
      <c r="AH181" s="243">
        <f>Financials!AG65</f>
        <v>-29</v>
      </c>
      <c r="AI181" s="243">
        <f>Financials!AH65</f>
        <v>-28</v>
      </c>
      <c r="AJ181" s="243">
        <f>Financials!AI65</f>
        <v>-27</v>
      </c>
      <c r="AK181" s="416">
        <f>Financials!AJ65</f>
        <v>-113</v>
      </c>
      <c r="AL181" s="243">
        <f>Financials!AK65</f>
        <v>-33</v>
      </c>
      <c r="AM181" s="243">
        <f>Financials!AL65</f>
        <v>-46</v>
      </c>
      <c r="AN181" s="243">
        <f>Financials!AM65</f>
        <v>-46</v>
      </c>
      <c r="AO181" s="243">
        <f>Financials!AN65</f>
        <v>-43</v>
      </c>
      <c r="AP181" s="416">
        <f>Financials!AO65</f>
        <v>-168</v>
      </c>
      <c r="AQ181" s="243">
        <f>Financials!AP65</f>
        <v>-42</v>
      </c>
      <c r="AR181" s="243">
        <f>Financials!AQ65</f>
        <v>-44</v>
      </c>
      <c r="AS181" s="243">
        <f>Financials!AR65</f>
        <v>-39</v>
      </c>
      <c r="AT181" s="243">
        <f>Financials!AS65</f>
        <v>-36</v>
      </c>
      <c r="AU181" s="416">
        <f>Financials!AT65</f>
        <v>-161</v>
      </c>
      <c r="AV181" s="304"/>
      <c r="AW181" s="304"/>
      <c r="AX181" s="304"/>
      <c r="AY181" s="304"/>
      <c r="AZ181" s="289"/>
      <c r="BA181" s="232" t="s">
        <v>221</v>
      </c>
      <c r="BB181" s="232" t="s">
        <v>221</v>
      </c>
      <c r="BC181" s="232" t="s">
        <v>221</v>
      </c>
      <c r="BD181" s="232" t="s">
        <v>221</v>
      </c>
      <c r="BE181" s="289" t="s">
        <v>221</v>
      </c>
      <c r="BF181" s="232" t="s">
        <v>221</v>
      </c>
      <c r="BG181" s="232" t="s">
        <v>221</v>
      </c>
      <c r="BH181" s="232" t="s">
        <v>221</v>
      </c>
      <c r="BI181" s="232" t="s">
        <v>221</v>
      </c>
      <c r="BJ181" s="289" t="s">
        <v>221</v>
      </c>
      <c r="BK181" s="232" t="s">
        <v>221</v>
      </c>
      <c r="BL181" s="232" t="s">
        <v>221</v>
      </c>
      <c r="BM181" s="232" t="s">
        <v>221</v>
      </c>
      <c r="BN181" s="232" t="s">
        <v>221</v>
      </c>
      <c r="BO181" s="289" t="s">
        <v>221</v>
      </c>
      <c r="BP181" s="232" t="s">
        <v>221</v>
      </c>
      <c r="BQ181" s="232" t="s">
        <v>221</v>
      </c>
      <c r="BR181" s="232" t="s">
        <v>221</v>
      </c>
      <c r="BS181" s="232" t="s">
        <v>221</v>
      </c>
      <c r="BT181" s="289" t="s">
        <v>221</v>
      </c>
      <c r="BU181" s="232" t="s">
        <v>221</v>
      </c>
      <c r="BV181" s="232" t="s">
        <v>221</v>
      </c>
      <c r="BW181" s="232" t="s">
        <v>221</v>
      </c>
      <c r="BX181" s="232" t="s">
        <v>221</v>
      </c>
      <c r="BY181" s="289" t="s">
        <v>221</v>
      </c>
      <c r="BZ181" s="232" t="s">
        <v>221</v>
      </c>
      <c r="CA181" s="232" t="s">
        <v>221</v>
      </c>
      <c r="CB181" s="232" t="s">
        <v>221</v>
      </c>
      <c r="CC181" s="232" t="s">
        <v>221</v>
      </c>
      <c r="CD181" s="289" t="s">
        <v>221</v>
      </c>
      <c r="CE181" s="232" t="s">
        <v>221</v>
      </c>
      <c r="CF181" s="232" t="s">
        <v>221</v>
      </c>
      <c r="CG181" s="232" t="s">
        <v>221</v>
      </c>
      <c r="CH181" s="232" t="s">
        <v>221</v>
      </c>
      <c r="CI181" s="289" t="s">
        <v>221</v>
      </c>
      <c r="CJ181" s="232" t="s">
        <v>221</v>
      </c>
      <c r="CK181" s="232" t="s">
        <v>221</v>
      </c>
      <c r="CL181" s="232" t="s">
        <v>221</v>
      </c>
      <c r="CM181" s="232" t="s">
        <v>221</v>
      </c>
      <c r="CN181" s="289" t="s">
        <v>221</v>
      </c>
      <c r="CO181" s="232" t="s">
        <v>221</v>
      </c>
      <c r="CP181" s="232" t="s">
        <v>221</v>
      </c>
      <c r="CQ181" s="232" t="s">
        <v>221</v>
      </c>
      <c r="CR181" s="232" t="s">
        <v>221</v>
      </c>
      <c r="CS181" s="289" t="s">
        <v>221</v>
      </c>
      <c r="CT181" s="232" t="s">
        <v>221</v>
      </c>
      <c r="CU181" s="232" t="s">
        <v>221</v>
      </c>
      <c r="CV181" s="232" t="s">
        <v>221</v>
      </c>
      <c r="CW181" s="232" t="s">
        <v>221</v>
      </c>
      <c r="CX181" s="289" t="s">
        <v>221</v>
      </c>
      <c r="CY181" s="232" t="s">
        <v>221</v>
      </c>
      <c r="CZ181" s="232" t="s">
        <v>221</v>
      </c>
      <c r="DA181" s="232" t="s">
        <v>221</v>
      </c>
      <c r="DB181" s="232" t="s">
        <v>221</v>
      </c>
      <c r="DC181" s="289" t="s">
        <v>221</v>
      </c>
      <c r="DD181" s="232" t="s">
        <v>221</v>
      </c>
      <c r="DE181" s="232" t="s">
        <v>221</v>
      </c>
      <c r="DF181" s="232" t="s">
        <v>221</v>
      </c>
      <c r="DG181" s="232" t="s">
        <v>221</v>
      </c>
      <c r="DH181" s="289" t="s">
        <v>221</v>
      </c>
    </row>
    <row r="182" spans="1:112" hidden="1" outlineLevel="1" x14ac:dyDescent="0.2">
      <c r="A182" s="103" t="s">
        <v>233</v>
      </c>
      <c r="B182" s="104"/>
      <c r="C182" s="244"/>
      <c r="D182" s="244"/>
      <c r="E182" s="244"/>
      <c r="F182" s="244"/>
      <c r="G182" s="345"/>
      <c r="H182" s="244">
        <v>-103</v>
      </c>
      <c r="I182" s="244">
        <v>-106</v>
      </c>
      <c r="J182" s="244">
        <v>-108</v>
      </c>
      <c r="K182" s="244">
        <v>-106</v>
      </c>
      <c r="L182" s="345">
        <v>-423</v>
      </c>
      <c r="M182" s="244">
        <v>-92</v>
      </c>
      <c r="N182" s="244">
        <v>-99</v>
      </c>
      <c r="O182" s="244">
        <v>-114</v>
      </c>
      <c r="P182" s="244">
        <v>-87</v>
      </c>
      <c r="Q182" s="345">
        <v>-392</v>
      </c>
      <c r="R182" s="244">
        <v>-92</v>
      </c>
      <c r="S182" s="244">
        <v>-99</v>
      </c>
      <c r="T182" s="244">
        <v>-121</v>
      </c>
      <c r="U182" s="244">
        <v>-102</v>
      </c>
      <c r="V182" s="345">
        <v>-414</v>
      </c>
      <c r="W182" s="244">
        <v>-101</v>
      </c>
      <c r="X182" s="244">
        <v>-91</v>
      </c>
      <c r="Y182" s="244">
        <v>-147</v>
      </c>
      <c r="Z182" s="244">
        <v>-119</v>
      </c>
      <c r="AA182" s="345">
        <v>-458</v>
      </c>
      <c r="AB182" s="244">
        <v>-140</v>
      </c>
      <c r="AC182" s="244">
        <v>-156</v>
      </c>
      <c r="AD182" s="244">
        <v>-137</v>
      </c>
      <c r="AE182" s="244">
        <v>-174</v>
      </c>
      <c r="AF182" s="345">
        <v>-607</v>
      </c>
      <c r="AG182" s="244">
        <v>-146</v>
      </c>
      <c r="AH182" s="244">
        <v>-152</v>
      </c>
      <c r="AI182" s="244">
        <v>-151</v>
      </c>
      <c r="AJ182" s="244">
        <v>-154</v>
      </c>
      <c r="AK182" s="345">
        <v>-603</v>
      </c>
      <c r="AL182" s="244">
        <v>-149</v>
      </c>
      <c r="AM182" s="244">
        <v>-167</v>
      </c>
      <c r="AN182" s="244">
        <v>-177</v>
      </c>
      <c r="AO182" s="244">
        <v>-171</v>
      </c>
      <c r="AP182" s="345">
        <v>-664</v>
      </c>
      <c r="AQ182" s="244">
        <v>-172</v>
      </c>
      <c r="AR182" s="244">
        <v>-171</v>
      </c>
      <c r="AS182" s="244">
        <v>-175</v>
      </c>
      <c r="AT182" s="244">
        <v>-201</v>
      </c>
      <c r="AU182" s="345">
        <f>SUM(AQ182:AT182)</f>
        <v>-719</v>
      </c>
      <c r="AV182" s="305"/>
      <c r="AW182" s="305"/>
      <c r="AX182" s="305"/>
      <c r="AY182" s="305"/>
      <c r="AZ182" s="290"/>
      <c r="BA182" s="233" t="s">
        <v>221</v>
      </c>
      <c r="BB182" s="233" t="s">
        <v>221</v>
      </c>
      <c r="BC182" s="233" t="s">
        <v>221</v>
      </c>
      <c r="BD182" s="233" t="s">
        <v>221</v>
      </c>
      <c r="BE182" s="290" t="s">
        <v>221</v>
      </c>
      <c r="BF182" s="233" t="s">
        <v>221</v>
      </c>
      <c r="BG182" s="233" t="s">
        <v>221</v>
      </c>
      <c r="BH182" s="233" t="s">
        <v>221</v>
      </c>
      <c r="BI182" s="233" t="s">
        <v>221</v>
      </c>
      <c r="BJ182" s="290" t="s">
        <v>221</v>
      </c>
      <c r="BK182" s="233" t="s">
        <v>221</v>
      </c>
      <c r="BL182" s="233" t="s">
        <v>221</v>
      </c>
      <c r="BM182" s="233" t="s">
        <v>221</v>
      </c>
      <c r="BN182" s="233" t="s">
        <v>221</v>
      </c>
      <c r="BO182" s="290" t="s">
        <v>221</v>
      </c>
      <c r="BP182" s="233" t="s">
        <v>221</v>
      </c>
      <c r="BQ182" s="233" t="s">
        <v>221</v>
      </c>
      <c r="BR182" s="233" t="s">
        <v>221</v>
      </c>
      <c r="BS182" s="233" t="s">
        <v>221</v>
      </c>
      <c r="BT182" s="290" t="s">
        <v>221</v>
      </c>
      <c r="BU182" s="233" t="s">
        <v>221</v>
      </c>
      <c r="BV182" s="233" t="s">
        <v>221</v>
      </c>
      <c r="BW182" s="233" t="s">
        <v>221</v>
      </c>
      <c r="BX182" s="233" t="s">
        <v>221</v>
      </c>
      <c r="BY182" s="290" t="s">
        <v>221</v>
      </c>
      <c r="BZ182" s="233" t="s">
        <v>221</v>
      </c>
      <c r="CA182" s="233" t="s">
        <v>221</v>
      </c>
      <c r="CB182" s="233" t="s">
        <v>221</v>
      </c>
      <c r="CC182" s="233" t="s">
        <v>221</v>
      </c>
      <c r="CD182" s="290" t="s">
        <v>221</v>
      </c>
      <c r="CE182" s="233" t="s">
        <v>221</v>
      </c>
      <c r="CF182" s="233" t="s">
        <v>221</v>
      </c>
      <c r="CG182" s="233" t="s">
        <v>221</v>
      </c>
      <c r="CH182" s="233" t="s">
        <v>221</v>
      </c>
      <c r="CI182" s="290" t="s">
        <v>221</v>
      </c>
      <c r="CJ182" s="233" t="s">
        <v>221</v>
      </c>
      <c r="CK182" s="233" t="s">
        <v>221</v>
      </c>
      <c r="CL182" s="233" t="s">
        <v>221</v>
      </c>
      <c r="CM182" s="233" t="s">
        <v>221</v>
      </c>
      <c r="CN182" s="290" t="s">
        <v>221</v>
      </c>
      <c r="CO182" s="233" t="s">
        <v>221</v>
      </c>
      <c r="CP182" s="233" t="s">
        <v>221</v>
      </c>
      <c r="CQ182" s="233" t="s">
        <v>221</v>
      </c>
      <c r="CR182" s="233" t="s">
        <v>221</v>
      </c>
      <c r="CS182" s="290" t="s">
        <v>221</v>
      </c>
      <c r="CT182" s="233" t="s">
        <v>221</v>
      </c>
      <c r="CU182" s="233" t="s">
        <v>221</v>
      </c>
      <c r="CV182" s="233" t="s">
        <v>221</v>
      </c>
      <c r="CW182" s="233" t="s">
        <v>221</v>
      </c>
      <c r="CX182" s="290" t="s">
        <v>221</v>
      </c>
      <c r="CY182" s="233" t="s">
        <v>221</v>
      </c>
      <c r="CZ182" s="233" t="s">
        <v>221</v>
      </c>
      <c r="DA182" s="233" t="s">
        <v>221</v>
      </c>
      <c r="DB182" s="233" t="s">
        <v>221</v>
      </c>
      <c r="DC182" s="290" t="s">
        <v>221</v>
      </c>
      <c r="DD182" s="233" t="s">
        <v>221</v>
      </c>
      <c r="DE182" s="233" t="s">
        <v>221</v>
      </c>
      <c r="DF182" s="233" t="s">
        <v>221</v>
      </c>
      <c r="DG182" s="233" t="s">
        <v>221</v>
      </c>
      <c r="DH182" s="290" t="s">
        <v>221</v>
      </c>
    </row>
    <row r="183" spans="1:112" hidden="1" outlineLevel="1" x14ac:dyDescent="0.2">
      <c r="A183" s="98"/>
      <c r="B183" s="100"/>
      <c r="C183" s="58"/>
      <c r="D183" s="58"/>
      <c r="E183" s="58"/>
      <c r="F183" s="58"/>
      <c r="G183" s="415"/>
      <c r="H183" s="58"/>
      <c r="I183" s="58"/>
      <c r="J183" s="58"/>
      <c r="K183" s="58"/>
      <c r="L183" s="415"/>
      <c r="M183" s="58"/>
      <c r="N183" s="58"/>
      <c r="O183" s="58"/>
      <c r="P183" s="58"/>
      <c r="Q183" s="415"/>
      <c r="R183" s="58"/>
      <c r="S183" s="58"/>
      <c r="T183" s="58"/>
      <c r="U183" s="58"/>
      <c r="V183" s="415"/>
      <c r="W183" s="58"/>
      <c r="X183" s="58"/>
      <c r="Y183" s="58"/>
      <c r="Z183" s="58"/>
      <c r="AA183" s="415"/>
      <c r="AB183" s="58"/>
      <c r="AC183" s="58"/>
      <c r="AD183" s="58"/>
      <c r="AE183" s="58"/>
      <c r="AF183" s="415"/>
      <c r="AG183" s="58"/>
      <c r="AH183" s="58"/>
      <c r="AI183" s="58"/>
      <c r="AJ183" s="58"/>
      <c r="AK183" s="345"/>
      <c r="AL183" s="58"/>
      <c r="AM183" s="58"/>
      <c r="AN183" s="58"/>
      <c r="AO183" s="58"/>
      <c r="AP183" s="345"/>
      <c r="AQ183" s="58"/>
      <c r="AR183" s="58"/>
      <c r="AS183" s="58"/>
      <c r="AT183" s="58"/>
      <c r="AU183" s="345"/>
      <c r="AV183" s="303"/>
      <c r="AW183" s="303"/>
      <c r="AX183" s="303"/>
      <c r="AY183" s="303"/>
      <c r="AZ183" s="288"/>
      <c r="BA183" s="231"/>
      <c r="BB183" s="231"/>
      <c r="BC183" s="231"/>
      <c r="BD183" s="231"/>
      <c r="BE183" s="288"/>
      <c r="BF183" s="231"/>
      <c r="BG183" s="231"/>
      <c r="BH183" s="231"/>
      <c r="BI183" s="231"/>
      <c r="BJ183" s="288"/>
      <c r="BK183" s="231"/>
      <c r="BL183" s="231"/>
      <c r="BM183" s="231"/>
      <c r="BN183" s="231"/>
      <c r="BO183" s="288"/>
      <c r="BP183" s="231"/>
      <c r="BQ183" s="231"/>
      <c r="BR183" s="231"/>
      <c r="BS183" s="231"/>
      <c r="BT183" s="288"/>
      <c r="BU183" s="231"/>
      <c r="BV183" s="231"/>
      <c r="BW183" s="231"/>
      <c r="BX183" s="231"/>
      <c r="BY183" s="288"/>
      <c r="BZ183" s="231"/>
      <c r="CA183" s="231"/>
      <c r="CB183" s="231"/>
      <c r="CC183" s="231"/>
      <c r="CD183" s="288"/>
      <c r="CE183" s="231"/>
      <c r="CF183" s="231"/>
      <c r="CG183" s="231"/>
      <c r="CH183" s="231"/>
      <c r="CI183" s="288"/>
      <c r="CJ183" s="231"/>
      <c r="CK183" s="231"/>
      <c r="CL183" s="231"/>
      <c r="CM183" s="231"/>
      <c r="CN183" s="288"/>
      <c r="CO183" s="231"/>
      <c r="CP183" s="231"/>
      <c r="CQ183" s="231"/>
      <c r="CR183" s="231"/>
      <c r="CS183" s="288"/>
      <c r="CT183" s="231"/>
      <c r="CU183" s="231"/>
      <c r="CV183" s="231"/>
      <c r="CW183" s="231"/>
      <c r="CX183" s="288"/>
      <c r="CY183" s="231"/>
      <c r="CZ183" s="231"/>
      <c r="DA183" s="231"/>
      <c r="DB183" s="231"/>
      <c r="DC183" s="288"/>
      <c r="DD183" s="231"/>
      <c r="DE183" s="231"/>
      <c r="DF183" s="231"/>
      <c r="DG183" s="231"/>
      <c r="DH183" s="288"/>
    </row>
    <row r="184" spans="1:112" hidden="1" outlineLevel="1" x14ac:dyDescent="0.2">
      <c r="A184" s="102" t="s">
        <v>236</v>
      </c>
      <c r="B184" s="104"/>
      <c r="C184" s="244"/>
      <c r="D184" s="244"/>
      <c r="E184" s="244"/>
      <c r="F184" s="244"/>
      <c r="G184" s="345"/>
      <c r="H184" s="244">
        <f t="shared" ref="H184:AU184" si="203">+H175+H182</f>
        <v>156</v>
      </c>
      <c r="I184" s="244">
        <f t="shared" si="203"/>
        <v>75</v>
      </c>
      <c r="J184" s="244">
        <f t="shared" si="203"/>
        <v>99</v>
      </c>
      <c r="K184" s="244">
        <f t="shared" si="203"/>
        <v>230</v>
      </c>
      <c r="L184" s="345">
        <f t="shared" si="203"/>
        <v>560</v>
      </c>
      <c r="M184" s="244">
        <f t="shared" si="203"/>
        <v>244</v>
      </c>
      <c r="N184" s="244">
        <f t="shared" si="203"/>
        <v>142</v>
      </c>
      <c r="O184" s="244">
        <f t="shared" si="203"/>
        <v>173</v>
      </c>
      <c r="P184" s="244">
        <f t="shared" si="203"/>
        <v>242</v>
      </c>
      <c r="Q184" s="345">
        <f t="shared" si="203"/>
        <v>801</v>
      </c>
      <c r="R184" s="244">
        <f t="shared" si="203"/>
        <v>178</v>
      </c>
      <c r="S184" s="244">
        <f t="shared" si="203"/>
        <v>154</v>
      </c>
      <c r="T184" s="244">
        <f t="shared" si="203"/>
        <v>176</v>
      </c>
      <c r="U184" s="244">
        <f t="shared" si="203"/>
        <v>244</v>
      </c>
      <c r="V184" s="345">
        <f t="shared" si="203"/>
        <v>752</v>
      </c>
      <c r="W184" s="244">
        <f t="shared" si="203"/>
        <v>167</v>
      </c>
      <c r="X184" s="244">
        <f t="shared" si="203"/>
        <v>194</v>
      </c>
      <c r="Y184" s="244">
        <f t="shared" si="203"/>
        <v>137</v>
      </c>
      <c r="Z184" s="244">
        <f t="shared" si="203"/>
        <v>231</v>
      </c>
      <c r="AA184" s="345">
        <f t="shared" si="203"/>
        <v>729</v>
      </c>
      <c r="AB184" s="244">
        <f t="shared" si="203"/>
        <v>154</v>
      </c>
      <c r="AC184" s="244">
        <f t="shared" si="203"/>
        <v>120</v>
      </c>
      <c r="AD184" s="244">
        <f t="shared" si="203"/>
        <v>168</v>
      </c>
      <c r="AE184" s="244">
        <f t="shared" si="203"/>
        <v>211</v>
      </c>
      <c r="AF184" s="345">
        <f t="shared" si="203"/>
        <v>653</v>
      </c>
      <c r="AG184" s="244">
        <f t="shared" si="203"/>
        <v>175</v>
      </c>
      <c r="AH184" s="244">
        <f t="shared" si="203"/>
        <v>136</v>
      </c>
      <c r="AI184" s="244">
        <f t="shared" si="203"/>
        <v>193</v>
      </c>
      <c r="AJ184" s="244">
        <f t="shared" si="203"/>
        <v>239</v>
      </c>
      <c r="AK184" s="345">
        <f t="shared" si="203"/>
        <v>743</v>
      </c>
      <c r="AL184" s="244">
        <f t="shared" si="203"/>
        <v>174</v>
      </c>
      <c r="AM184" s="244">
        <f t="shared" si="203"/>
        <v>128</v>
      </c>
      <c r="AN184" s="244">
        <f t="shared" si="203"/>
        <v>151</v>
      </c>
      <c r="AO184" s="244">
        <f t="shared" si="203"/>
        <v>240</v>
      </c>
      <c r="AP184" s="345">
        <f t="shared" si="203"/>
        <v>693</v>
      </c>
      <c r="AQ184" s="244">
        <f t="shared" si="203"/>
        <v>186</v>
      </c>
      <c r="AR184" s="244">
        <f t="shared" si="203"/>
        <v>131</v>
      </c>
      <c r="AS184" s="244">
        <f t="shared" si="203"/>
        <v>233</v>
      </c>
      <c r="AT184" s="244">
        <f t="shared" si="203"/>
        <v>261</v>
      </c>
      <c r="AU184" s="345">
        <f t="shared" si="203"/>
        <v>811</v>
      </c>
      <c r="AV184" s="305"/>
      <c r="AW184" s="305"/>
      <c r="AX184" s="305"/>
      <c r="AY184" s="305"/>
      <c r="AZ184" s="290"/>
      <c r="BA184" s="233" t="s">
        <v>221</v>
      </c>
      <c r="BB184" s="233" t="s">
        <v>221</v>
      </c>
      <c r="BC184" s="233" t="s">
        <v>221</v>
      </c>
      <c r="BD184" s="233" t="s">
        <v>221</v>
      </c>
      <c r="BE184" s="290" t="s">
        <v>221</v>
      </c>
      <c r="BF184" s="233" t="s">
        <v>221</v>
      </c>
      <c r="BG184" s="233" t="s">
        <v>221</v>
      </c>
      <c r="BH184" s="233" t="s">
        <v>221</v>
      </c>
      <c r="BI184" s="233" t="s">
        <v>221</v>
      </c>
      <c r="BJ184" s="290" t="s">
        <v>221</v>
      </c>
      <c r="BK184" s="233" t="s">
        <v>221</v>
      </c>
      <c r="BL184" s="233" t="s">
        <v>221</v>
      </c>
      <c r="BM184" s="233" t="s">
        <v>221</v>
      </c>
      <c r="BN184" s="233" t="s">
        <v>221</v>
      </c>
      <c r="BO184" s="290" t="s">
        <v>221</v>
      </c>
      <c r="BP184" s="233" t="s">
        <v>221</v>
      </c>
      <c r="BQ184" s="233" t="s">
        <v>221</v>
      </c>
      <c r="BR184" s="233" t="s">
        <v>221</v>
      </c>
      <c r="BS184" s="233" t="s">
        <v>221</v>
      </c>
      <c r="BT184" s="290" t="s">
        <v>221</v>
      </c>
      <c r="BU184" s="233" t="s">
        <v>221</v>
      </c>
      <c r="BV184" s="233" t="s">
        <v>221</v>
      </c>
      <c r="BW184" s="233" t="s">
        <v>221</v>
      </c>
      <c r="BX184" s="233" t="s">
        <v>221</v>
      </c>
      <c r="BY184" s="290" t="s">
        <v>221</v>
      </c>
      <c r="BZ184" s="233" t="s">
        <v>221</v>
      </c>
      <c r="CA184" s="233" t="s">
        <v>221</v>
      </c>
      <c r="CB184" s="233" t="s">
        <v>221</v>
      </c>
      <c r="CC184" s="233" t="s">
        <v>221</v>
      </c>
      <c r="CD184" s="290" t="s">
        <v>221</v>
      </c>
      <c r="CE184" s="233" t="s">
        <v>221</v>
      </c>
      <c r="CF184" s="233" t="s">
        <v>221</v>
      </c>
      <c r="CG184" s="233" t="s">
        <v>221</v>
      </c>
      <c r="CH184" s="233" t="s">
        <v>221</v>
      </c>
      <c r="CI184" s="290" t="s">
        <v>221</v>
      </c>
      <c r="CJ184" s="233" t="s">
        <v>221</v>
      </c>
      <c r="CK184" s="233" t="s">
        <v>221</v>
      </c>
      <c r="CL184" s="233" t="s">
        <v>221</v>
      </c>
      <c r="CM184" s="233" t="s">
        <v>221</v>
      </c>
      <c r="CN184" s="290" t="s">
        <v>221</v>
      </c>
      <c r="CO184" s="233" t="s">
        <v>221</v>
      </c>
      <c r="CP184" s="233" t="s">
        <v>221</v>
      </c>
      <c r="CQ184" s="233" t="s">
        <v>221</v>
      </c>
      <c r="CR184" s="233" t="s">
        <v>221</v>
      </c>
      <c r="CS184" s="290" t="s">
        <v>221</v>
      </c>
      <c r="CT184" s="233" t="s">
        <v>221</v>
      </c>
      <c r="CU184" s="233" t="s">
        <v>221</v>
      </c>
      <c r="CV184" s="233" t="s">
        <v>221</v>
      </c>
      <c r="CW184" s="233" t="s">
        <v>221</v>
      </c>
      <c r="CX184" s="290" t="s">
        <v>221</v>
      </c>
      <c r="CY184" s="233" t="s">
        <v>221</v>
      </c>
      <c r="CZ184" s="233" t="s">
        <v>221</v>
      </c>
      <c r="DA184" s="233" t="s">
        <v>221</v>
      </c>
      <c r="DB184" s="233" t="s">
        <v>221</v>
      </c>
      <c r="DC184" s="290" t="s">
        <v>221</v>
      </c>
      <c r="DD184" s="233" t="s">
        <v>221</v>
      </c>
      <c r="DE184" s="233" t="s">
        <v>221</v>
      </c>
      <c r="DF184" s="233" t="s">
        <v>221</v>
      </c>
      <c r="DG184" s="233" t="s">
        <v>221</v>
      </c>
      <c r="DH184" s="290" t="s">
        <v>221</v>
      </c>
    </row>
    <row r="185" spans="1:112" hidden="1" outlineLevel="1" x14ac:dyDescent="0.2">
      <c r="A185" s="365" t="s">
        <v>98</v>
      </c>
      <c r="B185" s="171"/>
      <c r="C185" s="245"/>
      <c r="D185" s="245"/>
      <c r="E185" s="245"/>
      <c r="F185" s="245"/>
      <c r="G185" s="291"/>
      <c r="H185" s="245">
        <f>Financials!G74</f>
        <v>156</v>
      </c>
      <c r="I185" s="245">
        <f>Financials!H74</f>
        <v>75</v>
      </c>
      <c r="J185" s="245">
        <f>Financials!I74</f>
        <v>99</v>
      </c>
      <c r="K185" s="245">
        <f>Financials!J74</f>
        <v>230</v>
      </c>
      <c r="L185" s="291">
        <f>Financials!K74</f>
        <v>560</v>
      </c>
      <c r="M185" s="245">
        <f>Financials!L74</f>
        <v>244</v>
      </c>
      <c r="N185" s="245">
        <f>Financials!M74</f>
        <v>142</v>
      </c>
      <c r="O185" s="245">
        <f>Financials!N74</f>
        <v>173</v>
      </c>
      <c r="P185" s="245">
        <f>Financials!O74</f>
        <v>242</v>
      </c>
      <c r="Q185" s="291">
        <f>Financials!P74</f>
        <v>801</v>
      </c>
      <c r="R185" s="245">
        <f>Financials!Q74</f>
        <v>178</v>
      </c>
      <c r="S185" s="245">
        <f>Financials!R74</f>
        <v>154</v>
      </c>
      <c r="T185" s="245">
        <f>Financials!S74</f>
        <v>176</v>
      </c>
      <c r="U185" s="245">
        <f>Financials!T74</f>
        <v>244</v>
      </c>
      <c r="V185" s="291">
        <f>Financials!U74</f>
        <v>752</v>
      </c>
      <c r="W185" s="245">
        <f>Financials!V74</f>
        <v>167</v>
      </c>
      <c r="X185" s="245">
        <f>Financials!W74</f>
        <v>194</v>
      </c>
      <c r="Y185" s="245">
        <f>Financials!X74</f>
        <v>137</v>
      </c>
      <c r="Z185" s="245">
        <f>Financials!Y74</f>
        <v>231</v>
      </c>
      <c r="AA185" s="291">
        <f>Financials!Z74</f>
        <v>729</v>
      </c>
      <c r="AB185" s="245">
        <f>Financials!AA74</f>
        <v>154</v>
      </c>
      <c r="AC185" s="245">
        <f>Financials!AB74</f>
        <v>120</v>
      </c>
      <c r="AD185" s="245">
        <f>Financials!AC74</f>
        <v>168</v>
      </c>
      <c r="AE185" s="245">
        <f>Financials!AD74</f>
        <v>211</v>
      </c>
      <c r="AF185" s="291">
        <f>Financials!AE74</f>
        <v>653</v>
      </c>
      <c r="AG185" s="245">
        <f>Financials!AF74</f>
        <v>175</v>
      </c>
      <c r="AH185" s="245">
        <f>Financials!AG74</f>
        <v>136</v>
      </c>
      <c r="AI185" s="245">
        <f>Financials!AH74</f>
        <v>193</v>
      </c>
      <c r="AJ185" s="245">
        <f>Financials!AI74</f>
        <v>239</v>
      </c>
      <c r="AK185" s="291">
        <f>Financials!AJ74</f>
        <v>743</v>
      </c>
      <c r="AL185" s="245">
        <f>Financials!AK74</f>
        <v>174</v>
      </c>
      <c r="AM185" s="245">
        <f>Financials!AL74</f>
        <v>128</v>
      </c>
      <c r="AN185" s="245">
        <f>Financials!AM74</f>
        <v>151</v>
      </c>
      <c r="AO185" s="245">
        <f>Financials!AN74</f>
        <v>240</v>
      </c>
      <c r="AP185" s="291">
        <f>Financials!AO74</f>
        <v>693</v>
      </c>
      <c r="AQ185" s="245">
        <f>Financials!AP74</f>
        <v>186</v>
      </c>
      <c r="AR185" s="245">
        <f>Financials!AQ74</f>
        <v>131</v>
      </c>
      <c r="AS185" s="245">
        <f>Financials!AR74</f>
        <v>233</v>
      </c>
      <c r="AT185" s="245">
        <f>Financials!AS74</f>
        <v>261</v>
      </c>
      <c r="AU185" s="291">
        <f>Financials!AT74</f>
        <v>811</v>
      </c>
      <c r="AV185" s="388"/>
      <c r="AW185" s="245"/>
      <c r="AX185" s="245"/>
      <c r="AY185" s="245"/>
      <c r="AZ185" s="291"/>
      <c r="BA185" s="119"/>
      <c r="BB185" s="119"/>
      <c r="BC185" s="119"/>
      <c r="BD185" s="119"/>
      <c r="BE185" s="291"/>
      <c r="BF185" s="119"/>
      <c r="BG185" s="119"/>
      <c r="BH185" s="119"/>
      <c r="BI185" s="119"/>
      <c r="BJ185" s="291"/>
      <c r="BK185" s="119"/>
      <c r="BL185" s="119"/>
      <c r="BM185" s="119"/>
      <c r="BN185" s="119"/>
      <c r="BO185" s="291"/>
      <c r="BP185" s="119"/>
      <c r="BQ185" s="119"/>
      <c r="BR185" s="119"/>
      <c r="BS185" s="119"/>
      <c r="BT185" s="291"/>
      <c r="BU185" s="119"/>
      <c r="BV185" s="119"/>
      <c r="BW185" s="119"/>
      <c r="BX185" s="119"/>
      <c r="BY185" s="291"/>
      <c r="BZ185" s="119"/>
      <c r="CA185" s="119"/>
      <c r="CB185" s="119"/>
      <c r="CC185" s="119"/>
      <c r="CD185" s="291"/>
      <c r="CE185" s="119"/>
      <c r="CF185" s="119"/>
      <c r="CG185" s="119"/>
      <c r="CH185" s="119"/>
      <c r="CI185" s="291"/>
      <c r="CJ185" s="119"/>
      <c r="CK185" s="119"/>
      <c r="CL185" s="119"/>
      <c r="CM185" s="119"/>
      <c r="CN185" s="291"/>
      <c r="CO185" s="119"/>
      <c r="CP185" s="119"/>
      <c r="CQ185" s="119"/>
      <c r="CR185" s="119"/>
      <c r="CS185" s="291"/>
      <c r="CT185" s="119"/>
      <c r="CU185" s="119"/>
      <c r="CV185" s="119"/>
      <c r="CW185" s="119"/>
      <c r="CX185" s="291"/>
      <c r="CY185" s="119"/>
      <c r="CZ185" s="119"/>
      <c r="DA185" s="119"/>
      <c r="DB185" s="119"/>
      <c r="DC185" s="291"/>
      <c r="DD185" s="119"/>
      <c r="DE185" s="119"/>
      <c r="DF185" s="119"/>
      <c r="DG185" s="119"/>
      <c r="DH185" s="291"/>
    </row>
    <row r="186" spans="1:112" collapsed="1" x14ac:dyDescent="0.2">
      <c r="A186" s="207"/>
      <c r="B186" s="100"/>
      <c r="C186" s="203"/>
      <c r="D186" s="203"/>
      <c r="E186" s="203"/>
      <c r="F186" s="203"/>
      <c r="G186" s="298"/>
      <c r="H186" s="203"/>
      <c r="I186" s="203"/>
      <c r="J186" s="203"/>
      <c r="K186" s="203"/>
      <c r="L186" s="298"/>
      <c r="M186" s="203"/>
      <c r="N186" s="203"/>
      <c r="O186" s="203"/>
      <c r="P186" s="203"/>
      <c r="Q186" s="298"/>
      <c r="R186" s="203"/>
      <c r="S186" s="203"/>
      <c r="T186" s="203"/>
      <c r="U186" s="203"/>
      <c r="V186" s="298"/>
      <c r="W186" s="203"/>
      <c r="X186" s="203"/>
      <c r="Y186" s="203"/>
      <c r="Z186" s="203"/>
      <c r="AA186" s="298"/>
      <c r="AB186" s="203"/>
      <c r="AC186" s="203"/>
      <c r="AD186" s="203"/>
      <c r="AE186" s="203"/>
      <c r="AF186" s="298"/>
      <c r="AG186" s="203"/>
      <c r="AH186" s="203"/>
      <c r="AI186" s="203"/>
      <c r="AJ186" s="203"/>
      <c r="AK186" s="298"/>
      <c r="AL186" s="203"/>
      <c r="AM186" s="203"/>
      <c r="AN186" s="203"/>
      <c r="AO186" s="203"/>
      <c r="AP186" s="298"/>
      <c r="AQ186" s="203"/>
      <c r="AR186" s="203"/>
      <c r="AS186" s="203"/>
      <c r="AT186" s="203"/>
      <c r="AU186" s="298"/>
      <c r="AV186" s="203"/>
      <c r="AW186" s="203"/>
      <c r="AX186" s="203"/>
      <c r="AY186" s="203"/>
      <c r="AZ186" s="298"/>
      <c r="BA186" s="203"/>
      <c r="BB186" s="200"/>
      <c r="BC186" s="203"/>
      <c r="BD186" s="203"/>
      <c r="BE186" s="298"/>
      <c r="BF186" s="200"/>
      <c r="BG186" s="200"/>
      <c r="BH186" s="200"/>
      <c r="BI186" s="200"/>
      <c r="BJ186" s="298"/>
      <c r="BK186" s="200"/>
      <c r="BL186" s="200"/>
      <c r="BM186" s="200"/>
      <c r="BN186" s="200"/>
      <c r="BO186" s="298"/>
      <c r="BP186" s="203"/>
      <c r="BQ186" s="203"/>
      <c r="BR186" s="203"/>
      <c r="BS186" s="203"/>
      <c r="BT186" s="298"/>
      <c r="BU186" s="203"/>
      <c r="BV186" s="203"/>
      <c r="BW186" s="203"/>
      <c r="BX186" s="203"/>
      <c r="BY186" s="298"/>
      <c r="BZ186" s="203"/>
      <c r="CA186" s="203"/>
      <c r="CB186" s="203"/>
      <c r="CC186" s="203"/>
      <c r="CD186" s="298"/>
      <c r="CE186" s="203"/>
      <c r="CF186" s="203"/>
      <c r="CG186" s="203"/>
      <c r="CH186" s="203"/>
      <c r="CI186" s="298"/>
      <c r="CJ186" s="203"/>
      <c r="CK186" s="203"/>
      <c r="CL186" s="203"/>
      <c r="CM186" s="203"/>
      <c r="CN186" s="298"/>
      <c r="CO186" s="203"/>
      <c r="CP186" s="203"/>
      <c r="CQ186" s="203"/>
      <c r="CR186" s="203"/>
      <c r="CS186" s="298"/>
      <c r="CT186" s="203"/>
      <c r="CU186" s="203"/>
      <c r="CV186" s="203"/>
      <c r="CW186" s="203"/>
      <c r="CX186" s="298"/>
      <c r="CY186" s="203"/>
      <c r="CZ186" s="203"/>
      <c r="DA186" s="203"/>
      <c r="DB186" s="203"/>
      <c r="DC186" s="298"/>
      <c r="DD186" s="203"/>
      <c r="DE186" s="203"/>
      <c r="DF186" s="203"/>
      <c r="DG186" s="203"/>
      <c r="DH186" s="298"/>
    </row>
    <row r="187" spans="1:112" x14ac:dyDescent="0.2">
      <c r="A187" s="368" t="s">
        <v>343</v>
      </c>
      <c r="B187" s="100"/>
      <c r="C187" s="208"/>
      <c r="D187" s="208"/>
      <c r="E187" s="208"/>
      <c r="F187" s="208"/>
      <c r="G187" s="193"/>
      <c r="H187" s="208"/>
      <c r="I187" s="208"/>
      <c r="J187" s="208"/>
      <c r="K187" s="208"/>
      <c r="L187" s="193"/>
      <c r="M187" s="208"/>
      <c r="N187" s="208"/>
      <c r="O187" s="208"/>
      <c r="P187" s="208"/>
      <c r="Q187" s="193"/>
      <c r="R187" s="208"/>
      <c r="S187" s="208"/>
      <c r="T187" s="208"/>
      <c r="U187" s="208"/>
      <c r="V187" s="193"/>
      <c r="W187" s="208"/>
      <c r="X187" s="208"/>
      <c r="Y187" s="208"/>
      <c r="Z187" s="208"/>
      <c r="AA187" s="193"/>
      <c r="AB187" s="208"/>
      <c r="AC187" s="208"/>
      <c r="AD187" s="208"/>
      <c r="AE187" s="208"/>
      <c r="AF187" s="193"/>
      <c r="AG187" s="110"/>
      <c r="AH187" s="110"/>
      <c r="AI187" s="110"/>
      <c r="AJ187" s="110"/>
      <c r="AK187" s="193"/>
      <c r="AL187" s="110"/>
      <c r="AM187" s="110"/>
      <c r="AN187" s="110"/>
      <c r="AO187" s="110"/>
      <c r="AP187" s="193"/>
      <c r="AQ187" s="110"/>
      <c r="AR187" s="110"/>
      <c r="AS187" s="110"/>
      <c r="AT187" s="110"/>
      <c r="AU187" s="193"/>
      <c r="AV187" s="110"/>
      <c r="AW187" s="110"/>
      <c r="AX187" s="110"/>
      <c r="AY187" s="110"/>
      <c r="AZ187" s="193"/>
      <c r="BA187" s="110"/>
      <c r="BB187" s="110"/>
      <c r="BC187" s="110"/>
      <c r="BD187" s="110"/>
      <c r="BE187" s="193"/>
      <c r="BF187" s="110"/>
      <c r="BG187" s="110"/>
      <c r="BH187" s="110"/>
      <c r="BI187" s="110"/>
      <c r="BJ187" s="193"/>
      <c r="BK187" s="110"/>
      <c r="BL187" s="110"/>
      <c r="BM187" s="110"/>
      <c r="BN187" s="110"/>
      <c r="BO187" s="193"/>
      <c r="BP187" s="110"/>
      <c r="BQ187" s="110"/>
      <c r="BR187" s="110"/>
      <c r="BS187" s="110"/>
      <c r="BT187" s="193"/>
      <c r="BU187" s="110"/>
      <c r="BV187" s="110"/>
      <c r="BW187" s="110"/>
      <c r="BX187" s="110"/>
      <c r="BY187" s="193"/>
      <c r="BZ187" s="110"/>
      <c r="CA187" s="110"/>
      <c r="CB187" s="110"/>
      <c r="CC187" s="110"/>
      <c r="CD187" s="193"/>
      <c r="CE187" s="110"/>
      <c r="CF187" s="110"/>
      <c r="CG187" s="110"/>
      <c r="CH187" s="110"/>
      <c r="CI187" s="193"/>
      <c r="CJ187" s="110"/>
      <c r="CK187" s="110"/>
      <c r="CL187" s="110"/>
      <c r="CM187" s="110"/>
      <c r="CN187" s="193"/>
      <c r="CO187" s="110"/>
      <c r="CP187" s="110"/>
      <c r="CQ187" s="110"/>
      <c r="CR187" s="110"/>
      <c r="CS187" s="193"/>
      <c r="CT187" s="110"/>
      <c r="CU187" s="110"/>
      <c r="CV187" s="110"/>
      <c r="CW187" s="110"/>
      <c r="CX187" s="193"/>
      <c r="CY187" s="110"/>
      <c r="CZ187" s="110"/>
      <c r="DA187" s="110"/>
      <c r="DB187" s="110"/>
      <c r="DC187" s="193"/>
      <c r="DD187" s="110"/>
      <c r="DE187" s="110"/>
      <c r="DF187" s="110"/>
      <c r="DG187" s="110"/>
      <c r="DH187" s="193"/>
    </row>
    <row r="188" spans="1:112" ht="12.75" customHeight="1" x14ac:dyDescent="0.2">
      <c r="A188" s="101" t="s">
        <v>217</v>
      </c>
      <c r="B188" s="100"/>
      <c r="C188" s="213" t="s">
        <v>221</v>
      </c>
      <c r="D188" s="213" t="s">
        <v>221</v>
      </c>
      <c r="E188" s="213" t="s">
        <v>221</v>
      </c>
      <c r="F188" s="213" t="s">
        <v>221</v>
      </c>
      <c r="G188" s="284" t="s">
        <v>221</v>
      </c>
      <c r="H188" s="213" t="s">
        <v>221</v>
      </c>
      <c r="I188" s="213" t="s">
        <v>221</v>
      </c>
      <c r="J188" s="213" t="s">
        <v>221</v>
      </c>
      <c r="K188" s="213" t="s">
        <v>221</v>
      </c>
      <c r="L188" s="284" t="s">
        <v>221</v>
      </c>
      <c r="M188" s="213" t="s">
        <v>221</v>
      </c>
      <c r="N188" s="213" t="s">
        <v>221</v>
      </c>
      <c r="O188" s="213" t="s">
        <v>221</v>
      </c>
      <c r="P188" s="213" t="s">
        <v>221</v>
      </c>
      <c r="Q188" s="284" t="s">
        <v>221</v>
      </c>
      <c r="R188" s="213" t="s">
        <v>221</v>
      </c>
      <c r="S188" s="213" t="s">
        <v>221</v>
      </c>
      <c r="T188" s="213" t="s">
        <v>221</v>
      </c>
      <c r="U188" s="213" t="s">
        <v>221</v>
      </c>
      <c r="V188" s="284" t="s">
        <v>221</v>
      </c>
      <c r="W188" s="213" t="s">
        <v>221</v>
      </c>
      <c r="X188" s="213" t="s">
        <v>221</v>
      </c>
      <c r="Y188" s="213" t="s">
        <v>221</v>
      </c>
      <c r="Z188" s="213" t="s">
        <v>221</v>
      </c>
      <c r="AA188" s="284" t="s">
        <v>221</v>
      </c>
      <c r="AB188" s="213" t="s">
        <v>221</v>
      </c>
      <c r="AC188" s="213" t="s">
        <v>221</v>
      </c>
      <c r="AD188" s="213" t="s">
        <v>221</v>
      </c>
      <c r="AE188" s="213" t="s">
        <v>221</v>
      </c>
      <c r="AF188" s="284" t="s">
        <v>221</v>
      </c>
      <c r="AG188" s="47">
        <f t="shared" ref="AG188:AT188" si="204">AG154/AG5</f>
        <v>0.24242424242424243</v>
      </c>
      <c r="AH188" s="47">
        <f t="shared" si="204"/>
        <v>0.1905940594059406</v>
      </c>
      <c r="AI188" s="47">
        <f t="shared" si="204"/>
        <v>0.23290598290598291</v>
      </c>
      <c r="AJ188" s="47">
        <f t="shared" si="204"/>
        <v>0.21029082774049218</v>
      </c>
      <c r="AK188" s="185">
        <f t="shared" si="204"/>
        <v>0.2201010668163953</v>
      </c>
      <c r="AL188" s="47">
        <f t="shared" si="204"/>
        <v>0.23667377398720682</v>
      </c>
      <c r="AM188" s="47">
        <f t="shared" si="204"/>
        <v>0.18269230769230768</v>
      </c>
      <c r="AN188" s="47">
        <f t="shared" si="204"/>
        <v>0.18629550321199143</v>
      </c>
      <c r="AO188" s="47">
        <f t="shared" si="204"/>
        <v>0.18494623655913978</v>
      </c>
      <c r="AP188" s="185">
        <f t="shared" si="204"/>
        <v>0.19812878370941112</v>
      </c>
      <c r="AQ188" s="47">
        <f t="shared" si="204"/>
        <v>0.23613963039014374</v>
      </c>
      <c r="AR188" s="47">
        <f t="shared" si="204"/>
        <v>0.18886198547215496</v>
      </c>
      <c r="AS188" s="47">
        <f t="shared" si="204"/>
        <v>0.2356687898089172</v>
      </c>
      <c r="AT188" s="47">
        <f t="shared" si="204"/>
        <v>0.22795698924731184</v>
      </c>
      <c r="AU188" s="185">
        <f t="shared" ref="AU188:AW191" si="205">AU154/AU5</f>
        <v>0.22331154684095861</v>
      </c>
      <c r="AV188" s="47">
        <f t="shared" si="205"/>
        <v>0.2621145374449339</v>
      </c>
      <c r="AW188" s="47">
        <f t="shared" si="205"/>
        <v>0.18518518518518517</v>
      </c>
      <c r="AX188" s="47">
        <f t="shared" ref="AX188:AZ191" si="206">AX154/AX5</f>
        <v>0.23677581863979849</v>
      </c>
      <c r="AY188" s="47">
        <f t="shared" si="206"/>
        <v>0.21518987341772153</v>
      </c>
      <c r="AZ188" s="185">
        <f t="shared" si="206"/>
        <v>0.22660098522167488</v>
      </c>
      <c r="BA188" s="47">
        <f t="shared" ref="BA188:BB191" si="207">BA154/BA5</f>
        <v>0.26948775055679286</v>
      </c>
      <c r="BB188" s="47">
        <f t="shared" si="207"/>
        <v>0.1807909604519774</v>
      </c>
      <c r="BC188" s="47">
        <f t="shared" ref="BC188:BF191" si="208">BC154/BC5</f>
        <v>0.21867321867321868</v>
      </c>
      <c r="BD188" s="47">
        <f t="shared" si="208"/>
        <v>0.20048899755501223</v>
      </c>
      <c r="BE188" s="185">
        <f t="shared" si="208"/>
        <v>0.21988882025941939</v>
      </c>
      <c r="BF188" s="47">
        <f t="shared" si="208"/>
        <v>0.24601366742596811</v>
      </c>
      <c r="BG188" s="47">
        <f t="shared" ref="BG188:BJ191" si="209">BG154/BG5</f>
        <v>0.21081081081081082</v>
      </c>
      <c r="BH188" s="47">
        <f t="shared" si="209"/>
        <v>0.22595078299776286</v>
      </c>
      <c r="BI188" s="47">
        <f t="shared" si="209"/>
        <v>0.21559633027522937</v>
      </c>
      <c r="BJ188" s="185">
        <f t="shared" si="209"/>
        <v>0.225177304964539</v>
      </c>
      <c r="BK188" s="47">
        <f t="shared" ref="BK188:BL191" si="210">BK154/BK5</f>
        <v>0.25423728813559321</v>
      </c>
      <c r="BL188" s="47">
        <f t="shared" si="210"/>
        <v>0.23529411764705882</v>
      </c>
      <c r="BM188" s="47">
        <f t="shared" ref="BM188:BO191" si="211">BM154/BM5</f>
        <v>0.21806167400881057</v>
      </c>
      <c r="BN188" s="47">
        <f t="shared" si="211"/>
        <v>0.23379629629629631</v>
      </c>
      <c r="BO188" s="185">
        <f t="shared" si="211"/>
        <v>0.23555804823331464</v>
      </c>
      <c r="BP188" s="47">
        <f t="shared" ref="BP188:BQ190" si="212">BP154/BP5</f>
        <v>0.27348643006263046</v>
      </c>
      <c r="BQ188" s="47">
        <f t="shared" si="212"/>
        <v>0.23379629629629631</v>
      </c>
      <c r="BR188" s="47">
        <f t="shared" ref="BR188:BT191" si="213">BR154/BR5</f>
        <v>0.21281464530892449</v>
      </c>
      <c r="BS188" s="47">
        <f t="shared" si="213"/>
        <v>0.24065420560747663</v>
      </c>
      <c r="BT188" s="185">
        <f>BT154/BT5</f>
        <v>0.240990990990991</v>
      </c>
      <c r="BU188" s="47">
        <f t="shared" ref="BU188:BV191" si="214">BU154/BU5</f>
        <v>0.26382978723404255</v>
      </c>
      <c r="BV188" s="47">
        <f t="shared" si="214"/>
        <v>0.23937360178970918</v>
      </c>
      <c r="BW188" s="47">
        <f t="shared" ref="BW188:CC188" si="215">BW154/BW5</f>
        <v>0.22624434389140272</v>
      </c>
      <c r="BX188" s="47">
        <f t="shared" si="215"/>
        <v>0.24516129032258063</v>
      </c>
      <c r="BY188" s="185">
        <f t="shared" si="215"/>
        <v>0.24396929824561403</v>
      </c>
      <c r="BZ188" s="47">
        <f t="shared" si="215"/>
        <v>0.29979879275653926</v>
      </c>
      <c r="CA188" s="47">
        <f t="shared" si="215"/>
        <v>0.26914660831509846</v>
      </c>
      <c r="CB188" s="47">
        <f t="shared" si="215"/>
        <v>0.26236559139784948</v>
      </c>
      <c r="CC188" s="47">
        <f t="shared" si="215"/>
        <v>0.23732251521298176</v>
      </c>
      <c r="CD188" s="185">
        <f t="shared" ref="CD188:CE191" si="216">CD154/CD5</f>
        <v>0.26725941422594141</v>
      </c>
      <c r="CE188" s="47">
        <f t="shared" si="216"/>
        <v>0.30711610486891383</v>
      </c>
      <c r="CF188" s="47">
        <f t="shared" ref="CF188:CJ191" si="217">CF154/CF5</f>
        <v>0.22174840085287847</v>
      </c>
      <c r="CG188" s="47">
        <f t="shared" si="217"/>
        <v>0.26559356136820927</v>
      </c>
      <c r="CH188" s="47">
        <f t="shared" si="217"/>
        <v>0.2450199203187251</v>
      </c>
      <c r="CI188" s="185">
        <f>CI154/CI5</f>
        <v>0.26123876123876122</v>
      </c>
      <c r="CJ188" s="47">
        <f t="shared" ref="CJ188:CK188" si="218">CJ154/CJ5</f>
        <v>0.30769230769230771</v>
      </c>
      <c r="CK188" s="47">
        <f t="shared" si="218"/>
        <v>0.25635593220338981</v>
      </c>
      <c r="CL188" s="47">
        <f t="shared" ref="CL188:CL191" si="219">CG188+(CL214/10000)</f>
        <v>0.26459356136820927</v>
      </c>
      <c r="CM188" s="47">
        <f>CM154/CM5</f>
        <v>0.25166241233729536</v>
      </c>
      <c r="CN188" s="185">
        <f t="shared" ref="CN188:CQ191" si="220">CI188+(CN214/10000)</f>
        <v>0.27123876123876123</v>
      </c>
      <c r="CO188" s="47">
        <f t="shared" si="220"/>
        <v>0.31269230769230771</v>
      </c>
      <c r="CP188" s="47">
        <f t="shared" si="220"/>
        <v>0.25135593220338981</v>
      </c>
      <c r="CQ188" s="47">
        <f t="shared" si="220"/>
        <v>0.27059356136820928</v>
      </c>
      <c r="CR188" s="47">
        <f>CR154/CR5</f>
        <v>0.25285584830652408</v>
      </c>
      <c r="CS188" s="185">
        <f t="shared" ref="CS188:CV191" si="221">CN188+(CS214/10000)</f>
        <v>0.27323876123876123</v>
      </c>
      <c r="CT188" s="47">
        <f t="shared" si="221"/>
        <v>0.31569230769230772</v>
      </c>
      <c r="CU188" s="47">
        <f t="shared" si="221"/>
        <v>0.25435593220338981</v>
      </c>
      <c r="CV188" s="47">
        <f t="shared" si="221"/>
        <v>0.27359356136820928</v>
      </c>
      <c r="CW188" s="47">
        <f>CW154/CW5</f>
        <v>0.25585584830652397</v>
      </c>
      <c r="CX188" s="185">
        <f t="shared" ref="CX188:DA191" si="222">CS188+(CX214/10000)</f>
        <v>0.27623876123876123</v>
      </c>
      <c r="CY188" s="47">
        <f t="shared" si="222"/>
        <v>0.31849230769230774</v>
      </c>
      <c r="CZ188" s="47">
        <f t="shared" si="222"/>
        <v>0.25715593220338984</v>
      </c>
      <c r="DA188" s="47">
        <f t="shared" si="222"/>
        <v>0.27639356136820931</v>
      </c>
      <c r="DB188" s="47">
        <f>DB154/DB5</f>
        <v>0.25865584830652394</v>
      </c>
      <c r="DC188" s="185">
        <f t="shared" ref="DC188:DF191" si="223">CX188+(DC214/10000)</f>
        <v>0.27903876123876126</v>
      </c>
      <c r="DD188" s="47">
        <f t="shared" si="223"/>
        <v>0.32099230769230774</v>
      </c>
      <c r="DE188" s="47">
        <f t="shared" si="223"/>
        <v>0.25965593220338984</v>
      </c>
      <c r="DF188" s="47">
        <f t="shared" si="223"/>
        <v>0.27889356136820931</v>
      </c>
      <c r="DG188" s="47">
        <f>DG154/DG5</f>
        <v>0.261155848306524</v>
      </c>
      <c r="DH188" s="185">
        <f>DC188+(DH214/10000)</f>
        <v>0.28153876123876126</v>
      </c>
    </row>
    <row r="189" spans="1:112" ht="12.75" customHeight="1" x14ac:dyDescent="0.2">
      <c r="A189" s="101" t="s">
        <v>218</v>
      </c>
      <c r="B189" s="100"/>
      <c r="C189" s="213" t="s">
        <v>221</v>
      </c>
      <c r="D189" s="213" t="s">
        <v>221</v>
      </c>
      <c r="E189" s="213" t="s">
        <v>221</v>
      </c>
      <c r="F189" s="213" t="s">
        <v>221</v>
      </c>
      <c r="G189" s="284" t="s">
        <v>221</v>
      </c>
      <c r="H189" s="213" t="s">
        <v>221</v>
      </c>
      <c r="I189" s="213" t="s">
        <v>221</v>
      </c>
      <c r="J189" s="213" t="s">
        <v>221</v>
      </c>
      <c r="K189" s="213" t="s">
        <v>221</v>
      </c>
      <c r="L189" s="284" t="s">
        <v>221</v>
      </c>
      <c r="M189" s="213" t="s">
        <v>221</v>
      </c>
      <c r="N189" s="213" t="s">
        <v>221</v>
      </c>
      <c r="O189" s="213" t="s">
        <v>221</v>
      </c>
      <c r="P189" s="213" t="s">
        <v>221</v>
      </c>
      <c r="Q189" s="284" t="s">
        <v>221</v>
      </c>
      <c r="R189" s="213" t="s">
        <v>221</v>
      </c>
      <c r="S189" s="213" t="s">
        <v>221</v>
      </c>
      <c r="T189" s="213" t="s">
        <v>221</v>
      </c>
      <c r="U189" s="213" t="s">
        <v>221</v>
      </c>
      <c r="V189" s="284" t="s">
        <v>221</v>
      </c>
      <c r="W189" s="213" t="s">
        <v>221</v>
      </c>
      <c r="X189" s="213" t="s">
        <v>221</v>
      </c>
      <c r="Y189" s="213" t="s">
        <v>221</v>
      </c>
      <c r="Z189" s="213" t="s">
        <v>221</v>
      </c>
      <c r="AA189" s="284" t="s">
        <v>221</v>
      </c>
      <c r="AB189" s="213" t="s">
        <v>221</v>
      </c>
      <c r="AC189" s="213" t="s">
        <v>221</v>
      </c>
      <c r="AD189" s="213" t="s">
        <v>221</v>
      </c>
      <c r="AE189" s="213" t="s">
        <v>221</v>
      </c>
      <c r="AF189" s="284" t="s">
        <v>221</v>
      </c>
      <c r="AG189" s="47">
        <f t="shared" ref="AG189:AT189" si="224">AG155/AG6</f>
        <v>9.6774193548387094E-2</v>
      </c>
      <c r="AH189" s="47">
        <f t="shared" si="224"/>
        <v>8.1232492997198882E-2</v>
      </c>
      <c r="AI189" s="47">
        <f t="shared" si="224"/>
        <v>0.13580246913580246</v>
      </c>
      <c r="AJ189" s="47">
        <f t="shared" si="224"/>
        <v>0.20916334661354583</v>
      </c>
      <c r="AK189" s="185">
        <f t="shared" si="224"/>
        <v>0.13753056234718827</v>
      </c>
      <c r="AL189" s="47">
        <f t="shared" si="224"/>
        <v>6.5104166666666671E-2</v>
      </c>
      <c r="AM189" s="47">
        <f t="shared" si="224"/>
        <v>9.668508287292818E-2</v>
      </c>
      <c r="AN189" s="47">
        <f t="shared" si="224"/>
        <v>0.12106537530266344</v>
      </c>
      <c r="AO189" s="47">
        <f t="shared" si="224"/>
        <v>0.21335807050092764</v>
      </c>
      <c r="AP189" s="185">
        <f t="shared" si="224"/>
        <v>0.13250883392226148</v>
      </c>
      <c r="AQ189" s="47">
        <f t="shared" si="224"/>
        <v>0.14553990610328638</v>
      </c>
      <c r="AR189" s="47">
        <f t="shared" si="224"/>
        <v>7.6271186440677971E-2</v>
      </c>
      <c r="AS189" s="47">
        <f t="shared" si="224"/>
        <v>0.19164619164619165</v>
      </c>
      <c r="AT189" s="47">
        <f t="shared" si="224"/>
        <v>0.22676579925650558</v>
      </c>
      <c r="AU189" s="185">
        <f t="shared" si="205"/>
        <v>0.16743916570104286</v>
      </c>
      <c r="AV189" s="47">
        <f t="shared" si="205"/>
        <v>0.14435695538057744</v>
      </c>
      <c r="AW189" s="47">
        <f>AW155/AW6</f>
        <v>8.0838323353293412E-2</v>
      </c>
      <c r="AX189" s="47">
        <f t="shared" si="206"/>
        <v>0.17647058823529413</v>
      </c>
      <c r="AY189" s="47">
        <f t="shared" si="206"/>
        <v>0.25185185185185183</v>
      </c>
      <c r="AZ189" s="185">
        <f t="shared" si="206"/>
        <v>0.17438364401683704</v>
      </c>
      <c r="BA189" s="47">
        <f t="shared" si="207"/>
        <v>0.14971751412429379</v>
      </c>
      <c r="BB189" s="47">
        <f t="shared" si="207"/>
        <v>7.8125E-2</v>
      </c>
      <c r="BC189" s="47">
        <f t="shared" si="208"/>
        <v>0.18527918781725888</v>
      </c>
      <c r="BD189" s="47">
        <f t="shared" si="208"/>
        <v>0.23388581952117865</v>
      </c>
      <c r="BE189" s="185">
        <f t="shared" si="208"/>
        <v>0.17256362507759157</v>
      </c>
      <c r="BF189" s="47">
        <f t="shared" si="208"/>
        <v>0.11475409836065574</v>
      </c>
      <c r="BG189" s="47">
        <f t="shared" si="209"/>
        <v>0.10179640718562874</v>
      </c>
      <c r="BH189" s="47">
        <f t="shared" si="209"/>
        <v>0.18465227817745802</v>
      </c>
      <c r="BI189" s="47">
        <f t="shared" si="209"/>
        <v>0.25939177101967797</v>
      </c>
      <c r="BJ189" s="185">
        <f t="shared" si="209"/>
        <v>0.17780429594272076</v>
      </c>
      <c r="BK189" s="47">
        <f t="shared" si="210"/>
        <v>0.14084507042253522</v>
      </c>
      <c r="BL189" s="47">
        <f t="shared" si="210"/>
        <v>0.15686274509803921</v>
      </c>
      <c r="BM189" s="47">
        <f t="shared" si="211"/>
        <v>0.18401937046004843</v>
      </c>
      <c r="BN189" s="47">
        <f t="shared" si="211"/>
        <v>0.27112676056338031</v>
      </c>
      <c r="BO189" s="185">
        <f t="shared" si="211"/>
        <v>0.1984642646190195</v>
      </c>
      <c r="BP189" s="47">
        <f t="shared" si="212"/>
        <v>0.13978494623655913</v>
      </c>
      <c r="BQ189" s="47">
        <f t="shared" si="212"/>
        <v>0.11647727272727272</v>
      </c>
      <c r="BR189" s="47">
        <f t="shared" si="213"/>
        <v>0.17757009345794392</v>
      </c>
      <c r="BS189" s="47">
        <f t="shared" si="213"/>
        <v>0.28186714542190305</v>
      </c>
      <c r="BT189" s="185">
        <f t="shared" si="213"/>
        <v>0.19075482738443533</v>
      </c>
      <c r="BU189" s="47">
        <f t="shared" si="214"/>
        <v>0.1326530612244898</v>
      </c>
      <c r="BV189" s="47">
        <f t="shared" si="214"/>
        <v>0.13746630727762804</v>
      </c>
      <c r="BW189" s="47">
        <f t="shared" ref="BW189:BY191" si="225">BW155/BW6</f>
        <v>0.22616407982261641</v>
      </c>
      <c r="BX189" s="47">
        <f t="shared" si="225"/>
        <v>0.29310344827586204</v>
      </c>
      <c r="BY189" s="185">
        <f t="shared" si="225"/>
        <v>0.20903010033444816</v>
      </c>
      <c r="BZ189" s="47">
        <f t="shared" ref="BZ189:CB191" si="226">BZ155/BZ6</f>
        <v>0.19951338199513383</v>
      </c>
      <c r="CA189" s="47">
        <f t="shared" si="226"/>
        <v>0.17866666666666667</v>
      </c>
      <c r="CB189" s="47">
        <f t="shared" si="226"/>
        <v>0.24197002141327623</v>
      </c>
      <c r="CC189" s="47">
        <f>CC155/CC6</f>
        <v>0.27257799671592775</v>
      </c>
      <c r="CD189" s="185">
        <f t="shared" si="216"/>
        <v>0.22986036519871106</v>
      </c>
      <c r="CE189" s="47">
        <f t="shared" si="216"/>
        <v>0.16350710900473933</v>
      </c>
      <c r="CF189" s="47">
        <f t="shared" si="217"/>
        <v>0.16864608076009502</v>
      </c>
      <c r="CG189" s="47">
        <f t="shared" si="217"/>
        <v>0.21810699588477367</v>
      </c>
      <c r="CH189" s="47">
        <f t="shared" si="217"/>
        <v>0.27373417721518989</v>
      </c>
      <c r="CI189" s="185">
        <f t="shared" si="217"/>
        <v>0.21366649668536461</v>
      </c>
      <c r="CJ189" s="47">
        <f t="shared" si="217"/>
        <v>0.1655328798185941</v>
      </c>
      <c r="CK189" s="47">
        <f t="shared" ref="CK189" si="227">CK155/CK6</f>
        <v>0.13170731707317074</v>
      </c>
      <c r="CL189" s="47">
        <f t="shared" si="219"/>
        <v>0.20710699588477366</v>
      </c>
      <c r="CM189" s="47">
        <f>CM155/CM6</f>
        <v>0.25182229220566232</v>
      </c>
      <c r="CN189" s="185">
        <f t="shared" si="220"/>
        <v>0.19766649668536462</v>
      </c>
      <c r="CO189" s="47">
        <f t="shared" si="220"/>
        <v>0.15053287981859409</v>
      </c>
      <c r="CP189" s="47">
        <f t="shared" si="220"/>
        <v>0.12370731707317073</v>
      </c>
      <c r="CQ189" s="47">
        <f t="shared" si="220"/>
        <v>0.19910699588477365</v>
      </c>
      <c r="CR189" s="47">
        <f>CR155/CR6</f>
        <v>0.2473896217451759</v>
      </c>
      <c r="CS189" s="185">
        <f t="shared" si="221"/>
        <v>0.18766649668536461</v>
      </c>
      <c r="CT189" s="47">
        <f t="shared" si="221"/>
        <v>0.1615328798185941</v>
      </c>
      <c r="CU189" s="47">
        <f t="shared" si="221"/>
        <v>0.13470731707317074</v>
      </c>
      <c r="CV189" s="47">
        <f t="shared" si="221"/>
        <v>0.21010699588477366</v>
      </c>
      <c r="CW189" s="47">
        <f>CW155/CW6</f>
        <v>0.25838962174517582</v>
      </c>
      <c r="CX189" s="185">
        <f t="shared" si="222"/>
        <v>0.19866649668536462</v>
      </c>
      <c r="CY189" s="47">
        <f t="shared" si="222"/>
        <v>0.1643328798185941</v>
      </c>
      <c r="CZ189" s="47">
        <f t="shared" si="222"/>
        <v>0.13750731707317074</v>
      </c>
      <c r="DA189" s="47">
        <f t="shared" si="222"/>
        <v>0.21290699588477366</v>
      </c>
      <c r="DB189" s="47">
        <f>DB155/DB6</f>
        <v>0.2611896217451759</v>
      </c>
      <c r="DC189" s="185">
        <f t="shared" si="223"/>
        <v>0.20146649668536462</v>
      </c>
      <c r="DD189" s="47">
        <f t="shared" si="223"/>
        <v>0.1668328798185941</v>
      </c>
      <c r="DE189" s="47">
        <f t="shared" si="223"/>
        <v>0.14000731707317074</v>
      </c>
      <c r="DF189" s="47">
        <f t="shared" si="223"/>
        <v>0.21540699588477366</v>
      </c>
      <c r="DG189" s="47">
        <f>DG155/DG6</f>
        <v>0.26368962174517591</v>
      </c>
      <c r="DH189" s="185">
        <f>DC189+(DH215/10000)</f>
        <v>0.20396649668536462</v>
      </c>
    </row>
    <row r="190" spans="1:112" ht="12.75" customHeight="1" x14ac:dyDescent="0.2">
      <c r="A190" s="101" t="s">
        <v>219</v>
      </c>
      <c r="B190" s="100"/>
      <c r="C190" s="213" t="s">
        <v>221</v>
      </c>
      <c r="D190" s="213" t="s">
        <v>221</v>
      </c>
      <c r="E190" s="213" t="s">
        <v>221</v>
      </c>
      <c r="F190" s="213" t="s">
        <v>221</v>
      </c>
      <c r="G190" s="284" t="s">
        <v>221</v>
      </c>
      <c r="H190" s="213" t="s">
        <v>221</v>
      </c>
      <c r="I190" s="213" t="s">
        <v>221</v>
      </c>
      <c r="J190" s="213" t="s">
        <v>221</v>
      </c>
      <c r="K190" s="213" t="s">
        <v>221</v>
      </c>
      <c r="L190" s="284" t="s">
        <v>221</v>
      </c>
      <c r="M190" s="213" t="s">
        <v>221</v>
      </c>
      <c r="N190" s="213" t="s">
        <v>221</v>
      </c>
      <c r="O190" s="213" t="s">
        <v>221</v>
      </c>
      <c r="P190" s="213" t="s">
        <v>221</v>
      </c>
      <c r="Q190" s="284" t="s">
        <v>221</v>
      </c>
      <c r="R190" s="213" t="s">
        <v>221</v>
      </c>
      <c r="S190" s="213" t="s">
        <v>221</v>
      </c>
      <c r="T190" s="213" t="s">
        <v>221</v>
      </c>
      <c r="U190" s="213" t="s">
        <v>221</v>
      </c>
      <c r="V190" s="284" t="s">
        <v>221</v>
      </c>
      <c r="W190" s="213" t="s">
        <v>221</v>
      </c>
      <c r="X190" s="213" t="s">
        <v>221</v>
      </c>
      <c r="Y190" s="213" t="s">
        <v>221</v>
      </c>
      <c r="Z190" s="213" t="s">
        <v>221</v>
      </c>
      <c r="AA190" s="284" t="s">
        <v>221</v>
      </c>
      <c r="AB190" s="213" t="s">
        <v>221</v>
      </c>
      <c r="AC190" s="213" t="s">
        <v>221</v>
      </c>
      <c r="AD190" s="213" t="s">
        <v>221</v>
      </c>
      <c r="AE190" s="213" t="s">
        <v>221</v>
      </c>
      <c r="AF190" s="284" t="s">
        <v>221</v>
      </c>
      <c r="AG190" s="47">
        <f t="shared" ref="AG190:AT190" si="228">AG156/AG7</f>
        <v>0.34166666666666667</v>
      </c>
      <c r="AH190" s="47">
        <f t="shared" si="228"/>
        <v>0.38983050847457629</v>
      </c>
      <c r="AI190" s="47">
        <f t="shared" si="228"/>
        <v>0.36363636363636365</v>
      </c>
      <c r="AJ190" s="47">
        <f t="shared" si="228"/>
        <v>0.36170212765957449</v>
      </c>
      <c r="AK190" s="185">
        <f t="shared" si="228"/>
        <v>0.36399217221135027</v>
      </c>
      <c r="AL190" s="47">
        <f t="shared" si="228"/>
        <v>0.37313432835820898</v>
      </c>
      <c r="AM190" s="47">
        <f t="shared" si="228"/>
        <v>0.31205673758865249</v>
      </c>
      <c r="AN190" s="47">
        <f t="shared" si="228"/>
        <v>0.28431372549019607</v>
      </c>
      <c r="AO190" s="47">
        <f t="shared" si="228"/>
        <v>0.26903553299492383</v>
      </c>
      <c r="AP190" s="185">
        <f t="shared" si="228"/>
        <v>0.30325443786982248</v>
      </c>
      <c r="AQ190" s="47">
        <f t="shared" si="228"/>
        <v>0.28865979381443296</v>
      </c>
      <c r="AR190" s="47">
        <f t="shared" si="228"/>
        <v>0.34715025906735753</v>
      </c>
      <c r="AS190" s="47">
        <f t="shared" si="228"/>
        <v>0.34883720930232559</v>
      </c>
      <c r="AT190" s="47">
        <f t="shared" si="228"/>
        <v>0.34597156398104267</v>
      </c>
      <c r="AU190" s="185">
        <f t="shared" si="205"/>
        <v>0.33210332103321033</v>
      </c>
      <c r="AV190" s="47">
        <f t="shared" si="205"/>
        <v>0.33</v>
      </c>
      <c r="AW190" s="47">
        <f t="shared" si="205"/>
        <v>0.36792452830188677</v>
      </c>
      <c r="AX190" s="47">
        <f t="shared" si="206"/>
        <v>0.36283185840707965</v>
      </c>
      <c r="AY190" s="47">
        <f t="shared" si="206"/>
        <v>0.34070796460176989</v>
      </c>
      <c r="AZ190" s="185">
        <f t="shared" si="206"/>
        <v>0.35069444444444442</v>
      </c>
      <c r="BA190" s="47">
        <f t="shared" si="207"/>
        <v>0.30256410256410254</v>
      </c>
      <c r="BB190" s="47">
        <f t="shared" si="207"/>
        <v>0.3140096618357488</v>
      </c>
      <c r="BC190" s="47">
        <f t="shared" si="208"/>
        <v>0.31050228310502281</v>
      </c>
      <c r="BD190" s="47">
        <f t="shared" si="208"/>
        <v>0.27631578947368424</v>
      </c>
      <c r="BE190" s="185">
        <f t="shared" si="208"/>
        <v>0.30035335689045939</v>
      </c>
      <c r="BF190" s="47">
        <f t="shared" si="208"/>
        <v>0.26699029126213591</v>
      </c>
      <c r="BG190" s="47">
        <f t="shared" si="209"/>
        <v>0.31506849315068491</v>
      </c>
      <c r="BH190" s="47">
        <f t="shared" si="209"/>
        <v>0.31535269709543567</v>
      </c>
      <c r="BI190" s="47">
        <f t="shared" si="209"/>
        <v>0.27659574468085107</v>
      </c>
      <c r="BJ190" s="185">
        <f t="shared" si="209"/>
        <v>0.29411764705882354</v>
      </c>
      <c r="BK190" s="47">
        <f t="shared" si="210"/>
        <v>0.26923076923076922</v>
      </c>
      <c r="BL190" s="47">
        <f t="shared" si="210"/>
        <v>0.29535864978902954</v>
      </c>
      <c r="BM190" s="47">
        <f t="shared" si="211"/>
        <v>0.28979591836734692</v>
      </c>
      <c r="BN190" s="47">
        <f t="shared" si="211"/>
        <v>0.2594142259414226</v>
      </c>
      <c r="BO190" s="185">
        <f t="shared" si="211"/>
        <v>0.27879440258342303</v>
      </c>
      <c r="BP190" s="47">
        <f t="shared" si="212"/>
        <v>0.24311926605504589</v>
      </c>
      <c r="BQ190" s="47">
        <f t="shared" si="212"/>
        <v>0.29113924050632911</v>
      </c>
      <c r="BR190" s="47">
        <f t="shared" si="213"/>
        <v>0.28270042194092826</v>
      </c>
      <c r="BS190" s="47">
        <f t="shared" si="213"/>
        <v>0.28278688524590162</v>
      </c>
      <c r="BT190" s="185">
        <f t="shared" si="213"/>
        <v>0.27564102564102566</v>
      </c>
      <c r="BU190" s="47">
        <f t="shared" si="214"/>
        <v>0.25925925925925924</v>
      </c>
      <c r="BV190" s="47">
        <f t="shared" si="214"/>
        <v>0.2967479674796748</v>
      </c>
      <c r="BW190" s="47">
        <f t="shared" si="225"/>
        <v>0.29218106995884774</v>
      </c>
      <c r="BX190" s="47">
        <f t="shared" si="225"/>
        <v>0.23265306122448978</v>
      </c>
      <c r="BY190" s="185">
        <f t="shared" si="225"/>
        <v>0.27052631578947367</v>
      </c>
      <c r="BZ190" s="47">
        <f t="shared" si="226"/>
        <v>0.25541125541125542</v>
      </c>
      <c r="CA190" s="47">
        <f t="shared" si="226"/>
        <v>0.28685258964143429</v>
      </c>
      <c r="CB190" s="47">
        <f t="shared" si="226"/>
        <v>0.27559055118110237</v>
      </c>
      <c r="CC190" s="47">
        <f>CC156/CC7</f>
        <v>0.19685039370078741</v>
      </c>
      <c r="CD190" s="185">
        <f t="shared" si="216"/>
        <v>0.25353535353535356</v>
      </c>
      <c r="CE190" s="47">
        <f t="shared" si="216"/>
        <v>0.26271186440677968</v>
      </c>
      <c r="CF190" s="47">
        <f t="shared" si="217"/>
        <v>0.29615384615384616</v>
      </c>
      <c r="CG190" s="47">
        <f t="shared" si="217"/>
        <v>0.2073170731707317</v>
      </c>
      <c r="CH190" s="47">
        <f t="shared" si="217"/>
        <v>0.20930232558139536</v>
      </c>
      <c r="CI190" s="185">
        <f t="shared" si="217"/>
        <v>0.24399999999999999</v>
      </c>
      <c r="CJ190" s="47">
        <f t="shared" si="217"/>
        <v>0.26016260162601629</v>
      </c>
      <c r="CK190" s="47">
        <f t="shared" ref="CK190" si="229">CK156/CK7</f>
        <v>0.2574626865671642</v>
      </c>
      <c r="CL190" s="47">
        <f t="shared" si="219"/>
        <v>0.2123170731707317</v>
      </c>
      <c r="CM190" s="47">
        <f>CM156/CM7</f>
        <v>0.211000683189737</v>
      </c>
      <c r="CN190" s="185">
        <f t="shared" si="220"/>
        <v>0.23499999999999999</v>
      </c>
      <c r="CO190" s="47">
        <f t="shared" si="220"/>
        <v>0.26216260162601629</v>
      </c>
      <c r="CP190" s="47">
        <f t="shared" si="220"/>
        <v>0.26746268656716421</v>
      </c>
      <c r="CQ190" s="47">
        <f t="shared" si="220"/>
        <v>0.2103170731707317</v>
      </c>
      <c r="CR190" s="47">
        <f>CR156/CR7</f>
        <v>0.20891278952901182</v>
      </c>
      <c r="CS190" s="185">
        <f t="shared" si="221"/>
        <v>0.23699999999999999</v>
      </c>
      <c r="CT190" s="47">
        <f t="shared" si="221"/>
        <v>0.26516260162601629</v>
      </c>
      <c r="CU190" s="47">
        <f t="shared" si="221"/>
        <v>0.27046268656716421</v>
      </c>
      <c r="CV190" s="47">
        <f t="shared" si="221"/>
        <v>0.2133170731707317</v>
      </c>
      <c r="CW190" s="47">
        <f>CW156/CW7</f>
        <v>0.21191278952901191</v>
      </c>
      <c r="CX190" s="185">
        <f t="shared" si="222"/>
        <v>0.24</v>
      </c>
      <c r="CY190" s="47">
        <f t="shared" si="222"/>
        <v>0.26796260162601632</v>
      </c>
      <c r="CZ190" s="47">
        <f t="shared" si="222"/>
        <v>0.27326268656716424</v>
      </c>
      <c r="DA190" s="47">
        <f t="shared" si="222"/>
        <v>0.2161170731707317</v>
      </c>
      <c r="DB190" s="47">
        <f>DB156/DB7</f>
        <v>0.21471278952901166</v>
      </c>
      <c r="DC190" s="185">
        <f t="shared" si="223"/>
        <v>0.24279999999999999</v>
      </c>
      <c r="DD190" s="47">
        <f t="shared" si="223"/>
        <v>0.27046260162601632</v>
      </c>
      <c r="DE190" s="47">
        <f t="shared" si="223"/>
        <v>0.27576268656716424</v>
      </c>
      <c r="DF190" s="47">
        <f t="shared" si="223"/>
        <v>0.2186170731707317</v>
      </c>
      <c r="DG190" s="47">
        <f>DG156/DG7</f>
        <v>0.21721278952901155</v>
      </c>
      <c r="DH190" s="185">
        <f>DC190+(DH216/10000)</f>
        <v>0.24529999999999999</v>
      </c>
    </row>
    <row r="191" spans="1:112" ht="12.75" customHeight="1" x14ac:dyDescent="0.2">
      <c r="A191" s="98" t="s">
        <v>220</v>
      </c>
      <c r="B191" s="168"/>
      <c r="C191" s="213" t="s">
        <v>221</v>
      </c>
      <c r="D191" s="213" t="s">
        <v>221</v>
      </c>
      <c r="E191" s="213" t="s">
        <v>221</v>
      </c>
      <c r="F191" s="213" t="s">
        <v>221</v>
      </c>
      <c r="G191" s="284" t="s">
        <v>221</v>
      </c>
      <c r="H191" s="213" t="s">
        <v>221</v>
      </c>
      <c r="I191" s="213" t="s">
        <v>221</v>
      </c>
      <c r="J191" s="213" t="s">
        <v>221</v>
      </c>
      <c r="K191" s="213" t="s">
        <v>221</v>
      </c>
      <c r="L191" s="284" t="s">
        <v>221</v>
      </c>
      <c r="M191" s="213" t="s">
        <v>221</v>
      </c>
      <c r="N191" s="213" t="s">
        <v>221</v>
      </c>
      <c r="O191" s="213" t="s">
        <v>221</v>
      </c>
      <c r="P191" s="213" t="s">
        <v>221</v>
      </c>
      <c r="Q191" s="284" t="s">
        <v>221</v>
      </c>
      <c r="R191" s="213" t="s">
        <v>221</v>
      </c>
      <c r="S191" s="213" t="s">
        <v>221</v>
      </c>
      <c r="T191" s="213" t="s">
        <v>221</v>
      </c>
      <c r="U191" s="213" t="s">
        <v>221</v>
      </c>
      <c r="V191" s="284" t="s">
        <v>221</v>
      </c>
      <c r="W191" s="213" t="s">
        <v>221</v>
      </c>
      <c r="X191" s="213" t="s">
        <v>221</v>
      </c>
      <c r="Y191" s="213" t="s">
        <v>221</v>
      </c>
      <c r="Z191" s="213" t="s">
        <v>221</v>
      </c>
      <c r="AA191" s="284" t="s">
        <v>221</v>
      </c>
      <c r="AB191" s="213" t="s">
        <v>221</v>
      </c>
      <c r="AC191" s="213" t="s">
        <v>221</v>
      </c>
      <c r="AD191" s="213" t="s">
        <v>221</v>
      </c>
      <c r="AE191" s="213" t="s">
        <v>221</v>
      </c>
      <c r="AF191" s="284" t="s">
        <v>221</v>
      </c>
      <c r="AG191" s="47">
        <f t="shared" ref="AG191:AT191" si="230">AG157/AG8</f>
        <v>0.18840579710144928</v>
      </c>
      <c r="AH191" s="47">
        <f t="shared" si="230"/>
        <v>0.17567567567567569</v>
      </c>
      <c r="AI191" s="47">
        <f t="shared" si="230"/>
        <v>0.20338983050847459</v>
      </c>
      <c r="AJ191" s="47">
        <f t="shared" si="230"/>
        <v>0.17322834645669291</v>
      </c>
      <c r="AK191" s="185">
        <f t="shared" si="230"/>
        <v>0.18498367791077258</v>
      </c>
      <c r="AL191" s="47">
        <f t="shared" si="230"/>
        <v>0.1626984126984127</v>
      </c>
      <c r="AM191" s="47">
        <f t="shared" si="230"/>
        <v>0.17228464419475656</v>
      </c>
      <c r="AN191" s="47">
        <f t="shared" si="230"/>
        <v>0.12267657992565056</v>
      </c>
      <c r="AO191" s="47">
        <f t="shared" si="230"/>
        <v>0.19387755102040816</v>
      </c>
      <c r="AP191" s="185">
        <f t="shared" si="230"/>
        <v>0.16358595194085027</v>
      </c>
      <c r="AQ191" s="47">
        <f t="shared" si="230"/>
        <v>0.12274368231046931</v>
      </c>
      <c r="AR191" s="47">
        <f t="shared" si="230"/>
        <v>0.13671875</v>
      </c>
      <c r="AS191" s="47">
        <f t="shared" si="230"/>
        <v>0.1828793774319066</v>
      </c>
      <c r="AT191" s="47">
        <f t="shared" si="230"/>
        <v>8.3916083916083919E-2</v>
      </c>
      <c r="AU191" s="185">
        <f t="shared" si="205"/>
        <v>0.13023255813953488</v>
      </c>
      <c r="AV191" s="47">
        <f t="shared" si="205"/>
        <v>0.16044776119402984</v>
      </c>
      <c r="AW191" s="47">
        <f t="shared" si="205"/>
        <v>0.10996563573883161</v>
      </c>
      <c r="AX191" s="47">
        <f t="shared" si="206"/>
        <v>0.1484375</v>
      </c>
      <c r="AY191" s="47">
        <f t="shared" si="206"/>
        <v>0.11567164179104478</v>
      </c>
      <c r="AZ191" s="185">
        <f t="shared" si="206"/>
        <v>0.1329639889196676</v>
      </c>
      <c r="BA191" s="47">
        <f t="shared" si="207"/>
        <v>0.1455223880597015</v>
      </c>
      <c r="BB191" s="47">
        <f t="shared" si="207"/>
        <v>0.14093959731543623</v>
      </c>
      <c r="BC191" s="47">
        <f t="shared" si="208"/>
        <v>0.13732394366197184</v>
      </c>
      <c r="BD191" s="47">
        <f t="shared" si="208"/>
        <v>9.602649006622517E-2</v>
      </c>
      <c r="BE191" s="185">
        <f t="shared" si="208"/>
        <v>0.12934027777777779</v>
      </c>
      <c r="BF191" s="47">
        <f t="shared" si="208"/>
        <v>0.1360544217687075</v>
      </c>
      <c r="BG191" s="47">
        <f t="shared" si="209"/>
        <v>0.11073825503355705</v>
      </c>
      <c r="BH191" s="47">
        <f t="shared" si="209"/>
        <v>7.0945945945945943E-2</v>
      </c>
      <c r="BI191" s="47">
        <f t="shared" si="209"/>
        <v>8.0385852090032156E-2</v>
      </c>
      <c r="BJ191" s="185">
        <f t="shared" si="209"/>
        <v>9.9249374478732277E-2</v>
      </c>
      <c r="BK191" s="47">
        <f t="shared" si="210"/>
        <v>9.2409240924092403E-2</v>
      </c>
      <c r="BL191" s="47">
        <f t="shared" si="210"/>
        <v>8.1699346405228759E-2</v>
      </c>
      <c r="BM191" s="47">
        <f t="shared" si="211"/>
        <v>6.6445182724252497E-2</v>
      </c>
      <c r="BN191" s="47">
        <f t="shared" si="211"/>
        <v>7.4675324675324672E-2</v>
      </c>
      <c r="BO191" s="185">
        <f t="shared" si="211"/>
        <v>7.8817733990147784E-2</v>
      </c>
      <c r="BP191" s="47">
        <f>BP157/BP8</f>
        <v>0.11313868613138686</v>
      </c>
      <c r="BQ191" s="47">
        <f>BQ157/BQ8</f>
        <v>0.11498257839721254</v>
      </c>
      <c r="BR191" s="47">
        <f t="shared" si="213"/>
        <v>8.7121212121212127E-2</v>
      </c>
      <c r="BS191" s="47">
        <f t="shared" si="213"/>
        <v>4.4776119402985072E-2</v>
      </c>
      <c r="BT191" s="185">
        <f t="shared" si="213"/>
        <v>9.0576395242451965E-2</v>
      </c>
      <c r="BU191" s="47">
        <f t="shared" si="214"/>
        <v>9.4890510948905105E-2</v>
      </c>
      <c r="BV191" s="47">
        <f t="shared" si="214"/>
        <v>8.5409252669039148E-2</v>
      </c>
      <c r="BW191" s="47">
        <f t="shared" si="225"/>
        <v>6.4150943396226415E-2</v>
      </c>
      <c r="BX191" s="47">
        <f t="shared" si="225"/>
        <v>4.49438202247191E-2</v>
      </c>
      <c r="BY191" s="185">
        <f>BY157/BY8</f>
        <v>7.2677092916283353E-2</v>
      </c>
      <c r="BZ191" s="47">
        <f t="shared" si="226"/>
        <v>0.12749003984063745</v>
      </c>
      <c r="CA191" s="47">
        <f t="shared" si="226"/>
        <v>8.3969465648854963E-2</v>
      </c>
      <c r="CB191" s="47">
        <f t="shared" si="226"/>
        <v>4.583333333333333E-2</v>
      </c>
      <c r="CC191" s="47">
        <f>CC157/CC8</f>
        <v>4.0983606557377051E-3</v>
      </c>
      <c r="CD191" s="185">
        <f t="shared" si="216"/>
        <v>6.6198595787362091E-2</v>
      </c>
      <c r="CE191" s="47">
        <f t="shared" si="216"/>
        <v>0.10756972111553785</v>
      </c>
      <c r="CF191" s="47">
        <f t="shared" si="217"/>
        <v>0.109375</v>
      </c>
      <c r="CG191" s="47">
        <f t="shared" si="217"/>
        <v>8.0645161290322578E-2</v>
      </c>
      <c r="CH191" s="47">
        <f t="shared" si="217"/>
        <v>2.3529411764705882E-2</v>
      </c>
      <c r="CI191" s="185">
        <f t="shared" si="217"/>
        <v>8.01980198019802E-2</v>
      </c>
      <c r="CJ191" s="47">
        <f t="shared" si="217"/>
        <v>9.055118110236221E-2</v>
      </c>
      <c r="CK191" s="47">
        <f t="shared" ref="CK191" si="231">CK157/CK8</f>
        <v>8.646616541353383E-2</v>
      </c>
      <c r="CL191" s="47">
        <f t="shared" si="219"/>
        <v>5.864516129032258E-2</v>
      </c>
      <c r="CM191" s="47">
        <f ca="1">CM157/CM8</f>
        <v>2.3993951546786352E-2</v>
      </c>
      <c r="CN191" s="185">
        <f t="shared" si="220"/>
        <v>6.41980198019802E-2</v>
      </c>
      <c r="CO191" s="47">
        <f t="shared" si="220"/>
        <v>8.5551181102362206E-2</v>
      </c>
      <c r="CP191" s="47">
        <f t="shared" si="220"/>
        <v>8.1466165413533825E-2</v>
      </c>
      <c r="CQ191" s="47">
        <f t="shared" si="220"/>
        <v>5.3645161290322582E-2</v>
      </c>
      <c r="CR191" s="47">
        <f ca="1">CR157/CR8</f>
        <v>1.8227109585292146E-2</v>
      </c>
      <c r="CS191" s="185">
        <f t="shared" si="221"/>
        <v>5.9198019801980202E-2</v>
      </c>
      <c r="CT191" s="47">
        <f t="shared" si="221"/>
        <v>9.1551181102362211E-2</v>
      </c>
      <c r="CU191" s="47">
        <f t="shared" si="221"/>
        <v>8.7466165413533831E-2</v>
      </c>
      <c r="CV191" s="47">
        <f t="shared" si="221"/>
        <v>5.9645161290322581E-2</v>
      </c>
      <c r="CW191" s="47">
        <f ca="1">CW157/CW8</f>
        <v>2.4227109585292169E-2</v>
      </c>
      <c r="CX191" s="185">
        <f t="shared" si="222"/>
        <v>6.51980198019802E-2</v>
      </c>
      <c r="CY191" s="47">
        <f t="shared" si="222"/>
        <v>9.4351181102362208E-2</v>
      </c>
      <c r="CZ191" s="47">
        <f t="shared" si="222"/>
        <v>9.0266165413533828E-2</v>
      </c>
      <c r="DA191" s="47">
        <f t="shared" si="222"/>
        <v>6.2445161290322578E-2</v>
      </c>
      <c r="DB191" s="47">
        <f ca="1">DB157/DB8</f>
        <v>2.7027109585292117E-2</v>
      </c>
      <c r="DC191" s="185">
        <f t="shared" si="223"/>
        <v>6.7998019801980197E-2</v>
      </c>
      <c r="DD191" s="47">
        <f t="shared" si="223"/>
        <v>9.685118110236221E-2</v>
      </c>
      <c r="DE191" s="47">
        <f t="shared" si="223"/>
        <v>9.276616541353383E-2</v>
      </c>
      <c r="DF191" s="47">
        <f t="shared" si="223"/>
        <v>6.4945161290322573E-2</v>
      </c>
      <c r="DG191" s="47">
        <f ca="1">DG157/DG8</f>
        <v>2.9527109585292147E-2</v>
      </c>
      <c r="DH191" s="185">
        <f>DC191+(DH217/10000)</f>
        <v>7.04980198019802E-2</v>
      </c>
    </row>
    <row r="192" spans="1:112" ht="12.75" customHeight="1" x14ac:dyDescent="0.2">
      <c r="A192" s="117" t="s">
        <v>210</v>
      </c>
      <c r="B192" s="241"/>
      <c r="C192" s="391" t="s">
        <v>221</v>
      </c>
      <c r="D192" s="391" t="s">
        <v>221</v>
      </c>
      <c r="E192" s="391" t="s">
        <v>221</v>
      </c>
      <c r="F192" s="391" t="s">
        <v>221</v>
      </c>
      <c r="G192" s="285" t="s">
        <v>221</v>
      </c>
      <c r="H192" s="391" t="s">
        <v>221</v>
      </c>
      <c r="I192" s="391" t="s">
        <v>221</v>
      </c>
      <c r="J192" s="391" t="s">
        <v>221</v>
      </c>
      <c r="K192" s="391" t="s">
        <v>221</v>
      </c>
      <c r="L192" s="285" t="s">
        <v>221</v>
      </c>
      <c r="M192" s="391" t="s">
        <v>221</v>
      </c>
      <c r="N192" s="391" t="s">
        <v>221</v>
      </c>
      <c r="O192" s="391" t="s">
        <v>221</v>
      </c>
      <c r="P192" s="391" t="s">
        <v>221</v>
      </c>
      <c r="Q192" s="285" t="s">
        <v>221</v>
      </c>
      <c r="R192" s="391" t="s">
        <v>221</v>
      </c>
      <c r="S192" s="391" t="s">
        <v>221</v>
      </c>
      <c r="T192" s="391" t="s">
        <v>221</v>
      </c>
      <c r="U192" s="391" t="s">
        <v>221</v>
      </c>
      <c r="V192" s="285" t="s">
        <v>221</v>
      </c>
      <c r="W192" s="391" t="s">
        <v>221</v>
      </c>
      <c r="X192" s="391" t="s">
        <v>221</v>
      </c>
      <c r="Y192" s="391" t="s">
        <v>221</v>
      </c>
      <c r="Z192" s="391" t="s">
        <v>221</v>
      </c>
      <c r="AA192" s="285" t="s">
        <v>221</v>
      </c>
      <c r="AB192" s="391" t="s">
        <v>221</v>
      </c>
      <c r="AC192" s="391" t="s">
        <v>221</v>
      </c>
      <c r="AD192" s="391" t="s">
        <v>221</v>
      </c>
      <c r="AE192" s="391" t="s">
        <v>221</v>
      </c>
      <c r="AF192" s="285" t="s">
        <v>221</v>
      </c>
      <c r="AG192" s="215" t="s">
        <v>221</v>
      </c>
      <c r="AH192" s="215" t="s">
        <v>221</v>
      </c>
      <c r="AI192" s="215" t="s">
        <v>221</v>
      </c>
      <c r="AJ192" s="215" t="s">
        <v>221</v>
      </c>
      <c r="AK192" s="268" t="s">
        <v>221</v>
      </c>
      <c r="AL192" s="215" t="s">
        <v>221</v>
      </c>
      <c r="AM192" s="215" t="s">
        <v>221</v>
      </c>
      <c r="AN192" s="215" t="s">
        <v>221</v>
      </c>
      <c r="AO192" s="215" t="s">
        <v>221</v>
      </c>
      <c r="AP192" s="268" t="s">
        <v>221</v>
      </c>
      <c r="AQ192" s="215" t="s">
        <v>221</v>
      </c>
      <c r="AR192" s="215" t="s">
        <v>221</v>
      </c>
      <c r="AS192" s="215" t="s">
        <v>221</v>
      </c>
      <c r="AT192" s="215" t="s">
        <v>221</v>
      </c>
      <c r="AU192" s="268" t="s">
        <v>221</v>
      </c>
      <c r="AV192" s="215" t="s">
        <v>221</v>
      </c>
      <c r="AW192" s="215" t="s">
        <v>221</v>
      </c>
      <c r="AX192" s="215" t="s">
        <v>221</v>
      </c>
      <c r="AY192" s="342" t="s">
        <v>221</v>
      </c>
      <c r="AZ192" s="268" t="s">
        <v>221</v>
      </c>
      <c r="BA192" s="342" t="s">
        <v>221</v>
      </c>
      <c r="BB192" s="342" t="s">
        <v>221</v>
      </c>
      <c r="BC192" s="342" t="s">
        <v>221</v>
      </c>
      <c r="BD192" s="342" t="s">
        <v>221</v>
      </c>
      <c r="BE192" s="268" t="s">
        <v>221</v>
      </c>
      <c r="BF192" s="342" t="s">
        <v>221</v>
      </c>
      <c r="BG192" s="342" t="s">
        <v>221</v>
      </c>
      <c r="BH192" s="342" t="s">
        <v>221</v>
      </c>
      <c r="BI192" s="342" t="s">
        <v>221</v>
      </c>
      <c r="BJ192" s="268" t="s">
        <v>221</v>
      </c>
      <c r="BK192" s="215" t="s">
        <v>221</v>
      </c>
      <c r="BL192" s="215" t="s">
        <v>221</v>
      </c>
      <c r="BM192" s="215" t="s">
        <v>221</v>
      </c>
      <c r="BN192" s="342" t="s">
        <v>221</v>
      </c>
      <c r="BO192" s="268" t="s">
        <v>221</v>
      </c>
      <c r="BP192" s="342" t="s">
        <v>221</v>
      </c>
      <c r="BQ192" s="342" t="s">
        <v>221</v>
      </c>
      <c r="BR192" s="342" t="s">
        <v>221</v>
      </c>
      <c r="BS192" s="342" t="s">
        <v>221</v>
      </c>
      <c r="BT192" s="268" t="s">
        <v>221</v>
      </c>
      <c r="BU192" s="342" t="s">
        <v>221</v>
      </c>
      <c r="BV192" s="215" t="s">
        <v>221</v>
      </c>
      <c r="BW192" s="215" t="s">
        <v>221</v>
      </c>
      <c r="BX192" s="342" t="s">
        <v>221</v>
      </c>
      <c r="BY192" s="285" t="s">
        <v>221</v>
      </c>
      <c r="BZ192" s="215" t="s">
        <v>221</v>
      </c>
      <c r="CA192" s="215" t="s">
        <v>221</v>
      </c>
      <c r="CB192" s="215" t="s">
        <v>221</v>
      </c>
      <c r="CC192" s="215" t="s">
        <v>221</v>
      </c>
      <c r="CD192" s="774" t="s">
        <v>221</v>
      </c>
      <c r="CE192" s="215" t="s">
        <v>221</v>
      </c>
      <c r="CF192" s="215" t="s">
        <v>221</v>
      </c>
      <c r="CG192" s="215" t="s">
        <v>221</v>
      </c>
      <c r="CH192" s="342" t="s">
        <v>221</v>
      </c>
      <c r="CI192" s="285" t="s">
        <v>221</v>
      </c>
      <c r="CJ192" s="215" t="s">
        <v>221</v>
      </c>
      <c r="CK192" s="215" t="s">
        <v>221</v>
      </c>
      <c r="CL192" s="215" t="s">
        <v>221</v>
      </c>
      <c r="CM192" s="342" t="s">
        <v>221</v>
      </c>
      <c r="CN192" s="285" t="s">
        <v>221</v>
      </c>
      <c r="CO192" s="215" t="s">
        <v>221</v>
      </c>
      <c r="CP192" s="215" t="s">
        <v>221</v>
      </c>
      <c r="CQ192" s="215" t="s">
        <v>221</v>
      </c>
      <c r="CR192" s="342" t="s">
        <v>221</v>
      </c>
      <c r="CS192" s="285" t="s">
        <v>221</v>
      </c>
      <c r="CT192" s="215" t="s">
        <v>221</v>
      </c>
      <c r="CU192" s="215" t="s">
        <v>221</v>
      </c>
      <c r="CV192" s="215" t="s">
        <v>221</v>
      </c>
      <c r="CW192" s="342" t="s">
        <v>221</v>
      </c>
      <c r="CX192" s="285" t="s">
        <v>221</v>
      </c>
      <c r="CY192" s="215" t="s">
        <v>221</v>
      </c>
      <c r="CZ192" s="215" t="s">
        <v>221</v>
      </c>
      <c r="DA192" s="215" t="s">
        <v>221</v>
      </c>
      <c r="DB192" s="342" t="s">
        <v>221</v>
      </c>
      <c r="DC192" s="285" t="s">
        <v>221</v>
      </c>
      <c r="DD192" s="215" t="s">
        <v>221</v>
      </c>
      <c r="DE192" s="215" t="s">
        <v>221</v>
      </c>
      <c r="DF192" s="215" t="s">
        <v>221</v>
      </c>
      <c r="DG192" s="342" t="s">
        <v>221</v>
      </c>
      <c r="DH192" s="285" t="s">
        <v>221</v>
      </c>
    </row>
    <row r="193" spans="1:112" ht="12.75" customHeight="1" x14ac:dyDescent="0.2">
      <c r="A193" s="209" t="s">
        <v>241</v>
      </c>
      <c r="B193" s="218"/>
      <c r="C193" s="392" t="s">
        <v>221</v>
      </c>
      <c r="D193" s="392" t="s">
        <v>221</v>
      </c>
      <c r="E193" s="392" t="s">
        <v>221</v>
      </c>
      <c r="F193" s="392" t="s">
        <v>221</v>
      </c>
      <c r="G193" s="286" t="s">
        <v>221</v>
      </c>
      <c r="H193" s="392" t="s">
        <v>221</v>
      </c>
      <c r="I193" s="392" t="s">
        <v>221</v>
      </c>
      <c r="J193" s="392" t="s">
        <v>221</v>
      </c>
      <c r="K193" s="392" t="s">
        <v>221</v>
      </c>
      <c r="L193" s="286" t="s">
        <v>221</v>
      </c>
      <c r="M193" s="392" t="s">
        <v>221</v>
      </c>
      <c r="N193" s="392" t="s">
        <v>221</v>
      </c>
      <c r="O193" s="392" t="s">
        <v>221</v>
      </c>
      <c r="P193" s="392" t="s">
        <v>221</v>
      </c>
      <c r="Q193" s="286" t="s">
        <v>221</v>
      </c>
      <c r="R193" s="392" t="s">
        <v>221</v>
      </c>
      <c r="S193" s="392" t="s">
        <v>221</v>
      </c>
      <c r="T193" s="392" t="s">
        <v>221</v>
      </c>
      <c r="U193" s="392" t="s">
        <v>221</v>
      </c>
      <c r="V193" s="286" t="s">
        <v>221</v>
      </c>
      <c r="W193" s="392" t="s">
        <v>221</v>
      </c>
      <c r="X193" s="392" t="s">
        <v>221</v>
      </c>
      <c r="Y193" s="392" t="s">
        <v>221</v>
      </c>
      <c r="Z193" s="392" t="s">
        <v>221</v>
      </c>
      <c r="AA193" s="286" t="s">
        <v>221</v>
      </c>
      <c r="AB193" s="392" t="s">
        <v>221</v>
      </c>
      <c r="AC193" s="392" t="s">
        <v>221</v>
      </c>
      <c r="AD193" s="392" t="s">
        <v>221</v>
      </c>
      <c r="AE193" s="392" t="s">
        <v>221</v>
      </c>
      <c r="AF193" s="286" t="s">
        <v>221</v>
      </c>
      <c r="AG193" s="247">
        <f>AG166/AG9</f>
        <v>0.15073212747631351</v>
      </c>
      <c r="AH193" s="247">
        <f t="shared" ref="AH193:CS193" si="232">AH166/AH9</f>
        <v>0.12352406902815623</v>
      </c>
      <c r="AI193" s="247">
        <f t="shared" si="232"/>
        <v>0.15551974214343273</v>
      </c>
      <c r="AJ193" s="247">
        <f t="shared" si="232"/>
        <v>0.17782738095238096</v>
      </c>
      <c r="AK193" s="347">
        <f t="shared" si="232"/>
        <v>0.1532906952754281</v>
      </c>
      <c r="AL193" s="247">
        <f t="shared" si="232"/>
        <v>0.14043583535108958</v>
      </c>
      <c r="AM193" s="247">
        <f t="shared" si="232"/>
        <v>0.10792580101180438</v>
      </c>
      <c r="AN193" s="247">
        <f t="shared" si="232"/>
        <v>0.11160384331116038</v>
      </c>
      <c r="AO193" s="247">
        <f t="shared" si="232"/>
        <v>0.16053511705685619</v>
      </c>
      <c r="AP193" s="347">
        <f t="shared" si="232"/>
        <v>0.13142423667741324</v>
      </c>
      <c r="AQ193" s="247">
        <f t="shared" si="232"/>
        <v>0.13439306358381503</v>
      </c>
      <c r="AR193" s="247">
        <f t="shared" si="232"/>
        <v>0.10773026315789473</v>
      </c>
      <c r="AS193" s="247">
        <f t="shared" si="232"/>
        <v>0.1725925925925926</v>
      </c>
      <c r="AT193" s="247">
        <f t="shared" si="232"/>
        <v>0.17399999999999999</v>
      </c>
      <c r="AU193" s="347">
        <f t="shared" si="232"/>
        <v>0.14880733944954128</v>
      </c>
      <c r="AV193" s="247">
        <f t="shared" si="232"/>
        <v>0.16653875671527243</v>
      </c>
      <c r="AW193" s="247">
        <f t="shared" si="232"/>
        <v>0.11275720164609053</v>
      </c>
      <c r="AX193" s="247">
        <f t="shared" si="232"/>
        <v>0.1623931623931624</v>
      </c>
      <c r="AY193" s="247">
        <f t="shared" si="232"/>
        <v>0.16934919524142758</v>
      </c>
      <c r="AZ193" s="347">
        <f>AZ166/AZ9</f>
        <v>0.15380206343141001</v>
      </c>
      <c r="BA193" s="247">
        <f>BA166/BA9</f>
        <v>0.15955766192733017</v>
      </c>
      <c r="BB193" s="247">
        <f>BB166/BB9</f>
        <v>0.12383375742154368</v>
      </c>
      <c r="BC193" s="247">
        <f>BC166/BC9</f>
        <v>0.16794478527607362</v>
      </c>
      <c r="BD193" s="247">
        <f t="shared" si="232"/>
        <v>0.17139001349527666</v>
      </c>
      <c r="BE193" s="347">
        <f>BE166/BE9</f>
        <v>0.15694895813419996</v>
      </c>
      <c r="BF193" s="247">
        <f>BF166/BF9</f>
        <v>0.14329501915708812</v>
      </c>
      <c r="BG193" s="247">
        <f>BG166/BG9</f>
        <v>0.12694512694512694</v>
      </c>
      <c r="BH193" s="247">
        <f>BH166/BH9</f>
        <v>0.14132762312633834</v>
      </c>
      <c r="BI193" s="247">
        <f t="shared" si="232"/>
        <v>0.16288124594419209</v>
      </c>
      <c r="BJ193" s="347">
        <f>BJ166/BJ9</f>
        <v>0.14465983906364302</v>
      </c>
      <c r="BK193" s="247">
        <f t="shared" si="232"/>
        <v>0.14499252615844543</v>
      </c>
      <c r="BL193" s="247">
        <f>BL166/BL9</f>
        <v>0.1418867924528302</v>
      </c>
      <c r="BM193" s="247">
        <f t="shared" si="232"/>
        <v>0.14295824486907288</v>
      </c>
      <c r="BN193" s="247">
        <f>BN166/BN9</f>
        <v>0.17388493859082094</v>
      </c>
      <c r="BO193" s="347">
        <f>BO166/BO9</f>
        <v>0.15169838164680777</v>
      </c>
      <c r="BP193" s="247">
        <f>BP166/BP9</f>
        <v>0.15711094564408043</v>
      </c>
      <c r="BQ193" s="247">
        <f>BQ166/BQ9</f>
        <v>0.14067278287461774</v>
      </c>
      <c r="BR193" s="247">
        <f>BR166/BR9</f>
        <v>0.16544655929721816</v>
      </c>
      <c r="BS193" s="247">
        <f t="shared" si="232"/>
        <v>0.17568470273881096</v>
      </c>
      <c r="BT193" s="347">
        <f>BT166/BT9</f>
        <v>0.16031918752266958</v>
      </c>
      <c r="BU193" s="247">
        <f>BU166/BU9</f>
        <v>0.16124260355029585</v>
      </c>
      <c r="BV193" s="247">
        <f>BV166/BV9</f>
        <v>0.14646840148698884</v>
      </c>
      <c r="BW193" s="247">
        <f t="shared" si="232"/>
        <v>0.15488936473947182</v>
      </c>
      <c r="BX193" s="247">
        <f t="shared" si="232"/>
        <v>0.18561335902376364</v>
      </c>
      <c r="BY193" s="347">
        <f t="shared" si="232"/>
        <v>0.16286472148541115</v>
      </c>
      <c r="BZ193" s="247">
        <f t="shared" si="232"/>
        <v>0.18992805755395684</v>
      </c>
      <c r="CA193" s="247">
        <f t="shared" si="232"/>
        <v>0.17100371747211895</v>
      </c>
      <c r="CB193" s="247">
        <f t="shared" si="232"/>
        <v>0.1661991584852735</v>
      </c>
      <c r="CC193" s="247">
        <f t="shared" si="232"/>
        <v>0.1575</v>
      </c>
      <c r="CD193" s="347">
        <f>CD166/CD9</f>
        <v>0.17063009894115605</v>
      </c>
      <c r="CE193" s="247">
        <f>CE166/CE9</f>
        <v>0.18295218295218296</v>
      </c>
      <c r="CF193" s="247">
        <f>CF166/CF9</f>
        <v>0.16145092460881935</v>
      </c>
      <c r="CG193" s="247">
        <f>CG166/CG9</f>
        <v>0.16723087339201084</v>
      </c>
      <c r="CH193" s="247">
        <f t="shared" si="232"/>
        <v>0.17911353976927746</v>
      </c>
      <c r="CI193" s="347">
        <f t="shared" si="232"/>
        <v>0.17294491880127238</v>
      </c>
      <c r="CJ193" s="247">
        <f>CJ166/CJ9</f>
        <v>0.186</v>
      </c>
      <c r="CK193" s="247">
        <f t="shared" si="232"/>
        <v>0.16031073446327684</v>
      </c>
      <c r="CL193" s="247">
        <f t="shared" ca="1" si="232"/>
        <v>0.15876381756739338</v>
      </c>
      <c r="CM193" s="247">
        <f t="shared" ca="1" si="232"/>
        <v>0.17356776564381093</v>
      </c>
      <c r="CN193" s="347">
        <f t="shared" ca="1" si="232"/>
        <v>0.16991026203678003</v>
      </c>
      <c r="CO193" s="247">
        <f t="shared" ca="1" si="232"/>
        <v>0.18120024409632401</v>
      </c>
      <c r="CP193" s="247">
        <f t="shared" ca="1" si="232"/>
        <v>0.15364761134145721</v>
      </c>
      <c r="CQ193" s="247">
        <f t="shared" ca="1" si="232"/>
        <v>0.15715599584871981</v>
      </c>
      <c r="CR193" s="247">
        <f t="shared" ca="1" si="232"/>
        <v>0.16969273872487556</v>
      </c>
      <c r="CS193" s="347">
        <f t="shared" ca="1" si="232"/>
        <v>0.1656361776950013</v>
      </c>
      <c r="CT193" s="247">
        <f t="shared" ref="CT193:DH193" ca="1" si="233">CT166/CT9</f>
        <v>0.18794967599428813</v>
      </c>
      <c r="CU193" s="247">
        <f t="shared" ca="1" si="233"/>
        <v>0.15472383554201607</v>
      </c>
      <c r="CV193" s="247">
        <f t="shared" ca="1" si="233"/>
        <v>0.16206568855196593</v>
      </c>
      <c r="CW193" s="247">
        <f t="shared" ca="1" si="233"/>
        <v>0.17484321489536003</v>
      </c>
      <c r="CX193" s="347">
        <f t="shared" ca="1" si="233"/>
        <v>0.17016431874537172</v>
      </c>
      <c r="CY193" s="247">
        <f t="shared" ca="1" si="233"/>
        <v>0.18958519686041922</v>
      </c>
      <c r="CZ193" s="247">
        <f t="shared" ca="1" si="233"/>
        <v>0.15641207372287319</v>
      </c>
      <c r="DA193" s="247">
        <f t="shared" ca="1" si="233"/>
        <v>0.1634316755116729</v>
      </c>
      <c r="DB193" s="247">
        <f t="shared" ca="1" si="233"/>
        <v>0.17599820663318225</v>
      </c>
      <c r="DC193" s="347">
        <f t="shared" ca="1" si="233"/>
        <v>0.17161065165383374</v>
      </c>
      <c r="DD193" s="247">
        <f t="shared" ca="1" si="233"/>
        <v>0.19078926279345956</v>
      </c>
      <c r="DE193" s="247">
        <f t="shared" ca="1" si="233"/>
        <v>0.15770405144518543</v>
      </c>
      <c r="DF193" s="247">
        <f t="shared" ca="1" si="233"/>
        <v>0.1643969626523821</v>
      </c>
      <c r="DG193" s="247">
        <f t="shared" ca="1" si="233"/>
        <v>0.17674957167980052</v>
      </c>
      <c r="DH193" s="347">
        <f t="shared" ca="1" si="233"/>
        <v>0.17264914896373085</v>
      </c>
    </row>
    <row r="194" spans="1:112" ht="12" customHeight="1" x14ac:dyDescent="0.2">
      <c r="A194" s="207" t="s">
        <v>98</v>
      </c>
      <c r="B194" s="104"/>
      <c r="C194" s="158"/>
      <c r="D194" s="158"/>
      <c r="E194" s="158"/>
      <c r="F194" s="158"/>
      <c r="G194" s="269"/>
      <c r="H194" s="158"/>
      <c r="I194" s="158"/>
      <c r="J194" s="158"/>
      <c r="K194" s="158"/>
      <c r="L194" s="269"/>
      <c r="M194" s="158"/>
      <c r="N194" s="158"/>
      <c r="O194" s="158"/>
      <c r="P194" s="158"/>
      <c r="Q194" s="269"/>
      <c r="R194" s="158"/>
      <c r="S194" s="158"/>
      <c r="T194" s="158"/>
      <c r="U194" s="158"/>
      <c r="V194" s="269"/>
      <c r="W194" s="158"/>
      <c r="X194" s="158"/>
      <c r="Y194" s="158"/>
      <c r="Z194" s="158"/>
      <c r="AA194" s="269"/>
      <c r="AB194" s="158"/>
      <c r="AC194" s="158"/>
      <c r="AD194" s="158"/>
      <c r="AE194" s="158"/>
      <c r="AF194" s="269"/>
      <c r="AG194" s="200">
        <f>Financials!AF74/Financials!AF7</f>
        <v>0.15073212747631351</v>
      </c>
      <c r="AH194" s="200">
        <f>Financials!AG74/Financials!AG7</f>
        <v>0.12352406902815623</v>
      </c>
      <c r="AI194" s="200">
        <f>Financials!AH74/Financials!AH7</f>
        <v>0.15551974214343273</v>
      </c>
      <c r="AJ194" s="200">
        <f>Financials!AI74/Financials!AI7</f>
        <v>0.17782738095238096</v>
      </c>
      <c r="AK194" s="417">
        <f>Financials!AJ74/Financials!AJ7</f>
        <v>0.1532906952754281</v>
      </c>
      <c r="AL194" s="200">
        <f>Financials!AK74/Financials!AK7</f>
        <v>0.14043583535108958</v>
      </c>
      <c r="AM194" s="200">
        <f>Financials!AL74/Financials!AL7</f>
        <v>0.10792580101180438</v>
      </c>
      <c r="AN194" s="200">
        <f>Financials!AM74/Financials!AM7</f>
        <v>0.11160384331116038</v>
      </c>
      <c r="AO194" s="200">
        <f>Financials!AN74/Financials!AN7</f>
        <v>0.16053511705685619</v>
      </c>
      <c r="AP194" s="417">
        <f>Financials!AO74/Financials!AO7</f>
        <v>0.13142423667741324</v>
      </c>
      <c r="AQ194" s="200">
        <f>Financials!AP74/Financials!AP7</f>
        <v>0.13439306358381503</v>
      </c>
      <c r="AR194" s="200">
        <f>Financials!AQ74/Financials!AQ7</f>
        <v>0.10773026315789473</v>
      </c>
      <c r="AS194" s="200">
        <f>Financials!AR74/Financials!AR7</f>
        <v>0.1725925925925926</v>
      </c>
      <c r="AT194" s="200">
        <f>Financials!AS74/Financials!AS7</f>
        <v>0.17399999999999999</v>
      </c>
      <c r="AU194" s="417">
        <f>Financials!AT74/Financials!AT7</f>
        <v>0.14880733944954128</v>
      </c>
      <c r="AV194" s="200">
        <f>Financials!AU74/Financials!AU7</f>
        <v>0.16653875671527243</v>
      </c>
      <c r="AW194" s="200">
        <f>Financials!AV74/Financials!AV7</f>
        <v>0.11275720164609053</v>
      </c>
      <c r="AX194" s="200">
        <f>Financials!AW74/Financials!AW7</f>
        <v>0.1623931623931624</v>
      </c>
      <c r="AY194" s="200">
        <f>Financials!AX74/Financials!AX7</f>
        <v>0.16934919524142758</v>
      </c>
      <c r="AZ194" s="417">
        <f>Financials!AY74/Financials!AY7</f>
        <v>0.15380206343141001</v>
      </c>
      <c r="BA194" s="200">
        <f>Financials!AZ74/Financials!AZ7</f>
        <v>0.15955766192733017</v>
      </c>
      <c r="BB194" s="200">
        <f>Financials!BA74/Financials!BA7</f>
        <v>0.12383375742154368</v>
      </c>
      <c r="BC194" s="200">
        <f>Financials!BB74/Financials!BB7</f>
        <v>0.16794478527607362</v>
      </c>
      <c r="BD194" s="526">
        <f>Financials!BC74/Financials!BC7</f>
        <v>0.17139001349527666</v>
      </c>
      <c r="BE194" s="417">
        <f>Financials!BD74/Financials!BD7</f>
        <v>0.15694895813419996</v>
      </c>
      <c r="BF194" s="526">
        <f>Financials!BE74/Financials!BE7</f>
        <v>0.14329501915708812</v>
      </c>
      <c r="BG194" s="526">
        <f>Financials!BF74/Financials!BF7</f>
        <v>0.12694512694512694</v>
      </c>
      <c r="BH194" s="526">
        <f>Financials!BG74/Financials!BG7</f>
        <v>0.14132762312633834</v>
      </c>
      <c r="BI194" s="526">
        <f>Financials!BH74/Financials!BH7</f>
        <v>0.16288124594419209</v>
      </c>
      <c r="BJ194" s="417">
        <f>Financials!BI74/Financials!BI7</f>
        <v>0.14465983906364302</v>
      </c>
      <c r="BK194" s="200">
        <f>Financials!BJ74/Financials!BJ7</f>
        <v>0.14499252615844543</v>
      </c>
      <c r="BL194" s="200">
        <f>Financials!BK74/Financials!BK7</f>
        <v>0.1418867924528302</v>
      </c>
      <c r="BM194" s="200">
        <f>Financials!BL74/Financials!BL7</f>
        <v>0.14295824486907288</v>
      </c>
      <c r="BN194" s="200">
        <f>Financials!BM74/Financials!BM7</f>
        <v>0.17388493859082094</v>
      </c>
      <c r="BO194" s="417">
        <f>Financials!BN74/Financials!BN7</f>
        <v>0.15169838164680777</v>
      </c>
      <c r="BP194" s="200">
        <f>Financials!BO74/Financials!BO7</f>
        <v>0.15711094564408043</v>
      </c>
      <c r="BQ194" s="200">
        <f>Financials!BP74/Financials!BP7</f>
        <v>0.14067278287461774</v>
      </c>
      <c r="BR194" s="200">
        <f>Financials!BQ74/Financials!BQ7</f>
        <v>0.16544655929721816</v>
      </c>
      <c r="BS194" s="526">
        <f>Financials!BR74/Financials!BR7</f>
        <v>0.17568470273881096</v>
      </c>
      <c r="BT194" s="417">
        <f>Financials!BS74/Financials!BS7</f>
        <v>0.16031918752266958</v>
      </c>
      <c r="BU194" s="526">
        <f>Financials!BT74/Financials!BT7</f>
        <v>0.16124260355029585</v>
      </c>
      <c r="BV194" s="200">
        <f>Financials!BU74/Financials!BU7</f>
        <v>0.14646840148698884</v>
      </c>
      <c r="BW194" s="200">
        <f>Financials!BV74/Financials!BV7</f>
        <v>0.15488936473947182</v>
      </c>
      <c r="BX194" s="526">
        <f>Financials!BW74/Financials!BW7</f>
        <v>0.18561335902376364</v>
      </c>
      <c r="BY194" s="525">
        <f>Financials!BX74/Financials!BX7</f>
        <v>0.16286472148541115</v>
      </c>
      <c r="BZ194" s="200">
        <f>Financials!BY74/Financials!BY7</f>
        <v>0.18992805755395684</v>
      </c>
      <c r="CA194" s="200">
        <f>Financials!BZ74/Financials!BZ7</f>
        <v>0.17100371747211895</v>
      </c>
      <c r="CB194" s="200">
        <f>Financials!CA74/Financials!CA7</f>
        <v>0.1661991584852735</v>
      </c>
      <c r="CC194" s="200">
        <f>Financials!CB74/Financials!CB7</f>
        <v>0.1575</v>
      </c>
      <c r="CD194" s="525">
        <f>Financials!CC74/Financials!CC7</f>
        <v>0.17063009894115605</v>
      </c>
      <c r="CE194" s="200">
        <f>Financials!CD74/Financials!CD7</f>
        <v>0.1832293832293832</v>
      </c>
      <c r="CF194" s="200">
        <f>Financials!CE74/Financials!CE7</f>
        <v>0.16109530583214793</v>
      </c>
      <c r="CG194" s="200">
        <f>Financials!CF74/Financials!CF7</f>
        <v>0.16756939742721733</v>
      </c>
      <c r="CH194" s="526">
        <f>Financials!CG74/Financials!CG7</f>
        <v>0.17935640558591376</v>
      </c>
      <c r="CI194" s="525">
        <f>Financials!CH74/Financials!CH7</f>
        <v>0.17307885484681065</v>
      </c>
      <c r="CJ194" s="200">
        <f>Financials!CI74/Financials!CI7</f>
        <v>0.186</v>
      </c>
      <c r="CK194" s="200">
        <f>Financials!CJ74/Financials!CJ7</f>
        <v>0.16031073446327684</v>
      </c>
      <c r="CL194" s="200">
        <f ca="1">Financials!CK74/Financials!CK7</f>
        <v>0.15876381756739338</v>
      </c>
      <c r="CM194" s="526">
        <f ca="1">Financials!CL74/Financials!CL7</f>
        <v>0.17356776564381093</v>
      </c>
      <c r="CN194" s="525">
        <f ca="1">Financials!CM74/Financials!CM7</f>
        <v>0.16991026203678003</v>
      </c>
      <c r="CO194" s="200">
        <f ca="1">Financials!CN74/Financials!CN7</f>
        <v>0.18120024409632401</v>
      </c>
      <c r="CP194" s="200">
        <f ca="1">Financials!CO74/Financials!CO7</f>
        <v>0.15364761134145719</v>
      </c>
      <c r="CQ194" s="200">
        <f ca="1">Financials!CP74/Financials!CP7</f>
        <v>0.15715599584871984</v>
      </c>
      <c r="CR194" s="526">
        <f ca="1">Financials!CQ74/Financials!CQ7</f>
        <v>0.16969273872487556</v>
      </c>
      <c r="CS194" s="525">
        <f ca="1">Financials!CR74/Financials!CR7</f>
        <v>0.1656361776950013</v>
      </c>
      <c r="CT194" s="200">
        <f ca="1">Financials!CS74/Financials!CS7</f>
        <v>0.18794967599428819</v>
      </c>
      <c r="CU194" s="200">
        <f ca="1">Financials!CT74/Financials!CT7</f>
        <v>0.15472383554201607</v>
      </c>
      <c r="CV194" s="200">
        <f ca="1">Financials!CU74/Financials!CU7</f>
        <v>0.16206568855196593</v>
      </c>
      <c r="CW194" s="526">
        <f ca="1">Financials!CV74/Financials!CV7</f>
        <v>0.17484321489536003</v>
      </c>
      <c r="CX194" s="525">
        <f ca="1">Financials!CW74/Financials!CW7</f>
        <v>0.17016431874537175</v>
      </c>
      <c r="CY194" s="200">
        <f ca="1">Financials!CX74/Financials!CX7</f>
        <v>0.18958519686041925</v>
      </c>
      <c r="CZ194" s="200">
        <f ca="1">Financials!CY74/Financials!CY7</f>
        <v>0.15641207372287319</v>
      </c>
      <c r="DA194" s="200">
        <f ca="1">Financials!CZ74/Financials!CZ7</f>
        <v>0.1634316755116729</v>
      </c>
      <c r="DB194" s="526">
        <f ca="1">Financials!DA74/Financials!DA7</f>
        <v>0.17599820663318225</v>
      </c>
      <c r="DC194" s="525">
        <f ca="1">Financials!DB74/Financials!DB7</f>
        <v>0.17161065165383371</v>
      </c>
      <c r="DD194" s="200">
        <f ca="1">Financials!DC74/Financials!DC7</f>
        <v>0.19078926279345956</v>
      </c>
      <c r="DE194" s="200">
        <f ca="1">Financials!DD74/Financials!DD7</f>
        <v>0.15770405144518543</v>
      </c>
      <c r="DF194" s="200">
        <f ca="1">Financials!DE74/Financials!DE7</f>
        <v>0.1643969626523821</v>
      </c>
      <c r="DG194" s="526">
        <f ca="1">Financials!DF74/Financials!DF7</f>
        <v>0.17674957167980054</v>
      </c>
      <c r="DH194" s="525">
        <f ca="1">Financials!DG74/Financials!DG7</f>
        <v>0.17264914896373085</v>
      </c>
    </row>
    <row r="195" spans="1:112" ht="12.75" hidden="1" customHeight="1" outlineLevel="1" x14ac:dyDescent="0.2">
      <c r="A195" s="368" t="s">
        <v>325</v>
      </c>
      <c r="B195" s="104"/>
      <c r="C195" s="158"/>
      <c r="D195" s="158"/>
      <c r="E195" s="158"/>
      <c r="F195" s="158"/>
      <c r="G195" s="269"/>
      <c r="H195" s="158"/>
      <c r="I195" s="158"/>
      <c r="J195" s="158"/>
      <c r="K195" s="158"/>
      <c r="L195" s="269"/>
      <c r="M195" s="158"/>
      <c r="N195" s="158"/>
      <c r="O195" s="158"/>
      <c r="P195" s="158"/>
      <c r="Q195" s="269"/>
      <c r="R195" s="158"/>
      <c r="S195" s="158"/>
      <c r="T195" s="158"/>
      <c r="U195" s="158"/>
      <c r="V195" s="269"/>
      <c r="W195" s="158"/>
      <c r="X195" s="158"/>
      <c r="Y195" s="158"/>
      <c r="Z195" s="158"/>
      <c r="AA195" s="269"/>
      <c r="AB195" s="158"/>
      <c r="AC195" s="158"/>
      <c r="AD195" s="158"/>
      <c r="AE195" s="158"/>
      <c r="AF195" s="269"/>
      <c r="AG195" s="200"/>
      <c r="AH195" s="200"/>
      <c r="AI195" s="200"/>
      <c r="AJ195" s="200"/>
      <c r="AK195" s="417"/>
      <c r="AL195" s="200"/>
      <c r="AM195" s="200"/>
      <c r="AN195" s="200"/>
      <c r="AO195" s="200"/>
      <c r="AP195" s="417"/>
      <c r="AQ195" s="200"/>
      <c r="AR195" s="200"/>
      <c r="AS195" s="200"/>
      <c r="AT195" s="200"/>
      <c r="AU195" s="417"/>
      <c r="AV195" s="200"/>
      <c r="AW195" s="200"/>
      <c r="AX195" s="200"/>
      <c r="AY195" s="104"/>
      <c r="AZ195" s="186"/>
      <c r="BA195" s="200"/>
      <c r="BB195" s="200"/>
      <c r="BC195" s="200"/>
      <c r="BD195" s="99"/>
      <c r="BE195" s="186"/>
      <c r="BF195" s="200"/>
      <c r="BG195" s="200"/>
      <c r="BH195" s="200"/>
      <c r="BI195" s="99"/>
      <c r="BJ195" s="186"/>
      <c r="BK195" s="200"/>
      <c r="BL195" s="200"/>
      <c r="BM195" s="200"/>
      <c r="BN195" s="99"/>
      <c r="BO195" s="186"/>
      <c r="BP195" s="200"/>
      <c r="BQ195" s="200"/>
      <c r="BR195" s="200"/>
      <c r="BS195" s="99"/>
      <c r="BT195" s="186"/>
      <c r="BU195" s="200"/>
      <c r="BV195" s="200"/>
      <c r="BW195" s="200"/>
      <c r="BX195" s="99"/>
      <c r="BY195" s="186"/>
      <c r="BZ195" s="200"/>
      <c r="CA195" s="200"/>
      <c r="CB195" s="200"/>
      <c r="CC195" s="99"/>
      <c r="CD195" s="186"/>
      <c r="CE195" s="99"/>
      <c r="CF195" s="200"/>
      <c r="CG195" s="200"/>
      <c r="CH195" s="99"/>
      <c r="CI195" s="186"/>
      <c r="CJ195" s="200"/>
      <c r="CK195" s="200"/>
      <c r="CL195" s="200"/>
      <c r="CM195" s="99"/>
      <c r="CN195" s="186"/>
      <c r="CO195" s="200"/>
      <c r="CP195" s="200"/>
      <c r="CQ195" s="200"/>
      <c r="CR195" s="99"/>
      <c r="CS195" s="186"/>
      <c r="CT195" s="200"/>
      <c r="CU195" s="200"/>
      <c r="CV195" s="200"/>
      <c r="CW195" s="99"/>
      <c r="CX195" s="186"/>
      <c r="CY195" s="200"/>
      <c r="CZ195" s="200"/>
      <c r="DA195" s="200"/>
      <c r="DB195" s="99"/>
      <c r="DC195" s="186"/>
      <c r="DD195" s="200"/>
      <c r="DE195" s="200"/>
      <c r="DF195" s="200"/>
      <c r="DG195" s="99"/>
      <c r="DH195" s="186"/>
    </row>
    <row r="196" spans="1:112" ht="12.75" hidden="1" customHeight="1" outlineLevel="1" x14ac:dyDescent="0.2">
      <c r="A196" s="101" t="s">
        <v>217</v>
      </c>
      <c r="B196" s="104"/>
      <c r="C196" s="158"/>
      <c r="D196" s="158"/>
      <c r="E196" s="158"/>
      <c r="F196" s="158"/>
      <c r="G196" s="269"/>
      <c r="H196" s="158"/>
      <c r="I196" s="158"/>
      <c r="J196" s="158"/>
      <c r="K196" s="158"/>
      <c r="L196" s="269"/>
      <c r="M196" s="158"/>
      <c r="N196" s="158"/>
      <c r="O196" s="158"/>
      <c r="P196" s="158"/>
      <c r="Q196" s="269"/>
      <c r="R196" s="158"/>
      <c r="S196" s="158"/>
      <c r="T196" s="158"/>
      <c r="U196" s="158"/>
      <c r="V196" s="269"/>
      <c r="W196" s="158"/>
      <c r="X196" s="158"/>
      <c r="Y196" s="158"/>
      <c r="Z196" s="158"/>
      <c r="AA196" s="269"/>
      <c r="AB196" s="158"/>
      <c r="AC196" s="158"/>
      <c r="AD196" s="158"/>
      <c r="AE196" s="158"/>
      <c r="AF196" s="269"/>
      <c r="AG196" s="200"/>
      <c r="AH196" s="200"/>
      <c r="AI196" s="200"/>
      <c r="AJ196" s="200"/>
      <c r="AK196" s="185">
        <v>0.2201010668163953</v>
      </c>
      <c r="AL196" s="200"/>
      <c r="AM196" s="200"/>
      <c r="AN196" s="200"/>
      <c r="AO196" s="200"/>
      <c r="AP196" s="185">
        <v>0.20638414969730326</v>
      </c>
      <c r="AQ196" s="47">
        <v>0.2402464065708419</v>
      </c>
      <c r="AR196" s="47">
        <v>0.19612590799031476</v>
      </c>
      <c r="AS196" s="200"/>
      <c r="AT196" s="200"/>
      <c r="AU196" s="185">
        <v>0.23093681917211328</v>
      </c>
      <c r="AV196" s="47">
        <v>0.26651982378854627</v>
      </c>
      <c r="AW196" s="47">
        <v>0.19312169312169311</v>
      </c>
      <c r="AX196" s="200"/>
      <c r="AY196" s="104"/>
      <c r="AZ196" s="186"/>
      <c r="BA196" s="200"/>
      <c r="BB196" s="200"/>
      <c r="BC196" s="200"/>
      <c r="BD196" s="99"/>
      <c r="BE196" s="186"/>
      <c r="BF196" s="200"/>
      <c r="BG196" s="200"/>
      <c r="BH196" s="200"/>
      <c r="BI196" s="99"/>
      <c r="BJ196" s="186"/>
      <c r="BK196" s="200"/>
      <c r="BL196" s="200"/>
      <c r="BM196" s="200"/>
      <c r="BN196" s="99"/>
      <c r="BO196" s="186"/>
      <c r="BP196" s="200"/>
      <c r="BQ196" s="200"/>
      <c r="BR196" s="200"/>
      <c r="BS196" s="99"/>
      <c r="BT196" s="186"/>
      <c r="BU196" s="200"/>
      <c r="BV196" s="200"/>
      <c r="BW196" s="200"/>
      <c r="BX196" s="99"/>
      <c r="BY196" s="186"/>
      <c r="BZ196" s="200"/>
      <c r="CA196" s="200"/>
      <c r="CB196" s="200"/>
      <c r="CC196" s="99"/>
      <c r="CD196" s="186"/>
      <c r="CE196" s="99"/>
      <c r="CF196" s="200"/>
      <c r="CG196" s="200"/>
      <c r="CH196" s="99"/>
      <c r="CI196" s="186"/>
      <c r="CJ196" s="200"/>
      <c r="CK196" s="200"/>
      <c r="CL196" s="200"/>
      <c r="CM196" s="99"/>
      <c r="CN196" s="186"/>
      <c r="CO196" s="200"/>
      <c r="CP196" s="200"/>
      <c r="CQ196" s="200"/>
      <c r="CR196" s="99"/>
      <c r="CS196" s="186"/>
      <c r="CT196" s="200"/>
      <c r="CU196" s="200"/>
      <c r="CV196" s="200"/>
      <c r="CW196" s="99"/>
      <c r="CX196" s="186"/>
      <c r="CY196" s="200"/>
      <c r="CZ196" s="200"/>
      <c r="DA196" s="200"/>
      <c r="DB196" s="99"/>
      <c r="DC196" s="186"/>
      <c r="DD196" s="200"/>
      <c r="DE196" s="200"/>
      <c r="DF196" s="200"/>
      <c r="DG196" s="99"/>
      <c r="DH196" s="186"/>
    </row>
    <row r="197" spans="1:112" ht="12.75" hidden="1" customHeight="1" outlineLevel="1" x14ac:dyDescent="0.2">
      <c r="A197" s="101" t="s">
        <v>218</v>
      </c>
      <c r="B197" s="104"/>
      <c r="C197" s="158"/>
      <c r="D197" s="158"/>
      <c r="E197" s="158"/>
      <c r="F197" s="158"/>
      <c r="G197" s="269"/>
      <c r="H197" s="158"/>
      <c r="I197" s="158"/>
      <c r="J197" s="158"/>
      <c r="K197" s="158"/>
      <c r="L197" s="269"/>
      <c r="M197" s="158"/>
      <c r="N197" s="158"/>
      <c r="O197" s="158"/>
      <c r="P197" s="158"/>
      <c r="Q197" s="269"/>
      <c r="R197" s="158"/>
      <c r="S197" s="158"/>
      <c r="T197" s="158"/>
      <c r="U197" s="158"/>
      <c r="V197" s="269"/>
      <c r="W197" s="158"/>
      <c r="X197" s="158"/>
      <c r="Y197" s="158"/>
      <c r="Z197" s="158"/>
      <c r="AA197" s="269"/>
      <c r="AB197" s="158"/>
      <c r="AC197" s="158"/>
      <c r="AD197" s="158"/>
      <c r="AE197" s="158"/>
      <c r="AF197" s="269"/>
      <c r="AG197" s="200"/>
      <c r="AH197" s="200"/>
      <c r="AI197" s="200"/>
      <c r="AJ197" s="200"/>
      <c r="AK197" s="185">
        <v>0.13997555012224938</v>
      </c>
      <c r="AL197" s="200"/>
      <c r="AM197" s="200"/>
      <c r="AN197" s="200"/>
      <c r="AO197" s="200"/>
      <c r="AP197" s="185">
        <v>0.15135453474676089</v>
      </c>
      <c r="AQ197" s="47">
        <v>0.15258215962441316</v>
      </c>
      <c r="AR197" s="47">
        <v>7.6271186440677971E-2</v>
      </c>
      <c r="AS197" s="200"/>
      <c r="AT197" s="200"/>
      <c r="AU197" s="185">
        <v>0.17207415990730013</v>
      </c>
      <c r="AV197" s="47">
        <v>0.14698162729658792</v>
      </c>
      <c r="AW197" s="47">
        <v>8.6826347305389226E-2</v>
      </c>
      <c r="AX197" s="200"/>
      <c r="AY197" s="104"/>
      <c r="AZ197" s="186"/>
      <c r="BA197" s="200"/>
      <c r="BB197" s="200"/>
      <c r="BC197" s="200"/>
      <c r="BD197" s="99"/>
      <c r="BE197" s="186"/>
      <c r="BF197" s="200"/>
      <c r="BG197" s="200"/>
      <c r="BH197" s="200"/>
      <c r="BI197" s="99"/>
      <c r="BJ197" s="186"/>
      <c r="BK197" s="200"/>
      <c r="BL197" s="200"/>
      <c r="BM197" s="200"/>
      <c r="BN197" s="99"/>
      <c r="BO197" s="186"/>
      <c r="BP197" s="200"/>
      <c r="BQ197" s="200"/>
      <c r="BR197" s="200"/>
      <c r="BS197" s="99"/>
      <c r="BT197" s="186"/>
      <c r="BU197" s="200"/>
      <c r="BV197" s="200"/>
      <c r="BW197" s="200"/>
      <c r="BX197" s="99"/>
      <c r="BY197" s="186"/>
      <c r="BZ197" s="200"/>
      <c r="CA197" s="200"/>
      <c r="CB197" s="200"/>
      <c r="CC197" s="99"/>
      <c r="CD197" s="186"/>
      <c r="CE197" s="99"/>
      <c r="CF197" s="200"/>
      <c r="CG197" s="200"/>
      <c r="CH197" s="99"/>
      <c r="CI197" s="186"/>
      <c r="CJ197" s="200"/>
      <c r="CK197" s="200"/>
      <c r="CL197" s="200"/>
      <c r="CM197" s="99"/>
      <c r="CN197" s="186"/>
      <c r="CO197" s="200"/>
      <c r="CP197" s="200"/>
      <c r="CQ197" s="200"/>
      <c r="CR197" s="99"/>
      <c r="CS197" s="186"/>
      <c r="CT197" s="200"/>
      <c r="CU197" s="200"/>
      <c r="CV197" s="200"/>
      <c r="CW197" s="99"/>
      <c r="CX197" s="186"/>
      <c r="CY197" s="200"/>
      <c r="CZ197" s="200"/>
      <c r="DA197" s="200"/>
      <c r="DB197" s="99"/>
      <c r="DC197" s="186"/>
      <c r="DD197" s="200"/>
      <c r="DE197" s="200"/>
      <c r="DF197" s="200"/>
      <c r="DG197" s="99"/>
      <c r="DH197" s="186"/>
    </row>
    <row r="198" spans="1:112" ht="12.75" hidden="1" customHeight="1" outlineLevel="1" x14ac:dyDescent="0.2">
      <c r="A198" s="101" t="s">
        <v>219</v>
      </c>
      <c r="B198" s="104"/>
      <c r="C198" s="158"/>
      <c r="D198" s="158"/>
      <c r="E198" s="158"/>
      <c r="F198" s="158"/>
      <c r="G198" s="269"/>
      <c r="H198" s="158"/>
      <c r="I198" s="158"/>
      <c r="J198" s="158"/>
      <c r="K198" s="158"/>
      <c r="L198" s="269"/>
      <c r="M198" s="158"/>
      <c r="N198" s="158"/>
      <c r="O198" s="158"/>
      <c r="P198" s="158"/>
      <c r="Q198" s="269"/>
      <c r="R198" s="158"/>
      <c r="S198" s="158"/>
      <c r="T198" s="158"/>
      <c r="U198" s="158"/>
      <c r="V198" s="269"/>
      <c r="W198" s="158"/>
      <c r="X198" s="158"/>
      <c r="Y198" s="158"/>
      <c r="Z198" s="158"/>
      <c r="AA198" s="269"/>
      <c r="AB198" s="158"/>
      <c r="AC198" s="158"/>
      <c r="AD198" s="158"/>
      <c r="AE198" s="158"/>
      <c r="AF198" s="269"/>
      <c r="AG198" s="200"/>
      <c r="AH198" s="200"/>
      <c r="AI198" s="200"/>
      <c r="AJ198" s="200"/>
      <c r="AK198" s="185">
        <f>AK190</f>
        <v>0.36399217221135027</v>
      </c>
      <c r="AL198" s="200"/>
      <c r="AM198" s="200"/>
      <c r="AN198" s="200"/>
      <c r="AO198" s="200"/>
      <c r="AP198" s="185">
        <f>AP190</f>
        <v>0.30325443786982248</v>
      </c>
      <c r="AQ198" s="47">
        <f>AQ190</f>
        <v>0.28865979381443296</v>
      </c>
      <c r="AR198" s="47">
        <f>AR190</f>
        <v>0.34715025906735753</v>
      </c>
      <c r="AS198" s="200"/>
      <c r="AT198" s="200"/>
      <c r="AU198" s="185">
        <f>AU190</f>
        <v>0.33210332103321033</v>
      </c>
      <c r="AV198" s="47">
        <f>AV190</f>
        <v>0.33</v>
      </c>
      <c r="AW198" s="47">
        <f>AW190</f>
        <v>0.36792452830188677</v>
      </c>
      <c r="AX198" s="200"/>
      <c r="AY198" s="104"/>
      <c r="AZ198" s="186"/>
      <c r="BA198" s="200"/>
      <c r="BB198" s="200"/>
      <c r="BC198" s="200"/>
      <c r="BD198" s="99"/>
      <c r="BE198" s="186"/>
      <c r="BF198" s="200"/>
      <c r="BG198" s="200"/>
      <c r="BH198" s="200"/>
      <c r="BI198" s="99"/>
      <c r="BJ198" s="186"/>
      <c r="BK198" s="200"/>
      <c r="BL198" s="200"/>
      <c r="BM198" s="200"/>
      <c r="BN198" s="99"/>
      <c r="BO198" s="186"/>
      <c r="BP198" s="200"/>
      <c r="BQ198" s="200"/>
      <c r="BR198" s="200"/>
      <c r="BS198" s="99"/>
      <c r="BT198" s="186"/>
      <c r="BU198" s="200"/>
      <c r="BV198" s="200"/>
      <c r="BW198" s="200"/>
      <c r="BX198" s="99"/>
      <c r="BY198" s="186"/>
      <c r="BZ198" s="200"/>
      <c r="CA198" s="200"/>
      <c r="CB198" s="200"/>
      <c r="CC198" s="99"/>
      <c r="CD198" s="186"/>
      <c r="CE198" s="99"/>
      <c r="CF198" s="200"/>
      <c r="CG198" s="200"/>
      <c r="CH198" s="99"/>
      <c r="CI198" s="186"/>
      <c r="CJ198" s="200"/>
      <c r="CK198" s="200"/>
      <c r="CL198" s="200"/>
      <c r="CM198" s="99"/>
      <c r="CN198" s="186"/>
      <c r="CO198" s="200"/>
      <c r="CP198" s="200"/>
      <c r="CQ198" s="200"/>
      <c r="CR198" s="99"/>
      <c r="CS198" s="186"/>
      <c r="CT198" s="200"/>
      <c r="CU198" s="200"/>
      <c r="CV198" s="200"/>
      <c r="CW198" s="99"/>
      <c r="CX198" s="186"/>
      <c r="CY198" s="200"/>
      <c r="CZ198" s="200"/>
      <c r="DA198" s="200"/>
      <c r="DB198" s="99"/>
      <c r="DC198" s="186"/>
      <c r="DD198" s="200"/>
      <c r="DE198" s="200"/>
      <c r="DF198" s="200"/>
      <c r="DG198" s="99"/>
      <c r="DH198" s="186"/>
    </row>
    <row r="199" spans="1:112" ht="12.75" hidden="1" customHeight="1" outlineLevel="1" x14ac:dyDescent="0.2">
      <c r="A199" s="98" t="s">
        <v>220</v>
      </c>
      <c r="B199" s="104"/>
      <c r="C199" s="158"/>
      <c r="D199" s="158"/>
      <c r="E199" s="158"/>
      <c r="F199" s="158"/>
      <c r="G199" s="269"/>
      <c r="H199" s="158"/>
      <c r="I199" s="158"/>
      <c r="J199" s="158"/>
      <c r="K199" s="158"/>
      <c r="L199" s="269"/>
      <c r="M199" s="158"/>
      <c r="N199" s="158"/>
      <c r="O199" s="158"/>
      <c r="P199" s="158"/>
      <c r="Q199" s="269"/>
      <c r="R199" s="158"/>
      <c r="S199" s="158"/>
      <c r="T199" s="158"/>
      <c r="U199" s="158"/>
      <c r="V199" s="269"/>
      <c r="W199" s="158"/>
      <c r="X199" s="158"/>
      <c r="Y199" s="158"/>
      <c r="Z199" s="158"/>
      <c r="AA199" s="269"/>
      <c r="AB199" s="158"/>
      <c r="AC199" s="158"/>
      <c r="AD199" s="158"/>
      <c r="AE199" s="158"/>
      <c r="AF199" s="269"/>
      <c r="AG199" s="200"/>
      <c r="AH199" s="200"/>
      <c r="AI199" s="200"/>
      <c r="AJ199" s="200"/>
      <c r="AK199" s="185">
        <v>0.18498367791077258</v>
      </c>
      <c r="AL199" s="200"/>
      <c r="AM199" s="200"/>
      <c r="AN199" s="200"/>
      <c r="AO199" s="200"/>
      <c r="AP199" s="185">
        <v>0.17190388170055454</v>
      </c>
      <c r="AQ199" s="47">
        <v>0.1263537906137184</v>
      </c>
      <c r="AR199" s="47">
        <v>0.13671875</v>
      </c>
      <c r="AS199" s="200"/>
      <c r="AT199" s="200"/>
      <c r="AU199" s="185">
        <v>0.13302325581395349</v>
      </c>
      <c r="AV199" s="47">
        <v>0.16044776119402984</v>
      </c>
      <c r="AW199" s="47">
        <v>0.10996563573883161</v>
      </c>
      <c r="AX199" s="200"/>
      <c r="AY199" s="104"/>
      <c r="AZ199" s="186"/>
      <c r="BA199" s="200"/>
      <c r="BB199" s="200"/>
      <c r="BC199" s="200"/>
      <c r="BD199" s="99"/>
      <c r="BE199" s="186"/>
      <c r="BF199" s="200"/>
      <c r="BG199" s="200"/>
      <c r="BH199" s="200"/>
      <c r="BI199" s="99"/>
      <c r="BJ199" s="186"/>
      <c r="BK199" s="200"/>
      <c r="BL199" s="200"/>
      <c r="BM199" s="200"/>
      <c r="BN199" s="99"/>
      <c r="BO199" s="186"/>
      <c r="BP199" s="200"/>
      <c r="BQ199" s="200"/>
      <c r="BR199" s="200"/>
      <c r="BS199" s="99"/>
      <c r="BT199" s="186"/>
      <c r="BU199" s="200"/>
      <c r="BV199" s="200"/>
      <c r="BW199" s="200"/>
      <c r="BX199" s="99"/>
      <c r="BY199" s="186"/>
      <c r="BZ199" s="200"/>
      <c r="CA199" s="200"/>
      <c r="CB199" s="200"/>
      <c r="CC199" s="99"/>
      <c r="CD199" s="186"/>
      <c r="CE199" s="99"/>
      <c r="CF199" s="200"/>
      <c r="CG199" s="200"/>
      <c r="CH199" s="99"/>
      <c r="CI199" s="186"/>
      <c r="CJ199" s="200"/>
      <c r="CK199" s="200"/>
      <c r="CL199" s="200"/>
      <c r="CM199" s="99"/>
      <c r="CN199" s="186"/>
      <c r="CO199" s="200"/>
      <c r="CP199" s="200"/>
      <c r="CQ199" s="200"/>
      <c r="CR199" s="99"/>
      <c r="CS199" s="186"/>
      <c r="CT199" s="200"/>
      <c r="CU199" s="200"/>
      <c r="CV199" s="200"/>
      <c r="CW199" s="99"/>
      <c r="CX199" s="186"/>
      <c r="CY199" s="200"/>
      <c r="CZ199" s="200"/>
      <c r="DA199" s="200"/>
      <c r="DB199" s="99"/>
      <c r="DC199" s="186"/>
      <c r="DD199" s="200"/>
      <c r="DE199" s="200"/>
      <c r="DF199" s="200"/>
      <c r="DG199" s="99"/>
      <c r="DH199" s="186"/>
    </row>
    <row r="200" spans="1:112" ht="12.75" hidden="1" customHeight="1" outlineLevel="1" x14ac:dyDescent="0.2">
      <c r="A200" s="98" t="s">
        <v>210</v>
      </c>
      <c r="B200" s="104"/>
      <c r="C200" s="158"/>
      <c r="D200" s="158"/>
      <c r="E200" s="158"/>
      <c r="F200" s="158"/>
      <c r="G200" s="269"/>
      <c r="H200" s="158"/>
      <c r="I200" s="158"/>
      <c r="J200" s="158"/>
      <c r="K200" s="158"/>
      <c r="L200" s="269"/>
      <c r="M200" s="158"/>
      <c r="N200" s="158"/>
      <c r="O200" s="158"/>
      <c r="P200" s="158"/>
      <c r="Q200" s="269"/>
      <c r="R200" s="158"/>
      <c r="S200" s="158"/>
      <c r="T200" s="158"/>
      <c r="U200" s="158"/>
      <c r="V200" s="269"/>
      <c r="W200" s="158"/>
      <c r="X200" s="158"/>
      <c r="Y200" s="158"/>
      <c r="Z200" s="158"/>
      <c r="AA200" s="269"/>
      <c r="AB200" s="158"/>
      <c r="AC200" s="158"/>
      <c r="AD200" s="158"/>
      <c r="AE200" s="158"/>
      <c r="AF200" s="269"/>
      <c r="AG200" s="200"/>
      <c r="AH200" s="200"/>
      <c r="AI200" s="200"/>
      <c r="AJ200" s="200"/>
      <c r="AK200" s="418" t="s">
        <v>310</v>
      </c>
      <c r="AL200" s="200"/>
      <c r="AM200" s="200"/>
      <c r="AN200" s="200"/>
      <c r="AO200" s="200"/>
      <c r="AP200" s="418" t="s">
        <v>310</v>
      </c>
      <c r="AQ200" s="375" t="s">
        <v>310</v>
      </c>
      <c r="AR200" s="375" t="s">
        <v>310</v>
      </c>
      <c r="AS200" s="200"/>
      <c r="AT200" s="200"/>
      <c r="AU200" s="418" t="s">
        <v>310</v>
      </c>
      <c r="AV200" s="375" t="s">
        <v>310</v>
      </c>
      <c r="AW200" s="375" t="s">
        <v>310</v>
      </c>
      <c r="AX200" s="200"/>
      <c r="AY200" s="104"/>
      <c r="AZ200" s="186"/>
      <c r="BA200" s="200"/>
      <c r="BB200" s="200"/>
      <c r="BC200" s="200"/>
      <c r="BD200" s="99"/>
      <c r="BE200" s="186"/>
      <c r="BF200" s="200"/>
      <c r="BG200" s="200"/>
      <c r="BH200" s="200"/>
      <c r="BI200" s="99"/>
      <c r="BJ200" s="186"/>
      <c r="BK200" s="200"/>
      <c r="BL200" s="200"/>
      <c r="BM200" s="200"/>
      <c r="BN200" s="99"/>
      <c r="BO200" s="186"/>
      <c r="BP200" s="200"/>
      <c r="BQ200" s="200"/>
      <c r="BR200" s="200"/>
      <c r="BS200" s="99"/>
      <c r="BT200" s="186"/>
      <c r="BU200" s="200"/>
      <c r="BV200" s="200"/>
      <c r="BW200" s="200"/>
      <c r="BX200" s="99"/>
      <c r="BY200" s="186"/>
      <c r="BZ200" s="200"/>
      <c r="CA200" s="200"/>
      <c r="CB200" s="200"/>
      <c r="CC200" s="99"/>
      <c r="CD200" s="186"/>
      <c r="CE200" s="99"/>
      <c r="CF200" s="200"/>
      <c r="CG200" s="200"/>
      <c r="CH200" s="99"/>
      <c r="CI200" s="186"/>
      <c r="CJ200" s="200"/>
      <c r="CK200" s="200"/>
      <c r="CL200" s="200"/>
      <c r="CM200" s="99"/>
      <c r="CN200" s="186"/>
      <c r="CO200" s="200"/>
      <c r="CP200" s="200"/>
      <c r="CQ200" s="200"/>
      <c r="CR200" s="99"/>
      <c r="CS200" s="186"/>
      <c r="CT200" s="200"/>
      <c r="CU200" s="200"/>
      <c r="CV200" s="200"/>
      <c r="CW200" s="99"/>
      <c r="CX200" s="186"/>
      <c r="CY200" s="200"/>
      <c r="CZ200" s="200"/>
      <c r="DA200" s="200"/>
      <c r="DB200" s="99"/>
      <c r="DC200" s="186"/>
      <c r="DD200" s="200"/>
      <c r="DE200" s="200"/>
      <c r="DF200" s="200"/>
      <c r="DG200" s="99"/>
      <c r="DH200" s="186"/>
    </row>
    <row r="201" spans="1:112" ht="12.75" hidden="1" customHeight="1" outlineLevel="1" x14ac:dyDescent="0.2">
      <c r="A201" s="371" t="s">
        <v>241</v>
      </c>
      <c r="B201" s="247"/>
      <c r="C201" s="372"/>
      <c r="D201" s="372"/>
      <c r="E201" s="372"/>
      <c r="F201" s="372"/>
      <c r="G201" s="516"/>
      <c r="H201" s="372"/>
      <c r="I201" s="372"/>
      <c r="J201" s="372"/>
      <c r="K201" s="372"/>
      <c r="L201" s="516"/>
      <c r="M201" s="372"/>
      <c r="N201" s="372"/>
      <c r="O201" s="372"/>
      <c r="P201" s="372"/>
      <c r="Q201" s="516"/>
      <c r="R201" s="372"/>
      <c r="S201" s="372"/>
      <c r="T201" s="372"/>
      <c r="U201" s="372"/>
      <c r="V201" s="516"/>
      <c r="W201" s="372"/>
      <c r="X201" s="372"/>
      <c r="Y201" s="372"/>
      <c r="Z201" s="372"/>
      <c r="AA201" s="516"/>
      <c r="AB201" s="372"/>
      <c r="AC201" s="372"/>
      <c r="AD201" s="372"/>
      <c r="AE201" s="372"/>
      <c r="AF201" s="516"/>
      <c r="AG201" s="247"/>
      <c r="AH201" s="247"/>
      <c r="AI201" s="247"/>
      <c r="AJ201" s="247"/>
      <c r="AK201" s="347">
        <v>0.17928615638539303</v>
      </c>
      <c r="AL201" s="247"/>
      <c r="AM201" s="247"/>
      <c r="AN201" s="247"/>
      <c r="AO201" s="247"/>
      <c r="AP201" s="347">
        <v>0.17447373411720082</v>
      </c>
      <c r="AQ201" s="247">
        <v>0.16907514450867053</v>
      </c>
      <c r="AR201" s="247">
        <v>0.14638157894736842</v>
      </c>
      <c r="AS201" s="247"/>
      <c r="AT201" s="247"/>
      <c r="AU201" s="347">
        <v>0.1855045871559633</v>
      </c>
      <c r="AV201" s="247">
        <v>0.19877206446661549</v>
      </c>
      <c r="AW201" s="247">
        <v>0.14814814814814814</v>
      </c>
      <c r="AX201" s="247"/>
      <c r="AY201" s="247"/>
      <c r="AZ201" s="373"/>
      <c r="BA201" s="247"/>
      <c r="BB201" s="247"/>
      <c r="BC201" s="247"/>
      <c r="BD201" s="374"/>
      <c r="BE201" s="373"/>
      <c r="BF201" s="247"/>
      <c r="BG201" s="247"/>
      <c r="BH201" s="247"/>
      <c r="BI201" s="374"/>
      <c r="BJ201" s="373"/>
      <c r="BK201" s="247"/>
      <c r="BL201" s="247"/>
      <c r="BM201" s="247"/>
      <c r="BN201" s="374"/>
      <c r="BO201" s="373"/>
      <c r="BP201" s="247"/>
      <c r="BQ201" s="247"/>
      <c r="BR201" s="247"/>
      <c r="BS201" s="374"/>
      <c r="BT201" s="373"/>
      <c r="BU201" s="247"/>
      <c r="BV201" s="247"/>
      <c r="BW201" s="247"/>
      <c r="BX201" s="374"/>
      <c r="BY201" s="373"/>
      <c r="BZ201" s="247"/>
      <c r="CA201" s="247"/>
      <c r="CB201" s="247"/>
      <c r="CC201" s="374"/>
      <c r="CD201" s="373"/>
      <c r="CE201" s="374"/>
      <c r="CF201" s="247"/>
      <c r="CG201" s="247"/>
      <c r="CH201" s="374"/>
      <c r="CI201" s="373"/>
      <c r="CJ201" s="247"/>
      <c r="CK201" s="247"/>
      <c r="CL201" s="247"/>
      <c r="CM201" s="374"/>
      <c r="CN201" s="373"/>
      <c r="CO201" s="247"/>
      <c r="CP201" s="247"/>
      <c r="CQ201" s="247"/>
      <c r="CR201" s="374"/>
      <c r="CS201" s="373"/>
      <c r="CT201" s="247"/>
      <c r="CU201" s="247"/>
      <c r="CV201" s="247"/>
      <c r="CW201" s="374"/>
      <c r="CX201" s="373"/>
      <c r="CY201" s="247"/>
      <c r="CZ201" s="247"/>
      <c r="DA201" s="247"/>
      <c r="DB201" s="374"/>
      <c r="DC201" s="373"/>
      <c r="DD201" s="247"/>
      <c r="DE201" s="247"/>
      <c r="DF201" s="247"/>
      <c r="DG201" s="374"/>
      <c r="DH201" s="373"/>
    </row>
    <row r="202" spans="1:112" ht="12.75" customHeight="1" collapsed="1" x14ac:dyDescent="0.2">
      <c r="A202" s="206"/>
      <c r="B202" s="104"/>
      <c r="C202" s="158"/>
      <c r="D202" s="158"/>
      <c r="E202" s="158"/>
      <c r="F202" s="158"/>
      <c r="G202" s="269"/>
      <c r="H202" s="158"/>
      <c r="I202" s="158"/>
      <c r="J202" s="158"/>
      <c r="K202" s="158"/>
      <c r="L202" s="269"/>
      <c r="M202" s="158"/>
      <c r="N202" s="158"/>
      <c r="O202" s="158"/>
      <c r="P202" s="158"/>
      <c r="Q202" s="269"/>
      <c r="R202" s="158"/>
      <c r="S202" s="158"/>
      <c r="T202" s="158"/>
      <c r="U202" s="158"/>
      <c r="V202" s="269"/>
      <c r="W202" s="158"/>
      <c r="X202" s="158"/>
      <c r="Y202" s="158"/>
      <c r="Z202" s="158"/>
      <c r="AA202" s="269"/>
      <c r="AB202" s="158"/>
      <c r="AC202" s="158"/>
      <c r="AD202" s="158"/>
      <c r="AE202" s="158"/>
      <c r="AF202" s="269"/>
      <c r="AG202" s="158"/>
      <c r="AH202" s="158"/>
      <c r="AI202" s="158"/>
      <c r="AJ202" s="158"/>
      <c r="AK202" s="186"/>
      <c r="AL202" s="158"/>
      <c r="AM202" s="158"/>
      <c r="AN202" s="158"/>
      <c r="AO202" s="158"/>
      <c r="AP202" s="186"/>
      <c r="AQ202" s="104"/>
      <c r="AR202" s="104"/>
      <c r="AS202" s="104"/>
      <c r="AT202" s="104"/>
      <c r="AU202" s="184"/>
      <c r="AV202" s="48"/>
      <c r="AW202" s="104"/>
      <c r="AX202" s="104"/>
      <c r="AY202" s="104"/>
      <c r="AZ202" s="186"/>
      <c r="BA202" s="48"/>
      <c r="BB202" s="104"/>
      <c r="BC202" s="104"/>
      <c r="BD202" s="104"/>
      <c r="BE202" s="186"/>
      <c r="BF202" s="104"/>
      <c r="BG202" s="104"/>
      <c r="BH202" s="104"/>
      <c r="BI202" s="158"/>
      <c r="BJ202" s="186"/>
      <c r="BK202" s="104"/>
      <c r="BL202" s="104"/>
      <c r="BM202" s="104"/>
      <c r="BN202" s="158"/>
      <c r="BO202" s="186"/>
      <c r="BP202" s="104"/>
      <c r="BQ202" s="104"/>
      <c r="BR202" s="104"/>
      <c r="BS202" s="158"/>
      <c r="BT202" s="186"/>
      <c r="BU202" s="104"/>
      <c r="BV202" s="104"/>
      <c r="BW202" s="104"/>
      <c r="BX202" s="104"/>
      <c r="BY202" s="186"/>
      <c r="BZ202" s="104"/>
      <c r="CA202" s="104"/>
      <c r="CB202" s="104"/>
      <c r="CC202" s="158"/>
      <c r="CD202" s="186"/>
      <c r="CE202" s="158"/>
      <c r="CF202" s="104"/>
      <c r="CG202" s="104"/>
      <c r="CH202" s="158"/>
      <c r="CI202" s="186"/>
      <c r="CJ202" s="104"/>
      <c r="CK202" s="104"/>
      <c r="CL202" s="104"/>
      <c r="CM202" s="158"/>
      <c r="CN202" s="186"/>
      <c r="CO202" s="104"/>
      <c r="CP202" s="104"/>
      <c r="CQ202" s="104"/>
      <c r="CR202" s="158"/>
      <c r="CS202" s="186"/>
      <c r="CT202" s="104"/>
      <c r="CU202" s="104"/>
      <c r="CV202" s="104"/>
      <c r="CW202" s="158"/>
      <c r="CX202" s="186"/>
      <c r="CY202" s="104"/>
      <c r="CZ202" s="104"/>
      <c r="DA202" s="104"/>
      <c r="DB202" s="158"/>
      <c r="DC202" s="186"/>
      <c r="DD202" s="104"/>
      <c r="DE202" s="104"/>
      <c r="DF202" s="104"/>
      <c r="DG202" s="158"/>
      <c r="DH202" s="186"/>
    </row>
    <row r="203" spans="1:112" ht="12.75" hidden="1" customHeight="1" outlineLevel="1" x14ac:dyDescent="0.2">
      <c r="A203" s="368" t="s">
        <v>215</v>
      </c>
      <c r="B203" s="104"/>
      <c r="C203" s="158"/>
      <c r="D203" s="158"/>
      <c r="E203" s="158"/>
      <c r="F203" s="158"/>
      <c r="G203" s="269"/>
      <c r="H203" s="158"/>
      <c r="I203" s="158"/>
      <c r="J203" s="158"/>
      <c r="K203" s="158"/>
      <c r="L203" s="269"/>
      <c r="M203" s="158"/>
      <c r="N203" s="158"/>
      <c r="O203" s="158"/>
      <c r="P203" s="158"/>
      <c r="Q203" s="269"/>
      <c r="R203" s="158"/>
      <c r="S203" s="158"/>
      <c r="T203" s="158"/>
      <c r="U203" s="158"/>
      <c r="V203" s="269"/>
      <c r="W203" s="158"/>
      <c r="X203" s="158"/>
      <c r="Y203" s="158"/>
      <c r="Z203" s="158"/>
      <c r="AA203" s="269"/>
      <c r="AB203" s="158"/>
      <c r="AC203" s="158"/>
      <c r="AD203" s="158"/>
      <c r="AE203" s="158"/>
      <c r="AF203" s="269"/>
      <c r="AG203" s="158"/>
      <c r="AH203" s="158"/>
      <c r="AI203" s="158"/>
      <c r="AJ203" s="158"/>
      <c r="AK203" s="186"/>
      <c r="AL203" s="158"/>
      <c r="AM203" s="158"/>
      <c r="AN203" s="158"/>
      <c r="AO203" s="158"/>
      <c r="AP203" s="186"/>
      <c r="AQ203" s="104"/>
      <c r="AR203" s="104"/>
      <c r="AS203" s="104"/>
      <c r="AT203" s="104"/>
      <c r="AU203" s="184"/>
      <c r="AV203" s="48"/>
      <c r="AW203" s="104"/>
      <c r="AX203" s="104"/>
      <c r="AY203" s="104"/>
      <c r="AZ203" s="186"/>
      <c r="BA203" s="48"/>
      <c r="BB203" s="104"/>
      <c r="BC203" s="104"/>
      <c r="BD203" s="104"/>
      <c r="BE203" s="186"/>
      <c r="BF203" s="104"/>
      <c r="BG203" s="104"/>
      <c r="BH203" s="104"/>
      <c r="BI203" s="158"/>
      <c r="BJ203" s="186"/>
      <c r="BK203" s="104"/>
      <c r="BL203" s="104"/>
      <c r="BM203" s="104"/>
      <c r="BN203" s="158"/>
      <c r="BO203" s="186"/>
      <c r="BP203" s="104"/>
      <c r="BQ203" s="104"/>
      <c r="BR203" s="104"/>
      <c r="BS203" s="158"/>
      <c r="BT203" s="186"/>
      <c r="BU203" s="104"/>
      <c r="BV203" s="104"/>
      <c r="BW203" s="104"/>
      <c r="BX203" s="158"/>
      <c r="BY203" s="186"/>
      <c r="BZ203" s="104"/>
      <c r="CA203" s="104"/>
      <c r="CB203" s="104"/>
      <c r="CC203" s="158"/>
      <c r="CD203" s="186"/>
      <c r="CE203" s="158"/>
      <c r="CF203" s="104"/>
      <c r="CG203" s="104"/>
      <c r="CH203" s="158"/>
      <c r="CI203" s="186"/>
      <c r="CJ203" s="104"/>
      <c r="CK203" s="104"/>
      <c r="CL203" s="104"/>
      <c r="CM203" s="158"/>
      <c r="CN203" s="186"/>
      <c r="CO203" s="104"/>
      <c r="CP203" s="104"/>
      <c r="CQ203" s="104"/>
      <c r="CR203" s="158"/>
      <c r="CS203" s="186"/>
      <c r="CT203" s="104"/>
      <c r="CU203" s="104"/>
      <c r="CV203" s="104"/>
      <c r="CW203" s="158"/>
      <c r="CX203" s="186"/>
      <c r="CY203" s="104"/>
      <c r="CZ203" s="104"/>
      <c r="DA203" s="104"/>
      <c r="DB203" s="158"/>
      <c r="DC203" s="186"/>
      <c r="DD203" s="104"/>
      <c r="DE203" s="104"/>
      <c r="DF203" s="104"/>
      <c r="DG203" s="158"/>
      <c r="DH203" s="186"/>
    </row>
    <row r="204" spans="1:112" ht="12.75" hidden="1" customHeight="1" outlineLevel="1" x14ac:dyDescent="0.2">
      <c r="A204" s="366" t="s">
        <v>229</v>
      </c>
      <c r="B204" s="104"/>
      <c r="C204" s="158"/>
      <c r="D204" s="158"/>
      <c r="E204" s="158"/>
      <c r="F204" s="158"/>
      <c r="G204" s="269"/>
      <c r="H204" s="158"/>
      <c r="I204" s="158"/>
      <c r="J204" s="158"/>
      <c r="K204" s="158"/>
      <c r="L204" s="269"/>
      <c r="M204" s="158"/>
      <c r="N204" s="158"/>
      <c r="O204" s="158"/>
      <c r="P204" s="158"/>
      <c r="Q204" s="269"/>
      <c r="R204" s="158"/>
      <c r="S204" s="158"/>
      <c r="T204" s="158"/>
      <c r="U204" s="158"/>
      <c r="V204" s="269"/>
      <c r="W204" s="158"/>
      <c r="X204" s="158"/>
      <c r="Y204" s="158"/>
      <c r="Z204" s="158"/>
      <c r="AA204" s="269"/>
      <c r="AB204" s="158"/>
      <c r="AC204" s="158"/>
      <c r="AD204" s="158"/>
      <c r="AE204" s="158"/>
      <c r="AF204" s="269"/>
      <c r="AG204" s="158"/>
      <c r="AH204" s="158"/>
      <c r="AI204" s="158"/>
      <c r="AJ204" s="158"/>
      <c r="AK204" s="186"/>
      <c r="AL204" s="158"/>
      <c r="AM204" s="158"/>
      <c r="AN204" s="158"/>
      <c r="AO204" s="158"/>
      <c r="AP204" s="186"/>
      <c r="AQ204" s="104"/>
      <c r="AR204" s="104"/>
      <c r="AS204" s="104"/>
      <c r="AT204" s="104"/>
      <c r="AU204" s="184"/>
      <c r="AV204" s="48"/>
      <c r="AW204" s="104"/>
      <c r="AX204" s="104"/>
      <c r="AY204" s="104"/>
      <c r="AZ204" s="186"/>
      <c r="BA204" s="48"/>
      <c r="BB204" s="104"/>
      <c r="BC204" s="104"/>
      <c r="BD204" s="104"/>
      <c r="BE204" s="186"/>
      <c r="BF204" s="104"/>
      <c r="BG204" s="104"/>
      <c r="BH204" s="104"/>
      <c r="BI204" s="158"/>
      <c r="BJ204" s="186"/>
      <c r="BK204" s="104"/>
      <c r="BL204" s="104"/>
      <c r="BM204" s="104"/>
      <c r="BN204" s="158"/>
      <c r="BO204" s="186"/>
      <c r="BP204" s="104"/>
      <c r="BQ204" s="104"/>
      <c r="BR204" s="104"/>
      <c r="BS204" s="158"/>
      <c r="BT204" s="186"/>
      <c r="BU204" s="104"/>
      <c r="BV204" s="104"/>
      <c r="BW204" s="104"/>
      <c r="BX204" s="158"/>
      <c r="BY204" s="186"/>
      <c r="BZ204" s="104"/>
      <c r="CA204" s="104"/>
      <c r="CB204" s="104"/>
      <c r="CC204" s="158"/>
      <c r="CD204" s="186"/>
      <c r="CE204" s="158"/>
      <c r="CF204" s="104"/>
      <c r="CG204" s="104"/>
      <c r="CH204" s="158"/>
      <c r="CI204" s="186"/>
      <c r="CJ204" s="104"/>
      <c r="CK204" s="104"/>
      <c r="CL204" s="104"/>
      <c r="CM204" s="158"/>
      <c r="CN204" s="186"/>
      <c r="CO204" s="104"/>
      <c r="CP204" s="104"/>
      <c r="CQ204" s="104"/>
      <c r="CR204" s="158"/>
      <c r="CS204" s="186"/>
      <c r="CT204" s="104"/>
      <c r="CU204" s="104"/>
      <c r="CV204" s="104"/>
      <c r="CW204" s="158"/>
      <c r="CX204" s="186"/>
      <c r="CY204" s="104"/>
      <c r="CZ204" s="104"/>
      <c r="DA204" s="104"/>
      <c r="DB204" s="158"/>
      <c r="DC204" s="186"/>
      <c r="DD204" s="104"/>
      <c r="DE204" s="104"/>
      <c r="DF204" s="104"/>
      <c r="DG204" s="158"/>
      <c r="DH204" s="186"/>
    </row>
    <row r="205" spans="1:112" hidden="1" outlineLevel="1" x14ac:dyDescent="0.2">
      <c r="A205" s="121" t="s">
        <v>85</v>
      </c>
      <c r="B205" s="100"/>
      <c r="C205" s="213" t="s">
        <v>221</v>
      </c>
      <c r="D205" s="213" t="s">
        <v>221</v>
      </c>
      <c r="E205" s="213" t="s">
        <v>221</v>
      </c>
      <c r="F205" s="213" t="s">
        <v>221</v>
      </c>
      <c r="G205" s="284" t="s">
        <v>221</v>
      </c>
      <c r="H205" s="213">
        <f t="shared" ref="H205:AU205" si="234">H171/H19</f>
        <v>0.27868852459016391</v>
      </c>
      <c r="I205" s="213">
        <f t="shared" si="234"/>
        <v>0.27903871829105475</v>
      </c>
      <c r="J205" s="213">
        <f t="shared" si="234"/>
        <v>0.31042128603104213</v>
      </c>
      <c r="K205" s="213">
        <f t="shared" si="234"/>
        <v>0.32364729458917835</v>
      </c>
      <c r="L205" s="284">
        <f t="shared" si="234"/>
        <v>0.29974307736226091</v>
      </c>
      <c r="M205" s="213">
        <f t="shared" si="234"/>
        <v>0.34261241970021411</v>
      </c>
      <c r="N205" s="213">
        <f t="shared" si="234"/>
        <v>0.30864197530864196</v>
      </c>
      <c r="O205" s="213">
        <f t="shared" si="234"/>
        <v>0.28779395296752519</v>
      </c>
      <c r="P205" s="213">
        <f t="shared" si="234"/>
        <v>0.29684418145956609</v>
      </c>
      <c r="Q205" s="284">
        <f t="shared" si="234"/>
        <v>0.30895645028759244</v>
      </c>
      <c r="R205" s="213">
        <f t="shared" si="234"/>
        <v>0.27078651685393257</v>
      </c>
      <c r="S205" s="213">
        <f t="shared" si="234"/>
        <v>0.27939317319848295</v>
      </c>
      <c r="T205" s="213">
        <f t="shared" si="234"/>
        <v>0.28835690968443961</v>
      </c>
      <c r="U205" s="213">
        <f t="shared" si="234"/>
        <v>0.3047977422389464</v>
      </c>
      <c r="V205" s="284">
        <f t="shared" si="234"/>
        <v>0.28692328692328695</v>
      </c>
      <c r="W205" s="213">
        <f t="shared" si="234"/>
        <v>0.2608695652173913</v>
      </c>
      <c r="X205" s="213">
        <f t="shared" si="234"/>
        <v>0.29196217494089832</v>
      </c>
      <c r="Y205" s="213">
        <f t="shared" si="234"/>
        <v>0.27564102564102566</v>
      </c>
      <c r="Z205" s="213">
        <f t="shared" si="234"/>
        <v>0.2929936305732484</v>
      </c>
      <c r="AA205" s="284">
        <f t="shared" si="234"/>
        <v>0.28071560115759009</v>
      </c>
      <c r="AB205" s="213">
        <f t="shared" si="234"/>
        <v>0.27291886195995785</v>
      </c>
      <c r="AC205" s="213">
        <f t="shared" si="234"/>
        <v>0.27</v>
      </c>
      <c r="AD205" s="213">
        <f t="shared" si="234"/>
        <v>0.27281845536609828</v>
      </c>
      <c r="AE205" s="213">
        <f t="shared" si="234"/>
        <v>0.30802415875754963</v>
      </c>
      <c r="AF205" s="284">
        <f t="shared" si="234"/>
        <v>0.28239700374531834</v>
      </c>
      <c r="AG205" s="47">
        <f t="shared" si="234"/>
        <v>0.28699999999999998</v>
      </c>
      <c r="AH205" s="47">
        <f t="shared" si="234"/>
        <v>0.27518959913326113</v>
      </c>
      <c r="AI205" s="47">
        <f t="shared" si="234"/>
        <v>0.28977272727272729</v>
      </c>
      <c r="AJ205" s="47">
        <f t="shared" si="234"/>
        <v>0.31103388357949607</v>
      </c>
      <c r="AK205" s="185">
        <f t="shared" si="234"/>
        <v>0.29176755447941888</v>
      </c>
      <c r="AL205" s="47">
        <f t="shared" si="234"/>
        <v>0.27264061010486179</v>
      </c>
      <c r="AM205" s="47">
        <f t="shared" si="234"/>
        <v>0.26305015353121802</v>
      </c>
      <c r="AN205" s="47">
        <f t="shared" si="234"/>
        <v>0.25896762904636922</v>
      </c>
      <c r="AO205" s="47">
        <f t="shared" si="234"/>
        <v>0.29268292682926828</v>
      </c>
      <c r="AP205" s="185">
        <f t="shared" si="234"/>
        <v>0.27274774774774774</v>
      </c>
      <c r="AQ205" s="47">
        <f t="shared" si="234"/>
        <v>0.28191945158526133</v>
      </c>
      <c r="AR205" s="47">
        <f t="shared" si="234"/>
        <v>0.27110228401191661</v>
      </c>
      <c r="AS205" s="47">
        <f t="shared" si="234"/>
        <v>0.3213660245183888</v>
      </c>
      <c r="AT205" s="47">
        <f t="shared" si="234"/>
        <v>0.33516483516483514</v>
      </c>
      <c r="AU205" s="185">
        <f t="shared" si="234"/>
        <v>0.30413943355119827</v>
      </c>
      <c r="AV205" s="60" t="s">
        <v>221</v>
      </c>
      <c r="AW205" s="60" t="s">
        <v>221</v>
      </c>
      <c r="AX205" s="60" t="s">
        <v>221</v>
      </c>
      <c r="AY205" s="60" t="s">
        <v>221</v>
      </c>
      <c r="AZ205" s="267" t="s">
        <v>221</v>
      </c>
      <c r="BA205" s="60"/>
      <c r="BB205" s="60"/>
      <c r="BC205" s="60"/>
      <c r="BD205" s="60"/>
      <c r="BE205" s="267" t="s">
        <v>221</v>
      </c>
      <c r="BF205" s="198" t="s">
        <v>221</v>
      </c>
      <c r="BG205" s="198" t="s">
        <v>221</v>
      </c>
      <c r="BH205" s="198" t="s">
        <v>221</v>
      </c>
      <c r="BI205" s="198" t="s">
        <v>221</v>
      </c>
      <c r="BJ205" s="267" t="s">
        <v>221</v>
      </c>
      <c r="BK205" s="198" t="s">
        <v>221</v>
      </c>
      <c r="BL205" s="198" t="s">
        <v>221</v>
      </c>
      <c r="BM205" s="198" t="s">
        <v>221</v>
      </c>
      <c r="BN205" s="198" t="s">
        <v>221</v>
      </c>
      <c r="BO205" s="267" t="s">
        <v>221</v>
      </c>
      <c r="BP205" s="198" t="s">
        <v>221</v>
      </c>
      <c r="BQ205" s="198" t="s">
        <v>221</v>
      </c>
      <c r="BR205" s="198" t="s">
        <v>221</v>
      </c>
      <c r="BS205" s="198" t="s">
        <v>221</v>
      </c>
      <c r="BT205" s="267" t="s">
        <v>221</v>
      </c>
      <c r="BU205" s="198" t="s">
        <v>221</v>
      </c>
      <c r="BV205" s="198" t="s">
        <v>221</v>
      </c>
      <c r="BW205" s="198" t="s">
        <v>221</v>
      </c>
      <c r="BX205" s="198" t="s">
        <v>221</v>
      </c>
      <c r="BY205" s="267" t="s">
        <v>221</v>
      </c>
      <c r="BZ205" s="198" t="s">
        <v>221</v>
      </c>
      <c r="CA205" s="198" t="s">
        <v>221</v>
      </c>
      <c r="CB205" s="198" t="s">
        <v>221</v>
      </c>
      <c r="CC205" s="198" t="s">
        <v>221</v>
      </c>
      <c r="CD205" s="267" t="s">
        <v>221</v>
      </c>
      <c r="CE205" s="198" t="s">
        <v>221</v>
      </c>
      <c r="CF205" s="198" t="s">
        <v>221</v>
      </c>
      <c r="CG205" s="198" t="s">
        <v>221</v>
      </c>
      <c r="CH205" s="198" t="s">
        <v>221</v>
      </c>
      <c r="CI205" s="267" t="s">
        <v>221</v>
      </c>
      <c r="CJ205" s="198" t="s">
        <v>221</v>
      </c>
      <c r="CK205" s="198" t="s">
        <v>221</v>
      </c>
      <c r="CL205" s="198" t="s">
        <v>221</v>
      </c>
      <c r="CM205" s="198" t="s">
        <v>221</v>
      </c>
      <c r="CN205" s="267" t="s">
        <v>221</v>
      </c>
      <c r="CO205" s="198" t="s">
        <v>221</v>
      </c>
      <c r="CP205" s="198" t="s">
        <v>221</v>
      </c>
      <c r="CQ205" s="198" t="s">
        <v>221</v>
      </c>
      <c r="CR205" s="198" t="s">
        <v>221</v>
      </c>
      <c r="CS205" s="267" t="s">
        <v>221</v>
      </c>
      <c r="CT205" s="198" t="s">
        <v>221</v>
      </c>
      <c r="CU205" s="198" t="s">
        <v>221</v>
      </c>
      <c r="CV205" s="198" t="s">
        <v>221</v>
      </c>
      <c r="CW205" s="198" t="s">
        <v>221</v>
      </c>
      <c r="CX205" s="267" t="s">
        <v>221</v>
      </c>
      <c r="CY205" s="198" t="s">
        <v>221</v>
      </c>
      <c r="CZ205" s="198" t="s">
        <v>221</v>
      </c>
      <c r="DA205" s="198" t="s">
        <v>221</v>
      </c>
      <c r="DB205" s="198" t="s">
        <v>221</v>
      </c>
      <c r="DC205" s="267" t="s">
        <v>221</v>
      </c>
      <c r="DD205" s="198" t="s">
        <v>221</v>
      </c>
      <c r="DE205" s="198" t="s">
        <v>221</v>
      </c>
      <c r="DF205" s="198" t="s">
        <v>221</v>
      </c>
      <c r="DG205" s="198" t="s">
        <v>221</v>
      </c>
      <c r="DH205" s="267" t="s">
        <v>221</v>
      </c>
    </row>
    <row r="206" spans="1:112" hidden="1" outlineLevel="2" x14ac:dyDescent="0.2">
      <c r="A206" s="121" t="s">
        <v>97</v>
      </c>
      <c r="B206" s="100"/>
      <c r="C206" s="213" t="s">
        <v>221</v>
      </c>
      <c r="D206" s="213" t="s">
        <v>221</v>
      </c>
      <c r="E206" s="213" t="s">
        <v>221</v>
      </c>
      <c r="F206" s="213" t="s">
        <v>221</v>
      </c>
      <c r="G206" s="284" t="s">
        <v>221</v>
      </c>
      <c r="H206" s="213">
        <f t="shared" ref="H206:AK206" si="235">H172/H20</f>
        <v>0.25</v>
      </c>
      <c r="I206" s="213">
        <f t="shared" si="235"/>
        <v>0.24703557312252963</v>
      </c>
      <c r="J206" s="213">
        <f t="shared" si="235"/>
        <v>0.21972318339100347</v>
      </c>
      <c r="K206" s="213">
        <f t="shared" si="235"/>
        <v>0.25771324863883849</v>
      </c>
      <c r="L206" s="284">
        <f t="shared" si="235"/>
        <v>0.24329240563892679</v>
      </c>
      <c r="M206" s="213">
        <f t="shared" si="235"/>
        <v>0.32802547770700635</v>
      </c>
      <c r="N206" s="213">
        <f t="shared" si="235"/>
        <v>0.27339449541284405</v>
      </c>
      <c r="O206" s="213">
        <f t="shared" si="235"/>
        <v>0.22222222222222221</v>
      </c>
      <c r="P206" s="213">
        <f t="shared" si="235"/>
        <v>0.23172905525846701</v>
      </c>
      <c r="Q206" s="284">
        <f t="shared" si="235"/>
        <v>0.26587823039859831</v>
      </c>
      <c r="R206" s="213">
        <f t="shared" si="235"/>
        <v>0.31274900398406374</v>
      </c>
      <c r="S206" s="213">
        <f t="shared" si="235"/>
        <v>0.32272727272727275</v>
      </c>
      <c r="T206" s="213">
        <f t="shared" si="235"/>
        <v>0.32038834951456313</v>
      </c>
      <c r="U206" s="213">
        <f t="shared" si="235"/>
        <v>0.32136105860113423</v>
      </c>
      <c r="V206" s="284">
        <f t="shared" si="235"/>
        <v>0.3192346424974824</v>
      </c>
      <c r="W206" s="213">
        <f t="shared" si="235"/>
        <v>0.32874015748031499</v>
      </c>
      <c r="X206" s="213">
        <f t="shared" si="235"/>
        <v>0.33333333333333331</v>
      </c>
      <c r="Y206" s="213">
        <f t="shared" si="235"/>
        <v>0.31764705882352939</v>
      </c>
      <c r="Z206" s="213">
        <f t="shared" si="235"/>
        <v>0.27924528301886792</v>
      </c>
      <c r="AA206" s="284">
        <f t="shared" si="235"/>
        <v>0.31395926477893693</v>
      </c>
      <c r="AB206" s="213">
        <f t="shared" si="235"/>
        <v>0.32442748091603052</v>
      </c>
      <c r="AC206" s="213">
        <f t="shared" si="235"/>
        <v>0.32525252525252524</v>
      </c>
      <c r="AD206" s="213">
        <f t="shared" si="235"/>
        <v>0.30508474576271188</v>
      </c>
      <c r="AE206" s="213">
        <f t="shared" si="235"/>
        <v>0.31616341030195383</v>
      </c>
      <c r="AF206" s="284">
        <f t="shared" si="235"/>
        <v>0.31755797444391859</v>
      </c>
      <c r="AG206" s="47">
        <f t="shared" si="235"/>
        <v>0.32422586520947178</v>
      </c>
      <c r="AH206" s="47">
        <f t="shared" si="235"/>
        <v>0.3037190082644628</v>
      </c>
      <c r="AI206" s="47">
        <f t="shared" si="235"/>
        <v>0.31418312387791741</v>
      </c>
      <c r="AJ206" s="47">
        <f t="shared" si="235"/>
        <v>0.31090909090909091</v>
      </c>
      <c r="AK206" s="185">
        <f t="shared" si="235"/>
        <v>0.31355140186915886</v>
      </c>
      <c r="AL206" s="60" t="s">
        <v>221</v>
      </c>
      <c r="AM206" s="60" t="s">
        <v>221</v>
      </c>
      <c r="AN206" s="60" t="s">
        <v>221</v>
      </c>
      <c r="AO206" s="60" t="s">
        <v>221</v>
      </c>
      <c r="AP206" s="267" t="s">
        <v>221</v>
      </c>
      <c r="AQ206" s="60" t="s">
        <v>221</v>
      </c>
      <c r="AR206" s="60" t="s">
        <v>221</v>
      </c>
      <c r="AS206" s="60" t="s">
        <v>221</v>
      </c>
      <c r="AT206" s="60" t="s">
        <v>221</v>
      </c>
      <c r="AU206" s="267" t="s">
        <v>221</v>
      </c>
      <c r="AV206" s="60" t="s">
        <v>221</v>
      </c>
      <c r="AW206" s="60" t="s">
        <v>221</v>
      </c>
      <c r="AX206" s="60" t="s">
        <v>221</v>
      </c>
      <c r="AY206" s="60" t="s">
        <v>221</v>
      </c>
      <c r="AZ206" s="267" t="s">
        <v>221</v>
      </c>
      <c r="BA206" s="60"/>
      <c r="BB206" s="60"/>
      <c r="BC206" s="60"/>
      <c r="BD206" s="60"/>
      <c r="BE206" s="267" t="s">
        <v>221</v>
      </c>
      <c r="BF206" s="198" t="s">
        <v>221</v>
      </c>
      <c r="BG206" s="198" t="s">
        <v>221</v>
      </c>
      <c r="BH206" s="198" t="s">
        <v>221</v>
      </c>
      <c r="BI206" s="198" t="s">
        <v>221</v>
      </c>
      <c r="BJ206" s="267" t="s">
        <v>221</v>
      </c>
      <c r="BK206" s="198" t="s">
        <v>221</v>
      </c>
      <c r="BL206" s="198" t="s">
        <v>221</v>
      </c>
      <c r="BM206" s="198" t="s">
        <v>221</v>
      </c>
      <c r="BN206" s="198" t="s">
        <v>221</v>
      </c>
      <c r="BO206" s="267" t="s">
        <v>221</v>
      </c>
      <c r="BP206" s="198" t="s">
        <v>221</v>
      </c>
      <c r="BQ206" s="198" t="s">
        <v>221</v>
      </c>
      <c r="BR206" s="198" t="s">
        <v>221</v>
      </c>
      <c r="BS206" s="198" t="s">
        <v>221</v>
      </c>
      <c r="BT206" s="267" t="s">
        <v>221</v>
      </c>
      <c r="BU206" s="198" t="s">
        <v>221</v>
      </c>
      <c r="BV206" s="198" t="s">
        <v>221</v>
      </c>
      <c r="BW206" s="198" t="s">
        <v>221</v>
      </c>
      <c r="BX206" s="198" t="s">
        <v>221</v>
      </c>
      <c r="BY206" s="267" t="s">
        <v>221</v>
      </c>
      <c r="BZ206" s="198" t="s">
        <v>221</v>
      </c>
      <c r="CA206" s="198" t="s">
        <v>221</v>
      </c>
      <c r="CB206" s="198" t="s">
        <v>221</v>
      </c>
      <c r="CC206" s="198" t="s">
        <v>221</v>
      </c>
      <c r="CD206" s="267" t="s">
        <v>221</v>
      </c>
      <c r="CE206" s="198" t="s">
        <v>221</v>
      </c>
      <c r="CF206" s="198" t="s">
        <v>221</v>
      </c>
      <c r="CG206" s="198" t="s">
        <v>221</v>
      </c>
      <c r="CH206" s="198" t="s">
        <v>221</v>
      </c>
      <c r="CI206" s="267" t="s">
        <v>221</v>
      </c>
      <c r="CJ206" s="198" t="s">
        <v>221</v>
      </c>
      <c r="CK206" s="198" t="s">
        <v>221</v>
      </c>
      <c r="CL206" s="198" t="s">
        <v>221</v>
      </c>
      <c r="CM206" s="198" t="s">
        <v>221</v>
      </c>
      <c r="CN206" s="267" t="s">
        <v>221</v>
      </c>
      <c r="CO206" s="198" t="s">
        <v>221</v>
      </c>
      <c r="CP206" s="198" t="s">
        <v>221</v>
      </c>
      <c r="CQ206" s="198" t="s">
        <v>221</v>
      </c>
      <c r="CR206" s="198" t="s">
        <v>221</v>
      </c>
      <c r="CS206" s="267" t="s">
        <v>221</v>
      </c>
      <c r="CT206" s="198" t="s">
        <v>221</v>
      </c>
      <c r="CU206" s="198" t="s">
        <v>221</v>
      </c>
      <c r="CV206" s="198" t="s">
        <v>221</v>
      </c>
      <c r="CW206" s="198" t="s">
        <v>221</v>
      </c>
      <c r="CX206" s="267" t="s">
        <v>221</v>
      </c>
      <c r="CY206" s="198" t="s">
        <v>221</v>
      </c>
      <c r="CZ206" s="198" t="s">
        <v>221</v>
      </c>
      <c r="DA206" s="198" t="s">
        <v>221</v>
      </c>
      <c r="DB206" s="198" t="s">
        <v>221</v>
      </c>
      <c r="DC206" s="267" t="s">
        <v>221</v>
      </c>
      <c r="DD206" s="198" t="s">
        <v>221</v>
      </c>
      <c r="DE206" s="198" t="s">
        <v>221</v>
      </c>
      <c r="DF206" s="198" t="s">
        <v>221</v>
      </c>
      <c r="DG206" s="198" t="s">
        <v>221</v>
      </c>
      <c r="DH206" s="267" t="s">
        <v>221</v>
      </c>
    </row>
    <row r="207" spans="1:112" hidden="1" outlineLevel="2" x14ac:dyDescent="0.2">
      <c r="A207" s="121" t="s">
        <v>87</v>
      </c>
      <c r="B207" s="100"/>
      <c r="C207" s="213" t="s">
        <v>221</v>
      </c>
      <c r="D207" s="213" t="s">
        <v>221</v>
      </c>
      <c r="E207" s="213" t="s">
        <v>221</v>
      </c>
      <c r="F207" s="213" t="s">
        <v>221</v>
      </c>
      <c r="G207" s="284" t="s">
        <v>221</v>
      </c>
      <c r="H207" s="213">
        <f t="shared" ref="H207:AK207" si="236">H173/H21</f>
        <v>0.33448275862068966</v>
      </c>
      <c r="I207" s="213">
        <f t="shared" si="236"/>
        <v>0.34567901234567899</v>
      </c>
      <c r="J207" s="213">
        <f t="shared" si="236"/>
        <v>0.47222222222222221</v>
      </c>
      <c r="K207" s="213">
        <f t="shared" si="236"/>
        <v>0.40492170022371365</v>
      </c>
      <c r="L207" s="284">
        <f t="shared" si="236"/>
        <v>0.39493865030674846</v>
      </c>
      <c r="M207" s="213">
        <f t="shared" si="236"/>
        <v>0.37254901960784315</v>
      </c>
      <c r="N207" s="213">
        <f t="shared" si="236"/>
        <v>0.38113207547169814</v>
      </c>
      <c r="O207" s="213">
        <f t="shared" si="236"/>
        <v>0.39244186046511625</v>
      </c>
      <c r="P207" s="213">
        <f t="shared" si="236"/>
        <v>0.37748344370860926</v>
      </c>
      <c r="Q207" s="284">
        <f t="shared" si="236"/>
        <v>0.38084795321637427</v>
      </c>
      <c r="R207" s="213">
        <f t="shared" si="236"/>
        <v>0.21649484536082475</v>
      </c>
      <c r="S207" s="213">
        <f t="shared" si="236"/>
        <v>0.22507122507122507</v>
      </c>
      <c r="T207" s="213">
        <f t="shared" si="236"/>
        <v>0.24752475247524752</v>
      </c>
      <c r="U207" s="213">
        <f t="shared" si="236"/>
        <v>0.28838951310861421</v>
      </c>
      <c r="V207" s="284">
        <f t="shared" si="236"/>
        <v>0.24865831842576028</v>
      </c>
      <c r="W207" s="213">
        <f t="shared" si="236"/>
        <v>0.17718446601941748</v>
      </c>
      <c r="X207" s="213">
        <f t="shared" si="236"/>
        <v>0.24146981627296588</v>
      </c>
      <c r="Y207" s="213">
        <f t="shared" si="236"/>
        <v>0.22535211267605634</v>
      </c>
      <c r="Z207" s="213">
        <f t="shared" si="236"/>
        <v>0.30579964850615116</v>
      </c>
      <c r="AA207" s="284">
        <f t="shared" si="236"/>
        <v>0.24328859060402686</v>
      </c>
      <c r="AB207" s="213">
        <f t="shared" si="236"/>
        <v>0.20941176470588235</v>
      </c>
      <c r="AC207" s="213">
        <f t="shared" si="236"/>
        <v>0.20246913580246914</v>
      </c>
      <c r="AD207" s="213">
        <f t="shared" si="236"/>
        <v>0.23605150214592274</v>
      </c>
      <c r="AE207" s="213">
        <f t="shared" si="236"/>
        <v>0.30033557046979864</v>
      </c>
      <c r="AF207" s="284">
        <f t="shared" si="236"/>
        <v>0.24312896405919662</v>
      </c>
      <c r="AG207" s="47">
        <f t="shared" si="236"/>
        <v>0.24168514412416853</v>
      </c>
      <c r="AH207" s="47">
        <f t="shared" si="236"/>
        <v>0.24373576309794989</v>
      </c>
      <c r="AI207" s="47">
        <f t="shared" si="236"/>
        <v>0.26252505010020039</v>
      </c>
      <c r="AJ207" s="47">
        <f t="shared" si="236"/>
        <v>0.31114808652246256</v>
      </c>
      <c r="AK207" s="185">
        <f t="shared" si="236"/>
        <v>0.26834170854271355</v>
      </c>
      <c r="AL207" s="60" t="s">
        <v>221</v>
      </c>
      <c r="AM207" s="60" t="s">
        <v>221</v>
      </c>
      <c r="AN207" s="60" t="s">
        <v>221</v>
      </c>
      <c r="AO207" s="60" t="s">
        <v>221</v>
      </c>
      <c r="AP207" s="267" t="s">
        <v>221</v>
      </c>
      <c r="AQ207" s="60" t="s">
        <v>221</v>
      </c>
      <c r="AR207" s="60" t="s">
        <v>221</v>
      </c>
      <c r="AS207" s="60" t="s">
        <v>221</v>
      </c>
      <c r="AT207" s="60" t="s">
        <v>221</v>
      </c>
      <c r="AU207" s="267" t="s">
        <v>221</v>
      </c>
      <c r="AV207" s="60" t="s">
        <v>221</v>
      </c>
      <c r="AW207" s="60" t="s">
        <v>221</v>
      </c>
      <c r="AX207" s="60" t="s">
        <v>221</v>
      </c>
      <c r="AY207" s="60" t="s">
        <v>221</v>
      </c>
      <c r="AZ207" s="267" t="s">
        <v>221</v>
      </c>
      <c r="BA207" s="60"/>
      <c r="BB207" s="60"/>
      <c r="BC207" s="60"/>
      <c r="BD207" s="60"/>
      <c r="BE207" s="267" t="s">
        <v>221</v>
      </c>
      <c r="BF207" s="198" t="s">
        <v>221</v>
      </c>
      <c r="BG207" s="198" t="s">
        <v>221</v>
      </c>
      <c r="BH207" s="198" t="s">
        <v>221</v>
      </c>
      <c r="BI207" s="198" t="s">
        <v>221</v>
      </c>
      <c r="BJ207" s="267" t="s">
        <v>221</v>
      </c>
      <c r="BK207" s="198" t="s">
        <v>221</v>
      </c>
      <c r="BL207" s="198" t="s">
        <v>221</v>
      </c>
      <c r="BM207" s="198" t="s">
        <v>221</v>
      </c>
      <c r="BN207" s="198" t="s">
        <v>221</v>
      </c>
      <c r="BO207" s="267" t="s">
        <v>221</v>
      </c>
      <c r="BP207" s="198" t="s">
        <v>221</v>
      </c>
      <c r="BQ207" s="198" t="s">
        <v>221</v>
      </c>
      <c r="BR207" s="198" t="s">
        <v>221</v>
      </c>
      <c r="BS207" s="198" t="s">
        <v>221</v>
      </c>
      <c r="BT207" s="267" t="s">
        <v>221</v>
      </c>
      <c r="BU207" s="198" t="s">
        <v>221</v>
      </c>
      <c r="BV207" s="198" t="s">
        <v>221</v>
      </c>
      <c r="BW207" s="198" t="s">
        <v>221</v>
      </c>
      <c r="BX207" s="198" t="s">
        <v>221</v>
      </c>
      <c r="BY207" s="267" t="s">
        <v>221</v>
      </c>
      <c r="BZ207" s="198" t="s">
        <v>221</v>
      </c>
      <c r="CA207" s="198" t="s">
        <v>221</v>
      </c>
      <c r="CB207" s="198" t="s">
        <v>221</v>
      </c>
      <c r="CC207" s="198" t="s">
        <v>221</v>
      </c>
      <c r="CD207" s="267" t="s">
        <v>221</v>
      </c>
      <c r="CE207" s="198" t="s">
        <v>221</v>
      </c>
      <c r="CF207" s="198" t="s">
        <v>221</v>
      </c>
      <c r="CG207" s="198" t="s">
        <v>221</v>
      </c>
      <c r="CH207" s="198" t="s">
        <v>221</v>
      </c>
      <c r="CI207" s="267" t="s">
        <v>221</v>
      </c>
      <c r="CJ207" s="198" t="s">
        <v>221</v>
      </c>
      <c r="CK207" s="198" t="s">
        <v>221</v>
      </c>
      <c r="CL207" s="198" t="s">
        <v>221</v>
      </c>
      <c r="CM207" s="198" t="s">
        <v>221</v>
      </c>
      <c r="CN207" s="267" t="s">
        <v>221</v>
      </c>
      <c r="CO207" s="198" t="s">
        <v>221</v>
      </c>
      <c r="CP207" s="198" t="s">
        <v>221</v>
      </c>
      <c r="CQ207" s="198" t="s">
        <v>221</v>
      </c>
      <c r="CR207" s="198" t="s">
        <v>221</v>
      </c>
      <c r="CS207" s="267" t="s">
        <v>221</v>
      </c>
      <c r="CT207" s="198" t="s">
        <v>221</v>
      </c>
      <c r="CU207" s="198" t="s">
        <v>221</v>
      </c>
      <c r="CV207" s="198" t="s">
        <v>221</v>
      </c>
      <c r="CW207" s="198" t="s">
        <v>221</v>
      </c>
      <c r="CX207" s="267" t="s">
        <v>221</v>
      </c>
      <c r="CY207" s="198" t="s">
        <v>221</v>
      </c>
      <c r="CZ207" s="198" t="s">
        <v>221</v>
      </c>
      <c r="DA207" s="198" t="s">
        <v>221</v>
      </c>
      <c r="DB207" s="198" t="s">
        <v>221</v>
      </c>
      <c r="DC207" s="267" t="s">
        <v>221</v>
      </c>
      <c r="DD207" s="198" t="s">
        <v>221</v>
      </c>
      <c r="DE207" s="198" t="s">
        <v>221</v>
      </c>
      <c r="DF207" s="198" t="s">
        <v>221</v>
      </c>
      <c r="DG207" s="198" t="s">
        <v>221</v>
      </c>
      <c r="DH207" s="267" t="s">
        <v>221</v>
      </c>
    </row>
    <row r="208" spans="1:112" hidden="1" outlineLevel="1" collapsed="1" x14ac:dyDescent="0.2">
      <c r="A208" s="121" t="s">
        <v>88</v>
      </c>
      <c r="B208" s="100"/>
      <c r="C208" s="213" t="s">
        <v>221</v>
      </c>
      <c r="D208" s="213" t="s">
        <v>221</v>
      </c>
      <c r="E208" s="213" t="s">
        <v>221</v>
      </c>
      <c r="F208" s="213" t="s">
        <v>221</v>
      </c>
      <c r="G208" s="284" t="s">
        <v>221</v>
      </c>
      <c r="H208" s="213">
        <f t="shared" ref="H208:AK208" si="237">H174/H22</f>
        <v>0.16153846153846155</v>
      </c>
      <c r="I208" s="213">
        <f t="shared" si="237"/>
        <v>-0.20289855072463769</v>
      </c>
      <c r="J208" s="213">
        <f t="shared" si="237"/>
        <v>-0.60330578512396693</v>
      </c>
      <c r="K208" s="213">
        <f t="shared" si="237"/>
        <v>0.1</v>
      </c>
      <c r="L208" s="284">
        <f t="shared" si="237"/>
        <v>-0.12909441233140656</v>
      </c>
      <c r="M208" s="213">
        <f t="shared" si="237"/>
        <v>0.1415929203539823</v>
      </c>
      <c r="N208" s="213">
        <f t="shared" si="237"/>
        <v>-7.7586206896551727E-2</v>
      </c>
      <c r="O208" s="213">
        <f t="shared" si="237"/>
        <v>0.23809523809523808</v>
      </c>
      <c r="P208" s="213">
        <f t="shared" si="237"/>
        <v>0.20289855072463769</v>
      </c>
      <c r="Q208" s="284">
        <f t="shared" si="237"/>
        <v>0.13184584178498987</v>
      </c>
      <c r="R208" s="213">
        <f t="shared" si="237"/>
        <v>0.25</v>
      </c>
      <c r="S208" s="213">
        <f t="shared" si="237"/>
        <v>0.24806201550387597</v>
      </c>
      <c r="T208" s="213">
        <f t="shared" si="237"/>
        <v>0.24242424242424243</v>
      </c>
      <c r="U208" s="213">
        <f t="shared" si="237"/>
        <v>0.18032786885245902</v>
      </c>
      <c r="V208" s="284">
        <f t="shared" si="237"/>
        <v>0.23046092184368738</v>
      </c>
      <c r="W208" s="213">
        <f t="shared" si="237"/>
        <v>0.21875</v>
      </c>
      <c r="X208" s="213">
        <f t="shared" si="237"/>
        <v>0.24675324675324675</v>
      </c>
      <c r="Y208" s="213">
        <f t="shared" si="237"/>
        <v>0.17333333333333334</v>
      </c>
      <c r="Z208" s="213">
        <f t="shared" si="237"/>
        <v>0.18064516129032257</v>
      </c>
      <c r="AA208" s="284">
        <f t="shared" si="237"/>
        <v>0.20442930153321975</v>
      </c>
      <c r="AB208" s="213">
        <f t="shared" si="237"/>
        <v>0.22580645161290322</v>
      </c>
      <c r="AC208" s="213">
        <f t="shared" si="237"/>
        <v>0.20121951219512196</v>
      </c>
      <c r="AD208" s="213">
        <f t="shared" si="237"/>
        <v>0.20624999999999999</v>
      </c>
      <c r="AE208" s="213">
        <f t="shared" si="237"/>
        <v>0.17499999999999999</v>
      </c>
      <c r="AF208" s="284">
        <f t="shared" si="237"/>
        <v>0.20187793427230047</v>
      </c>
      <c r="AG208" s="47">
        <f t="shared" si="237"/>
        <v>0.21118012422360249</v>
      </c>
      <c r="AH208" s="47">
        <f t="shared" si="237"/>
        <v>0.19101123595505617</v>
      </c>
      <c r="AI208" s="47">
        <f t="shared" si="237"/>
        <v>0.20540540540540542</v>
      </c>
      <c r="AJ208" s="47">
        <f t="shared" si="237"/>
        <v>0.18134715025906736</v>
      </c>
      <c r="AK208" s="185">
        <f t="shared" si="237"/>
        <v>0.19665271966527198</v>
      </c>
      <c r="AL208" s="47">
        <f t="shared" ref="AL208:AU208" si="238">AL174/AL22</f>
        <v>0.19473684210526315</v>
      </c>
      <c r="AM208" s="47">
        <f t="shared" si="238"/>
        <v>0.18181818181818182</v>
      </c>
      <c r="AN208" s="47">
        <f t="shared" si="238"/>
        <v>0.15238095238095239</v>
      </c>
      <c r="AO208" s="47">
        <f t="shared" si="238"/>
        <v>0.17410714285714285</v>
      </c>
      <c r="AP208" s="185">
        <f t="shared" si="238"/>
        <v>0.1752701080432173</v>
      </c>
      <c r="AQ208" s="47">
        <f t="shared" si="238"/>
        <v>0.13364055299539171</v>
      </c>
      <c r="AR208" s="47">
        <f t="shared" si="238"/>
        <v>0.13875598086124402</v>
      </c>
      <c r="AS208" s="47">
        <f t="shared" si="238"/>
        <v>0.19711538461538461</v>
      </c>
      <c r="AT208" s="47">
        <f t="shared" si="238"/>
        <v>0.15486725663716813</v>
      </c>
      <c r="AU208" s="185">
        <f t="shared" si="238"/>
        <v>0.1558139534883721</v>
      </c>
      <c r="AV208" s="60" t="s">
        <v>221</v>
      </c>
      <c r="AW208" s="60" t="s">
        <v>221</v>
      </c>
      <c r="AX208" s="60" t="s">
        <v>221</v>
      </c>
      <c r="AY208" s="60" t="s">
        <v>221</v>
      </c>
      <c r="AZ208" s="267" t="s">
        <v>221</v>
      </c>
      <c r="BA208" s="60"/>
      <c r="BB208" s="60"/>
      <c r="BC208" s="60"/>
      <c r="BD208" s="60"/>
      <c r="BE208" s="267" t="s">
        <v>221</v>
      </c>
      <c r="BF208" s="198" t="s">
        <v>221</v>
      </c>
      <c r="BG208" s="198" t="s">
        <v>221</v>
      </c>
      <c r="BH208" s="198" t="s">
        <v>221</v>
      </c>
      <c r="BI208" s="198" t="s">
        <v>221</v>
      </c>
      <c r="BJ208" s="267" t="s">
        <v>221</v>
      </c>
      <c r="BK208" s="198" t="s">
        <v>221</v>
      </c>
      <c r="BL208" s="198" t="s">
        <v>221</v>
      </c>
      <c r="BM208" s="198" t="s">
        <v>221</v>
      </c>
      <c r="BN208" s="198" t="s">
        <v>221</v>
      </c>
      <c r="BO208" s="267" t="s">
        <v>221</v>
      </c>
      <c r="BP208" s="198" t="s">
        <v>221</v>
      </c>
      <c r="BQ208" s="198" t="s">
        <v>221</v>
      </c>
      <c r="BR208" s="198" t="s">
        <v>221</v>
      </c>
      <c r="BS208" s="198" t="s">
        <v>221</v>
      </c>
      <c r="BT208" s="267" t="s">
        <v>221</v>
      </c>
      <c r="BU208" s="198" t="s">
        <v>221</v>
      </c>
      <c r="BV208" s="198" t="s">
        <v>221</v>
      </c>
      <c r="BW208" s="198" t="s">
        <v>221</v>
      </c>
      <c r="BX208" s="198" t="s">
        <v>221</v>
      </c>
      <c r="BY208" s="267" t="s">
        <v>221</v>
      </c>
      <c r="BZ208" s="198" t="s">
        <v>221</v>
      </c>
      <c r="CA208" s="198" t="s">
        <v>221</v>
      </c>
      <c r="CB208" s="198" t="s">
        <v>221</v>
      </c>
      <c r="CC208" s="198" t="s">
        <v>221</v>
      </c>
      <c r="CD208" s="267" t="s">
        <v>221</v>
      </c>
      <c r="CE208" s="198" t="s">
        <v>221</v>
      </c>
      <c r="CF208" s="198" t="s">
        <v>221</v>
      </c>
      <c r="CG208" s="198" t="s">
        <v>221</v>
      </c>
      <c r="CH208" s="198" t="s">
        <v>221</v>
      </c>
      <c r="CI208" s="267" t="s">
        <v>221</v>
      </c>
      <c r="CJ208" s="198" t="s">
        <v>221</v>
      </c>
      <c r="CK208" s="198" t="s">
        <v>221</v>
      </c>
      <c r="CL208" s="198" t="s">
        <v>221</v>
      </c>
      <c r="CM208" s="198" t="s">
        <v>221</v>
      </c>
      <c r="CN208" s="267" t="s">
        <v>221</v>
      </c>
      <c r="CO208" s="198" t="s">
        <v>221</v>
      </c>
      <c r="CP208" s="198" t="s">
        <v>221</v>
      </c>
      <c r="CQ208" s="198" t="s">
        <v>221</v>
      </c>
      <c r="CR208" s="198" t="s">
        <v>221</v>
      </c>
      <c r="CS208" s="267" t="s">
        <v>221</v>
      </c>
      <c r="CT208" s="198" t="s">
        <v>221</v>
      </c>
      <c r="CU208" s="198" t="s">
        <v>221</v>
      </c>
      <c r="CV208" s="198" t="s">
        <v>221</v>
      </c>
      <c r="CW208" s="198" t="s">
        <v>221</v>
      </c>
      <c r="CX208" s="267" t="s">
        <v>221</v>
      </c>
      <c r="CY208" s="198" t="s">
        <v>221</v>
      </c>
      <c r="CZ208" s="198" t="s">
        <v>221</v>
      </c>
      <c r="DA208" s="198" t="s">
        <v>221</v>
      </c>
      <c r="DB208" s="198" t="s">
        <v>221</v>
      </c>
      <c r="DC208" s="267" t="s">
        <v>221</v>
      </c>
      <c r="DD208" s="198" t="s">
        <v>221</v>
      </c>
      <c r="DE208" s="198" t="s">
        <v>221</v>
      </c>
      <c r="DF208" s="198" t="s">
        <v>221</v>
      </c>
      <c r="DG208" s="198" t="s">
        <v>221</v>
      </c>
      <c r="DH208" s="267" t="s">
        <v>221</v>
      </c>
    </row>
    <row r="209" spans="1:112" hidden="1" outlineLevel="1" x14ac:dyDescent="0.2">
      <c r="A209" s="367" t="s">
        <v>210</v>
      </c>
      <c r="B209" s="171"/>
      <c r="C209" s="213" t="s">
        <v>221</v>
      </c>
      <c r="D209" s="213" t="s">
        <v>221</v>
      </c>
      <c r="E209" s="213" t="s">
        <v>221</v>
      </c>
      <c r="F209" s="213" t="s">
        <v>221</v>
      </c>
      <c r="G209" s="285" t="s">
        <v>221</v>
      </c>
      <c r="H209" s="213" t="s">
        <v>221</v>
      </c>
      <c r="I209" s="213" t="s">
        <v>221</v>
      </c>
      <c r="J209" s="213" t="s">
        <v>221</v>
      </c>
      <c r="K209" s="213" t="s">
        <v>221</v>
      </c>
      <c r="L209" s="285" t="s">
        <v>221</v>
      </c>
      <c r="M209" s="213" t="s">
        <v>221</v>
      </c>
      <c r="N209" s="213" t="s">
        <v>221</v>
      </c>
      <c r="O209" s="213" t="s">
        <v>221</v>
      </c>
      <c r="P209" s="213" t="s">
        <v>221</v>
      </c>
      <c r="Q209" s="285" t="s">
        <v>221</v>
      </c>
      <c r="R209" s="213" t="s">
        <v>221</v>
      </c>
      <c r="S209" s="213" t="s">
        <v>221</v>
      </c>
      <c r="T209" s="213" t="s">
        <v>221</v>
      </c>
      <c r="U209" s="213" t="s">
        <v>221</v>
      </c>
      <c r="V209" s="285" t="s">
        <v>221</v>
      </c>
      <c r="W209" s="213" t="s">
        <v>221</v>
      </c>
      <c r="X209" s="213" t="s">
        <v>221</v>
      </c>
      <c r="Y209" s="213" t="s">
        <v>221</v>
      </c>
      <c r="Z209" s="213" t="s">
        <v>221</v>
      </c>
      <c r="AA209" s="285" t="s">
        <v>221</v>
      </c>
      <c r="AB209" s="213" t="s">
        <v>221</v>
      </c>
      <c r="AC209" s="213" t="s">
        <v>221</v>
      </c>
      <c r="AD209" s="213" t="s">
        <v>221</v>
      </c>
      <c r="AE209" s="213" t="s">
        <v>221</v>
      </c>
      <c r="AF209" s="285" t="s">
        <v>221</v>
      </c>
      <c r="AG209" s="215" t="s">
        <v>221</v>
      </c>
      <c r="AH209" s="215" t="s">
        <v>221</v>
      </c>
      <c r="AI209" s="215" t="s">
        <v>221</v>
      </c>
      <c r="AJ209" s="215" t="s">
        <v>221</v>
      </c>
      <c r="AK209" s="268" t="s">
        <v>221</v>
      </c>
      <c r="AL209" s="215" t="s">
        <v>221</v>
      </c>
      <c r="AM209" s="215" t="s">
        <v>221</v>
      </c>
      <c r="AN209" s="215" t="s">
        <v>221</v>
      </c>
      <c r="AO209" s="215" t="s">
        <v>221</v>
      </c>
      <c r="AP209" s="268" t="s">
        <v>221</v>
      </c>
      <c r="AQ209" s="215" t="s">
        <v>221</v>
      </c>
      <c r="AR209" s="215" t="s">
        <v>221</v>
      </c>
      <c r="AS209" s="215" t="s">
        <v>221</v>
      </c>
      <c r="AT209" s="215" t="s">
        <v>221</v>
      </c>
      <c r="AU209" s="268" t="s">
        <v>221</v>
      </c>
      <c r="AV209" s="215" t="s">
        <v>221</v>
      </c>
      <c r="AW209" s="215" t="s">
        <v>221</v>
      </c>
      <c r="AX209" s="215" t="s">
        <v>221</v>
      </c>
      <c r="AY209" s="215" t="s">
        <v>221</v>
      </c>
      <c r="AZ209" s="268" t="s">
        <v>221</v>
      </c>
      <c r="BA209" s="215"/>
      <c r="BB209" s="215"/>
      <c r="BC209" s="215"/>
      <c r="BD209" s="215"/>
      <c r="BE209" s="268" t="s">
        <v>221</v>
      </c>
      <c r="BF209" s="220" t="s">
        <v>221</v>
      </c>
      <c r="BG209" s="220" t="s">
        <v>221</v>
      </c>
      <c r="BH209" s="220" t="s">
        <v>221</v>
      </c>
      <c r="BI209" s="220" t="s">
        <v>221</v>
      </c>
      <c r="BJ209" s="268" t="s">
        <v>221</v>
      </c>
      <c r="BK209" s="220" t="s">
        <v>221</v>
      </c>
      <c r="BL209" s="220" t="s">
        <v>221</v>
      </c>
      <c r="BM209" s="220" t="s">
        <v>221</v>
      </c>
      <c r="BN209" s="220" t="s">
        <v>221</v>
      </c>
      <c r="BO209" s="268" t="s">
        <v>221</v>
      </c>
      <c r="BP209" s="220" t="s">
        <v>221</v>
      </c>
      <c r="BQ209" s="220" t="s">
        <v>221</v>
      </c>
      <c r="BR209" s="220" t="s">
        <v>221</v>
      </c>
      <c r="BS209" s="220" t="s">
        <v>221</v>
      </c>
      <c r="BT209" s="268" t="s">
        <v>221</v>
      </c>
      <c r="BU209" s="220" t="s">
        <v>221</v>
      </c>
      <c r="BV209" s="220" t="s">
        <v>221</v>
      </c>
      <c r="BW209" s="220" t="s">
        <v>221</v>
      </c>
      <c r="BX209" s="220" t="s">
        <v>221</v>
      </c>
      <c r="BY209" s="268" t="s">
        <v>221</v>
      </c>
      <c r="BZ209" s="220" t="s">
        <v>221</v>
      </c>
      <c r="CA209" s="220" t="s">
        <v>221</v>
      </c>
      <c r="CB209" s="220" t="s">
        <v>221</v>
      </c>
      <c r="CC209" s="220" t="s">
        <v>221</v>
      </c>
      <c r="CD209" s="268" t="s">
        <v>221</v>
      </c>
      <c r="CE209" s="220" t="s">
        <v>221</v>
      </c>
      <c r="CF209" s="220" t="s">
        <v>221</v>
      </c>
      <c r="CG209" s="220" t="s">
        <v>221</v>
      </c>
      <c r="CH209" s="220" t="s">
        <v>221</v>
      </c>
      <c r="CI209" s="268" t="s">
        <v>221</v>
      </c>
      <c r="CJ209" s="220" t="s">
        <v>221</v>
      </c>
      <c r="CK209" s="220" t="s">
        <v>221</v>
      </c>
      <c r="CL209" s="220" t="s">
        <v>221</v>
      </c>
      <c r="CM209" s="220" t="s">
        <v>221</v>
      </c>
      <c r="CN209" s="268" t="s">
        <v>221</v>
      </c>
      <c r="CO209" s="220" t="s">
        <v>221</v>
      </c>
      <c r="CP209" s="220" t="s">
        <v>221</v>
      </c>
      <c r="CQ209" s="220" t="s">
        <v>221</v>
      </c>
      <c r="CR209" s="220" t="s">
        <v>221</v>
      </c>
      <c r="CS209" s="268" t="s">
        <v>221</v>
      </c>
      <c r="CT209" s="220" t="s">
        <v>221</v>
      </c>
      <c r="CU209" s="220" t="s">
        <v>221</v>
      </c>
      <c r="CV209" s="220" t="s">
        <v>221</v>
      </c>
      <c r="CW209" s="220" t="s">
        <v>221</v>
      </c>
      <c r="CX209" s="268" t="s">
        <v>221</v>
      </c>
      <c r="CY209" s="220" t="s">
        <v>221</v>
      </c>
      <c r="CZ209" s="220" t="s">
        <v>221</v>
      </c>
      <c r="DA209" s="220" t="s">
        <v>221</v>
      </c>
      <c r="DB209" s="220" t="s">
        <v>221</v>
      </c>
      <c r="DC209" s="268" t="s">
        <v>221</v>
      </c>
      <c r="DD209" s="220" t="s">
        <v>221</v>
      </c>
      <c r="DE209" s="220" t="s">
        <v>221</v>
      </c>
      <c r="DF209" s="220" t="s">
        <v>221</v>
      </c>
      <c r="DG209" s="220" t="s">
        <v>221</v>
      </c>
      <c r="DH209" s="268" t="s">
        <v>221</v>
      </c>
    </row>
    <row r="210" spans="1:112" hidden="1" outlineLevel="1" x14ac:dyDescent="0.2">
      <c r="A210" s="209" t="s">
        <v>241</v>
      </c>
      <c r="B210" s="104"/>
      <c r="C210" s="565" t="s">
        <v>221</v>
      </c>
      <c r="D210" s="565" t="s">
        <v>221</v>
      </c>
      <c r="E210" s="565" t="s">
        <v>221</v>
      </c>
      <c r="F210" s="565" t="s">
        <v>221</v>
      </c>
      <c r="G210" s="327" t="s">
        <v>221</v>
      </c>
      <c r="H210" s="565">
        <f t="shared" ref="H210:AU210" si="239">H177/H$23</f>
        <v>0.16869918699186992</v>
      </c>
      <c r="I210" s="565">
        <f t="shared" si="239"/>
        <v>0.10259301014656144</v>
      </c>
      <c r="J210" s="565">
        <f t="shared" si="239"/>
        <v>7.4291300097751714E-2</v>
      </c>
      <c r="K210" s="565">
        <f t="shared" si="239"/>
        <v>0.21453900709219859</v>
      </c>
      <c r="L210" s="327">
        <f t="shared" si="239"/>
        <v>0.14296369965191447</v>
      </c>
      <c r="M210" s="565">
        <f t="shared" si="239"/>
        <v>0.24641833810888253</v>
      </c>
      <c r="N210" s="565">
        <f t="shared" si="239"/>
        <v>0.15874730021598271</v>
      </c>
      <c r="O210" s="565">
        <f t="shared" si="239"/>
        <v>0.1717369970559372</v>
      </c>
      <c r="P210" s="565">
        <f t="shared" si="239"/>
        <v>0.2092013888888889</v>
      </c>
      <c r="Q210" s="327">
        <f t="shared" si="239"/>
        <v>0.19811776061776062</v>
      </c>
      <c r="R210" s="565">
        <f t="shared" si="239"/>
        <v>0.18588469184890655</v>
      </c>
      <c r="S210" s="565">
        <f t="shared" si="239"/>
        <v>0.17282608695652174</v>
      </c>
      <c r="T210" s="565">
        <f t="shared" si="239"/>
        <v>0.16936251189343482</v>
      </c>
      <c r="U210" s="565">
        <f t="shared" si="239"/>
        <v>0.21012658227848102</v>
      </c>
      <c r="V210" s="327">
        <f t="shared" si="239"/>
        <v>0.1857280153772225</v>
      </c>
      <c r="W210" s="565">
        <f t="shared" si="239"/>
        <v>0.16316793893129772</v>
      </c>
      <c r="X210" s="565">
        <f t="shared" si="239"/>
        <v>0.182</v>
      </c>
      <c r="Y210" s="565">
        <f t="shared" si="239"/>
        <v>0.16758747697974216</v>
      </c>
      <c r="Z210" s="565">
        <f t="shared" si="239"/>
        <v>0.19936204146730463</v>
      </c>
      <c r="AA210" s="327">
        <f t="shared" si="239"/>
        <v>0.17889699179580676</v>
      </c>
      <c r="AB210" s="565">
        <f t="shared" si="239"/>
        <v>0.16757246376811594</v>
      </c>
      <c r="AC210" s="565">
        <f t="shared" si="239"/>
        <v>0.14191729323308272</v>
      </c>
      <c r="AD210" s="565">
        <f t="shared" si="239"/>
        <v>0.17545375972342264</v>
      </c>
      <c r="AE210" s="565">
        <f t="shared" si="239"/>
        <v>0.18119787717968158</v>
      </c>
      <c r="AF210" s="327">
        <f t="shared" si="239"/>
        <v>0.16752799310938846</v>
      </c>
      <c r="AG210" s="48">
        <f t="shared" si="239"/>
        <v>0.1739879414298019</v>
      </c>
      <c r="AH210" s="48">
        <f t="shared" si="239"/>
        <v>0.14532243415077203</v>
      </c>
      <c r="AI210" s="48">
        <f t="shared" si="239"/>
        <v>0.17647058823529413</v>
      </c>
      <c r="AJ210" s="48">
        <f t="shared" si="239"/>
        <v>0.203125</v>
      </c>
      <c r="AK210" s="188">
        <f t="shared" si="239"/>
        <v>0.17619145863420674</v>
      </c>
      <c r="AL210" s="48">
        <f t="shared" si="239"/>
        <v>0.16707021791767554</v>
      </c>
      <c r="AM210" s="48">
        <f t="shared" si="239"/>
        <v>0.14502529510961215</v>
      </c>
      <c r="AN210" s="48">
        <f t="shared" si="239"/>
        <v>0.14708056171470807</v>
      </c>
      <c r="AO210" s="48">
        <f t="shared" si="239"/>
        <v>0.18327759197324414</v>
      </c>
      <c r="AP210" s="188">
        <f t="shared" si="239"/>
        <v>0.16157784942158165</v>
      </c>
      <c r="AQ210" s="48">
        <f t="shared" si="239"/>
        <v>0.16690751445086704</v>
      </c>
      <c r="AR210" s="48">
        <f t="shared" si="239"/>
        <v>0.14720394736842105</v>
      </c>
      <c r="AS210" s="48">
        <f t="shared" si="239"/>
        <v>0.20074074074074075</v>
      </c>
      <c r="AT210" s="48">
        <f t="shared" si="239"/>
        <v>0.21133333333333335</v>
      </c>
      <c r="AU210" s="188">
        <f t="shared" si="239"/>
        <v>0.18311926605504586</v>
      </c>
      <c r="AV210" s="66" t="s">
        <v>221</v>
      </c>
      <c r="AW210" s="66" t="s">
        <v>221</v>
      </c>
      <c r="AX210" s="66" t="s">
        <v>221</v>
      </c>
      <c r="AY210" s="66" t="s">
        <v>221</v>
      </c>
      <c r="AZ210" s="292" t="s">
        <v>221</v>
      </c>
      <c r="BA210" s="66"/>
      <c r="BB210" s="66"/>
      <c r="BC210" s="66"/>
      <c r="BD210" s="66"/>
      <c r="BE210" s="292" t="s">
        <v>221</v>
      </c>
      <c r="BF210" s="221" t="s">
        <v>221</v>
      </c>
      <c r="BG210" s="221" t="s">
        <v>221</v>
      </c>
      <c r="BH210" s="221" t="s">
        <v>221</v>
      </c>
      <c r="BI210" s="221" t="s">
        <v>221</v>
      </c>
      <c r="BJ210" s="292" t="s">
        <v>221</v>
      </c>
      <c r="BK210" s="221" t="s">
        <v>221</v>
      </c>
      <c r="BL210" s="221" t="s">
        <v>221</v>
      </c>
      <c r="BM210" s="221" t="s">
        <v>221</v>
      </c>
      <c r="BN210" s="221" t="s">
        <v>221</v>
      </c>
      <c r="BO210" s="292" t="s">
        <v>221</v>
      </c>
      <c r="BP210" s="221" t="s">
        <v>221</v>
      </c>
      <c r="BQ210" s="221" t="s">
        <v>221</v>
      </c>
      <c r="BR210" s="221" t="s">
        <v>221</v>
      </c>
      <c r="BS210" s="221" t="s">
        <v>221</v>
      </c>
      <c r="BT210" s="292" t="s">
        <v>221</v>
      </c>
      <c r="BU210" s="221" t="s">
        <v>221</v>
      </c>
      <c r="BV210" s="221" t="s">
        <v>221</v>
      </c>
      <c r="BW210" s="221" t="s">
        <v>221</v>
      </c>
      <c r="BX210" s="221" t="s">
        <v>221</v>
      </c>
      <c r="BY210" s="292" t="s">
        <v>221</v>
      </c>
      <c r="BZ210" s="221" t="s">
        <v>221</v>
      </c>
      <c r="CA210" s="221" t="s">
        <v>221</v>
      </c>
      <c r="CB210" s="221" t="s">
        <v>221</v>
      </c>
      <c r="CC210" s="221" t="s">
        <v>221</v>
      </c>
      <c r="CD210" s="292" t="s">
        <v>221</v>
      </c>
      <c r="CE210" s="221" t="s">
        <v>221</v>
      </c>
      <c r="CF210" s="221" t="s">
        <v>221</v>
      </c>
      <c r="CG210" s="221" t="s">
        <v>221</v>
      </c>
      <c r="CH210" s="221" t="s">
        <v>221</v>
      </c>
      <c r="CI210" s="292" t="s">
        <v>221</v>
      </c>
      <c r="CJ210" s="221" t="s">
        <v>221</v>
      </c>
      <c r="CK210" s="221" t="s">
        <v>221</v>
      </c>
      <c r="CL210" s="221" t="s">
        <v>221</v>
      </c>
      <c r="CM210" s="221" t="s">
        <v>221</v>
      </c>
      <c r="CN210" s="292" t="s">
        <v>221</v>
      </c>
      <c r="CO210" s="221" t="s">
        <v>221</v>
      </c>
      <c r="CP210" s="221" t="s">
        <v>221</v>
      </c>
      <c r="CQ210" s="221" t="s">
        <v>221</v>
      </c>
      <c r="CR210" s="221" t="s">
        <v>221</v>
      </c>
      <c r="CS210" s="292" t="s">
        <v>221</v>
      </c>
      <c r="CT210" s="221" t="s">
        <v>221</v>
      </c>
      <c r="CU210" s="221" t="s">
        <v>221</v>
      </c>
      <c r="CV210" s="221" t="s">
        <v>221</v>
      </c>
      <c r="CW210" s="221" t="s">
        <v>221</v>
      </c>
      <c r="CX210" s="292" t="s">
        <v>221</v>
      </c>
      <c r="CY210" s="221" t="s">
        <v>221</v>
      </c>
      <c r="CZ210" s="221" t="s">
        <v>221</v>
      </c>
      <c r="DA210" s="221" t="s">
        <v>221</v>
      </c>
      <c r="DB210" s="221" t="s">
        <v>221</v>
      </c>
      <c r="DC210" s="292" t="s">
        <v>221</v>
      </c>
      <c r="DD210" s="221" t="s">
        <v>221</v>
      </c>
      <c r="DE210" s="221" t="s">
        <v>221</v>
      </c>
      <c r="DF210" s="221" t="s">
        <v>221</v>
      </c>
      <c r="DG210" s="221" t="s">
        <v>221</v>
      </c>
      <c r="DH210" s="292" t="s">
        <v>221</v>
      </c>
    </row>
    <row r="211" spans="1:112" hidden="1" outlineLevel="1" x14ac:dyDescent="0.2">
      <c r="A211" s="206" t="s">
        <v>98</v>
      </c>
      <c r="B211" s="234"/>
      <c r="C211" s="213" t="s">
        <v>221</v>
      </c>
      <c r="D211" s="213" t="s">
        <v>221</v>
      </c>
      <c r="E211" s="213" t="s">
        <v>221</v>
      </c>
      <c r="F211" s="213" t="s">
        <v>221</v>
      </c>
      <c r="G211" s="284" t="s">
        <v>221</v>
      </c>
      <c r="H211" s="213">
        <f>Financials!G51</f>
        <v>0.16869918699186992</v>
      </c>
      <c r="I211" s="213">
        <f>Financials!H51</f>
        <v>0.10259301014656144</v>
      </c>
      <c r="J211" s="213">
        <f>Financials!I51</f>
        <v>7.4291300097751714E-2</v>
      </c>
      <c r="K211" s="213">
        <f>Financials!J51</f>
        <v>0.21453900709219859</v>
      </c>
      <c r="L211" s="284">
        <f>Financials!K51</f>
        <v>0.14296369965191447</v>
      </c>
      <c r="M211" s="213">
        <f>Financials!L51</f>
        <v>0.24641833810888253</v>
      </c>
      <c r="N211" s="213">
        <f>Financials!M51</f>
        <v>0.15874730021598271</v>
      </c>
      <c r="O211" s="213">
        <f>Financials!N51</f>
        <v>0.1717369970559372</v>
      </c>
      <c r="P211" s="213">
        <f>Financials!O51</f>
        <v>0.2092013888888889</v>
      </c>
      <c r="Q211" s="284">
        <f>Financials!P51</f>
        <v>0.19811776061776062</v>
      </c>
      <c r="R211" s="213">
        <f>Financials!Q51</f>
        <v>0.18588469184890655</v>
      </c>
      <c r="S211" s="213">
        <f>Financials!R51</f>
        <v>0.17282608695652174</v>
      </c>
      <c r="T211" s="213">
        <f>Financials!S51</f>
        <v>0.16936251189343482</v>
      </c>
      <c r="U211" s="213">
        <f>Financials!T51</f>
        <v>0.21012658227848102</v>
      </c>
      <c r="V211" s="284">
        <f>Financials!U51</f>
        <v>0.1857280153772225</v>
      </c>
      <c r="W211" s="213">
        <f>Financials!V51</f>
        <v>0.16316793893129772</v>
      </c>
      <c r="X211" s="213">
        <f>Financials!W51</f>
        <v>0.182</v>
      </c>
      <c r="Y211" s="213">
        <f>Financials!X51</f>
        <v>0.16758747697974216</v>
      </c>
      <c r="Z211" s="213">
        <f>Financials!Y51</f>
        <v>0.19936204146730463</v>
      </c>
      <c r="AA211" s="284">
        <f>Financials!Z51</f>
        <v>0.17889699179580676</v>
      </c>
      <c r="AB211" s="213">
        <f>Financials!AA51</f>
        <v>0.16757246376811594</v>
      </c>
      <c r="AC211" s="213">
        <f>Financials!AB51</f>
        <v>0.14191729323308272</v>
      </c>
      <c r="AD211" s="213">
        <f>Financials!AC51</f>
        <v>0.17545375972342264</v>
      </c>
      <c r="AE211" s="213">
        <f>Financials!AD51</f>
        <v>0.18119787717968158</v>
      </c>
      <c r="AF211" s="284">
        <f>Financials!AE51</f>
        <v>0.16752799310938846</v>
      </c>
      <c r="AG211" s="389">
        <f>Financials!AF51</f>
        <v>0.1739879414298019</v>
      </c>
      <c r="AH211" s="389">
        <f>Financials!AG51</f>
        <v>0.14532243415077203</v>
      </c>
      <c r="AI211" s="389">
        <f>Financials!AH51</f>
        <v>0.17647058823529413</v>
      </c>
      <c r="AJ211" s="389">
        <f>Financials!AI51</f>
        <v>0.203125</v>
      </c>
      <c r="AK211" s="419">
        <f>Financials!AJ51</f>
        <v>0.17619145863420674</v>
      </c>
      <c r="AL211" s="389">
        <f>Financials!AK51</f>
        <v>0.16707021791767554</v>
      </c>
      <c r="AM211" s="389">
        <f>Financials!AL51</f>
        <v>0.14502529510961215</v>
      </c>
      <c r="AN211" s="389">
        <f>Financials!AM51</f>
        <v>0.14708056171470807</v>
      </c>
      <c r="AO211" s="389">
        <f>Financials!AN51</f>
        <v>0.18327759197324414</v>
      </c>
      <c r="AP211" s="419">
        <f>Financials!AO51</f>
        <v>0.16157784942158165</v>
      </c>
      <c r="AQ211" s="389">
        <f>Financials!AP51</f>
        <v>0.16690751445086704</v>
      </c>
      <c r="AR211" s="389">
        <f>Financials!AQ51</f>
        <v>0.14720394736842105</v>
      </c>
      <c r="AS211" s="389">
        <f>Financials!AR51</f>
        <v>0.20074074074074075</v>
      </c>
      <c r="AT211" s="389">
        <f>Financials!AS51</f>
        <v>0.21133333333333335</v>
      </c>
      <c r="AU211" s="419">
        <f>Financials!AT51</f>
        <v>0.18311926605504586</v>
      </c>
      <c r="AV211" s="390"/>
      <c r="AW211" s="390"/>
      <c r="AX211" s="390"/>
      <c r="AY211" s="390"/>
      <c r="AZ211" s="296"/>
      <c r="BA211" s="390"/>
      <c r="BB211" s="390"/>
      <c r="BC211" s="390"/>
      <c r="BD211" s="390"/>
      <c r="BE211" s="296"/>
      <c r="BF211" s="219"/>
      <c r="BG211" s="219"/>
      <c r="BH211" s="219"/>
      <c r="BI211" s="219"/>
      <c r="BJ211" s="296"/>
      <c r="BK211" s="219"/>
      <c r="BL211" s="219"/>
      <c r="BM211" s="219"/>
      <c r="BN211" s="219"/>
      <c r="BO211" s="296"/>
      <c r="BP211" s="219"/>
      <c r="BQ211" s="219"/>
      <c r="BR211" s="219"/>
      <c r="BS211" s="219"/>
      <c r="BT211" s="296"/>
      <c r="BU211" s="219"/>
      <c r="BV211" s="219"/>
      <c r="BW211" s="219"/>
      <c r="BX211" s="219"/>
      <c r="BY211" s="296"/>
      <c r="BZ211" s="219"/>
      <c r="CA211" s="219"/>
      <c r="CB211" s="219"/>
      <c r="CC211" s="219"/>
      <c r="CD211" s="296"/>
      <c r="CE211" s="219"/>
      <c r="CF211" s="219"/>
      <c r="CG211" s="219"/>
      <c r="CH211" s="219"/>
      <c r="CI211" s="296"/>
      <c r="CJ211" s="219"/>
      <c r="CK211" s="219"/>
      <c r="CL211" s="219"/>
      <c r="CM211" s="219"/>
      <c r="CN211" s="296"/>
      <c r="CO211" s="219"/>
      <c r="CP211" s="219"/>
      <c r="CQ211" s="219"/>
      <c r="CR211" s="219"/>
      <c r="CS211" s="296"/>
      <c r="CT211" s="219"/>
      <c r="CU211" s="219"/>
      <c r="CV211" s="219"/>
      <c r="CW211" s="219"/>
      <c r="CX211" s="296"/>
      <c r="CY211" s="219"/>
      <c r="CZ211" s="219"/>
      <c r="DA211" s="219"/>
      <c r="DB211" s="219"/>
      <c r="DC211" s="296"/>
      <c r="DD211" s="219"/>
      <c r="DE211" s="219"/>
      <c r="DF211" s="219"/>
      <c r="DG211" s="219"/>
      <c r="DH211" s="296"/>
    </row>
    <row r="212" spans="1:112" collapsed="1" x14ac:dyDescent="0.2">
      <c r="A212" s="117"/>
      <c r="B212" s="171"/>
      <c r="C212" s="246"/>
      <c r="D212" s="246"/>
      <c r="E212" s="246"/>
      <c r="F212" s="246"/>
      <c r="G212" s="517"/>
      <c r="H212" s="246"/>
      <c r="I212" s="246"/>
      <c r="J212" s="246"/>
      <c r="K212" s="246"/>
      <c r="L212" s="517"/>
      <c r="M212" s="246"/>
      <c r="N212" s="246"/>
      <c r="O212" s="246"/>
      <c r="P212" s="246"/>
      <c r="Q212" s="517"/>
      <c r="R212" s="246"/>
      <c r="S212" s="246"/>
      <c r="T212" s="246"/>
      <c r="U212" s="246"/>
      <c r="V212" s="517"/>
      <c r="W212" s="246"/>
      <c r="X212" s="246"/>
      <c r="Y212" s="246"/>
      <c r="Z212" s="246"/>
      <c r="AA212" s="517"/>
      <c r="AB212" s="246"/>
      <c r="AC212" s="246"/>
      <c r="AD212" s="246"/>
      <c r="AE212" s="246"/>
      <c r="AF212" s="517"/>
      <c r="AG212" s="199"/>
      <c r="AH212" s="199"/>
      <c r="AI212" s="199"/>
      <c r="AJ212" s="199"/>
      <c r="AK212" s="235"/>
      <c r="AL212" s="199"/>
      <c r="AM212" s="199"/>
      <c r="AN212" s="199"/>
      <c r="AO212" s="199"/>
      <c r="AP212" s="235"/>
      <c r="AQ212" s="199"/>
      <c r="AR212" s="199"/>
      <c r="AS212" s="199"/>
      <c r="AT212" s="199"/>
      <c r="AU212" s="235"/>
      <c r="AV212" s="199"/>
      <c r="AW212" s="199"/>
      <c r="AX212" s="199"/>
      <c r="AY212" s="199"/>
      <c r="AZ212" s="235"/>
      <c r="BA212" s="199"/>
      <c r="BB212" s="199"/>
      <c r="BC212" s="199"/>
      <c r="BD212" s="199"/>
      <c r="BE212" s="235"/>
      <c r="BF212" s="199"/>
      <c r="BG212" s="199"/>
      <c r="BH212" s="199"/>
      <c r="BI212" s="199"/>
      <c r="BJ212" s="235"/>
      <c r="BK212" s="633"/>
      <c r="BL212" s="633"/>
      <c r="BM212" s="633"/>
      <c r="BN212" s="199"/>
      <c r="BO212" s="235"/>
      <c r="BP212" s="199"/>
      <c r="BQ212" s="199"/>
      <c r="BR212" s="199"/>
      <c r="BS212" s="199"/>
      <c r="BT212" s="636"/>
      <c r="BU212" s="668"/>
      <c r="BV212" s="668"/>
      <c r="BW212" s="668"/>
      <c r="BX212" s="668"/>
      <c r="BY212" s="636"/>
      <c r="BZ212" s="199"/>
      <c r="CA212" s="199"/>
      <c r="CB212" s="199"/>
      <c r="CC212" s="199"/>
      <c r="CD212" s="636"/>
      <c r="CE212" s="772"/>
      <c r="CF212" s="773"/>
      <c r="CG212" s="773"/>
      <c r="CH212" s="773"/>
      <c r="CI212" s="636"/>
      <c r="CJ212" s="199"/>
      <c r="CK212" s="199"/>
      <c r="CL212" s="199"/>
      <c r="CM212" s="199"/>
      <c r="CN212" s="235"/>
      <c r="CO212" s="199"/>
      <c r="CP212" s="199"/>
      <c r="CQ212" s="199"/>
      <c r="CR212" s="199"/>
      <c r="CS212" s="235"/>
      <c r="CT212" s="199"/>
      <c r="CU212" s="199"/>
      <c r="CV212" s="199"/>
      <c r="CW212" s="199"/>
      <c r="CX212" s="235"/>
      <c r="CY212" s="199"/>
      <c r="CZ212" s="199"/>
      <c r="DA212" s="199"/>
      <c r="DB212" s="199"/>
      <c r="DC212" s="235"/>
      <c r="DD212" s="199"/>
      <c r="DE212" s="199"/>
      <c r="DF212" s="199"/>
      <c r="DG212" s="199"/>
      <c r="DH212" s="235"/>
    </row>
    <row r="213" spans="1:112" x14ac:dyDescent="0.2">
      <c r="A213" s="368" t="s">
        <v>344</v>
      </c>
      <c r="B213" s="104"/>
      <c r="C213" s="48"/>
      <c r="D213" s="48"/>
      <c r="E213" s="48"/>
      <c r="F213" s="48"/>
      <c r="G213" s="188"/>
      <c r="H213" s="48"/>
      <c r="I213" s="48"/>
      <c r="J213" s="48"/>
      <c r="K213" s="48"/>
      <c r="L213" s="188"/>
      <c r="M213" s="48"/>
      <c r="N213" s="48"/>
      <c r="O213" s="48"/>
      <c r="P213" s="48"/>
      <c r="Q213" s="188"/>
      <c r="R213" s="48"/>
      <c r="S213" s="48"/>
      <c r="T213" s="48"/>
      <c r="U213" s="48"/>
      <c r="V213" s="188"/>
      <c r="W213" s="48"/>
      <c r="X213" s="48"/>
      <c r="Y213" s="48"/>
      <c r="Z213" s="48"/>
      <c r="AA213" s="188"/>
      <c r="AB213" s="48"/>
      <c r="AC213" s="48"/>
      <c r="AD213" s="48"/>
      <c r="AE213" s="48"/>
      <c r="AF213" s="188"/>
      <c r="AG213" s="48"/>
      <c r="AH213" s="48"/>
      <c r="AI213" s="48"/>
      <c r="AJ213" s="48"/>
      <c r="AK213" s="188"/>
      <c r="AL213" s="48"/>
      <c r="AM213" s="48"/>
      <c r="AN213" s="48"/>
      <c r="AO213" s="48"/>
      <c r="AP213" s="188"/>
      <c r="AQ213" s="48"/>
      <c r="AR213" s="48"/>
      <c r="AS213" s="299"/>
      <c r="AT213" s="299"/>
      <c r="AU213" s="188"/>
      <c r="AV213" s="299"/>
      <c r="AW213" s="299"/>
      <c r="AX213" s="299"/>
      <c r="AY213" s="299"/>
      <c r="AZ213" s="188"/>
      <c r="BA213" s="299"/>
      <c r="BB213" s="299"/>
      <c r="BC213" s="299"/>
      <c r="BD213" s="299"/>
      <c r="BE213" s="188"/>
      <c r="BF213" s="299"/>
      <c r="BG213" s="299"/>
      <c r="BH213" s="299"/>
      <c r="BI213" s="299"/>
      <c r="BJ213" s="188"/>
      <c r="BK213" s="299"/>
      <c r="BL213" s="299"/>
      <c r="BM213" s="299"/>
      <c r="BN213" s="299"/>
      <c r="BO213" s="188"/>
      <c r="BP213" s="299"/>
      <c r="BQ213" s="299"/>
      <c r="BR213" s="299"/>
      <c r="BS213" s="299"/>
      <c r="BT213" s="188"/>
      <c r="BU213" s="299"/>
      <c r="BV213" s="299"/>
      <c r="BW213" s="299"/>
      <c r="BX213" s="299"/>
      <c r="BY213" s="188"/>
      <c r="BZ213" s="299"/>
      <c r="CA213" s="299"/>
      <c r="CB213" s="299"/>
      <c r="CC213" s="299"/>
      <c r="CD213" s="188"/>
      <c r="CE213" s="299"/>
      <c r="CF213" s="299"/>
      <c r="CG213" s="299"/>
      <c r="CH213" s="299"/>
      <c r="CI213" s="188"/>
      <c r="CJ213" s="299"/>
      <c r="CK213" s="299"/>
      <c r="CL213" s="299"/>
      <c r="CM213" s="299"/>
      <c r="CN213" s="188"/>
      <c r="CO213" s="299"/>
      <c r="CP213" s="299"/>
      <c r="CQ213" s="299"/>
      <c r="CR213" s="299"/>
      <c r="CS213" s="188"/>
      <c r="CT213" s="299"/>
      <c r="CU213" s="299"/>
      <c r="CV213" s="299"/>
      <c r="CW213" s="299"/>
      <c r="CX213" s="188"/>
      <c r="CY213" s="299"/>
      <c r="CZ213" s="299"/>
      <c r="DA213" s="299"/>
      <c r="DB213" s="299"/>
      <c r="DC213" s="188"/>
      <c r="DD213" s="299"/>
      <c r="DE213" s="299"/>
      <c r="DF213" s="299"/>
      <c r="DG213" s="299"/>
      <c r="DH213" s="188"/>
    </row>
    <row r="214" spans="1:112" ht="12.75" customHeight="1" x14ac:dyDescent="0.2">
      <c r="A214" s="101" t="s">
        <v>217</v>
      </c>
      <c r="B214" s="100"/>
      <c r="C214" s="213" t="s">
        <v>221</v>
      </c>
      <c r="D214" s="213" t="s">
        <v>221</v>
      </c>
      <c r="E214" s="213" t="s">
        <v>221</v>
      </c>
      <c r="F214" s="213" t="s">
        <v>221</v>
      </c>
      <c r="G214" s="284" t="s">
        <v>221</v>
      </c>
      <c r="H214" s="213" t="s">
        <v>221</v>
      </c>
      <c r="I214" s="213" t="s">
        <v>221</v>
      </c>
      <c r="J214" s="213" t="s">
        <v>221</v>
      </c>
      <c r="K214" s="213" t="s">
        <v>221</v>
      </c>
      <c r="L214" s="284" t="s">
        <v>221</v>
      </c>
      <c r="M214" s="213" t="s">
        <v>221</v>
      </c>
      <c r="N214" s="213" t="s">
        <v>221</v>
      </c>
      <c r="O214" s="213" t="s">
        <v>221</v>
      </c>
      <c r="P214" s="213" t="s">
        <v>221</v>
      </c>
      <c r="Q214" s="284" t="s">
        <v>221</v>
      </c>
      <c r="R214" s="213" t="s">
        <v>221</v>
      </c>
      <c r="S214" s="213" t="s">
        <v>221</v>
      </c>
      <c r="T214" s="213" t="s">
        <v>221</v>
      </c>
      <c r="U214" s="213" t="s">
        <v>221</v>
      </c>
      <c r="V214" s="284" t="s">
        <v>221</v>
      </c>
      <c r="W214" s="213" t="s">
        <v>221</v>
      </c>
      <c r="X214" s="213" t="s">
        <v>221</v>
      </c>
      <c r="Y214" s="213" t="s">
        <v>221</v>
      </c>
      <c r="Z214" s="213" t="s">
        <v>221</v>
      </c>
      <c r="AA214" s="284" t="s">
        <v>221</v>
      </c>
      <c r="AB214" s="213" t="s">
        <v>221</v>
      </c>
      <c r="AC214" s="213" t="s">
        <v>221</v>
      </c>
      <c r="AD214" s="213" t="s">
        <v>221</v>
      </c>
      <c r="AE214" s="213" t="s">
        <v>221</v>
      </c>
      <c r="AF214" s="284" t="s">
        <v>221</v>
      </c>
      <c r="AG214" s="213" t="s">
        <v>221</v>
      </c>
      <c r="AH214" s="213" t="s">
        <v>221</v>
      </c>
      <c r="AI214" s="213" t="s">
        <v>221</v>
      </c>
      <c r="AJ214" s="213" t="s">
        <v>221</v>
      </c>
      <c r="AK214" s="284" t="s">
        <v>221</v>
      </c>
      <c r="AL214" s="27">
        <f t="shared" ref="AL214:AT217" si="240">(AL188-AG188)*10000</f>
        <v>-57.504684370356109</v>
      </c>
      <c r="AM214" s="27">
        <f t="shared" si="240"/>
        <v>-79.017517136329147</v>
      </c>
      <c r="AN214" s="27">
        <f t="shared" si="240"/>
        <v>-466.10479693991488</v>
      </c>
      <c r="AO214" s="27">
        <f t="shared" si="240"/>
        <v>-253.44591181352405</v>
      </c>
      <c r="AP214" s="335">
        <f t="shared" si="240"/>
        <v>-219.72283106984182</v>
      </c>
      <c r="AQ214" s="27">
        <f t="shared" si="240"/>
        <v>-5.341435970630803</v>
      </c>
      <c r="AR214" s="27">
        <f t="shared" si="240"/>
        <v>61.696777798472823</v>
      </c>
      <c r="AS214" s="27">
        <f t="shared" si="240"/>
        <v>493.73286596925777</v>
      </c>
      <c r="AT214" s="27">
        <f t="shared" si="240"/>
        <v>430.10752688172062</v>
      </c>
      <c r="AU214" s="335">
        <f t="shared" ref="AU214:AX219" si="241">(AU188-AP188)*10000</f>
        <v>251.82763131547492</v>
      </c>
      <c r="AV214" s="27">
        <f t="shared" si="241"/>
        <v>259.74907054790162</v>
      </c>
      <c r="AW214" s="27">
        <f t="shared" si="241"/>
        <v>-36.768002869697888</v>
      </c>
      <c r="AX214" s="27">
        <f t="shared" si="241"/>
        <v>11.070288308812904</v>
      </c>
      <c r="AY214" s="27">
        <f t="shared" ref="AY214:BJ219" si="242">(AY188-AT188)*10000</f>
        <v>-127.67115829590308</v>
      </c>
      <c r="AZ214" s="335">
        <f t="shared" si="242"/>
        <v>32.894383807162697</v>
      </c>
      <c r="BA214" s="27">
        <f t="shared" si="242"/>
        <v>73.732131118589564</v>
      </c>
      <c r="BB214" s="27">
        <f t="shared" si="242"/>
        <v>-43.942247332077741</v>
      </c>
      <c r="BC214" s="27">
        <f t="shared" si="242"/>
        <v>-181.02599966579814</v>
      </c>
      <c r="BD214" s="27">
        <f>(BD188-AY188)*10000</f>
        <v>-147.00875862709296</v>
      </c>
      <c r="BE214" s="335">
        <f t="shared" si="242"/>
        <v>-67.121649622554898</v>
      </c>
      <c r="BF214" s="27">
        <f t="shared" si="242"/>
        <v>-234.74083130824746</v>
      </c>
      <c r="BG214" s="27">
        <f t="shared" si="242"/>
        <v>300.19850358833423</v>
      </c>
      <c r="BH214" s="27">
        <f t="shared" si="242"/>
        <v>72.775643245441842</v>
      </c>
      <c r="BI214" s="27">
        <f>(BI188-BD188)*10000</f>
        <v>151.07332720217136</v>
      </c>
      <c r="BJ214" s="335">
        <f t="shared" si="242"/>
        <v>52.884847051196118</v>
      </c>
      <c r="BK214" s="27">
        <f t="shared" ref="BK214:BM217" si="243">(BK188-BF188)*10000</f>
        <v>82.236207096250951</v>
      </c>
      <c r="BL214" s="27">
        <f t="shared" si="243"/>
        <v>244.83306836247999</v>
      </c>
      <c r="BM214" s="27">
        <f t="shared" si="243"/>
        <v>-78.891089889522874</v>
      </c>
      <c r="BN214" s="27">
        <f t="shared" ref="BN214:BR217" si="244">(BN188-BI188)*10000</f>
        <v>181.99966021066939</v>
      </c>
      <c r="BO214" s="335">
        <f t="shared" si="244"/>
        <v>103.80743268775639</v>
      </c>
      <c r="BP214" s="27">
        <f t="shared" si="244"/>
        <v>192.49141927037249</v>
      </c>
      <c r="BQ214" s="27">
        <f t="shared" si="244"/>
        <v>-14.978213507625126</v>
      </c>
      <c r="BR214" s="27">
        <f t="shared" si="244"/>
        <v>-52.470286998860807</v>
      </c>
      <c r="BS214" s="27">
        <f t="shared" ref="BS214:BT217" si="245">(BS188-BN188)*10000</f>
        <v>68.579093111803274</v>
      </c>
      <c r="BT214" s="335">
        <f t="shared" si="245"/>
        <v>54.329427576763621</v>
      </c>
      <c r="BU214" s="27">
        <f t="shared" ref="BU214:BW217" si="246">(BU188-BP188)*10000</f>
        <v>-96.566428285879141</v>
      </c>
      <c r="BV214" s="27">
        <f t="shared" si="246"/>
        <v>55.773054934128709</v>
      </c>
      <c r="BW214" s="27">
        <f t="shared" si="246"/>
        <v>134.29698582478221</v>
      </c>
      <c r="BX214" s="27">
        <f t="shared" ref="BX214:CB217" si="247">(BX188-BS188)*10000</f>
        <v>45.070847151039985</v>
      </c>
      <c r="BY214" s="335">
        <f t="shared" si="247"/>
        <v>29.783072546230304</v>
      </c>
      <c r="BZ214" s="27">
        <f t="shared" si="247"/>
        <v>359.69005522496713</v>
      </c>
      <c r="CA214" s="27">
        <f t="shared" si="247"/>
        <v>297.7300652538928</v>
      </c>
      <c r="CB214" s="27">
        <f t="shared" si="247"/>
        <v>361.2124750644677</v>
      </c>
      <c r="CC214" s="27">
        <f t="shared" ref="CC214:CG217" si="248">(CC188-BX188)*10000</f>
        <v>-78.387751095988776</v>
      </c>
      <c r="CD214" s="335">
        <f t="shared" si="248"/>
        <v>232.90115980327374</v>
      </c>
      <c r="CE214" s="27">
        <f t="shared" si="248"/>
        <v>73.173121123745744</v>
      </c>
      <c r="CF214" s="27">
        <f t="shared" si="248"/>
        <v>-473.98207462219983</v>
      </c>
      <c r="CG214" s="27">
        <f t="shared" si="248"/>
        <v>32.279699703597899</v>
      </c>
      <c r="CH214" s="27">
        <f t="shared" ref="CH214:CK217" si="249">(CH188-CC188)*10000</f>
        <v>76.974051057433485</v>
      </c>
      <c r="CI214" s="335">
        <f t="shared" si="249"/>
        <v>-60.206529871801862</v>
      </c>
      <c r="CJ214" s="27">
        <f t="shared" si="249"/>
        <v>5.7620282339387874</v>
      </c>
      <c r="CK214" s="27">
        <f t="shared" si="249"/>
        <v>346.0753135051134</v>
      </c>
      <c r="CL214" s="147">
        <v>-10</v>
      </c>
      <c r="CM214" s="27">
        <f>(CM188-CH188)*10000</f>
        <v>66.424920185702561</v>
      </c>
      <c r="CN214" s="339">
        <v>100</v>
      </c>
      <c r="CO214" s="147">
        <v>50</v>
      </c>
      <c r="CP214" s="147">
        <v>-50</v>
      </c>
      <c r="CQ214" s="147">
        <v>60</v>
      </c>
      <c r="CR214" s="27">
        <f>(CR188-CM188)*10000</f>
        <v>11.934359692287178</v>
      </c>
      <c r="CS214" s="339">
        <v>20</v>
      </c>
      <c r="CT214" s="147">
        <f>CX214</f>
        <v>30</v>
      </c>
      <c r="CU214" s="147">
        <f>CX214</f>
        <v>30</v>
      </c>
      <c r="CV214" s="147">
        <f>CX214</f>
        <v>30</v>
      </c>
      <c r="CW214" s="27">
        <f>(CW188-CR188)*10000</f>
        <v>29.999999999998916</v>
      </c>
      <c r="CX214" s="339">
        <v>30</v>
      </c>
      <c r="CY214" s="147">
        <f>DC214</f>
        <v>28</v>
      </c>
      <c r="CZ214" s="147">
        <f>DC214</f>
        <v>28</v>
      </c>
      <c r="DA214" s="147">
        <f>DC214</f>
        <v>28</v>
      </c>
      <c r="DB214" s="27">
        <f>(DB188-CW188)*10000</f>
        <v>27.999999999999691</v>
      </c>
      <c r="DC214" s="339">
        <v>28</v>
      </c>
      <c r="DD214" s="147">
        <f>DH214</f>
        <v>25</v>
      </c>
      <c r="DE214" s="147">
        <f>DH214</f>
        <v>25</v>
      </c>
      <c r="DF214" s="147">
        <f>DH214</f>
        <v>25</v>
      </c>
      <c r="DG214" s="27">
        <f>(DG188-DB188)*10000</f>
        <v>25.000000000000576</v>
      </c>
      <c r="DH214" s="339">
        <v>25</v>
      </c>
    </row>
    <row r="215" spans="1:112" ht="12.75" customHeight="1" x14ac:dyDescent="0.2">
      <c r="A215" s="101" t="s">
        <v>218</v>
      </c>
      <c r="B215" s="100"/>
      <c r="C215" s="213" t="s">
        <v>221</v>
      </c>
      <c r="D215" s="213" t="s">
        <v>221</v>
      </c>
      <c r="E215" s="213" t="s">
        <v>221</v>
      </c>
      <c r="F215" s="213" t="s">
        <v>221</v>
      </c>
      <c r="G215" s="284" t="s">
        <v>221</v>
      </c>
      <c r="H215" s="213" t="s">
        <v>221</v>
      </c>
      <c r="I215" s="213" t="s">
        <v>221</v>
      </c>
      <c r="J215" s="213" t="s">
        <v>221</v>
      </c>
      <c r="K215" s="213" t="s">
        <v>221</v>
      </c>
      <c r="L215" s="284" t="s">
        <v>221</v>
      </c>
      <c r="M215" s="213" t="s">
        <v>221</v>
      </c>
      <c r="N215" s="213" t="s">
        <v>221</v>
      </c>
      <c r="O215" s="213" t="s">
        <v>221</v>
      </c>
      <c r="P215" s="213" t="s">
        <v>221</v>
      </c>
      <c r="Q215" s="284" t="s">
        <v>221</v>
      </c>
      <c r="R215" s="213" t="s">
        <v>221</v>
      </c>
      <c r="S215" s="213" t="s">
        <v>221</v>
      </c>
      <c r="T215" s="213" t="s">
        <v>221</v>
      </c>
      <c r="U215" s="213" t="s">
        <v>221</v>
      </c>
      <c r="V215" s="284" t="s">
        <v>221</v>
      </c>
      <c r="W215" s="213" t="s">
        <v>221</v>
      </c>
      <c r="X215" s="213" t="s">
        <v>221</v>
      </c>
      <c r="Y215" s="213" t="s">
        <v>221</v>
      </c>
      <c r="Z215" s="213" t="s">
        <v>221</v>
      </c>
      <c r="AA215" s="284" t="s">
        <v>221</v>
      </c>
      <c r="AB215" s="213" t="s">
        <v>221</v>
      </c>
      <c r="AC215" s="213" t="s">
        <v>221</v>
      </c>
      <c r="AD215" s="213" t="s">
        <v>221</v>
      </c>
      <c r="AE215" s="213" t="s">
        <v>221</v>
      </c>
      <c r="AF215" s="284" t="s">
        <v>221</v>
      </c>
      <c r="AG215" s="213" t="s">
        <v>221</v>
      </c>
      <c r="AH215" s="213" t="s">
        <v>221</v>
      </c>
      <c r="AI215" s="213" t="s">
        <v>221</v>
      </c>
      <c r="AJ215" s="213" t="s">
        <v>221</v>
      </c>
      <c r="AK215" s="284" t="s">
        <v>221</v>
      </c>
      <c r="AL215" s="27">
        <f t="shared" si="240"/>
        <v>-316.70026881720423</v>
      </c>
      <c r="AM215" s="27">
        <f t="shared" si="240"/>
        <v>154.52589875729296</v>
      </c>
      <c r="AN215" s="27">
        <f t="shared" si="240"/>
        <v>-147.37093833139022</v>
      </c>
      <c r="AO215" s="27">
        <f t="shared" si="240"/>
        <v>41.947238873818179</v>
      </c>
      <c r="AP215" s="335">
        <f t="shared" si="240"/>
        <v>-50.217284249267912</v>
      </c>
      <c r="AQ215" s="27">
        <f t="shared" si="240"/>
        <v>804.35739436619701</v>
      </c>
      <c r="AR215" s="27">
        <f t="shared" si="240"/>
        <v>-204.13896432250209</v>
      </c>
      <c r="AS215" s="27">
        <f t="shared" si="240"/>
        <v>705.80816343528215</v>
      </c>
      <c r="AT215" s="27">
        <f t="shared" si="240"/>
        <v>134.07728755577941</v>
      </c>
      <c r="AU215" s="335">
        <f t="shared" si="241"/>
        <v>349.3033177878138</v>
      </c>
      <c r="AV215" s="27">
        <f t="shared" si="241"/>
        <v>-11.829507227089364</v>
      </c>
      <c r="AW215" s="27">
        <f t="shared" si="241"/>
        <v>45.67136912615441</v>
      </c>
      <c r="AX215" s="27">
        <f t="shared" si="241"/>
        <v>-151.7560341089752</v>
      </c>
      <c r="AY215" s="27">
        <f t="shared" si="242"/>
        <v>250.86052595346243</v>
      </c>
      <c r="AZ215" s="335">
        <f t="shared" si="242"/>
        <v>69.444783157941728</v>
      </c>
      <c r="BA215" s="27">
        <f t="shared" si="242"/>
        <v>53.605587437163535</v>
      </c>
      <c r="BB215" s="27">
        <f t="shared" si="242"/>
        <v>-27.133233532934121</v>
      </c>
      <c r="BC215" s="27">
        <f t="shared" si="242"/>
        <v>88.08599581964755</v>
      </c>
      <c r="BD215" s="27">
        <f>(BD189-AY189)*10000</f>
        <v>-179.66032330673175</v>
      </c>
      <c r="BE215" s="335">
        <f t="shared" si="242"/>
        <v>-18.200189392454657</v>
      </c>
      <c r="BF215" s="27">
        <f t="shared" si="242"/>
        <v>-349.63415763638051</v>
      </c>
      <c r="BG215" s="27">
        <f t="shared" si="242"/>
        <v>236.7140718562874</v>
      </c>
      <c r="BH215" s="27">
        <f t="shared" si="242"/>
        <v>-6.2690963980085996</v>
      </c>
      <c r="BI215" s="27">
        <f>(BI189-BD189)*10000</f>
        <v>255.05951498499323</v>
      </c>
      <c r="BJ215" s="335">
        <f t="shared" si="242"/>
        <v>52.406708651291936</v>
      </c>
      <c r="BK215" s="27">
        <f t="shared" si="243"/>
        <v>260.90972061879478</v>
      </c>
      <c r="BL215" s="27">
        <f t="shared" si="243"/>
        <v>550.66337912410472</v>
      </c>
      <c r="BM215" s="27">
        <f t="shared" si="243"/>
        <v>-6.3290771740959206</v>
      </c>
      <c r="BN215" s="27">
        <f t="shared" si="244"/>
        <v>117.34989543702335</v>
      </c>
      <c r="BO215" s="335">
        <f t="shared" si="244"/>
        <v>206.5996867629874</v>
      </c>
      <c r="BP215" s="27">
        <f t="shared" si="244"/>
        <v>-10.601241859760913</v>
      </c>
      <c r="BQ215" s="27">
        <f t="shared" si="244"/>
        <v>-403.8547237076649</v>
      </c>
      <c r="BR215" s="27">
        <f t="shared" si="244"/>
        <v>-64.492770021045146</v>
      </c>
      <c r="BS215" s="27">
        <f t="shared" si="245"/>
        <v>107.40384858522745</v>
      </c>
      <c r="BT215" s="335">
        <f t="shared" si="245"/>
        <v>-77.094372345841705</v>
      </c>
      <c r="BU215" s="27">
        <f t="shared" si="246"/>
        <v>-71.318850120693227</v>
      </c>
      <c r="BV215" s="27">
        <f t="shared" si="246"/>
        <v>209.89034550355319</v>
      </c>
      <c r="BW215" s="27">
        <f t="shared" si="246"/>
        <v>485.93986364672492</v>
      </c>
      <c r="BX215" s="27">
        <f t="shared" si="247"/>
        <v>112.36302853958991</v>
      </c>
      <c r="BY215" s="335">
        <f t="shared" si="247"/>
        <v>182.75272950012828</v>
      </c>
      <c r="BZ215" s="27">
        <f t="shared" si="247"/>
        <v>668.60320770644023</v>
      </c>
      <c r="CA215" s="27">
        <f t="shared" si="247"/>
        <v>412.00359389038624</v>
      </c>
      <c r="CB215" s="27">
        <f t="shared" si="247"/>
        <v>158.05941590659816</v>
      </c>
      <c r="CC215" s="27">
        <f t="shared" si="248"/>
        <v>-205.25451559934294</v>
      </c>
      <c r="CD215" s="335">
        <f t="shared" si="248"/>
        <v>208.30264864262898</v>
      </c>
      <c r="CE215" s="27">
        <f t="shared" si="248"/>
        <v>-360.06272990394496</v>
      </c>
      <c r="CF215" s="27">
        <f t="shared" si="248"/>
        <v>-100.2058590657165</v>
      </c>
      <c r="CG215" s="27">
        <f t="shared" si="248"/>
        <v>-238.63025528502558</v>
      </c>
      <c r="CH215" s="27">
        <f t="shared" si="249"/>
        <v>11.561804992621383</v>
      </c>
      <c r="CI215" s="335">
        <f t="shared" si="249"/>
        <v>-161.93868513346447</v>
      </c>
      <c r="CJ215" s="27">
        <f t="shared" si="249"/>
        <v>20.257708138547713</v>
      </c>
      <c r="CK215" s="27">
        <f t="shared" si="249"/>
        <v>-369.38763686924278</v>
      </c>
      <c r="CL215" s="147">
        <v>-110</v>
      </c>
      <c r="CM215" s="27">
        <f>(CM189-CH189)*10000</f>
        <v>-219.11885009527566</v>
      </c>
      <c r="CN215" s="339">
        <v>-160</v>
      </c>
      <c r="CO215" s="147">
        <v>-150</v>
      </c>
      <c r="CP215" s="147">
        <v>-80</v>
      </c>
      <c r="CQ215" s="147">
        <v>-80</v>
      </c>
      <c r="CR215" s="27">
        <f>(CR189-CM189)*10000</f>
        <v>-44.326704604864261</v>
      </c>
      <c r="CS215" s="339">
        <v>-100</v>
      </c>
      <c r="CT215" s="147">
        <f>CX215</f>
        <v>110</v>
      </c>
      <c r="CU215" s="147">
        <f>CX215</f>
        <v>110</v>
      </c>
      <c r="CV215" s="147">
        <f>CX215</f>
        <v>110</v>
      </c>
      <c r="CW215" s="27">
        <f>(CW189-CR189)*10000</f>
        <v>109.99999999999926</v>
      </c>
      <c r="CX215" s="339">
        <v>110</v>
      </c>
      <c r="CY215" s="147">
        <f>DC215</f>
        <v>28</v>
      </c>
      <c r="CZ215" s="147">
        <f>DC215</f>
        <v>28</v>
      </c>
      <c r="DA215" s="147">
        <f>DC215</f>
        <v>28</v>
      </c>
      <c r="DB215" s="27">
        <f>(DB189-CW189)*10000</f>
        <v>28.000000000000803</v>
      </c>
      <c r="DC215" s="339">
        <v>28</v>
      </c>
      <c r="DD215" s="147">
        <f>DH215</f>
        <v>25</v>
      </c>
      <c r="DE215" s="147">
        <f>DH215</f>
        <v>25</v>
      </c>
      <c r="DF215" s="147">
        <f>DH215</f>
        <v>25</v>
      </c>
      <c r="DG215" s="27">
        <f>(DG189-DB189)*10000</f>
        <v>25.000000000000021</v>
      </c>
      <c r="DH215" s="339">
        <v>25</v>
      </c>
    </row>
    <row r="216" spans="1:112" ht="12.75" customHeight="1" x14ac:dyDescent="0.2">
      <c r="A216" s="101" t="s">
        <v>219</v>
      </c>
      <c r="B216" s="100"/>
      <c r="C216" s="213" t="s">
        <v>221</v>
      </c>
      <c r="D216" s="213" t="s">
        <v>221</v>
      </c>
      <c r="E216" s="213" t="s">
        <v>221</v>
      </c>
      <c r="F216" s="213" t="s">
        <v>221</v>
      </c>
      <c r="G216" s="284" t="s">
        <v>221</v>
      </c>
      <c r="H216" s="213" t="s">
        <v>221</v>
      </c>
      <c r="I216" s="213" t="s">
        <v>221</v>
      </c>
      <c r="J216" s="213" t="s">
        <v>221</v>
      </c>
      <c r="K216" s="213" t="s">
        <v>221</v>
      </c>
      <c r="L216" s="284" t="s">
        <v>221</v>
      </c>
      <c r="M216" s="213" t="s">
        <v>221</v>
      </c>
      <c r="N216" s="213" t="s">
        <v>221</v>
      </c>
      <c r="O216" s="213" t="s">
        <v>221</v>
      </c>
      <c r="P216" s="213" t="s">
        <v>221</v>
      </c>
      <c r="Q216" s="284" t="s">
        <v>221</v>
      </c>
      <c r="R216" s="213" t="s">
        <v>221</v>
      </c>
      <c r="S216" s="213" t="s">
        <v>221</v>
      </c>
      <c r="T216" s="213" t="s">
        <v>221</v>
      </c>
      <c r="U216" s="213" t="s">
        <v>221</v>
      </c>
      <c r="V216" s="284" t="s">
        <v>221</v>
      </c>
      <c r="W216" s="213" t="s">
        <v>221</v>
      </c>
      <c r="X216" s="213" t="s">
        <v>221</v>
      </c>
      <c r="Y216" s="213" t="s">
        <v>221</v>
      </c>
      <c r="Z216" s="213" t="s">
        <v>221</v>
      </c>
      <c r="AA216" s="284" t="s">
        <v>221</v>
      </c>
      <c r="AB216" s="213" t="s">
        <v>221</v>
      </c>
      <c r="AC216" s="213" t="s">
        <v>221</v>
      </c>
      <c r="AD216" s="213" t="s">
        <v>221</v>
      </c>
      <c r="AE216" s="213" t="s">
        <v>221</v>
      </c>
      <c r="AF216" s="284" t="s">
        <v>221</v>
      </c>
      <c r="AG216" s="213" t="s">
        <v>221</v>
      </c>
      <c r="AH216" s="213" t="s">
        <v>221</v>
      </c>
      <c r="AI216" s="213" t="s">
        <v>221</v>
      </c>
      <c r="AJ216" s="213" t="s">
        <v>221</v>
      </c>
      <c r="AK216" s="284" t="s">
        <v>221</v>
      </c>
      <c r="AL216" s="27">
        <f t="shared" si="240"/>
        <v>314.67661691542304</v>
      </c>
      <c r="AM216" s="27">
        <f t="shared" si="240"/>
        <v>-777.73770885923796</v>
      </c>
      <c r="AN216" s="27">
        <f t="shared" si="240"/>
        <v>-793.22638146167583</v>
      </c>
      <c r="AO216" s="27">
        <f t="shared" si="240"/>
        <v>-926.66594664650654</v>
      </c>
      <c r="AP216" s="335">
        <f t="shared" si="240"/>
        <v>-607.37734341527789</v>
      </c>
      <c r="AQ216" s="27">
        <f t="shared" si="240"/>
        <v>-844.74534543776019</v>
      </c>
      <c r="AR216" s="27">
        <f t="shared" si="240"/>
        <v>350.93521478705037</v>
      </c>
      <c r="AS216" s="27">
        <f t="shared" si="240"/>
        <v>645.23483812129518</v>
      </c>
      <c r="AT216" s="27">
        <f t="shared" si="240"/>
        <v>769.3603098611884</v>
      </c>
      <c r="AU216" s="335">
        <f t="shared" si="241"/>
        <v>288.48883163387853</v>
      </c>
      <c r="AV216" s="27">
        <f t="shared" si="241"/>
        <v>413.40206185567052</v>
      </c>
      <c r="AW216" s="27">
        <f t="shared" si="241"/>
        <v>207.74269234529243</v>
      </c>
      <c r="AX216" s="27">
        <f t="shared" si="241"/>
        <v>139.94649104754063</v>
      </c>
      <c r="AY216" s="27">
        <f t="shared" si="242"/>
        <v>-52.635993792727874</v>
      </c>
      <c r="AZ216" s="335">
        <f t="shared" si="242"/>
        <v>185.91123411234091</v>
      </c>
      <c r="BA216" s="27">
        <f t="shared" si="242"/>
        <v>-274.35897435897471</v>
      </c>
      <c r="BB216" s="27">
        <f t="shared" si="242"/>
        <v>-539.14866466137971</v>
      </c>
      <c r="BC216" s="27">
        <f t="shared" si="242"/>
        <v>-523.29575302056844</v>
      </c>
      <c r="BD216" s="27">
        <f>(BD190-AY190)*10000</f>
        <v>-643.92175128085648</v>
      </c>
      <c r="BE216" s="335">
        <f t="shared" si="242"/>
        <v>-503.41087553985034</v>
      </c>
      <c r="BF216" s="27">
        <f t="shared" si="242"/>
        <v>-355.73811301966629</v>
      </c>
      <c r="BG216" s="27">
        <f t="shared" si="242"/>
        <v>10.58831314936115</v>
      </c>
      <c r="BH216" s="27">
        <f t="shared" si="242"/>
        <v>48.504139904128607</v>
      </c>
      <c r="BI216" s="27">
        <f>(BI190-BD190)*10000</f>
        <v>2.7995520716683764</v>
      </c>
      <c r="BJ216" s="335">
        <f t="shared" si="242"/>
        <v>-62.357098316358496</v>
      </c>
      <c r="BK216" s="27">
        <f t="shared" si="243"/>
        <v>22.404779686333033</v>
      </c>
      <c r="BL216" s="27">
        <f t="shared" si="243"/>
        <v>-197.09843361655376</v>
      </c>
      <c r="BM216" s="27">
        <f t="shared" si="243"/>
        <v>-255.56778728088759</v>
      </c>
      <c r="BN216" s="27">
        <f t="shared" si="244"/>
        <v>-171.81518739428469</v>
      </c>
      <c r="BO216" s="335">
        <f t="shared" si="244"/>
        <v>-153.23244475400512</v>
      </c>
      <c r="BP216" s="27">
        <f t="shared" si="244"/>
        <v>-261.11503175723334</v>
      </c>
      <c r="BQ216" s="27">
        <f t="shared" si="244"/>
        <v>-42.194092827004262</v>
      </c>
      <c r="BR216" s="27">
        <f t="shared" si="244"/>
        <v>-70.954964264186572</v>
      </c>
      <c r="BS216" s="27">
        <f t="shared" si="245"/>
        <v>233.72659304479015</v>
      </c>
      <c r="BT216" s="335">
        <f t="shared" si="245"/>
        <v>-31.533769423973681</v>
      </c>
      <c r="BU216" s="27">
        <f t="shared" si="246"/>
        <v>161.3999320421336</v>
      </c>
      <c r="BV216" s="27">
        <f t="shared" si="246"/>
        <v>56.0872697334569</v>
      </c>
      <c r="BW216" s="27">
        <f t="shared" si="246"/>
        <v>94.806480179194793</v>
      </c>
      <c r="BX216" s="27">
        <f t="shared" si="247"/>
        <v>-501.3382402141184</v>
      </c>
      <c r="BY216" s="335">
        <f t="shared" si="247"/>
        <v>-51.147098515519907</v>
      </c>
      <c r="BZ216" s="27">
        <f t="shared" si="247"/>
        <v>-38.480038480038225</v>
      </c>
      <c r="CA216" s="27">
        <f t="shared" si="247"/>
        <v>-98.953778382405162</v>
      </c>
      <c r="CB216" s="27">
        <f t="shared" si="247"/>
        <v>-165.90518777745368</v>
      </c>
      <c r="CC216" s="27">
        <f t="shared" si="248"/>
        <v>-358.02667523702371</v>
      </c>
      <c r="CD216" s="335">
        <f t="shared" si="248"/>
        <v>-169.90962254120112</v>
      </c>
      <c r="CE216" s="27">
        <f t="shared" si="248"/>
        <v>73.006089955242601</v>
      </c>
      <c r="CF216" s="27">
        <f t="shared" si="248"/>
        <v>93.012565124118709</v>
      </c>
      <c r="CG216" s="27">
        <f t="shared" si="248"/>
        <v>-682.73478010370673</v>
      </c>
      <c r="CH216" s="27">
        <f t="shared" si="249"/>
        <v>124.51931880607947</v>
      </c>
      <c r="CI216" s="335">
        <f t="shared" si="249"/>
        <v>-95.353535353535634</v>
      </c>
      <c r="CJ216" s="27">
        <f t="shared" si="249"/>
        <v>-25.492627807633951</v>
      </c>
      <c r="CK216" s="27">
        <f t="shared" si="249"/>
        <v>-386.91159586681954</v>
      </c>
      <c r="CL216" s="147">
        <v>50</v>
      </c>
      <c r="CM216" s="27">
        <f>(CM190-CH190)*10000</f>
        <v>16.983576083416384</v>
      </c>
      <c r="CN216" s="339">
        <v>-90</v>
      </c>
      <c r="CO216" s="147">
        <f>CS216</f>
        <v>20</v>
      </c>
      <c r="CP216" s="147">
        <v>100</v>
      </c>
      <c r="CQ216" s="147">
        <v>-20</v>
      </c>
      <c r="CR216" s="27">
        <f>(CR190-CM190)*10000</f>
        <v>-20.878936607251763</v>
      </c>
      <c r="CS216" s="339">
        <v>20</v>
      </c>
      <c r="CT216" s="147">
        <f>CX216</f>
        <v>30</v>
      </c>
      <c r="CU216" s="147">
        <f>CX216</f>
        <v>30</v>
      </c>
      <c r="CV216" s="147">
        <f>CX216</f>
        <v>30</v>
      </c>
      <c r="CW216" s="27">
        <f>(CW190-CR190)*10000</f>
        <v>30.00000000000086</v>
      </c>
      <c r="CX216" s="339">
        <v>30</v>
      </c>
      <c r="CY216" s="147">
        <f>DC216</f>
        <v>28</v>
      </c>
      <c r="CZ216" s="147">
        <f>DC216</f>
        <v>28</v>
      </c>
      <c r="DA216" s="147">
        <f>DC216</f>
        <v>28</v>
      </c>
      <c r="DB216" s="27">
        <f>(DB190-CW190)*10000</f>
        <v>27.99999999999747</v>
      </c>
      <c r="DC216" s="339">
        <v>28</v>
      </c>
      <c r="DD216" s="147">
        <f>DH216</f>
        <v>25</v>
      </c>
      <c r="DE216" s="147">
        <f>DH216</f>
        <v>25</v>
      </c>
      <c r="DF216" s="147">
        <f>DH216</f>
        <v>25</v>
      </c>
      <c r="DG216" s="27">
        <f>(DG190-DB190)*10000</f>
        <v>24.999999999998913</v>
      </c>
      <c r="DH216" s="339">
        <v>25</v>
      </c>
    </row>
    <row r="217" spans="1:112" ht="12.75" customHeight="1" x14ac:dyDescent="0.2">
      <c r="A217" s="98" t="s">
        <v>220</v>
      </c>
      <c r="B217" s="168"/>
      <c r="C217" s="213" t="s">
        <v>221</v>
      </c>
      <c r="D217" s="213" t="s">
        <v>221</v>
      </c>
      <c r="E217" s="213" t="s">
        <v>221</v>
      </c>
      <c r="F217" s="213" t="s">
        <v>221</v>
      </c>
      <c r="G217" s="284" t="s">
        <v>221</v>
      </c>
      <c r="H217" s="213" t="s">
        <v>221</v>
      </c>
      <c r="I217" s="213" t="s">
        <v>221</v>
      </c>
      <c r="J217" s="213" t="s">
        <v>221</v>
      </c>
      <c r="K217" s="213" t="s">
        <v>221</v>
      </c>
      <c r="L217" s="284" t="s">
        <v>221</v>
      </c>
      <c r="M217" s="213" t="s">
        <v>221</v>
      </c>
      <c r="N217" s="213" t="s">
        <v>221</v>
      </c>
      <c r="O217" s="213" t="s">
        <v>221</v>
      </c>
      <c r="P217" s="213" t="s">
        <v>221</v>
      </c>
      <c r="Q217" s="284" t="s">
        <v>221</v>
      </c>
      <c r="R217" s="213" t="s">
        <v>221</v>
      </c>
      <c r="S217" s="213" t="s">
        <v>221</v>
      </c>
      <c r="T217" s="213" t="s">
        <v>221</v>
      </c>
      <c r="U217" s="213" t="s">
        <v>221</v>
      </c>
      <c r="V217" s="284" t="s">
        <v>221</v>
      </c>
      <c r="W217" s="213" t="s">
        <v>221</v>
      </c>
      <c r="X217" s="213" t="s">
        <v>221</v>
      </c>
      <c r="Y217" s="213" t="s">
        <v>221</v>
      </c>
      <c r="Z217" s="213" t="s">
        <v>221</v>
      </c>
      <c r="AA217" s="284" t="s">
        <v>221</v>
      </c>
      <c r="AB217" s="213" t="s">
        <v>221</v>
      </c>
      <c r="AC217" s="213" t="s">
        <v>221</v>
      </c>
      <c r="AD217" s="213" t="s">
        <v>221</v>
      </c>
      <c r="AE217" s="213" t="s">
        <v>221</v>
      </c>
      <c r="AF217" s="284" t="s">
        <v>221</v>
      </c>
      <c r="AG217" s="213" t="s">
        <v>221</v>
      </c>
      <c r="AH217" s="213" t="s">
        <v>221</v>
      </c>
      <c r="AI217" s="213" t="s">
        <v>221</v>
      </c>
      <c r="AJ217" s="213" t="s">
        <v>221</v>
      </c>
      <c r="AK217" s="284" t="s">
        <v>221</v>
      </c>
      <c r="AL217" s="27">
        <f t="shared" si="240"/>
        <v>-257.07384403036576</v>
      </c>
      <c r="AM217" s="27">
        <f t="shared" si="240"/>
        <v>-33.910314809191263</v>
      </c>
      <c r="AN217" s="27">
        <f t="shared" si="240"/>
        <v>-807.13250582824026</v>
      </c>
      <c r="AO217" s="27">
        <f t="shared" si="240"/>
        <v>206.49204563715244</v>
      </c>
      <c r="AP217" s="335">
        <f t="shared" si="240"/>
        <v>-213.97725969922317</v>
      </c>
      <c r="AQ217" s="27">
        <f t="shared" si="240"/>
        <v>-399.54730387943391</v>
      </c>
      <c r="AR217" s="27">
        <f t="shared" si="240"/>
        <v>-355.65894194756561</v>
      </c>
      <c r="AS217" s="27">
        <f t="shared" si="240"/>
        <v>602.02797506256036</v>
      </c>
      <c r="AT217" s="27">
        <f t="shared" si="240"/>
        <v>-1099.6146710432424</v>
      </c>
      <c r="AU217" s="335">
        <f t="shared" si="241"/>
        <v>-333.53393801315383</v>
      </c>
      <c r="AV217" s="27">
        <f t="shared" si="241"/>
        <v>377.04078883560533</v>
      </c>
      <c r="AW217" s="27">
        <f t="shared" si="241"/>
        <v>-267.53114261168389</v>
      </c>
      <c r="AX217" s="27">
        <f t="shared" si="241"/>
        <v>-344.41877431906602</v>
      </c>
      <c r="AY217" s="27">
        <f t="shared" si="242"/>
        <v>317.55557874960857</v>
      </c>
      <c r="AZ217" s="335">
        <f t="shared" si="242"/>
        <v>27.314307801327153</v>
      </c>
      <c r="BA217" s="27">
        <f t="shared" si="242"/>
        <v>-149.25373134328345</v>
      </c>
      <c r="BB217" s="27">
        <f t="shared" si="242"/>
        <v>309.7396157660462</v>
      </c>
      <c r="BC217" s="27">
        <f t="shared" si="242"/>
        <v>-111.13556338028158</v>
      </c>
      <c r="BD217" s="27">
        <f>(BD191-AY191)*10000</f>
        <v>-196.45151724819607</v>
      </c>
      <c r="BE217" s="335">
        <f t="shared" si="242"/>
        <v>-36.237111418898074</v>
      </c>
      <c r="BF217" s="27">
        <f t="shared" si="242"/>
        <v>-94.679662909940006</v>
      </c>
      <c r="BG217" s="27">
        <f t="shared" si="242"/>
        <v>-302.01342281879181</v>
      </c>
      <c r="BH217" s="27">
        <f t="shared" si="242"/>
        <v>-663.77997716025902</v>
      </c>
      <c r="BI217" s="27">
        <f>(BI191-BD191)*10000</f>
        <v>-156.40637976193014</v>
      </c>
      <c r="BJ217" s="335">
        <f t="shared" si="242"/>
        <v>-300.9090329904551</v>
      </c>
      <c r="BK217" s="27">
        <f t="shared" si="243"/>
        <v>-436.45180844615089</v>
      </c>
      <c r="BL217" s="27">
        <f t="shared" si="243"/>
        <v>-290.38908628328295</v>
      </c>
      <c r="BM217" s="27">
        <f t="shared" si="243"/>
        <v>-45.007632216934461</v>
      </c>
      <c r="BN217" s="27">
        <f t="shared" si="244"/>
        <v>-57.105274147074837</v>
      </c>
      <c r="BO217" s="335">
        <f t="shared" si="244"/>
        <v>-204.31640488584495</v>
      </c>
      <c r="BP217" s="27">
        <f>(BP191-BK191)*10000</f>
        <v>207.29445207294458</v>
      </c>
      <c r="BQ217" s="27">
        <f>(BQ191-BL191)*10000</f>
        <v>332.83231991983786</v>
      </c>
      <c r="BR217" s="27">
        <f>(BR191-BM191)*10000</f>
        <v>206.76029396959629</v>
      </c>
      <c r="BS217" s="27">
        <f>(BS191-BN191)*10000</f>
        <v>-298.992052723396</v>
      </c>
      <c r="BT217" s="335">
        <f t="shared" si="245"/>
        <v>117.58661252304181</v>
      </c>
      <c r="BU217" s="27">
        <f t="shared" si="246"/>
        <v>-182.48175182481756</v>
      </c>
      <c r="BV217" s="27">
        <f t="shared" si="246"/>
        <v>-295.73325728173393</v>
      </c>
      <c r="BW217" s="27">
        <f t="shared" si="246"/>
        <v>-229.70268724985712</v>
      </c>
      <c r="BX217" s="27">
        <f t="shared" si="247"/>
        <v>1.6770082173402785</v>
      </c>
      <c r="BY217" s="335">
        <f t="shared" si="247"/>
        <v>-178.99302326168612</v>
      </c>
      <c r="BZ217" s="27">
        <f t="shared" si="247"/>
        <v>325.99528891732342</v>
      </c>
      <c r="CA217" s="27">
        <f t="shared" si="247"/>
        <v>-14.397870201841856</v>
      </c>
      <c r="CB217" s="27">
        <f t="shared" si="247"/>
        <v>-183.17610062893084</v>
      </c>
      <c r="CC217" s="27">
        <f t="shared" si="248"/>
        <v>-408.45459568981397</v>
      </c>
      <c r="CD217" s="335">
        <f t="shared" si="248"/>
        <v>-64.784971289212621</v>
      </c>
      <c r="CE217" s="27">
        <f t="shared" si="248"/>
        <v>-199.20318725099597</v>
      </c>
      <c r="CF217" s="27">
        <f t="shared" si="248"/>
        <v>254.05534351145036</v>
      </c>
      <c r="CG217" s="27">
        <f t="shared" si="248"/>
        <v>348.11827956989248</v>
      </c>
      <c r="CH217" s="27">
        <f t="shared" si="249"/>
        <v>194.31051108968177</v>
      </c>
      <c r="CI217" s="335">
        <f t="shared" si="249"/>
        <v>139.99424014618108</v>
      </c>
      <c r="CJ217" s="27">
        <f t="shared" si="249"/>
        <v>-170.18540013175641</v>
      </c>
      <c r="CK217" s="27">
        <f t="shared" si="249"/>
        <v>-229.0883458646617</v>
      </c>
      <c r="CL217" s="147">
        <v>-220</v>
      </c>
      <c r="CM217" s="27">
        <f ca="1">(CM191-CH191)*10000</f>
        <v>4.645397820804698</v>
      </c>
      <c r="CN217" s="339">
        <v>-160</v>
      </c>
      <c r="CO217" s="147">
        <f>CS217</f>
        <v>-50</v>
      </c>
      <c r="CP217" s="147">
        <f>CS217</f>
        <v>-50</v>
      </c>
      <c r="CQ217" s="147">
        <f>CS217</f>
        <v>-50</v>
      </c>
      <c r="CR217" s="27">
        <f ca="1">(CR191-CM191)*10000</f>
        <v>-57.668419614942053</v>
      </c>
      <c r="CS217" s="339">
        <v>-50</v>
      </c>
      <c r="CT217" s="147">
        <f>CX217</f>
        <v>60</v>
      </c>
      <c r="CU217" s="147">
        <f>CX217</f>
        <v>60</v>
      </c>
      <c r="CV217" s="147">
        <f>CX217</f>
        <v>60</v>
      </c>
      <c r="CW217" s="27">
        <f ca="1">(CW191-CR191)*10000</f>
        <v>60.000000000000227</v>
      </c>
      <c r="CX217" s="339">
        <v>60</v>
      </c>
      <c r="CY217" s="147">
        <f>DC217</f>
        <v>28</v>
      </c>
      <c r="CZ217" s="147">
        <f>DC217</f>
        <v>28</v>
      </c>
      <c r="DA217" s="147">
        <f>DC217</f>
        <v>28</v>
      </c>
      <c r="DB217" s="27">
        <f ca="1">(DB191-CW191)*10000</f>
        <v>27.999999999999485</v>
      </c>
      <c r="DC217" s="339">
        <v>28</v>
      </c>
      <c r="DD217" s="147">
        <f>DH217</f>
        <v>25</v>
      </c>
      <c r="DE217" s="147">
        <f>DH217</f>
        <v>25</v>
      </c>
      <c r="DF217" s="147">
        <f>DH217</f>
        <v>25</v>
      </c>
      <c r="DG217" s="27">
        <f ca="1">(DG191-DB191)*10000</f>
        <v>25.000000000000298</v>
      </c>
      <c r="DH217" s="339">
        <v>25</v>
      </c>
    </row>
    <row r="218" spans="1:112" ht="12.75" customHeight="1" x14ac:dyDescent="0.2">
      <c r="A218" s="117" t="s">
        <v>210</v>
      </c>
      <c r="B218" s="241"/>
      <c r="C218" s="391" t="s">
        <v>221</v>
      </c>
      <c r="D218" s="391" t="s">
        <v>221</v>
      </c>
      <c r="E218" s="391" t="s">
        <v>221</v>
      </c>
      <c r="F218" s="391" t="s">
        <v>221</v>
      </c>
      <c r="G218" s="285" t="s">
        <v>221</v>
      </c>
      <c r="H218" s="391" t="s">
        <v>221</v>
      </c>
      <c r="I218" s="391" t="s">
        <v>221</v>
      </c>
      <c r="J218" s="391" t="s">
        <v>221</v>
      </c>
      <c r="K218" s="391" t="s">
        <v>221</v>
      </c>
      <c r="L218" s="285" t="s">
        <v>221</v>
      </c>
      <c r="M218" s="391" t="s">
        <v>221</v>
      </c>
      <c r="N218" s="391" t="s">
        <v>221</v>
      </c>
      <c r="O218" s="391" t="s">
        <v>221</v>
      </c>
      <c r="P218" s="391" t="s">
        <v>221</v>
      </c>
      <c r="Q218" s="285" t="s">
        <v>221</v>
      </c>
      <c r="R218" s="391" t="s">
        <v>221</v>
      </c>
      <c r="S218" s="391" t="s">
        <v>221</v>
      </c>
      <c r="T218" s="391" t="s">
        <v>221</v>
      </c>
      <c r="U218" s="391" t="s">
        <v>221</v>
      </c>
      <c r="V218" s="285" t="s">
        <v>221</v>
      </c>
      <c r="W218" s="391" t="s">
        <v>221</v>
      </c>
      <c r="X218" s="391" t="s">
        <v>221</v>
      </c>
      <c r="Y218" s="391" t="s">
        <v>221</v>
      </c>
      <c r="Z218" s="391" t="s">
        <v>221</v>
      </c>
      <c r="AA218" s="285" t="s">
        <v>221</v>
      </c>
      <c r="AB218" s="391" t="s">
        <v>221</v>
      </c>
      <c r="AC218" s="391" t="s">
        <v>221</v>
      </c>
      <c r="AD218" s="391" t="s">
        <v>221</v>
      </c>
      <c r="AE218" s="391" t="s">
        <v>221</v>
      </c>
      <c r="AF218" s="285" t="s">
        <v>221</v>
      </c>
      <c r="AG218" s="391" t="s">
        <v>221</v>
      </c>
      <c r="AH218" s="391" t="s">
        <v>221</v>
      </c>
      <c r="AI218" s="391" t="s">
        <v>221</v>
      </c>
      <c r="AJ218" s="391" t="s">
        <v>221</v>
      </c>
      <c r="AK218" s="285" t="s">
        <v>221</v>
      </c>
      <c r="AL218" s="318" t="s">
        <v>221</v>
      </c>
      <c r="AM218" s="318" t="s">
        <v>221</v>
      </c>
      <c r="AN218" s="318" t="s">
        <v>221</v>
      </c>
      <c r="AO218" s="318" t="s">
        <v>221</v>
      </c>
      <c r="AP218" s="340" t="s">
        <v>221</v>
      </c>
      <c r="AQ218" s="318" t="s">
        <v>221</v>
      </c>
      <c r="AR218" s="318" t="s">
        <v>221</v>
      </c>
      <c r="AS218" s="318" t="s">
        <v>221</v>
      </c>
      <c r="AT218" s="318" t="s">
        <v>221</v>
      </c>
      <c r="AU218" s="340" t="s">
        <v>221</v>
      </c>
      <c r="AV218" s="318" t="s">
        <v>221</v>
      </c>
      <c r="AW218" s="318" t="s">
        <v>221</v>
      </c>
      <c r="AX218" s="318" t="s">
        <v>221</v>
      </c>
      <c r="AY218" s="318" t="s">
        <v>221</v>
      </c>
      <c r="AZ218" s="340" t="s">
        <v>221</v>
      </c>
      <c r="BA218" s="318" t="s">
        <v>221</v>
      </c>
      <c r="BB218" s="318" t="s">
        <v>221</v>
      </c>
      <c r="BC218" s="318" t="s">
        <v>221</v>
      </c>
      <c r="BD218" s="318" t="s">
        <v>221</v>
      </c>
      <c r="BE218" s="340" t="s">
        <v>221</v>
      </c>
      <c r="BF218" s="318" t="s">
        <v>221</v>
      </c>
      <c r="BG218" s="318" t="s">
        <v>221</v>
      </c>
      <c r="BH218" s="318" t="s">
        <v>221</v>
      </c>
      <c r="BI218" s="318" t="s">
        <v>221</v>
      </c>
      <c r="BJ218" s="340" t="s">
        <v>221</v>
      </c>
      <c r="BK218" s="318" t="s">
        <v>221</v>
      </c>
      <c r="BL218" s="318" t="s">
        <v>221</v>
      </c>
      <c r="BM218" s="318" t="s">
        <v>221</v>
      </c>
      <c r="BN218" s="318" t="s">
        <v>221</v>
      </c>
      <c r="BO218" s="340" t="s">
        <v>221</v>
      </c>
      <c r="BP218" s="318" t="s">
        <v>221</v>
      </c>
      <c r="BQ218" s="318" t="s">
        <v>221</v>
      </c>
      <c r="BR218" s="318" t="s">
        <v>221</v>
      </c>
      <c r="BS218" s="318" t="s">
        <v>221</v>
      </c>
      <c r="BT218" s="340" t="s">
        <v>221</v>
      </c>
      <c r="BU218" s="676" t="s">
        <v>221</v>
      </c>
      <c r="BV218" s="318" t="s">
        <v>221</v>
      </c>
      <c r="BW218" s="318" t="s">
        <v>221</v>
      </c>
      <c r="BX218" s="318" t="s">
        <v>221</v>
      </c>
      <c r="BY218" s="340" t="s">
        <v>221</v>
      </c>
      <c r="BZ218" s="318" t="s">
        <v>221</v>
      </c>
      <c r="CA218" s="318" t="s">
        <v>221</v>
      </c>
      <c r="CB218" s="318" t="s">
        <v>221</v>
      </c>
      <c r="CC218" s="318" t="s">
        <v>221</v>
      </c>
      <c r="CD218" s="340" t="s">
        <v>221</v>
      </c>
      <c r="CE218" s="318" t="s">
        <v>221</v>
      </c>
      <c r="CF218" s="318" t="s">
        <v>221</v>
      </c>
      <c r="CG218" s="318" t="s">
        <v>221</v>
      </c>
      <c r="CH218" s="318" t="s">
        <v>221</v>
      </c>
      <c r="CI218" s="340" t="s">
        <v>221</v>
      </c>
      <c r="CJ218" s="318" t="s">
        <v>221</v>
      </c>
      <c r="CK218" s="318" t="s">
        <v>221</v>
      </c>
      <c r="CL218" s="318" t="s">
        <v>221</v>
      </c>
      <c r="CM218" s="318" t="s">
        <v>221</v>
      </c>
      <c r="CN218" s="340" t="s">
        <v>221</v>
      </c>
      <c r="CO218" s="318" t="s">
        <v>221</v>
      </c>
      <c r="CP218" s="318" t="s">
        <v>221</v>
      </c>
      <c r="CQ218" s="318" t="s">
        <v>221</v>
      </c>
      <c r="CR218" s="318" t="s">
        <v>221</v>
      </c>
      <c r="CS218" s="340" t="s">
        <v>221</v>
      </c>
      <c r="CT218" s="318" t="s">
        <v>221</v>
      </c>
      <c r="CU218" s="318" t="s">
        <v>221</v>
      </c>
      <c r="CV218" s="318" t="s">
        <v>221</v>
      </c>
      <c r="CW218" s="318" t="s">
        <v>221</v>
      </c>
      <c r="CX218" s="340" t="s">
        <v>221</v>
      </c>
      <c r="CY218" s="318" t="s">
        <v>221</v>
      </c>
      <c r="CZ218" s="318" t="s">
        <v>221</v>
      </c>
      <c r="DA218" s="318" t="s">
        <v>221</v>
      </c>
      <c r="DB218" s="318" t="s">
        <v>221</v>
      </c>
      <c r="DC218" s="340" t="s">
        <v>221</v>
      </c>
      <c r="DD218" s="318" t="s">
        <v>221</v>
      </c>
      <c r="DE218" s="318" t="s">
        <v>221</v>
      </c>
      <c r="DF218" s="318" t="s">
        <v>221</v>
      </c>
      <c r="DG218" s="318" t="s">
        <v>221</v>
      </c>
      <c r="DH218" s="340" t="s">
        <v>221</v>
      </c>
    </row>
    <row r="219" spans="1:112" ht="12.75" customHeight="1" x14ac:dyDescent="0.2">
      <c r="A219" s="209" t="s">
        <v>216</v>
      </c>
      <c r="B219" s="218"/>
      <c r="C219" s="392" t="s">
        <v>221</v>
      </c>
      <c r="D219" s="392" t="s">
        <v>221</v>
      </c>
      <c r="E219" s="392" t="s">
        <v>221</v>
      </c>
      <c r="F219" s="392" t="s">
        <v>221</v>
      </c>
      <c r="G219" s="286" t="s">
        <v>221</v>
      </c>
      <c r="H219" s="392" t="s">
        <v>221</v>
      </c>
      <c r="I219" s="392" t="s">
        <v>221</v>
      </c>
      <c r="J219" s="392" t="s">
        <v>221</v>
      </c>
      <c r="K219" s="392" t="s">
        <v>221</v>
      </c>
      <c r="L219" s="286" t="s">
        <v>221</v>
      </c>
      <c r="M219" s="392" t="s">
        <v>221</v>
      </c>
      <c r="N219" s="392" t="s">
        <v>221</v>
      </c>
      <c r="O219" s="392" t="s">
        <v>221</v>
      </c>
      <c r="P219" s="392" t="s">
        <v>221</v>
      </c>
      <c r="Q219" s="286" t="s">
        <v>221</v>
      </c>
      <c r="R219" s="392" t="s">
        <v>221</v>
      </c>
      <c r="S219" s="392" t="s">
        <v>221</v>
      </c>
      <c r="T219" s="392" t="s">
        <v>221</v>
      </c>
      <c r="U219" s="392" t="s">
        <v>221</v>
      </c>
      <c r="V219" s="286" t="s">
        <v>221</v>
      </c>
      <c r="W219" s="392" t="s">
        <v>221</v>
      </c>
      <c r="X219" s="392" t="s">
        <v>221</v>
      </c>
      <c r="Y219" s="392" t="s">
        <v>221</v>
      </c>
      <c r="Z219" s="392" t="s">
        <v>221</v>
      </c>
      <c r="AA219" s="286" t="s">
        <v>221</v>
      </c>
      <c r="AB219" s="392" t="s">
        <v>221</v>
      </c>
      <c r="AC219" s="392" t="s">
        <v>221</v>
      </c>
      <c r="AD219" s="392" t="s">
        <v>221</v>
      </c>
      <c r="AE219" s="392" t="s">
        <v>221</v>
      </c>
      <c r="AF219" s="286" t="s">
        <v>221</v>
      </c>
      <c r="AG219" s="392" t="s">
        <v>221</v>
      </c>
      <c r="AH219" s="392" t="s">
        <v>221</v>
      </c>
      <c r="AI219" s="392" t="s">
        <v>221</v>
      </c>
      <c r="AJ219" s="392" t="s">
        <v>221</v>
      </c>
      <c r="AK219" s="286" t="s">
        <v>221</v>
      </c>
      <c r="AL219" s="319">
        <f t="shared" ref="AL219:AT219" si="250">(AL193-AG193)*10000</f>
        <v>-102.96292125223927</v>
      </c>
      <c r="AM219" s="319">
        <f t="shared" si="250"/>
        <v>-155.98268016351849</v>
      </c>
      <c r="AN219" s="319">
        <f t="shared" si="250"/>
        <v>-439.15898832272342</v>
      </c>
      <c r="AO219" s="319">
        <f t="shared" si="250"/>
        <v>-172.92263895524766</v>
      </c>
      <c r="AP219" s="348">
        <f t="shared" si="250"/>
        <v>-218.66458598014864</v>
      </c>
      <c r="AQ219" s="319">
        <f t="shared" si="250"/>
        <v>-60.427717672745516</v>
      </c>
      <c r="AR219" s="319">
        <f t="shared" si="250"/>
        <v>-1.9553785390964695</v>
      </c>
      <c r="AS219" s="319">
        <f t="shared" si="250"/>
        <v>609.88749281432217</v>
      </c>
      <c r="AT219" s="319">
        <f t="shared" si="250"/>
        <v>134.64882943143797</v>
      </c>
      <c r="AU219" s="348">
        <f t="shared" si="241"/>
        <v>173.83102772128041</v>
      </c>
      <c r="AV219" s="319">
        <f t="shared" si="241"/>
        <v>321.45693131457404</v>
      </c>
      <c r="AW219" s="319">
        <f t="shared" si="241"/>
        <v>50.269384881957976</v>
      </c>
      <c r="AX219" s="319">
        <f t="shared" si="241"/>
        <v>-101.99430199430203</v>
      </c>
      <c r="AY219" s="319">
        <f>(AY193-AT193)*10000</f>
        <v>-46.508047585724078</v>
      </c>
      <c r="AZ219" s="348">
        <f>(AZ193-AU193)*10000</f>
        <v>49.947239818687315</v>
      </c>
      <c r="BA219" s="319">
        <f t="shared" si="242"/>
        <v>-69.810947879422599</v>
      </c>
      <c r="BB219" s="319">
        <f t="shared" si="242"/>
        <v>110.76555775453149</v>
      </c>
      <c r="BC219" s="319">
        <f t="shared" si="242"/>
        <v>55.516228829112222</v>
      </c>
      <c r="BD219" s="319">
        <f>(BD193-AY193)*10000</f>
        <v>20.408182538490806</v>
      </c>
      <c r="BE219" s="348">
        <f>(BE193-AZ193)*10000</f>
        <v>31.468947027899485</v>
      </c>
      <c r="BF219" s="319">
        <f t="shared" si="242"/>
        <v>-162.62642770242059</v>
      </c>
      <c r="BG219" s="319">
        <f t="shared" si="242"/>
        <v>31.11369523583263</v>
      </c>
      <c r="BH219" s="319">
        <f t="shared" si="242"/>
        <v>-266.17162149735282</v>
      </c>
      <c r="BI219" s="319">
        <f t="shared" ref="BI219:CE219" si="251">(BI193-BD193)*10000</f>
        <v>-85.087675510845671</v>
      </c>
      <c r="BJ219" s="348">
        <f t="shared" si="251"/>
        <v>-122.89119070556936</v>
      </c>
      <c r="BK219" s="319">
        <f t="shared" si="251"/>
        <v>16.97507001357318</v>
      </c>
      <c r="BL219" s="319">
        <f t="shared" si="251"/>
        <v>149.4166550770326</v>
      </c>
      <c r="BM219" s="319">
        <f t="shared" si="251"/>
        <v>16.306217427345395</v>
      </c>
      <c r="BN219" s="319">
        <f t="shared" si="251"/>
        <v>110.03692646628843</v>
      </c>
      <c r="BO219" s="348">
        <f t="shared" si="251"/>
        <v>70.385425831647481</v>
      </c>
      <c r="BP219" s="319">
        <f t="shared" si="251"/>
        <v>121.18419485634996</v>
      </c>
      <c r="BQ219" s="319">
        <f t="shared" si="251"/>
        <v>-12.140095782124661</v>
      </c>
      <c r="BR219" s="319">
        <f t="shared" si="251"/>
        <v>224.88314428145279</v>
      </c>
      <c r="BS219" s="319">
        <f t="shared" si="251"/>
        <v>17.997641479900185</v>
      </c>
      <c r="BT219" s="348">
        <f t="shared" si="251"/>
        <v>86.208058758618094</v>
      </c>
      <c r="BU219" s="319">
        <f>(BU193-BP193)*10000</f>
        <v>41.31657906215419</v>
      </c>
      <c r="BV219" s="319">
        <f t="shared" si="251"/>
        <v>57.956186123711007</v>
      </c>
      <c r="BW219" s="319">
        <f t="shared" si="251"/>
        <v>-105.57194557746341</v>
      </c>
      <c r="BX219" s="319">
        <f t="shared" si="251"/>
        <v>99.286562849526803</v>
      </c>
      <c r="BY219" s="348">
        <f t="shared" si="251"/>
        <v>25.455339627415697</v>
      </c>
      <c r="BZ219" s="319">
        <f t="shared" si="251"/>
        <v>286.85454003660988</v>
      </c>
      <c r="CA219" s="319">
        <f t="shared" si="251"/>
        <v>245.35315985130117</v>
      </c>
      <c r="CB219" s="319">
        <f t="shared" si="251"/>
        <v>113.09793745801683</v>
      </c>
      <c r="CC219" s="319">
        <f t="shared" si="251"/>
        <v>-281.13359023763633</v>
      </c>
      <c r="CD219" s="348">
        <f t="shared" si="251"/>
        <v>77.65377455744904</v>
      </c>
      <c r="CE219" s="319">
        <f t="shared" si="251"/>
        <v>-69.758746017738744</v>
      </c>
      <c r="CF219" s="319">
        <f t="shared" ref="CF219:CX219" si="252">(CF193-CA193)*10000</f>
        <v>-95.527928632996023</v>
      </c>
      <c r="CG219" s="319">
        <f t="shared" si="252"/>
        <v>10.317149067373411</v>
      </c>
      <c r="CH219" s="319">
        <f t="shared" si="252"/>
        <v>216.13539769277463</v>
      </c>
      <c r="CI219" s="348">
        <f t="shared" si="252"/>
        <v>23.148198601163351</v>
      </c>
      <c r="CJ219" s="319">
        <f t="shared" si="252"/>
        <v>30.478170478170362</v>
      </c>
      <c r="CK219" s="319">
        <f t="shared" si="252"/>
        <v>-11.401901455425079</v>
      </c>
      <c r="CL219" s="319">
        <f t="shared" ca="1" si="252"/>
        <v>-84.670558246174593</v>
      </c>
      <c r="CM219" s="319">
        <f t="shared" ca="1" si="252"/>
        <v>-55.457741254665294</v>
      </c>
      <c r="CN219" s="348">
        <f t="shared" ca="1" si="252"/>
        <v>-30.34656764492355</v>
      </c>
      <c r="CO219" s="319">
        <f t="shared" ca="1" si="252"/>
        <v>-47.997559036759839</v>
      </c>
      <c r="CP219" s="319">
        <f t="shared" ca="1" si="252"/>
        <v>-66.631231218196305</v>
      </c>
      <c r="CQ219" s="319">
        <f t="shared" ca="1" si="252"/>
        <v>-16.078217186735742</v>
      </c>
      <c r="CR219" s="319">
        <f t="shared" ca="1" si="252"/>
        <v>-38.750269189353759</v>
      </c>
      <c r="CS219" s="348">
        <f t="shared" ca="1" si="252"/>
        <v>-42.740843417787275</v>
      </c>
      <c r="CT219" s="319">
        <f t="shared" ca="1" si="252"/>
        <v>67.494318979641193</v>
      </c>
      <c r="CU219" s="319">
        <f t="shared" ca="1" si="252"/>
        <v>10.762242005588618</v>
      </c>
      <c r="CV219" s="319">
        <f t="shared" ca="1" si="252"/>
        <v>49.09692703246121</v>
      </c>
      <c r="CW219" s="319">
        <f t="shared" ca="1" si="252"/>
        <v>51.504761704844746</v>
      </c>
      <c r="CX219" s="348">
        <f t="shared" ca="1" si="252"/>
        <v>45.281410503704159</v>
      </c>
      <c r="CY219" s="319">
        <f t="shared" ref="CY219:DH219" ca="1" si="253">(CY193-CT193)*10000</f>
        <v>16.355208661310851</v>
      </c>
      <c r="CZ219" s="319">
        <f t="shared" ca="1" si="253"/>
        <v>16.882381808571157</v>
      </c>
      <c r="DA219" s="319">
        <f t="shared" ca="1" si="253"/>
        <v>13.659869597069662</v>
      </c>
      <c r="DB219" s="319">
        <f t="shared" ca="1" si="253"/>
        <v>11.54991737822214</v>
      </c>
      <c r="DC219" s="348">
        <f t="shared" ca="1" si="253"/>
        <v>14.463329084620224</v>
      </c>
      <c r="DD219" s="319">
        <f t="shared" ca="1" si="253"/>
        <v>12.040659330403436</v>
      </c>
      <c r="DE219" s="319">
        <f t="shared" ca="1" si="253"/>
        <v>12.919777223122376</v>
      </c>
      <c r="DF219" s="319">
        <f t="shared" ca="1" si="253"/>
        <v>9.6528714070920341</v>
      </c>
      <c r="DG219" s="319">
        <f t="shared" ca="1" si="253"/>
        <v>7.5136504661826864</v>
      </c>
      <c r="DH219" s="348">
        <f t="shared" ca="1" si="253"/>
        <v>10.384973098971074</v>
      </c>
    </row>
    <row r="220" spans="1:112" ht="12" customHeight="1" x14ac:dyDescent="0.2">
      <c r="A220" s="104"/>
      <c r="B220" s="104"/>
      <c r="C220" s="158"/>
      <c r="D220" s="158"/>
      <c r="E220" s="158"/>
      <c r="F220" s="158"/>
      <c r="G220" s="269"/>
      <c r="H220" s="158"/>
      <c r="I220" s="158"/>
      <c r="J220" s="158"/>
      <c r="K220" s="158"/>
      <c r="L220" s="269"/>
      <c r="M220" s="158"/>
      <c r="N220" s="158"/>
      <c r="O220" s="158"/>
      <c r="P220" s="158"/>
      <c r="Q220" s="269"/>
      <c r="R220" s="158"/>
      <c r="S220" s="158"/>
      <c r="T220" s="158"/>
      <c r="U220" s="158"/>
      <c r="V220" s="269"/>
      <c r="W220" s="158"/>
      <c r="X220" s="158"/>
      <c r="Y220" s="158"/>
      <c r="Z220" s="158"/>
      <c r="AA220" s="269"/>
      <c r="AB220" s="158"/>
      <c r="AC220" s="158"/>
      <c r="AD220" s="158"/>
      <c r="AE220" s="158"/>
      <c r="AF220" s="269"/>
      <c r="AG220" s="264"/>
      <c r="AH220" s="264"/>
      <c r="AI220" s="264"/>
      <c r="AJ220" s="264"/>
      <c r="AK220" s="420"/>
      <c r="AL220" s="521"/>
      <c r="AM220" s="521"/>
      <c r="AN220" s="521"/>
      <c r="AO220" s="521"/>
      <c r="AP220" s="522"/>
      <c r="AQ220" s="521"/>
      <c r="AR220" s="521"/>
      <c r="AS220" s="521"/>
      <c r="AT220" s="521"/>
      <c r="AU220" s="520"/>
      <c r="AV220" s="524"/>
      <c r="AW220" s="524"/>
      <c r="AX220" s="524"/>
      <c r="AY220" s="524"/>
      <c r="AZ220" s="523"/>
      <c r="BA220" s="524"/>
      <c r="BB220" s="524"/>
      <c r="BC220" s="524"/>
      <c r="BD220" s="524"/>
      <c r="BE220" s="523"/>
      <c r="BF220" s="104"/>
      <c r="BG220" s="104"/>
      <c r="BH220" s="104"/>
      <c r="BI220" s="104"/>
      <c r="BJ220" s="186"/>
      <c r="BK220" s="104"/>
      <c r="BL220" s="104"/>
      <c r="BM220" s="104"/>
      <c r="BN220" s="104"/>
      <c r="BO220" s="186"/>
      <c r="BP220" s="104"/>
      <c r="BQ220" s="104"/>
      <c r="BR220" s="104"/>
      <c r="BS220" s="104"/>
      <c r="BT220" s="186"/>
      <c r="BU220" s="104"/>
      <c r="BV220" s="104"/>
      <c r="BW220" s="104"/>
      <c r="BX220" s="104"/>
      <c r="BY220" s="186"/>
      <c r="BZ220" s="104"/>
      <c r="CA220" s="104"/>
      <c r="CB220" s="104"/>
      <c r="CC220" s="104"/>
      <c r="CD220" s="186"/>
      <c r="CE220" s="647"/>
      <c r="CF220" s="104"/>
      <c r="CG220" s="104"/>
      <c r="CH220" s="104"/>
      <c r="CI220" s="811"/>
      <c r="CJ220" s="104"/>
      <c r="CK220" s="104"/>
      <c r="CL220" s="104"/>
      <c r="CM220" s="104"/>
      <c r="CN220" s="186"/>
      <c r="CO220" s="104"/>
      <c r="CP220" s="104"/>
      <c r="CQ220" s="104"/>
      <c r="CR220" s="104"/>
      <c r="CS220" s="186"/>
      <c r="CT220" s="104"/>
      <c r="CU220" s="104"/>
      <c r="CV220" s="104"/>
      <c r="CW220" s="104"/>
      <c r="CX220" s="186"/>
      <c r="CY220" s="104"/>
      <c r="CZ220" s="104"/>
      <c r="DA220" s="104"/>
      <c r="DB220" s="104"/>
      <c r="DC220" s="186"/>
      <c r="DD220" s="104"/>
      <c r="DE220" s="104"/>
      <c r="DF220" s="104"/>
      <c r="DG220" s="104"/>
      <c r="DH220" s="186"/>
    </row>
    <row r="221" spans="1:112" x14ac:dyDescent="0.2">
      <c r="A221" s="368" t="s">
        <v>239</v>
      </c>
      <c r="B221" s="100"/>
      <c r="C221" s="203"/>
      <c r="D221" s="203"/>
      <c r="E221" s="203"/>
      <c r="F221" s="203"/>
      <c r="G221" s="298"/>
      <c r="H221" s="203"/>
      <c r="I221" s="203"/>
      <c r="J221" s="203"/>
      <c r="K221" s="203"/>
      <c r="L221" s="298"/>
      <c r="M221" s="203"/>
      <c r="N221" s="203"/>
      <c r="O221" s="203"/>
      <c r="P221" s="203"/>
      <c r="Q221" s="298"/>
      <c r="R221" s="203"/>
      <c r="S221" s="203"/>
      <c r="T221" s="203"/>
      <c r="U221" s="203"/>
      <c r="V221" s="298"/>
      <c r="W221" s="203"/>
      <c r="X221" s="203"/>
      <c r="Y221" s="203"/>
      <c r="Z221" s="203"/>
      <c r="AA221" s="298"/>
      <c r="AB221" s="203"/>
      <c r="AC221" s="203"/>
      <c r="AD221" s="203"/>
      <c r="AE221" s="203"/>
      <c r="AF221" s="298"/>
      <c r="AG221" s="203"/>
      <c r="AH221" s="203"/>
      <c r="AI221" s="203"/>
      <c r="AJ221" s="203"/>
      <c r="AK221" s="298"/>
      <c r="AL221" s="203"/>
      <c r="AM221" s="203"/>
      <c r="AN221" s="203"/>
      <c r="AO221" s="203"/>
      <c r="AP221" s="298"/>
      <c r="AQ221" s="203"/>
      <c r="AR221" s="203"/>
      <c r="AS221" s="203"/>
      <c r="AT221" s="203"/>
      <c r="AU221" s="298"/>
      <c r="AV221" s="507"/>
      <c r="AW221" s="507"/>
      <c r="AX221" s="507"/>
      <c r="AY221" s="507"/>
      <c r="AZ221" s="508"/>
      <c r="BA221" s="507"/>
      <c r="BB221" s="507"/>
      <c r="BC221" s="507"/>
      <c r="BD221" s="507"/>
      <c r="BE221" s="298"/>
      <c r="BF221" s="203"/>
      <c r="BG221" s="203"/>
      <c r="BH221" s="203"/>
      <c r="BI221" s="203"/>
      <c r="BJ221" s="298"/>
      <c r="BK221" s="203"/>
      <c r="BL221" s="203"/>
      <c r="BM221" s="203"/>
      <c r="BN221" s="203"/>
      <c r="BO221" s="298"/>
      <c r="BP221" s="203"/>
      <c r="BQ221" s="203"/>
      <c r="BR221" s="203"/>
      <c r="BS221" s="203"/>
      <c r="BT221" s="298"/>
      <c r="BU221" s="203"/>
      <c r="BV221" s="203"/>
      <c r="BW221" s="203"/>
      <c r="BX221" s="203"/>
      <c r="BY221" s="298"/>
      <c r="BZ221" s="203"/>
      <c r="CA221" s="203"/>
      <c r="CB221" s="203"/>
      <c r="CC221" s="203"/>
      <c r="CD221" s="298"/>
      <c r="CE221" s="203"/>
      <c r="CF221" s="203"/>
      <c r="CG221" s="203"/>
      <c r="CH221" s="203"/>
      <c r="CI221" s="298"/>
      <c r="CJ221" s="203"/>
      <c r="CK221" s="203"/>
      <c r="CL221" s="203"/>
      <c r="CM221" s="203"/>
      <c r="CN221" s="298"/>
      <c r="CO221" s="203"/>
      <c r="CP221" s="203"/>
      <c r="CQ221" s="203"/>
      <c r="CR221" s="203"/>
      <c r="CS221" s="298"/>
      <c r="CT221" s="203"/>
      <c r="CU221" s="203"/>
      <c r="CV221" s="203"/>
      <c r="CW221" s="203"/>
      <c r="CX221" s="298"/>
      <c r="CY221" s="203"/>
      <c r="CZ221" s="203"/>
      <c r="DA221" s="203"/>
      <c r="DB221" s="203"/>
      <c r="DC221" s="298"/>
      <c r="DD221" s="203"/>
      <c r="DE221" s="203"/>
      <c r="DF221" s="203"/>
      <c r="DG221" s="203"/>
      <c r="DH221" s="298"/>
    </row>
    <row r="222" spans="1:112" ht="12.75" customHeight="1" x14ac:dyDescent="0.2">
      <c r="A222" s="101" t="s">
        <v>217</v>
      </c>
      <c r="B222" s="100"/>
      <c r="C222" s="393" t="s">
        <v>221</v>
      </c>
      <c r="D222" s="393" t="s">
        <v>221</v>
      </c>
      <c r="E222" s="393" t="s">
        <v>221</v>
      </c>
      <c r="F222" s="393" t="s">
        <v>221</v>
      </c>
      <c r="G222" s="271" t="s">
        <v>221</v>
      </c>
      <c r="H222" s="393" t="s">
        <v>221</v>
      </c>
      <c r="I222" s="393" t="s">
        <v>221</v>
      </c>
      <c r="J222" s="393" t="s">
        <v>221</v>
      </c>
      <c r="K222" s="393" t="s">
        <v>221</v>
      </c>
      <c r="L222" s="271" t="s">
        <v>221</v>
      </c>
      <c r="M222" s="393" t="s">
        <v>221</v>
      </c>
      <c r="N222" s="393" t="s">
        <v>221</v>
      </c>
      <c r="O222" s="393" t="s">
        <v>221</v>
      </c>
      <c r="P222" s="393" t="s">
        <v>221</v>
      </c>
      <c r="Q222" s="271" t="s">
        <v>221</v>
      </c>
      <c r="R222" s="393" t="s">
        <v>221</v>
      </c>
      <c r="S222" s="393" t="s">
        <v>221</v>
      </c>
      <c r="T222" s="393" t="s">
        <v>221</v>
      </c>
      <c r="U222" s="393" t="s">
        <v>221</v>
      </c>
      <c r="V222" s="271" t="s">
        <v>221</v>
      </c>
      <c r="W222" s="393" t="s">
        <v>221</v>
      </c>
      <c r="X222" s="393" t="s">
        <v>221</v>
      </c>
      <c r="Y222" s="393" t="s">
        <v>221</v>
      </c>
      <c r="Z222" s="393" t="s">
        <v>221</v>
      </c>
      <c r="AA222" s="271" t="s">
        <v>221</v>
      </c>
      <c r="AB222" s="393" t="s">
        <v>221</v>
      </c>
      <c r="AC222" s="393" t="s">
        <v>221</v>
      </c>
      <c r="AD222" s="393" t="s">
        <v>221</v>
      </c>
      <c r="AE222" s="393" t="s">
        <v>221</v>
      </c>
      <c r="AF222" s="271" t="s">
        <v>221</v>
      </c>
      <c r="AG222" s="393" t="s">
        <v>221</v>
      </c>
      <c r="AH222" s="393" t="s">
        <v>221</v>
      </c>
      <c r="AI222" s="393" t="s">
        <v>221</v>
      </c>
      <c r="AJ222" s="393" t="s">
        <v>221</v>
      </c>
      <c r="AK222" s="271" t="s">
        <v>221</v>
      </c>
      <c r="AL222" s="394">
        <f t="shared" ref="AL222:AU227" si="254">AL154/AG154-1</f>
        <v>-8.9285714285713969E-3</v>
      </c>
      <c r="AM222" s="394">
        <f t="shared" si="254"/>
        <v>-1.2987012987012991E-2</v>
      </c>
      <c r="AN222" s="394">
        <f t="shared" si="254"/>
        <v>-0.20183486238532111</v>
      </c>
      <c r="AO222" s="394">
        <f t="shared" si="254"/>
        <v>-8.5106382978723416E-2</v>
      </c>
      <c r="AP222" s="427">
        <f t="shared" si="254"/>
        <v>-8.1632653061224469E-2</v>
      </c>
      <c r="AQ222" s="394">
        <f t="shared" si="254"/>
        <v>3.6036036036036112E-2</v>
      </c>
      <c r="AR222" s="394">
        <f t="shared" si="254"/>
        <v>2.6315789473684292E-2</v>
      </c>
      <c r="AS222" s="394">
        <f t="shared" si="254"/>
        <v>0.27586206896551735</v>
      </c>
      <c r="AT222" s="394">
        <f t="shared" si="254"/>
        <v>0.23255813953488369</v>
      </c>
      <c r="AU222" s="427">
        <f t="shared" si="254"/>
        <v>0.13888888888888884</v>
      </c>
      <c r="AV222" s="47">
        <f t="shared" ref="AV222:BG227" si="255">AV154/AQ154-1</f>
        <v>3.4782608695652195E-2</v>
      </c>
      <c r="AW222" s="47">
        <f t="shared" si="255"/>
        <v>-0.10256410256410253</v>
      </c>
      <c r="AX222" s="47">
        <f t="shared" si="255"/>
        <v>-0.15315315315315314</v>
      </c>
      <c r="AY222" s="47">
        <f t="shared" si="255"/>
        <v>-0.19811320754716977</v>
      </c>
      <c r="AZ222" s="185">
        <f t="shared" si="255"/>
        <v>-0.10243902439024388</v>
      </c>
      <c r="BA222" s="47">
        <f t="shared" si="255"/>
        <v>1.6806722689075571E-2</v>
      </c>
      <c r="BB222" s="47">
        <f t="shared" si="255"/>
        <v>-8.5714285714285743E-2</v>
      </c>
      <c r="BC222" s="47">
        <f t="shared" si="255"/>
        <v>-5.3191489361702149E-2</v>
      </c>
      <c r="BD222" s="47">
        <f t="shared" si="255"/>
        <v>-3.5294117647058809E-2</v>
      </c>
      <c r="BE222" s="185">
        <f t="shared" si="255"/>
        <v>-3.2608695652173947E-2</v>
      </c>
      <c r="BF222" s="47">
        <f t="shared" si="255"/>
        <v>-0.1074380165289256</v>
      </c>
      <c r="BG222" s="47">
        <f t="shared" si="255"/>
        <v>0.21875</v>
      </c>
      <c r="BH222" s="47">
        <f t="shared" ref="BH222:BM227" si="256">BH154/BC154-1</f>
        <v>0.13483146067415741</v>
      </c>
      <c r="BI222" s="47">
        <f t="shared" si="256"/>
        <v>0.14634146341463405</v>
      </c>
      <c r="BJ222" s="185">
        <f t="shared" si="256"/>
        <v>7.02247191011236E-2</v>
      </c>
      <c r="BK222" s="47">
        <f t="shared" si="256"/>
        <v>0.11111111111111116</v>
      </c>
      <c r="BL222" s="47">
        <f t="shared" si="256"/>
        <v>0.28205128205128216</v>
      </c>
      <c r="BM222" s="47">
        <f t="shared" si="256"/>
        <v>-1.980198019801982E-2</v>
      </c>
      <c r="BN222" s="47">
        <f>BN154/BI154-1</f>
        <v>7.4468085106383031E-2</v>
      </c>
      <c r="BO222" s="185">
        <f t="shared" ref="BO222:BO228" si="257">BO154/BJ154-1</f>
        <v>0.10236220472440949</v>
      </c>
      <c r="BP222" s="47">
        <f t="shared" ref="BP222:BY227" si="258">BP154/BK154-1</f>
        <v>9.1666666666666563E-2</v>
      </c>
      <c r="BQ222" s="47">
        <f t="shared" si="258"/>
        <v>1.0000000000000009E-2</v>
      </c>
      <c r="BR222" s="47">
        <f t="shared" si="258"/>
        <v>-6.0606060606060552E-2</v>
      </c>
      <c r="BS222" s="47">
        <f t="shared" si="258"/>
        <v>1.980198019801982E-2</v>
      </c>
      <c r="BT222" s="185">
        <f>BT154/BO154-1</f>
        <v>1.904761904761898E-2</v>
      </c>
      <c r="BU222" s="47">
        <f>BU154/BP154-1</f>
        <v>-5.3435114503816772E-2</v>
      </c>
      <c r="BV222" s="47">
        <f>BV154/BQ154-1</f>
        <v>5.9405940594059459E-2</v>
      </c>
      <c r="BW222" s="47">
        <f t="shared" si="258"/>
        <v>7.5268817204301008E-2</v>
      </c>
      <c r="BX222" s="47">
        <f t="shared" si="258"/>
        <v>0.10679611650485432</v>
      </c>
      <c r="BY222" s="185">
        <f>BY154/BT154-1</f>
        <v>3.971962616822422E-2</v>
      </c>
      <c r="BZ222" s="47">
        <f t="shared" ref="BZ222:CI227" si="259">BZ154/BU154-1</f>
        <v>0.20161290322580649</v>
      </c>
      <c r="CA222" s="47">
        <f t="shared" si="259"/>
        <v>0.14953271028037385</v>
      </c>
      <c r="CB222" s="47">
        <f t="shared" si="259"/>
        <v>0.21999999999999997</v>
      </c>
      <c r="CC222" s="47">
        <f t="shared" si="259"/>
        <v>2.6315789473684292E-2</v>
      </c>
      <c r="CD222" s="185">
        <f t="shared" si="259"/>
        <v>0.14831460674157304</v>
      </c>
      <c r="CE222" s="47">
        <f t="shared" si="259"/>
        <v>0.10067114093959728</v>
      </c>
      <c r="CF222" s="47">
        <f t="shared" si="259"/>
        <v>-0.15447154471544711</v>
      </c>
      <c r="CG222" s="47">
        <f t="shared" si="259"/>
        <v>8.1967213114754189E-2</v>
      </c>
      <c r="CH222" s="47">
        <f t="shared" si="259"/>
        <v>5.1282051282051322E-2</v>
      </c>
      <c r="CI222" s="185">
        <f t="shared" si="259"/>
        <v>2.3483365949119372E-2</v>
      </c>
      <c r="CJ222" s="47">
        <f t="shared" ref="CJ222:CS227" si="260">CJ154/CE154-1</f>
        <v>4.8780487804878092E-2</v>
      </c>
      <c r="CK222" s="47">
        <f t="shared" si="260"/>
        <v>0.16346153846153855</v>
      </c>
      <c r="CL222" s="47">
        <f t="shared" si="260"/>
        <v>-1.7726818181817983E-3</v>
      </c>
      <c r="CM222" s="47">
        <f t="shared" si="260"/>
        <v>4.9710520325203289E-2</v>
      </c>
      <c r="CN222" s="185">
        <f t="shared" si="260"/>
        <v>5.9044741873804929E-2</v>
      </c>
      <c r="CO222" s="47">
        <f t="shared" si="260"/>
        <v>3.6575000000000024E-2</v>
      </c>
      <c r="CP222" s="47">
        <f t="shared" si="260"/>
        <v>9.9107438016527993E-3</v>
      </c>
      <c r="CQ222" s="47">
        <f t="shared" si="260"/>
        <v>7.3810103191562337E-2</v>
      </c>
      <c r="CR222" s="47">
        <f t="shared" si="260"/>
        <v>6.3310485738712341E-3</v>
      </c>
      <c r="CS222" s="185">
        <f t="shared" si="260"/>
        <v>3.2557916835475709E-2</v>
      </c>
      <c r="CT222" s="47">
        <f t="shared" ref="CT222:CX227" si="261">CT154/CO154-1</f>
        <v>2.9785977859778656E-2</v>
      </c>
      <c r="CU222" s="47">
        <f t="shared" si="261"/>
        <v>3.2173971679029023E-2</v>
      </c>
      <c r="CV222" s="47">
        <f t="shared" si="261"/>
        <v>3.1308473063910602E-2</v>
      </c>
      <c r="CW222" s="47">
        <f t="shared" si="261"/>
        <v>3.210175687251815E-2</v>
      </c>
      <c r="CX222" s="185">
        <f t="shared" si="261"/>
        <v>3.1198996753341701E-2</v>
      </c>
      <c r="CY222" s="47">
        <f t="shared" ref="CY222:CY227" si="262">CY154/CT154-1</f>
        <v>2.9046783625731099E-2</v>
      </c>
      <c r="CZ222" s="47">
        <f t="shared" ref="CZ222:CZ227" si="263">CZ154/CU154-1</f>
        <v>3.1228360098620733E-2</v>
      </c>
      <c r="DA222" s="47">
        <f t="shared" ref="DA222:DA227" si="264">DA154/CV154-1</f>
        <v>3.0438842148614365E-2</v>
      </c>
      <c r="DB222" s="47">
        <f t="shared" ref="DB222:DB227" si="265">DB154/CW154-1</f>
        <v>3.1162535540631753E-2</v>
      </c>
      <c r="DC222" s="185">
        <f t="shared" ref="DC222:DC227" si="266">DC154/CX154-1</f>
        <v>3.0338882158291725E-2</v>
      </c>
      <c r="DD222" s="47">
        <f t="shared" ref="DD222:DD227" si="267">DD154/CY154-1</f>
        <v>2.8006472804559923E-2</v>
      </c>
      <c r="DE222" s="47">
        <f t="shared" ref="DE222:DE227" si="268">DE154/CZ154-1</f>
        <v>2.9916162455016604E-2</v>
      </c>
      <c r="DF222" s="47">
        <f t="shared" ref="DF222:DF227" si="269">DF154/DA154-1</f>
        <v>2.9225974683986466E-2</v>
      </c>
      <c r="DG222" s="47">
        <f t="shared" ref="DG222:DG227" si="270">DG154/DB154-1</f>
        <v>2.9858659746900829E-2</v>
      </c>
      <c r="DH222" s="185">
        <f t="shared" ref="DH222:DH227" si="271">DH154/DC154-1</f>
        <v>2.913851533987466E-2</v>
      </c>
    </row>
    <row r="223" spans="1:112" ht="12.75" customHeight="1" x14ac:dyDescent="0.2">
      <c r="A223" s="101" t="s">
        <v>218</v>
      </c>
      <c r="B223" s="100"/>
      <c r="C223" s="393" t="s">
        <v>221</v>
      </c>
      <c r="D223" s="393" t="s">
        <v>221</v>
      </c>
      <c r="E223" s="393" t="s">
        <v>221</v>
      </c>
      <c r="F223" s="393" t="s">
        <v>221</v>
      </c>
      <c r="G223" s="271" t="s">
        <v>221</v>
      </c>
      <c r="H223" s="393" t="s">
        <v>221</v>
      </c>
      <c r="I223" s="393" t="s">
        <v>221</v>
      </c>
      <c r="J223" s="393" t="s">
        <v>221</v>
      </c>
      <c r="K223" s="393" t="s">
        <v>221</v>
      </c>
      <c r="L223" s="271" t="s">
        <v>221</v>
      </c>
      <c r="M223" s="393" t="s">
        <v>221</v>
      </c>
      <c r="N223" s="393" t="s">
        <v>221</v>
      </c>
      <c r="O223" s="393" t="s">
        <v>221</v>
      </c>
      <c r="P223" s="393" t="s">
        <v>221</v>
      </c>
      <c r="Q223" s="271" t="s">
        <v>221</v>
      </c>
      <c r="R223" s="393" t="s">
        <v>221</v>
      </c>
      <c r="S223" s="393" t="s">
        <v>221</v>
      </c>
      <c r="T223" s="393" t="s">
        <v>221</v>
      </c>
      <c r="U223" s="393" t="s">
        <v>221</v>
      </c>
      <c r="V223" s="271" t="s">
        <v>221</v>
      </c>
      <c r="W223" s="393" t="s">
        <v>221</v>
      </c>
      <c r="X223" s="393" t="s">
        <v>221</v>
      </c>
      <c r="Y223" s="393" t="s">
        <v>221</v>
      </c>
      <c r="Z223" s="393" t="s">
        <v>221</v>
      </c>
      <c r="AA223" s="271" t="s">
        <v>221</v>
      </c>
      <c r="AB223" s="393" t="s">
        <v>221</v>
      </c>
      <c r="AC223" s="393" t="s">
        <v>221</v>
      </c>
      <c r="AD223" s="393" t="s">
        <v>221</v>
      </c>
      <c r="AE223" s="393" t="s">
        <v>221</v>
      </c>
      <c r="AF223" s="271" t="s">
        <v>221</v>
      </c>
      <c r="AG223" s="393" t="s">
        <v>221</v>
      </c>
      <c r="AH223" s="393" t="s">
        <v>221</v>
      </c>
      <c r="AI223" s="393" t="s">
        <v>221</v>
      </c>
      <c r="AJ223" s="393" t="s">
        <v>221</v>
      </c>
      <c r="AK223" s="271" t="s">
        <v>221</v>
      </c>
      <c r="AL223" s="394">
        <f t="shared" si="254"/>
        <v>-0.30555555555555558</v>
      </c>
      <c r="AM223" s="394">
        <f t="shared" si="254"/>
        <v>0.2068965517241379</v>
      </c>
      <c r="AN223" s="394">
        <f t="shared" si="254"/>
        <v>-9.0909090909090939E-2</v>
      </c>
      <c r="AO223" s="394">
        <f t="shared" si="254"/>
        <v>9.5238095238095344E-2</v>
      </c>
      <c r="AP223" s="427">
        <f t="shared" si="254"/>
        <v>0</v>
      </c>
      <c r="AQ223" s="394">
        <f t="shared" si="254"/>
        <v>1.48</v>
      </c>
      <c r="AR223" s="394">
        <f t="shared" si="254"/>
        <v>-0.22857142857142854</v>
      </c>
      <c r="AS223" s="394">
        <f t="shared" si="254"/>
        <v>0.56000000000000005</v>
      </c>
      <c r="AT223" s="394">
        <f t="shared" si="254"/>
        <v>6.0869565217391397E-2</v>
      </c>
      <c r="AU223" s="427">
        <f t="shared" si="254"/>
        <v>0.2844444444444445</v>
      </c>
      <c r="AV223" s="47">
        <f t="shared" si="255"/>
        <v>-0.11290322580645162</v>
      </c>
      <c r="AW223" s="47">
        <f t="shared" si="255"/>
        <v>0</v>
      </c>
      <c r="AX223" s="47">
        <f t="shared" si="255"/>
        <v>-7.6923076923076872E-2</v>
      </c>
      <c r="AY223" s="47">
        <f t="shared" si="255"/>
        <v>0.11475409836065564</v>
      </c>
      <c r="AZ223" s="185">
        <f t="shared" si="255"/>
        <v>3.4602076124568004E-3</v>
      </c>
      <c r="BA223" s="47">
        <f t="shared" si="255"/>
        <v>-3.6363636363636376E-2</v>
      </c>
      <c r="BB223" s="47">
        <f t="shared" si="255"/>
        <v>-7.407407407407407E-2</v>
      </c>
      <c r="BC223" s="47">
        <f t="shared" si="255"/>
        <v>1.388888888888884E-2</v>
      </c>
      <c r="BD223" s="47">
        <f t="shared" si="255"/>
        <v>-6.6176470588235281E-2</v>
      </c>
      <c r="BE223" s="185">
        <f t="shared" si="255"/>
        <v>-4.1379310344827558E-2</v>
      </c>
      <c r="BF223" s="47">
        <f t="shared" si="255"/>
        <v>-0.20754716981132071</v>
      </c>
      <c r="BG223" s="47">
        <f t="shared" si="255"/>
        <v>0.3600000000000001</v>
      </c>
      <c r="BH223" s="47">
        <f t="shared" si="256"/>
        <v>5.4794520547945202E-2</v>
      </c>
      <c r="BI223" s="47">
        <f t="shared" si="256"/>
        <v>0.1417322834645669</v>
      </c>
      <c r="BJ223" s="185">
        <f t="shared" si="256"/>
        <v>7.1942446043165464E-2</v>
      </c>
      <c r="BK223" s="47">
        <f t="shared" si="256"/>
        <v>0.19047619047619047</v>
      </c>
      <c r="BL223" s="47">
        <f t="shared" si="256"/>
        <v>0.64705882352941169</v>
      </c>
      <c r="BM223" s="47">
        <f t="shared" si="256"/>
        <v>-1.2987012987012991E-2</v>
      </c>
      <c r="BN223" s="47">
        <f>BN155/BI155-1</f>
        <v>6.2068965517241281E-2</v>
      </c>
      <c r="BO223" s="185">
        <f t="shared" si="257"/>
        <v>0.12751677852348986</v>
      </c>
      <c r="BP223" s="47">
        <f t="shared" si="258"/>
        <v>4.0000000000000036E-2</v>
      </c>
      <c r="BQ223" s="47">
        <f t="shared" si="258"/>
        <v>-0.2678571428571429</v>
      </c>
      <c r="BR223" s="47">
        <f t="shared" si="258"/>
        <v>0</v>
      </c>
      <c r="BS223" s="47">
        <f t="shared" si="258"/>
        <v>1.9480519480519431E-2</v>
      </c>
      <c r="BT223" s="185">
        <f t="shared" ref="BT223:BU226" si="272">BT155/BO155-1</f>
        <v>-2.9761904761904767E-2</v>
      </c>
      <c r="BU223" s="47">
        <f t="shared" si="272"/>
        <v>0</v>
      </c>
      <c r="BV223" s="47">
        <f t="shared" si="258"/>
        <v>0.24390243902439024</v>
      </c>
      <c r="BW223" s="47">
        <f t="shared" si="258"/>
        <v>0.34210526315789469</v>
      </c>
      <c r="BX223" s="47">
        <f t="shared" si="258"/>
        <v>8.2802547770700619E-2</v>
      </c>
      <c r="BY223" s="185">
        <f t="shared" si="258"/>
        <v>0.15030674846625769</v>
      </c>
      <c r="BZ223" s="47">
        <f t="shared" si="259"/>
        <v>0.57692307692307687</v>
      </c>
      <c r="CA223" s="47">
        <f t="shared" si="259"/>
        <v>0.31372549019607843</v>
      </c>
      <c r="CB223" s="47">
        <f t="shared" si="259"/>
        <v>0.10784313725490202</v>
      </c>
      <c r="CC223" s="47">
        <f t="shared" si="259"/>
        <v>-2.352941176470591E-2</v>
      </c>
      <c r="CD223" s="185">
        <f t="shared" si="259"/>
        <v>0.14133333333333331</v>
      </c>
      <c r="CE223" s="47">
        <f t="shared" si="259"/>
        <v>-0.15853658536585369</v>
      </c>
      <c r="CF223" s="47">
        <f t="shared" si="259"/>
        <v>5.9701492537313383E-2</v>
      </c>
      <c r="CG223" s="47">
        <f t="shared" si="259"/>
        <v>-6.1946902654867242E-2</v>
      </c>
      <c r="CH223" s="47">
        <f t="shared" si="259"/>
        <v>4.2168674698795261E-2</v>
      </c>
      <c r="CI223" s="185">
        <f t="shared" si="259"/>
        <v>-2.10280373831776E-2</v>
      </c>
      <c r="CJ223" s="47">
        <f t="shared" si="260"/>
        <v>5.7971014492753659E-2</v>
      </c>
      <c r="CK223" s="47">
        <f t="shared" si="260"/>
        <v>-0.23943661971830987</v>
      </c>
      <c r="CL223" s="47">
        <f t="shared" si="260"/>
        <v>-5.0433962264150978E-2</v>
      </c>
      <c r="CM223" s="47">
        <f t="shared" si="260"/>
        <v>-1.5549511898199642E-2</v>
      </c>
      <c r="CN223" s="185">
        <f t="shared" si="260"/>
        <v>-5.0205407060593177E-2</v>
      </c>
      <c r="CO223" s="47">
        <f t="shared" si="260"/>
        <v>1.0529284316466381E-2</v>
      </c>
      <c r="CP223" s="47">
        <f t="shared" si="260"/>
        <v>7.9804516711833751E-2</v>
      </c>
      <c r="CQ223" s="47">
        <f t="shared" si="260"/>
        <v>8.155310252430592E-2</v>
      </c>
      <c r="CR223" s="47">
        <f t="shared" si="260"/>
        <v>2.3696281126409202E-2</v>
      </c>
      <c r="CS223" s="185">
        <f t="shared" si="260"/>
        <v>4.3527662245265164E-2</v>
      </c>
      <c r="CT223" s="47">
        <f t="shared" si="261"/>
        <v>8.9169842584921222E-2</v>
      </c>
      <c r="CU223" s="47">
        <f t="shared" si="261"/>
        <v>0.1052533517350156</v>
      </c>
      <c r="CV223" s="47">
        <f t="shared" si="261"/>
        <v>7.1075377715313248E-2</v>
      </c>
      <c r="CW223" s="47">
        <f t="shared" si="261"/>
        <v>6.0131238413470678E-2</v>
      </c>
      <c r="CX223" s="185">
        <f t="shared" si="261"/>
        <v>7.4493837190976242E-2</v>
      </c>
      <c r="CY223" s="47">
        <f t="shared" si="262"/>
        <v>3.259394126565196E-2</v>
      </c>
      <c r="CZ223" s="47">
        <f t="shared" si="263"/>
        <v>3.6097591888466285E-2</v>
      </c>
      <c r="DA223" s="47">
        <f t="shared" si="264"/>
        <v>2.8526441554371562E-2</v>
      </c>
      <c r="DB223" s="47">
        <f t="shared" si="265"/>
        <v>2.599889376672726E-2</v>
      </c>
      <c r="DC223" s="185">
        <f t="shared" si="266"/>
        <v>2.9305381367352501E-2</v>
      </c>
      <c r="DD223" s="47">
        <f t="shared" si="267"/>
        <v>3.0441219084100135E-2</v>
      </c>
      <c r="DE223" s="47">
        <f t="shared" si="268"/>
        <v>3.3453563446734558E-2</v>
      </c>
      <c r="DF223" s="47">
        <f t="shared" si="269"/>
        <v>2.6918349556598331E-2</v>
      </c>
      <c r="DG223" s="47">
        <f t="shared" si="270"/>
        <v>2.4715163960364217E-2</v>
      </c>
      <c r="DH223" s="185">
        <f t="shared" si="271"/>
        <v>2.7595146298507567E-2</v>
      </c>
    </row>
    <row r="224" spans="1:112" ht="12.75" customHeight="1" x14ac:dyDescent="0.2">
      <c r="A224" s="101" t="s">
        <v>219</v>
      </c>
      <c r="B224" s="100"/>
      <c r="C224" s="393" t="s">
        <v>221</v>
      </c>
      <c r="D224" s="393" t="s">
        <v>221</v>
      </c>
      <c r="E224" s="393" t="s">
        <v>221</v>
      </c>
      <c r="F224" s="393" t="s">
        <v>221</v>
      </c>
      <c r="G224" s="271" t="s">
        <v>221</v>
      </c>
      <c r="H224" s="393" t="s">
        <v>221</v>
      </c>
      <c r="I224" s="393" t="s">
        <v>221</v>
      </c>
      <c r="J224" s="393" t="s">
        <v>221</v>
      </c>
      <c r="K224" s="393" t="s">
        <v>221</v>
      </c>
      <c r="L224" s="271" t="s">
        <v>221</v>
      </c>
      <c r="M224" s="393" t="s">
        <v>221</v>
      </c>
      <c r="N224" s="393" t="s">
        <v>221</v>
      </c>
      <c r="O224" s="393" t="s">
        <v>221</v>
      </c>
      <c r="P224" s="393" t="s">
        <v>221</v>
      </c>
      <c r="Q224" s="271" t="s">
        <v>221</v>
      </c>
      <c r="R224" s="393" t="s">
        <v>221</v>
      </c>
      <c r="S224" s="393" t="s">
        <v>221</v>
      </c>
      <c r="T224" s="393" t="s">
        <v>221</v>
      </c>
      <c r="U224" s="393" t="s">
        <v>221</v>
      </c>
      <c r="V224" s="271" t="s">
        <v>221</v>
      </c>
      <c r="W224" s="393" t="s">
        <v>221</v>
      </c>
      <c r="X224" s="393" t="s">
        <v>221</v>
      </c>
      <c r="Y224" s="393" t="s">
        <v>221</v>
      </c>
      <c r="Z224" s="393" t="s">
        <v>221</v>
      </c>
      <c r="AA224" s="271" t="s">
        <v>221</v>
      </c>
      <c r="AB224" s="393" t="s">
        <v>221</v>
      </c>
      <c r="AC224" s="393" t="s">
        <v>221</v>
      </c>
      <c r="AD224" s="393" t="s">
        <v>221</v>
      </c>
      <c r="AE224" s="393" t="s">
        <v>221</v>
      </c>
      <c r="AF224" s="271" t="s">
        <v>221</v>
      </c>
      <c r="AG224" s="393" t="s">
        <v>221</v>
      </c>
      <c r="AH224" s="393" t="s">
        <v>221</v>
      </c>
      <c r="AI224" s="393" t="s">
        <v>221</v>
      </c>
      <c r="AJ224" s="393" t="s">
        <v>221</v>
      </c>
      <c r="AK224" s="271" t="s">
        <v>221</v>
      </c>
      <c r="AL224" s="394">
        <f t="shared" si="254"/>
        <v>0.21951219512195119</v>
      </c>
      <c r="AM224" s="394">
        <f t="shared" si="254"/>
        <v>-4.3478260869565188E-2</v>
      </c>
      <c r="AN224" s="394">
        <f t="shared" si="254"/>
        <v>0.20833333333333326</v>
      </c>
      <c r="AO224" s="394">
        <f t="shared" si="254"/>
        <v>3.9215686274509887E-2</v>
      </c>
      <c r="AP224" s="427">
        <f t="shared" si="254"/>
        <v>0.10215053763440851</v>
      </c>
      <c r="AQ224" s="394">
        <f t="shared" si="254"/>
        <v>0.12000000000000011</v>
      </c>
      <c r="AR224" s="394">
        <f t="shared" si="254"/>
        <v>0.52272727272727271</v>
      </c>
      <c r="AS224" s="394">
        <f t="shared" si="254"/>
        <v>0.2931034482758621</v>
      </c>
      <c r="AT224" s="394">
        <f t="shared" si="254"/>
        <v>0.37735849056603765</v>
      </c>
      <c r="AU224" s="427">
        <f t="shared" si="254"/>
        <v>0.31707317073170738</v>
      </c>
      <c r="AV224" s="47">
        <f t="shared" si="255"/>
        <v>0.1785714285714286</v>
      </c>
      <c r="AW224" s="47">
        <f t="shared" si="255"/>
        <v>0.16417910447761197</v>
      </c>
      <c r="AX224" s="47">
        <f t="shared" si="255"/>
        <v>9.3333333333333268E-2</v>
      </c>
      <c r="AY224" s="47">
        <f t="shared" si="255"/>
        <v>5.4794520547945202E-2</v>
      </c>
      <c r="AZ224" s="185">
        <f t="shared" si="255"/>
        <v>0.12222222222222223</v>
      </c>
      <c r="BA224" s="47">
        <v>-0.12121212121212122</v>
      </c>
      <c r="BB224" s="47">
        <v>-0.15384615384615385</v>
      </c>
      <c r="BC224" s="47">
        <v>-0.17073170731707321</v>
      </c>
      <c r="BD224" s="47">
        <v>-0.1558441558441559</v>
      </c>
      <c r="BE224" s="185">
        <v>-0.15181518151815176</v>
      </c>
      <c r="BF224" s="47">
        <f t="shared" si="255"/>
        <v>-6.7796610169491567E-2</v>
      </c>
      <c r="BG224" s="47">
        <f t="shared" si="255"/>
        <v>6.1538461538461542E-2</v>
      </c>
      <c r="BH224" s="47">
        <f t="shared" si="256"/>
        <v>0.11764705882352944</v>
      </c>
      <c r="BI224" s="47">
        <f>BI156/63-1</f>
        <v>3.1746031746031855E-2</v>
      </c>
      <c r="BJ224" s="185">
        <f t="shared" si="256"/>
        <v>3.9215686274509887E-2</v>
      </c>
      <c r="BK224" s="47">
        <f t="shared" si="256"/>
        <v>1.8181818181818077E-2</v>
      </c>
      <c r="BL224" s="47">
        <f t="shared" si="256"/>
        <v>1.449275362318847E-2</v>
      </c>
      <c r="BM224" s="47">
        <f t="shared" si="256"/>
        <v>-6.5789473684210509E-2</v>
      </c>
      <c r="BN224" s="47">
        <f>BN156/63-1</f>
        <v>-1.5873015873015928E-2</v>
      </c>
      <c r="BO224" s="185">
        <f t="shared" si="257"/>
        <v>-2.2641509433962259E-2</v>
      </c>
      <c r="BP224" s="47">
        <f t="shared" si="258"/>
        <v>-5.3571428571428603E-2</v>
      </c>
      <c r="BQ224" s="47">
        <f t="shared" si="258"/>
        <v>-1.4285714285714235E-2</v>
      </c>
      <c r="BR224" s="47">
        <f t="shared" si="258"/>
        <v>-5.633802816901412E-2</v>
      </c>
      <c r="BS224" s="47">
        <f t="shared" si="258"/>
        <v>0.11290322580645151</v>
      </c>
      <c r="BT224" s="185">
        <f t="shared" si="272"/>
        <v>-3.8610038610038533E-3</v>
      </c>
      <c r="BU224" s="47">
        <f t="shared" si="272"/>
        <v>5.6603773584905648E-2</v>
      </c>
      <c r="BV224" s="47">
        <f t="shared" si="258"/>
        <v>5.7971014492753659E-2</v>
      </c>
      <c r="BW224" s="47">
        <f t="shared" si="258"/>
        <v>5.9701492537313383E-2</v>
      </c>
      <c r="BX224" s="47">
        <f t="shared" si="258"/>
        <v>-0.17391304347826086</v>
      </c>
      <c r="BY224" s="185">
        <f t="shared" si="258"/>
        <v>-3.8759689922480689E-3</v>
      </c>
      <c r="BZ224" s="47">
        <f t="shared" si="259"/>
        <v>5.3571428571428603E-2</v>
      </c>
      <c r="CA224" s="47">
        <f t="shared" si="259"/>
        <v>-1.3698630136986356E-2</v>
      </c>
      <c r="CB224" s="47">
        <f t="shared" si="259"/>
        <v>-1.4084507042253502E-2</v>
      </c>
      <c r="CC224" s="47">
        <f t="shared" si="259"/>
        <v>-0.1228070175438597</v>
      </c>
      <c r="CD224" s="185">
        <f t="shared" si="259"/>
        <v>-2.3346303501945553E-2</v>
      </c>
      <c r="CE224" s="47">
        <f t="shared" si="259"/>
        <v>5.0847457627118731E-2</v>
      </c>
      <c r="CF224" s="47">
        <f t="shared" si="259"/>
        <v>6.944444444444442E-2</v>
      </c>
      <c r="CG224" s="47">
        <f t="shared" si="259"/>
        <v>-0.27142857142857146</v>
      </c>
      <c r="CH224" s="47">
        <f t="shared" si="259"/>
        <v>8.0000000000000071E-2</v>
      </c>
      <c r="CI224" s="185">
        <f t="shared" si="259"/>
        <v>-2.7888446215139417E-2</v>
      </c>
      <c r="CJ224" s="47">
        <f t="shared" si="260"/>
        <v>3.2258064516129004E-2</v>
      </c>
      <c r="CK224" s="47">
        <f t="shared" si="260"/>
        <v>-0.10389610389610393</v>
      </c>
      <c r="CL224" s="47">
        <f t="shared" si="260"/>
        <v>8.0444117647058722E-2</v>
      </c>
      <c r="CM224" s="47">
        <f t="shared" si="260"/>
        <v>2.9487962962963188E-2</v>
      </c>
      <c r="CN224" s="185">
        <f t="shared" si="260"/>
        <v>-1.2499999999999734E-3</v>
      </c>
      <c r="CO224" s="47">
        <f t="shared" si="260"/>
        <v>4.2956562500000128E-2</v>
      </c>
      <c r="CP224" s="47">
        <f t="shared" si="260"/>
        <v>5.4423188405797074E-2</v>
      </c>
      <c r="CQ224" s="47">
        <f t="shared" si="260"/>
        <v>5.4388282596209425E-3</v>
      </c>
      <c r="CR224" s="47">
        <f t="shared" si="260"/>
        <v>2.5437153673121715E-2</v>
      </c>
      <c r="CS224" s="185">
        <f t="shared" si="260"/>
        <v>3.3723404255319167E-2</v>
      </c>
      <c r="CT224" s="47">
        <f t="shared" si="261"/>
        <v>3.6729361781306036E-2</v>
      </c>
      <c r="CU224" s="47">
        <f t="shared" si="261"/>
        <v>3.6496930803571415E-2</v>
      </c>
      <c r="CV224" s="47">
        <f t="shared" si="261"/>
        <v>3.9620781630522961E-2</v>
      </c>
      <c r="CW224" s="47">
        <f t="shared" si="261"/>
        <v>3.9719060555998054E-2</v>
      </c>
      <c r="CX224" s="185">
        <f t="shared" si="261"/>
        <v>3.7974683544303778E-2</v>
      </c>
      <c r="CY224" s="47">
        <f t="shared" si="262"/>
        <v>3.5823547447493498E-2</v>
      </c>
      <c r="CZ224" s="47">
        <f t="shared" si="263"/>
        <v>3.5611445284476684E-2</v>
      </c>
      <c r="DA224" s="47">
        <f t="shared" si="264"/>
        <v>3.845415046878542E-2</v>
      </c>
      <c r="DB224" s="47">
        <f t="shared" si="265"/>
        <v>3.8543307161303275E-2</v>
      </c>
      <c r="DC224" s="185">
        <f t="shared" si="266"/>
        <v>3.6958333333333426E-2</v>
      </c>
      <c r="DD224" s="47">
        <f t="shared" si="267"/>
        <v>3.4562901630490694E-2</v>
      </c>
      <c r="DE224" s="47">
        <f t="shared" si="268"/>
        <v>3.4377423724369915E-2</v>
      </c>
      <c r="DF224" s="47">
        <f t="shared" si="269"/>
        <v>3.6856999368002796E-2</v>
      </c>
      <c r="DG224" s="47">
        <f t="shared" si="270"/>
        <v>3.6934547567571308E-2</v>
      </c>
      <c r="DH224" s="185">
        <f t="shared" si="271"/>
        <v>3.5553953871499067E-2</v>
      </c>
    </row>
    <row r="225" spans="1:112" ht="12.75" customHeight="1" x14ac:dyDescent="0.2">
      <c r="A225" s="117" t="s">
        <v>220</v>
      </c>
      <c r="B225" s="241"/>
      <c r="C225" s="342" t="s">
        <v>221</v>
      </c>
      <c r="D225" s="342" t="s">
        <v>221</v>
      </c>
      <c r="E225" s="342" t="s">
        <v>221</v>
      </c>
      <c r="F225" s="342" t="s">
        <v>221</v>
      </c>
      <c r="G225" s="272" t="s">
        <v>221</v>
      </c>
      <c r="H225" s="342" t="s">
        <v>221</v>
      </c>
      <c r="I225" s="342" t="s">
        <v>221</v>
      </c>
      <c r="J225" s="342" t="s">
        <v>221</v>
      </c>
      <c r="K225" s="342" t="s">
        <v>221</v>
      </c>
      <c r="L225" s="272" t="s">
        <v>221</v>
      </c>
      <c r="M225" s="342" t="s">
        <v>221</v>
      </c>
      <c r="N225" s="342" t="s">
        <v>221</v>
      </c>
      <c r="O225" s="342" t="s">
        <v>221</v>
      </c>
      <c r="P225" s="342" t="s">
        <v>221</v>
      </c>
      <c r="Q225" s="272" t="s">
        <v>221</v>
      </c>
      <c r="R225" s="342" t="s">
        <v>221</v>
      </c>
      <c r="S225" s="342" t="s">
        <v>221</v>
      </c>
      <c r="T225" s="342" t="s">
        <v>221</v>
      </c>
      <c r="U225" s="342" t="s">
        <v>221</v>
      </c>
      <c r="V225" s="272" t="s">
        <v>221</v>
      </c>
      <c r="W225" s="342" t="s">
        <v>221</v>
      </c>
      <c r="X225" s="342" t="s">
        <v>221</v>
      </c>
      <c r="Y225" s="342" t="s">
        <v>221</v>
      </c>
      <c r="Z225" s="342" t="s">
        <v>221</v>
      </c>
      <c r="AA225" s="272" t="s">
        <v>221</v>
      </c>
      <c r="AB225" s="342" t="s">
        <v>221</v>
      </c>
      <c r="AC225" s="342" t="s">
        <v>221</v>
      </c>
      <c r="AD225" s="342" t="s">
        <v>221</v>
      </c>
      <c r="AE225" s="342" t="s">
        <v>221</v>
      </c>
      <c r="AF225" s="272" t="s">
        <v>221</v>
      </c>
      <c r="AG225" s="342" t="s">
        <v>221</v>
      </c>
      <c r="AH225" s="342" t="s">
        <v>221</v>
      </c>
      <c r="AI225" s="342" t="s">
        <v>221</v>
      </c>
      <c r="AJ225" s="342" t="s">
        <v>221</v>
      </c>
      <c r="AK225" s="272" t="s">
        <v>221</v>
      </c>
      <c r="AL225" s="395">
        <f t="shared" si="254"/>
        <v>5.1282051282051322E-2</v>
      </c>
      <c r="AM225" s="395">
        <f t="shared" si="254"/>
        <v>0.17948717948717952</v>
      </c>
      <c r="AN225" s="395">
        <f t="shared" si="254"/>
        <v>-0.3125</v>
      </c>
      <c r="AO225" s="395">
        <f t="shared" si="254"/>
        <v>0.29545454545454541</v>
      </c>
      <c r="AP225" s="428">
        <f t="shared" si="254"/>
        <v>4.117647058823537E-2</v>
      </c>
      <c r="AQ225" s="395">
        <f t="shared" si="254"/>
        <v>-0.17073170731707321</v>
      </c>
      <c r="AR225" s="395">
        <f t="shared" si="254"/>
        <v>-0.23913043478260865</v>
      </c>
      <c r="AS225" s="395">
        <f t="shared" si="254"/>
        <v>0.42424242424242431</v>
      </c>
      <c r="AT225" s="395">
        <f t="shared" si="254"/>
        <v>-0.57894736842105265</v>
      </c>
      <c r="AU225" s="428">
        <f t="shared" si="254"/>
        <v>-0.20903954802259883</v>
      </c>
      <c r="AV225" s="199">
        <f t="shared" si="255"/>
        <v>0.26470588235294112</v>
      </c>
      <c r="AW225" s="199">
        <f t="shared" si="255"/>
        <v>-8.5714285714285743E-2</v>
      </c>
      <c r="AX225" s="199">
        <f t="shared" si="255"/>
        <v>-0.19148936170212771</v>
      </c>
      <c r="AY225" s="199">
        <f t="shared" si="255"/>
        <v>0.29166666666666674</v>
      </c>
      <c r="AZ225" s="235">
        <f t="shared" si="255"/>
        <v>2.857142857142847E-2</v>
      </c>
      <c r="BA225" s="199">
        <v>-6.9767441860465129E-2</v>
      </c>
      <c r="BB225" s="199">
        <v>0.28125</v>
      </c>
      <c r="BC225" s="199">
        <v>2.6315789473684292E-2</v>
      </c>
      <c r="BD225" s="199">
        <v>-0.12903225806451613</v>
      </c>
      <c r="BE225" s="235">
        <v>2.0833333333333259E-2</v>
      </c>
      <c r="BF225" s="199">
        <f t="shared" si="255"/>
        <v>2.564102564102555E-2</v>
      </c>
      <c r="BG225" s="199">
        <f t="shared" si="255"/>
        <v>-0.2142857142857143</v>
      </c>
      <c r="BH225" s="199">
        <f t="shared" si="256"/>
        <v>-0.46153846153846156</v>
      </c>
      <c r="BI225" s="199">
        <f>BI157/29-1</f>
        <v>-0.13793103448275867</v>
      </c>
      <c r="BJ225" s="235">
        <f t="shared" si="256"/>
        <v>-0.20134228187919467</v>
      </c>
      <c r="BK225" s="199">
        <f t="shared" si="256"/>
        <v>-0.30000000000000004</v>
      </c>
      <c r="BL225" s="199">
        <f t="shared" si="256"/>
        <v>-0.24242424242424243</v>
      </c>
      <c r="BM225" s="199">
        <f t="shared" si="256"/>
        <v>-4.7619047619047672E-2</v>
      </c>
      <c r="BN225" s="199">
        <f>BN157/29-1</f>
        <v>-0.2068965517241379</v>
      </c>
      <c r="BO225" s="235">
        <f t="shared" si="257"/>
        <v>-0.19327731092436973</v>
      </c>
      <c r="BP225" s="199">
        <f t="shared" si="258"/>
        <v>0.10714285714285721</v>
      </c>
      <c r="BQ225" s="199">
        <f t="shared" si="258"/>
        <v>0.32000000000000006</v>
      </c>
      <c r="BR225" s="199">
        <f t="shared" si="258"/>
        <v>0.14999999999999991</v>
      </c>
      <c r="BS225" s="199">
        <f t="shared" si="258"/>
        <v>-0.47826086956521741</v>
      </c>
      <c r="BT225" s="235">
        <f t="shared" si="272"/>
        <v>3.125E-2</v>
      </c>
      <c r="BU225" s="199">
        <f t="shared" si="272"/>
        <v>-0.16129032258064513</v>
      </c>
      <c r="BV225" s="199">
        <f t="shared" si="258"/>
        <v>-0.27272727272727271</v>
      </c>
      <c r="BW225" s="199">
        <f t="shared" si="258"/>
        <v>-0.26086956521739135</v>
      </c>
      <c r="BX225" s="199">
        <f t="shared" si="258"/>
        <v>0</v>
      </c>
      <c r="BY225" s="235">
        <f t="shared" si="258"/>
        <v>-0.20202020202020199</v>
      </c>
      <c r="BZ225" s="199">
        <f t="shared" si="259"/>
        <v>0.23076923076923084</v>
      </c>
      <c r="CA225" s="199">
        <f t="shared" si="259"/>
        <v>-8.333333333333337E-2</v>
      </c>
      <c r="CB225" s="199">
        <f t="shared" si="259"/>
        <v>-0.3529411764705882</v>
      </c>
      <c r="CC225" s="199">
        <f t="shared" si="259"/>
        <v>-0.91666666666666663</v>
      </c>
      <c r="CD225" s="235">
        <f t="shared" si="259"/>
        <v>-0.16455696202531644</v>
      </c>
      <c r="CE225" s="199">
        <f t="shared" si="259"/>
        <v>-0.15625</v>
      </c>
      <c r="CF225" s="199">
        <f t="shared" si="259"/>
        <v>0.27272727272727271</v>
      </c>
      <c r="CG225" s="199">
        <f t="shared" si="259"/>
        <v>0.81818181818181812</v>
      </c>
      <c r="CH225" s="199">
        <f t="shared" si="259"/>
        <v>5</v>
      </c>
      <c r="CI225" s="235">
        <f t="shared" si="259"/>
        <v>0.22727272727272729</v>
      </c>
      <c r="CJ225" s="199">
        <f t="shared" si="260"/>
        <v>-0.14814814814814814</v>
      </c>
      <c r="CK225" s="199">
        <f t="shared" si="260"/>
        <v>-0.1785714285714286</v>
      </c>
      <c r="CL225" s="199">
        <f t="shared" si="260"/>
        <v>-0.20919579096171692</v>
      </c>
      <c r="CM225" s="199">
        <f t="shared" ca="1" si="260"/>
        <v>0.10602441677763008</v>
      </c>
      <c r="CN225" s="235">
        <f t="shared" ca="1" si="260"/>
        <v>-0.15491073232800689</v>
      </c>
      <c r="CO225" s="199">
        <f t="shared" si="260"/>
        <v>-9.25634019128041E-4</v>
      </c>
      <c r="CP225" s="199">
        <f t="shared" si="260"/>
        <v>5.7460338272390388E-3</v>
      </c>
      <c r="CQ225" s="199">
        <f t="shared" si="260"/>
        <v>-3.3648517099871267E-2</v>
      </c>
      <c r="CR225" s="199">
        <f t="shared" ca="1" si="260"/>
        <v>-0.20764817669178681</v>
      </c>
      <c r="CS225" s="235">
        <f t="shared" ca="1" si="260"/>
        <v>-2.6285517456976937E-2</v>
      </c>
      <c r="CT225" s="199">
        <f t="shared" si="261"/>
        <v>0.118289461573861</v>
      </c>
      <c r="CU225" s="199">
        <f t="shared" si="261"/>
        <v>0.12196446700507613</v>
      </c>
      <c r="CV225" s="199">
        <f t="shared" si="261"/>
        <v>0.16187913409500898</v>
      </c>
      <c r="CW225" s="199">
        <f t="shared" ca="1" si="261"/>
        <v>0.38899310382483288</v>
      </c>
      <c r="CX225" s="235">
        <f t="shared" ca="1" si="261"/>
        <v>0.15091570496738571</v>
      </c>
      <c r="CY225" s="199">
        <f t="shared" si="262"/>
        <v>7.6960264900662212E-2</v>
      </c>
      <c r="CZ225" s="199">
        <f t="shared" si="263"/>
        <v>7.8452935614200747E-2</v>
      </c>
      <c r="DA225" s="199">
        <f t="shared" si="264"/>
        <v>9.4056787452677204E-2</v>
      </c>
      <c r="DB225" s="199">
        <f t="shared" ca="1" si="265"/>
        <v>0.16577379638288625</v>
      </c>
      <c r="DC225" s="235">
        <f t="shared" ca="1" si="266"/>
        <v>8.987866362946062E-2</v>
      </c>
      <c r="DD225" s="199">
        <f t="shared" si="267"/>
        <v>7.2689107539265274E-2</v>
      </c>
      <c r="DE225" s="199">
        <f t="shared" si="268"/>
        <v>7.3942184350375584E-2</v>
      </c>
      <c r="DF225" s="199">
        <f t="shared" si="269"/>
        <v>8.6836708337638013E-2</v>
      </c>
      <c r="DG225" s="199">
        <f t="shared" ca="1" si="270"/>
        <v>0.14166220473023583</v>
      </c>
      <c r="DH225" s="235">
        <f t="shared" ca="1" si="271"/>
        <v>8.3420236465825859E-2</v>
      </c>
    </row>
    <row r="226" spans="1:112" ht="12.75" customHeight="1" x14ac:dyDescent="0.2">
      <c r="A226" s="103" t="s">
        <v>234</v>
      </c>
      <c r="B226" s="242"/>
      <c r="C226" s="396" t="s">
        <v>221</v>
      </c>
      <c r="D226" s="396" t="s">
        <v>221</v>
      </c>
      <c r="E226" s="396" t="s">
        <v>221</v>
      </c>
      <c r="F226" s="396" t="s">
        <v>221</v>
      </c>
      <c r="G226" s="273" t="s">
        <v>221</v>
      </c>
      <c r="H226" s="396" t="s">
        <v>221</v>
      </c>
      <c r="I226" s="396" t="s">
        <v>221</v>
      </c>
      <c r="J226" s="396" t="s">
        <v>221</v>
      </c>
      <c r="K226" s="396" t="s">
        <v>221</v>
      </c>
      <c r="L226" s="273" t="s">
        <v>221</v>
      </c>
      <c r="M226" s="396" t="s">
        <v>221</v>
      </c>
      <c r="N226" s="396" t="s">
        <v>221</v>
      </c>
      <c r="O226" s="396" t="s">
        <v>221</v>
      </c>
      <c r="P226" s="396" t="s">
        <v>221</v>
      </c>
      <c r="Q226" s="273" t="s">
        <v>221</v>
      </c>
      <c r="R226" s="396" t="s">
        <v>221</v>
      </c>
      <c r="S226" s="396" t="s">
        <v>221</v>
      </c>
      <c r="T226" s="396" t="s">
        <v>221</v>
      </c>
      <c r="U226" s="396" t="s">
        <v>221</v>
      </c>
      <c r="V226" s="273" t="s">
        <v>221</v>
      </c>
      <c r="W226" s="396" t="s">
        <v>221</v>
      </c>
      <c r="X226" s="396" t="s">
        <v>221</v>
      </c>
      <c r="Y226" s="396" t="s">
        <v>221</v>
      </c>
      <c r="Z226" s="396" t="s">
        <v>221</v>
      </c>
      <c r="AA226" s="273" t="s">
        <v>221</v>
      </c>
      <c r="AB226" s="396" t="s">
        <v>221</v>
      </c>
      <c r="AC226" s="396" t="s">
        <v>221</v>
      </c>
      <c r="AD226" s="396" t="s">
        <v>221</v>
      </c>
      <c r="AE226" s="396" t="s">
        <v>221</v>
      </c>
      <c r="AF226" s="273" t="s">
        <v>221</v>
      </c>
      <c r="AG226" s="396" t="s">
        <v>221</v>
      </c>
      <c r="AH226" s="396" t="s">
        <v>221</v>
      </c>
      <c r="AI226" s="396" t="s">
        <v>221</v>
      </c>
      <c r="AJ226" s="396" t="s">
        <v>221</v>
      </c>
      <c r="AK226" s="273" t="s">
        <v>221</v>
      </c>
      <c r="AL226" s="397">
        <f t="shared" si="254"/>
        <v>-4.3859649122807154E-3</v>
      </c>
      <c r="AM226" s="397">
        <f t="shared" si="254"/>
        <v>5.2356020942408321E-2</v>
      </c>
      <c r="AN226" s="397">
        <f t="shared" si="254"/>
        <v>-0.12307692307692308</v>
      </c>
      <c r="AO226" s="397">
        <f t="shared" si="254"/>
        <v>5.7823129251700633E-2</v>
      </c>
      <c r="AP226" s="429">
        <f t="shared" si="254"/>
        <v>-6.1664953751284779E-3</v>
      </c>
      <c r="AQ226" s="397">
        <f t="shared" si="254"/>
        <v>0.17621145374449343</v>
      </c>
      <c r="AR226" s="397">
        <f t="shared" si="254"/>
        <v>2.9850746268656803E-2</v>
      </c>
      <c r="AS226" s="397">
        <f t="shared" si="254"/>
        <v>0.36403508771929816</v>
      </c>
      <c r="AT226" s="397">
        <f t="shared" si="254"/>
        <v>4.5016077170418001E-2</v>
      </c>
      <c r="AU226" s="429">
        <f t="shared" si="254"/>
        <v>0.14684591520165458</v>
      </c>
      <c r="AV226" s="48">
        <f t="shared" si="255"/>
        <v>5.9925093632958726E-2</v>
      </c>
      <c r="AW226" s="48">
        <f t="shared" si="255"/>
        <v>0</v>
      </c>
      <c r="AX226" s="48">
        <f t="shared" si="255"/>
        <v>-8.0385852090032128E-2</v>
      </c>
      <c r="AY226" s="48">
        <f t="shared" si="255"/>
        <v>1.2307692307692353E-2</v>
      </c>
      <c r="AZ226" s="188">
        <f t="shared" si="255"/>
        <v>-3.6068530207393756E-3</v>
      </c>
      <c r="BA226" s="48">
        <f t="shared" si="255"/>
        <v>-3.8869257950530089E-2</v>
      </c>
      <c r="BB226" s="48">
        <f t="shared" si="255"/>
        <v>-5.3140096618357502E-2</v>
      </c>
      <c r="BC226" s="48">
        <f t="shared" si="255"/>
        <v>-5.9440559440559482E-2</v>
      </c>
      <c r="BD226" s="48">
        <f t="shared" si="255"/>
        <v>-8.5106382978723416E-2</v>
      </c>
      <c r="BE226" s="188">
        <f t="shared" si="255"/>
        <v>-6.0633484162895934E-2</v>
      </c>
      <c r="BF226" s="48">
        <f t="shared" si="255"/>
        <v>-9.9264705882352922E-2</v>
      </c>
      <c r="BG226" s="48">
        <f t="shared" si="255"/>
        <v>9.1836734693877542E-2</v>
      </c>
      <c r="BH226" s="48">
        <f t="shared" si="256"/>
        <v>2.2304832713754719E-2</v>
      </c>
      <c r="BI226" s="48">
        <f t="shared" si="256"/>
        <v>9.3023255813953432E-2</v>
      </c>
      <c r="BJ226" s="188">
        <f t="shared" si="256"/>
        <v>2.4084778420038644E-2</v>
      </c>
      <c r="BK226" s="48">
        <f t="shared" si="256"/>
        <v>3.6734693877551017E-2</v>
      </c>
      <c r="BL226" s="48">
        <f t="shared" si="256"/>
        <v>0.17289719626168232</v>
      </c>
      <c r="BM226" s="48">
        <f t="shared" si="256"/>
        <v>-3.2727272727272716E-2</v>
      </c>
      <c r="BN226" s="48">
        <f>BN158/BI158-1</f>
        <v>3.3434650455927084E-2</v>
      </c>
      <c r="BO226" s="188">
        <f t="shared" si="257"/>
        <v>4.5155221072436413E-2</v>
      </c>
      <c r="BP226" s="48">
        <f t="shared" si="258"/>
        <v>5.1181102362204633E-2</v>
      </c>
      <c r="BQ226" s="48">
        <f t="shared" si="258"/>
        <v>-2.7888446215139417E-2</v>
      </c>
      <c r="BR226" s="48">
        <f t="shared" si="258"/>
        <v>-2.6315789473684181E-2</v>
      </c>
      <c r="BS226" s="48">
        <f t="shared" si="258"/>
        <v>2.9411764705882248E-3</v>
      </c>
      <c r="BT226" s="188">
        <f t="shared" si="272"/>
        <v>0</v>
      </c>
      <c r="BU226" s="48">
        <f t="shared" si="272"/>
        <v>-3.3707865168539297E-2</v>
      </c>
      <c r="BV226" s="48">
        <f t="shared" si="258"/>
        <v>4.508196721311486E-2</v>
      </c>
      <c r="BW226" s="48">
        <f t="shared" si="258"/>
        <v>0.11969111969111967</v>
      </c>
      <c r="BX226" s="48">
        <f>BX158/BS158-1</f>
        <v>3.5190615835777095E-2</v>
      </c>
      <c r="BY226" s="188">
        <f t="shared" si="258"/>
        <v>4.0504050405040459E-2</v>
      </c>
      <c r="BZ226" s="48">
        <f t="shared" si="259"/>
        <v>0.24806201550387597</v>
      </c>
      <c r="CA226" s="48">
        <f t="shared" si="259"/>
        <v>0.11372549019607847</v>
      </c>
      <c r="CB226" s="48">
        <f t="shared" si="259"/>
        <v>8.9655172413793061E-2</v>
      </c>
      <c r="CC226" s="48">
        <f t="shared" si="259"/>
        <v>-5.3824362606232246E-2</v>
      </c>
      <c r="CD226" s="188">
        <f t="shared" si="259"/>
        <v>8.6505190311418678E-2</v>
      </c>
      <c r="CE226" s="48">
        <f t="shared" si="259"/>
        <v>0</v>
      </c>
      <c r="CF226" s="48">
        <f t="shared" si="259"/>
        <v>-1.4084507042253502E-2</v>
      </c>
      <c r="CG226" s="48">
        <f t="shared" si="259"/>
        <v>-2.2151898734177222E-2</v>
      </c>
      <c r="CH226" s="48">
        <f t="shared" si="259"/>
        <v>6.5868263473053856E-2</v>
      </c>
      <c r="CI226" s="188">
        <f t="shared" si="259"/>
        <v>8.7579617834394607E-3</v>
      </c>
      <c r="CJ226" s="48">
        <f t="shared" si="260"/>
        <v>3.105590062111796E-2</v>
      </c>
      <c r="CK226" s="48">
        <f t="shared" si="260"/>
        <v>-4.6428571428571375E-2</v>
      </c>
      <c r="CL226" s="48">
        <f t="shared" si="260"/>
        <v>-1.8321229188460797E-2</v>
      </c>
      <c r="CM226" s="48">
        <f t="shared" ca="1" si="260"/>
        <v>1.5878721747969893E-2</v>
      </c>
      <c r="CN226" s="188">
        <f t="shared" ca="1" si="260"/>
        <v>-2.3744553093584253E-3</v>
      </c>
      <c r="CO226" s="48">
        <f t="shared" si="260"/>
        <v>2.9480325821271469E-2</v>
      </c>
      <c r="CP226" s="48">
        <f t="shared" si="260"/>
        <v>3.5191021275151835E-2</v>
      </c>
      <c r="CQ226" s="48">
        <f t="shared" si="260"/>
        <v>5.8356590199864389E-2</v>
      </c>
      <c r="CR226" s="48">
        <f t="shared" ca="1" si="260"/>
        <v>1.3519233576583245E-2</v>
      </c>
      <c r="CS226" s="188">
        <f t="shared" ca="1" si="260"/>
        <v>3.304970980210542E-2</v>
      </c>
      <c r="CT226" s="48">
        <f t="shared" si="261"/>
        <v>4.9909091870694144E-2</v>
      </c>
      <c r="CU226" s="48">
        <f t="shared" si="261"/>
        <v>5.6243725574234071E-2</v>
      </c>
      <c r="CV226" s="48">
        <f t="shared" si="261"/>
        <v>5.2443747709152611E-2</v>
      </c>
      <c r="CW226" s="48">
        <f t="shared" ca="1" si="261"/>
        <v>5.1738373029654561E-2</v>
      </c>
      <c r="CX226" s="188">
        <f t="shared" ca="1" si="261"/>
        <v>5.2386643745078176E-2</v>
      </c>
      <c r="CY226" s="48">
        <f t="shared" si="262"/>
        <v>3.4578924882834983E-2</v>
      </c>
      <c r="CZ226" s="48">
        <f t="shared" si="263"/>
        <v>3.7633676402352378E-2</v>
      </c>
      <c r="DA226" s="48">
        <f t="shared" si="264"/>
        <v>3.4488850219950296E-2</v>
      </c>
      <c r="DB226" s="48">
        <f t="shared" ca="1" si="265"/>
        <v>3.237188446755801E-2</v>
      </c>
      <c r="DC226" s="188">
        <f t="shared" ca="1" si="266"/>
        <v>3.4586599716571076E-2</v>
      </c>
      <c r="DD226" s="48">
        <f t="shared" si="267"/>
        <v>3.3147242652269426E-2</v>
      </c>
      <c r="DE226" s="48">
        <f t="shared" si="268"/>
        <v>3.5913883828445181E-2</v>
      </c>
      <c r="DF226" s="48">
        <f t="shared" si="269"/>
        <v>3.2942286807864818E-2</v>
      </c>
      <c r="DG226" s="48">
        <f t="shared" ca="1" si="270"/>
        <v>3.0894124663277456E-2</v>
      </c>
      <c r="DH226" s="188">
        <f t="shared" ca="1" si="271"/>
        <v>3.3055624485506252E-2</v>
      </c>
    </row>
    <row r="227" spans="1:112" ht="12.75" customHeight="1" x14ac:dyDescent="0.2">
      <c r="A227" s="117" t="s">
        <v>238</v>
      </c>
      <c r="B227" s="167"/>
      <c r="C227" s="342" t="s">
        <v>221</v>
      </c>
      <c r="D227" s="342" t="s">
        <v>221</v>
      </c>
      <c r="E227" s="342" t="s">
        <v>221</v>
      </c>
      <c r="F227" s="342" t="s">
        <v>221</v>
      </c>
      <c r="G227" s="272" t="s">
        <v>221</v>
      </c>
      <c r="H227" s="342" t="s">
        <v>221</v>
      </c>
      <c r="I227" s="342" t="s">
        <v>221</v>
      </c>
      <c r="J227" s="342" t="s">
        <v>221</v>
      </c>
      <c r="K227" s="342" t="s">
        <v>221</v>
      </c>
      <c r="L227" s="272" t="s">
        <v>221</v>
      </c>
      <c r="M227" s="342" t="s">
        <v>221</v>
      </c>
      <c r="N227" s="342" t="s">
        <v>221</v>
      </c>
      <c r="O227" s="342" t="s">
        <v>221</v>
      </c>
      <c r="P227" s="342" t="s">
        <v>221</v>
      </c>
      <c r="Q227" s="272" t="s">
        <v>221</v>
      </c>
      <c r="R227" s="342" t="s">
        <v>221</v>
      </c>
      <c r="S227" s="342" t="s">
        <v>221</v>
      </c>
      <c r="T227" s="342" t="s">
        <v>221</v>
      </c>
      <c r="U227" s="342" t="s">
        <v>221</v>
      </c>
      <c r="V227" s="272" t="s">
        <v>221</v>
      </c>
      <c r="W227" s="342" t="s">
        <v>221</v>
      </c>
      <c r="X227" s="342" t="s">
        <v>221</v>
      </c>
      <c r="Y227" s="342" t="s">
        <v>221</v>
      </c>
      <c r="Z227" s="342" t="s">
        <v>221</v>
      </c>
      <c r="AA227" s="272" t="s">
        <v>221</v>
      </c>
      <c r="AB227" s="342" t="s">
        <v>221</v>
      </c>
      <c r="AC227" s="342" t="s">
        <v>221</v>
      </c>
      <c r="AD227" s="342" t="s">
        <v>221</v>
      </c>
      <c r="AE227" s="342" t="s">
        <v>221</v>
      </c>
      <c r="AF227" s="272" t="s">
        <v>221</v>
      </c>
      <c r="AG227" s="342" t="s">
        <v>221</v>
      </c>
      <c r="AH227" s="342" t="s">
        <v>221</v>
      </c>
      <c r="AI227" s="342" t="s">
        <v>221</v>
      </c>
      <c r="AJ227" s="342" t="s">
        <v>221</v>
      </c>
      <c r="AK227" s="272" t="s">
        <v>221</v>
      </c>
      <c r="AL227" s="395">
        <f t="shared" si="254"/>
        <v>-0.16666666666666663</v>
      </c>
      <c r="AM227" s="395">
        <f t="shared" si="254"/>
        <v>3.8461538461538547E-2</v>
      </c>
      <c r="AN227" s="395">
        <f t="shared" si="254"/>
        <v>-0.20512820512820518</v>
      </c>
      <c r="AO227" s="395">
        <f t="shared" si="254"/>
        <v>0</v>
      </c>
      <c r="AP227" s="428">
        <f t="shared" si="254"/>
        <v>-9.4017094017094016E-2</v>
      </c>
      <c r="AQ227" s="395">
        <f t="shared" si="254"/>
        <v>0.95</v>
      </c>
      <c r="AR227" s="395">
        <f t="shared" si="254"/>
        <v>0.18518518518518512</v>
      </c>
      <c r="AS227" s="395">
        <f t="shared" si="254"/>
        <v>0.25806451612903225</v>
      </c>
      <c r="AT227" s="395">
        <f t="shared" si="254"/>
        <v>0</v>
      </c>
      <c r="AU227" s="428">
        <f t="shared" si="254"/>
        <v>0.29245283018867929</v>
      </c>
      <c r="AV227" s="199">
        <f t="shared" si="255"/>
        <v>-0.23076923076923073</v>
      </c>
      <c r="AW227" s="199">
        <f t="shared" si="255"/>
        <v>3.125E-2</v>
      </c>
      <c r="AX227" s="199">
        <f t="shared" si="255"/>
        <v>0.10256410256410264</v>
      </c>
      <c r="AY227" s="199">
        <f t="shared" si="255"/>
        <v>0.96428571428571419</v>
      </c>
      <c r="AZ227" s="235">
        <f t="shared" si="255"/>
        <v>0.17518248175182483</v>
      </c>
      <c r="BA227" s="199">
        <f t="shared" si="255"/>
        <v>0.26666666666666661</v>
      </c>
      <c r="BB227" s="199">
        <f t="shared" si="255"/>
        <v>-0.48484848484848486</v>
      </c>
      <c r="BC227" s="199">
        <f t="shared" si="255"/>
        <v>-0.51162790697674421</v>
      </c>
      <c r="BD227" s="199">
        <f t="shared" si="255"/>
        <v>-0.67272727272727273</v>
      </c>
      <c r="BE227" s="235">
        <f t="shared" si="255"/>
        <v>-0.41614906832298137</v>
      </c>
      <c r="BF227" s="199">
        <f t="shared" si="255"/>
        <v>-0.23684210526315785</v>
      </c>
      <c r="BG227" s="199">
        <f t="shared" si="255"/>
        <v>0.70588235294117641</v>
      </c>
      <c r="BH227" s="199">
        <f t="shared" si="256"/>
        <v>1.0952380952380953</v>
      </c>
      <c r="BI227" s="199">
        <f t="shared" si="256"/>
        <v>1.5</v>
      </c>
      <c r="BJ227" s="235">
        <f t="shared" si="256"/>
        <v>0.56382978723404253</v>
      </c>
      <c r="BK227" s="199">
        <f t="shared" si="256"/>
        <v>-6.8965517241379337E-2</v>
      </c>
      <c r="BL227" s="199">
        <f t="shared" si="256"/>
        <v>3.4482758620689724E-2</v>
      </c>
      <c r="BM227" s="199">
        <f t="shared" si="256"/>
        <v>-0.22727272727272729</v>
      </c>
      <c r="BN227" s="199">
        <f>BN159/BI159-1</f>
        <v>0</v>
      </c>
      <c r="BO227" s="235">
        <f t="shared" si="257"/>
        <v>-7.4829931972789088E-2</v>
      </c>
      <c r="BP227" s="199">
        <f t="shared" si="258"/>
        <v>0.11111111111111116</v>
      </c>
      <c r="BQ227" s="199">
        <f t="shared" si="258"/>
        <v>0.1333333333333333</v>
      </c>
      <c r="BR227" s="199">
        <f t="shared" si="258"/>
        <v>-0.76470588235294112</v>
      </c>
      <c r="BS227" s="199">
        <f t="shared" si="258"/>
        <v>0.15555555555555545</v>
      </c>
      <c r="BT227" s="235">
        <f t="shared" si="258"/>
        <v>-8.8235294117647078E-2</v>
      </c>
      <c r="BU227" s="199">
        <f>BU159/BP159-1</f>
        <v>-0.53333333333333333</v>
      </c>
      <c r="BV227" s="199">
        <f t="shared" si="258"/>
        <v>-5.8823529411764719E-2</v>
      </c>
      <c r="BW227" s="199">
        <f t="shared" si="258"/>
        <v>5</v>
      </c>
      <c r="BX227" s="199">
        <f t="shared" si="258"/>
        <v>-0.21153846153846156</v>
      </c>
      <c r="BY227" s="235">
        <f t="shared" si="258"/>
        <v>8.870967741935476E-2</v>
      </c>
      <c r="BZ227" s="199">
        <f t="shared" si="259"/>
        <v>1.5</v>
      </c>
      <c r="CA227" s="199">
        <f t="shared" si="259"/>
        <v>0</v>
      </c>
      <c r="CB227" s="199">
        <f t="shared" si="259"/>
        <v>0.1875</v>
      </c>
      <c r="CC227" s="199">
        <f t="shared" si="259"/>
        <v>0.48780487804878048</v>
      </c>
      <c r="CD227" s="235">
        <f t="shared" si="259"/>
        <v>0.37037037037037046</v>
      </c>
      <c r="CE227" s="199">
        <f t="shared" si="259"/>
        <v>2.857142857142847E-2</v>
      </c>
      <c r="CF227" s="199">
        <f t="shared" si="259"/>
        <v>-3.125E-2</v>
      </c>
      <c r="CG227" s="199">
        <f t="shared" si="259"/>
        <v>-0.29824561403508776</v>
      </c>
      <c r="CH227" s="199">
        <f t="shared" si="259"/>
        <v>-0.36065573770491799</v>
      </c>
      <c r="CI227" s="235">
        <f t="shared" si="259"/>
        <v>-0.21081081081081077</v>
      </c>
      <c r="CJ227" s="199">
        <f t="shared" si="260"/>
        <v>-0.19444444444444442</v>
      </c>
      <c r="CK227" s="199">
        <f t="shared" si="260"/>
        <v>-0.16129032258064513</v>
      </c>
      <c r="CL227" s="199">
        <f t="shared" si="260"/>
        <v>2.4999999999999911E-2</v>
      </c>
      <c r="CM227" s="199">
        <f t="shared" si="260"/>
        <v>0</v>
      </c>
      <c r="CN227" s="235">
        <f t="shared" si="260"/>
        <v>-7.5342465753424626E-2</v>
      </c>
      <c r="CO227" s="199">
        <f t="shared" si="260"/>
        <v>2.5000000000000133E-2</v>
      </c>
      <c r="CP227" s="199">
        <f t="shared" si="260"/>
        <v>2.4999999999999911E-2</v>
      </c>
      <c r="CQ227" s="199">
        <f t="shared" si="260"/>
        <v>2.4999999999999911E-2</v>
      </c>
      <c r="CR227" s="199">
        <f t="shared" si="260"/>
        <v>2.4999999999999911E-2</v>
      </c>
      <c r="CS227" s="235">
        <f t="shared" si="260"/>
        <v>2.4999999999999911E-2</v>
      </c>
      <c r="CT227" s="199">
        <f t="shared" si="261"/>
        <v>2.4999999999999911E-2</v>
      </c>
      <c r="CU227" s="199">
        <f t="shared" si="261"/>
        <v>2.5000000000000133E-2</v>
      </c>
      <c r="CV227" s="199">
        <f t="shared" si="261"/>
        <v>2.4999999999999911E-2</v>
      </c>
      <c r="CW227" s="199">
        <f t="shared" si="261"/>
        <v>2.5000000000000355E-2</v>
      </c>
      <c r="CX227" s="235">
        <f t="shared" si="261"/>
        <v>2.4999999999999911E-2</v>
      </c>
      <c r="CY227" s="199">
        <f t="shared" si="262"/>
        <v>2.4999999999999911E-2</v>
      </c>
      <c r="CZ227" s="199">
        <f t="shared" si="263"/>
        <v>2.4999999999999911E-2</v>
      </c>
      <c r="DA227" s="199">
        <f t="shared" si="264"/>
        <v>2.4999999999999911E-2</v>
      </c>
      <c r="DB227" s="199">
        <f t="shared" si="265"/>
        <v>2.4999999999999689E-2</v>
      </c>
      <c r="DC227" s="235">
        <f t="shared" si="266"/>
        <v>2.4999999999999911E-2</v>
      </c>
      <c r="DD227" s="199">
        <f t="shared" si="267"/>
        <v>2.4999999999999911E-2</v>
      </c>
      <c r="DE227" s="199">
        <f t="shared" si="268"/>
        <v>2.4999999999999911E-2</v>
      </c>
      <c r="DF227" s="199">
        <f t="shared" si="269"/>
        <v>2.5000000000000133E-2</v>
      </c>
      <c r="DG227" s="199">
        <f t="shared" si="270"/>
        <v>2.4999999999999689E-2</v>
      </c>
      <c r="DH227" s="235">
        <f t="shared" si="271"/>
        <v>2.4999999999999911E-2</v>
      </c>
    </row>
    <row r="228" spans="1:112" ht="12.75" customHeight="1" x14ac:dyDescent="0.2">
      <c r="A228" s="103" t="s">
        <v>237</v>
      </c>
      <c r="B228" s="104"/>
      <c r="C228" s="396" t="s">
        <v>221</v>
      </c>
      <c r="D228" s="396" t="s">
        <v>221</v>
      </c>
      <c r="E228" s="396" t="s">
        <v>221</v>
      </c>
      <c r="F228" s="396" t="s">
        <v>221</v>
      </c>
      <c r="G228" s="273" t="s">
        <v>221</v>
      </c>
      <c r="H228" s="396" t="s">
        <v>221</v>
      </c>
      <c r="I228" s="396" t="s">
        <v>221</v>
      </c>
      <c r="J228" s="396" t="s">
        <v>221</v>
      </c>
      <c r="K228" s="396" t="s">
        <v>221</v>
      </c>
      <c r="L228" s="273" t="s">
        <v>221</v>
      </c>
      <c r="M228" s="396" t="s">
        <v>221</v>
      </c>
      <c r="N228" s="396" t="s">
        <v>221</v>
      </c>
      <c r="O228" s="396" t="s">
        <v>221</v>
      </c>
      <c r="P228" s="396" t="s">
        <v>221</v>
      </c>
      <c r="Q228" s="273" t="s">
        <v>221</v>
      </c>
      <c r="R228" s="396" t="s">
        <v>221</v>
      </c>
      <c r="S228" s="396" t="s">
        <v>221</v>
      </c>
      <c r="T228" s="396" t="s">
        <v>221</v>
      </c>
      <c r="U228" s="396" t="s">
        <v>221</v>
      </c>
      <c r="V228" s="273" t="s">
        <v>221</v>
      </c>
      <c r="W228" s="396" t="s">
        <v>221</v>
      </c>
      <c r="X228" s="396" t="s">
        <v>221</v>
      </c>
      <c r="Y228" s="396" t="s">
        <v>221</v>
      </c>
      <c r="Z228" s="396" t="s">
        <v>221</v>
      </c>
      <c r="AA228" s="273" t="s">
        <v>221</v>
      </c>
      <c r="AB228" s="396" t="s">
        <v>221</v>
      </c>
      <c r="AC228" s="396" t="s">
        <v>221</v>
      </c>
      <c r="AD228" s="396" t="s">
        <v>221</v>
      </c>
      <c r="AE228" s="396" t="s">
        <v>221</v>
      </c>
      <c r="AF228" s="273" t="s">
        <v>221</v>
      </c>
      <c r="AG228" s="396" t="s">
        <v>221</v>
      </c>
      <c r="AH228" s="396" t="s">
        <v>221</v>
      </c>
      <c r="AI228" s="396" t="s">
        <v>221</v>
      </c>
      <c r="AJ228" s="396" t="s">
        <v>221</v>
      </c>
      <c r="AK228" s="273" t="s">
        <v>221</v>
      </c>
      <c r="AL228" s="397">
        <f t="shared" ref="AL228:AU228" si="273">AL160/AG160-1</f>
        <v>1.4705882352941124E-2</v>
      </c>
      <c r="AM228" s="397">
        <f t="shared" si="273"/>
        <v>5.4545454545454453E-2</v>
      </c>
      <c r="AN228" s="397">
        <f t="shared" si="273"/>
        <v>-0.10859728506787325</v>
      </c>
      <c r="AO228" s="397">
        <f t="shared" si="273"/>
        <v>6.3909774436090139E-2</v>
      </c>
      <c r="AP228" s="429">
        <f t="shared" si="273"/>
        <v>5.8411214953271173E-3</v>
      </c>
      <c r="AQ228" s="397">
        <f t="shared" si="273"/>
        <v>0.10144927536231885</v>
      </c>
      <c r="AR228" s="397">
        <f t="shared" si="273"/>
        <v>5.7471264367816577E-3</v>
      </c>
      <c r="AS228" s="397">
        <f t="shared" si="273"/>
        <v>0.38071065989847708</v>
      </c>
      <c r="AT228" s="397">
        <f t="shared" si="273"/>
        <v>4.9469964664310861E-2</v>
      </c>
      <c r="AU228" s="429">
        <f t="shared" si="273"/>
        <v>0.12891986062717775</v>
      </c>
      <c r="AV228" s="48">
        <f t="shared" ref="AV228:BG228" si="274">AV160/AQ160-1</f>
        <v>0.10964912280701755</v>
      </c>
      <c r="AW228" s="48">
        <f t="shared" si="274"/>
        <v>-5.7142857142856718E-3</v>
      </c>
      <c r="AX228" s="48">
        <f t="shared" si="274"/>
        <v>-0.10661764705882348</v>
      </c>
      <c r="AY228" s="48">
        <f t="shared" si="274"/>
        <v>-7.7441077441077422E-2</v>
      </c>
      <c r="AZ228" s="188">
        <f t="shared" si="274"/>
        <v>-2.8806584362139898E-2</v>
      </c>
      <c r="BA228" s="48">
        <f t="shared" si="274"/>
        <v>-7.5098814229249022E-2</v>
      </c>
      <c r="BB228" s="48">
        <f t="shared" si="274"/>
        <v>2.8735632183908066E-2</v>
      </c>
      <c r="BC228" s="48">
        <f t="shared" si="274"/>
        <v>2.0576131687242816E-2</v>
      </c>
      <c r="BD228" s="48">
        <f t="shared" si="274"/>
        <v>3.2846715328467058E-2</v>
      </c>
      <c r="BE228" s="188">
        <f t="shared" si="274"/>
        <v>0</v>
      </c>
      <c r="BF228" s="48">
        <f t="shared" si="274"/>
        <v>-7.6923076923076872E-2</v>
      </c>
      <c r="BG228" s="48">
        <f t="shared" si="274"/>
        <v>3.3519553072625774E-2</v>
      </c>
      <c r="BH228" s="48">
        <f t="shared" ref="BH228:BM228" si="275">BH160/BC160-1</f>
        <v>-6.8548387096774244E-2</v>
      </c>
      <c r="BI228" s="48">
        <f t="shared" si="275"/>
        <v>3.5335689045936647E-3</v>
      </c>
      <c r="BJ228" s="188">
        <f t="shared" si="275"/>
        <v>-2.9661016949152574E-2</v>
      </c>
      <c r="BK228" s="48">
        <f t="shared" si="275"/>
        <v>5.0925925925925819E-2</v>
      </c>
      <c r="BL228" s="48">
        <f t="shared" si="275"/>
        <v>0.19459459459459461</v>
      </c>
      <c r="BM228" s="48">
        <f t="shared" si="275"/>
        <v>4.3290043290042934E-3</v>
      </c>
      <c r="BN228" s="48">
        <f>BN160/BI160-1</f>
        <v>3.8732394366197243E-2</v>
      </c>
      <c r="BO228" s="188">
        <f t="shared" si="257"/>
        <v>6.4410480349345045E-2</v>
      </c>
      <c r="BP228" s="48">
        <f t="shared" ref="BP228:BY228" si="276">BP160/BK160-1</f>
        <v>4.4052863436123246E-2</v>
      </c>
      <c r="BQ228" s="48">
        <f t="shared" si="276"/>
        <v>-4.9773755656108642E-2</v>
      </c>
      <c r="BR228" s="48">
        <f t="shared" si="276"/>
        <v>8.18965517241379E-2</v>
      </c>
      <c r="BS228" s="48">
        <f t="shared" si="276"/>
        <v>-2.033898305084747E-2</v>
      </c>
      <c r="BT228" s="188">
        <f t="shared" si="276"/>
        <v>1.2307692307692353E-2</v>
      </c>
      <c r="BU228" s="48">
        <f>BU160/BP160-1</f>
        <v>2.9535864978903037E-2</v>
      </c>
      <c r="BV228" s="48">
        <f t="shared" si="276"/>
        <v>6.1904761904761907E-2</v>
      </c>
      <c r="BW228" s="48">
        <f t="shared" si="276"/>
        <v>-3.5856573705179251E-2</v>
      </c>
      <c r="BX228" s="48">
        <f t="shared" si="276"/>
        <v>7.9584775086505299E-2</v>
      </c>
      <c r="BY228" s="188">
        <f t="shared" si="276"/>
        <v>3.4447821681864221E-2</v>
      </c>
      <c r="BZ228" s="48">
        <f t="shared" ref="BZ228:CI228" si="277">BZ160/BU160-1</f>
        <v>0.17622950819672134</v>
      </c>
      <c r="CA228" s="48">
        <f t="shared" si="277"/>
        <v>0.13004484304932729</v>
      </c>
      <c r="CB228" s="48">
        <f t="shared" si="277"/>
        <v>7.024793388429762E-2</v>
      </c>
      <c r="CC228" s="48">
        <f t="shared" si="277"/>
        <v>-0.125</v>
      </c>
      <c r="CD228" s="188">
        <f t="shared" si="277"/>
        <v>4.8971596474045143E-2</v>
      </c>
      <c r="CE228" s="48">
        <f t="shared" si="277"/>
        <v>-3.4843205574912606E-3</v>
      </c>
      <c r="CF228" s="48">
        <f t="shared" si="277"/>
        <v>-1.1904761904761862E-2</v>
      </c>
      <c r="CG228" s="48">
        <f t="shared" si="277"/>
        <v>3.8610038610038533E-2</v>
      </c>
      <c r="CH228" s="48">
        <f t="shared" si="277"/>
        <v>0.16117216117216127</v>
      </c>
      <c r="CI228" s="188">
        <f t="shared" si="277"/>
        <v>4.6685340802987918E-2</v>
      </c>
      <c r="CJ228" s="48">
        <f t="shared" ref="CJ228:CS228" si="278">CJ160/CE160-1</f>
        <v>5.9440559440559371E-2</v>
      </c>
      <c r="CK228" s="48">
        <f t="shared" si="278"/>
        <v>-3.2128514056224855E-2</v>
      </c>
      <c r="CL228" s="48">
        <f t="shared" si="278"/>
        <v>-2.4763047655146364E-2</v>
      </c>
      <c r="CM228" s="48">
        <f t="shared" ca="1" si="278"/>
        <v>1.7832255338414038E-2</v>
      </c>
      <c r="CN228" s="188">
        <f t="shared" ca="1" si="278"/>
        <v>7.1289608590925369E-3</v>
      </c>
      <c r="CO228" s="48">
        <f t="shared" si="278"/>
        <v>2.9909135883373406E-2</v>
      </c>
      <c r="CP228" s="48">
        <f t="shared" si="278"/>
        <v>3.6290467553798944E-2</v>
      </c>
      <c r="CQ228" s="48">
        <f t="shared" si="278"/>
        <v>6.3569774486912811E-2</v>
      </c>
      <c r="CR228" s="48">
        <f t="shared" ca="1" si="278"/>
        <v>1.2131519427192705E-2</v>
      </c>
      <c r="CS228" s="188">
        <f t="shared" ca="1" si="278"/>
        <v>3.4012259795263233E-2</v>
      </c>
      <c r="CT228" s="48">
        <f t="shared" ref="CT228:DH228" si="279">CT160/CO160-1</f>
        <v>5.2281766675812857E-2</v>
      </c>
      <c r="CU228" s="48">
        <f t="shared" si="279"/>
        <v>5.9577693996618164E-2</v>
      </c>
      <c r="CV228" s="48">
        <f t="shared" si="279"/>
        <v>5.6577293233450732E-2</v>
      </c>
      <c r="CW228" s="48">
        <f t="shared" ca="1" si="279"/>
        <v>5.5011410888158085E-2</v>
      </c>
      <c r="CX228" s="188">
        <f t="shared" ca="1" si="279"/>
        <v>5.5632879530827406E-2</v>
      </c>
      <c r="CY228" s="48">
        <f t="shared" si="279"/>
        <v>3.5467693910975484E-2</v>
      </c>
      <c r="CZ228" s="48">
        <f t="shared" si="279"/>
        <v>3.8937802165707636E-2</v>
      </c>
      <c r="DA228" s="48">
        <f t="shared" si="279"/>
        <v>3.5875336226039556E-2</v>
      </c>
      <c r="DB228" s="48">
        <f t="shared" ca="1" si="279"/>
        <v>3.3248605205793869E-2</v>
      </c>
      <c r="DC228" s="188">
        <f t="shared" ca="1" si="279"/>
        <v>3.5689958608706718E-2</v>
      </c>
      <c r="DD228" s="48">
        <f t="shared" si="279"/>
        <v>3.3895532938045037E-2</v>
      </c>
      <c r="DE228" s="48">
        <f t="shared" si="279"/>
        <v>3.7025368222745714E-2</v>
      </c>
      <c r="DF228" s="48">
        <f t="shared" si="279"/>
        <v>3.4090609211023137E-2</v>
      </c>
      <c r="DG228" s="48">
        <f t="shared" ca="1" si="279"/>
        <v>3.1589502931526736E-2</v>
      </c>
      <c r="DH228" s="188">
        <f t="shared" ca="1" si="279"/>
        <v>3.397320782278368E-2</v>
      </c>
    </row>
    <row r="229" spans="1:112" ht="3.75" customHeight="1" x14ac:dyDescent="0.2">
      <c r="A229" s="98"/>
      <c r="B229" s="104"/>
      <c r="C229" s="393"/>
      <c r="D229" s="393"/>
      <c r="E229" s="393"/>
      <c r="F229" s="393"/>
      <c r="G229" s="271"/>
      <c r="H229" s="393"/>
      <c r="I229" s="393"/>
      <c r="J229" s="393"/>
      <c r="K229" s="393"/>
      <c r="L229" s="271"/>
      <c r="M229" s="393"/>
      <c r="N229" s="393"/>
      <c r="O229" s="393"/>
      <c r="P229" s="393"/>
      <c r="Q229" s="271"/>
      <c r="R229" s="393"/>
      <c r="S229" s="393"/>
      <c r="T229" s="393"/>
      <c r="U229" s="393"/>
      <c r="V229" s="271"/>
      <c r="W229" s="393"/>
      <c r="X229" s="393"/>
      <c r="Y229" s="393"/>
      <c r="Z229" s="393"/>
      <c r="AA229" s="271"/>
      <c r="AB229" s="393"/>
      <c r="AC229" s="393"/>
      <c r="AD229" s="393"/>
      <c r="AE229" s="393"/>
      <c r="AF229" s="271"/>
      <c r="AG229" s="393"/>
      <c r="AH229" s="393"/>
      <c r="AI229" s="393"/>
      <c r="AJ229" s="393"/>
      <c r="AK229" s="271"/>
      <c r="AL229" s="394"/>
      <c r="AM229" s="394"/>
      <c r="AN229" s="394"/>
      <c r="AO229" s="394"/>
      <c r="AP229" s="427"/>
      <c r="AQ229" s="394"/>
      <c r="AR229" s="394"/>
      <c r="AS229" s="394"/>
      <c r="AT229" s="394"/>
      <c r="AU229" s="427"/>
      <c r="AV229" s="47"/>
      <c r="AW229" s="47"/>
      <c r="AX229" s="47"/>
      <c r="AY229" s="47"/>
      <c r="AZ229" s="185"/>
      <c r="BA229" s="47"/>
      <c r="BB229" s="47"/>
      <c r="BC229" s="47"/>
      <c r="BD229" s="47"/>
      <c r="BE229" s="185"/>
      <c r="BF229" s="47"/>
      <c r="BG229" s="47"/>
      <c r="BH229" s="47"/>
      <c r="BI229" s="47"/>
      <c r="BJ229" s="185"/>
      <c r="BK229" s="47"/>
      <c r="BL229" s="47"/>
      <c r="BM229" s="47"/>
      <c r="BN229" s="47"/>
      <c r="BO229" s="185"/>
      <c r="BP229" s="47"/>
      <c r="BQ229" s="47"/>
      <c r="BR229" s="47"/>
      <c r="BS229" s="47"/>
      <c r="BT229" s="185"/>
      <c r="BU229" s="47"/>
      <c r="BV229" s="47"/>
      <c r="BW229" s="47"/>
      <c r="BX229" s="47"/>
      <c r="BY229" s="185"/>
      <c r="BZ229" s="47"/>
      <c r="CA229" s="47"/>
      <c r="CB229" s="47"/>
      <c r="CC229" s="47"/>
      <c r="CD229" s="185"/>
      <c r="CE229" s="47"/>
      <c r="CF229" s="47"/>
      <c r="CG229" s="47"/>
      <c r="CH229" s="47"/>
      <c r="CI229" s="185"/>
      <c r="CJ229" s="47"/>
      <c r="CK229" s="47"/>
      <c r="CL229" s="47"/>
      <c r="CM229" s="47"/>
      <c r="CN229" s="185"/>
      <c r="CO229" s="47"/>
      <c r="CP229" s="47"/>
      <c r="CQ229" s="47"/>
      <c r="CR229" s="47"/>
      <c r="CS229" s="185"/>
      <c r="CT229" s="47"/>
      <c r="CU229" s="47"/>
      <c r="CV229" s="47"/>
      <c r="CW229" s="47"/>
      <c r="CX229" s="185"/>
      <c r="CY229" s="47"/>
      <c r="CZ229" s="47"/>
      <c r="DA229" s="47"/>
      <c r="DB229" s="47"/>
      <c r="DC229" s="185"/>
      <c r="DD229" s="47"/>
      <c r="DE229" s="47"/>
      <c r="DF229" s="47"/>
      <c r="DG229" s="47"/>
      <c r="DH229" s="185"/>
    </row>
    <row r="230" spans="1:112" ht="12.75" customHeight="1" x14ac:dyDescent="0.2">
      <c r="A230" s="98" t="s">
        <v>235</v>
      </c>
      <c r="B230" s="104"/>
      <c r="C230" s="393" t="s">
        <v>221</v>
      </c>
      <c r="D230" s="393" t="s">
        <v>221</v>
      </c>
      <c r="E230" s="393" t="s">
        <v>221</v>
      </c>
      <c r="F230" s="393" t="s">
        <v>221</v>
      </c>
      <c r="G230" s="271" t="s">
        <v>221</v>
      </c>
      <c r="H230" s="393" t="s">
        <v>221</v>
      </c>
      <c r="I230" s="393" t="s">
        <v>221</v>
      </c>
      <c r="J230" s="393" t="s">
        <v>221</v>
      </c>
      <c r="K230" s="393" t="s">
        <v>221</v>
      </c>
      <c r="L230" s="271" t="s">
        <v>221</v>
      </c>
      <c r="M230" s="393" t="s">
        <v>221</v>
      </c>
      <c r="N230" s="393" t="s">
        <v>221</v>
      </c>
      <c r="O230" s="393" t="s">
        <v>221</v>
      </c>
      <c r="P230" s="393" t="s">
        <v>221</v>
      </c>
      <c r="Q230" s="271" t="s">
        <v>221</v>
      </c>
      <c r="R230" s="393" t="s">
        <v>221</v>
      </c>
      <c r="S230" s="393" t="s">
        <v>221</v>
      </c>
      <c r="T230" s="393" t="s">
        <v>221</v>
      </c>
      <c r="U230" s="393" t="s">
        <v>221</v>
      </c>
      <c r="V230" s="271" t="s">
        <v>221</v>
      </c>
      <c r="W230" s="393" t="s">
        <v>221</v>
      </c>
      <c r="X230" s="393" t="s">
        <v>221</v>
      </c>
      <c r="Y230" s="393" t="s">
        <v>221</v>
      </c>
      <c r="Z230" s="393" t="s">
        <v>221</v>
      </c>
      <c r="AA230" s="271" t="s">
        <v>221</v>
      </c>
      <c r="AB230" s="393" t="s">
        <v>221</v>
      </c>
      <c r="AC230" s="393" t="s">
        <v>221</v>
      </c>
      <c r="AD230" s="393" t="s">
        <v>221</v>
      </c>
      <c r="AE230" s="393" t="s">
        <v>221</v>
      </c>
      <c r="AF230" s="271" t="s">
        <v>221</v>
      </c>
      <c r="AG230" s="393" t="s">
        <v>221</v>
      </c>
      <c r="AH230" s="393" t="s">
        <v>221</v>
      </c>
      <c r="AI230" s="393" t="s">
        <v>221</v>
      </c>
      <c r="AJ230" s="393" t="s">
        <v>221</v>
      </c>
      <c r="AK230" s="271" t="s">
        <v>221</v>
      </c>
      <c r="AL230" s="394" t="s">
        <v>310</v>
      </c>
      <c r="AM230" s="394" t="s">
        <v>310</v>
      </c>
      <c r="AN230" s="394" t="s">
        <v>310</v>
      </c>
      <c r="AO230" s="394" t="s">
        <v>310</v>
      </c>
      <c r="AP230" s="427" t="s">
        <v>310</v>
      </c>
      <c r="AQ230" s="394" t="s">
        <v>310</v>
      </c>
      <c r="AR230" s="394" t="s">
        <v>310</v>
      </c>
      <c r="AS230" s="394" t="s">
        <v>310</v>
      </c>
      <c r="AT230" s="394" t="s">
        <v>310</v>
      </c>
      <c r="AU230" s="427" t="s">
        <v>310</v>
      </c>
      <c r="AV230" s="60" t="s">
        <v>310</v>
      </c>
      <c r="AW230" s="60" t="s">
        <v>310</v>
      </c>
      <c r="AX230" s="60" t="s">
        <v>310</v>
      </c>
      <c r="AY230" s="60" t="s">
        <v>310</v>
      </c>
      <c r="AZ230" s="267" t="s">
        <v>310</v>
      </c>
      <c r="BA230" s="60" t="s">
        <v>310</v>
      </c>
      <c r="BB230" s="60" t="s">
        <v>310</v>
      </c>
      <c r="BC230" s="60" t="s">
        <v>310</v>
      </c>
      <c r="BD230" s="60" t="s">
        <v>310</v>
      </c>
      <c r="BE230" s="267" t="s">
        <v>310</v>
      </c>
      <c r="BF230" s="60" t="s">
        <v>310</v>
      </c>
      <c r="BG230" s="60" t="s">
        <v>310</v>
      </c>
      <c r="BH230" s="60" t="s">
        <v>310</v>
      </c>
      <c r="BI230" s="60" t="s">
        <v>310</v>
      </c>
      <c r="BJ230" s="267" t="s">
        <v>310</v>
      </c>
      <c r="BK230" s="60" t="s">
        <v>310</v>
      </c>
      <c r="BL230" s="60" t="s">
        <v>310</v>
      </c>
      <c r="BM230" s="60" t="s">
        <v>310</v>
      </c>
      <c r="BN230" s="60" t="s">
        <v>310</v>
      </c>
      <c r="BO230" s="267" t="s">
        <v>310</v>
      </c>
      <c r="BP230" s="60" t="s">
        <v>310</v>
      </c>
      <c r="BQ230" s="60" t="s">
        <v>310</v>
      </c>
      <c r="BR230" s="60" t="s">
        <v>310</v>
      </c>
      <c r="BS230" s="60" t="s">
        <v>310</v>
      </c>
      <c r="BT230" s="267" t="s">
        <v>310</v>
      </c>
      <c r="BU230" s="60" t="s">
        <v>310</v>
      </c>
      <c r="BV230" s="60" t="s">
        <v>310</v>
      </c>
      <c r="BW230" s="60" t="s">
        <v>310</v>
      </c>
      <c r="BX230" s="60" t="s">
        <v>310</v>
      </c>
      <c r="BY230" s="267" t="s">
        <v>310</v>
      </c>
      <c r="BZ230" s="60" t="s">
        <v>310</v>
      </c>
      <c r="CA230" s="60" t="s">
        <v>310</v>
      </c>
      <c r="CB230" s="60" t="s">
        <v>310</v>
      </c>
      <c r="CC230" s="60" t="s">
        <v>310</v>
      </c>
      <c r="CD230" s="267" t="s">
        <v>310</v>
      </c>
      <c r="CE230" s="60" t="s">
        <v>310</v>
      </c>
      <c r="CF230" s="60" t="s">
        <v>310</v>
      </c>
      <c r="CG230" s="60" t="s">
        <v>310</v>
      </c>
      <c r="CH230" s="60" t="s">
        <v>310</v>
      </c>
      <c r="CI230" s="267" t="s">
        <v>310</v>
      </c>
      <c r="CJ230" s="60" t="s">
        <v>310</v>
      </c>
      <c r="CK230" s="60" t="s">
        <v>310</v>
      </c>
      <c r="CL230" s="60" t="s">
        <v>310</v>
      </c>
      <c r="CM230" s="60" t="s">
        <v>310</v>
      </c>
      <c r="CN230" s="267" t="s">
        <v>310</v>
      </c>
      <c r="CO230" s="60" t="s">
        <v>310</v>
      </c>
      <c r="CP230" s="60" t="s">
        <v>310</v>
      </c>
      <c r="CQ230" s="60" t="s">
        <v>310</v>
      </c>
      <c r="CR230" s="60" t="s">
        <v>310</v>
      </c>
      <c r="CS230" s="267" t="s">
        <v>310</v>
      </c>
      <c r="CT230" s="60" t="s">
        <v>310</v>
      </c>
      <c r="CU230" s="60" t="s">
        <v>310</v>
      </c>
      <c r="CV230" s="60" t="s">
        <v>310</v>
      </c>
      <c r="CW230" s="60" t="s">
        <v>310</v>
      </c>
      <c r="CX230" s="267" t="s">
        <v>310</v>
      </c>
      <c r="CY230" s="60" t="s">
        <v>310</v>
      </c>
      <c r="CZ230" s="60" t="s">
        <v>310</v>
      </c>
      <c r="DA230" s="60" t="s">
        <v>310</v>
      </c>
      <c r="DB230" s="60" t="s">
        <v>310</v>
      </c>
      <c r="DC230" s="267" t="s">
        <v>310</v>
      </c>
      <c r="DD230" s="60" t="s">
        <v>310</v>
      </c>
      <c r="DE230" s="60" t="s">
        <v>310</v>
      </c>
      <c r="DF230" s="60" t="s">
        <v>310</v>
      </c>
      <c r="DG230" s="60" t="s">
        <v>310</v>
      </c>
      <c r="DH230" s="267" t="s">
        <v>310</v>
      </c>
    </row>
    <row r="231" spans="1:112" ht="12.75" customHeight="1" x14ac:dyDescent="0.2">
      <c r="A231" s="98" t="s">
        <v>64</v>
      </c>
      <c r="B231" s="104"/>
      <c r="C231" s="393" t="s">
        <v>221</v>
      </c>
      <c r="D231" s="393" t="s">
        <v>221</v>
      </c>
      <c r="E231" s="393" t="s">
        <v>221</v>
      </c>
      <c r="F231" s="393" t="s">
        <v>221</v>
      </c>
      <c r="G231" s="271" t="s">
        <v>221</v>
      </c>
      <c r="H231" s="393" t="s">
        <v>221</v>
      </c>
      <c r="I231" s="393" t="s">
        <v>221</v>
      </c>
      <c r="J231" s="393" t="s">
        <v>221</v>
      </c>
      <c r="K231" s="393" t="s">
        <v>221</v>
      </c>
      <c r="L231" s="271" t="s">
        <v>221</v>
      </c>
      <c r="M231" s="393" t="s">
        <v>221</v>
      </c>
      <c r="N231" s="393" t="s">
        <v>221</v>
      </c>
      <c r="O231" s="393" t="s">
        <v>221</v>
      </c>
      <c r="P231" s="393" t="s">
        <v>221</v>
      </c>
      <c r="Q231" s="271" t="s">
        <v>221</v>
      </c>
      <c r="R231" s="393" t="s">
        <v>221</v>
      </c>
      <c r="S231" s="393" t="s">
        <v>221</v>
      </c>
      <c r="T231" s="393" t="s">
        <v>221</v>
      </c>
      <c r="U231" s="393" t="s">
        <v>221</v>
      </c>
      <c r="V231" s="271" t="s">
        <v>221</v>
      </c>
      <c r="W231" s="393" t="s">
        <v>221</v>
      </c>
      <c r="X231" s="393" t="s">
        <v>221</v>
      </c>
      <c r="Y231" s="393" t="s">
        <v>221</v>
      </c>
      <c r="Z231" s="393" t="s">
        <v>221</v>
      </c>
      <c r="AA231" s="271" t="s">
        <v>221</v>
      </c>
      <c r="AB231" s="393" t="s">
        <v>221</v>
      </c>
      <c r="AC231" s="393" t="s">
        <v>221</v>
      </c>
      <c r="AD231" s="393" t="s">
        <v>221</v>
      </c>
      <c r="AE231" s="393" t="s">
        <v>221</v>
      </c>
      <c r="AF231" s="271" t="s">
        <v>221</v>
      </c>
      <c r="AG231" s="393" t="s">
        <v>221</v>
      </c>
      <c r="AH231" s="393" t="s">
        <v>221</v>
      </c>
      <c r="AI231" s="393" t="s">
        <v>221</v>
      </c>
      <c r="AJ231" s="393" t="s">
        <v>221</v>
      </c>
      <c r="AK231" s="271" t="s">
        <v>221</v>
      </c>
      <c r="AL231" s="394">
        <f t="shared" ref="AL231:AU232" si="280">AL163/AG163-1</f>
        <v>0.13793103448275867</v>
      </c>
      <c r="AM231" s="394">
        <f t="shared" si="280"/>
        <v>0.5862068965517242</v>
      </c>
      <c r="AN231" s="394">
        <f t="shared" si="280"/>
        <v>0.64285714285714279</v>
      </c>
      <c r="AO231" s="394">
        <f t="shared" si="280"/>
        <v>0.59259259259259256</v>
      </c>
      <c r="AP231" s="427">
        <f t="shared" si="280"/>
        <v>0.48672566371681425</v>
      </c>
      <c r="AQ231" s="394">
        <f t="shared" si="280"/>
        <v>0.27272727272727271</v>
      </c>
      <c r="AR231" s="394">
        <f t="shared" si="280"/>
        <v>-4.3478260869565188E-2</v>
      </c>
      <c r="AS231" s="394">
        <f t="shared" si="280"/>
        <v>-0.15217391304347827</v>
      </c>
      <c r="AT231" s="394">
        <f t="shared" si="280"/>
        <v>-0.16279069767441856</v>
      </c>
      <c r="AU231" s="427">
        <f t="shared" si="280"/>
        <v>-4.166666666666663E-2</v>
      </c>
      <c r="AV231" s="47">
        <f t="shared" ref="AV231:BG232" si="281">AV163/AQ163-1</f>
        <v>-0.1428571428571429</v>
      </c>
      <c r="AW231" s="47">
        <f t="shared" si="281"/>
        <v>-0.15909090909090906</v>
      </c>
      <c r="AX231" s="47">
        <f t="shared" si="281"/>
        <v>-0.12820512820512819</v>
      </c>
      <c r="AY231" s="47">
        <f t="shared" si="281"/>
        <v>-0.11111111111111116</v>
      </c>
      <c r="AZ231" s="185">
        <f t="shared" si="281"/>
        <v>-0.13664596273291929</v>
      </c>
      <c r="BA231" s="47">
        <f t="shared" si="281"/>
        <v>-0.11111111111111116</v>
      </c>
      <c r="BB231" s="47">
        <f t="shared" si="281"/>
        <v>-0.10810810810810811</v>
      </c>
      <c r="BC231" s="47">
        <f t="shared" si="281"/>
        <v>-0.1470588235294118</v>
      </c>
      <c r="BD231" s="47">
        <f t="shared" si="281"/>
        <v>-9.375E-2</v>
      </c>
      <c r="BE231" s="185">
        <f t="shared" si="281"/>
        <v>-0.1151079136690647</v>
      </c>
      <c r="BF231" s="47">
        <f t="shared" si="281"/>
        <v>-9.375E-2</v>
      </c>
      <c r="BG231" s="47">
        <f t="shared" si="281"/>
        <v>-9.0909090909090939E-2</v>
      </c>
      <c r="BH231" s="47">
        <f t="shared" ref="BH231:BM232" si="282">BH163/BC163-1</f>
        <v>0.13793103448275867</v>
      </c>
      <c r="BI231" s="47">
        <f t="shared" si="282"/>
        <v>0.13793103448275867</v>
      </c>
      <c r="BJ231" s="185">
        <f t="shared" si="282"/>
        <v>1.6260162601626105E-2</v>
      </c>
      <c r="BK231" s="47">
        <f t="shared" si="282"/>
        <v>0.13793103448275867</v>
      </c>
      <c r="BL231" s="47">
        <f t="shared" si="282"/>
        <v>0.10000000000000009</v>
      </c>
      <c r="BM231" s="47">
        <f t="shared" si="282"/>
        <v>-9.0909090909090939E-2</v>
      </c>
      <c r="BN231" s="47">
        <f>BN163/BI163-1</f>
        <v>-0.21212121212121215</v>
      </c>
      <c r="BO231" s="185">
        <f>BO163/BJ163-1</f>
        <v>-2.4000000000000021E-2</v>
      </c>
      <c r="BP231" s="47">
        <f t="shared" ref="BP231:BY232" si="283">BP163/BK163-1</f>
        <v>-0.21212121212121215</v>
      </c>
      <c r="BQ231" s="47">
        <f t="shared" si="283"/>
        <v>-0.21212121212121215</v>
      </c>
      <c r="BR231" s="47">
        <f t="shared" si="283"/>
        <v>-0.16666666666666663</v>
      </c>
      <c r="BS231" s="47">
        <f t="shared" si="283"/>
        <v>0</v>
      </c>
      <c r="BT231" s="185">
        <f t="shared" si="283"/>
        <v>-0.15573770491803274</v>
      </c>
      <c r="BU231" s="47">
        <f>BU163/BP163-1</f>
        <v>0</v>
      </c>
      <c r="BV231" s="47">
        <f t="shared" si="283"/>
        <v>0</v>
      </c>
      <c r="BW231" s="47">
        <f t="shared" si="283"/>
        <v>0</v>
      </c>
      <c r="BX231" s="47">
        <f t="shared" si="283"/>
        <v>-0.11538461538461542</v>
      </c>
      <c r="BY231" s="185">
        <f t="shared" si="283"/>
        <v>-2.9126213592232997E-2</v>
      </c>
      <c r="BZ231" s="47">
        <f t="shared" ref="BZ231:CI232" si="284">BZ163/BU163-1</f>
        <v>-0.11538461538461542</v>
      </c>
      <c r="CA231" s="47">
        <f t="shared" si="284"/>
        <v>-0.15384615384615385</v>
      </c>
      <c r="CB231" s="47">
        <f t="shared" si="284"/>
        <v>-0.12</v>
      </c>
      <c r="CC231" s="47">
        <f t="shared" si="284"/>
        <v>-8.6956521739130488E-2</v>
      </c>
      <c r="CD231" s="185">
        <f t="shared" si="284"/>
        <v>-0.12</v>
      </c>
      <c r="CE231" s="47">
        <f t="shared" si="284"/>
        <v>-4.3478260869565188E-2</v>
      </c>
      <c r="CF231" s="47">
        <f t="shared" si="284"/>
        <v>0</v>
      </c>
      <c r="CG231" s="47">
        <f t="shared" si="284"/>
        <v>0</v>
      </c>
      <c r="CH231" s="47">
        <f t="shared" si="284"/>
        <v>4.7619047619047672E-2</v>
      </c>
      <c r="CI231" s="185">
        <f t="shared" si="284"/>
        <v>0</v>
      </c>
      <c r="CJ231" s="47">
        <f t="shared" ref="CJ231:CS232" si="285">CJ163/CE163-1</f>
        <v>-4.5454545454545414E-2</v>
      </c>
      <c r="CK231" s="47">
        <f t="shared" si="285"/>
        <v>-9.0909090909090939E-2</v>
      </c>
      <c r="CL231" s="47">
        <f t="shared" ca="1" si="285"/>
        <v>4.3144331273670122E-3</v>
      </c>
      <c r="CM231" s="47">
        <f t="shared" ca="1" si="285"/>
        <v>2.2018976552143243E-2</v>
      </c>
      <c r="CN231" s="185">
        <f t="shared" ca="1" si="285"/>
        <v>-2.7507556671031441E-2</v>
      </c>
      <c r="CO231" s="47">
        <f t="shared" ca="1" si="285"/>
        <v>5.4450812884294653E-2</v>
      </c>
      <c r="CP231" s="47">
        <f t="shared" ca="1" si="285"/>
        <v>0.16018577704128001</v>
      </c>
      <c r="CQ231" s="47">
        <f t="shared" ca="1" si="285"/>
        <v>0.11973918848763487</v>
      </c>
      <c r="CR231" s="47">
        <f t="shared" ca="1" si="285"/>
        <v>9.0638040903912698E-2</v>
      </c>
      <c r="CS231" s="185">
        <f t="shared" ca="1" si="285"/>
        <v>0.10552493375016381</v>
      </c>
      <c r="CT231" s="47">
        <f t="shared" ref="CT231:CX232" ca="1" si="286">CT163/CO163-1</f>
        <v>7.3834334857203698E-2</v>
      </c>
      <c r="CU231" s="47">
        <f t="shared" ca="1" si="286"/>
        <v>6.9941120778618471E-2</v>
      </c>
      <c r="CV231" s="47">
        <f t="shared" ca="1" si="286"/>
        <v>6.7623473191069428E-2</v>
      </c>
      <c r="CW231" s="47">
        <f ca="1">CW163/CR163-1</f>
        <v>6.8902492952923389E-2</v>
      </c>
      <c r="CX231" s="185">
        <f t="shared" ca="1" si="286"/>
        <v>6.9977055495348717E-2</v>
      </c>
      <c r="CY231" s="47">
        <f t="shared" ref="CY231:DH232" ca="1" si="287">CY163/CT163-1</f>
        <v>7.3385361050360753E-2</v>
      </c>
      <c r="CZ231" s="47">
        <f t="shared" ca="1" si="287"/>
        <v>7.3909404668248246E-2</v>
      </c>
      <c r="DA231" s="47">
        <f t="shared" ca="1" si="287"/>
        <v>7.2589894737768779E-2</v>
      </c>
      <c r="DB231" s="47">
        <f t="shared" ca="1" si="287"/>
        <v>7.6334983549508406E-2</v>
      </c>
      <c r="DC231" s="185">
        <f t="shared" ca="1" si="287"/>
        <v>7.4070081225982243E-2</v>
      </c>
      <c r="DD231" s="47">
        <f t="shared" ca="1" si="287"/>
        <v>7.9351914738315488E-2</v>
      </c>
      <c r="DE231" s="47">
        <f t="shared" ca="1" si="287"/>
        <v>7.7163973330897084E-2</v>
      </c>
      <c r="DF231" s="47">
        <f t="shared" ca="1" si="287"/>
        <v>7.614721007536196E-2</v>
      </c>
      <c r="DG231" s="47">
        <f t="shared" ca="1" si="287"/>
        <v>8.0066860797909811E-2</v>
      </c>
      <c r="DH231" s="185">
        <f t="shared" ca="1" si="287"/>
        <v>7.8165885912861777E-2</v>
      </c>
    </row>
    <row r="232" spans="1:112" ht="12.75" customHeight="1" x14ac:dyDescent="0.2">
      <c r="A232" s="103" t="s">
        <v>233</v>
      </c>
      <c r="B232" s="104"/>
      <c r="C232" s="396" t="s">
        <v>221</v>
      </c>
      <c r="D232" s="396" t="s">
        <v>221</v>
      </c>
      <c r="E232" s="396" t="s">
        <v>221</v>
      </c>
      <c r="F232" s="396" t="s">
        <v>221</v>
      </c>
      <c r="G232" s="273" t="s">
        <v>221</v>
      </c>
      <c r="H232" s="396" t="s">
        <v>221</v>
      </c>
      <c r="I232" s="396" t="s">
        <v>221</v>
      </c>
      <c r="J232" s="396" t="s">
        <v>221</v>
      </c>
      <c r="K232" s="396" t="s">
        <v>221</v>
      </c>
      <c r="L232" s="273" t="s">
        <v>221</v>
      </c>
      <c r="M232" s="396" t="s">
        <v>221</v>
      </c>
      <c r="N232" s="396" t="s">
        <v>221</v>
      </c>
      <c r="O232" s="396" t="s">
        <v>221</v>
      </c>
      <c r="P232" s="396" t="s">
        <v>221</v>
      </c>
      <c r="Q232" s="273" t="s">
        <v>221</v>
      </c>
      <c r="R232" s="396" t="s">
        <v>221</v>
      </c>
      <c r="S232" s="396" t="s">
        <v>221</v>
      </c>
      <c r="T232" s="396" t="s">
        <v>221</v>
      </c>
      <c r="U232" s="396" t="s">
        <v>221</v>
      </c>
      <c r="V232" s="273" t="s">
        <v>221</v>
      </c>
      <c r="W232" s="396" t="s">
        <v>221</v>
      </c>
      <c r="X232" s="396" t="s">
        <v>221</v>
      </c>
      <c r="Y232" s="396" t="s">
        <v>221</v>
      </c>
      <c r="Z232" s="396" t="s">
        <v>221</v>
      </c>
      <c r="AA232" s="273" t="s">
        <v>221</v>
      </c>
      <c r="AB232" s="396" t="s">
        <v>221</v>
      </c>
      <c r="AC232" s="396" t="s">
        <v>221</v>
      </c>
      <c r="AD232" s="396" t="s">
        <v>221</v>
      </c>
      <c r="AE232" s="396" t="s">
        <v>221</v>
      </c>
      <c r="AF232" s="273" t="s">
        <v>221</v>
      </c>
      <c r="AG232" s="396" t="s">
        <v>221</v>
      </c>
      <c r="AH232" s="396" t="s">
        <v>221</v>
      </c>
      <c r="AI232" s="396" t="s">
        <v>221</v>
      </c>
      <c r="AJ232" s="396" t="s">
        <v>221</v>
      </c>
      <c r="AK232" s="273" t="s">
        <v>221</v>
      </c>
      <c r="AL232" s="397">
        <f t="shared" si="280"/>
        <v>0</v>
      </c>
      <c r="AM232" s="397">
        <f t="shared" si="280"/>
        <v>0.32727272727272738</v>
      </c>
      <c r="AN232" s="397">
        <f t="shared" si="280"/>
        <v>0.14925373134328357</v>
      </c>
      <c r="AO232" s="397">
        <f t="shared" si="280"/>
        <v>0.29090909090909101</v>
      </c>
      <c r="AP232" s="429">
        <f t="shared" si="280"/>
        <v>0.19130434782608696</v>
      </c>
      <c r="AQ232" s="397">
        <f t="shared" si="280"/>
        <v>0.52830188679245293</v>
      </c>
      <c r="AR232" s="397">
        <f t="shared" si="280"/>
        <v>4.1095890410958846E-2</v>
      </c>
      <c r="AS232" s="397">
        <f t="shared" si="280"/>
        <v>1.298701298701288E-2</v>
      </c>
      <c r="AT232" s="397">
        <f t="shared" si="280"/>
        <v>-9.8591549295774628E-2</v>
      </c>
      <c r="AU232" s="429">
        <f t="shared" si="280"/>
        <v>8.7591240875912302E-2</v>
      </c>
      <c r="AV232" s="48">
        <f t="shared" si="281"/>
        <v>-0.18518518518518523</v>
      </c>
      <c r="AW232" s="48">
        <f t="shared" si="281"/>
        <v>-7.8947368421052655E-2</v>
      </c>
      <c r="AX232" s="48">
        <f t="shared" si="281"/>
        <v>-1.2820512820512775E-2</v>
      </c>
      <c r="AY232" s="48">
        <f t="shared" si="281"/>
        <v>0.359375</v>
      </c>
      <c r="AZ232" s="188">
        <f t="shared" si="281"/>
        <v>6.7114093959732557E-3</v>
      </c>
      <c r="BA232" s="48">
        <f t="shared" si="281"/>
        <v>6.0606060606060552E-2</v>
      </c>
      <c r="BB232" s="48">
        <f t="shared" si="281"/>
        <v>-0.2857142857142857</v>
      </c>
      <c r="BC232" s="48">
        <f t="shared" si="281"/>
        <v>-0.35064935064935066</v>
      </c>
      <c r="BD232" s="48">
        <f t="shared" si="281"/>
        <v>-0.45977011494252873</v>
      </c>
      <c r="BE232" s="188">
        <f t="shared" si="281"/>
        <v>-0.27666666666666662</v>
      </c>
      <c r="BF232" s="48">
        <f t="shared" si="281"/>
        <v>-0.17142857142857137</v>
      </c>
      <c r="BG232" s="48">
        <f t="shared" si="281"/>
        <v>0.17999999999999994</v>
      </c>
      <c r="BH232" s="48">
        <f t="shared" si="282"/>
        <v>0.54</v>
      </c>
      <c r="BI232" s="48">
        <f t="shared" si="282"/>
        <v>0.65957446808510634</v>
      </c>
      <c r="BJ232" s="188">
        <f t="shared" si="282"/>
        <v>0.25345622119815658</v>
      </c>
      <c r="BK232" s="48">
        <f t="shared" si="282"/>
        <v>3.4482758620689724E-2</v>
      </c>
      <c r="BL232" s="48">
        <f t="shared" si="282"/>
        <v>6.7796610169491567E-2</v>
      </c>
      <c r="BM232" s="48">
        <f t="shared" si="282"/>
        <v>-0.16883116883116878</v>
      </c>
      <c r="BN232" s="48">
        <f>BN164/BI164-1</f>
        <v>-8.9743589743589758E-2</v>
      </c>
      <c r="BO232" s="188">
        <f>BO164/BJ164-1</f>
        <v>-5.1470588235294157E-2</v>
      </c>
      <c r="BP232" s="48">
        <f t="shared" si="283"/>
        <v>-6.6666666666666652E-2</v>
      </c>
      <c r="BQ232" s="48">
        <f t="shared" si="283"/>
        <v>-4.7619047619047672E-2</v>
      </c>
      <c r="BR232" s="48">
        <f t="shared" si="283"/>
        <v>-0.484375</v>
      </c>
      <c r="BS232" s="48">
        <f t="shared" si="283"/>
        <v>9.8591549295774739E-2</v>
      </c>
      <c r="BT232" s="188">
        <f t="shared" si="283"/>
        <v>-0.12015503875968991</v>
      </c>
      <c r="BU232" s="48">
        <f>BU164/BP164-1</f>
        <v>-0.2857142857142857</v>
      </c>
      <c r="BV232" s="48">
        <f t="shared" si="283"/>
        <v>-3.3333333333333326E-2</v>
      </c>
      <c r="BW232" s="48">
        <f>BW164/BR164-1</f>
        <v>1.2121212121212119</v>
      </c>
      <c r="BX232" s="48">
        <f>BX164/BS164-1</f>
        <v>-0.17948717948717952</v>
      </c>
      <c r="BY232" s="188">
        <f t="shared" si="283"/>
        <v>3.524229074889873E-2</v>
      </c>
      <c r="BZ232" s="48">
        <f t="shared" si="284"/>
        <v>0.44999999999999996</v>
      </c>
      <c r="CA232" s="48">
        <f t="shared" si="284"/>
        <v>-6.8965517241379337E-2</v>
      </c>
      <c r="CB232" s="48">
        <f t="shared" si="284"/>
        <v>8.2191780821917915E-2</v>
      </c>
      <c r="CC232" s="48">
        <f t="shared" si="284"/>
        <v>0.28125</v>
      </c>
      <c r="CD232" s="188">
        <f t="shared" si="284"/>
        <v>0.16170212765957448</v>
      </c>
      <c r="CE232" s="48">
        <f t="shared" si="284"/>
        <v>0</v>
      </c>
      <c r="CF232" s="48">
        <f t="shared" si="284"/>
        <v>-1.851851851851849E-2</v>
      </c>
      <c r="CG232" s="48">
        <f t="shared" si="284"/>
        <v>-0.21518987341772156</v>
      </c>
      <c r="CH232" s="48">
        <f t="shared" si="284"/>
        <v>-0.25609756097560976</v>
      </c>
      <c r="CI232" s="188">
        <f t="shared" si="284"/>
        <v>-0.1428571428571429</v>
      </c>
      <c r="CJ232" s="48">
        <f t="shared" si="285"/>
        <v>-0.13793103448275867</v>
      </c>
      <c r="CK232" s="48">
        <f t="shared" si="285"/>
        <v>-0.13207547169811318</v>
      </c>
      <c r="CL232" s="48">
        <f t="shared" ca="1" si="285"/>
        <v>1.7659960141968911E-2</v>
      </c>
      <c r="CM232" s="48">
        <f t="shared" ca="1" si="285"/>
        <v>7.9412702319205941E-3</v>
      </c>
      <c r="CN232" s="188">
        <f t="shared" ca="1" si="285"/>
        <v>-5.7353269175430599E-2</v>
      </c>
      <c r="CO232" s="48">
        <f t="shared" ca="1" si="285"/>
        <v>3.73693414114038E-2</v>
      </c>
      <c r="CP232" s="48">
        <f t="shared" ca="1" si="285"/>
        <v>8.3776424800556581E-2</v>
      </c>
      <c r="CQ232" s="48">
        <f t="shared" ca="1" si="285"/>
        <v>5.8176278508080825E-2</v>
      </c>
      <c r="CR232" s="48">
        <f t="shared" ca="1" si="285"/>
        <v>4.9003368250266188E-2</v>
      </c>
      <c r="CS232" s="188">
        <f t="shared" ca="1" si="285"/>
        <v>5.6241685817469023E-2</v>
      </c>
      <c r="CT232" s="48">
        <f t="shared" ca="1" si="286"/>
        <v>4.5848148150444246E-2</v>
      </c>
      <c r="CU232" s="48">
        <f t="shared" ca="1" si="286"/>
        <v>4.5917216927973792E-2</v>
      </c>
      <c r="CV232" s="48">
        <f t="shared" ca="1" si="286"/>
        <v>4.0794493359827877E-2</v>
      </c>
      <c r="CW232" s="48">
        <f t="shared" ca="1" si="286"/>
        <v>4.1692043911145893E-2</v>
      </c>
      <c r="CX232" s="188">
        <f t="shared" ca="1" si="286"/>
        <v>4.3264186917871594E-2</v>
      </c>
      <c r="CY232" s="48">
        <f t="shared" ca="1" si="287"/>
        <v>4.62092273777579E-2</v>
      </c>
      <c r="CZ232" s="48">
        <f t="shared" ca="1" si="287"/>
        <v>4.8287075161667747E-2</v>
      </c>
      <c r="DA232" s="48">
        <f t="shared" ca="1" si="287"/>
        <v>4.3089423914739244E-2</v>
      </c>
      <c r="DB232" s="48">
        <f t="shared" ca="1" si="287"/>
        <v>4.5027765911122453E-2</v>
      </c>
      <c r="DC232" s="188">
        <f t="shared" ca="1" si="287"/>
        <v>4.5436488039903633E-2</v>
      </c>
      <c r="DD232" s="48">
        <f t="shared" ca="1" si="287"/>
        <v>4.9443468518226785E-2</v>
      </c>
      <c r="DE232" s="48">
        <f t="shared" ca="1" si="287"/>
        <v>5.044372230733174E-2</v>
      </c>
      <c r="DF232" s="48">
        <f t="shared" ca="1" si="287"/>
        <v>4.4991441035484581E-2</v>
      </c>
      <c r="DG232" s="48">
        <f t="shared" ca="1" si="287"/>
        <v>4.7127330635335252E-2</v>
      </c>
      <c r="DH232" s="188">
        <f t="shared" ca="1" si="287"/>
        <v>4.7748748478826375E-2</v>
      </c>
    </row>
    <row r="233" spans="1:112" ht="3.75" customHeight="1" x14ac:dyDescent="0.2">
      <c r="A233" s="98"/>
      <c r="B233" s="104"/>
      <c r="C233" s="393"/>
      <c r="D233" s="393"/>
      <c r="E233" s="393"/>
      <c r="F233" s="393"/>
      <c r="G233" s="271"/>
      <c r="H233" s="393"/>
      <c r="I233" s="393"/>
      <c r="J233" s="393"/>
      <c r="K233" s="393"/>
      <c r="L233" s="271"/>
      <c r="M233" s="393"/>
      <c r="N233" s="393"/>
      <c r="O233" s="393"/>
      <c r="P233" s="393"/>
      <c r="Q233" s="271"/>
      <c r="R233" s="393"/>
      <c r="S233" s="393"/>
      <c r="T233" s="393"/>
      <c r="U233" s="393"/>
      <c r="V233" s="271"/>
      <c r="W233" s="393"/>
      <c r="X233" s="393"/>
      <c r="Y233" s="393"/>
      <c r="Z233" s="393"/>
      <c r="AA233" s="271"/>
      <c r="AB233" s="393"/>
      <c r="AC233" s="393"/>
      <c r="AD233" s="393"/>
      <c r="AE233" s="393"/>
      <c r="AF233" s="271"/>
      <c r="AG233" s="393"/>
      <c r="AH233" s="393"/>
      <c r="AI233" s="393"/>
      <c r="AJ233" s="393"/>
      <c r="AK233" s="271"/>
      <c r="AL233" s="394"/>
      <c r="AM233" s="394"/>
      <c r="AN233" s="394"/>
      <c r="AO233" s="394"/>
      <c r="AP233" s="427"/>
      <c r="AQ233" s="394"/>
      <c r="AR233" s="394"/>
      <c r="AS233" s="394"/>
      <c r="AT233" s="394"/>
      <c r="AU233" s="427"/>
      <c r="AV233" s="47"/>
      <c r="AW233" s="47"/>
      <c r="AX233" s="47"/>
      <c r="AY233" s="47"/>
      <c r="AZ233" s="185"/>
      <c r="BA233" s="47"/>
      <c r="BB233" s="47"/>
      <c r="BC233" s="47"/>
      <c r="BD233" s="47"/>
      <c r="BE233" s="185"/>
      <c r="BF233" s="47"/>
      <c r="BG233" s="47"/>
      <c r="BH233" s="47"/>
      <c r="BI233" s="47"/>
      <c r="BJ233" s="185"/>
      <c r="BK233" s="47"/>
      <c r="BL233" s="47"/>
      <c r="BM233" s="47"/>
      <c r="BN233" s="47"/>
      <c r="BO233" s="185"/>
      <c r="BP233" s="47"/>
      <c r="BQ233" s="47"/>
      <c r="BR233" s="47"/>
      <c r="BS233" s="47"/>
      <c r="BT233" s="185"/>
      <c r="BU233" s="47"/>
      <c r="BV233" s="47"/>
      <c r="BW233" s="47"/>
      <c r="BX233" s="47"/>
      <c r="BY233" s="185"/>
      <c r="BZ233" s="47"/>
      <c r="CA233" s="47"/>
      <c r="CB233" s="47"/>
      <c r="CC233" s="47"/>
      <c r="CD233" s="185"/>
      <c r="CE233" s="47"/>
      <c r="CF233" s="47"/>
      <c r="CG233" s="47"/>
      <c r="CH233" s="47"/>
      <c r="CI233" s="185"/>
      <c r="CJ233" s="47"/>
      <c r="CK233" s="47"/>
      <c r="CL233" s="47"/>
      <c r="CM233" s="47"/>
      <c r="CN233" s="185"/>
      <c r="CO233" s="47"/>
      <c r="CP233" s="47"/>
      <c r="CQ233" s="47"/>
      <c r="CR233" s="47"/>
      <c r="CS233" s="185"/>
      <c r="CT233" s="47"/>
      <c r="CU233" s="47"/>
      <c r="CV233" s="47"/>
      <c r="CW233" s="47"/>
      <c r="CX233" s="185"/>
      <c r="CY233" s="47"/>
      <c r="CZ233" s="47"/>
      <c r="DA233" s="47"/>
      <c r="DB233" s="47"/>
      <c r="DC233" s="185"/>
      <c r="DD233" s="47"/>
      <c r="DE233" s="47"/>
      <c r="DF233" s="47"/>
      <c r="DG233" s="47"/>
      <c r="DH233" s="185"/>
    </row>
    <row r="234" spans="1:112" ht="12.75" customHeight="1" x14ac:dyDescent="0.2">
      <c r="A234" s="106" t="s">
        <v>236</v>
      </c>
      <c r="B234" s="167"/>
      <c r="C234" s="398" t="s">
        <v>221</v>
      </c>
      <c r="D234" s="398" t="s">
        <v>221</v>
      </c>
      <c r="E234" s="398" t="s">
        <v>221</v>
      </c>
      <c r="F234" s="398" t="s">
        <v>221</v>
      </c>
      <c r="G234" s="283" t="s">
        <v>221</v>
      </c>
      <c r="H234" s="398" t="s">
        <v>221</v>
      </c>
      <c r="I234" s="398" t="s">
        <v>221</v>
      </c>
      <c r="J234" s="398" t="s">
        <v>221</v>
      </c>
      <c r="K234" s="398" t="s">
        <v>221</v>
      </c>
      <c r="L234" s="283" t="s">
        <v>221</v>
      </c>
      <c r="M234" s="398" t="s">
        <v>221</v>
      </c>
      <c r="N234" s="398" t="s">
        <v>221</v>
      </c>
      <c r="O234" s="398" t="s">
        <v>221</v>
      </c>
      <c r="P234" s="398" t="s">
        <v>221</v>
      </c>
      <c r="Q234" s="283" t="s">
        <v>221</v>
      </c>
      <c r="R234" s="398" t="s">
        <v>221</v>
      </c>
      <c r="S234" s="398" t="s">
        <v>221</v>
      </c>
      <c r="T234" s="398" t="s">
        <v>221</v>
      </c>
      <c r="U234" s="398" t="s">
        <v>221</v>
      </c>
      <c r="V234" s="283" t="s">
        <v>221</v>
      </c>
      <c r="W234" s="398" t="s">
        <v>221</v>
      </c>
      <c r="X234" s="398" t="s">
        <v>221</v>
      </c>
      <c r="Y234" s="398" t="s">
        <v>221</v>
      </c>
      <c r="Z234" s="398" t="s">
        <v>221</v>
      </c>
      <c r="AA234" s="283" t="s">
        <v>221</v>
      </c>
      <c r="AB234" s="398" t="s">
        <v>221</v>
      </c>
      <c r="AC234" s="398" t="s">
        <v>221</v>
      </c>
      <c r="AD234" s="398" t="s">
        <v>221</v>
      </c>
      <c r="AE234" s="398" t="s">
        <v>221</v>
      </c>
      <c r="AF234" s="283" t="s">
        <v>221</v>
      </c>
      <c r="AG234" s="398" t="s">
        <v>221</v>
      </c>
      <c r="AH234" s="398" t="s">
        <v>221</v>
      </c>
      <c r="AI234" s="398" t="s">
        <v>221</v>
      </c>
      <c r="AJ234" s="398" t="s">
        <v>221</v>
      </c>
      <c r="AK234" s="283" t="s">
        <v>221</v>
      </c>
      <c r="AL234" s="399">
        <f t="shared" ref="AL234:BQ234" si="288">AL166/AG166-1</f>
        <v>-5.7142857142856718E-3</v>
      </c>
      <c r="AM234" s="399">
        <f t="shared" si="288"/>
        <v>-5.8823529411764719E-2</v>
      </c>
      <c r="AN234" s="399">
        <f t="shared" si="288"/>
        <v>-0.21761658031088082</v>
      </c>
      <c r="AO234" s="399">
        <f t="shared" si="288"/>
        <v>4.1841004184099972E-3</v>
      </c>
      <c r="AP234" s="430">
        <f t="shared" si="288"/>
        <v>-6.7294751009421283E-2</v>
      </c>
      <c r="AQ234" s="399">
        <f t="shared" si="288"/>
        <v>6.8965517241379226E-2</v>
      </c>
      <c r="AR234" s="399">
        <f t="shared" si="288"/>
        <v>2.34375E-2</v>
      </c>
      <c r="AS234" s="399">
        <f t="shared" si="288"/>
        <v>0.54304635761589415</v>
      </c>
      <c r="AT234" s="399">
        <f t="shared" si="288"/>
        <v>8.7499999999999911E-2</v>
      </c>
      <c r="AU234" s="430">
        <f t="shared" si="288"/>
        <v>0.17027417027417036</v>
      </c>
      <c r="AV234" s="170">
        <f t="shared" si="288"/>
        <v>0.16666666666666674</v>
      </c>
      <c r="AW234" s="170">
        <f t="shared" si="288"/>
        <v>4.5801526717557328E-2</v>
      </c>
      <c r="AX234" s="170">
        <f t="shared" si="288"/>
        <v>-0.10300429184549353</v>
      </c>
      <c r="AY234" s="170">
        <f t="shared" si="288"/>
        <v>-7.2796934865900331E-2</v>
      </c>
      <c r="AZ234" s="196">
        <f t="shared" si="288"/>
        <v>-7.3982737361282247E-3</v>
      </c>
      <c r="BA234" s="170">
        <f t="shared" si="288"/>
        <v>-6.9124423963133674E-2</v>
      </c>
      <c r="BB234" s="170">
        <f t="shared" si="288"/>
        <v>6.5693430656934337E-2</v>
      </c>
      <c r="BC234" s="170">
        <f t="shared" si="288"/>
        <v>4.7846889952153138E-2</v>
      </c>
      <c r="BD234" s="170">
        <f t="shared" si="288"/>
        <v>4.9586776859504189E-2</v>
      </c>
      <c r="BE234" s="196">
        <f t="shared" si="288"/>
        <v>1.9875776397515477E-2</v>
      </c>
      <c r="BF234" s="170">
        <f t="shared" si="288"/>
        <v>-7.4257425742574212E-2</v>
      </c>
      <c r="BG234" s="170">
        <f t="shared" si="288"/>
        <v>6.164383561643838E-2</v>
      </c>
      <c r="BH234" s="170">
        <f t="shared" si="288"/>
        <v>-9.589041095890416E-2</v>
      </c>
      <c r="BI234" s="170">
        <f t="shared" si="288"/>
        <v>-1.1811023622047223E-2</v>
      </c>
      <c r="BJ234" s="196">
        <f t="shared" si="288"/>
        <v>-3.654080389768577E-2</v>
      </c>
      <c r="BK234" s="170">
        <f t="shared" si="288"/>
        <v>3.7433155080213831E-2</v>
      </c>
      <c r="BL234" s="170">
        <f t="shared" si="288"/>
        <v>0.2129032258064516</v>
      </c>
      <c r="BM234" s="170">
        <f t="shared" si="288"/>
        <v>2.020202020202011E-2</v>
      </c>
      <c r="BN234" s="170">
        <f>BN166/BI166-1</f>
        <v>7.1713147410358502E-2</v>
      </c>
      <c r="BO234" s="196">
        <f>BO166/BJ166-1</f>
        <v>7.8381795195954451E-2</v>
      </c>
      <c r="BP234" s="170">
        <f t="shared" si="288"/>
        <v>8.7628865979381354E-2</v>
      </c>
      <c r="BQ234" s="170">
        <f t="shared" si="288"/>
        <v>-2.1276595744680882E-2</v>
      </c>
      <c r="BR234" s="170">
        <f t="shared" ref="BR234:CW234" si="289">BR166/BM166-1</f>
        <v>0.11881188118811892</v>
      </c>
      <c r="BS234" s="170">
        <f t="shared" si="289"/>
        <v>-2.2304832713754608E-2</v>
      </c>
      <c r="BT234" s="196">
        <f t="shared" si="289"/>
        <v>3.6342321219226204E-2</v>
      </c>
      <c r="BU234" s="170">
        <f>BU166/BP166-1</f>
        <v>3.3175355450236976E-2</v>
      </c>
      <c r="BV234" s="170">
        <f t="shared" si="289"/>
        <v>7.0652173913043459E-2</v>
      </c>
      <c r="BW234" s="170">
        <f t="shared" si="289"/>
        <v>-3.9823008849557473E-2</v>
      </c>
      <c r="BX234" s="170">
        <f t="shared" si="289"/>
        <v>9.8859315589353569E-2</v>
      </c>
      <c r="BY234" s="196">
        <f t="shared" si="289"/>
        <v>4.1855203619909576E-2</v>
      </c>
      <c r="BZ234" s="170">
        <f t="shared" si="289"/>
        <v>0.21100917431192667</v>
      </c>
      <c r="CA234" s="170">
        <f t="shared" si="289"/>
        <v>0.1675126903553299</v>
      </c>
      <c r="CB234" s="170">
        <f t="shared" si="289"/>
        <v>9.2165898617511566E-2</v>
      </c>
      <c r="CC234" s="170">
        <f t="shared" si="289"/>
        <v>-0.12802768166089962</v>
      </c>
      <c r="CD234" s="196">
        <f t="shared" si="289"/>
        <v>6.7318132464712299E-2</v>
      </c>
      <c r="CE234" s="170">
        <f t="shared" si="289"/>
        <v>0</v>
      </c>
      <c r="CF234" s="170">
        <f t="shared" si="289"/>
        <v>-1.3043478260869601E-2</v>
      </c>
      <c r="CG234" s="170">
        <f t="shared" si="289"/>
        <v>4.2194092827004148E-2</v>
      </c>
      <c r="CH234" s="170">
        <f t="shared" si="289"/>
        <v>0.17063492063492069</v>
      </c>
      <c r="CI234" s="196">
        <f t="shared" si="289"/>
        <v>5.0864699898270693E-2</v>
      </c>
      <c r="CJ234" s="170">
        <f t="shared" si="289"/>
        <v>5.6818181818181879E-2</v>
      </c>
      <c r="CK234" s="170">
        <f t="shared" si="289"/>
        <v>0</v>
      </c>
      <c r="CL234" s="170">
        <f t="shared" ca="1" si="289"/>
        <v>-2.7352944728892381E-2</v>
      </c>
      <c r="CM234" s="170">
        <f t="shared" ca="1" si="289"/>
        <v>1.7520025281796858E-2</v>
      </c>
      <c r="CN234" s="196">
        <f t="shared" ca="1" si="289"/>
        <v>1.2983765837457639E-2</v>
      </c>
      <c r="CO234" s="170">
        <f t="shared" ca="1" si="289"/>
        <v>2.8383516494953298E-2</v>
      </c>
      <c r="CP234" s="170">
        <f t="shared" ca="1" si="289"/>
        <v>2.4415361848634021E-2</v>
      </c>
      <c r="CQ234" s="170">
        <f t="shared" ca="1" si="289"/>
        <v>5.8403945221096265E-2</v>
      </c>
      <c r="CR234" s="170">
        <f t="shared" ca="1" si="289"/>
        <v>6.2509092088873786E-3</v>
      </c>
      <c r="CS234" s="196">
        <f t="shared" ca="1" si="289"/>
        <v>2.8066186457808229E-2</v>
      </c>
      <c r="CT234" s="170">
        <f t="shared" ca="1" si="289"/>
        <v>6.1620976368875535E-2</v>
      </c>
      <c r="CU234" s="170">
        <f t="shared" ca="1" si="289"/>
        <v>3.1204634402965059E-2</v>
      </c>
      <c r="CV234" s="170">
        <f t="shared" ca="1" si="289"/>
        <v>5.5502517883368574E-2</v>
      </c>
      <c r="CW234" s="170">
        <f t="shared" ca="1" si="289"/>
        <v>5.3883623867089891E-2</v>
      </c>
      <c r="CX234" s="196">
        <f t="shared" ref="CX234:DH234" ca="1" si="290">CX166/CS166-1</f>
        <v>5.1427560540554307E-2</v>
      </c>
      <c r="CY234" s="170">
        <f t="shared" ca="1" si="290"/>
        <v>3.250766661986848E-2</v>
      </c>
      <c r="CZ234" s="170">
        <f t="shared" ca="1" si="290"/>
        <v>3.5317155460479865E-2</v>
      </c>
      <c r="DA234" s="170">
        <f t="shared" ca="1" si="290"/>
        <v>3.2262046938196898E-2</v>
      </c>
      <c r="DB234" s="170">
        <f t="shared" ca="1" si="290"/>
        <v>2.9700663792384896E-2</v>
      </c>
      <c r="DC234" s="196">
        <f t="shared" ca="1" si="290"/>
        <v>3.2255051211300678E-2</v>
      </c>
      <c r="DD234" s="170">
        <f t="shared" ca="1" si="290"/>
        <v>3.0206510026438815E-2</v>
      </c>
      <c r="DE234" s="170">
        <f t="shared" ca="1" si="290"/>
        <v>3.2714873407275968E-2</v>
      </c>
      <c r="DF234" s="170">
        <f t="shared" ca="1" si="290"/>
        <v>2.9789877678424226E-2</v>
      </c>
      <c r="DG234" s="170">
        <f t="shared" ca="1" si="290"/>
        <v>2.7416853926696128E-2</v>
      </c>
      <c r="DH234" s="196">
        <f t="shared" ca="1" si="290"/>
        <v>2.9857878462046683E-2</v>
      </c>
    </row>
    <row r="235" spans="1:112" ht="12.75" customHeight="1" x14ac:dyDescent="0.2">
      <c r="A235" s="206"/>
      <c r="B235" s="104"/>
      <c r="C235" s="158"/>
      <c r="D235" s="158"/>
      <c r="E235" s="158"/>
      <c r="F235" s="158"/>
      <c r="G235" s="269"/>
      <c r="H235" s="158"/>
      <c r="I235" s="158"/>
      <c r="J235" s="158"/>
      <c r="K235" s="158"/>
      <c r="L235" s="269"/>
      <c r="M235" s="158"/>
      <c r="N235" s="158"/>
      <c r="O235" s="158"/>
      <c r="P235" s="158"/>
      <c r="Q235" s="269"/>
      <c r="R235" s="158"/>
      <c r="S235" s="158"/>
      <c r="T235" s="158"/>
      <c r="U235" s="158"/>
      <c r="V235" s="269"/>
      <c r="W235" s="158"/>
      <c r="X235" s="158"/>
      <c r="Y235" s="158"/>
      <c r="Z235" s="158"/>
      <c r="AA235" s="269"/>
      <c r="AB235" s="158"/>
      <c r="AC235" s="158"/>
      <c r="AD235" s="158"/>
      <c r="AE235" s="158"/>
      <c r="AF235" s="269"/>
      <c r="AG235" s="158"/>
      <c r="AH235" s="158"/>
      <c r="AI235" s="158"/>
      <c r="AJ235" s="158"/>
      <c r="AK235" s="186"/>
      <c r="AL235" s="158"/>
      <c r="AM235" s="158"/>
      <c r="AN235" s="158"/>
      <c r="AO235" s="158"/>
      <c r="AP235" s="186"/>
      <c r="AQ235" s="104"/>
      <c r="AR235" s="104"/>
      <c r="AS235" s="104"/>
      <c r="AT235" s="104"/>
      <c r="AU235" s="184"/>
      <c r="AV235" s="47"/>
      <c r="AW235" s="47"/>
      <c r="AX235" s="104"/>
      <c r="AY235" s="104"/>
      <c r="AZ235" s="186"/>
      <c r="BA235" s="99"/>
      <c r="BB235" s="99"/>
      <c r="BC235" s="99"/>
      <c r="BD235" s="99"/>
      <c r="BE235" s="186"/>
      <c r="BF235" s="99"/>
      <c r="BG235" s="99"/>
      <c r="BH235" s="99"/>
      <c r="BI235" s="99"/>
      <c r="BJ235" s="186"/>
      <c r="BK235" s="99"/>
      <c r="BL235" s="99"/>
      <c r="BM235" s="99"/>
      <c r="BN235" s="99"/>
      <c r="BO235" s="186"/>
      <c r="BP235" s="99"/>
      <c r="BQ235" s="99"/>
      <c r="BR235" s="99"/>
      <c r="BS235" s="99"/>
      <c r="BT235" s="186"/>
      <c r="BU235" s="99"/>
      <c r="BV235" s="99"/>
      <c r="BW235" s="99"/>
      <c r="BX235" s="99"/>
      <c r="BY235" s="186"/>
      <c r="BZ235" s="99"/>
      <c r="CA235" s="99"/>
      <c r="CB235" s="99"/>
      <c r="CC235" s="99"/>
      <c r="CD235" s="186"/>
      <c r="CE235" s="99"/>
      <c r="CF235" s="99"/>
      <c r="CG235" s="99"/>
      <c r="CH235" s="99"/>
      <c r="CI235" s="186"/>
      <c r="CJ235" s="99"/>
      <c r="CK235" s="99"/>
      <c r="CL235" s="99"/>
      <c r="CM235" s="99"/>
      <c r="CN235" s="186"/>
      <c r="CO235" s="99"/>
      <c r="CP235" s="99"/>
      <c r="CQ235" s="99"/>
      <c r="CR235" s="99"/>
      <c r="CS235" s="186"/>
      <c r="CT235" s="99"/>
      <c r="CU235" s="99"/>
      <c r="CV235" s="99"/>
      <c r="CW235" s="99"/>
      <c r="CX235" s="186"/>
      <c r="CY235" s="99"/>
      <c r="CZ235" s="99"/>
      <c r="DA235" s="99"/>
      <c r="DB235" s="99"/>
      <c r="DC235" s="186"/>
      <c r="DD235" s="99"/>
      <c r="DE235" s="99"/>
      <c r="DF235" s="99"/>
      <c r="DG235" s="99"/>
      <c r="DH235" s="186"/>
    </row>
    <row r="236" spans="1:112" ht="12.75" hidden="1" customHeight="1" outlineLevel="1" x14ac:dyDescent="0.2">
      <c r="A236" s="368" t="s">
        <v>239</v>
      </c>
      <c r="B236" s="104"/>
      <c r="C236" s="158"/>
      <c r="D236" s="158"/>
      <c r="E236" s="158"/>
      <c r="F236" s="158"/>
      <c r="G236" s="269"/>
      <c r="H236" s="158"/>
      <c r="I236" s="158"/>
      <c r="J236" s="158"/>
      <c r="K236" s="158"/>
      <c r="L236" s="269"/>
      <c r="M236" s="158"/>
      <c r="N236" s="158"/>
      <c r="O236" s="158"/>
      <c r="P236" s="158"/>
      <c r="Q236" s="269"/>
      <c r="R236" s="158"/>
      <c r="S236" s="158"/>
      <c r="T236" s="158"/>
      <c r="U236" s="158"/>
      <c r="V236" s="269"/>
      <c r="W236" s="158"/>
      <c r="X236" s="158"/>
      <c r="Y236" s="158"/>
      <c r="Z236" s="158"/>
      <c r="AA236" s="269"/>
      <c r="AB236" s="158"/>
      <c r="AC236" s="158"/>
      <c r="AD236" s="158"/>
      <c r="AE236" s="158"/>
      <c r="AF236" s="269"/>
      <c r="AG236" s="158"/>
      <c r="AH236" s="158"/>
      <c r="AI236" s="158"/>
      <c r="AJ236" s="158"/>
      <c r="AK236" s="186"/>
      <c r="AL236" s="158"/>
      <c r="AM236" s="158"/>
      <c r="AN236" s="158"/>
      <c r="AO236" s="158"/>
      <c r="AP236" s="186"/>
      <c r="AQ236" s="104"/>
      <c r="AR236" s="104"/>
      <c r="AS236" s="104"/>
      <c r="AT236" s="104"/>
      <c r="AU236" s="184"/>
      <c r="AV236" s="47"/>
      <c r="AW236" s="47"/>
      <c r="AX236" s="104"/>
      <c r="AY236" s="104"/>
      <c r="AZ236" s="186"/>
      <c r="BA236" s="99"/>
      <c r="BB236" s="99"/>
      <c r="BC236" s="99"/>
      <c r="BD236" s="99"/>
      <c r="BE236" s="186"/>
      <c r="BF236" s="99"/>
      <c r="BG236" s="99"/>
      <c r="BH236" s="99"/>
      <c r="BI236" s="99"/>
      <c r="BJ236" s="186"/>
      <c r="BK236" s="99"/>
      <c r="BL236" s="99"/>
      <c r="BM236" s="99"/>
      <c r="BN236" s="99"/>
      <c r="BO236" s="186"/>
      <c r="BP236" s="99"/>
      <c r="BQ236" s="99"/>
      <c r="BR236" s="99"/>
      <c r="BS236" s="99"/>
      <c r="BT236" s="186"/>
      <c r="BU236" s="99"/>
      <c r="BV236" s="99"/>
      <c r="BW236" s="99"/>
      <c r="BX236" s="99"/>
      <c r="BY236" s="186"/>
      <c r="BZ236" s="99"/>
      <c r="CA236" s="99"/>
      <c r="CB236" s="99"/>
      <c r="CC236" s="99"/>
      <c r="CD236" s="186"/>
      <c r="CE236" s="99"/>
      <c r="CF236" s="99"/>
      <c r="CG236" s="99"/>
      <c r="CH236" s="99"/>
      <c r="CI236" s="186"/>
      <c r="CJ236" s="99"/>
      <c r="CK236" s="99"/>
      <c r="CL236" s="99"/>
      <c r="CM236" s="99"/>
      <c r="CN236" s="186"/>
      <c r="CO236" s="99"/>
      <c r="CP236" s="99"/>
      <c r="CQ236" s="99"/>
      <c r="CR236" s="99"/>
      <c r="CS236" s="186"/>
      <c r="CT236" s="99"/>
      <c r="CU236" s="99"/>
      <c r="CV236" s="99"/>
      <c r="CW236" s="99"/>
      <c r="CX236" s="186"/>
      <c r="CY236" s="99"/>
      <c r="CZ236" s="99"/>
      <c r="DA236" s="99"/>
      <c r="DB236" s="99"/>
      <c r="DC236" s="186"/>
      <c r="DD236" s="99"/>
      <c r="DE236" s="99"/>
      <c r="DF236" s="99"/>
      <c r="DG236" s="99"/>
      <c r="DH236" s="186"/>
    </row>
    <row r="237" spans="1:112" ht="12.75" hidden="1" customHeight="1" outlineLevel="1" x14ac:dyDescent="0.2">
      <c r="A237" s="366" t="s">
        <v>229</v>
      </c>
      <c r="B237" s="104"/>
      <c r="C237" s="158"/>
      <c r="D237" s="158"/>
      <c r="E237" s="158"/>
      <c r="F237" s="158"/>
      <c r="G237" s="269"/>
      <c r="H237" s="158"/>
      <c r="I237" s="158"/>
      <c r="J237" s="158"/>
      <c r="K237" s="158"/>
      <c r="L237" s="269"/>
      <c r="M237" s="158"/>
      <c r="N237" s="158"/>
      <c r="O237" s="158"/>
      <c r="P237" s="158"/>
      <c r="Q237" s="269"/>
      <c r="R237" s="158"/>
      <c r="S237" s="158"/>
      <c r="T237" s="158"/>
      <c r="U237" s="158"/>
      <c r="V237" s="269"/>
      <c r="W237" s="158"/>
      <c r="X237" s="158"/>
      <c r="Y237" s="158"/>
      <c r="Z237" s="158"/>
      <c r="AA237" s="269"/>
      <c r="AB237" s="158"/>
      <c r="AC237" s="158"/>
      <c r="AD237" s="158"/>
      <c r="AE237" s="158"/>
      <c r="AF237" s="269"/>
      <c r="AG237" s="158"/>
      <c r="AH237" s="158"/>
      <c r="AI237" s="158"/>
      <c r="AJ237" s="158"/>
      <c r="AK237" s="186"/>
      <c r="AL237" s="158"/>
      <c r="AM237" s="158"/>
      <c r="AN237" s="158"/>
      <c r="AO237" s="158"/>
      <c r="AP237" s="186"/>
      <c r="AQ237" s="104"/>
      <c r="AR237" s="104"/>
      <c r="AS237" s="104"/>
      <c r="AT237" s="104"/>
      <c r="AU237" s="184"/>
      <c r="AV237" s="104"/>
      <c r="AW237" s="104"/>
      <c r="AX237" s="104"/>
      <c r="AY237" s="104"/>
      <c r="AZ237" s="186"/>
      <c r="BA237" s="99"/>
      <c r="BB237" s="99"/>
      <c r="BC237" s="99"/>
      <c r="BD237" s="99"/>
      <c r="BE237" s="186"/>
      <c r="BF237" s="99"/>
      <c r="BG237" s="99"/>
      <c r="BH237" s="99"/>
      <c r="BI237" s="99"/>
      <c r="BJ237" s="186"/>
      <c r="BK237" s="99"/>
      <c r="BL237" s="99"/>
      <c r="BM237" s="99"/>
      <c r="BN237" s="99"/>
      <c r="BO237" s="186"/>
      <c r="BP237" s="99"/>
      <c r="BQ237" s="99"/>
      <c r="BR237" s="99"/>
      <c r="BS237" s="99"/>
      <c r="BT237" s="186"/>
      <c r="BU237" s="99"/>
      <c r="BV237" s="99"/>
      <c r="BW237" s="99"/>
      <c r="BX237" s="99"/>
      <c r="BY237" s="186"/>
      <c r="BZ237" s="99"/>
      <c r="CA237" s="99"/>
      <c r="CB237" s="99"/>
      <c r="CC237" s="99"/>
      <c r="CD237" s="186"/>
      <c r="CE237" s="99"/>
      <c r="CF237" s="99"/>
      <c r="CG237" s="99"/>
      <c r="CH237" s="99"/>
      <c r="CI237" s="186"/>
      <c r="CJ237" s="99"/>
      <c r="CK237" s="99"/>
      <c r="CL237" s="99"/>
      <c r="CM237" s="99"/>
      <c r="CN237" s="186"/>
      <c r="CO237" s="99"/>
      <c r="CP237" s="99"/>
      <c r="CQ237" s="99"/>
      <c r="CR237" s="99"/>
      <c r="CS237" s="186"/>
      <c r="CT237" s="99"/>
      <c r="CU237" s="99"/>
      <c r="CV237" s="99"/>
      <c r="CW237" s="99"/>
      <c r="CX237" s="186"/>
      <c r="CY237" s="99"/>
      <c r="CZ237" s="99"/>
      <c r="DA237" s="99"/>
      <c r="DB237" s="99"/>
      <c r="DC237" s="186"/>
      <c r="DD237" s="99"/>
      <c r="DE237" s="99"/>
      <c r="DF237" s="99"/>
      <c r="DG237" s="99"/>
      <c r="DH237" s="186"/>
    </row>
    <row r="238" spans="1:112" hidden="1" outlineLevel="1" x14ac:dyDescent="0.2">
      <c r="A238" s="121" t="s">
        <v>85</v>
      </c>
      <c r="B238" s="100"/>
      <c r="C238" s="213" t="s">
        <v>221</v>
      </c>
      <c r="D238" s="213" t="s">
        <v>221</v>
      </c>
      <c r="E238" s="213" t="s">
        <v>221</v>
      </c>
      <c r="F238" s="213" t="s">
        <v>221</v>
      </c>
      <c r="G238" s="284" t="s">
        <v>221</v>
      </c>
      <c r="H238" s="213" t="s">
        <v>221</v>
      </c>
      <c r="I238" s="213" t="s">
        <v>221</v>
      </c>
      <c r="J238" s="213" t="s">
        <v>221</v>
      </c>
      <c r="K238" s="213" t="s">
        <v>221</v>
      </c>
      <c r="L238" s="284" t="s">
        <v>221</v>
      </c>
      <c r="M238" s="213">
        <f t="shared" ref="M238:AU238" si="291">M171/H171-1</f>
        <v>0.34453781512605053</v>
      </c>
      <c r="N238" s="213">
        <f t="shared" si="291"/>
        <v>0.19617224880382778</v>
      </c>
      <c r="O238" s="213">
        <f t="shared" si="291"/>
        <v>-8.2142857142857184E-2</v>
      </c>
      <c r="P238" s="213">
        <f t="shared" si="291"/>
        <v>-6.8111455108359142E-2</v>
      </c>
      <c r="Q238" s="284">
        <f t="shared" si="291"/>
        <v>7.4285714285714288E-2</v>
      </c>
      <c r="R238" s="213">
        <f t="shared" si="291"/>
        <v>-0.24687499999999996</v>
      </c>
      <c r="S238" s="213">
        <f t="shared" si="291"/>
        <v>-0.11599999999999999</v>
      </c>
      <c r="T238" s="213">
        <f t="shared" si="291"/>
        <v>3.112840466926059E-2</v>
      </c>
      <c r="U238" s="213">
        <f t="shared" si="291"/>
        <v>7.6411960132890311E-2</v>
      </c>
      <c r="V238" s="284">
        <f t="shared" si="291"/>
        <v>-6.826241134751776E-2</v>
      </c>
      <c r="W238" s="213">
        <f t="shared" si="291"/>
        <v>-4.1493775933609811E-3</v>
      </c>
      <c r="X238" s="213">
        <f t="shared" si="291"/>
        <v>0.11764705882352944</v>
      </c>
      <c r="Y238" s="213">
        <f t="shared" si="291"/>
        <v>-2.6415094339622636E-2</v>
      </c>
      <c r="Z238" s="213">
        <f t="shared" si="291"/>
        <v>-6.1728395061728669E-3</v>
      </c>
      <c r="AA238" s="284">
        <f t="shared" si="291"/>
        <v>1.5223596574690745E-2</v>
      </c>
      <c r="AB238" s="88">
        <f t="shared" si="291"/>
        <v>7.9166666666666607E-2</v>
      </c>
      <c r="AC238" s="88">
        <f t="shared" si="291"/>
        <v>-1.619433198380571E-2</v>
      </c>
      <c r="AD238" s="88">
        <f t="shared" si="291"/>
        <v>5.4263565891472965E-2</v>
      </c>
      <c r="AE238" s="88">
        <f t="shared" si="291"/>
        <v>0.10869565217391308</v>
      </c>
      <c r="AF238" s="284">
        <f t="shared" si="291"/>
        <v>5.9981255857544546E-2</v>
      </c>
      <c r="AG238" s="47">
        <f t="shared" si="291"/>
        <v>0.10810810810810811</v>
      </c>
      <c r="AH238" s="47">
        <f t="shared" si="291"/>
        <v>4.5267489711934061E-2</v>
      </c>
      <c r="AI238" s="47">
        <f t="shared" si="291"/>
        <v>0.125</v>
      </c>
      <c r="AJ238" s="47">
        <f t="shared" si="291"/>
        <v>2.8011204481792618E-3</v>
      </c>
      <c r="AK238" s="185">
        <f t="shared" si="291"/>
        <v>6.5428824049513779E-2</v>
      </c>
      <c r="AL238" s="47">
        <f t="shared" si="291"/>
        <v>-3.4843205574912606E-3</v>
      </c>
      <c r="AM238" s="47">
        <f t="shared" si="291"/>
        <v>1.1811023622047223E-2</v>
      </c>
      <c r="AN238" s="47">
        <f t="shared" si="291"/>
        <v>-3.2679738562091498E-2</v>
      </c>
      <c r="AO238" s="47">
        <f t="shared" si="291"/>
        <v>3.9106145251396551E-2</v>
      </c>
      <c r="AP238" s="185">
        <f t="shared" si="291"/>
        <v>4.9792531120331773E-3</v>
      </c>
      <c r="AQ238" s="47">
        <f t="shared" si="291"/>
        <v>0.15034965034965042</v>
      </c>
      <c r="AR238" s="47">
        <f t="shared" si="291"/>
        <v>6.2256809338521402E-2</v>
      </c>
      <c r="AS238" s="47">
        <f t="shared" si="291"/>
        <v>0.23986486486486491</v>
      </c>
      <c r="AT238" s="47">
        <f t="shared" si="291"/>
        <v>0.14784946236559149</v>
      </c>
      <c r="AU238" s="185">
        <f t="shared" si="291"/>
        <v>0.15276630883567299</v>
      </c>
      <c r="AV238" s="60" t="s">
        <v>221</v>
      </c>
      <c r="AW238" s="60" t="s">
        <v>221</v>
      </c>
      <c r="AX238" s="60" t="s">
        <v>221</v>
      </c>
      <c r="AY238" s="60" t="s">
        <v>221</v>
      </c>
      <c r="AZ238" s="267" t="s">
        <v>221</v>
      </c>
      <c r="BA238" s="198" t="s">
        <v>221</v>
      </c>
      <c r="BB238" s="198" t="s">
        <v>221</v>
      </c>
      <c r="BC238" s="198" t="s">
        <v>221</v>
      </c>
      <c r="BD238" s="198" t="s">
        <v>221</v>
      </c>
      <c r="BE238" s="267" t="s">
        <v>221</v>
      </c>
      <c r="BF238" s="198" t="s">
        <v>221</v>
      </c>
      <c r="BG238" s="198" t="s">
        <v>221</v>
      </c>
      <c r="BH238" s="198" t="s">
        <v>221</v>
      </c>
      <c r="BI238" s="198" t="s">
        <v>221</v>
      </c>
      <c r="BJ238" s="267" t="s">
        <v>221</v>
      </c>
      <c r="BK238" s="198" t="s">
        <v>221</v>
      </c>
      <c r="BL238" s="198" t="s">
        <v>221</v>
      </c>
      <c r="BM238" s="198" t="s">
        <v>221</v>
      </c>
      <c r="BN238" s="198" t="s">
        <v>221</v>
      </c>
      <c r="BO238" s="267" t="s">
        <v>221</v>
      </c>
      <c r="BP238" s="198" t="s">
        <v>221</v>
      </c>
      <c r="BQ238" s="198" t="s">
        <v>221</v>
      </c>
      <c r="BR238" s="198" t="s">
        <v>221</v>
      </c>
      <c r="BS238" s="198" t="s">
        <v>221</v>
      </c>
      <c r="BT238" s="267" t="s">
        <v>221</v>
      </c>
      <c r="BU238" s="198" t="s">
        <v>221</v>
      </c>
      <c r="BV238" s="198" t="s">
        <v>221</v>
      </c>
      <c r="BW238" s="198" t="s">
        <v>221</v>
      </c>
      <c r="BX238" s="198" t="s">
        <v>221</v>
      </c>
      <c r="BY238" s="267" t="s">
        <v>221</v>
      </c>
      <c r="BZ238" s="198" t="s">
        <v>221</v>
      </c>
      <c r="CA238" s="198" t="s">
        <v>221</v>
      </c>
      <c r="CB238" s="198" t="s">
        <v>221</v>
      </c>
      <c r="CC238" s="198" t="s">
        <v>221</v>
      </c>
      <c r="CD238" s="267" t="s">
        <v>221</v>
      </c>
      <c r="CE238" s="198" t="s">
        <v>221</v>
      </c>
      <c r="CF238" s="198" t="s">
        <v>221</v>
      </c>
      <c r="CG238" s="198" t="s">
        <v>221</v>
      </c>
      <c r="CH238" s="198" t="s">
        <v>221</v>
      </c>
      <c r="CI238" s="267" t="s">
        <v>221</v>
      </c>
      <c r="CJ238" s="198" t="s">
        <v>221</v>
      </c>
      <c r="CK238" s="198" t="s">
        <v>221</v>
      </c>
      <c r="CL238" s="198" t="s">
        <v>221</v>
      </c>
      <c r="CM238" s="198" t="s">
        <v>221</v>
      </c>
      <c r="CN238" s="267" t="s">
        <v>221</v>
      </c>
      <c r="CO238" s="198" t="s">
        <v>221</v>
      </c>
      <c r="CP238" s="198" t="s">
        <v>221</v>
      </c>
      <c r="CQ238" s="198" t="s">
        <v>221</v>
      </c>
      <c r="CR238" s="198" t="s">
        <v>221</v>
      </c>
      <c r="CS238" s="267" t="s">
        <v>221</v>
      </c>
      <c r="CT238" s="198" t="s">
        <v>221</v>
      </c>
      <c r="CU238" s="198" t="s">
        <v>221</v>
      </c>
      <c r="CV238" s="198" t="s">
        <v>221</v>
      </c>
      <c r="CW238" s="198" t="s">
        <v>221</v>
      </c>
      <c r="CX238" s="267" t="s">
        <v>221</v>
      </c>
      <c r="CY238" s="198" t="s">
        <v>221</v>
      </c>
      <c r="CZ238" s="198" t="s">
        <v>221</v>
      </c>
      <c r="DA238" s="198" t="s">
        <v>221</v>
      </c>
      <c r="DB238" s="198" t="s">
        <v>221</v>
      </c>
      <c r="DC238" s="267" t="s">
        <v>221</v>
      </c>
      <c r="DD238" s="198" t="s">
        <v>221</v>
      </c>
      <c r="DE238" s="198" t="s">
        <v>221</v>
      </c>
      <c r="DF238" s="198" t="s">
        <v>221</v>
      </c>
      <c r="DG238" s="198" t="s">
        <v>221</v>
      </c>
      <c r="DH238" s="267" t="s">
        <v>221</v>
      </c>
    </row>
    <row r="239" spans="1:112" hidden="1" outlineLevel="2" x14ac:dyDescent="0.2">
      <c r="A239" s="121" t="s">
        <v>97</v>
      </c>
      <c r="B239" s="100"/>
      <c r="C239" s="214" t="s">
        <v>221</v>
      </c>
      <c r="D239" s="214" t="s">
        <v>221</v>
      </c>
      <c r="E239" s="214" t="s">
        <v>221</v>
      </c>
      <c r="F239" s="214" t="s">
        <v>221</v>
      </c>
      <c r="G239" s="267" t="s">
        <v>221</v>
      </c>
      <c r="H239" s="214" t="s">
        <v>221</v>
      </c>
      <c r="I239" s="214" t="s">
        <v>221</v>
      </c>
      <c r="J239" s="214" t="s">
        <v>221</v>
      </c>
      <c r="K239" s="214" t="s">
        <v>221</v>
      </c>
      <c r="L239" s="267" t="s">
        <v>221</v>
      </c>
      <c r="M239" s="214">
        <f t="shared" ref="M239:V244" si="292">M172/H172-1</f>
        <v>0.46099290780141855</v>
      </c>
      <c r="N239" s="214">
        <f t="shared" si="292"/>
        <v>0.19199999999999995</v>
      </c>
      <c r="O239" s="214">
        <f t="shared" si="292"/>
        <v>-3.9370078740157521E-2</v>
      </c>
      <c r="P239" s="214">
        <f t="shared" si="292"/>
        <v>-8.4507042253521125E-2</v>
      </c>
      <c r="Q239" s="267">
        <f t="shared" si="292"/>
        <v>0.13457943925233651</v>
      </c>
      <c r="R239" s="214">
        <f t="shared" si="292"/>
        <v>-0.23786407766990292</v>
      </c>
      <c r="S239" s="214">
        <f t="shared" si="292"/>
        <v>-4.6979865771812124E-2</v>
      </c>
      <c r="T239" s="214">
        <f t="shared" si="292"/>
        <v>0.35245901639344268</v>
      </c>
      <c r="U239" s="214">
        <f t="shared" si="292"/>
        <v>0.30769230769230771</v>
      </c>
      <c r="V239" s="267">
        <f t="shared" si="292"/>
        <v>4.4481054365733019E-2</v>
      </c>
      <c r="W239" s="214">
        <f t="shared" ref="W239:AF244" si="293">W172/R172-1</f>
        <v>6.3694267515923553E-2</v>
      </c>
      <c r="X239" s="214">
        <f t="shared" si="293"/>
        <v>9.1549295774647987E-2</v>
      </c>
      <c r="Y239" s="214">
        <f t="shared" si="293"/>
        <v>-1.8181818181818188E-2</v>
      </c>
      <c r="Z239" s="214">
        <f t="shared" si="293"/>
        <v>-0.12941176470588234</v>
      </c>
      <c r="AA239" s="267">
        <f t="shared" si="293"/>
        <v>-3.154574132492094E-3</v>
      </c>
      <c r="AB239" s="88">
        <f t="shared" si="293"/>
        <v>1.7964071856287456E-2</v>
      </c>
      <c r="AC239" s="88">
        <f t="shared" si="293"/>
        <v>3.8709677419354938E-2</v>
      </c>
      <c r="AD239" s="88">
        <f t="shared" si="293"/>
        <v>0</v>
      </c>
      <c r="AE239" s="88">
        <f t="shared" si="293"/>
        <v>0.20270270270270263</v>
      </c>
      <c r="AF239" s="267">
        <f t="shared" si="293"/>
        <v>6.1708860759493778E-2</v>
      </c>
      <c r="AG239" s="47">
        <f t="shared" ref="AG239:AK244" si="294">AG172/AB172-1</f>
        <v>4.705882352941182E-2</v>
      </c>
      <c r="AH239" s="47">
        <f t="shared" si="294"/>
        <v>-8.6956521739130488E-2</v>
      </c>
      <c r="AI239" s="47">
        <f t="shared" si="294"/>
        <v>8.0246913580246826E-2</v>
      </c>
      <c r="AJ239" s="47">
        <f t="shared" si="294"/>
        <v>-3.9325842696629199E-2</v>
      </c>
      <c r="AK239" s="185">
        <f t="shared" si="294"/>
        <v>0</v>
      </c>
      <c r="AL239" s="60" t="s">
        <v>221</v>
      </c>
      <c r="AM239" s="60" t="s">
        <v>221</v>
      </c>
      <c r="AN239" s="60" t="s">
        <v>221</v>
      </c>
      <c r="AO239" s="60" t="s">
        <v>221</v>
      </c>
      <c r="AP239" s="267" t="s">
        <v>221</v>
      </c>
      <c r="AQ239" s="60" t="s">
        <v>221</v>
      </c>
      <c r="AR239" s="60" t="s">
        <v>221</v>
      </c>
      <c r="AS239" s="60" t="s">
        <v>221</v>
      </c>
      <c r="AT239" s="60" t="s">
        <v>221</v>
      </c>
      <c r="AU239" s="267" t="s">
        <v>221</v>
      </c>
      <c r="AV239" s="60" t="s">
        <v>221</v>
      </c>
      <c r="AW239" s="60" t="s">
        <v>221</v>
      </c>
      <c r="AX239" s="60" t="s">
        <v>221</v>
      </c>
      <c r="AY239" s="60" t="s">
        <v>221</v>
      </c>
      <c r="AZ239" s="267" t="s">
        <v>221</v>
      </c>
      <c r="BA239" s="198" t="s">
        <v>221</v>
      </c>
      <c r="BB239" s="198" t="s">
        <v>221</v>
      </c>
      <c r="BC239" s="198" t="s">
        <v>221</v>
      </c>
      <c r="BD239" s="198" t="s">
        <v>221</v>
      </c>
      <c r="BE239" s="267" t="s">
        <v>221</v>
      </c>
      <c r="BF239" s="198" t="s">
        <v>221</v>
      </c>
      <c r="BG239" s="198" t="s">
        <v>221</v>
      </c>
      <c r="BH239" s="198" t="s">
        <v>221</v>
      </c>
      <c r="BI239" s="198" t="s">
        <v>221</v>
      </c>
      <c r="BJ239" s="267" t="s">
        <v>221</v>
      </c>
      <c r="BK239" s="198" t="s">
        <v>221</v>
      </c>
      <c r="BL239" s="198" t="s">
        <v>221</v>
      </c>
      <c r="BM239" s="198" t="s">
        <v>221</v>
      </c>
      <c r="BN239" s="198" t="s">
        <v>221</v>
      </c>
      <c r="BO239" s="267" t="s">
        <v>221</v>
      </c>
      <c r="BP239" s="198" t="s">
        <v>221</v>
      </c>
      <c r="BQ239" s="198" t="s">
        <v>221</v>
      </c>
      <c r="BR239" s="198" t="s">
        <v>221</v>
      </c>
      <c r="BS239" s="198" t="s">
        <v>221</v>
      </c>
      <c r="BT239" s="267" t="s">
        <v>221</v>
      </c>
      <c r="BU239" s="198" t="s">
        <v>221</v>
      </c>
      <c r="BV239" s="198" t="s">
        <v>221</v>
      </c>
      <c r="BW239" s="198" t="s">
        <v>221</v>
      </c>
      <c r="BX239" s="198" t="s">
        <v>221</v>
      </c>
      <c r="BY239" s="267" t="s">
        <v>221</v>
      </c>
      <c r="BZ239" s="198" t="s">
        <v>221</v>
      </c>
      <c r="CA239" s="198" t="s">
        <v>221</v>
      </c>
      <c r="CB239" s="198" t="s">
        <v>221</v>
      </c>
      <c r="CC239" s="198" t="s">
        <v>221</v>
      </c>
      <c r="CD239" s="267" t="s">
        <v>221</v>
      </c>
      <c r="CE239" s="198" t="s">
        <v>221</v>
      </c>
      <c r="CF239" s="198" t="s">
        <v>221</v>
      </c>
      <c r="CG239" s="198" t="s">
        <v>221</v>
      </c>
      <c r="CH239" s="198" t="s">
        <v>221</v>
      </c>
      <c r="CI239" s="267" t="s">
        <v>221</v>
      </c>
      <c r="CJ239" s="198" t="s">
        <v>221</v>
      </c>
      <c r="CK239" s="198" t="s">
        <v>221</v>
      </c>
      <c r="CL239" s="198" t="s">
        <v>221</v>
      </c>
      <c r="CM239" s="198" t="s">
        <v>221</v>
      </c>
      <c r="CN239" s="267" t="s">
        <v>221</v>
      </c>
      <c r="CO239" s="198" t="s">
        <v>221</v>
      </c>
      <c r="CP239" s="198" t="s">
        <v>221</v>
      </c>
      <c r="CQ239" s="198" t="s">
        <v>221</v>
      </c>
      <c r="CR239" s="198" t="s">
        <v>221</v>
      </c>
      <c r="CS239" s="267" t="s">
        <v>221</v>
      </c>
      <c r="CT239" s="198" t="s">
        <v>221</v>
      </c>
      <c r="CU239" s="198" t="s">
        <v>221</v>
      </c>
      <c r="CV239" s="198" t="s">
        <v>221</v>
      </c>
      <c r="CW239" s="198" t="s">
        <v>221</v>
      </c>
      <c r="CX239" s="267" t="s">
        <v>221</v>
      </c>
      <c r="CY239" s="198" t="s">
        <v>221</v>
      </c>
      <c r="CZ239" s="198" t="s">
        <v>221</v>
      </c>
      <c r="DA239" s="198" t="s">
        <v>221</v>
      </c>
      <c r="DB239" s="198" t="s">
        <v>221</v>
      </c>
      <c r="DC239" s="267" t="s">
        <v>221</v>
      </c>
      <c r="DD239" s="198" t="s">
        <v>221</v>
      </c>
      <c r="DE239" s="198" t="s">
        <v>221</v>
      </c>
      <c r="DF239" s="198" t="s">
        <v>221</v>
      </c>
      <c r="DG239" s="198" t="s">
        <v>221</v>
      </c>
      <c r="DH239" s="267" t="s">
        <v>221</v>
      </c>
    </row>
    <row r="240" spans="1:112" hidden="1" outlineLevel="2" x14ac:dyDescent="0.2">
      <c r="A240" s="121" t="s">
        <v>87</v>
      </c>
      <c r="B240" s="100"/>
      <c r="C240" s="214" t="s">
        <v>221</v>
      </c>
      <c r="D240" s="214" t="s">
        <v>221</v>
      </c>
      <c r="E240" s="214" t="s">
        <v>221</v>
      </c>
      <c r="F240" s="214" t="s">
        <v>221</v>
      </c>
      <c r="G240" s="267" t="s">
        <v>221</v>
      </c>
      <c r="H240" s="214" t="s">
        <v>221</v>
      </c>
      <c r="I240" s="214" t="s">
        <v>221</v>
      </c>
      <c r="J240" s="214" t="s">
        <v>221</v>
      </c>
      <c r="K240" s="214" t="s">
        <v>221</v>
      </c>
      <c r="L240" s="267" t="s">
        <v>221</v>
      </c>
      <c r="M240" s="214">
        <f t="shared" si="292"/>
        <v>0.17525773195876293</v>
      </c>
      <c r="N240" s="214">
        <f t="shared" si="292"/>
        <v>0.20238095238095233</v>
      </c>
      <c r="O240" s="214">
        <f t="shared" si="292"/>
        <v>-0.11764705882352944</v>
      </c>
      <c r="P240" s="214">
        <f t="shared" si="292"/>
        <v>-5.5248618784530357E-2</v>
      </c>
      <c r="Q240" s="267">
        <f t="shared" si="292"/>
        <v>1.1650485436893288E-2</v>
      </c>
      <c r="R240" s="214">
        <f t="shared" si="292"/>
        <v>-0.26315789473684215</v>
      </c>
      <c r="S240" s="214">
        <f t="shared" si="292"/>
        <v>-0.21782178217821779</v>
      </c>
      <c r="T240" s="214">
        <f t="shared" si="292"/>
        <v>-0.2592592592592593</v>
      </c>
      <c r="U240" s="214">
        <f t="shared" si="292"/>
        <v>-9.9415204678362623E-2</v>
      </c>
      <c r="V240" s="267">
        <f t="shared" si="292"/>
        <v>-0.19961612284069097</v>
      </c>
      <c r="W240" s="214">
        <f t="shared" si="293"/>
        <v>-0.13095238095238093</v>
      </c>
      <c r="X240" s="214">
        <f t="shared" si="293"/>
        <v>0.16455696202531644</v>
      </c>
      <c r="Y240" s="214">
        <f t="shared" si="293"/>
        <v>-4.0000000000000036E-2</v>
      </c>
      <c r="Z240" s="214">
        <f t="shared" si="293"/>
        <v>0.12987012987012991</v>
      </c>
      <c r="AA240" s="267">
        <f t="shared" si="293"/>
        <v>4.3165467625899234E-2</v>
      </c>
      <c r="AB240" s="88">
        <f t="shared" si="293"/>
        <v>0.21917808219178081</v>
      </c>
      <c r="AC240" s="88">
        <f t="shared" si="293"/>
        <v>-0.10869565217391308</v>
      </c>
      <c r="AD240" s="88">
        <f t="shared" si="293"/>
        <v>0.14583333333333326</v>
      </c>
      <c r="AE240" s="88">
        <f t="shared" si="293"/>
        <v>2.8735632183908066E-2</v>
      </c>
      <c r="AF240" s="267">
        <f t="shared" si="293"/>
        <v>5.7471264367816133E-2</v>
      </c>
      <c r="AG240" s="47">
        <f t="shared" si="294"/>
        <v>0.22471910112359561</v>
      </c>
      <c r="AH240" s="47">
        <f t="shared" si="294"/>
        <v>0.30487804878048785</v>
      </c>
      <c r="AI240" s="47">
        <f t="shared" si="294"/>
        <v>0.19090909090909092</v>
      </c>
      <c r="AJ240" s="47">
        <f t="shared" si="294"/>
        <v>4.4692737430167551E-2</v>
      </c>
      <c r="AK240" s="185">
        <f t="shared" si="294"/>
        <v>0.16086956521739126</v>
      </c>
      <c r="AL240" s="60" t="s">
        <v>221</v>
      </c>
      <c r="AM240" s="60" t="s">
        <v>221</v>
      </c>
      <c r="AN240" s="60" t="s">
        <v>221</v>
      </c>
      <c r="AO240" s="60" t="s">
        <v>221</v>
      </c>
      <c r="AP240" s="267" t="s">
        <v>221</v>
      </c>
      <c r="AQ240" s="60" t="s">
        <v>221</v>
      </c>
      <c r="AR240" s="60" t="s">
        <v>221</v>
      </c>
      <c r="AS240" s="60" t="s">
        <v>221</v>
      </c>
      <c r="AT240" s="60" t="s">
        <v>221</v>
      </c>
      <c r="AU240" s="267" t="s">
        <v>221</v>
      </c>
      <c r="AV240" s="60" t="s">
        <v>221</v>
      </c>
      <c r="AW240" s="60" t="s">
        <v>221</v>
      </c>
      <c r="AX240" s="60" t="s">
        <v>221</v>
      </c>
      <c r="AY240" s="60" t="s">
        <v>221</v>
      </c>
      <c r="AZ240" s="267" t="s">
        <v>221</v>
      </c>
      <c r="BA240" s="198" t="s">
        <v>221</v>
      </c>
      <c r="BB240" s="198" t="s">
        <v>221</v>
      </c>
      <c r="BC240" s="198" t="s">
        <v>221</v>
      </c>
      <c r="BD240" s="198" t="s">
        <v>221</v>
      </c>
      <c r="BE240" s="267" t="s">
        <v>221</v>
      </c>
      <c r="BF240" s="198" t="s">
        <v>221</v>
      </c>
      <c r="BG240" s="198" t="s">
        <v>221</v>
      </c>
      <c r="BH240" s="198" t="s">
        <v>221</v>
      </c>
      <c r="BI240" s="198" t="s">
        <v>221</v>
      </c>
      <c r="BJ240" s="267" t="s">
        <v>221</v>
      </c>
      <c r="BK240" s="198" t="s">
        <v>221</v>
      </c>
      <c r="BL240" s="198" t="s">
        <v>221</v>
      </c>
      <c r="BM240" s="198" t="s">
        <v>221</v>
      </c>
      <c r="BN240" s="198" t="s">
        <v>221</v>
      </c>
      <c r="BO240" s="267" t="s">
        <v>221</v>
      </c>
      <c r="BP240" s="198" t="s">
        <v>221</v>
      </c>
      <c r="BQ240" s="198" t="s">
        <v>221</v>
      </c>
      <c r="BR240" s="198" t="s">
        <v>221</v>
      </c>
      <c r="BS240" s="198" t="s">
        <v>221</v>
      </c>
      <c r="BT240" s="267" t="s">
        <v>221</v>
      </c>
      <c r="BU240" s="198" t="s">
        <v>221</v>
      </c>
      <c r="BV240" s="198" t="s">
        <v>221</v>
      </c>
      <c r="BW240" s="198" t="s">
        <v>221</v>
      </c>
      <c r="BX240" s="198" t="s">
        <v>221</v>
      </c>
      <c r="BY240" s="267" t="s">
        <v>221</v>
      </c>
      <c r="BZ240" s="198" t="s">
        <v>221</v>
      </c>
      <c r="CA240" s="198" t="s">
        <v>221</v>
      </c>
      <c r="CB240" s="198" t="s">
        <v>221</v>
      </c>
      <c r="CC240" s="198" t="s">
        <v>221</v>
      </c>
      <c r="CD240" s="267" t="s">
        <v>221</v>
      </c>
      <c r="CE240" s="198" t="s">
        <v>221</v>
      </c>
      <c r="CF240" s="198" t="s">
        <v>221</v>
      </c>
      <c r="CG240" s="198" t="s">
        <v>221</v>
      </c>
      <c r="CH240" s="198" t="s">
        <v>221</v>
      </c>
      <c r="CI240" s="267" t="s">
        <v>221</v>
      </c>
      <c r="CJ240" s="198" t="s">
        <v>221</v>
      </c>
      <c r="CK240" s="198" t="s">
        <v>221</v>
      </c>
      <c r="CL240" s="198" t="s">
        <v>221</v>
      </c>
      <c r="CM240" s="198" t="s">
        <v>221</v>
      </c>
      <c r="CN240" s="267" t="s">
        <v>221</v>
      </c>
      <c r="CO240" s="198" t="s">
        <v>221</v>
      </c>
      <c r="CP240" s="198" t="s">
        <v>221</v>
      </c>
      <c r="CQ240" s="198" t="s">
        <v>221</v>
      </c>
      <c r="CR240" s="198" t="s">
        <v>221</v>
      </c>
      <c r="CS240" s="267" t="s">
        <v>221</v>
      </c>
      <c r="CT240" s="198" t="s">
        <v>221</v>
      </c>
      <c r="CU240" s="198" t="s">
        <v>221</v>
      </c>
      <c r="CV240" s="198" t="s">
        <v>221</v>
      </c>
      <c r="CW240" s="198" t="s">
        <v>221</v>
      </c>
      <c r="CX240" s="267" t="s">
        <v>221</v>
      </c>
      <c r="CY240" s="198" t="s">
        <v>221</v>
      </c>
      <c r="CZ240" s="198" t="s">
        <v>221</v>
      </c>
      <c r="DA240" s="198" t="s">
        <v>221</v>
      </c>
      <c r="DB240" s="198" t="s">
        <v>221</v>
      </c>
      <c r="DC240" s="267" t="s">
        <v>221</v>
      </c>
      <c r="DD240" s="198" t="s">
        <v>221</v>
      </c>
      <c r="DE240" s="198" t="s">
        <v>221</v>
      </c>
      <c r="DF240" s="198" t="s">
        <v>221</v>
      </c>
      <c r="DG240" s="198" t="s">
        <v>221</v>
      </c>
      <c r="DH240" s="267" t="s">
        <v>221</v>
      </c>
    </row>
    <row r="241" spans="1:112" hidden="1" outlineLevel="1" collapsed="1" x14ac:dyDescent="0.2">
      <c r="A241" s="367" t="s">
        <v>88</v>
      </c>
      <c r="B241" s="171"/>
      <c r="C241" s="204" t="s">
        <v>221</v>
      </c>
      <c r="D241" s="204" t="s">
        <v>221</v>
      </c>
      <c r="E241" s="204" t="s">
        <v>221</v>
      </c>
      <c r="F241" s="204" t="s">
        <v>221</v>
      </c>
      <c r="G241" s="268" t="s">
        <v>221</v>
      </c>
      <c r="H241" s="204" t="s">
        <v>221</v>
      </c>
      <c r="I241" s="204" t="s">
        <v>221</v>
      </c>
      <c r="J241" s="204" t="s">
        <v>221</v>
      </c>
      <c r="K241" s="204" t="s">
        <v>221</v>
      </c>
      <c r="L241" s="268" t="s">
        <v>221</v>
      </c>
      <c r="M241" s="204">
        <f t="shared" si="292"/>
        <v>-0.23809523809523814</v>
      </c>
      <c r="N241" s="204">
        <f t="shared" si="292"/>
        <v>-0.6785714285714286</v>
      </c>
      <c r="O241" s="204">
        <f t="shared" si="292"/>
        <v>-1.4109589041095889</v>
      </c>
      <c r="P241" s="204">
        <f t="shared" si="292"/>
        <v>1.1538461538461537</v>
      </c>
      <c r="Q241" s="268">
        <f t="shared" si="292"/>
        <v>-1.9701492537313432</v>
      </c>
      <c r="R241" s="204">
        <f t="shared" si="292"/>
        <v>0.8125</v>
      </c>
      <c r="S241" s="204">
        <f t="shared" si="292"/>
        <v>-4.5555555555555554</v>
      </c>
      <c r="T241" s="204">
        <f t="shared" si="292"/>
        <v>6.6666666666666652E-2</v>
      </c>
      <c r="U241" s="204">
        <f t="shared" si="292"/>
        <v>-0.2142857142857143</v>
      </c>
      <c r="V241" s="268">
        <f t="shared" si="292"/>
        <v>0.76923076923076916</v>
      </c>
      <c r="W241" s="204">
        <f t="shared" si="293"/>
        <v>-3.4482758620689613E-2</v>
      </c>
      <c r="X241" s="204">
        <f t="shared" si="293"/>
        <v>0.1875</v>
      </c>
      <c r="Y241" s="204">
        <f t="shared" si="293"/>
        <v>-0.1875</v>
      </c>
      <c r="Z241" s="204">
        <f t="shared" si="293"/>
        <v>0.27272727272727271</v>
      </c>
      <c r="AA241" s="268">
        <f t="shared" si="293"/>
        <v>4.3478260869565188E-2</v>
      </c>
      <c r="AB241" s="150">
        <f t="shared" si="293"/>
        <v>0.25</v>
      </c>
      <c r="AC241" s="150">
        <f t="shared" si="293"/>
        <v>-0.13157894736842102</v>
      </c>
      <c r="AD241" s="150">
        <f t="shared" si="293"/>
        <v>0.26923076923076916</v>
      </c>
      <c r="AE241" s="150">
        <f t="shared" si="293"/>
        <v>0</v>
      </c>
      <c r="AF241" s="268">
        <f t="shared" si="293"/>
        <v>7.4999999999999956E-2</v>
      </c>
      <c r="AG241" s="199">
        <f t="shared" si="294"/>
        <v>-2.8571428571428581E-2</v>
      </c>
      <c r="AH241" s="199">
        <f t="shared" si="294"/>
        <v>3.0303030303030276E-2</v>
      </c>
      <c r="AI241" s="199">
        <f t="shared" si="294"/>
        <v>0.1515151515151516</v>
      </c>
      <c r="AJ241" s="199">
        <f t="shared" si="294"/>
        <v>0.25</v>
      </c>
      <c r="AK241" s="235">
        <f t="shared" si="294"/>
        <v>9.3023255813953432E-2</v>
      </c>
      <c r="AL241" s="199">
        <f t="shared" ref="AL241:AU244" si="295">AL174/AG174-1</f>
        <v>8.8235294117646967E-2</v>
      </c>
      <c r="AM241" s="199">
        <f t="shared" si="295"/>
        <v>0.11764705882352944</v>
      </c>
      <c r="AN241" s="199">
        <f t="shared" si="295"/>
        <v>-0.15789473684210531</v>
      </c>
      <c r="AO241" s="199">
        <f t="shared" si="295"/>
        <v>0.11428571428571432</v>
      </c>
      <c r="AP241" s="235">
        <f t="shared" si="295"/>
        <v>3.5460992907801359E-2</v>
      </c>
      <c r="AQ241" s="199">
        <f t="shared" si="295"/>
        <v>-0.21621621621621623</v>
      </c>
      <c r="AR241" s="199">
        <f t="shared" si="295"/>
        <v>-0.23684210526315785</v>
      </c>
      <c r="AS241" s="199">
        <f t="shared" si="295"/>
        <v>0.28125</v>
      </c>
      <c r="AT241" s="199">
        <f t="shared" si="295"/>
        <v>-0.10256410256410253</v>
      </c>
      <c r="AU241" s="235">
        <f t="shared" si="295"/>
        <v>-8.2191780821917804E-2</v>
      </c>
      <c r="AV241" s="215" t="s">
        <v>221</v>
      </c>
      <c r="AW241" s="215" t="s">
        <v>221</v>
      </c>
      <c r="AX241" s="215" t="s">
        <v>221</v>
      </c>
      <c r="AY241" s="215" t="s">
        <v>221</v>
      </c>
      <c r="AZ241" s="268" t="s">
        <v>221</v>
      </c>
      <c r="BA241" s="220" t="s">
        <v>221</v>
      </c>
      <c r="BB241" s="220" t="s">
        <v>221</v>
      </c>
      <c r="BC241" s="220" t="s">
        <v>221</v>
      </c>
      <c r="BD241" s="220" t="s">
        <v>221</v>
      </c>
      <c r="BE241" s="268" t="s">
        <v>221</v>
      </c>
      <c r="BF241" s="220" t="s">
        <v>221</v>
      </c>
      <c r="BG241" s="220" t="s">
        <v>221</v>
      </c>
      <c r="BH241" s="220" t="s">
        <v>221</v>
      </c>
      <c r="BI241" s="220" t="s">
        <v>221</v>
      </c>
      <c r="BJ241" s="268" t="s">
        <v>221</v>
      </c>
      <c r="BK241" s="220" t="s">
        <v>221</v>
      </c>
      <c r="BL241" s="220" t="s">
        <v>221</v>
      </c>
      <c r="BM241" s="220" t="s">
        <v>221</v>
      </c>
      <c r="BN241" s="220" t="s">
        <v>221</v>
      </c>
      <c r="BO241" s="268" t="s">
        <v>221</v>
      </c>
      <c r="BP241" s="220" t="s">
        <v>221</v>
      </c>
      <c r="BQ241" s="220" t="s">
        <v>221</v>
      </c>
      <c r="BR241" s="220" t="s">
        <v>221</v>
      </c>
      <c r="BS241" s="220" t="s">
        <v>221</v>
      </c>
      <c r="BT241" s="268" t="s">
        <v>221</v>
      </c>
      <c r="BU241" s="220" t="s">
        <v>221</v>
      </c>
      <c r="BV241" s="220" t="s">
        <v>221</v>
      </c>
      <c r="BW241" s="220" t="s">
        <v>221</v>
      </c>
      <c r="BX241" s="220" t="s">
        <v>221</v>
      </c>
      <c r="BY241" s="268" t="s">
        <v>221</v>
      </c>
      <c r="BZ241" s="220" t="s">
        <v>221</v>
      </c>
      <c r="CA241" s="220" t="s">
        <v>221</v>
      </c>
      <c r="CB241" s="220" t="s">
        <v>221</v>
      </c>
      <c r="CC241" s="220" t="s">
        <v>221</v>
      </c>
      <c r="CD241" s="268" t="s">
        <v>221</v>
      </c>
      <c r="CE241" s="220" t="s">
        <v>221</v>
      </c>
      <c r="CF241" s="220" t="s">
        <v>221</v>
      </c>
      <c r="CG241" s="220" t="s">
        <v>221</v>
      </c>
      <c r="CH241" s="220" t="s">
        <v>221</v>
      </c>
      <c r="CI241" s="268" t="s">
        <v>221</v>
      </c>
      <c r="CJ241" s="220" t="s">
        <v>221</v>
      </c>
      <c r="CK241" s="220" t="s">
        <v>221</v>
      </c>
      <c r="CL241" s="220" t="s">
        <v>221</v>
      </c>
      <c r="CM241" s="220" t="s">
        <v>221</v>
      </c>
      <c r="CN241" s="268" t="s">
        <v>221</v>
      </c>
      <c r="CO241" s="220" t="s">
        <v>221</v>
      </c>
      <c r="CP241" s="220" t="s">
        <v>221</v>
      </c>
      <c r="CQ241" s="220" t="s">
        <v>221</v>
      </c>
      <c r="CR241" s="220" t="s">
        <v>221</v>
      </c>
      <c r="CS241" s="268" t="s">
        <v>221</v>
      </c>
      <c r="CT241" s="220" t="s">
        <v>221</v>
      </c>
      <c r="CU241" s="220" t="s">
        <v>221</v>
      </c>
      <c r="CV241" s="220" t="s">
        <v>221</v>
      </c>
      <c r="CW241" s="220" t="s">
        <v>221</v>
      </c>
      <c r="CX241" s="268" t="s">
        <v>221</v>
      </c>
      <c r="CY241" s="220" t="s">
        <v>221</v>
      </c>
      <c r="CZ241" s="220" t="s">
        <v>221</v>
      </c>
      <c r="DA241" s="220" t="s">
        <v>221</v>
      </c>
      <c r="DB241" s="220" t="s">
        <v>221</v>
      </c>
      <c r="DC241" s="268" t="s">
        <v>221</v>
      </c>
      <c r="DD241" s="220" t="s">
        <v>221</v>
      </c>
      <c r="DE241" s="220" t="s">
        <v>221</v>
      </c>
      <c r="DF241" s="220" t="s">
        <v>221</v>
      </c>
      <c r="DG241" s="220" t="s">
        <v>221</v>
      </c>
      <c r="DH241" s="268" t="s">
        <v>221</v>
      </c>
    </row>
    <row r="242" spans="1:112" hidden="1" outlineLevel="1" x14ac:dyDescent="0.2">
      <c r="A242" s="103" t="s">
        <v>234</v>
      </c>
      <c r="B242" s="104"/>
      <c r="C242" s="229" t="s">
        <v>221</v>
      </c>
      <c r="D242" s="229" t="s">
        <v>221</v>
      </c>
      <c r="E242" s="229" t="s">
        <v>221</v>
      </c>
      <c r="F242" s="229" t="s">
        <v>221</v>
      </c>
      <c r="G242" s="292" t="s">
        <v>221</v>
      </c>
      <c r="H242" s="229" t="s">
        <v>221</v>
      </c>
      <c r="I242" s="229" t="s">
        <v>221</v>
      </c>
      <c r="J242" s="229" t="s">
        <v>221</v>
      </c>
      <c r="K242" s="229" t="s">
        <v>221</v>
      </c>
      <c r="L242" s="292" t="s">
        <v>221</v>
      </c>
      <c r="M242" s="229">
        <f t="shared" si="292"/>
        <v>0.29729729729729737</v>
      </c>
      <c r="N242" s="229">
        <f t="shared" si="292"/>
        <v>0.33149171270718236</v>
      </c>
      <c r="O242" s="229">
        <f t="shared" si="292"/>
        <v>0.38647342995169076</v>
      </c>
      <c r="P242" s="229">
        <f t="shared" si="292"/>
        <v>-2.083333333333337E-2</v>
      </c>
      <c r="Q242" s="292">
        <f t="shared" si="292"/>
        <v>0.21363173957273651</v>
      </c>
      <c r="R242" s="229">
        <f t="shared" si="292"/>
        <v>-0.1964285714285714</v>
      </c>
      <c r="S242" s="229">
        <f t="shared" si="292"/>
        <v>4.9792531120331995E-2</v>
      </c>
      <c r="T242" s="229">
        <f t="shared" si="292"/>
        <v>3.4843205574912828E-2</v>
      </c>
      <c r="U242" s="229">
        <f t="shared" si="292"/>
        <v>5.1671732522796443E-2</v>
      </c>
      <c r="V242" s="292">
        <f t="shared" si="292"/>
        <v>-2.2632020117351215E-2</v>
      </c>
      <c r="W242" s="229">
        <f t="shared" si="293"/>
        <v>-7.4074074074074181E-3</v>
      </c>
      <c r="X242" s="229">
        <f t="shared" si="293"/>
        <v>0.12648221343873511</v>
      </c>
      <c r="Y242" s="229">
        <f t="shared" si="293"/>
        <v>-4.3771043771043794E-2</v>
      </c>
      <c r="Z242" s="229">
        <f t="shared" si="293"/>
        <v>1.1560693641618602E-2</v>
      </c>
      <c r="AA242" s="292">
        <f t="shared" si="293"/>
        <v>1.8010291595197181E-2</v>
      </c>
      <c r="AB242" s="153">
        <f t="shared" si="293"/>
        <v>9.7014925373134275E-2</v>
      </c>
      <c r="AC242" s="153">
        <f t="shared" si="293"/>
        <v>-3.157894736842104E-2</v>
      </c>
      <c r="AD242" s="153">
        <f t="shared" si="293"/>
        <v>7.3943661971830998E-2</v>
      </c>
      <c r="AE242" s="153">
        <f t="shared" si="293"/>
        <v>0.10000000000000009</v>
      </c>
      <c r="AF242" s="292">
        <f t="shared" si="293"/>
        <v>6.1499578770008334E-2</v>
      </c>
      <c r="AG242" s="48">
        <f t="shared" si="294"/>
        <v>9.1836734693877542E-2</v>
      </c>
      <c r="AH242" s="48">
        <f t="shared" si="294"/>
        <v>4.3478260869565188E-2</v>
      </c>
      <c r="AI242" s="48">
        <f t="shared" si="294"/>
        <v>0.12786885245901636</v>
      </c>
      <c r="AJ242" s="48">
        <f t="shared" si="294"/>
        <v>2.0779220779220786E-2</v>
      </c>
      <c r="AK242" s="188">
        <f t="shared" si="294"/>
        <v>6.8253968253968234E-2</v>
      </c>
      <c r="AL242" s="48">
        <f t="shared" si="295"/>
        <v>6.230529595015577E-3</v>
      </c>
      <c r="AM242" s="48">
        <f t="shared" si="295"/>
        <v>2.430555555555558E-2</v>
      </c>
      <c r="AN242" s="48">
        <f t="shared" si="295"/>
        <v>-4.6511627906976716E-2</v>
      </c>
      <c r="AO242" s="48">
        <f t="shared" si="295"/>
        <v>4.5801526717557328E-2</v>
      </c>
      <c r="AP242" s="188">
        <f t="shared" si="295"/>
        <v>8.1723625557206248E-3</v>
      </c>
      <c r="AQ242" s="48">
        <f t="shared" si="295"/>
        <v>0.1083591331269349</v>
      </c>
      <c r="AR242" s="48">
        <f t="shared" si="295"/>
        <v>2.3728813559322104E-2</v>
      </c>
      <c r="AS242" s="48">
        <f t="shared" si="295"/>
        <v>0.24390243902439024</v>
      </c>
      <c r="AT242" s="48">
        <f t="shared" si="295"/>
        <v>0.12408759124087587</v>
      </c>
      <c r="AU242" s="188">
        <f t="shared" si="295"/>
        <v>0.12748710390567419</v>
      </c>
      <c r="AV242" s="66" t="s">
        <v>221</v>
      </c>
      <c r="AW242" s="66" t="s">
        <v>221</v>
      </c>
      <c r="AX242" s="66" t="s">
        <v>221</v>
      </c>
      <c r="AY242" s="66" t="s">
        <v>221</v>
      </c>
      <c r="AZ242" s="292" t="s">
        <v>221</v>
      </c>
      <c r="BA242" s="221" t="s">
        <v>221</v>
      </c>
      <c r="BB242" s="221" t="s">
        <v>221</v>
      </c>
      <c r="BC242" s="221" t="s">
        <v>221</v>
      </c>
      <c r="BD242" s="221" t="s">
        <v>221</v>
      </c>
      <c r="BE242" s="292" t="s">
        <v>221</v>
      </c>
      <c r="BF242" s="221" t="s">
        <v>221</v>
      </c>
      <c r="BG242" s="221" t="s">
        <v>221</v>
      </c>
      <c r="BH242" s="221" t="s">
        <v>221</v>
      </c>
      <c r="BI242" s="221" t="s">
        <v>221</v>
      </c>
      <c r="BJ242" s="292" t="s">
        <v>221</v>
      </c>
      <c r="BK242" s="221" t="s">
        <v>221</v>
      </c>
      <c r="BL242" s="221" t="s">
        <v>221</v>
      </c>
      <c r="BM242" s="221" t="s">
        <v>221</v>
      </c>
      <c r="BN242" s="221" t="s">
        <v>221</v>
      </c>
      <c r="BO242" s="292" t="s">
        <v>221</v>
      </c>
      <c r="BP242" s="221" t="s">
        <v>221</v>
      </c>
      <c r="BQ242" s="221" t="s">
        <v>221</v>
      </c>
      <c r="BR242" s="221" t="s">
        <v>221</v>
      </c>
      <c r="BS242" s="221" t="s">
        <v>221</v>
      </c>
      <c r="BT242" s="292" t="s">
        <v>221</v>
      </c>
      <c r="BU242" s="221" t="s">
        <v>221</v>
      </c>
      <c r="BV242" s="221" t="s">
        <v>221</v>
      </c>
      <c r="BW242" s="221" t="s">
        <v>221</v>
      </c>
      <c r="BX242" s="221" t="s">
        <v>221</v>
      </c>
      <c r="BY242" s="292" t="s">
        <v>221</v>
      </c>
      <c r="BZ242" s="221" t="s">
        <v>221</v>
      </c>
      <c r="CA242" s="221" t="s">
        <v>221</v>
      </c>
      <c r="CB242" s="221" t="s">
        <v>221</v>
      </c>
      <c r="CC242" s="221" t="s">
        <v>221</v>
      </c>
      <c r="CD242" s="292" t="s">
        <v>221</v>
      </c>
      <c r="CE242" s="221" t="s">
        <v>221</v>
      </c>
      <c r="CF242" s="221" t="s">
        <v>221</v>
      </c>
      <c r="CG242" s="221" t="s">
        <v>221</v>
      </c>
      <c r="CH242" s="221" t="s">
        <v>221</v>
      </c>
      <c r="CI242" s="292" t="s">
        <v>221</v>
      </c>
      <c r="CJ242" s="221" t="s">
        <v>221</v>
      </c>
      <c r="CK242" s="221" t="s">
        <v>221</v>
      </c>
      <c r="CL242" s="221" t="s">
        <v>221</v>
      </c>
      <c r="CM242" s="221" t="s">
        <v>221</v>
      </c>
      <c r="CN242" s="292" t="s">
        <v>221</v>
      </c>
      <c r="CO242" s="221" t="s">
        <v>221</v>
      </c>
      <c r="CP242" s="221" t="s">
        <v>221</v>
      </c>
      <c r="CQ242" s="221" t="s">
        <v>221</v>
      </c>
      <c r="CR242" s="221" t="s">
        <v>221</v>
      </c>
      <c r="CS242" s="292" t="s">
        <v>221</v>
      </c>
      <c r="CT242" s="221" t="s">
        <v>221</v>
      </c>
      <c r="CU242" s="221" t="s">
        <v>221</v>
      </c>
      <c r="CV242" s="221" t="s">
        <v>221</v>
      </c>
      <c r="CW242" s="221" t="s">
        <v>221</v>
      </c>
      <c r="CX242" s="292" t="s">
        <v>221</v>
      </c>
      <c r="CY242" s="221" t="s">
        <v>221</v>
      </c>
      <c r="CZ242" s="221" t="s">
        <v>221</v>
      </c>
      <c r="DA242" s="221" t="s">
        <v>221</v>
      </c>
      <c r="DB242" s="221" t="s">
        <v>221</v>
      </c>
      <c r="DC242" s="292" t="s">
        <v>221</v>
      </c>
      <c r="DD242" s="221" t="s">
        <v>221</v>
      </c>
      <c r="DE242" s="221" t="s">
        <v>221</v>
      </c>
      <c r="DF242" s="221" t="s">
        <v>221</v>
      </c>
      <c r="DG242" s="221" t="s">
        <v>221</v>
      </c>
      <c r="DH242" s="292" t="s">
        <v>221</v>
      </c>
    </row>
    <row r="243" spans="1:112" hidden="1" outlineLevel="1" x14ac:dyDescent="0.2">
      <c r="A243" s="117" t="s">
        <v>238</v>
      </c>
      <c r="B243" s="171"/>
      <c r="C243" s="204" t="s">
        <v>221</v>
      </c>
      <c r="D243" s="204" t="s">
        <v>221</v>
      </c>
      <c r="E243" s="204" t="s">
        <v>221</v>
      </c>
      <c r="F243" s="204" t="s">
        <v>221</v>
      </c>
      <c r="G243" s="268" t="s">
        <v>221</v>
      </c>
      <c r="H243" s="204" t="s">
        <v>221</v>
      </c>
      <c r="I243" s="204" t="s">
        <v>221</v>
      </c>
      <c r="J243" s="204" t="s">
        <v>221</v>
      </c>
      <c r="K243" s="204" t="s">
        <v>221</v>
      </c>
      <c r="L243" s="268" t="s">
        <v>221</v>
      </c>
      <c r="M243" s="204">
        <f t="shared" si="292"/>
        <v>-0.16129032258064513</v>
      </c>
      <c r="N243" s="204">
        <f t="shared" si="292"/>
        <v>4.4444444444444509E-2</v>
      </c>
      <c r="O243" s="204">
        <f t="shared" si="292"/>
        <v>-0.14503816793893132</v>
      </c>
      <c r="P243" s="204">
        <f t="shared" si="292"/>
        <v>-6.3829787234042534E-2</v>
      </c>
      <c r="Q243" s="268">
        <f t="shared" si="292"/>
        <v>-8.8235294117647078E-2</v>
      </c>
      <c r="R243" s="204">
        <f t="shared" si="292"/>
        <v>6.4102564102564097E-2</v>
      </c>
      <c r="S243" s="204">
        <f t="shared" si="292"/>
        <v>0</v>
      </c>
      <c r="T243" s="204">
        <f t="shared" si="292"/>
        <v>6.25E-2</v>
      </c>
      <c r="U243" s="204">
        <f t="shared" si="292"/>
        <v>0.10227272727272729</v>
      </c>
      <c r="V243" s="268">
        <f t="shared" si="292"/>
        <v>5.6451612903225756E-2</v>
      </c>
      <c r="W243" s="204">
        <f t="shared" si="293"/>
        <v>0.16867469879518082</v>
      </c>
      <c r="X243" s="204">
        <f t="shared" si="293"/>
        <v>9.5744680851063801E-2</v>
      </c>
      <c r="Y243" s="204">
        <f t="shared" si="293"/>
        <v>-0.1428571428571429</v>
      </c>
      <c r="Z243" s="204">
        <f t="shared" si="293"/>
        <v>3.0927835051546282E-2</v>
      </c>
      <c r="AA243" s="268">
        <f t="shared" si="293"/>
        <v>2.2900763358778553E-2</v>
      </c>
      <c r="AB243" s="150">
        <f t="shared" si="293"/>
        <v>0.12371134020618557</v>
      </c>
      <c r="AC243" s="150">
        <f t="shared" si="293"/>
        <v>0.21359223300970864</v>
      </c>
      <c r="AD243" s="150">
        <f t="shared" si="293"/>
        <v>0</v>
      </c>
      <c r="AE243" s="150">
        <f t="shared" si="293"/>
        <v>0.45999999999999996</v>
      </c>
      <c r="AF243" s="268">
        <f t="shared" si="293"/>
        <v>0.19900497512437809</v>
      </c>
      <c r="AG243" s="199">
        <f t="shared" si="294"/>
        <v>9.174311926605494E-2</v>
      </c>
      <c r="AH243" s="199">
        <f t="shared" si="294"/>
        <v>2.4000000000000021E-2</v>
      </c>
      <c r="AI243" s="199">
        <f t="shared" si="294"/>
        <v>0.22549019607843146</v>
      </c>
      <c r="AJ243" s="199">
        <f t="shared" si="294"/>
        <v>-0.17808219178082196</v>
      </c>
      <c r="AK243" s="235">
        <f t="shared" si="294"/>
        <v>2.0746887966804906E-2</v>
      </c>
      <c r="AL243" s="199">
        <f t="shared" si="295"/>
        <v>-2.5210084033613467E-2</v>
      </c>
      <c r="AM243" s="199">
        <f t="shared" si="295"/>
        <v>-3.90625E-2</v>
      </c>
      <c r="AN243" s="199">
        <f t="shared" si="295"/>
        <v>3.2000000000000028E-2</v>
      </c>
      <c r="AO243" s="199">
        <f t="shared" si="295"/>
        <v>0.14166666666666661</v>
      </c>
      <c r="AP243" s="235">
        <f t="shared" si="295"/>
        <v>2.6422764227642226E-2</v>
      </c>
      <c r="AQ243" s="199">
        <f t="shared" si="295"/>
        <v>9.4827586206896575E-2</v>
      </c>
      <c r="AR243" s="199">
        <f t="shared" si="295"/>
        <v>0</v>
      </c>
      <c r="AS243" s="199">
        <f t="shared" si="295"/>
        <v>6.2015503875969102E-2</v>
      </c>
      <c r="AT243" s="199">
        <f t="shared" si="295"/>
        <v>5.8394160583941535E-2</v>
      </c>
      <c r="AU243" s="235">
        <f t="shared" si="295"/>
        <v>5.3465346534653513E-2</v>
      </c>
      <c r="AV243" s="215" t="s">
        <v>221</v>
      </c>
      <c r="AW243" s="215" t="s">
        <v>221</v>
      </c>
      <c r="AX243" s="215" t="s">
        <v>221</v>
      </c>
      <c r="AY243" s="215" t="s">
        <v>221</v>
      </c>
      <c r="AZ243" s="268" t="s">
        <v>221</v>
      </c>
      <c r="BA243" s="220" t="s">
        <v>221</v>
      </c>
      <c r="BB243" s="220" t="s">
        <v>221</v>
      </c>
      <c r="BC243" s="220" t="s">
        <v>221</v>
      </c>
      <c r="BD243" s="220" t="s">
        <v>221</v>
      </c>
      <c r="BE243" s="268" t="s">
        <v>221</v>
      </c>
      <c r="BF243" s="220" t="s">
        <v>221</v>
      </c>
      <c r="BG243" s="220" t="s">
        <v>221</v>
      </c>
      <c r="BH243" s="220" t="s">
        <v>221</v>
      </c>
      <c r="BI243" s="220" t="s">
        <v>221</v>
      </c>
      <c r="BJ243" s="268" t="s">
        <v>221</v>
      </c>
      <c r="BK243" s="220" t="s">
        <v>221</v>
      </c>
      <c r="BL243" s="220" t="s">
        <v>221</v>
      </c>
      <c r="BM243" s="220" t="s">
        <v>221</v>
      </c>
      <c r="BN243" s="220" t="s">
        <v>221</v>
      </c>
      <c r="BO243" s="268" t="s">
        <v>221</v>
      </c>
      <c r="BP243" s="220" t="s">
        <v>221</v>
      </c>
      <c r="BQ243" s="220" t="s">
        <v>221</v>
      </c>
      <c r="BR243" s="220" t="s">
        <v>221</v>
      </c>
      <c r="BS243" s="220" t="s">
        <v>221</v>
      </c>
      <c r="BT243" s="268" t="s">
        <v>221</v>
      </c>
      <c r="BU243" s="220" t="s">
        <v>221</v>
      </c>
      <c r="BV243" s="220" t="s">
        <v>221</v>
      </c>
      <c r="BW243" s="220" t="s">
        <v>221</v>
      </c>
      <c r="BX243" s="220" t="s">
        <v>221</v>
      </c>
      <c r="BY243" s="268" t="s">
        <v>221</v>
      </c>
      <c r="BZ243" s="220" t="s">
        <v>221</v>
      </c>
      <c r="CA243" s="220" t="s">
        <v>221</v>
      </c>
      <c r="CB243" s="220" t="s">
        <v>221</v>
      </c>
      <c r="CC243" s="220" t="s">
        <v>221</v>
      </c>
      <c r="CD243" s="268" t="s">
        <v>221</v>
      </c>
      <c r="CE243" s="220" t="s">
        <v>221</v>
      </c>
      <c r="CF243" s="220" t="s">
        <v>221</v>
      </c>
      <c r="CG243" s="220" t="s">
        <v>221</v>
      </c>
      <c r="CH243" s="220" t="s">
        <v>221</v>
      </c>
      <c r="CI243" s="268" t="s">
        <v>221</v>
      </c>
      <c r="CJ243" s="220" t="s">
        <v>221</v>
      </c>
      <c r="CK243" s="220" t="s">
        <v>221</v>
      </c>
      <c r="CL243" s="220" t="s">
        <v>221</v>
      </c>
      <c r="CM243" s="220" t="s">
        <v>221</v>
      </c>
      <c r="CN243" s="268" t="s">
        <v>221</v>
      </c>
      <c r="CO243" s="220" t="s">
        <v>221</v>
      </c>
      <c r="CP243" s="220" t="s">
        <v>221</v>
      </c>
      <c r="CQ243" s="220" t="s">
        <v>221</v>
      </c>
      <c r="CR243" s="220" t="s">
        <v>221</v>
      </c>
      <c r="CS243" s="268" t="s">
        <v>221</v>
      </c>
      <c r="CT243" s="220" t="s">
        <v>221</v>
      </c>
      <c r="CU243" s="220" t="s">
        <v>221</v>
      </c>
      <c r="CV243" s="220" t="s">
        <v>221</v>
      </c>
      <c r="CW243" s="220" t="s">
        <v>221</v>
      </c>
      <c r="CX243" s="268" t="s">
        <v>221</v>
      </c>
      <c r="CY243" s="220" t="s">
        <v>221</v>
      </c>
      <c r="CZ243" s="220" t="s">
        <v>221</v>
      </c>
      <c r="DA243" s="220" t="s">
        <v>221</v>
      </c>
      <c r="DB243" s="220" t="s">
        <v>221</v>
      </c>
      <c r="DC243" s="268" t="s">
        <v>221</v>
      </c>
      <c r="DD243" s="220" t="s">
        <v>221</v>
      </c>
      <c r="DE243" s="220" t="s">
        <v>221</v>
      </c>
      <c r="DF243" s="220" t="s">
        <v>221</v>
      </c>
      <c r="DG243" s="220" t="s">
        <v>221</v>
      </c>
      <c r="DH243" s="268" t="s">
        <v>221</v>
      </c>
    </row>
    <row r="244" spans="1:112" hidden="1" outlineLevel="1" x14ac:dyDescent="0.2">
      <c r="A244" s="103" t="s">
        <v>237</v>
      </c>
      <c r="B244" s="104"/>
      <c r="C244" s="229" t="s">
        <v>221</v>
      </c>
      <c r="D244" s="229" t="s">
        <v>221</v>
      </c>
      <c r="E244" s="229" t="s">
        <v>221</v>
      </c>
      <c r="F244" s="229" t="s">
        <v>221</v>
      </c>
      <c r="G244" s="292" t="s">
        <v>221</v>
      </c>
      <c r="H244" s="229" t="s">
        <v>221</v>
      </c>
      <c r="I244" s="229" t="s">
        <v>221</v>
      </c>
      <c r="J244" s="229" t="s">
        <v>221</v>
      </c>
      <c r="K244" s="229" t="s">
        <v>221</v>
      </c>
      <c r="L244" s="292" t="s">
        <v>221</v>
      </c>
      <c r="M244" s="229">
        <f t="shared" si="292"/>
        <v>0.55421686746987953</v>
      </c>
      <c r="N244" s="229">
        <f t="shared" si="292"/>
        <v>0.61538461538461542</v>
      </c>
      <c r="O244" s="229">
        <f t="shared" si="292"/>
        <v>1.3026315789473686</v>
      </c>
      <c r="P244" s="229">
        <f t="shared" si="292"/>
        <v>-4.1322314049586639E-3</v>
      </c>
      <c r="Q244" s="292">
        <f t="shared" si="292"/>
        <v>0.4278260869565218</v>
      </c>
      <c r="R244" s="229">
        <f t="shared" si="292"/>
        <v>-0.27519379844961245</v>
      </c>
      <c r="S244" s="229">
        <f t="shared" si="292"/>
        <v>8.163265306122458E-2</v>
      </c>
      <c r="T244" s="229">
        <f t="shared" si="292"/>
        <v>1.7142857142857126E-2</v>
      </c>
      <c r="U244" s="229">
        <f t="shared" si="292"/>
        <v>3.3195020746888071E-2</v>
      </c>
      <c r="V244" s="292">
        <f t="shared" si="292"/>
        <v>-5.8465286236297209E-2</v>
      </c>
      <c r="W244" s="229">
        <f t="shared" si="293"/>
        <v>-8.5561497326203217E-2</v>
      </c>
      <c r="X244" s="229">
        <f t="shared" si="293"/>
        <v>0.14465408805031443</v>
      </c>
      <c r="Y244" s="229">
        <f t="shared" si="293"/>
        <v>2.2471910112359605E-2</v>
      </c>
      <c r="Z244" s="229">
        <f t="shared" si="293"/>
        <v>4.0160642570281624E-3</v>
      </c>
      <c r="AA244" s="292">
        <f t="shared" si="293"/>
        <v>1.5523932729624823E-2</v>
      </c>
      <c r="AB244" s="153">
        <f t="shared" si="293"/>
        <v>8.1871345029239873E-2</v>
      </c>
      <c r="AC244" s="153">
        <f t="shared" si="293"/>
        <v>-0.17032967032967028</v>
      </c>
      <c r="AD244" s="153">
        <f t="shared" si="293"/>
        <v>0.11538461538461542</v>
      </c>
      <c r="AE244" s="153">
        <f t="shared" si="293"/>
        <v>-4.4000000000000039E-2</v>
      </c>
      <c r="AF244" s="292">
        <f t="shared" si="293"/>
        <v>-8.9171974522292974E-3</v>
      </c>
      <c r="AG244" s="48">
        <f t="shared" si="294"/>
        <v>9.1891891891891841E-2</v>
      </c>
      <c r="AH244" s="48">
        <f t="shared" si="294"/>
        <v>5.9602649006622599E-2</v>
      </c>
      <c r="AI244" s="48">
        <f t="shared" si="294"/>
        <v>7.8817733990147687E-2</v>
      </c>
      <c r="AJ244" s="48">
        <f t="shared" si="294"/>
        <v>0.14225941422594146</v>
      </c>
      <c r="AK244" s="188">
        <f t="shared" si="294"/>
        <v>9.7686375321336838E-2</v>
      </c>
      <c r="AL244" s="48">
        <f t="shared" si="295"/>
        <v>2.4752475247524774E-2</v>
      </c>
      <c r="AM244" s="48">
        <f t="shared" si="295"/>
        <v>7.4999999999999956E-2</v>
      </c>
      <c r="AN244" s="48">
        <f t="shared" si="295"/>
        <v>-9.1324200913242004E-2</v>
      </c>
      <c r="AO244" s="48">
        <f t="shared" si="295"/>
        <v>3.66300366300365E-3</v>
      </c>
      <c r="AP244" s="188">
        <f t="shared" si="295"/>
        <v>-2.3419203747072626E-3</v>
      </c>
      <c r="AQ244" s="48">
        <f t="shared" si="295"/>
        <v>0.11594202898550732</v>
      </c>
      <c r="AR244" s="48">
        <f t="shared" si="295"/>
        <v>4.0697674418604723E-2</v>
      </c>
      <c r="AS244" s="48">
        <f t="shared" si="295"/>
        <v>0.36180904522613067</v>
      </c>
      <c r="AT244" s="48">
        <f t="shared" si="295"/>
        <v>0.15693430656934315</v>
      </c>
      <c r="AU244" s="188">
        <f t="shared" si="295"/>
        <v>0.17136150234741776</v>
      </c>
      <c r="AV244" s="66" t="s">
        <v>221</v>
      </c>
      <c r="AW244" s="66" t="s">
        <v>221</v>
      </c>
      <c r="AX244" s="66" t="s">
        <v>221</v>
      </c>
      <c r="AY244" s="66" t="s">
        <v>221</v>
      </c>
      <c r="AZ244" s="292" t="s">
        <v>221</v>
      </c>
      <c r="BA244" s="221" t="s">
        <v>221</v>
      </c>
      <c r="BB244" s="221" t="s">
        <v>221</v>
      </c>
      <c r="BC244" s="221" t="s">
        <v>221</v>
      </c>
      <c r="BD244" s="221" t="s">
        <v>221</v>
      </c>
      <c r="BE244" s="292" t="s">
        <v>221</v>
      </c>
      <c r="BF244" s="221" t="s">
        <v>221</v>
      </c>
      <c r="BG244" s="221" t="s">
        <v>221</v>
      </c>
      <c r="BH244" s="221" t="s">
        <v>221</v>
      </c>
      <c r="BI244" s="221" t="s">
        <v>221</v>
      </c>
      <c r="BJ244" s="292" t="s">
        <v>221</v>
      </c>
      <c r="BK244" s="221" t="s">
        <v>221</v>
      </c>
      <c r="BL244" s="221" t="s">
        <v>221</v>
      </c>
      <c r="BM244" s="221" t="s">
        <v>221</v>
      </c>
      <c r="BN244" s="221" t="s">
        <v>221</v>
      </c>
      <c r="BO244" s="292" t="s">
        <v>221</v>
      </c>
      <c r="BP244" s="221" t="s">
        <v>221</v>
      </c>
      <c r="BQ244" s="221" t="s">
        <v>221</v>
      </c>
      <c r="BR244" s="221" t="s">
        <v>221</v>
      </c>
      <c r="BS244" s="221" t="s">
        <v>221</v>
      </c>
      <c r="BT244" s="292" t="s">
        <v>221</v>
      </c>
      <c r="BU244" s="221" t="s">
        <v>221</v>
      </c>
      <c r="BV244" s="221" t="s">
        <v>221</v>
      </c>
      <c r="BW244" s="221" t="s">
        <v>221</v>
      </c>
      <c r="BX244" s="221" t="s">
        <v>221</v>
      </c>
      <c r="BY244" s="292" t="s">
        <v>221</v>
      </c>
      <c r="BZ244" s="221" t="s">
        <v>221</v>
      </c>
      <c r="CA244" s="221" t="s">
        <v>221</v>
      </c>
      <c r="CB244" s="221" t="s">
        <v>221</v>
      </c>
      <c r="CC244" s="221" t="s">
        <v>221</v>
      </c>
      <c r="CD244" s="292" t="s">
        <v>221</v>
      </c>
      <c r="CE244" s="221" t="s">
        <v>221</v>
      </c>
      <c r="CF244" s="221" t="s">
        <v>221</v>
      </c>
      <c r="CG244" s="221" t="s">
        <v>221</v>
      </c>
      <c r="CH244" s="221" t="s">
        <v>221</v>
      </c>
      <c r="CI244" s="292" t="s">
        <v>221</v>
      </c>
      <c r="CJ244" s="221" t="s">
        <v>221</v>
      </c>
      <c r="CK244" s="221" t="s">
        <v>221</v>
      </c>
      <c r="CL244" s="221" t="s">
        <v>221</v>
      </c>
      <c r="CM244" s="221" t="s">
        <v>221</v>
      </c>
      <c r="CN244" s="292" t="s">
        <v>221</v>
      </c>
      <c r="CO244" s="221" t="s">
        <v>221</v>
      </c>
      <c r="CP244" s="221" t="s">
        <v>221</v>
      </c>
      <c r="CQ244" s="221" t="s">
        <v>221</v>
      </c>
      <c r="CR244" s="221" t="s">
        <v>221</v>
      </c>
      <c r="CS244" s="292" t="s">
        <v>221</v>
      </c>
      <c r="CT244" s="221" t="s">
        <v>221</v>
      </c>
      <c r="CU244" s="221" t="s">
        <v>221</v>
      </c>
      <c r="CV244" s="221" t="s">
        <v>221</v>
      </c>
      <c r="CW244" s="221" t="s">
        <v>221</v>
      </c>
      <c r="CX244" s="292" t="s">
        <v>221</v>
      </c>
      <c r="CY244" s="221" t="s">
        <v>221</v>
      </c>
      <c r="CZ244" s="221" t="s">
        <v>221</v>
      </c>
      <c r="DA244" s="221" t="s">
        <v>221</v>
      </c>
      <c r="DB244" s="221" t="s">
        <v>221</v>
      </c>
      <c r="DC244" s="292" t="s">
        <v>221</v>
      </c>
      <c r="DD244" s="221" t="s">
        <v>221</v>
      </c>
      <c r="DE244" s="221" t="s">
        <v>221</v>
      </c>
      <c r="DF244" s="221" t="s">
        <v>221</v>
      </c>
      <c r="DG244" s="221" t="s">
        <v>221</v>
      </c>
      <c r="DH244" s="292" t="s">
        <v>221</v>
      </c>
    </row>
    <row r="245" spans="1:112" hidden="1" outlineLevel="1" x14ac:dyDescent="0.2">
      <c r="A245" s="206" t="s">
        <v>98</v>
      </c>
      <c r="B245" s="100"/>
      <c r="C245" s="216"/>
      <c r="D245" s="216"/>
      <c r="E245" s="216"/>
      <c r="F245" s="216"/>
      <c r="G245" s="293"/>
      <c r="H245" s="216"/>
      <c r="I245" s="216"/>
      <c r="J245" s="216"/>
      <c r="K245" s="216"/>
      <c r="L245" s="293"/>
      <c r="M245" s="216"/>
      <c r="N245" s="216"/>
      <c r="O245" s="216"/>
      <c r="P245" s="216"/>
      <c r="Q245" s="293"/>
      <c r="R245" s="216"/>
      <c r="S245" s="216"/>
      <c r="T245" s="216"/>
      <c r="U245" s="216"/>
      <c r="V245" s="293"/>
      <c r="W245" s="216"/>
      <c r="X245" s="216"/>
      <c r="Y245" s="216"/>
      <c r="Z245" s="216"/>
      <c r="AA245" s="293"/>
      <c r="AB245" s="151"/>
      <c r="AC245" s="151"/>
      <c r="AD245" s="151"/>
      <c r="AE245" s="151"/>
      <c r="AF245" s="293"/>
      <c r="AG245" s="203"/>
      <c r="AH245" s="203"/>
      <c r="AI245" s="203"/>
      <c r="AJ245" s="203"/>
      <c r="AK245" s="298"/>
      <c r="AL245" s="203"/>
      <c r="AM245" s="203"/>
      <c r="AN245" s="203"/>
      <c r="AO245" s="203"/>
      <c r="AP245" s="298"/>
      <c r="AQ245" s="203"/>
      <c r="AR245" s="203"/>
      <c r="AS245" s="203"/>
      <c r="AT245" s="203"/>
      <c r="AU245" s="298"/>
      <c r="AV245" s="217"/>
      <c r="AW245" s="217"/>
      <c r="AX245" s="217"/>
      <c r="AY245" s="217"/>
      <c r="AZ245" s="293"/>
      <c r="BA245" s="222"/>
      <c r="BB245" s="222"/>
      <c r="BC245" s="222"/>
      <c r="BD245" s="222"/>
      <c r="BE245" s="293"/>
      <c r="BF245" s="222"/>
      <c r="BG245" s="222"/>
      <c r="BH245" s="222"/>
      <c r="BI245" s="222"/>
      <c r="BJ245" s="293"/>
      <c r="BK245" s="222"/>
      <c r="BL245" s="222"/>
      <c r="BM245" s="222"/>
      <c r="BN245" s="222"/>
      <c r="BO245" s="293"/>
      <c r="BP245" s="222"/>
      <c r="BQ245" s="222"/>
      <c r="BR245" s="222"/>
      <c r="BS245" s="222"/>
      <c r="BT245" s="293"/>
      <c r="BU245" s="222"/>
      <c r="BV245" s="222"/>
      <c r="BW245" s="222"/>
      <c r="BX245" s="222"/>
      <c r="BY245" s="293"/>
      <c r="BZ245" s="222"/>
      <c r="CA245" s="222"/>
      <c r="CB245" s="222"/>
      <c r="CC245" s="222"/>
      <c r="CD245" s="293"/>
      <c r="CE245" s="222"/>
      <c r="CF245" s="222"/>
      <c r="CG245" s="222"/>
      <c r="CH245" s="222"/>
      <c r="CI245" s="293"/>
      <c r="CJ245" s="222"/>
      <c r="CK245" s="222"/>
      <c r="CL245" s="222"/>
      <c r="CM245" s="222"/>
      <c r="CN245" s="293"/>
      <c r="CO245" s="222"/>
      <c r="CP245" s="222"/>
      <c r="CQ245" s="222"/>
      <c r="CR245" s="222"/>
      <c r="CS245" s="293"/>
      <c r="CT245" s="222"/>
      <c r="CU245" s="222"/>
      <c r="CV245" s="222"/>
      <c r="CW245" s="222"/>
      <c r="CX245" s="293"/>
      <c r="CY245" s="222"/>
      <c r="CZ245" s="222"/>
      <c r="DA245" s="222"/>
      <c r="DB245" s="222"/>
      <c r="DC245" s="293"/>
      <c r="DD245" s="222"/>
      <c r="DE245" s="222"/>
      <c r="DF245" s="222"/>
      <c r="DG245" s="222"/>
      <c r="DH245" s="293"/>
    </row>
    <row r="246" spans="1:112" ht="4.5" hidden="1" customHeight="1" outlineLevel="1" x14ac:dyDescent="0.2">
      <c r="A246" s="206"/>
      <c r="B246" s="100"/>
      <c r="C246" s="216"/>
      <c r="D246" s="216"/>
      <c r="E246" s="216"/>
      <c r="F246" s="216"/>
      <c r="G246" s="293"/>
      <c r="H246" s="216"/>
      <c r="I246" s="216"/>
      <c r="J246" s="216"/>
      <c r="K246" s="216"/>
      <c r="L246" s="293"/>
      <c r="M246" s="216"/>
      <c r="N246" s="216"/>
      <c r="O246" s="216"/>
      <c r="P246" s="216"/>
      <c r="Q246" s="293"/>
      <c r="R246" s="216"/>
      <c r="S246" s="216"/>
      <c r="T246" s="216"/>
      <c r="U246" s="216"/>
      <c r="V246" s="293"/>
      <c r="W246" s="216"/>
      <c r="X246" s="216"/>
      <c r="Y246" s="216"/>
      <c r="Z246" s="216"/>
      <c r="AA246" s="293"/>
      <c r="AB246" s="151"/>
      <c r="AC246" s="151"/>
      <c r="AD246" s="151"/>
      <c r="AE246" s="151"/>
      <c r="AF246" s="293"/>
      <c r="AG246" s="203"/>
      <c r="AH246" s="203"/>
      <c r="AI246" s="203"/>
      <c r="AJ246" s="203"/>
      <c r="AK246" s="298"/>
      <c r="AL246" s="203"/>
      <c r="AM246" s="203"/>
      <c r="AN246" s="203"/>
      <c r="AO246" s="203"/>
      <c r="AP246" s="298"/>
      <c r="AQ246" s="203"/>
      <c r="AR246" s="203"/>
      <c r="AS246" s="203"/>
      <c r="AT246" s="203"/>
      <c r="AU246" s="298"/>
      <c r="AV246" s="217"/>
      <c r="AW246" s="217"/>
      <c r="AX246" s="217"/>
      <c r="AY246" s="217"/>
      <c r="AZ246" s="293"/>
      <c r="BA246" s="222"/>
      <c r="BB246" s="222"/>
      <c r="BC246" s="222"/>
      <c r="BD246" s="222"/>
      <c r="BE246" s="293"/>
      <c r="BF246" s="222"/>
      <c r="BG246" s="222"/>
      <c r="BH246" s="222"/>
      <c r="BI246" s="222"/>
      <c r="BJ246" s="293"/>
      <c r="BK246" s="222"/>
      <c r="BL246" s="222"/>
      <c r="BM246" s="222"/>
      <c r="BN246" s="222"/>
      <c r="BO246" s="293"/>
      <c r="BP246" s="222"/>
      <c r="BQ246" s="222"/>
      <c r="BR246" s="222"/>
      <c r="BS246" s="222"/>
      <c r="BT246" s="293"/>
      <c r="BU246" s="222"/>
      <c r="BV246" s="222"/>
      <c r="BW246" s="222"/>
      <c r="BX246" s="222"/>
      <c r="BY246" s="293"/>
      <c r="BZ246" s="222"/>
      <c r="CA246" s="222"/>
      <c r="CB246" s="222"/>
      <c r="CC246" s="222"/>
      <c r="CD246" s="293"/>
      <c r="CE246" s="222"/>
      <c r="CF246" s="222"/>
      <c r="CG246" s="222"/>
      <c r="CH246" s="222"/>
      <c r="CI246" s="293"/>
      <c r="CJ246" s="222"/>
      <c r="CK246" s="222"/>
      <c r="CL246" s="222"/>
      <c r="CM246" s="222"/>
      <c r="CN246" s="293"/>
      <c r="CO246" s="222"/>
      <c r="CP246" s="222"/>
      <c r="CQ246" s="222"/>
      <c r="CR246" s="222"/>
      <c r="CS246" s="293"/>
      <c r="CT246" s="222"/>
      <c r="CU246" s="222"/>
      <c r="CV246" s="222"/>
      <c r="CW246" s="222"/>
      <c r="CX246" s="293"/>
      <c r="CY246" s="222"/>
      <c r="CZ246" s="222"/>
      <c r="DA246" s="222"/>
      <c r="DB246" s="222"/>
      <c r="DC246" s="293"/>
      <c r="DD246" s="222"/>
      <c r="DE246" s="222"/>
      <c r="DF246" s="222"/>
      <c r="DG246" s="222"/>
      <c r="DH246" s="293"/>
    </row>
    <row r="247" spans="1:112" hidden="1" outlineLevel="1" x14ac:dyDescent="0.2">
      <c r="A247" s="98" t="s">
        <v>235</v>
      </c>
      <c r="B247" s="100"/>
      <c r="C247" s="214" t="s">
        <v>221</v>
      </c>
      <c r="D247" s="214" t="s">
        <v>221</v>
      </c>
      <c r="E247" s="214" t="s">
        <v>221</v>
      </c>
      <c r="F247" s="214" t="s">
        <v>221</v>
      </c>
      <c r="G247" s="267" t="s">
        <v>221</v>
      </c>
      <c r="H247" s="214" t="s">
        <v>221</v>
      </c>
      <c r="I247" s="214" t="s">
        <v>221</v>
      </c>
      <c r="J247" s="214" t="s">
        <v>221</v>
      </c>
      <c r="K247" s="214" t="s">
        <v>221</v>
      </c>
      <c r="L247" s="267" t="s">
        <v>221</v>
      </c>
      <c r="M247" s="214">
        <f t="shared" ref="M247:V249" si="296">M180/H180-1</f>
        <v>-4</v>
      </c>
      <c r="N247" s="214">
        <f t="shared" si="296"/>
        <v>-1.75</v>
      </c>
      <c r="O247" s="214">
        <f t="shared" si="296"/>
        <v>-0.8666666666666667</v>
      </c>
      <c r="P247" s="214">
        <f t="shared" si="296"/>
        <v>-2.75</v>
      </c>
      <c r="Q247" s="267">
        <f t="shared" si="296"/>
        <v>-0.66666666666666674</v>
      </c>
      <c r="R247" s="214">
        <f t="shared" si="296"/>
        <v>-0.5</v>
      </c>
      <c r="S247" s="214">
        <f t="shared" si="296"/>
        <v>-0.33333333333333337</v>
      </c>
      <c r="T247" s="214">
        <f t="shared" si="296"/>
        <v>0.5</v>
      </c>
      <c r="U247" s="214">
        <f t="shared" si="296"/>
        <v>-0.4285714285714286</v>
      </c>
      <c r="V247" s="267">
        <f t="shared" si="296"/>
        <v>0.125</v>
      </c>
      <c r="W247" s="214">
        <f t="shared" ref="W247:AF249" si="297">W180/R180-1</f>
        <v>-2.333333333333333</v>
      </c>
      <c r="X247" s="214">
        <f t="shared" si="297"/>
        <v>13.5</v>
      </c>
      <c r="Y247" s="214">
        <f t="shared" si="297"/>
        <v>-4</v>
      </c>
      <c r="Z247" s="214">
        <f t="shared" si="297"/>
        <v>1</v>
      </c>
      <c r="AA247" s="267">
        <f t="shared" si="297"/>
        <v>1.5555555555555554</v>
      </c>
      <c r="AB247" s="88">
        <f t="shared" si="297"/>
        <v>-1.25</v>
      </c>
      <c r="AC247" s="88">
        <f t="shared" si="297"/>
        <v>-0.96551724137931039</v>
      </c>
      <c r="AD247" s="88">
        <f t="shared" si="297"/>
        <v>-0.88888888888888884</v>
      </c>
      <c r="AE247" s="88">
        <f t="shared" si="297"/>
        <v>-0.5</v>
      </c>
      <c r="AF247" s="267">
        <f t="shared" si="297"/>
        <v>-0.91304347826086962</v>
      </c>
      <c r="AG247" s="47">
        <f t="shared" ref="AG247:AP249" si="298">AG180/AB180-1</f>
        <v>-3</v>
      </c>
      <c r="AH247" s="47">
        <f t="shared" si="298"/>
        <v>4</v>
      </c>
      <c r="AI247" s="47">
        <f t="shared" si="298"/>
        <v>-2</v>
      </c>
      <c r="AJ247" s="47">
        <f t="shared" si="298"/>
        <v>-2.75</v>
      </c>
      <c r="AK247" s="185">
        <f t="shared" si="298"/>
        <v>0</v>
      </c>
      <c r="AL247" s="47">
        <f t="shared" si="298"/>
        <v>-1</v>
      </c>
      <c r="AM247" s="47">
        <f t="shared" si="298"/>
        <v>-0.6</v>
      </c>
      <c r="AN247" s="47">
        <f t="shared" si="298"/>
        <v>-2</v>
      </c>
      <c r="AO247" s="47">
        <f t="shared" si="298"/>
        <v>-2.2857142857142856</v>
      </c>
      <c r="AP247" s="185">
        <f t="shared" si="298"/>
        <v>3.5</v>
      </c>
      <c r="AQ247" s="60" t="s">
        <v>221</v>
      </c>
      <c r="AR247" s="47">
        <f t="shared" ref="AR247:AU249" si="299">AR180/AM180-1</f>
        <v>-3</v>
      </c>
      <c r="AS247" s="47">
        <f t="shared" si="299"/>
        <v>-1.5</v>
      </c>
      <c r="AT247" s="47">
        <f t="shared" si="299"/>
        <v>-3.2222222222222223</v>
      </c>
      <c r="AU247" s="185">
        <f t="shared" si="299"/>
        <v>-3.8888888888888888</v>
      </c>
      <c r="AV247" s="60" t="s">
        <v>221</v>
      </c>
      <c r="AW247" s="60" t="s">
        <v>221</v>
      </c>
      <c r="AX247" s="60" t="s">
        <v>221</v>
      </c>
      <c r="AY247" s="60" t="s">
        <v>221</v>
      </c>
      <c r="AZ247" s="267" t="s">
        <v>221</v>
      </c>
      <c r="BA247" s="198" t="s">
        <v>221</v>
      </c>
      <c r="BB247" s="198" t="s">
        <v>221</v>
      </c>
      <c r="BC247" s="198" t="s">
        <v>221</v>
      </c>
      <c r="BD247" s="198" t="s">
        <v>221</v>
      </c>
      <c r="BE247" s="267" t="s">
        <v>221</v>
      </c>
      <c r="BF247" s="198" t="s">
        <v>221</v>
      </c>
      <c r="BG247" s="198" t="s">
        <v>221</v>
      </c>
      <c r="BH247" s="198" t="s">
        <v>221</v>
      </c>
      <c r="BI247" s="198" t="s">
        <v>221</v>
      </c>
      <c r="BJ247" s="267" t="s">
        <v>221</v>
      </c>
      <c r="BK247" s="198" t="s">
        <v>221</v>
      </c>
      <c r="BL247" s="198" t="s">
        <v>221</v>
      </c>
      <c r="BM247" s="198" t="s">
        <v>221</v>
      </c>
      <c r="BN247" s="198" t="s">
        <v>221</v>
      </c>
      <c r="BO247" s="267" t="s">
        <v>221</v>
      </c>
      <c r="BP247" s="198" t="s">
        <v>221</v>
      </c>
      <c r="BQ247" s="198" t="s">
        <v>221</v>
      </c>
      <c r="BR247" s="198" t="s">
        <v>221</v>
      </c>
      <c r="BS247" s="198" t="s">
        <v>221</v>
      </c>
      <c r="BT247" s="267" t="s">
        <v>221</v>
      </c>
      <c r="BU247" s="198" t="s">
        <v>221</v>
      </c>
      <c r="BV247" s="198" t="s">
        <v>221</v>
      </c>
      <c r="BW247" s="198" t="s">
        <v>221</v>
      </c>
      <c r="BX247" s="198" t="s">
        <v>221</v>
      </c>
      <c r="BY247" s="267" t="s">
        <v>221</v>
      </c>
      <c r="BZ247" s="198" t="s">
        <v>221</v>
      </c>
      <c r="CA247" s="198" t="s">
        <v>221</v>
      </c>
      <c r="CB247" s="198" t="s">
        <v>221</v>
      </c>
      <c r="CC247" s="198" t="s">
        <v>221</v>
      </c>
      <c r="CD247" s="267" t="s">
        <v>221</v>
      </c>
      <c r="CE247" s="198" t="s">
        <v>221</v>
      </c>
      <c r="CF247" s="198" t="s">
        <v>221</v>
      </c>
      <c r="CG247" s="198" t="s">
        <v>221</v>
      </c>
      <c r="CH247" s="198" t="s">
        <v>221</v>
      </c>
      <c r="CI247" s="267" t="s">
        <v>221</v>
      </c>
      <c r="CJ247" s="198" t="s">
        <v>221</v>
      </c>
      <c r="CK247" s="198" t="s">
        <v>221</v>
      </c>
      <c r="CL247" s="198" t="s">
        <v>221</v>
      </c>
      <c r="CM247" s="198" t="s">
        <v>221</v>
      </c>
      <c r="CN247" s="267" t="s">
        <v>221</v>
      </c>
      <c r="CO247" s="198" t="s">
        <v>221</v>
      </c>
      <c r="CP247" s="198" t="s">
        <v>221</v>
      </c>
      <c r="CQ247" s="198" t="s">
        <v>221</v>
      </c>
      <c r="CR247" s="198" t="s">
        <v>221</v>
      </c>
      <c r="CS247" s="267" t="s">
        <v>221</v>
      </c>
      <c r="CT247" s="198" t="s">
        <v>221</v>
      </c>
      <c r="CU247" s="198" t="s">
        <v>221</v>
      </c>
      <c r="CV247" s="198" t="s">
        <v>221</v>
      </c>
      <c r="CW247" s="198" t="s">
        <v>221</v>
      </c>
      <c r="CX247" s="267" t="s">
        <v>221</v>
      </c>
      <c r="CY247" s="198" t="s">
        <v>221</v>
      </c>
      <c r="CZ247" s="198" t="s">
        <v>221</v>
      </c>
      <c r="DA247" s="198" t="s">
        <v>221</v>
      </c>
      <c r="DB247" s="198" t="s">
        <v>221</v>
      </c>
      <c r="DC247" s="267" t="s">
        <v>221</v>
      </c>
      <c r="DD247" s="198" t="s">
        <v>221</v>
      </c>
      <c r="DE247" s="198" t="s">
        <v>221</v>
      </c>
      <c r="DF247" s="198" t="s">
        <v>221</v>
      </c>
      <c r="DG247" s="198" t="s">
        <v>221</v>
      </c>
      <c r="DH247" s="267" t="s">
        <v>221</v>
      </c>
    </row>
    <row r="248" spans="1:112" hidden="1" outlineLevel="1" x14ac:dyDescent="0.2">
      <c r="A248" s="117" t="s">
        <v>64</v>
      </c>
      <c r="B248" s="100"/>
      <c r="C248" s="204" t="s">
        <v>221</v>
      </c>
      <c r="D248" s="204" t="s">
        <v>221</v>
      </c>
      <c r="E248" s="204" t="s">
        <v>221</v>
      </c>
      <c r="F248" s="204" t="s">
        <v>221</v>
      </c>
      <c r="G248" s="268" t="s">
        <v>221</v>
      </c>
      <c r="H248" s="204" t="s">
        <v>221</v>
      </c>
      <c r="I248" s="204" t="s">
        <v>221</v>
      </c>
      <c r="J248" s="204" t="s">
        <v>221</v>
      </c>
      <c r="K248" s="204" t="s">
        <v>221</v>
      </c>
      <c r="L248" s="268" t="s">
        <v>221</v>
      </c>
      <c r="M248" s="204">
        <f t="shared" si="296"/>
        <v>-0.33333333333333337</v>
      </c>
      <c r="N248" s="204">
        <f t="shared" si="296"/>
        <v>-0.33333333333333337</v>
      </c>
      <c r="O248" s="204">
        <f t="shared" si="296"/>
        <v>-0.1428571428571429</v>
      </c>
      <c r="P248" s="204">
        <f t="shared" si="296"/>
        <v>-0.25</v>
      </c>
      <c r="Q248" s="268">
        <f t="shared" si="296"/>
        <v>-0.28205128205128205</v>
      </c>
      <c r="R248" s="204">
        <f t="shared" si="296"/>
        <v>-0.25</v>
      </c>
      <c r="S248" s="204">
        <f t="shared" si="296"/>
        <v>-0.125</v>
      </c>
      <c r="T248" s="204">
        <f t="shared" si="296"/>
        <v>0.33333333333333326</v>
      </c>
      <c r="U248" s="204">
        <f t="shared" si="296"/>
        <v>0.5</v>
      </c>
      <c r="V248" s="268">
        <f t="shared" si="296"/>
        <v>7.1428571428571397E-2</v>
      </c>
      <c r="W248" s="204">
        <f t="shared" si="297"/>
        <v>0.33333333333333326</v>
      </c>
      <c r="X248" s="204">
        <f t="shared" si="297"/>
        <v>1.4285714285714284</v>
      </c>
      <c r="Y248" s="204">
        <f t="shared" si="297"/>
        <v>2.375</v>
      </c>
      <c r="Z248" s="204">
        <f t="shared" si="297"/>
        <v>2</v>
      </c>
      <c r="AA248" s="268">
        <f t="shared" si="297"/>
        <v>1.6333333333333333</v>
      </c>
      <c r="AB248" s="150">
        <f t="shared" si="297"/>
        <v>2.75</v>
      </c>
      <c r="AC248" s="150">
        <f t="shared" si="297"/>
        <v>0.88235294117647056</v>
      </c>
      <c r="AD248" s="150">
        <f t="shared" si="297"/>
        <v>0.22222222222222232</v>
      </c>
      <c r="AE248" s="150">
        <f t="shared" si="297"/>
        <v>0.18518518518518512</v>
      </c>
      <c r="AF248" s="268">
        <f t="shared" si="297"/>
        <v>0.60759493670886067</v>
      </c>
      <c r="AG248" s="199">
        <f t="shared" si="298"/>
        <v>-3.3333333333333326E-2</v>
      </c>
      <c r="AH248" s="199">
        <f t="shared" si="298"/>
        <v>-9.375E-2</v>
      </c>
      <c r="AI248" s="199">
        <f t="shared" si="298"/>
        <v>-0.15151515151515149</v>
      </c>
      <c r="AJ248" s="199">
        <f t="shared" si="298"/>
        <v>-0.15625</v>
      </c>
      <c r="AK248" s="235">
        <f t="shared" si="298"/>
        <v>-0.11023622047244097</v>
      </c>
      <c r="AL248" s="199">
        <f t="shared" si="298"/>
        <v>0.13793103448275867</v>
      </c>
      <c r="AM248" s="199">
        <f t="shared" si="298"/>
        <v>0.5862068965517242</v>
      </c>
      <c r="AN248" s="199">
        <f t="shared" si="298"/>
        <v>0.64285714285714279</v>
      </c>
      <c r="AO248" s="199">
        <f t="shared" si="298"/>
        <v>0.59259259259259256</v>
      </c>
      <c r="AP248" s="235">
        <f t="shared" si="298"/>
        <v>0.48672566371681425</v>
      </c>
      <c r="AQ248" s="199">
        <f>AQ181/AL181-1</f>
        <v>0.27272727272727271</v>
      </c>
      <c r="AR248" s="199">
        <f t="shared" si="299"/>
        <v>-4.3478260869565188E-2</v>
      </c>
      <c r="AS248" s="199">
        <f t="shared" si="299"/>
        <v>-0.15217391304347827</v>
      </c>
      <c r="AT248" s="199">
        <f t="shared" si="299"/>
        <v>-0.16279069767441856</v>
      </c>
      <c r="AU248" s="235">
        <f t="shared" si="299"/>
        <v>-4.166666666666663E-2</v>
      </c>
      <c r="AV248" s="215" t="s">
        <v>221</v>
      </c>
      <c r="AW248" s="215" t="s">
        <v>221</v>
      </c>
      <c r="AX248" s="215" t="s">
        <v>221</v>
      </c>
      <c r="AY248" s="215" t="s">
        <v>221</v>
      </c>
      <c r="AZ248" s="268" t="s">
        <v>221</v>
      </c>
      <c r="BA248" s="220" t="s">
        <v>221</v>
      </c>
      <c r="BB248" s="220" t="s">
        <v>221</v>
      </c>
      <c r="BC248" s="220" t="s">
        <v>221</v>
      </c>
      <c r="BD248" s="220" t="s">
        <v>221</v>
      </c>
      <c r="BE248" s="268" t="s">
        <v>221</v>
      </c>
      <c r="BF248" s="220" t="s">
        <v>221</v>
      </c>
      <c r="BG248" s="220" t="s">
        <v>221</v>
      </c>
      <c r="BH248" s="220" t="s">
        <v>221</v>
      </c>
      <c r="BI248" s="220" t="s">
        <v>221</v>
      </c>
      <c r="BJ248" s="268" t="s">
        <v>221</v>
      </c>
      <c r="BK248" s="220" t="s">
        <v>221</v>
      </c>
      <c r="BL248" s="220" t="s">
        <v>221</v>
      </c>
      <c r="BM248" s="220" t="s">
        <v>221</v>
      </c>
      <c r="BN248" s="220" t="s">
        <v>221</v>
      </c>
      <c r="BO248" s="268" t="s">
        <v>221</v>
      </c>
      <c r="BP248" s="220" t="s">
        <v>221</v>
      </c>
      <c r="BQ248" s="220" t="s">
        <v>221</v>
      </c>
      <c r="BR248" s="220" t="s">
        <v>221</v>
      </c>
      <c r="BS248" s="220" t="s">
        <v>221</v>
      </c>
      <c r="BT248" s="268" t="s">
        <v>221</v>
      </c>
      <c r="BU248" s="220" t="s">
        <v>221</v>
      </c>
      <c r="BV248" s="220" t="s">
        <v>221</v>
      </c>
      <c r="BW248" s="220" t="s">
        <v>221</v>
      </c>
      <c r="BX248" s="220" t="s">
        <v>221</v>
      </c>
      <c r="BY248" s="268" t="s">
        <v>221</v>
      </c>
      <c r="BZ248" s="220" t="s">
        <v>221</v>
      </c>
      <c r="CA248" s="220" t="s">
        <v>221</v>
      </c>
      <c r="CB248" s="220" t="s">
        <v>221</v>
      </c>
      <c r="CC248" s="220" t="s">
        <v>221</v>
      </c>
      <c r="CD248" s="268" t="s">
        <v>221</v>
      </c>
      <c r="CE248" s="220" t="s">
        <v>221</v>
      </c>
      <c r="CF248" s="220" t="s">
        <v>221</v>
      </c>
      <c r="CG248" s="220" t="s">
        <v>221</v>
      </c>
      <c r="CH248" s="220" t="s">
        <v>221</v>
      </c>
      <c r="CI248" s="268" t="s">
        <v>221</v>
      </c>
      <c r="CJ248" s="220" t="s">
        <v>221</v>
      </c>
      <c r="CK248" s="220" t="s">
        <v>221</v>
      </c>
      <c r="CL248" s="220" t="s">
        <v>221</v>
      </c>
      <c r="CM248" s="220" t="s">
        <v>221</v>
      </c>
      <c r="CN248" s="268" t="s">
        <v>221</v>
      </c>
      <c r="CO248" s="220" t="s">
        <v>221</v>
      </c>
      <c r="CP248" s="220" t="s">
        <v>221</v>
      </c>
      <c r="CQ248" s="220" t="s">
        <v>221</v>
      </c>
      <c r="CR248" s="220" t="s">
        <v>221</v>
      </c>
      <c r="CS248" s="268" t="s">
        <v>221</v>
      </c>
      <c r="CT248" s="220" t="s">
        <v>221</v>
      </c>
      <c r="CU248" s="220" t="s">
        <v>221</v>
      </c>
      <c r="CV248" s="220" t="s">
        <v>221</v>
      </c>
      <c r="CW248" s="220" t="s">
        <v>221</v>
      </c>
      <c r="CX248" s="268" t="s">
        <v>221</v>
      </c>
      <c r="CY248" s="220" t="s">
        <v>221</v>
      </c>
      <c r="CZ248" s="220" t="s">
        <v>221</v>
      </c>
      <c r="DA248" s="220" t="s">
        <v>221</v>
      </c>
      <c r="DB248" s="220" t="s">
        <v>221</v>
      </c>
      <c r="DC248" s="268" t="s">
        <v>221</v>
      </c>
      <c r="DD248" s="220" t="s">
        <v>221</v>
      </c>
      <c r="DE248" s="220" t="s">
        <v>221</v>
      </c>
      <c r="DF248" s="220" t="s">
        <v>221</v>
      </c>
      <c r="DG248" s="220" t="s">
        <v>221</v>
      </c>
      <c r="DH248" s="268" t="s">
        <v>221</v>
      </c>
    </row>
    <row r="249" spans="1:112" hidden="1" outlineLevel="1" x14ac:dyDescent="0.2">
      <c r="A249" s="106" t="s">
        <v>233</v>
      </c>
      <c r="B249" s="218"/>
      <c r="C249" s="225" t="s">
        <v>221</v>
      </c>
      <c r="D249" s="225" t="s">
        <v>221</v>
      </c>
      <c r="E249" s="225" t="s">
        <v>221</v>
      </c>
      <c r="F249" s="225" t="s">
        <v>221</v>
      </c>
      <c r="G249" s="295" t="s">
        <v>221</v>
      </c>
      <c r="H249" s="225" t="s">
        <v>221</v>
      </c>
      <c r="I249" s="225" t="s">
        <v>221</v>
      </c>
      <c r="J249" s="225" t="s">
        <v>221</v>
      </c>
      <c r="K249" s="225" t="s">
        <v>221</v>
      </c>
      <c r="L249" s="295" t="s">
        <v>221</v>
      </c>
      <c r="M249" s="225">
        <f t="shared" si="296"/>
        <v>-0.10679611650485432</v>
      </c>
      <c r="N249" s="225">
        <f t="shared" si="296"/>
        <v>-6.6037735849056589E-2</v>
      </c>
      <c r="O249" s="225">
        <f t="shared" si="296"/>
        <v>5.555555555555558E-2</v>
      </c>
      <c r="P249" s="225">
        <f t="shared" si="296"/>
        <v>-0.17924528301886788</v>
      </c>
      <c r="Q249" s="295">
        <f t="shared" si="296"/>
        <v>-7.328605200945626E-2</v>
      </c>
      <c r="R249" s="225">
        <f t="shared" si="296"/>
        <v>0</v>
      </c>
      <c r="S249" s="225">
        <f t="shared" si="296"/>
        <v>0</v>
      </c>
      <c r="T249" s="225">
        <f t="shared" si="296"/>
        <v>6.1403508771929793E-2</v>
      </c>
      <c r="U249" s="225">
        <f t="shared" si="296"/>
        <v>0.17241379310344818</v>
      </c>
      <c r="V249" s="295">
        <f t="shared" si="296"/>
        <v>5.6122448979591733E-2</v>
      </c>
      <c r="W249" s="225">
        <f t="shared" si="297"/>
        <v>9.7826086956521729E-2</v>
      </c>
      <c r="X249" s="225">
        <f t="shared" si="297"/>
        <v>-8.0808080808080773E-2</v>
      </c>
      <c r="Y249" s="225">
        <f t="shared" si="297"/>
        <v>0.21487603305785119</v>
      </c>
      <c r="Z249" s="225">
        <f t="shared" si="297"/>
        <v>0.16666666666666674</v>
      </c>
      <c r="AA249" s="295">
        <f t="shared" si="297"/>
        <v>0.106280193236715</v>
      </c>
      <c r="AB249" s="152">
        <f t="shared" si="297"/>
        <v>0.38613861386138604</v>
      </c>
      <c r="AC249" s="152">
        <f t="shared" si="297"/>
        <v>0.71428571428571419</v>
      </c>
      <c r="AD249" s="152">
        <f t="shared" si="297"/>
        <v>-6.8027210884353706E-2</v>
      </c>
      <c r="AE249" s="152">
        <f t="shared" si="297"/>
        <v>0.46218487394957974</v>
      </c>
      <c r="AF249" s="295">
        <f t="shared" si="297"/>
        <v>0.3253275109170306</v>
      </c>
      <c r="AG249" s="170">
        <f t="shared" si="298"/>
        <v>4.2857142857142927E-2</v>
      </c>
      <c r="AH249" s="170">
        <f t="shared" si="298"/>
        <v>-2.5641025641025661E-2</v>
      </c>
      <c r="AI249" s="170">
        <f t="shared" si="298"/>
        <v>0.10218978102189791</v>
      </c>
      <c r="AJ249" s="170">
        <f t="shared" si="298"/>
        <v>-0.11494252873563215</v>
      </c>
      <c r="AK249" s="196">
        <f t="shared" si="298"/>
        <v>-6.5897858319604596E-3</v>
      </c>
      <c r="AL249" s="170">
        <f t="shared" si="298"/>
        <v>2.0547945205479534E-2</v>
      </c>
      <c r="AM249" s="170">
        <f t="shared" si="298"/>
        <v>9.8684210526315708E-2</v>
      </c>
      <c r="AN249" s="170">
        <f t="shared" si="298"/>
        <v>0.17218543046357615</v>
      </c>
      <c r="AO249" s="170">
        <f t="shared" si="298"/>
        <v>0.11038961038961048</v>
      </c>
      <c r="AP249" s="196">
        <f t="shared" si="298"/>
        <v>0.1011608623548923</v>
      </c>
      <c r="AQ249" s="170">
        <f>AQ182/AL182-1</f>
        <v>0.15436241610738266</v>
      </c>
      <c r="AR249" s="170">
        <f t="shared" si="299"/>
        <v>2.39520958083832E-2</v>
      </c>
      <c r="AS249" s="170">
        <f t="shared" si="299"/>
        <v>-1.1299435028248594E-2</v>
      </c>
      <c r="AT249" s="170">
        <f t="shared" si="299"/>
        <v>0.17543859649122817</v>
      </c>
      <c r="AU249" s="196">
        <f t="shared" si="299"/>
        <v>8.2831325301204739E-2</v>
      </c>
      <c r="AV249" s="317" t="s">
        <v>221</v>
      </c>
      <c r="AW249" s="317" t="s">
        <v>221</v>
      </c>
      <c r="AX249" s="317" t="s">
        <v>221</v>
      </c>
      <c r="AY249" s="317" t="s">
        <v>221</v>
      </c>
      <c r="AZ249" s="294" t="s">
        <v>221</v>
      </c>
      <c r="BA249" s="228" t="s">
        <v>221</v>
      </c>
      <c r="BB249" s="228" t="s">
        <v>221</v>
      </c>
      <c r="BC249" s="228" t="s">
        <v>221</v>
      </c>
      <c r="BD249" s="228" t="s">
        <v>221</v>
      </c>
      <c r="BE249" s="294" t="s">
        <v>221</v>
      </c>
      <c r="BF249" s="228" t="s">
        <v>221</v>
      </c>
      <c r="BG249" s="228" t="s">
        <v>221</v>
      </c>
      <c r="BH249" s="228" t="s">
        <v>221</v>
      </c>
      <c r="BI249" s="228" t="s">
        <v>221</v>
      </c>
      <c r="BJ249" s="294" t="s">
        <v>221</v>
      </c>
      <c r="BK249" s="228" t="s">
        <v>221</v>
      </c>
      <c r="BL249" s="228" t="s">
        <v>221</v>
      </c>
      <c r="BM249" s="228" t="s">
        <v>221</v>
      </c>
      <c r="BN249" s="228" t="s">
        <v>221</v>
      </c>
      <c r="BO249" s="294" t="s">
        <v>221</v>
      </c>
      <c r="BP249" s="228" t="s">
        <v>221</v>
      </c>
      <c r="BQ249" s="228" t="s">
        <v>221</v>
      </c>
      <c r="BR249" s="228" t="s">
        <v>221</v>
      </c>
      <c r="BS249" s="228" t="s">
        <v>221</v>
      </c>
      <c r="BT249" s="294" t="s">
        <v>221</v>
      </c>
      <c r="BU249" s="228" t="s">
        <v>221</v>
      </c>
      <c r="BV249" s="228" t="s">
        <v>221</v>
      </c>
      <c r="BW249" s="228" t="s">
        <v>221</v>
      </c>
      <c r="BX249" s="228" t="s">
        <v>221</v>
      </c>
      <c r="BY249" s="294" t="s">
        <v>221</v>
      </c>
      <c r="BZ249" s="228" t="s">
        <v>221</v>
      </c>
      <c r="CA249" s="228" t="s">
        <v>221</v>
      </c>
      <c r="CB249" s="228" t="s">
        <v>221</v>
      </c>
      <c r="CC249" s="228" t="s">
        <v>221</v>
      </c>
      <c r="CD249" s="294" t="s">
        <v>221</v>
      </c>
      <c r="CE249" s="228" t="s">
        <v>221</v>
      </c>
      <c r="CF249" s="228" t="s">
        <v>221</v>
      </c>
      <c r="CG249" s="228" t="s">
        <v>221</v>
      </c>
      <c r="CH249" s="228" t="s">
        <v>221</v>
      </c>
      <c r="CI249" s="294" t="s">
        <v>221</v>
      </c>
      <c r="CJ249" s="228" t="s">
        <v>221</v>
      </c>
      <c r="CK249" s="228" t="s">
        <v>221</v>
      </c>
      <c r="CL249" s="228" t="s">
        <v>221</v>
      </c>
      <c r="CM249" s="228" t="s">
        <v>221</v>
      </c>
      <c r="CN249" s="294" t="s">
        <v>221</v>
      </c>
      <c r="CO249" s="228" t="s">
        <v>221</v>
      </c>
      <c r="CP249" s="228" t="s">
        <v>221</v>
      </c>
      <c r="CQ249" s="228" t="s">
        <v>221</v>
      </c>
      <c r="CR249" s="228" t="s">
        <v>221</v>
      </c>
      <c r="CS249" s="294" t="s">
        <v>221</v>
      </c>
      <c r="CT249" s="228" t="s">
        <v>221</v>
      </c>
      <c r="CU249" s="228" t="s">
        <v>221</v>
      </c>
      <c r="CV249" s="228" t="s">
        <v>221</v>
      </c>
      <c r="CW249" s="228" t="s">
        <v>221</v>
      </c>
      <c r="CX249" s="294" t="s">
        <v>221</v>
      </c>
      <c r="CY249" s="228" t="s">
        <v>221</v>
      </c>
      <c r="CZ249" s="228" t="s">
        <v>221</v>
      </c>
      <c r="DA249" s="228" t="s">
        <v>221</v>
      </c>
      <c r="DB249" s="228" t="s">
        <v>221</v>
      </c>
      <c r="DC249" s="294" t="s">
        <v>221</v>
      </c>
      <c r="DD249" s="228" t="s">
        <v>221</v>
      </c>
      <c r="DE249" s="228" t="s">
        <v>221</v>
      </c>
      <c r="DF249" s="228" t="s">
        <v>221</v>
      </c>
      <c r="DG249" s="228" t="s">
        <v>221</v>
      </c>
      <c r="DH249" s="294" t="s">
        <v>221</v>
      </c>
    </row>
    <row r="250" spans="1:112" hidden="1" outlineLevel="1" x14ac:dyDescent="0.2">
      <c r="A250" s="98"/>
      <c r="B250" s="100"/>
      <c r="C250" s="118"/>
      <c r="D250" s="118"/>
      <c r="E250" s="118"/>
      <c r="F250" s="118"/>
      <c r="G250" s="298"/>
      <c r="H250" s="118"/>
      <c r="I250" s="118"/>
      <c r="J250" s="118"/>
      <c r="K250" s="118"/>
      <c r="L250" s="298"/>
      <c r="M250" s="118"/>
      <c r="N250" s="118"/>
      <c r="O250" s="118"/>
      <c r="P250" s="118"/>
      <c r="Q250" s="298"/>
      <c r="R250" s="118"/>
      <c r="S250" s="118"/>
      <c r="T250" s="118"/>
      <c r="U250" s="118"/>
      <c r="V250" s="298"/>
      <c r="W250" s="118"/>
      <c r="X250" s="118"/>
      <c r="Y250" s="118"/>
      <c r="Z250" s="118"/>
      <c r="AA250" s="298"/>
      <c r="AB250" s="151"/>
      <c r="AC250" s="151"/>
      <c r="AD250" s="151"/>
      <c r="AE250" s="151"/>
      <c r="AF250" s="298"/>
      <c r="AG250" s="203"/>
      <c r="AH250" s="203"/>
      <c r="AI250" s="203"/>
      <c r="AJ250" s="203"/>
      <c r="AK250" s="298"/>
      <c r="AL250" s="203"/>
      <c r="AM250" s="203"/>
      <c r="AN250" s="203"/>
      <c r="AO250" s="203"/>
      <c r="AP250" s="298"/>
      <c r="AQ250" s="203"/>
      <c r="AR250" s="203"/>
      <c r="AS250" s="203"/>
      <c r="AT250" s="203"/>
      <c r="AU250" s="298"/>
      <c r="AV250" s="217"/>
      <c r="AW250" s="217"/>
      <c r="AX250" s="217"/>
      <c r="AY250" s="217"/>
      <c r="AZ250" s="293"/>
      <c r="BA250" s="222"/>
      <c r="BB250" s="222"/>
      <c r="BC250" s="222"/>
      <c r="BD250" s="222"/>
      <c r="BE250" s="293"/>
      <c r="BF250" s="222"/>
      <c r="BG250" s="222"/>
      <c r="BH250" s="222"/>
      <c r="BI250" s="222"/>
      <c r="BJ250" s="293"/>
      <c r="BK250" s="222"/>
      <c r="BL250" s="222"/>
      <c r="BM250" s="222"/>
      <c r="BN250" s="222"/>
      <c r="BO250" s="293"/>
      <c r="BP250" s="222"/>
      <c r="BQ250" s="222"/>
      <c r="BR250" s="222"/>
      <c r="BS250" s="222"/>
      <c r="BT250" s="293"/>
      <c r="BU250" s="222"/>
      <c r="BV250" s="222"/>
      <c r="BW250" s="222"/>
      <c r="BX250" s="222"/>
      <c r="BY250" s="293"/>
      <c r="BZ250" s="222"/>
      <c r="CA250" s="222"/>
      <c r="CB250" s="222"/>
      <c r="CC250" s="222"/>
      <c r="CD250" s="293"/>
      <c r="CE250" s="222"/>
      <c r="CF250" s="222"/>
      <c r="CG250" s="222"/>
      <c r="CH250" s="222"/>
      <c r="CI250" s="293"/>
      <c r="CJ250" s="222"/>
      <c r="CK250" s="222"/>
      <c r="CL250" s="222"/>
      <c r="CM250" s="222"/>
      <c r="CN250" s="293"/>
      <c r="CO250" s="222"/>
      <c r="CP250" s="222"/>
      <c r="CQ250" s="222"/>
      <c r="CR250" s="222"/>
      <c r="CS250" s="293"/>
      <c r="CT250" s="222"/>
      <c r="CU250" s="222"/>
      <c r="CV250" s="222"/>
      <c r="CW250" s="222"/>
      <c r="CX250" s="293"/>
      <c r="CY250" s="222"/>
      <c r="CZ250" s="222"/>
      <c r="DA250" s="222"/>
      <c r="DB250" s="222"/>
      <c r="DC250" s="293"/>
      <c r="DD250" s="222"/>
      <c r="DE250" s="222"/>
      <c r="DF250" s="222"/>
      <c r="DG250" s="222"/>
      <c r="DH250" s="293"/>
    </row>
    <row r="251" spans="1:112" hidden="1" outlineLevel="1" x14ac:dyDescent="0.2">
      <c r="A251" s="106" t="s">
        <v>236</v>
      </c>
      <c r="B251" s="167"/>
      <c r="C251" s="225" t="s">
        <v>221</v>
      </c>
      <c r="D251" s="225" t="s">
        <v>221</v>
      </c>
      <c r="E251" s="225" t="s">
        <v>221</v>
      </c>
      <c r="F251" s="225" t="s">
        <v>221</v>
      </c>
      <c r="G251" s="295" t="s">
        <v>221</v>
      </c>
      <c r="H251" s="225" t="s">
        <v>221</v>
      </c>
      <c r="I251" s="225" t="s">
        <v>221</v>
      </c>
      <c r="J251" s="225" t="s">
        <v>221</v>
      </c>
      <c r="K251" s="225" t="s">
        <v>221</v>
      </c>
      <c r="L251" s="295" t="s">
        <v>221</v>
      </c>
      <c r="M251" s="225">
        <f t="shared" ref="M251:AU251" si="300">M184/H184-1</f>
        <v>0.5641025641025641</v>
      </c>
      <c r="N251" s="225">
        <f t="shared" si="300"/>
        <v>0.89333333333333331</v>
      </c>
      <c r="O251" s="225">
        <f t="shared" si="300"/>
        <v>0.7474747474747474</v>
      </c>
      <c r="P251" s="225">
        <f t="shared" si="300"/>
        <v>5.2173913043478182E-2</v>
      </c>
      <c r="Q251" s="295">
        <f t="shared" si="300"/>
        <v>0.43035714285714288</v>
      </c>
      <c r="R251" s="225">
        <f t="shared" si="300"/>
        <v>-0.27049180327868849</v>
      </c>
      <c r="S251" s="225">
        <f t="shared" si="300"/>
        <v>8.4507042253521236E-2</v>
      </c>
      <c r="T251" s="225">
        <f t="shared" si="300"/>
        <v>1.7341040462427681E-2</v>
      </c>
      <c r="U251" s="225">
        <f t="shared" si="300"/>
        <v>8.2644628099173278E-3</v>
      </c>
      <c r="V251" s="295">
        <f t="shared" si="300"/>
        <v>-6.1173533083645482E-2</v>
      </c>
      <c r="W251" s="225">
        <f t="shared" si="300"/>
        <v>-6.1797752808988804E-2</v>
      </c>
      <c r="X251" s="225">
        <f t="shared" si="300"/>
        <v>0.25974025974025983</v>
      </c>
      <c r="Y251" s="225">
        <f t="shared" si="300"/>
        <v>-0.22159090909090906</v>
      </c>
      <c r="Z251" s="225">
        <f t="shared" si="300"/>
        <v>-5.3278688524590168E-2</v>
      </c>
      <c r="AA251" s="295">
        <f t="shared" si="300"/>
        <v>-3.0585106382978733E-2</v>
      </c>
      <c r="AB251" s="152">
        <f t="shared" si="300"/>
        <v>-7.7844311377245456E-2</v>
      </c>
      <c r="AC251" s="152">
        <f t="shared" si="300"/>
        <v>-0.38144329896907214</v>
      </c>
      <c r="AD251" s="152">
        <f t="shared" si="300"/>
        <v>0.22627737226277378</v>
      </c>
      <c r="AE251" s="152">
        <f t="shared" si="300"/>
        <v>-8.6580086580086535E-2</v>
      </c>
      <c r="AF251" s="295">
        <f t="shared" si="300"/>
        <v>-0.10425240054869689</v>
      </c>
      <c r="AG251" s="170">
        <f t="shared" si="300"/>
        <v>0.13636363636363646</v>
      </c>
      <c r="AH251" s="170">
        <f t="shared" si="300"/>
        <v>0.1333333333333333</v>
      </c>
      <c r="AI251" s="170">
        <f t="shared" si="300"/>
        <v>0.14880952380952372</v>
      </c>
      <c r="AJ251" s="170">
        <f t="shared" si="300"/>
        <v>0.13270142180094791</v>
      </c>
      <c r="AK251" s="196">
        <f t="shared" si="300"/>
        <v>0.13782542113323126</v>
      </c>
      <c r="AL251" s="170">
        <f t="shared" si="300"/>
        <v>-5.7142857142856718E-3</v>
      </c>
      <c r="AM251" s="170">
        <f t="shared" si="300"/>
        <v>-5.8823529411764719E-2</v>
      </c>
      <c r="AN251" s="170">
        <f t="shared" si="300"/>
        <v>-0.21761658031088082</v>
      </c>
      <c r="AO251" s="170">
        <f t="shared" si="300"/>
        <v>4.1841004184099972E-3</v>
      </c>
      <c r="AP251" s="196">
        <f t="shared" si="300"/>
        <v>-6.7294751009421283E-2</v>
      </c>
      <c r="AQ251" s="170">
        <f t="shared" si="300"/>
        <v>6.8965517241379226E-2</v>
      </c>
      <c r="AR251" s="170">
        <f t="shared" si="300"/>
        <v>2.34375E-2</v>
      </c>
      <c r="AS251" s="170">
        <f t="shared" si="300"/>
        <v>0.54304635761589415</v>
      </c>
      <c r="AT251" s="170">
        <f t="shared" si="300"/>
        <v>8.7499999999999911E-2</v>
      </c>
      <c r="AU251" s="196">
        <f t="shared" si="300"/>
        <v>0.17027417027417036</v>
      </c>
      <c r="AV251" s="226" t="s">
        <v>221</v>
      </c>
      <c r="AW251" s="226" t="s">
        <v>221</v>
      </c>
      <c r="AX251" s="226" t="s">
        <v>221</v>
      </c>
      <c r="AY251" s="226" t="s">
        <v>221</v>
      </c>
      <c r="AZ251" s="295" t="s">
        <v>221</v>
      </c>
      <c r="BA251" s="227" t="s">
        <v>221</v>
      </c>
      <c r="BB251" s="227" t="s">
        <v>221</v>
      </c>
      <c r="BC251" s="227" t="s">
        <v>221</v>
      </c>
      <c r="BD251" s="227" t="s">
        <v>221</v>
      </c>
      <c r="BE251" s="295" t="s">
        <v>221</v>
      </c>
      <c r="BF251" s="227" t="s">
        <v>221</v>
      </c>
      <c r="BG251" s="227" t="s">
        <v>221</v>
      </c>
      <c r="BH251" s="227" t="s">
        <v>221</v>
      </c>
      <c r="BI251" s="227" t="s">
        <v>221</v>
      </c>
      <c r="BJ251" s="295" t="s">
        <v>221</v>
      </c>
      <c r="BK251" s="227" t="s">
        <v>221</v>
      </c>
      <c r="BL251" s="227" t="s">
        <v>221</v>
      </c>
      <c r="BM251" s="227" t="s">
        <v>221</v>
      </c>
      <c r="BN251" s="227" t="s">
        <v>221</v>
      </c>
      <c r="BO251" s="295" t="s">
        <v>221</v>
      </c>
      <c r="BP251" s="227" t="s">
        <v>221</v>
      </c>
      <c r="BQ251" s="227" t="s">
        <v>221</v>
      </c>
      <c r="BR251" s="227" t="s">
        <v>221</v>
      </c>
      <c r="BS251" s="227" t="s">
        <v>221</v>
      </c>
      <c r="BT251" s="295" t="s">
        <v>221</v>
      </c>
      <c r="BU251" s="227" t="s">
        <v>221</v>
      </c>
      <c r="BV251" s="227" t="s">
        <v>221</v>
      </c>
      <c r="BW251" s="227" t="s">
        <v>221</v>
      </c>
      <c r="BX251" s="227" t="s">
        <v>221</v>
      </c>
      <c r="BY251" s="295" t="s">
        <v>221</v>
      </c>
      <c r="BZ251" s="227" t="s">
        <v>221</v>
      </c>
      <c r="CA251" s="227" t="s">
        <v>221</v>
      </c>
      <c r="CB251" s="227" t="s">
        <v>221</v>
      </c>
      <c r="CC251" s="227" t="s">
        <v>221</v>
      </c>
      <c r="CD251" s="295" t="s">
        <v>221</v>
      </c>
      <c r="CE251" s="227" t="s">
        <v>221</v>
      </c>
      <c r="CF251" s="227" t="s">
        <v>221</v>
      </c>
      <c r="CG251" s="227" t="s">
        <v>221</v>
      </c>
      <c r="CH251" s="227" t="s">
        <v>221</v>
      </c>
      <c r="CI251" s="295" t="s">
        <v>221</v>
      </c>
      <c r="CJ251" s="227" t="s">
        <v>221</v>
      </c>
      <c r="CK251" s="227" t="s">
        <v>221</v>
      </c>
      <c r="CL251" s="227" t="s">
        <v>221</v>
      </c>
      <c r="CM251" s="227" t="s">
        <v>221</v>
      </c>
      <c r="CN251" s="295" t="s">
        <v>221</v>
      </c>
      <c r="CO251" s="227" t="s">
        <v>221</v>
      </c>
      <c r="CP251" s="227" t="s">
        <v>221</v>
      </c>
      <c r="CQ251" s="227" t="s">
        <v>221</v>
      </c>
      <c r="CR251" s="227" t="s">
        <v>221</v>
      </c>
      <c r="CS251" s="295" t="s">
        <v>221</v>
      </c>
      <c r="CT251" s="227" t="s">
        <v>221</v>
      </c>
      <c r="CU251" s="227" t="s">
        <v>221</v>
      </c>
      <c r="CV251" s="227" t="s">
        <v>221</v>
      </c>
      <c r="CW251" s="227" t="s">
        <v>221</v>
      </c>
      <c r="CX251" s="295" t="s">
        <v>221</v>
      </c>
      <c r="CY251" s="227" t="s">
        <v>221</v>
      </c>
      <c r="CZ251" s="227" t="s">
        <v>221</v>
      </c>
      <c r="DA251" s="227" t="s">
        <v>221</v>
      </c>
      <c r="DB251" s="227" t="s">
        <v>221</v>
      </c>
      <c r="DC251" s="295" t="s">
        <v>221</v>
      </c>
      <c r="DD251" s="227" t="s">
        <v>221</v>
      </c>
      <c r="DE251" s="227" t="s">
        <v>221</v>
      </c>
      <c r="DF251" s="227" t="s">
        <v>221</v>
      </c>
      <c r="DG251" s="227" t="s">
        <v>221</v>
      </c>
      <c r="DH251" s="295" t="s">
        <v>221</v>
      </c>
    </row>
    <row r="252" spans="1:112" collapsed="1" x14ac:dyDescent="0.2">
      <c r="A252" s="103"/>
      <c r="B252" s="100"/>
      <c r="C252" s="120"/>
      <c r="D252" s="120"/>
      <c r="E252" s="120"/>
      <c r="F252" s="120"/>
      <c r="G252" s="185"/>
      <c r="H252" s="120"/>
      <c r="I252" s="120"/>
      <c r="J252" s="120"/>
      <c r="K252" s="120"/>
      <c r="L252" s="185"/>
      <c r="M252" s="120"/>
      <c r="N252" s="120"/>
      <c r="O252" s="120"/>
      <c r="P252" s="120"/>
      <c r="Q252" s="185"/>
      <c r="R252" s="120"/>
      <c r="S252" s="120"/>
      <c r="T252" s="120"/>
      <c r="U252" s="120"/>
      <c r="V252" s="185"/>
      <c r="W252" s="120"/>
      <c r="X252" s="120"/>
      <c r="Y252" s="120"/>
      <c r="Z252" s="120"/>
      <c r="AA252" s="185"/>
      <c r="AB252" s="47"/>
      <c r="AC252" s="47"/>
      <c r="AD252" s="47"/>
      <c r="AE252" s="47"/>
      <c r="AF252" s="185"/>
      <c r="AG252" s="47"/>
      <c r="AH252" s="47"/>
      <c r="AI252" s="47"/>
      <c r="AJ252" s="47"/>
      <c r="AK252" s="185"/>
      <c r="AL252" s="47"/>
      <c r="AM252" s="47"/>
      <c r="AN252" s="47"/>
      <c r="AO252" s="47"/>
      <c r="AP252" s="185"/>
      <c r="AQ252" s="47"/>
      <c r="AR252" s="47"/>
      <c r="AS252" s="47"/>
      <c r="AT252" s="47"/>
      <c r="AU252" s="185"/>
      <c r="AV252" s="47"/>
      <c r="AW252" s="47"/>
      <c r="AX252" s="47"/>
      <c r="AY252" s="47"/>
      <c r="AZ252" s="185"/>
      <c r="BA252" s="47"/>
      <c r="BB252" s="47"/>
      <c r="BC252" s="47"/>
      <c r="BD252" s="47"/>
      <c r="BE252" s="185"/>
      <c r="BF252" s="47"/>
      <c r="BG252" s="47"/>
      <c r="BH252" s="47"/>
      <c r="BI252" s="47"/>
      <c r="BJ252" s="185"/>
      <c r="BK252" s="47"/>
      <c r="BL252" s="47"/>
      <c r="BM252" s="47"/>
      <c r="BN252" s="47"/>
      <c r="BO252" s="185"/>
      <c r="BP252" s="47"/>
      <c r="BQ252" s="47"/>
      <c r="BR252" s="47"/>
      <c r="BS252" s="47"/>
      <c r="BT252" s="185"/>
      <c r="BU252" s="47"/>
      <c r="BV252" s="47"/>
      <c r="BW252" s="47"/>
      <c r="BX252" s="47"/>
      <c r="BY252" s="185"/>
      <c r="BZ252" s="47"/>
      <c r="CA252" s="47"/>
      <c r="CB252" s="47"/>
      <c r="CC252" s="47"/>
      <c r="CD252" s="185"/>
      <c r="CE252" s="47"/>
      <c r="CF252" s="47"/>
      <c r="CG252" s="47"/>
      <c r="CH252" s="47"/>
      <c r="CI252" s="185"/>
      <c r="CJ252" s="47"/>
      <c r="CK252" s="47"/>
      <c r="CL252" s="47"/>
      <c r="CM252" s="47"/>
      <c r="CN252" s="185"/>
      <c r="CO252" s="47"/>
      <c r="CP252" s="47"/>
      <c r="CQ252" s="47"/>
      <c r="CR252" s="47"/>
      <c r="CS252" s="185"/>
      <c r="CT252" s="47"/>
      <c r="CU252" s="47"/>
      <c r="CV252" s="47"/>
      <c r="CW252" s="47"/>
      <c r="CX252" s="185"/>
      <c r="CY252" s="47"/>
      <c r="CZ252" s="47"/>
      <c r="DA252" s="47"/>
      <c r="DB252" s="47"/>
      <c r="DC252" s="185"/>
      <c r="DD252" s="47"/>
      <c r="DE252" s="47"/>
      <c r="DF252" s="47"/>
      <c r="DG252" s="47"/>
      <c r="DH252" s="185"/>
    </row>
    <row r="253" spans="1:112" ht="12.75" customHeight="1" x14ac:dyDescent="0.2">
      <c r="A253" s="364" t="s">
        <v>267</v>
      </c>
      <c r="B253" s="104"/>
      <c r="C253" s="158"/>
      <c r="D253" s="158"/>
      <c r="E253" s="158"/>
      <c r="F253" s="158"/>
      <c r="G253" s="269"/>
      <c r="H253" s="158"/>
      <c r="I253" s="158"/>
      <c r="J253" s="158"/>
      <c r="K253" s="158"/>
      <c r="L253" s="269"/>
      <c r="M253" s="158"/>
      <c r="N253" s="158"/>
      <c r="O253" s="158"/>
      <c r="P253" s="158"/>
      <c r="Q253" s="269"/>
      <c r="R253" s="158"/>
      <c r="S253" s="158"/>
      <c r="T253" s="158"/>
      <c r="U253" s="158"/>
      <c r="V253" s="269"/>
      <c r="W253" s="158"/>
      <c r="X253" s="158"/>
      <c r="Y253" s="158"/>
      <c r="Z253" s="158"/>
      <c r="AA253" s="269"/>
      <c r="AB253" s="264"/>
      <c r="AC253" s="264"/>
      <c r="AD253" s="264"/>
      <c r="AE253" s="264"/>
      <c r="AF253" s="269"/>
      <c r="AG253" s="264"/>
      <c r="AH253" s="264"/>
      <c r="AI253" s="264"/>
      <c r="AJ253" s="264"/>
      <c r="AK253" s="420"/>
      <c r="AL253" s="264"/>
      <c r="AM253" s="264"/>
      <c r="AN253" s="264"/>
      <c r="AO253" s="264"/>
      <c r="AP253" s="335"/>
      <c r="AQ253" s="264"/>
      <c r="AR253" s="264"/>
      <c r="AS253" s="264"/>
      <c r="AT253" s="264"/>
      <c r="AU253" s="335"/>
      <c r="AV253" s="265"/>
      <c r="AW253" s="265"/>
      <c r="AX253" s="104"/>
      <c r="AY253" s="104"/>
      <c r="AZ253" s="186"/>
      <c r="BA253" s="104"/>
      <c r="BB253" s="104"/>
      <c r="BC253" s="104"/>
      <c r="BD253" s="104"/>
      <c r="BE253" s="186"/>
      <c r="BF253" s="104"/>
      <c r="BG253" s="104"/>
      <c r="BH253" s="104"/>
      <c r="BI253" s="104"/>
      <c r="BJ253" s="186"/>
      <c r="BK253" s="104"/>
      <c r="BL253" s="104"/>
      <c r="BM253" s="104"/>
      <c r="BN253" s="104"/>
      <c r="BO253" s="186"/>
      <c r="BP253" s="104"/>
      <c r="BQ253" s="104"/>
      <c r="BR253" s="104"/>
      <c r="BS253" s="104"/>
      <c r="BT253" s="186"/>
      <c r="BU253" s="104"/>
      <c r="BV253" s="104"/>
      <c r="BW253" s="104"/>
      <c r="BX253" s="104"/>
      <c r="BY253" s="186"/>
      <c r="BZ253" s="104"/>
      <c r="CA253" s="104"/>
      <c r="CB253" s="104"/>
      <c r="CC253" s="104"/>
      <c r="CD253" s="186"/>
      <c r="CE253" s="104"/>
      <c r="CF253" s="104"/>
      <c r="CG253" s="104"/>
      <c r="CH253" s="104"/>
      <c r="CI253" s="186"/>
      <c r="CJ253" s="104"/>
      <c r="CK253" s="104"/>
      <c r="CL253" s="104"/>
      <c r="CM253" s="104"/>
      <c r="CN253" s="186"/>
      <c r="CO253" s="104"/>
      <c r="CP253" s="104"/>
      <c r="CQ253" s="104"/>
      <c r="CR253" s="104"/>
      <c r="CS253" s="186"/>
      <c r="CT253" s="104"/>
      <c r="CU253" s="104"/>
      <c r="CV253" s="104"/>
      <c r="CW253" s="104"/>
      <c r="CX253" s="186"/>
      <c r="CY253" s="104"/>
      <c r="CZ253" s="104"/>
      <c r="DA253" s="104"/>
      <c r="DB253" s="104"/>
      <c r="DC253" s="186"/>
      <c r="DD253" s="104"/>
      <c r="DE253" s="104"/>
      <c r="DF253" s="104"/>
      <c r="DG253" s="104"/>
      <c r="DH253" s="186"/>
    </row>
    <row r="254" spans="1:112" ht="12.75" customHeight="1" x14ac:dyDescent="0.2">
      <c r="A254" s="101" t="s">
        <v>217</v>
      </c>
      <c r="B254" s="104"/>
      <c r="C254" s="158"/>
      <c r="D254" s="158"/>
      <c r="E254" s="158"/>
      <c r="F254" s="158"/>
      <c r="G254" s="269"/>
      <c r="H254" s="158"/>
      <c r="I254" s="158"/>
      <c r="J254" s="158"/>
      <c r="K254" s="158"/>
      <c r="L254" s="269"/>
      <c r="M254" s="158"/>
      <c r="N254" s="158"/>
      <c r="O254" s="158"/>
      <c r="P254" s="158"/>
      <c r="Q254" s="269"/>
      <c r="R254" s="158"/>
      <c r="S254" s="158"/>
      <c r="T254" s="158"/>
      <c r="U254" s="158"/>
      <c r="V254" s="269"/>
      <c r="W254" s="158"/>
      <c r="X254" s="158"/>
      <c r="Y254" s="158"/>
      <c r="Z254" s="158"/>
      <c r="AA254" s="269"/>
      <c r="AB254" s="264"/>
      <c r="AC254" s="264"/>
      <c r="AD254" s="264"/>
      <c r="AE254" s="264"/>
      <c r="AF254" s="269"/>
      <c r="AG254" s="60">
        <f t="shared" ref="AG254:AW254" si="301">AG154/AG158</f>
        <v>0.49122807017543857</v>
      </c>
      <c r="AH254" s="60">
        <f t="shared" si="301"/>
        <v>0.40314136125654448</v>
      </c>
      <c r="AI254" s="60">
        <f t="shared" si="301"/>
        <v>0.41923076923076924</v>
      </c>
      <c r="AJ254" s="60">
        <f t="shared" si="301"/>
        <v>0.31972789115646261</v>
      </c>
      <c r="AK254" s="188">
        <f t="shared" si="301"/>
        <v>0.40287769784172661</v>
      </c>
      <c r="AL254" s="60">
        <f t="shared" si="301"/>
        <v>0.48898678414096919</v>
      </c>
      <c r="AM254" s="60">
        <f t="shared" si="301"/>
        <v>0.37810945273631841</v>
      </c>
      <c r="AN254" s="60">
        <f t="shared" si="301"/>
        <v>0.38157894736842107</v>
      </c>
      <c r="AO254" s="60">
        <f t="shared" si="301"/>
        <v>0.27652733118971062</v>
      </c>
      <c r="AP254" s="188">
        <f t="shared" si="301"/>
        <v>0.37228541882109617</v>
      </c>
      <c r="AQ254" s="60">
        <f t="shared" si="301"/>
        <v>0.43071161048689138</v>
      </c>
      <c r="AR254" s="60">
        <f t="shared" si="301"/>
        <v>0.37681159420289856</v>
      </c>
      <c r="AS254" s="60">
        <f t="shared" si="301"/>
        <v>0.35691318327974275</v>
      </c>
      <c r="AT254" s="60">
        <f t="shared" si="301"/>
        <v>0.32615384615384613</v>
      </c>
      <c r="AU254" s="188">
        <f t="shared" si="301"/>
        <v>0.369702434625789</v>
      </c>
      <c r="AV254" s="60">
        <f t="shared" si="301"/>
        <v>0.4204946996466431</v>
      </c>
      <c r="AW254" s="60">
        <f t="shared" si="301"/>
        <v>0.33816425120772947</v>
      </c>
      <c r="AX254" s="60">
        <f t="shared" ref="AX254:BE254" si="302">AX154/AX158</f>
        <v>0.32867132867132864</v>
      </c>
      <c r="AY254" s="60">
        <f t="shared" si="302"/>
        <v>0.25835866261398177</v>
      </c>
      <c r="AZ254" s="188">
        <f t="shared" si="302"/>
        <v>0.33303167420814478</v>
      </c>
      <c r="BA254" s="60">
        <f t="shared" si="302"/>
        <v>0.44485294117647056</v>
      </c>
      <c r="BB254" s="60">
        <f t="shared" si="302"/>
        <v>0.32653061224489793</v>
      </c>
      <c r="BC254" s="60">
        <f>BC154/BC158</f>
        <v>0.33085501858736061</v>
      </c>
      <c r="BD254" s="60">
        <f t="shared" si="302"/>
        <v>0.27242524916943522</v>
      </c>
      <c r="BE254" s="188">
        <f t="shared" si="302"/>
        <v>0.34296724470134876</v>
      </c>
      <c r="BF254" s="60">
        <f>BF154/BF158</f>
        <v>0.44081632653061226</v>
      </c>
      <c r="BG254" s="60">
        <f>BG154/BG158</f>
        <v>0.3644859813084112</v>
      </c>
      <c r="BH254" s="60">
        <f t="shared" ref="BH254:CX254" si="303">BH154/BH158</f>
        <v>0.36727272727272725</v>
      </c>
      <c r="BI254" s="60">
        <f t="shared" si="303"/>
        <v>0.2857142857142857</v>
      </c>
      <c r="BJ254" s="188">
        <f t="shared" si="303"/>
        <v>0.35841956726246471</v>
      </c>
      <c r="BK254" s="60">
        <f t="shared" si="303"/>
        <v>0.47244094488188976</v>
      </c>
      <c r="BL254" s="60">
        <f t="shared" si="303"/>
        <v>0.39840637450199201</v>
      </c>
      <c r="BM254" s="60">
        <f t="shared" si="303"/>
        <v>0.37218045112781956</v>
      </c>
      <c r="BN254" s="60">
        <f>BN154/BN158</f>
        <v>0.29705882352941176</v>
      </c>
      <c r="BO254" s="188">
        <f>BO154/BO158</f>
        <v>0.37803780378037805</v>
      </c>
      <c r="BP254" s="60">
        <f t="shared" si="303"/>
        <v>0.49063670411985016</v>
      </c>
      <c r="BQ254" s="60">
        <f t="shared" si="303"/>
        <v>0.41393442622950821</v>
      </c>
      <c r="BR254" s="60">
        <f t="shared" si="303"/>
        <v>0.35907335907335908</v>
      </c>
      <c r="BS254" s="60">
        <f t="shared" si="303"/>
        <v>0.30205278592375367</v>
      </c>
      <c r="BT254" s="188">
        <f t="shared" si="303"/>
        <v>0.38523852385238522</v>
      </c>
      <c r="BU254" s="60">
        <f>BU154/BU158</f>
        <v>0.48062015503875971</v>
      </c>
      <c r="BV254" s="60">
        <f t="shared" si="303"/>
        <v>0.41960784313725491</v>
      </c>
      <c r="BW254" s="60">
        <f t="shared" si="303"/>
        <v>0.34482758620689657</v>
      </c>
      <c r="BX254" s="60">
        <f t="shared" si="303"/>
        <v>0.32294617563739375</v>
      </c>
      <c r="BY254" s="188">
        <f>BY154/BY158</f>
        <v>0.38494809688581316</v>
      </c>
      <c r="BZ254" s="60">
        <f t="shared" si="303"/>
        <v>0.46273291925465837</v>
      </c>
      <c r="CA254" s="60">
        <f t="shared" si="303"/>
        <v>0.43309859154929575</v>
      </c>
      <c r="CB254" s="60">
        <f t="shared" si="303"/>
        <v>0.38607594936708861</v>
      </c>
      <c r="CC254" s="60">
        <f t="shared" si="303"/>
        <v>0.35029940119760478</v>
      </c>
      <c r="CD254" s="188">
        <f t="shared" si="303"/>
        <v>0.40684713375796178</v>
      </c>
      <c r="CE254" s="60">
        <f t="shared" si="303"/>
        <v>0.50931677018633537</v>
      </c>
      <c r="CF254" s="60">
        <f t="shared" si="303"/>
        <v>0.37142857142857144</v>
      </c>
      <c r="CG254" s="60">
        <f t="shared" si="303"/>
        <v>0.42718446601941745</v>
      </c>
      <c r="CH254" s="60">
        <f t="shared" si="303"/>
        <v>0.3455056179775281</v>
      </c>
      <c r="CI254" s="188">
        <f t="shared" si="303"/>
        <v>0.4127861089187056</v>
      </c>
      <c r="CJ254" s="60">
        <f t="shared" si="303"/>
        <v>0.51807228915662651</v>
      </c>
      <c r="CK254" s="60">
        <f t="shared" si="303"/>
        <v>0.45318352059925093</v>
      </c>
      <c r="CL254" s="60">
        <f t="shared" si="303"/>
        <v>0.43438568354796359</v>
      </c>
      <c r="CM254" s="60">
        <f t="shared" ca="1" si="303"/>
        <v>0.35701198800426265</v>
      </c>
      <c r="CN254" s="188">
        <f t="shared" ca="1" si="303"/>
        <v>0.43819944316327991</v>
      </c>
      <c r="CO254" s="60">
        <f t="shared" si="303"/>
        <v>0.52164258962804366</v>
      </c>
      <c r="CP254" s="60">
        <f t="shared" si="303"/>
        <v>0.44211637945166454</v>
      </c>
      <c r="CQ254" s="60">
        <f t="shared" si="303"/>
        <v>0.4407283329595843</v>
      </c>
      <c r="CR254" s="60">
        <f t="shared" ca="1" si="303"/>
        <v>0.35447995098617413</v>
      </c>
      <c r="CS254" s="188">
        <f t="shared" ca="1" si="303"/>
        <v>0.4379908342240546</v>
      </c>
      <c r="CT254" s="60">
        <f t="shared" si="303"/>
        <v>0.51164451133220656</v>
      </c>
      <c r="CU254" s="60">
        <f t="shared" si="303"/>
        <v>0.43204140131093738</v>
      </c>
      <c r="CV254" s="60">
        <f t="shared" si="303"/>
        <v>0.43187758499199347</v>
      </c>
      <c r="CW254" s="60">
        <f t="shared" ca="1" si="303"/>
        <v>0.34786158760663449</v>
      </c>
      <c r="CX254" s="188">
        <f t="shared" ca="1" si="303"/>
        <v>0.42917278694427236</v>
      </c>
      <c r="CY254" s="60">
        <f>CY154/CY158</f>
        <v>0.50890862560900541</v>
      </c>
      <c r="CZ254" s="60">
        <f>CZ154/CZ158</f>
        <v>0.42937440823367046</v>
      </c>
      <c r="DA254" s="60">
        <f>DA154/DA158</f>
        <v>0.43018679083343425</v>
      </c>
      <c r="DB254" s="60">
        <f ca="1">DB154/DB158</f>
        <v>0.34745409293923768</v>
      </c>
      <c r="DC254" s="188">
        <f t="shared" ref="DC254:DH254" ca="1" si="304">DC154/DC158</f>
        <v>0.42741072586293</v>
      </c>
      <c r="DD254" s="60">
        <f t="shared" si="304"/>
        <v>0.50637638043642597</v>
      </c>
      <c r="DE254" s="60">
        <f t="shared" si="304"/>
        <v>0.42688842160324819</v>
      </c>
      <c r="DF254" s="60">
        <f t="shared" si="304"/>
        <v>0.4286390679773518</v>
      </c>
      <c r="DG254" s="60">
        <f t="shared" ca="1" si="304"/>
        <v>0.34710509829984387</v>
      </c>
      <c r="DH254" s="188">
        <f t="shared" ca="1" si="304"/>
        <v>0.4257900827692413</v>
      </c>
    </row>
    <row r="255" spans="1:112" ht="12.75" customHeight="1" x14ac:dyDescent="0.2">
      <c r="A255" s="101" t="s">
        <v>218</v>
      </c>
      <c r="B255" s="104"/>
      <c r="C255" s="158"/>
      <c r="D255" s="158"/>
      <c r="E255" s="158"/>
      <c r="F255" s="158"/>
      <c r="G255" s="269"/>
      <c r="H255" s="158"/>
      <c r="I255" s="158"/>
      <c r="J255" s="158"/>
      <c r="K255" s="158"/>
      <c r="L255" s="269"/>
      <c r="M255" s="158"/>
      <c r="N255" s="158"/>
      <c r="O255" s="158"/>
      <c r="P255" s="158"/>
      <c r="Q255" s="269"/>
      <c r="R255" s="158"/>
      <c r="S255" s="158"/>
      <c r="T255" s="158"/>
      <c r="U255" s="158"/>
      <c r="V255" s="269"/>
      <c r="W255" s="158"/>
      <c r="X255" s="158"/>
      <c r="Y255" s="158"/>
      <c r="Z255" s="158"/>
      <c r="AA255" s="269"/>
      <c r="AB255" s="264"/>
      <c r="AC255" s="264"/>
      <c r="AD255" s="264"/>
      <c r="AE255" s="264"/>
      <c r="AF255" s="269"/>
      <c r="AG255" s="60">
        <f t="shared" ref="AG255:AW255" si="305">AG155/AG158</f>
        <v>0.15789473684210525</v>
      </c>
      <c r="AH255" s="60">
        <f t="shared" si="305"/>
        <v>0.15183246073298429</v>
      </c>
      <c r="AI255" s="60">
        <f t="shared" si="305"/>
        <v>0.21153846153846154</v>
      </c>
      <c r="AJ255" s="60">
        <f t="shared" si="305"/>
        <v>0.35714285714285715</v>
      </c>
      <c r="AK255" s="188">
        <f t="shared" si="305"/>
        <v>0.23124357656731759</v>
      </c>
      <c r="AL255" s="60">
        <f t="shared" si="305"/>
        <v>0.11013215859030837</v>
      </c>
      <c r="AM255" s="60">
        <f t="shared" si="305"/>
        <v>0.17412935323383086</v>
      </c>
      <c r="AN255" s="60">
        <f t="shared" si="305"/>
        <v>0.21929824561403508</v>
      </c>
      <c r="AO255" s="60">
        <f t="shared" si="305"/>
        <v>0.36977491961414793</v>
      </c>
      <c r="AP255" s="188">
        <f t="shared" si="305"/>
        <v>0.23267838676318511</v>
      </c>
      <c r="AQ255" s="60">
        <f t="shared" si="305"/>
        <v>0.23220973782771537</v>
      </c>
      <c r="AR255" s="60">
        <f t="shared" si="305"/>
        <v>0.13043478260869565</v>
      </c>
      <c r="AS255" s="60">
        <f t="shared" si="305"/>
        <v>0.25080385852090031</v>
      </c>
      <c r="AT255" s="60">
        <f t="shared" si="305"/>
        <v>0.37538461538461537</v>
      </c>
      <c r="AU255" s="188">
        <f t="shared" si="305"/>
        <v>0.260595130748422</v>
      </c>
      <c r="AV255" s="60">
        <f t="shared" si="305"/>
        <v>0.19434628975265017</v>
      </c>
      <c r="AW255" s="60">
        <f t="shared" si="305"/>
        <v>0.13043478260869565</v>
      </c>
      <c r="AX255" s="60">
        <f t="shared" ref="AX255:BE255" si="306">AX155/AX158</f>
        <v>0.25174825174825177</v>
      </c>
      <c r="AY255" s="60">
        <f t="shared" si="306"/>
        <v>0.41337386018237082</v>
      </c>
      <c r="AZ255" s="188">
        <f t="shared" si="306"/>
        <v>0.26244343891402716</v>
      </c>
      <c r="BA255" s="60">
        <f t="shared" si="306"/>
        <v>0.19485294117647059</v>
      </c>
      <c r="BB255" s="60">
        <f t="shared" si="306"/>
        <v>0.12755102040816327</v>
      </c>
      <c r="BC255" s="60">
        <f>BC155/BC158</f>
        <v>0.27137546468401486</v>
      </c>
      <c r="BD255" s="60">
        <f t="shared" si="306"/>
        <v>0.42192691029900331</v>
      </c>
      <c r="BE255" s="188">
        <f t="shared" si="306"/>
        <v>0.26782273603082851</v>
      </c>
      <c r="BF255" s="60">
        <f>BF155/BF158</f>
        <v>0.17142857142857143</v>
      </c>
      <c r="BG255" s="60">
        <f>BG155/BG158</f>
        <v>0.15887850467289719</v>
      </c>
      <c r="BH255" s="60">
        <f t="shared" ref="BH255:CX255" si="307">BH155/BH158</f>
        <v>0.28000000000000003</v>
      </c>
      <c r="BI255" s="60">
        <f t="shared" si="307"/>
        <v>0.44072948328267475</v>
      </c>
      <c r="BJ255" s="188">
        <f t="shared" si="307"/>
        <v>0.28033866415804326</v>
      </c>
      <c r="BK255" s="60">
        <f t="shared" si="307"/>
        <v>0.19685039370078741</v>
      </c>
      <c r="BL255" s="60">
        <f t="shared" si="307"/>
        <v>0.22310756972111553</v>
      </c>
      <c r="BM255" s="60">
        <f t="shared" si="307"/>
        <v>0.2857142857142857</v>
      </c>
      <c r="BN255" s="60">
        <f>BN155/BN158</f>
        <v>0.45294117647058824</v>
      </c>
      <c r="BO255" s="188">
        <f>BO155/BO158</f>
        <v>0.30243024302430244</v>
      </c>
      <c r="BP255" s="60">
        <f t="shared" si="307"/>
        <v>0.19475655430711611</v>
      </c>
      <c r="BQ255" s="60">
        <f t="shared" si="307"/>
        <v>0.16803278688524589</v>
      </c>
      <c r="BR255" s="60">
        <f t="shared" si="307"/>
        <v>0.29343629343629346</v>
      </c>
      <c r="BS255" s="60">
        <f t="shared" si="307"/>
        <v>0.46041055718475071</v>
      </c>
      <c r="BT255" s="188">
        <f t="shared" si="307"/>
        <v>0.2934293429342934</v>
      </c>
      <c r="BU255" s="60">
        <f>BU155/BU158</f>
        <v>0.20155038759689922</v>
      </c>
      <c r="BV255" s="60">
        <f t="shared" si="307"/>
        <v>0.2</v>
      </c>
      <c r="BW255" s="60">
        <f t="shared" si="307"/>
        <v>0.35172413793103446</v>
      </c>
      <c r="BX255" s="60">
        <f t="shared" si="307"/>
        <v>0.48158640226628896</v>
      </c>
      <c r="BY255" s="188">
        <f>BY155/BY158</f>
        <v>0.32439446366782004</v>
      </c>
      <c r="BZ255" s="60">
        <f t="shared" si="307"/>
        <v>0.25465838509316768</v>
      </c>
      <c r="CA255" s="60">
        <f t="shared" si="307"/>
        <v>0.23591549295774647</v>
      </c>
      <c r="CB255" s="60">
        <f t="shared" si="307"/>
        <v>0.35759493670886078</v>
      </c>
      <c r="CC255" s="60">
        <f t="shared" si="307"/>
        <v>0.49700598802395207</v>
      </c>
      <c r="CD255" s="188">
        <f t="shared" si="307"/>
        <v>0.34076433121019106</v>
      </c>
      <c r="CE255" s="60">
        <f t="shared" si="307"/>
        <v>0.21428571428571427</v>
      </c>
      <c r="CF255" s="60">
        <f t="shared" si="307"/>
        <v>0.25357142857142856</v>
      </c>
      <c r="CG255" s="60">
        <f t="shared" si="307"/>
        <v>0.34304207119741098</v>
      </c>
      <c r="CH255" s="60">
        <f t="shared" si="307"/>
        <v>0.4859550561797753</v>
      </c>
      <c r="CI255" s="188">
        <f t="shared" si="307"/>
        <v>0.33070244672454618</v>
      </c>
      <c r="CJ255" s="60">
        <f t="shared" si="307"/>
        <v>0.21987951807228914</v>
      </c>
      <c r="CK255" s="60">
        <f t="shared" si="307"/>
        <v>0.20224719101123595</v>
      </c>
      <c r="CL255" s="60">
        <f t="shared" si="307"/>
        <v>0.33182045900242829</v>
      </c>
      <c r="CM255" s="60">
        <f t="shared" ca="1" si="307"/>
        <v>0.47092106765319558</v>
      </c>
      <c r="CN255" s="188">
        <f t="shared" ca="1" si="307"/>
        <v>0.31484698586803606</v>
      </c>
      <c r="CO255" s="60">
        <f t="shared" si="307"/>
        <v>0.21583189737616726</v>
      </c>
      <c r="CP255" s="60">
        <f t="shared" si="307"/>
        <v>0.21096341241175298</v>
      </c>
      <c r="CQ255" s="60">
        <f t="shared" si="307"/>
        <v>0.33909312819353538</v>
      </c>
      <c r="CR255" s="60">
        <f t="shared" ca="1" si="307"/>
        <v>0.47564972591536692</v>
      </c>
      <c r="CS255" s="188">
        <f t="shared" ca="1" si="307"/>
        <v>0.3180403963239854</v>
      </c>
      <c r="CT255" s="60">
        <f t="shared" si="307"/>
        <v>0.22390280788134834</v>
      </c>
      <c r="CU255" s="60">
        <f t="shared" si="307"/>
        <v>0.2207520982288278</v>
      </c>
      <c r="CV255" s="60">
        <f t="shared" si="307"/>
        <v>0.34509616419036238</v>
      </c>
      <c r="CW255" s="60">
        <f t="shared" ca="1" si="307"/>
        <v>0.47944540763795834</v>
      </c>
      <c r="CX255" s="188">
        <f t="shared" ca="1" si="307"/>
        <v>0.32472138244912624</v>
      </c>
      <c r="CY255" s="60">
        <f>CY155/CY158</f>
        <v>0.22347321919091945</v>
      </c>
      <c r="CZ255" s="60">
        <f>CZ155/CZ158</f>
        <v>0.22042530286047307</v>
      </c>
      <c r="DA255" s="60">
        <f>DA155/DA158</f>
        <v>0.34310715835488226</v>
      </c>
      <c r="DB255" s="60">
        <f ca="1">DB155/DB158</f>
        <v>0.47648571726823408</v>
      </c>
      <c r="DC255" s="188">
        <f t="shared" ref="DC255:DH255" ca="1" si="308">DC155/DC158</f>
        <v>0.32306378846536132</v>
      </c>
      <c r="DD255" s="60">
        <f t="shared" si="308"/>
        <v>0.22288789720290073</v>
      </c>
      <c r="DE255" s="60">
        <f t="shared" si="308"/>
        <v>0.21990178746625119</v>
      </c>
      <c r="DF255" s="60">
        <f t="shared" si="308"/>
        <v>0.34110621791630519</v>
      </c>
      <c r="DG255" s="60">
        <f t="shared" ca="1" si="308"/>
        <v>0.47362976295434028</v>
      </c>
      <c r="DH255" s="188">
        <f t="shared" ca="1" si="308"/>
        <v>0.32135615266326906</v>
      </c>
    </row>
    <row r="256" spans="1:112" ht="12.75" customHeight="1" x14ac:dyDescent="0.2">
      <c r="A256" s="101" t="s">
        <v>219</v>
      </c>
      <c r="B256" s="104"/>
      <c r="C256" s="158"/>
      <c r="D256" s="158"/>
      <c r="E256" s="158"/>
      <c r="F256" s="158"/>
      <c r="G256" s="269"/>
      <c r="H256" s="158"/>
      <c r="I256" s="158"/>
      <c r="J256" s="158"/>
      <c r="K256" s="158"/>
      <c r="L256" s="269"/>
      <c r="M256" s="158"/>
      <c r="N256" s="158"/>
      <c r="O256" s="158"/>
      <c r="P256" s="158"/>
      <c r="Q256" s="269"/>
      <c r="R256" s="158"/>
      <c r="S256" s="158"/>
      <c r="T256" s="158"/>
      <c r="U256" s="158"/>
      <c r="V256" s="269"/>
      <c r="W256" s="158"/>
      <c r="X256" s="158"/>
      <c r="Y256" s="158"/>
      <c r="Z256" s="158"/>
      <c r="AA256" s="269"/>
      <c r="AB256" s="264"/>
      <c r="AC256" s="264"/>
      <c r="AD256" s="264"/>
      <c r="AE256" s="264"/>
      <c r="AF256" s="269"/>
      <c r="AG256" s="60">
        <f t="shared" ref="AG256:AW256" si="309">AG156/AG158</f>
        <v>0.17982456140350878</v>
      </c>
      <c r="AH256" s="60">
        <f t="shared" si="309"/>
        <v>0.24083769633507854</v>
      </c>
      <c r="AI256" s="60">
        <f t="shared" si="309"/>
        <v>0.18461538461538463</v>
      </c>
      <c r="AJ256" s="60">
        <f t="shared" si="309"/>
        <v>0.17346938775510204</v>
      </c>
      <c r="AK256" s="188">
        <f t="shared" si="309"/>
        <v>0.19116135662898254</v>
      </c>
      <c r="AL256" s="60">
        <f t="shared" si="309"/>
        <v>0.22026431718061673</v>
      </c>
      <c r="AM256" s="60">
        <f t="shared" si="309"/>
        <v>0.21890547263681592</v>
      </c>
      <c r="AN256" s="60">
        <f t="shared" si="309"/>
        <v>0.25438596491228072</v>
      </c>
      <c r="AO256" s="60">
        <f t="shared" si="309"/>
        <v>0.17041800643086816</v>
      </c>
      <c r="AP256" s="188">
        <f t="shared" si="309"/>
        <v>0.21199586349534644</v>
      </c>
      <c r="AQ256" s="60">
        <f t="shared" si="309"/>
        <v>0.20973782771535582</v>
      </c>
      <c r="AR256" s="60">
        <f t="shared" si="309"/>
        <v>0.32367149758454106</v>
      </c>
      <c r="AS256" s="60">
        <f t="shared" si="309"/>
        <v>0.24115755627009647</v>
      </c>
      <c r="AT256" s="60">
        <f t="shared" si="309"/>
        <v>0.22461538461538461</v>
      </c>
      <c r="AU256" s="188">
        <f t="shared" si="309"/>
        <v>0.24346257889990983</v>
      </c>
      <c r="AV256" s="60">
        <f t="shared" si="309"/>
        <v>0.2332155477031802</v>
      </c>
      <c r="AW256" s="60">
        <f t="shared" si="309"/>
        <v>0.37681159420289856</v>
      </c>
      <c r="AX256" s="60">
        <f t="shared" ref="AX256:BE256" si="310">AX156/AX158</f>
        <v>0.28671328671328672</v>
      </c>
      <c r="AY256" s="60">
        <f t="shared" si="310"/>
        <v>0.23404255319148937</v>
      </c>
      <c r="AZ256" s="188">
        <f t="shared" si="310"/>
        <v>0.27420814479638012</v>
      </c>
      <c r="BA256" s="60">
        <f t="shared" si="310"/>
        <v>0.21691176470588236</v>
      </c>
      <c r="BB256" s="60">
        <f t="shared" si="310"/>
        <v>0.33163265306122447</v>
      </c>
      <c r="BC256" s="60">
        <f>BC156/BC158</f>
        <v>0.25278810408921931</v>
      </c>
      <c r="BD256" s="60">
        <f t="shared" si="310"/>
        <v>0.20930232558139536</v>
      </c>
      <c r="BE256" s="188">
        <f t="shared" si="310"/>
        <v>0.24566473988439305</v>
      </c>
      <c r="BF256" s="60">
        <f>BF156/BF158</f>
        <v>0.22448979591836735</v>
      </c>
      <c r="BG256" s="60">
        <f>BG156/BG158</f>
        <v>0.32242990654205606</v>
      </c>
      <c r="BH256" s="60">
        <f t="shared" ref="BH256:CX256" si="311">BH156/BH158</f>
        <v>0.27636363636363637</v>
      </c>
      <c r="BI256" s="60">
        <f t="shared" si="311"/>
        <v>0.19756838905775076</v>
      </c>
      <c r="BJ256" s="188">
        <f t="shared" si="311"/>
        <v>0.24929444967074318</v>
      </c>
      <c r="BK256" s="60">
        <f t="shared" si="311"/>
        <v>0.22047244094488189</v>
      </c>
      <c r="BL256" s="60">
        <f t="shared" si="311"/>
        <v>0.2788844621513944</v>
      </c>
      <c r="BM256" s="60">
        <f t="shared" si="311"/>
        <v>0.26691729323308272</v>
      </c>
      <c r="BN256" s="60">
        <f>BN156/BN158</f>
        <v>0.18235294117647058</v>
      </c>
      <c r="BO256" s="188">
        <f>BO156/BO158</f>
        <v>0.23312331233123312</v>
      </c>
      <c r="BP256" s="60">
        <f t="shared" si="311"/>
        <v>0.19850187265917604</v>
      </c>
      <c r="BQ256" s="60">
        <f t="shared" si="311"/>
        <v>0.28278688524590162</v>
      </c>
      <c r="BR256" s="60">
        <f t="shared" si="311"/>
        <v>0.25868725868725867</v>
      </c>
      <c r="BS256" s="60">
        <f t="shared" si="311"/>
        <v>0.20234604105571846</v>
      </c>
      <c r="BT256" s="188">
        <f t="shared" si="311"/>
        <v>0.23222322232223222</v>
      </c>
      <c r="BU256" s="60">
        <f>BU156/BU158</f>
        <v>0.21705426356589147</v>
      </c>
      <c r="BV256" s="60">
        <f t="shared" si="311"/>
        <v>0.28627450980392155</v>
      </c>
      <c r="BW256" s="60">
        <f t="shared" si="311"/>
        <v>0.24482758620689654</v>
      </c>
      <c r="BX256" s="60">
        <f t="shared" si="311"/>
        <v>0.16147308781869688</v>
      </c>
      <c r="BY256" s="188">
        <f>BY156/BY158</f>
        <v>0.22231833910034601</v>
      </c>
      <c r="BZ256" s="60">
        <f t="shared" si="311"/>
        <v>0.18322981366459629</v>
      </c>
      <c r="CA256" s="60">
        <f t="shared" si="311"/>
        <v>0.25352112676056338</v>
      </c>
      <c r="CB256" s="60">
        <f t="shared" si="311"/>
        <v>0.22151898734177214</v>
      </c>
      <c r="CC256" s="60">
        <f t="shared" si="311"/>
        <v>0.1497005988023952</v>
      </c>
      <c r="CD256" s="188">
        <f t="shared" si="311"/>
        <v>0.1998407643312102</v>
      </c>
      <c r="CE256" s="60">
        <f t="shared" si="311"/>
        <v>0.19254658385093168</v>
      </c>
      <c r="CF256" s="60">
        <f t="shared" si="311"/>
        <v>0.27500000000000002</v>
      </c>
      <c r="CG256" s="60">
        <f t="shared" si="311"/>
        <v>0.1650485436893204</v>
      </c>
      <c r="CH256" s="60">
        <f t="shared" si="311"/>
        <v>0.15168539325842698</v>
      </c>
      <c r="CI256" s="188">
        <f t="shared" si="311"/>
        <v>0.19258089976322021</v>
      </c>
      <c r="CJ256" s="60">
        <f t="shared" si="311"/>
        <v>0.19277108433734941</v>
      </c>
      <c r="CK256" s="60">
        <f t="shared" si="311"/>
        <v>0.25842696629213485</v>
      </c>
      <c r="CL256" s="60">
        <f t="shared" si="311"/>
        <v>0.1816538499736737</v>
      </c>
      <c r="CM256" s="60">
        <f t="shared" ca="1" si="311"/>
        <v>0.15371744990205177</v>
      </c>
      <c r="CN256" s="188">
        <f t="shared" ca="1" si="311"/>
        <v>0.19279796378726435</v>
      </c>
      <c r="CO256" s="60">
        <f t="shared" si="311"/>
        <v>0.19529452134939024</v>
      </c>
      <c r="CP256" s="60">
        <f t="shared" si="311"/>
        <v>0.26322811941716268</v>
      </c>
      <c r="CQ256" s="60">
        <f t="shared" si="311"/>
        <v>0.17257116907250386</v>
      </c>
      <c r="CR256" s="60">
        <f t="shared" ca="1" si="311"/>
        <v>0.15552500542214925</v>
      </c>
      <c r="CS256" s="188">
        <f t="shared" ca="1" si="311"/>
        <v>0.19292369531553633</v>
      </c>
      <c r="CT256" s="60">
        <f t="shared" si="311"/>
        <v>0.19284294806628333</v>
      </c>
      <c r="CU256" s="60">
        <f t="shared" si="311"/>
        <v>0.25830699039538102</v>
      </c>
      <c r="CV256" s="60">
        <f t="shared" si="311"/>
        <v>0.17046856334941135</v>
      </c>
      <c r="CW256" s="60">
        <f t="shared" ca="1" si="311"/>
        <v>0.1537476588067061</v>
      </c>
      <c r="CX256" s="188">
        <f t="shared" ca="1" si="311"/>
        <v>0.19028169236424522</v>
      </c>
      <c r="CY256" s="60">
        <f>CY156/CY158</f>
        <v>0.19307494262834707</v>
      </c>
      <c r="CZ256" s="60">
        <f>CZ156/CZ158</f>
        <v>0.25780357917635283</v>
      </c>
      <c r="DA256" s="60">
        <f>DA156/DA158</f>
        <v>0.17112198657047778</v>
      </c>
      <c r="DB256" s="60">
        <f ca="1">DB156/DB158</f>
        <v>0.15466674794981972</v>
      </c>
      <c r="DC256" s="188">
        <f t="shared" ref="DC256:DH256" ca="1" si="312">DC156/DC158</f>
        <v>0.19071790281444659</v>
      </c>
      <c r="DD256" s="60">
        <f t="shared" si="312"/>
        <v>0.19333950150700188</v>
      </c>
      <c r="DE256" s="60">
        <f t="shared" si="312"/>
        <v>0.25742120674146629</v>
      </c>
      <c r="DF256" s="60">
        <f t="shared" si="312"/>
        <v>0.17177051592076065</v>
      </c>
      <c r="DG256" s="60">
        <f t="shared" ca="1" si="312"/>
        <v>0.15557300257335238</v>
      </c>
      <c r="DH256" s="188">
        <f t="shared" ca="1" si="312"/>
        <v>0.19117913271314985</v>
      </c>
    </row>
    <row r="257" spans="1:112" ht="12.75" customHeight="1" x14ac:dyDescent="0.2">
      <c r="A257" s="117" t="s">
        <v>220</v>
      </c>
      <c r="B257" s="167"/>
      <c r="C257" s="202"/>
      <c r="D257" s="202"/>
      <c r="E257" s="202"/>
      <c r="F257" s="202"/>
      <c r="G257" s="287"/>
      <c r="H257" s="202"/>
      <c r="I257" s="202"/>
      <c r="J257" s="202"/>
      <c r="K257" s="202"/>
      <c r="L257" s="287"/>
      <c r="M257" s="202"/>
      <c r="N257" s="202"/>
      <c r="O257" s="202"/>
      <c r="P257" s="202"/>
      <c r="Q257" s="287"/>
      <c r="R257" s="202"/>
      <c r="S257" s="202"/>
      <c r="T257" s="202"/>
      <c r="U257" s="202"/>
      <c r="V257" s="287"/>
      <c r="W257" s="202"/>
      <c r="X257" s="202"/>
      <c r="Y257" s="202"/>
      <c r="Z257" s="202"/>
      <c r="AA257" s="287"/>
      <c r="AB257" s="266"/>
      <c r="AC257" s="266"/>
      <c r="AD257" s="266"/>
      <c r="AE257" s="266"/>
      <c r="AF257" s="287"/>
      <c r="AG257" s="215">
        <f t="shared" ref="AG257:AW257" si="313">AG157/AG158</f>
        <v>0.17105263157894737</v>
      </c>
      <c r="AH257" s="215">
        <f t="shared" si="313"/>
        <v>0.20418848167539266</v>
      </c>
      <c r="AI257" s="215">
        <f t="shared" si="313"/>
        <v>0.18461538461538463</v>
      </c>
      <c r="AJ257" s="215">
        <f t="shared" si="313"/>
        <v>0.14965986394557823</v>
      </c>
      <c r="AK257" s="196">
        <f t="shared" si="313"/>
        <v>0.17471736896197329</v>
      </c>
      <c r="AL257" s="215">
        <f t="shared" si="313"/>
        <v>0.18061674008810572</v>
      </c>
      <c r="AM257" s="215">
        <f t="shared" si="313"/>
        <v>0.22885572139303484</v>
      </c>
      <c r="AN257" s="215">
        <f t="shared" si="313"/>
        <v>0.14473684210526316</v>
      </c>
      <c r="AO257" s="215">
        <f t="shared" si="313"/>
        <v>0.18327974276527331</v>
      </c>
      <c r="AP257" s="196">
        <f t="shared" si="313"/>
        <v>0.18304033092037228</v>
      </c>
      <c r="AQ257" s="215">
        <f t="shared" si="313"/>
        <v>0.12734082397003746</v>
      </c>
      <c r="AR257" s="215">
        <f t="shared" si="313"/>
        <v>0.16908212560386474</v>
      </c>
      <c r="AS257" s="215">
        <f t="shared" si="313"/>
        <v>0.15112540192926044</v>
      </c>
      <c r="AT257" s="215">
        <f t="shared" si="313"/>
        <v>7.3846153846153853E-2</v>
      </c>
      <c r="AU257" s="196">
        <f t="shared" si="313"/>
        <v>0.12623985572587917</v>
      </c>
      <c r="AV257" s="215">
        <f t="shared" si="313"/>
        <v>0.1519434628975265</v>
      </c>
      <c r="AW257" s="215">
        <f t="shared" si="313"/>
        <v>0.15458937198067632</v>
      </c>
      <c r="AX257" s="215">
        <f t="shared" ref="AX257:BE257" si="314">AX157/AX158</f>
        <v>0.13286713286713286</v>
      </c>
      <c r="AY257" s="215">
        <f t="shared" si="314"/>
        <v>9.4224924012158054E-2</v>
      </c>
      <c r="AZ257" s="196">
        <f t="shared" si="314"/>
        <v>0.13031674208144797</v>
      </c>
      <c r="BA257" s="215">
        <f t="shared" si="314"/>
        <v>0.14338235294117646</v>
      </c>
      <c r="BB257" s="215">
        <f t="shared" si="314"/>
        <v>0.21428571428571427</v>
      </c>
      <c r="BC257" s="215">
        <f>BC157/BC158</f>
        <v>0.1449814126394052</v>
      </c>
      <c r="BD257" s="215">
        <f t="shared" si="314"/>
        <v>9.634551495016612E-2</v>
      </c>
      <c r="BE257" s="196">
        <f t="shared" si="314"/>
        <v>0.14354527938342967</v>
      </c>
      <c r="BF257" s="215">
        <f>BF157/BF158</f>
        <v>0.16326530612244897</v>
      </c>
      <c r="BG257" s="215">
        <f>BG157/BG158</f>
        <v>0.1542056074766355</v>
      </c>
      <c r="BH257" s="215">
        <f t="shared" ref="BH257:CX257" si="315">BH157/BH158</f>
        <v>7.636363636363637E-2</v>
      </c>
      <c r="BI257" s="215">
        <f t="shared" si="315"/>
        <v>7.598784194528875E-2</v>
      </c>
      <c r="BJ257" s="196">
        <f t="shared" si="315"/>
        <v>0.11194731890874883</v>
      </c>
      <c r="BK257" s="215">
        <f t="shared" si="315"/>
        <v>0.11023622047244094</v>
      </c>
      <c r="BL257" s="215">
        <f t="shared" si="315"/>
        <v>9.9601593625498003E-2</v>
      </c>
      <c r="BM257" s="215">
        <f t="shared" si="315"/>
        <v>7.5187969924812026E-2</v>
      </c>
      <c r="BN257" s="215">
        <f>BN157/BN158</f>
        <v>6.7647058823529407E-2</v>
      </c>
      <c r="BO257" s="196">
        <f>BO157/BO158</f>
        <v>8.6408640864086408E-2</v>
      </c>
      <c r="BP257" s="215">
        <f t="shared" si="315"/>
        <v>0.11610486891385768</v>
      </c>
      <c r="BQ257" s="215">
        <f t="shared" si="315"/>
        <v>0.13524590163934427</v>
      </c>
      <c r="BR257" s="215">
        <f t="shared" si="315"/>
        <v>8.8803088803088806E-2</v>
      </c>
      <c r="BS257" s="215">
        <f t="shared" si="315"/>
        <v>3.519061583577713E-2</v>
      </c>
      <c r="BT257" s="196">
        <f t="shared" si="315"/>
        <v>8.9108910891089105E-2</v>
      </c>
      <c r="BU257" s="215">
        <f>BU157/BU158</f>
        <v>0.10077519379844961</v>
      </c>
      <c r="BV257" s="215">
        <f t="shared" si="315"/>
        <v>9.4117647058823528E-2</v>
      </c>
      <c r="BW257" s="215">
        <f t="shared" si="315"/>
        <v>5.8620689655172413E-2</v>
      </c>
      <c r="BX257" s="215">
        <f t="shared" si="315"/>
        <v>3.39943342776204E-2</v>
      </c>
      <c r="BY257" s="196">
        <f>BY157/BY158</f>
        <v>6.8339100346020767E-2</v>
      </c>
      <c r="BZ257" s="215">
        <f t="shared" si="315"/>
        <v>9.9378881987577633E-2</v>
      </c>
      <c r="CA257" s="215">
        <f t="shared" si="315"/>
        <v>7.746478873239436E-2</v>
      </c>
      <c r="CB257" s="215">
        <f t="shared" si="315"/>
        <v>3.4810126582278479E-2</v>
      </c>
      <c r="CC257" s="215">
        <f t="shared" si="315"/>
        <v>2.9940119760479044E-3</v>
      </c>
      <c r="CD257" s="196">
        <f t="shared" si="315"/>
        <v>5.2547770700636945E-2</v>
      </c>
      <c r="CE257" s="215">
        <f t="shared" si="315"/>
        <v>8.3850931677018639E-2</v>
      </c>
      <c r="CF257" s="215">
        <f t="shared" si="315"/>
        <v>0.1</v>
      </c>
      <c r="CG257" s="215">
        <f t="shared" si="315"/>
        <v>6.4724919093851127E-2</v>
      </c>
      <c r="CH257" s="215">
        <f t="shared" si="315"/>
        <v>1.6853932584269662E-2</v>
      </c>
      <c r="CI257" s="196">
        <f t="shared" si="315"/>
        <v>6.3930544593528024E-2</v>
      </c>
      <c r="CJ257" s="215">
        <f t="shared" si="315"/>
        <v>6.9277108433734941E-2</v>
      </c>
      <c r="CK257" s="215">
        <f t="shared" si="315"/>
        <v>8.6142322097378279E-2</v>
      </c>
      <c r="CL257" s="215">
        <f t="shared" si="315"/>
        <v>5.2140007475934468E-2</v>
      </c>
      <c r="CM257" s="215">
        <f t="shared" ca="1" si="315"/>
        <v>1.8349494440489892E-2</v>
      </c>
      <c r="CN257" s="196">
        <f t="shared" ca="1" si="315"/>
        <v>5.4155607181419749E-2</v>
      </c>
      <c r="CO257" s="215">
        <f t="shared" si="315"/>
        <v>6.7230991646398827E-2</v>
      </c>
      <c r="CP257" s="215">
        <f t="shared" si="315"/>
        <v>8.3692088719419744E-2</v>
      </c>
      <c r="CQ257" s="215">
        <f t="shared" si="315"/>
        <v>4.7607369774376379E-2</v>
      </c>
      <c r="CR257" s="215">
        <f t="shared" ca="1" si="315"/>
        <v>1.4345317676309767E-2</v>
      </c>
      <c r="CS257" s="196">
        <f t="shared" ca="1" si="315"/>
        <v>5.104507413642359E-2</v>
      </c>
      <c r="CT257" s="215">
        <f t="shared" si="315"/>
        <v>7.160973272016169E-2</v>
      </c>
      <c r="CU257" s="215">
        <f t="shared" si="315"/>
        <v>8.8899510064853818E-2</v>
      </c>
      <c r="CV257" s="215">
        <f t="shared" si="315"/>
        <v>5.2557687468232833E-2</v>
      </c>
      <c r="CW257" s="215">
        <f t="shared" ca="1" si="315"/>
        <v>1.8945345948700995E-2</v>
      </c>
      <c r="CX257" s="196">
        <f t="shared" ca="1" si="315"/>
        <v>5.5824138242356124E-2</v>
      </c>
      <c r="CY257" s="215">
        <f>CY157/CY158</f>
        <v>7.4543212571727954E-2</v>
      </c>
      <c r="CZ257" s="215">
        <f>CZ157/CZ158</f>
        <v>9.2396709729503562E-2</v>
      </c>
      <c r="DA257" s="215">
        <f>DA157/DA158</f>
        <v>5.5584064241205607E-2</v>
      </c>
      <c r="DB257" s="215">
        <f ca="1">DB157/DB158</f>
        <v>2.1393441842708701E-2</v>
      </c>
      <c r="DC257" s="196">
        <f t="shared" ref="DC257:DH257" ca="1" si="316">DC157/DC158</f>
        <v>5.8807582857262147E-2</v>
      </c>
      <c r="DD257" s="215">
        <f t="shared" si="316"/>
        <v>7.7396220853671316E-2</v>
      </c>
      <c r="DE257" s="215">
        <f t="shared" si="316"/>
        <v>9.5788584189034451E-2</v>
      </c>
      <c r="DF257" s="215">
        <f t="shared" si="316"/>
        <v>5.8484198185582245E-2</v>
      </c>
      <c r="DG257" s="215">
        <f t="shared" ca="1" si="316"/>
        <v>2.3692136172463463E-2</v>
      </c>
      <c r="DH257" s="196">
        <f t="shared" ca="1" si="316"/>
        <v>6.1674631854339718E-2</v>
      </c>
    </row>
    <row r="258" spans="1:112" ht="12.75" customHeight="1" x14ac:dyDescent="0.2">
      <c r="A258" s="103" t="s">
        <v>268</v>
      </c>
      <c r="B258" s="104"/>
      <c r="C258" s="158"/>
      <c r="D258" s="158"/>
      <c r="E258" s="158"/>
      <c r="F258" s="158"/>
      <c r="G258" s="269"/>
      <c r="H258" s="158"/>
      <c r="I258" s="158"/>
      <c r="J258" s="158"/>
      <c r="K258" s="158"/>
      <c r="L258" s="269"/>
      <c r="M258" s="158"/>
      <c r="N258" s="158"/>
      <c r="O258" s="158"/>
      <c r="P258" s="158"/>
      <c r="Q258" s="269"/>
      <c r="R258" s="158"/>
      <c r="S258" s="158"/>
      <c r="T258" s="158"/>
      <c r="U258" s="158"/>
      <c r="V258" s="269"/>
      <c r="W258" s="158"/>
      <c r="X258" s="158"/>
      <c r="Y258" s="158"/>
      <c r="Z258" s="158"/>
      <c r="AA258" s="269"/>
      <c r="AB258" s="264"/>
      <c r="AC258" s="264"/>
      <c r="AD258" s="264"/>
      <c r="AE258" s="264"/>
      <c r="AF258" s="269"/>
      <c r="AG258" s="66">
        <f t="shared" ref="AG258:AW258" si="317">AG158/AG158</f>
        <v>1</v>
      </c>
      <c r="AH258" s="66">
        <f t="shared" si="317"/>
        <v>1</v>
      </c>
      <c r="AI258" s="66">
        <f t="shared" si="317"/>
        <v>1</v>
      </c>
      <c r="AJ258" s="66">
        <f t="shared" si="317"/>
        <v>1</v>
      </c>
      <c r="AK258" s="188">
        <f t="shared" si="317"/>
        <v>1</v>
      </c>
      <c r="AL258" s="66">
        <f t="shared" si="317"/>
        <v>1</v>
      </c>
      <c r="AM258" s="66">
        <f t="shared" si="317"/>
        <v>1</v>
      </c>
      <c r="AN258" s="66">
        <f t="shared" si="317"/>
        <v>1</v>
      </c>
      <c r="AO258" s="66">
        <f t="shared" si="317"/>
        <v>1</v>
      </c>
      <c r="AP258" s="188">
        <f t="shared" si="317"/>
        <v>1</v>
      </c>
      <c r="AQ258" s="66">
        <f t="shared" si="317"/>
        <v>1</v>
      </c>
      <c r="AR258" s="66">
        <f t="shared" si="317"/>
        <v>1</v>
      </c>
      <c r="AS258" s="66">
        <f t="shared" si="317"/>
        <v>1</v>
      </c>
      <c r="AT258" s="66">
        <f t="shared" si="317"/>
        <v>1</v>
      </c>
      <c r="AU258" s="188">
        <f t="shared" si="317"/>
        <v>1</v>
      </c>
      <c r="AV258" s="66">
        <f t="shared" si="317"/>
        <v>1</v>
      </c>
      <c r="AW258" s="66">
        <f t="shared" si="317"/>
        <v>1</v>
      </c>
      <c r="AX258" s="66">
        <f t="shared" ref="AX258:BE258" si="318">AX158/AX158</f>
        <v>1</v>
      </c>
      <c r="AY258" s="66">
        <f t="shared" si="318"/>
        <v>1</v>
      </c>
      <c r="AZ258" s="188">
        <f t="shared" si="318"/>
        <v>1</v>
      </c>
      <c r="BA258" s="66">
        <f t="shared" si="318"/>
        <v>1</v>
      </c>
      <c r="BB258" s="66">
        <f t="shared" si="318"/>
        <v>1</v>
      </c>
      <c r="BC258" s="66">
        <f>BC158/BC158</f>
        <v>1</v>
      </c>
      <c r="BD258" s="66">
        <f t="shared" si="318"/>
        <v>1</v>
      </c>
      <c r="BE258" s="188">
        <f t="shared" si="318"/>
        <v>1</v>
      </c>
      <c r="BF258" s="66">
        <f>BF158/BF158</f>
        <v>1</v>
      </c>
      <c r="BG258" s="66">
        <f>BG158/BG158</f>
        <v>1</v>
      </c>
      <c r="BH258" s="66">
        <f t="shared" ref="BH258:CX258" si="319">BH158/BH158</f>
        <v>1</v>
      </c>
      <c r="BI258" s="66">
        <f t="shared" si="319"/>
        <v>1</v>
      </c>
      <c r="BJ258" s="188">
        <f t="shared" si="319"/>
        <v>1</v>
      </c>
      <c r="BK258" s="66">
        <f t="shared" si="319"/>
        <v>1</v>
      </c>
      <c r="BL258" s="66">
        <f t="shared" si="319"/>
        <v>1</v>
      </c>
      <c r="BM258" s="66">
        <f t="shared" si="319"/>
        <v>1</v>
      </c>
      <c r="BN258" s="66">
        <f>BN158/BN158</f>
        <v>1</v>
      </c>
      <c r="BO258" s="188">
        <f>BO158/BO158</f>
        <v>1</v>
      </c>
      <c r="BP258" s="66">
        <f t="shared" si="319"/>
        <v>1</v>
      </c>
      <c r="BQ258" s="66">
        <f t="shared" si="319"/>
        <v>1</v>
      </c>
      <c r="BR258" s="66">
        <f t="shared" si="319"/>
        <v>1</v>
      </c>
      <c r="BS258" s="66">
        <f t="shared" si="319"/>
        <v>1</v>
      </c>
      <c r="BT258" s="188">
        <f t="shared" si="319"/>
        <v>1</v>
      </c>
      <c r="BU258" s="66">
        <f>BU158/BU158</f>
        <v>1</v>
      </c>
      <c r="BV258" s="66">
        <f t="shared" si="319"/>
        <v>1</v>
      </c>
      <c r="BW258" s="66">
        <f t="shared" si="319"/>
        <v>1</v>
      </c>
      <c r="BX258" s="66">
        <f t="shared" si="319"/>
        <v>1</v>
      </c>
      <c r="BY258" s="188">
        <f>BY158/BY158</f>
        <v>1</v>
      </c>
      <c r="BZ258" s="66">
        <f t="shared" si="319"/>
        <v>1</v>
      </c>
      <c r="CA258" s="66">
        <f t="shared" si="319"/>
        <v>1</v>
      </c>
      <c r="CB258" s="66">
        <f t="shared" si="319"/>
        <v>1</v>
      </c>
      <c r="CC258" s="66">
        <f t="shared" si="319"/>
        <v>1</v>
      </c>
      <c r="CD258" s="188">
        <f t="shared" si="319"/>
        <v>1</v>
      </c>
      <c r="CE258" s="66">
        <f t="shared" si="319"/>
        <v>1</v>
      </c>
      <c r="CF258" s="66">
        <f t="shared" si="319"/>
        <v>1</v>
      </c>
      <c r="CG258" s="66">
        <f t="shared" si="319"/>
        <v>1</v>
      </c>
      <c r="CH258" s="66">
        <f t="shared" si="319"/>
        <v>1</v>
      </c>
      <c r="CI258" s="188">
        <f t="shared" si="319"/>
        <v>1</v>
      </c>
      <c r="CJ258" s="66">
        <f t="shared" si="319"/>
        <v>1</v>
      </c>
      <c r="CK258" s="66">
        <f t="shared" si="319"/>
        <v>1</v>
      </c>
      <c r="CL258" s="66">
        <f t="shared" si="319"/>
        <v>1</v>
      </c>
      <c r="CM258" s="66">
        <f t="shared" ca="1" si="319"/>
        <v>1</v>
      </c>
      <c r="CN258" s="188">
        <f t="shared" ca="1" si="319"/>
        <v>1</v>
      </c>
      <c r="CO258" s="66">
        <f t="shared" si="319"/>
        <v>1</v>
      </c>
      <c r="CP258" s="66">
        <f t="shared" si="319"/>
        <v>1</v>
      </c>
      <c r="CQ258" s="66">
        <f t="shared" si="319"/>
        <v>1</v>
      </c>
      <c r="CR258" s="66">
        <f t="shared" ca="1" si="319"/>
        <v>1</v>
      </c>
      <c r="CS258" s="188">
        <f t="shared" ca="1" si="319"/>
        <v>1</v>
      </c>
      <c r="CT258" s="66">
        <f t="shared" si="319"/>
        <v>1</v>
      </c>
      <c r="CU258" s="66">
        <f t="shared" si="319"/>
        <v>1</v>
      </c>
      <c r="CV258" s="66">
        <f t="shared" si="319"/>
        <v>1</v>
      </c>
      <c r="CW258" s="66">
        <f t="shared" ca="1" si="319"/>
        <v>1</v>
      </c>
      <c r="CX258" s="188">
        <f t="shared" ca="1" si="319"/>
        <v>1</v>
      </c>
      <c r="CY258" s="66">
        <f>CY158/CY158</f>
        <v>1</v>
      </c>
      <c r="CZ258" s="66">
        <f>CZ158/CZ158</f>
        <v>1</v>
      </c>
      <c r="DA258" s="66">
        <f>DA158/DA158</f>
        <v>1</v>
      </c>
      <c r="DB258" s="66">
        <f ca="1">DB158/DB158</f>
        <v>1</v>
      </c>
      <c r="DC258" s="188">
        <f t="shared" ref="DC258:DH258" ca="1" si="320">DC158/DC158</f>
        <v>1</v>
      </c>
      <c r="DD258" s="66">
        <f t="shared" si="320"/>
        <v>1</v>
      </c>
      <c r="DE258" s="66">
        <f t="shared" si="320"/>
        <v>1</v>
      </c>
      <c r="DF258" s="66">
        <f t="shared" si="320"/>
        <v>1</v>
      </c>
      <c r="DG258" s="66">
        <f t="shared" ca="1" si="320"/>
        <v>1</v>
      </c>
      <c r="DH258" s="188">
        <f t="shared" ca="1" si="320"/>
        <v>1</v>
      </c>
    </row>
    <row r="259" spans="1:112" ht="12.75" customHeight="1" x14ac:dyDescent="0.2">
      <c r="A259" s="104"/>
      <c r="B259" s="104"/>
      <c r="C259" s="158"/>
      <c r="D259" s="158"/>
      <c r="E259" s="158"/>
      <c r="F259" s="158"/>
      <c r="G259" s="287"/>
      <c r="H259" s="158"/>
      <c r="I259" s="158"/>
      <c r="J259" s="158"/>
      <c r="K259" s="158"/>
      <c r="L259" s="287"/>
      <c r="M259" s="158"/>
      <c r="N259" s="158"/>
      <c r="O259" s="158"/>
      <c r="P259" s="158"/>
      <c r="Q259" s="287"/>
      <c r="R259" s="158"/>
      <c r="S259" s="158"/>
      <c r="T259" s="158"/>
      <c r="U259" s="158"/>
      <c r="V259" s="287"/>
      <c r="W259" s="158"/>
      <c r="X259" s="158"/>
      <c r="Y259" s="158"/>
      <c r="Z259" s="158"/>
      <c r="AA259" s="287"/>
      <c r="AB259" s="264"/>
      <c r="AC259" s="264"/>
      <c r="AD259" s="264"/>
      <c r="AE259" s="264"/>
      <c r="AF259" s="287"/>
      <c r="AG259" s="264"/>
      <c r="AH259" s="264"/>
      <c r="AI259" s="264"/>
      <c r="AJ259" s="264"/>
      <c r="AK259" s="421"/>
      <c r="AL259" s="264"/>
      <c r="AM259" s="264"/>
      <c r="AN259" s="264"/>
      <c r="AO259" s="264"/>
      <c r="AP259" s="431"/>
      <c r="AQ259" s="264"/>
      <c r="AR259" s="264"/>
      <c r="AS259" s="264"/>
      <c r="AT259" s="264"/>
      <c r="AU259" s="431"/>
      <c r="AV259" s="265"/>
      <c r="AW259" s="265"/>
      <c r="AX259" s="104"/>
      <c r="AY259" s="104"/>
      <c r="AZ259" s="297"/>
      <c r="BA259" s="158"/>
      <c r="BB259" s="158"/>
      <c r="BC259" s="158"/>
      <c r="BD259" s="158"/>
      <c r="BE259" s="297"/>
      <c r="BF259" s="158"/>
      <c r="BG259" s="158"/>
      <c r="BH259" s="158"/>
      <c r="BI259" s="158"/>
      <c r="BJ259" s="297"/>
      <c r="BK259" s="158"/>
      <c r="BL259" s="158"/>
      <c r="BM259" s="158"/>
      <c r="BN259" s="158"/>
      <c r="BO259" s="297"/>
      <c r="BP259" s="158"/>
      <c r="BQ259" s="158"/>
      <c r="BR259" s="158"/>
      <c r="BS259" s="158"/>
      <c r="BT259" s="297"/>
      <c r="BU259" s="158"/>
      <c r="BV259" s="158"/>
      <c r="BW259" s="158"/>
      <c r="BX259" s="158"/>
      <c r="BY259" s="297"/>
      <c r="BZ259" s="158"/>
      <c r="CA259" s="158"/>
      <c r="CB259" s="158"/>
      <c r="CC259" s="158"/>
      <c r="CD259" s="297"/>
      <c r="CE259" s="158"/>
      <c r="CF259" s="158"/>
      <c r="CG259" s="158"/>
      <c r="CH259" s="158"/>
      <c r="CI259" s="297"/>
      <c r="CJ259" s="158"/>
      <c r="CK259" s="158"/>
      <c r="CL259" s="158"/>
      <c r="CM259" s="158"/>
      <c r="CN259" s="297"/>
      <c r="CO259" s="158"/>
      <c r="CP259" s="158"/>
      <c r="CQ259" s="158"/>
      <c r="CR259" s="158"/>
      <c r="CS259" s="297"/>
      <c r="CT259" s="158"/>
      <c r="CU259" s="158"/>
      <c r="CV259" s="158"/>
      <c r="CW259" s="158"/>
      <c r="CX259" s="297"/>
      <c r="CY259" s="158"/>
      <c r="CZ259" s="158"/>
      <c r="DA259" s="158"/>
      <c r="DB259" s="158"/>
      <c r="DC259" s="297"/>
      <c r="DD259" s="158"/>
      <c r="DE259" s="158"/>
      <c r="DF259" s="158"/>
      <c r="DG259" s="158"/>
      <c r="DH259" s="297"/>
    </row>
    <row r="260" spans="1:112" ht="12.75" hidden="1" customHeight="1" outlineLevel="1" x14ac:dyDescent="0.2">
      <c r="A260" s="368" t="s">
        <v>240</v>
      </c>
      <c r="B260" s="104"/>
      <c r="C260" s="158"/>
      <c r="D260" s="158"/>
      <c r="E260" s="158"/>
      <c r="F260" s="158"/>
      <c r="G260" s="158"/>
      <c r="H260" s="158"/>
      <c r="I260" s="158"/>
      <c r="J260" s="158"/>
      <c r="K260" s="158"/>
      <c r="L260" s="158"/>
      <c r="M260" s="158"/>
      <c r="N260" s="158"/>
      <c r="O260" s="158"/>
      <c r="P260" s="158"/>
      <c r="Q260" s="158"/>
      <c r="R260" s="158"/>
      <c r="S260" s="158"/>
      <c r="T260" s="158"/>
      <c r="U260" s="158"/>
      <c r="V260" s="158"/>
      <c r="W260" s="158"/>
      <c r="X260" s="158"/>
      <c r="Y260" s="158"/>
      <c r="Z260" s="158"/>
      <c r="AA260" s="157"/>
      <c r="AB260" s="158"/>
      <c r="AC260" s="158"/>
      <c r="AD260" s="158"/>
      <c r="AE260" s="158"/>
      <c r="AF260" s="157"/>
      <c r="AG260" s="158"/>
      <c r="AH260" s="158"/>
      <c r="AI260" s="158"/>
      <c r="AJ260" s="158"/>
      <c r="AK260" s="157"/>
      <c r="AL260" s="158"/>
      <c r="AM260" s="158"/>
      <c r="AN260" s="158"/>
      <c r="AO260" s="158"/>
      <c r="AP260" s="157"/>
      <c r="AQ260" s="104"/>
      <c r="AR260" s="104"/>
      <c r="AS260" s="104"/>
      <c r="AT260" s="104"/>
      <c r="AU260" s="104"/>
      <c r="AV260" s="48"/>
      <c r="AW260" s="104"/>
      <c r="AX260" s="104"/>
      <c r="AY260" s="104"/>
      <c r="AZ260" s="104"/>
      <c r="BA260" s="158"/>
      <c r="BB260" s="158"/>
      <c r="BC260" s="158"/>
      <c r="BD260" s="158"/>
      <c r="BE260" s="157"/>
      <c r="BF260" s="158"/>
      <c r="BG260" s="158"/>
      <c r="BH260" s="158"/>
      <c r="BI260" s="158"/>
      <c r="BJ260" s="157"/>
      <c r="BK260" s="158"/>
      <c r="BL260" s="158"/>
      <c r="BM260" s="158"/>
      <c r="BN260" s="158"/>
      <c r="BO260" s="157"/>
      <c r="BP260" s="158"/>
      <c r="BQ260" s="158"/>
      <c r="BR260" s="158"/>
      <c r="BS260" s="158"/>
      <c r="BT260" s="157"/>
      <c r="BU260" s="158"/>
      <c r="BV260" s="158"/>
      <c r="BW260" s="158"/>
      <c r="BX260" s="158"/>
      <c r="BY260" s="157"/>
      <c r="BZ260" s="158"/>
      <c r="CA260" s="158"/>
      <c r="CB260" s="158"/>
      <c r="CC260" s="158"/>
      <c r="CD260" s="157"/>
      <c r="CE260" s="158"/>
      <c r="CF260" s="158"/>
      <c r="CG260" s="158"/>
      <c r="CH260" s="158"/>
      <c r="CI260" s="157"/>
      <c r="CJ260" s="158"/>
      <c r="CK260" s="158"/>
      <c r="CL260" s="158"/>
      <c r="CM260" s="158"/>
      <c r="CN260" s="157"/>
      <c r="CO260" s="158"/>
      <c r="CP260" s="158"/>
      <c r="CQ260" s="158"/>
      <c r="CR260" s="158"/>
      <c r="CS260" s="157"/>
      <c r="CT260" s="158"/>
      <c r="CU260" s="158"/>
      <c r="CV260" s="158"/>
      <c r="CW260" s="158"/>
      <c r="CX260" s="157"/>
      <c r="CY260" s="158"/>
      <c r="CZ260" s="158"/>
      <c r="DA260" s="158"/>
      <c r="DB260" s="158"/>
      <c r="DC260" s="157"/>
      <c r="DD260" s="158"/>
      <c r="DE260" s="158"/>
      <c r="DF260" s="158"/>
      <c r="DG260" s="158"/>
      <c r="DH260" s="157"/>
    </row>
    <row r="261" spans="1:112" ht="12.75" hidden="1" customHeight="1" outlineLevel="1" x14ac:dyDescent="0.2">
      <c r="A261" s="366" t="s">
        <v>229</v>
      </c>
      <c r="B261" s="104"/>
      <c r="C261" s="158"/>
      <c r="D261" s="158"/>
      <c r="E261" s="158"/>
      <c r="F261" s="158"/>
      <c r="G261" s="158"/>
      <c r="H261" s="158"/>
      <c r="I261" s="158"/>
      <c r="J261" s="158"/>
      <c r="K261" s="158"/>
      <c r="L261" s="158"/>
      <c r="M261" s="158"/>
      <c r="N261" s="158"/>
      <c r="O261" s="158"/>
      <c r="P261" s="158"/>
      <c r="Q261" s="158"/>
      <c r="R261" s="158"/>
      <c r="S261" s="158"/>
      <c r="T261" s="158"/>
      <c r="U261" s="158"/>
      <c r="V261" s="158"/>
      <c r="W261" s="158"/>
      <c r="X261" s="158"/>
      <c r="Y261" s="158"/>
      <c r="Z261" s="158"/>
      <c r="AA261" s="157"/>
      <c r="AB261" s="158"/>
      <c r="AC261" s="158"/>
      <c r="AD261" s="158"/>
      <c r="AE261" s="158"/>
      <c r="AF261" s="157"/>
      <c r="AG261" s="158"/>
      <c r="AH261" s="158"/>
      <c r="AI261" s="158"/>
      <c r="AJ261" s="158"/>
      <c r="AK261" s="157"/>
      <c r="AL261" s="158"/>
      <c r="AM261" s="158"/>
      <c r="AN261" s="158"/>
      <c r="AO261" s="158"/>
      <c r="AP261" s="157"/>
      <c r="AQ261" s="104"/>
      <c r="AR261" s="104"/>
      <c r="AS261" s="104"/>
      <c r="AT261" s="104"/>
      <c r="AU261" s="104"/>
      <c r="AV261" s="48"/>
      <c r="AW261" s="104"/>
      <c r="AX261" s="104"/>
      <c r="AY261" s="104"/>
      <c r="AZ261" s="104"/>
      <c r="BA261" s="158"/>
      <c r="BB261" s="158"/>
      <c r="BC261" s="158"/>
      <c r="BD261" s="158"/>
      <c r="BE261" s="157"/>
      <c r="BF261" s="158"/>
      <c r="BG261" s="158"/>
      <c r="BH261" s="158"/>
      <c r="BI261" s="158"/>
      <c r="BJ261" s="157"/>
      <c r="BK261" s="158"/>
      <c r="BL261" s="158"/>
      <c r="BM261" s="158"/>
      <c r="BN261" s="158"/>
      <c r="BO261" s="157"/>
      <c r="BP261" s="158"/>
      <c r="BQ261" s="158"/>
      <c r="BR261" s="158"/>
      <c r="BS261" s="158"/>
      <c r="BT261" s="157"/>
      <c r="BU261" s="158"/>
      <c r="BV261" s="158"/>
      <c r="BW261" s="158"/>
      <c r="BX261" s="158"/>
      <c r="BY261" s="157"/>
      <c r="BZ261" s="158"/>
      <c r="CA261" s="158"/>
      <c r="CB261" s="158"/>
      <c r="CC261" s="158"/>
      <c r="CD261" s="157"/>
      <c r="CE261" s="158"/>
      <c r="CF261" s="158"/>
      <c r="CG261" s="158"/>
      <c r="CH261" s="158"/>
      <c r="CI261" s="157"/>
      <c r="CJ261" s="158"/>
      <c r="CK261" s="158"/>
      <c r="CL261" s="158"/>
      <c r="CM261" s="158"/>
      <c r="CN261" s="157"/>
      <c r="CO261" s="158"/>
      <c r="CP261" s="158"/>
      <c r="CQ261" s="158"/>
      <c r="CR261" s="158"/>
      <c r="CS261" s="157"/>
      <c r="CT261" s="158"/>
      <c r="CU261" s="158"/>
      <c r="CV261" s="158"/>
      <c r="CW261" s="158"/>
      <c r="CX261" s="157"/>
      <c r="CY261" s="158"/>
      <c r="CZ261" s="158"/>
      <c r="DA261" s="158"/>
      <c r="DB261" s="158"/>
      <c r="DC261" s="157"/>
      <c r="DD261" s="158"/>
      <c r="DE261" s="158"/>
      <c r="DF261" s="158"/>
      <c r="DG261" s="158"/>
      <c r="DH261" s="157"/>
    </row>
    <row r="262" spans="1:112" hidden="1" outlineLevel="1" x14ac:dyDescent="0.2">
      <c r="A262" s="121" t="s">
        <v>85</v>
      </c>
      <c r="B262" s="104"/>
      <c r="C262" s="48"/>
      <c r="D262" s="48"/>
      <c r="E262" s="48"/>
      <c r="F262" s="48"/>
      <c r="G262" s="48"/>
      <c r="H262" s="212" t="s">
        <v>221</v>
      </c>
      <c r="I262" s="212" t="s">
        <v>221</v>
      </c>
      <c r="J262" s="212" t="s">
        <v>221</v>
      </c>
      <c r="K262" s="212" t="s">
        <v>221</v>
      </c>
      <c r="L262" s="212" t="s">
        <v>221</v>
      </c>
      <c r="M262" s="87">
        <f t="shared" ref="M262:AU262" si="321">(M205-H205)*10000</f>
        <v>639.23895110050205</v>
      </c>
      <c r="N262" s="87">
        <f t="shared" si="321"/>
        <v>296.03257017587202</v>
      </c>
      <c r="O262" s="87">
        <f t="shared" si="321"/>
        <v>-226.2733306351694</v>
      </c>
      <c r="P262" s="87">
        <f t="shared" si="321"/>
        <v>-268.03113129612257</v>
      </c>
      <c r="Q262" s="87">
        <f t="shared" si="321"/>
        <v>92.133729253315309</v>
      </c>
      <c r="R262" s="87">
        <f t="shared" si="321"/>
        <v>-718.25902846281542</v>
      </c>
      <c r="S262" s="87">
        <f t="shared" si="321"/>
        <v>-292.48802110159011</v>
      </c>
      <c r="T262" s="87">
        <f t="shared" si="321"/>
        <v>5.6295671691442006</v>
      </c>
      <c r="U262" s="87">
        <f t="shared" si="321"/>
        <v>79.535607793803081</v>
      </c>
      <c r="V262" s="87">
        <f t="shared" si="321"/>
        <v>-220.33163364305497</v>
      </c>
      <c r="W262" s="87">
        <f t="shared" si="321"/>
        <v>-99.169516365412719</v>
      </c>
      <c r="X262" s="87">
        <f t="shared" si="321"/>
        <v>125.69001742415375</v>
      </c>
      <c r="Y262" s="87">
        <f t="shared" si="321"/>
        <v>-127.15884043413949</v>
      </c>
      <c r="Z262" s="87">
        <f t="shared" si="321"/>
        <v>-118.04111665698002</v>
      </c>
      <c r="AA262" s="87">
        <f t="shared" si="321"/>
        <v>-62.076857656968578</v>
      </c>
      <c r="AB262" s="87">
        <f t="shared" si="321"/>
        <v>120.49296742566551</v>
      </c>
      <c r="AC262" s="87">
        <f t="shared" si="321"/>
        <v>-219.62174940898305</v>
      </c>
      <c r="AD262" s="87">
        <f t="shared" si="321"/>
        <v>-28.225702749273829</v>
      </c>
      <c r="AE262" s="87">
        <f t="shared" si="321"/>
        <v>150.3052818430123</v>
      </c>
      <c r="AF262" s="87">
        <f t="shared" si="321"/>
        <v>16.814025877282536</v>
      </c>
      <c r="AG262" s="27">
        <f t="shared" si="321"/>
        <v>140.81138040042129</v>
      </c>
      <c r="AH262" s="27">
        <f t="shared" si="321"/>
        <v>51.895991332611132</v>
      </c>
      <c r="AI262" s="27">
        <f t="shared" si="321"/>
        <v>169.54271906629015</v>
      </c>
      <c r="AJ262" s="27">
        <f t="shared" si="321"/>
        <v>30.097248219464468</v>
      </c>
      <c r="AK262" s="27">
        <f t="shared" si="321"/>
        <v>93.705507341005358</v>
      </c>
      <c r="AL262" s="27">
        <f t="shared" si="321"/>
        <v>-143.59389895138185</v>
      </c>
      <c r="AM262" s="27">
        <f t="shared" si="321"/>
        <v>-121.39445602043108</v>
      </c>
      <c r="AN262" s="27">
        <f t="shared" si="321"/>
        <v>-308.05098226358075</v>
      </c>
      <c r="AO262" s="27">
        <f t="shared" si="321"/>
        <v>-183.50956750227797</v>
      </c>
      <c r="AP262" s="27">
        <f t="shared" si="321"/>
        <v>-190.19806731671142</v>
      </c>
      <c r="AQ262" s="27">
        <f t="shared" si="321"/>
        <v>92.788414803995352</v>
      </c>
      <c r="AR262" s="27">
        <f t="shared" si="321"/>
        <v>80.521304806985825</v>
      </c>
      <c r="AS262" s="27">
        <f t="shared" si="321"/>
        <v>623.98395472019581</v>
      </c>
      <c r="AT262" s="27">
        <f t="shared" si="321"/>
        <v>424.81908335566862</v>
      </c>
      <c r="AU262" s="27">
        <f t="shared" si="321"/>
        <v>313.91685803450531</v>
      </c>
      <c r="AV262" s="213" t="s">
        <v>221</v>
      </c>
      <c r="AW262" s="213" t="s">
        <v>221</v>
      </c>
      <c r="AX262" s="213" t="s">
        <v>221</v>
      </c>
      <c r="AY262" s="213" t="s">
        <v>221</v>
      </c>
      <c r="AZ262" s="210" t="s">
        <v>221</v>
      </c>
      <c r="BA262" s="210" t="s">
        <v>221</v>
      </c>
      <c r="BB262" s="210" t="s">
        <v>221</v>
      </c>
      <c r="BC262" s="210" t="s">
        <v>221</v>
      </c>
      <c r="BD262" s="210" t="s">
        <v>221</v>
      </c>
      <c r="BE262" s="210" t="s">
        <v>221</v>
      </c>
      <c r="BF262" s="210" t="s">
        <v>221</v>
      </c>
      <c r="BG262" s="210" t="s">
        <v>221</v>
      </c>
      <c r="BH262" s="210" t="s">
        <v>221</v>
      </c>
      <c r="BI262" s="210" t="s">
        <v>221</v>
      </c>
      <c r="BJ262" s="210" t="s">
        <v>221</v>
      </c>
      <c r="BK262" s="210" t="s">
        <v>221</v>
      </c>
      <c r="BL262" s="210" t="s">
        <v>221</v>
      </c>
      <c r="BM262" s="210" t="s">
        <v>221</v>
      </c>
      <c r="BN262" s="210" t="s">
        <v>221</v>
      </c>
      <c r="BO262" s="210" t="s">
        <v>221</v>
      </c>
      <c r="BP262" s="210" t="s">
        <v>221</v>
      </c>
      <c r="BQ262" s="210" t="s">
        <v>221</v>
      </c>
      <c r="BR262" s="210" t="s">
        <v>221</v>
      </c>
      <c r="BS262" s="210" t="s">
        <v>221</v>
      </c>
      <c r="BT262" s="210" t="s">
        <v>221</v>
      </c>
      <c r="BU262" s="210" t="s">
        <v>221</v>
      </c>
      <c r="BV262" s="210" t="s">
        <v>221</v>
      </c>
      <c r="BW262" s="210" t="s">
        <v>221</v>
      </c>
      <c r="BX262" s="210" t="s">
        <v>221</v>
      </c>
      <c r="BY262" s="210" t="s">
        <v>221</v>
      </c>
      <c r="BZ262" s="210" t="s">
        <v>221</v>
      </c>
      <c r="CA262" s="210" t="s">
        <v>221</v>
      </c>
      <c r="CB262" s="210" t="s">
        <v>221</v>
      </c>
      <c r="CC262" s="210" t="s">
        <v>221</v>
      </c>
      <c r="CD262" s="210" t="s">
        <v>221</v>
      </c>
      <c r="CE262" s="210" t="s">
        <v>221</v>
      </c>
      <c r="CF262" s="210" t="s">
        <v>221</v>
      </c>
      <c r="CG262" s="210" t="s">
        <v>221</v>
      </c>
      <c r="CH262" s="210" t="s">
        <v>221</v>
      </c>
      <c r="CI262" s="210" t="s">
        <v>221</v>
      </c>
      <c r="CJ262" s="210" t="s">
        <v>221</v>
      </c>
      <c r="CK262" s="210" t="s">
        <v>221</v>
      </c>
      <c r="CL262" s="210" t="s">
        <v>221</v>
      </c>
      <c r="CM262" s="210" t="s">
        <v>221</v>
      </c>
      <c r="CN262" s="210" t="s">
        <v>221</v>
      </c>
      <c r="CO262" s="210" t="s">
        <v>221</v>
      </c>
      <c r="CP262" s="210" t="s">
        <v>221</v>
      </c>
      <c r="CQ262" s="210" t="s">
        <v>221</v>
      </c>
      <c r="CR262" s="210" t="s">
        <v>221</v>
      </c>
      <c r="CS262" s="210" t="s">
        <v>221</v>
      </c>
      <c r="CT262" s="210" t="s">
        <v>221</v>
      </c>
      <c r="CU262" s="210" t="s">
        <v>221</v>
      </c>
      <c r="CV262" s="210" t="s">
        <v>221</v>
      </c>
      <c r="CW262" s="210" t="s">
        <v>221</v>
      </c>
      <c r="CX262" s="210" t="s">
        <v>221</v>
      </c>
      <c r="CY262" s="210" t="s">
        <v>221</v>
      </c>
      <c r="CZ262" s="210" t="s">
        <v>221</v>
      </c>
      <c r="DA262" s="210" t="s">
        <v>221</v>
      </c>
      <c r="DB262" s="210" t="s">
        <v>221</v>
      </c>
      <c r="DC262" s="210" t="s">
        <v>221</v>
      </c>
      <c r="DD262" s="210" t="s">
        <v>221</v>
      </c>
      <c r="DE262" s="210" t="s">
        <v>221</v>
      </c>
      <c r="DF262" s="210" t="s">
        <v>221</v>
      </c>
      <c r="DG262" s="210" t="s">
        <v>221</v>
      </c>
      <c r="DH262" s="210" t="s">
        <v>221</v>
      </c>
    </row>
    <row r="263" spans="1:112" hidden="1" outlineLevel="2" x14ac:dyDescent="0.2">
      <c r="A263" s="121" t="s">
        <v>97</v>
      </c>
      <c r="B263" s="104"/>
      <c r="C263" s="48"/>
      <c r="D263" s="48"/>
      <c r="E263" s="48"/>
      <c r="F263" s="48"/>
      <c r="G263" s="48"/>
      <c r="H263" s="212" t="s">
        <v>221</v>
      </c>
      <c r="I263" s="212" t="s">
        <v>221</v>
      </c>
      <c r="J263" s="212" t="s">
        <v>221</v>
      </c>
      <c r="K263" s="212" t="s">
        <v>221</v>
      </c>
      <c r="L263" s="212" t="s">
        <v>221</v>
      </c>
      <c r="M263" s="87">
        <f t="shared" ref="M263:V265" si="322">(M206-H206)*10000</f>
        <v>780.25477707006348</v>
      </c>
      <c r="N263" s="87">
        <f t="shared" si="322"/>
        <v>263.58922290314416</v>
      </c>
      <c r="O263" s="87">
        <f t="shared" si="322"/>
        <v>24.990388312187417</v>
      </c>
      <c r="P263" s="87">
        <f t="shared" si="322"/>
        <v>-259.84193380371471</v>
      </c>
      <c r="Q263" s="87">
        <f t="shared" si="322"/>
        <v>225.85824759671524</v>
      </c>
      <c r="R263" s="87">
        <f t="shared" si="322"/>
        <v>-152.76473722942606</v>
      </c>
      <c r="S263" s="87">
        <f t="shared" si="322"/>
        <v>493.32777314428699</v>
      </c>
      <c r="T263" s="87">
        <f t="shared" si="322"/>
        <v>981.66127292340923</v>
      </c>
      <c r="U263" s="87">
        <f t="shared" si="322"/>
        <v>896.32003342667213</v>
      </c>
      <c r="V263" s="87">
        <f t="shared" si="322"/>
        <v>533.56412098884084</v>
      </c>
      <c r="W263" s="87">
        <f t="shared" ref="W263:AF265" si="323">(W206-R206)*10000</f>
        <v>159.91153496251243</v>
      </c>
      <c r="X263" s="87">
        <f t="shared" si="323"/>
        <v>106.06060606060564</v>
      </c>
      <c r="Y263" s="87">
        <f t="shared" si="323"/>
        <v>-27.412906910337377</v>
      </c>
      <c r="Z263" s="87">
        <f t="shared" si="323"/>
        <v>-421.15775582266315</v>
      </c>
      <c r="AA263" s="87">
        <f t="shared" si="323"/>
        <v>-52.753777185454709</v>
      </c>
      <c r="AB263" s="87">
        <f t="shared" si="323"/>
        <v>-43.126765642844674</v>
      </c>
      <c r="AC263" s="87">
        <f t="shared" si="323"/>
        <v>-80.808080808080774</v>
      </c>
      <c r="AD263" s="87">
        <f t="shared" si="323"/>
        <v>-125.62313060817509</v>
      </c>
      <c r="AE263" s="87">
        <f t="shared" si="323"/>
        <v>369.18127283085909</v>
      </c>
      <c r="AF263" s="87">
        <f t="shared" si="323"/>
        <v>35.987096649816586</v>
      </c>
      <c r="AG263" s="27">
        <f t="shared" ref="AG263:AK265" si="324">(AG206-AB206)*10000</f>
        <v>-2.0161570655874428</v>
      </c>
      <c r="AH263" s="27">
        <f t="shared" si="324"/>
        <v>-215.33516988062439</v>
      </c>
      <c r="AI263" s="27">
        <f t="shared" si="324"/>
        <v>90.9837811520553</v>
      </c>
      <c r="AJ263" s="27">
        <f t="shared" si="324"/>
        <v>-52.543193928629165</v>
      </c>
      <c r="AK263" s="27">
        <f t="shared" si="324"/>
        <v>-40.065725747597256</v>
      </c>
      <c r="AL263" s="400" t="s">
        <v>221</v>
      </c>
      <c r="AM263" s="400" t="s">
        <v>221</v>
      </c>
      <c r="AN263" s="400" t="s">
        <v>221</v>
      </c>
      <c r="AO263" s="400" t="s">
        <v>221</v>
      </c>
      <c r="AP263" s="400" t="s">
        <v>221</v>
      </c>
      <c r="AQ263" s="400" t="s">
        <v>221</v>
      </c>
      <c r="AR263" s="400" t="s">
        <v>221</v>
      </c>
      <c r="AS263" s="400" t="s">
        <v>221</v>
      </c>
      <c r="AT263" s="400" t="s">
        <v>221</v>
      </c>
      <c r="AU263" s="400" t="s">
        <v>221</v>
      </c>
      <c r="AV263" s="213" t="s">
        <v>221</v>
      </c>
      <c r="AW263" s="213" t="s">
        <v>221</v>
      </c>
      <c r="AX263" s="213" t="s">
        <v>221</v>
      </c>
      <c r="AY263" s="213" t="s">
        <v>221</v>
      </c>
      <c r="AZ263" s="210" t="s">
        <v>221</v>
      </c>
      <c r="BA263" s="210" t="s">
        <v>221</v>
      </c>
      <c r="BB263" s="210" t="s">
        <v>221</v>
      </c>
      <c r="BC263" s="210" t="s">
        <v>221</v>
      </c>
      <c r="BD263" s="210" t="s">
        <v>221</v>
      </c>
      <c r="BE263" s="210" t="s">
        <v>221</v>
      </c>
      <c r="BF263" s="210" t="s">
        <v>221</v>
      </c>
      <c r="BG263" s="210" t="s">
        <v>221</v>
      </c>
      <c r="BH263" s="210" t="s">
        <v>221</v>
      </c>
      <c r="BI263" s="210" t="s">
        <v>221</v>
      </c>
      <c r="BJ263" s="210" t="s">
        <v>221</v>
      </c>
      <c r="BK263" s="210" t="s">
        <v>221</v>
      </c>
      <c r="BL263" s="210" t="s">
        <v>221</v>
      </c>
      <c r="BM263" s="210" t="s">
        <v>221</v>
      </c>
      <c r="BN263" s="210" t="s">
        <v>221</v>
      </c>
      <c r="BO263" s="210" t="s">
        <v>221</v>
      </c>
      <c r="BP263" s="210" t="s">
        <v>221</v>
      </c>
      <c r="BQ263" s="210" t="s">
        <v>221</v>
      </c>
      <c r="BR263" s="210" t="s">
        <v>221</v>
      </c>
      <c r="BS263" s="210" t="s">
        <v>221</v>
      </c>
      <c r="BT263" s="210" t="s">
        <v>221</v>
      </c>
      <c r="BU263" s="210" t="s">
        <v>221</v>
      </c>
      <c r="BV263" s="210" t="s">
        <v>221</v>
      </c>
      <c r="BW263" s="210" t="s">
        <v>221</v>
      </c>
      <c r="BX263" s="210" t="s">
        <v>221</v>
      </c>
      <c r="BY263" s="210" t="s">
        <v>221</v>
      </c>
      <c r="BZ263" s="210" t="s">
        <v>221</v>
      </c>
      <c r="CA263" s="210" t="s">
        <v>221</v>
      </c>
      <c r="CB263" s="210" t="s">
        <v>221</v>
      </c>
      <c r="CC263" s="210" t="s">
        <v>221</v>
      </c>
      <c r="CD263" s="210" t="s">
        <v>221</v>
      </c>
      <c r="CE263" s="210" t="s">
        <v>221</v>
      </c>
      <c r="CF263" s="210" t="s">
        <v>221</v>
      </c>
      <c r="CG263" s="210" t="s">
        <v>221</v>
      </c>
      <c r="CH263" s="210" t="s">
        <v>221</v>
      </c>
      <c r="CI263" s="210" t="s">
        <v>221</v>
      </c>
      <c r="CJ263" s="210" t="s">
        <v>221</v>
      </c>
      <c r="CK263" s="210" t="s">
        <v>221</v>
      </c>
      <c r="CL263" s="210" t="s">
        <v>221</v>
      </c>
      <c r="CM263" s="210" t="s">
        <v>221</v>
      </c>
      <c r="CN263" s="210" t="s">
        <v>221</v>
      </c>
      <c r="CO263" s="210" t="s">
        <v>221</v>
      </c>
      <c r="CP263" s="210" t="s">
        <v>221</v>
      </c>
      <c r="CQ263" s="210" t="s">
        <v>221</v>
      </c>
      <c r="CR263" s="210" t="s">
        <v>221</v>
      </c>
      <c r="CS263" s="210" t="s">
        <v>221</v>
      </c>
      <c r="CT263" s="210" t="s">
        <v>221</v>
      </c>
      <c r="CU263" s="210" t="s">
        <v>221</v>
      </c>
      <c r="CV263" s="210" t="s">
        <v>221</v>
      </c>
      <c r="CW263" s="210" t="s">
        <v>221</v>
      </c>
      <c r="CX263" s="210" t="s">
        <v>221</v>
      </c>
      <c r="CY263" s="210" t="s">
        <v>221</v>
      </c>
      <c r="CZ263" s="210" t="s">
        <v>221</v>
      </c>
      <c r="DA263" s="210" t="s">
        <v>221</v>
      </c>
      <c r="DB263" s="210" t="s">
        <v>221</v>
      </c>
      <c r="DC263" s="210" t="s">
        <v>221</v>
      </c>
      <c r="DD263" s="210" t="s">
        <v>221</v>
      </c>
      <c r="DE263" s="210" t="s">
        <v>221</v>
      </c>
      <c r="DF263" s="210" t="s">
        <v>221</v>
      </c>
      <c r="DG263" s="210" t="s">
        <v>221</v>
      </c>
      <c r="DH263" s="210" t="s">
        <v>221</v>
      </c>
    </row>
    <row r="264" spans="1:112" hidden="1" outlineLevel="2" x14ac:dyDescent="0.2">
      <c r="A264" s="121" t="s">
        <v>87</v>
      </c>
      <c r="B264" s="104"/>
      <c r="C264" s="48"/>
      <c r="D264" s="48"/>
      <c r="E264" s="48"/>
      <c r="F264" s="48"/>
      <c r="G264" s="48"/>
      <c r="H264" s="212" t="s">
        <v>221</v>
      </c>
      <c r="I264" s="212" t="s">
        <v>221</v>
      </c>
      <c r="J264" s="212" t="s">
        <v>221</v>
      </c>
      <c r="K264" s="212" t="s">
        <v>221</v>
      </c>
      <c r="L264" s="212" t="s">
        <v>221</v>
      </c>
      <c r="M264" s="87">
        <f t="shared" si="322"/>
        <v>380.66260987153487</v>
      </c>
      <c r="N264" s="87">
        <f t="shared" si="322"/>
        <v>354.53063126019146</v>
      </c>
      <c r="O264" s="87">
        <f t="shared" si="322"/>
        <v>-797.80361757105959</v>
      </c>
      <c r="P264" s="87">
        <f t="shared" si="322"/>
        <v>-274.38256515104399</v>
      </c>
      <c r="Q264" s="87">
        <f t="shared" si="322"/>
        <v>-140.90697090374192</v>
      </c>
      <c r="R264" s="87">
        <f t="shared" si="322"/>
        <v>-1560.5417424701839</v>
      </c>
      <c r="S264" s="87">
        <f t="shared" si="322"/>
        <v>-1560.6085040047308</v>
      </c>
      <c r="T264" s="87">
        <f t="shared" si="322"/>
        <v>-1449.1710798986874</v>
      </c>
      <c r="U264" s="87">
        <f t="shared" si="322"/>
        <v>-890.93930599995042</v>
      </c>
      <c r="V264" s="87">
        <f t="shared" si="322"/>
        <v>-1321.8963479061399</v>
      </c>
      <c r="W264" s="87">
        <f t="shared" si="323"/>
        <v>-393.1037934140727</v>
      </c>
      <c r="X264" s="87">
        <f t="shared" si="323"/>
        <v>163.98591201740808</v>
      </c>
      <c r="Y264" s="87">
        <f t="shared" si="323"/>
        <v>-221.7263979919118</v>
      </c>
      <c r="Z264" s="87">
        <f t="shared" si="323"/>
        <v>174.10135397536942</v>
      </c>
      <c r="AA264" s="87">
        <f t="shared" si="323"/>
        <v>-53.697278217334222</v>
      </c>
      <c r="AB264" s="87">
        <f t="shared" si="323"/>
        <v>322.27298686464871</v>
      </c>
      <c r="AC264" s="87">
        <f t="shared" si="323"/>
        <v>-390.00680470496735</v>
      </c>
      <c r="AD264" s="87">
        <f t="shared" si="323"/>
        <v>106.99389469866399</v>
      </c>
      <c r="AE264" s="87">
        <f t="shared" si="323"/>
        <v>-54.640780363525153</v>
      </c>
      <c r="AF264" s="87">
        <f t="shared" si="323"/>
        <v>-1.5962654483023253</v>
      </c>
      <c r="AG264" s="27">
        <f t="shared" si="324"/>
        <v>322.73379418286174</v>
      </c>
      <c r="AH264" s="27">
        <f t="shared" si="324"/>
        <v>412.66627295480754</v>
      </c>
      <c r="AI264" s="27">
        <f t="shared" si="324"/>
        <v>264.73547954277643</v>
      </c>
      <c r="AJ264" s="27">
        <f t="shared" si="324"/>
        <v>108.12516052663923</v>
      </c>
      <c r="AK264" s="27">
        <f t="shared" si="324"/>
        <v>252.12744483516931</v>
      </c>
      <c r="AL264" s="400" t="s">
        <v>221</v>
      </c>
      <c r="AM264" s="400" t="s">
        <v>221</v>
      </c>
      <c r="AN264" s="400" t="s">
        <v>221</v>
      </c>
      <c r="AO264" s="400" t="s">
        <v>221</v>
      </c>
      <c r="AP264" s="400" t="s">
        <v>221</v>
      </c>
      <c r="AQ264" s="400" t="s">
        <v>221</v>
      </c>
      <c r="AR264" s="400" t="s">
        <v>221</v>
      </c>
      <c r="AS264" s="400" t="s">
        <v>221</v>
      </c>
      <c r="AT264" s="400" t="s">
        <v>221</v>
      </c>
      <c r="AU264" s="400" t="s">
        <v>221</v>
      </c>
      <c r="AV264" s="213" t="s">
        <v>221</v>
      </c>
      <c r="AW264" s="213" t="s">
        <v>221</v>
      </c>
      <c r="AX264" s="213" t="s">
        <v>221</v>
      </c>
      <c r="AY264" s="213" t="s">
        <v>221</v>
      </c>
      <c r="AZ264" s="210" t="s">
        <v>221</v>
      </c>
      <c r="BA264" s="210" t="s">
        <v>221</v>
      </c>
      <c r="BB264" s="210" t="s">
        <v>221</v>
      </c>
      <c r="BC264" s="210" t="s">
        <v>221</v>
      </c>
      <c r="BD264" s="210" t="s">
        <v>221</v>
      </c>
      <c r="BE264" s="210" t="s">
        <v>221</v>
      </c>
      <c r="BF264" s="210" t="s">
        <v>221</v>
      </c>
      <c r="BG264" s="210" t="s">
        <v>221</v>
      </c>
      <c r="BH264" s="210" t="s">
        <v>221</v>
      </c>
      <c r="BI264" s="210" t="s">
        <v>221</v>
      </c>
      <c r="BJ264" s="210" t="s">
        <v>221</v>
      </c>
      <c r="BK264" s="210" t="s">
        <v>221</v>
      </c>
      <c r="BL264" s="210" t="s">
        <v>221</v>
      </c>
      <c r="BM264" s="210" t="s">
        <v>221</v>
      </c>
      <c r="BN264" s="210" t="s">
        <v>221</v>
      </c>
      <c r="BO264" s="210" t="s">
        <v>221</v>
      </c>
      <c r="BP264" s="210" t="s">
        <v>221</v>
      </c>
      <c r="BQ264" s="210" t="s">
        <v>221</v>
      </c>
      <c r="BR264" s="210" t="s">
        <v>221</v>
      </c>
      <c r="BS264" s="210" t="s">
        <v>221</v>
      </c>
      <c r="BT264" s="210" t="s">
        <v>221</v>
      </c>
      <c r="BU264" s="210" t="s">
        <v>221</v>
      </c>
      <c r="BV264" s="210" t="s">
        <v>221</v>
      </c>
      <c r="BW264" s="210" t="s">
        <v>221</v>
      </c>
      <c r="BX264" s="210" t="s">
        <v>221</v>
      </c>
      <c r="BY264" s="210" t="s">
        <v>221</v>
      </c>
      <c r="BZ264" s="210" t="s">
        <v>221</v>
      </c>
      <c r="CA264" s="210" t="s">
        <v>221</v>
      </c>
      <c r="CB264" s="210" t="s">
        <v>221</v>
      </c>
      <c r="CC264" s="210" t="s">
        <v>221</v>
      </c>
      <c r="CD264" s="210" t="s">
        <v>221</v>
      </c>
      <c r="CE264" s="210" t="s">
        <v>221</v>
      </c>
      <c r="CF264" s="210" t="s">
        <v>221</v>
      </c>
      <c r="CG264" s="210" t="s">
        <v>221</v>
      </c>
      <c r="CH264" s="210" t="s">
        <v>221</v>
      </c>
      <c r="CI264" s="210" t="s">
        <v>221</v>
      </c>
      <c r="CJ264" s="210" t="s">
        <v>221</v>
      </c>
      <c r="CK264" s="210" t="s">
        <v>221</v>
      </c>
      <c r="CL264" s="210" t="s">
        <v>221</v>
      </c>
      <c r="CM264" s="210" t="s">
        <v>221</v>
      </c>
      <c r="CN264" s="210" t="s">
        <v>221</v>
      </c>
      <c r="CO264" s="210" t="s">
        <v>221</v>
      </c>
      <c r="CP264" s="210" t="s">
        <v>221</v>
      </c>
      <c r="CQ264" s="210" t="s">
        <v>221</v>
      </c>
      <c r="CR264" s="210" t="s">
        <v>221</v>
      </c>
      <c r="CS264" s="210" t="s">
        <v>221</v>
      </c>
      <c r="CT264" s="210" t="s">
        <v>221</v>
      </c>
      <c r="CU264" s="210" t="s">
        <v>221</v>
      </c>
      <c r="CV264" s="210" t="s">
        <v>221</v>
      </c>
      <c r="CW264" s="210" t="s">
        <v>221</v>
      </c>
      <c r="CX264" s="210" t="s">
        <v>221</v>
      </c>
      <c r="CY264" s="210" t="s">
        <v>221</v>
      </c>
      <c r="CZ264" s="210" t="s">
        <v>221</v>
      </c>
      <c r="DA264" s="210" t="s">
        <v>221</v>
      </c>
      <c r="DB264" s="210" t="s">
        <v>221</v>
      </c>
      <c r="DC264" s="210" t="s">
        <v>221</v>
      </c>
      <c r="DD264" s="210" t="s">
        <v>221</v>
      </c>
      <c r="DE264" s="210" t="s">
        <v>221</v>
      </c>
      <c r="DF264" s="210" t="s">
        <v>221</v>
      </c>
      <c r="DG264" s="210" t="s">
        <v>221</v>
      </c>
      <c r="DH264" s="210" t="s">
        <v>221</v>
      </c>
    </row>
    <row r="265" spans="1:112" hidden="1" outlineLevel="1" collapsed="1" x14ac:dyDescent="0.2">
      <c r="A265" s="367" t="s">
        <v>88</v>
      </c>
      <c r="B265" s="104"/>
      <c r="C265" s="48"/>
      <c r="D265" s="48"/>
      <c r="E265" s="48"/>
      <c r="F265" s="48"/>
      <c r="G265" s="48"/>
      <c r="H265" s="212" t="s">
        <v>221</v>
      </c>
      <c r="I265" s="212" t="s">
        <v>221</v>
      </c>
      <c r="J265" s="212" t="s">
        <v>221</v>
      </c>
      <c r="K265" s="212" t="s">
        <v>221</v>
      </c>
      <c r="L265" s="212" t="s">
        <v>221</v>
      </c>
      <c r="M265" s="148">
        <f t="shared" si="322"/>
        <v>-199.45541184479248</v>
      </c>
      <c r="N265" s="148">
        <f t="shared" si="322"/>
        <v>1253.1234382808598</v>
      </c>
      <c r="O265" s="148">
        <f t="shared" si="322"/>
        <v>8414.0102321920513</v>
      </c>
      <c r="P265" s="148">
        <f t="shared" si="322"/>
        <v>1028.985507246377</v>
      </c>
      <c r="Q265" s="148">
        <f t="shared" si="322"/>
        <v>2609.4025411639641</v>
      </c>
      <c r="R265" s="148">
        <f t="shared" si="322"/>
        <v>1084.070796460177</v>
      </c>
      <c r="S265" s="148">
        <f t="shared" si="322"/>
        <v>3256.4822240042768</v>
      </c>
      <c r="T265" s="148">
        <f t="shared" si="322"/>
        <v>43.290043290043492</v>
      </c>
      <c r="U265" s="148">
        <f t="shared" si="322"/>
        <v>-225.7068187217867</v>
      </c>
      <c r="V265" s="148">
        <f t="shared" si="322"/>
        <v>986.15080058697515</v>
      </c>
      <c r="W265" s="148">
        <f t="shared" si="323"/>
        <v>-312.5</v>
      </c>
      <c r="X265" s="148">
        <f t="shared" si="323"/>
        <v>-13.087687506292134</v>
      </c>
      <c r="Y265" s="148">
        <f t="shared" si="323"/>
        <v>-690.90909090909088</v>
      </c>
      <c r="Z265" s="148">
        <f t="shared" si="323"/>
        <v>3.1729243786354777</v>
      </c>
      <c r="AA265" s="148">
        <f t="shared" si="323"/>
        <v>-260.31620310467628</v>
      </c>
      <c r="AB265" s="148">
        <f t="shared" si="323"/>
        <v>70.564516129032199</v>
      </c>
      <c r="AC265" s="148">
        <f t="shared" si="323"/>
        <v>-455.33734558124786</v>
      </c>
      <c r="AD265" s="148">
        <f t="shared" si="323"/>
        <v>329.16666666666652</v>
      </c>
      <c r="AE265" s="148">
        <f t="shared" si="323"/>
        <v>-56.451612903225815</v>
      </c>
      <c r="AF265" s="148">
        <f t="shared" si="323"/>
        <v>-25.513672609192849</v>
      </c>
      <c r="AG265" s="338">
        <f t="shared" si="324"/>
        <v>-146.26327389300724</v>
      </c>
      <c r="AH265" s="338">
        <f t="shared" si="324"/>
        <v>-102.08276240065788</v>
      </c>
      <c r="AI265" s="338">
        <f t="shared" si="324"/>
        <v>-8.44594594594572</v>
      </c>
      <c r="AJ265" s="338">
        <f t="shared" si="324"/>
        <v>63.471502590673744</v>
      </c>
      <c r="AK265" s="338">
        <f t="shared" si="324"/>
        <v>-52.252146070284887</v>
      </c>
      <c r="AL265" s="338">
        <f t="shared" ref="AL265:AU265" si="325">(AL208-AG208)*10000</f>
        <v>-164.43282118339343</v>
      </c>
      <c r="AM265" s="338">
        <f t="shared" si="325"/>
        <v>-91.930541368743519</v>
      </c>
      <c r="AN265" s="338">
        <f t="shared" si="325"/>
        <v>-530.24453024453021</v>
      </c>
      <c r="AO265" s="338">
        <f t="shared" si="325"/>
        <v>-72.400074019245139</v>
      </c>
      <c r="AP265" s="338">
        <f t="shared" si="325"/>
        <v>-213.82611622054682</v>
      </c>
      <c r="AQ265" s="338">
        <f t="shared" si="325"/>
        <v>-610.96289109871441</v>
      </c>
      <c r="AR265" s="338">
        <f t="shared" si="325"/>
        <v>-430.62200956937801</v>
      </c>
      <c r="AS265" s="338">
        <f t="shared" si="325"/>
        <v>447.34432234432217</v>
      </c>
      <c r="AT265" s="338">
        <f t="shared" si="325"/>
        <v>-192.39886219974716</v>
      </c>
      <c r="AU265" s="338">
        <f t="shared" si="325"/>
        <v>-194.56154554845202</v>
      </c>
      <c r="AV265" s="391" t="s">
        <v>221</v>
      </c>
      <c r="AW265" s="391" t="s">
        <v>221</v>
      </c>
      <c r="AX265" s="391" t="s">
        <v>221</v>
      </c>
      <c r="AY265" s="391" t="s">
        <v>221</v>
      </c>
      <c r="AZ265" s="211" t="s">
        <v>221</v>
      </c>
      <c r="BA265" s="211" t="s">
        <v>221</v>
      </c>
      <c r="BB265" s="211" t="s">
        <v>221</v>
      </c>
      <c r="BC265" s="211" t="s">
        <v>221</v>
      </c>
      <c r="BD265" s="211" t="s">
        <v>221</v>
      </c>
      <c r="BE265" s="211" t="s">
        <v>221</v>
      </c>
      <c r="BF265" s="211" t="s">
        <v>221</v>
      </c>
      <c r="BG265" s="211" t="s">
        <v>221</v>
      </c>
      <c r="BH265" s="211" t="s">
        <v>221</v>
      </c>
      <c r="BI265" s="211" t="s">
        <v>221</v>
      </c>
      <c r="BJ265" s="211" t="s">
        <v>221</v>
      </c>
      <c r="BK265" s="211" t="s">
        <v>221</v>
      </c>
      <c r="BL265" s="211" t="s">
        <v>221</v>
      </c>
      <c r="BM265" s="211" t="s">
        <v>221</v>
      </c>
      <c r="BN265" s="211" t="s">
        <v>221</v>
      </c>
      <c r="BO265" s="211" t="s">
        <v>221</v>
      </c>
      <c r="BP265" s="211" t="s">
        <v>221</v>
      </c>
      <c r="BQ265" s="211" t="s">
        <v>221</v>
      </c>
      <c r="BR265" s="211" t="s">
        <v>221</v>
      </c>
      <c r="BS265" s="211" t="s">
        <v>221</v>
      </c>
      <c r="BT265" s="211" t="s">
        <v>221</v>
      </c>
      <c r="BU265" s="211" t="s">
        <v>221</v>
      </c>
      <c r="BV265" s="211" t="s">
        <v>221</v>
      </c>
      <c r="BW265" s="211" t="s">
        <v>221</v>
      </c>
      <c r="BX265" s="211" t="s">
        <v>221</v>
      </c>
      <c r="BY265" s="211" t="s">
        <v>221</v>
      </c>
      <c r="BZ265" s="211" t="s">
        <v>221</v>
      </c>
      <c r="CA265" s="211" t="s">
        <v>221</v>
      </c>
      <c r="CB265" s="211" t="s">
        <v>221</v>
      </c>
      <c r="CC265" s="211" t="s">
        <v>221</v>
      </c>
      <c r="CD265" s="211" t="s">
        <v>221</v>
      </c>
      <c r="CE265" s="211" t="s">
        <v>221</v>
      </c>
      <c r="CF265" s="211" t="s">
        <v>221</v>
      </c>
      <c r="CG265" s="211" t="s">
        <v>221</v>
      </c>
      <c r="CH265" s="211" t="s">
        <v>221</v>
      </c>
      <c r="CI265" s="211" t="s">
        <v>221</v>
      </c>
      <c r="CJ265" s="211" t="s">
        <v>221</v>
      </c>
      <c r="CK265" s="211" t="s">
        <v>221</v>
      </c>
      <c r="CL265" s="211" t="s">
        <v>221</v>
      </c>
      <c r="CM265" s="211" t="s">
        <v>221</v>
      </c>
      <c r="CN265" s="211" t="s">
        <v>221</v>
      </c>
      <c r="CO265" s="211" t="s">
        <v>221</v>
      </c>
      <c r="CP265" s="211" t="s">
        <v>221</v>
      </c>
      <c r="CQ265" s="211" t="s">
        <v>221</v>
      </c>
      <c r="CR265" s="211" t="s">
        <v>221</v>
      </c>
      <c r="CS265" s="211" t="s">
        <v>221</v>
      </c>
      <c r="CT265" s="211" t="s">
        <v>221</v>
      </c>
      <c r="CU265" s="211" t="s">
        <v>221</v>
      </c>
      <c r="CV265" s="211" t="s">
        <v>221</v>
      </c>
      <c r="CW265" s="211" t="s">
        <v>221</v>
      </c>
      <c r="CX265" s="211" t="s">
        <v>221</v>
      </c>
      <c r="CY265" s="211" t="s">
        <v>221</v>
      </c>
      <c r="CZ265" s="211" t="s">
        <v>221</v>
      </c>
      <c r="DA265" s="211" t="s">
        <v>221</v>
      </c>
      <c r="DB265" s="211" t="s">
        <v>221</v>
      </c>
      <c r="DC265" s="211" t="s">
        <v>221</v>
      </c>
      <c r="DD265" s="211" t="s">
        <v>221</v>
      </c>
      <c r="DE265" s="211" t="s">
        <v>221</v>
      </c>
      <c r="DF265" s="211" t="s">
        <v>221</v>
      </c>
      <c r="DG265" s="211" t="s">
        <v>221</v>
      </c>
      <c r="DH265" s="211" t="s">
        <v>221</v>
      </c>
    </row>
    <row r="266" spans="1:112" hidden="1" outlineLevel="1" x14ac:dyDescent="0.2">
      <c r="A266" s="369" t="s">
        <v>216</v>
      </c>
      <c r="B266" s="218"/>
      <c r="C266" s="247"/>
      <c r="D266" s="247"/>
      <c r="E266" s="247"/>
      <c r="F266" s="247"/>
      <c r="G266" s="247"/>
      <c r="H266" s="223" t="s">
        <v>221</v>
      </c>
      <c r="I266" s="223" t="s">
        <v>221</v>
      </c>
      <c r="J266" s="223" t="s">
        <v>221</v>
      </c>
      <c r="K266" s="223" t="s">
        <v>221</v>
      </c>
      <c r="L266" s="223" t="s">
        <v>221</v>
      </c>
      <c r="M266" s="149">
        <f>(M210-H210)*10000</f>
        <v>777.19151117012609</v>
      </c>
      <c r="N266" s="149">
        <f>(N210-I210)*10000</f>
        <v>561.54290069421268</v>
      </c>
      <c r="O266" s="149">
        <f>(O210-J210)*10000</f>
        <v>974.45696958185488</v>
      </c>
      <c r="P266" s="149">
        <f>(P210-K210)*10000</f>
        <v>-53.37618203309691</v>
      </c>
      <c r="Q266" s="149">
        <f>(Q210-L210)*10000</f>
        <v>551.54060965846156</v>
      </c>
      <c r="R266" s="149">
        <f t="shared" ref="R266:AA266" si="326">(R210-M210)*10000</f>
        <v>-605.33646259975978</v>
      </c>
      <c r="S266" s="149">
        <f t="shared" si="326"/>
        <v>140.7878674053903</v>
      </c>
      <c r="T266" s="149">
        <f t="shared" si="326"/>
        <v>-23.74485162502382</v>
      </c>
      <c r="U266" s="149">
        <f t="shared" si="326"/>
        <v>9.2519338959212725</v>
      </c>
      <c r="V266" s="149">
        <f t="shared" si="326"/>
        <v>-123.89745240538124</v>
      </c>
      <c r="W266" s="149">
        <f t="shared" si="326"/>
        <v>-227.16752917608829</v>
      </c>
      <c r="X266" s="149">
        <f t="shared" si="326"/>
        <v>91.739130434782538</v>
      </c>
      <c r="Y266" s="149">
        <f t="shared" si="326"/>
        <v>-17.75034913692658</v>
      </c>
      <c r="Z266" s="149">
        <f t="shared" si="326"/>
        <v>-107.64540811176393</v>
      </c>
      <c r="AA266" s="149">
        <f t="shared" si="326"/>
        <v>-68.310235814157409</v>
      </c>
      <c r="AB266" s="149">
        <f t="shared" ref="AB266:AK266" si="327">(AB210-W210)*10000</f>
        <v>44.045248368182186</v>
      </c>
      <c r="AC266" s="149">
        <f t="shared" si="327"/>
        <v>-400.82706766917278</v>
      </c>
      <c r="AD266" s="149">
        <f t="shared" si="327"/>
        <v>78.662827436804804</v>
      </c>
      <c r="AE266" s="149">
        <f t="shared" si="327"/>
        <v>-181.64164287623046</v>
      </c>
      <c r="AF266" s="149">
        <f t="shared" si="327"/>
        <v>-113.68998686418303</v>
      </c>
      <c r="AG266" s="352">
        <f t="shared" si="327"/>
        <v>64.154776616859593</v>
      </c>
      <c r="AH266" s="352">
        <f t="shared" si="327"/>
        <v>34.051409176893145</v>
      </c>
      <c r="AI266" s="352">
        <f t="shared" si="327"/>
        <v>10.16828511871487</v>
      </c>
      <c r="AJ266" s="352">
        <f t="shared" si="327"/>
        <v>219.27122820318417</v>
      </c>
      <c r="AK266" s="352">
        <f t="shared" si="327"/>
        <v>86.63465524818281</v>
      </c>
      <c r="AL266" s="352">
        <f t="shared" ref="AL266:AU266" si="328">(AL210-AG210)*10000</f>
        <v>-69.177235121263564</v>
      </c>
      <c r="AM266" s="352">
        <f t="shared" si="328"/>
        <v>-2.9713904115988288</v>
      </c>
      <c r="AN266" s="352">
        <f t="shared" si="328"/>
        <v>-293.90026520586059</v>
      </c>
      <c r="AO266" s="352">
        <f t="shared" si="328"/>
        <v>-198.47408026755858</v>
      </c>
      <c r="AP266" s="352">
        <f t="shared" si="328"/>
        <v>-146.13609212625084</v>
      </c>
      <c r="AQ266" s="352">
        <f t="shared" si="328"/>
        <v>-1.6270346680849479</v>
      </c>
      <c r="AR266" s="352">
        <f t="shared" si="328"/>
        <v>21.786522588088943</v>
      </c>
      <c r="AS266" s="352">
        <f t="shared" si="328"/>
        <v>536.60179026032677</v>
      </c>
      <c r="AT266" s="352">
        <f t="shared" si="328"/>
        <v>280.55741360089206</v>
      </c>
      <c r="AU266" s="352">
        <f t="shared" si="328"/>
        <v>215.41416633464206</v>
      </c>
      <c r="AV266" s="392" t="s">
        <v>221</v>
      </c>
      <c r="AW266" s="392" t="s">
        <v>221</v>
      </c>
      <c r="AX266" s="392" t="s">
        <v>221</v>
      </c>
      <c r="AY266" s="392" t="s">
        <v>221</v>
      </c>
      <c r="AZ266" s="224" t="s">
        <v>221</v>
      </c>
      <c r="BA266" s="224" t="s">
        <v>221</v>
      </c>
      <c r="BB266" s="224" t="s">
        <v>221</v>
      </c>
      <c r="BC266" s="224" t="s">
        <v>221</v>
      </c>
      <c r="BD266" s="224" t="s">
        <v>221</v>
      </c>
      <c r="BE266" s="224" t="s">
        <v>221</v>
      </c>
      <c r="BF266" s="224" t="s">
        <v>221</v>
      </c>
      <c r="BG266" s="224" t="s">
        <v>221</v>
      </c>
      <c r="BH266" s="224" t="s">
        <v>221</v>
      </c>
      <c r="BI266" s="224" t="s">
        <v>221</v>
      </c>
      <c r="BJ266" s="224" t="s">
        <v>221</v>
      </c>
      <c r="BK266" s="224" t="s">
        <v>221</v>
      </c>
      <c r="BL266" s="224" t="s">
        <v>221</v>
      </c>
      <c r="BM266" s="224" t="s">
        <v>221</v>
      </c>
      <c r="BN266" s="224" t="s">
        <v>221</v>
      </c>
      <c r="BO266" s="224" t="s">
        <v>221</v>
      </c>
      <c r="BP266" s="224" t="s">
        <v>221</v>
      </c>
      <c r="BQ266" s="224" t="s">
        <v>221</v>
      </c>
      <c r="BR266" s="224" t="s">
        <v>221</v>
      </c>
      <c r="BS266" s="224" t="s">
        <v>221</v>
      </c>
      <c r="BT266" s="224" t="s">
        <v>221</v>
      </c>
      <c r="BU266" s="224" t="s">
        <v>221</v>
      </c>
      <c r="BV266" s="224" t="s">
        <v>221</v>
      </c>
      <c r="BW266" s="224" t="s">
        <v>221</v>
      </c>
      <c r="BX266" s="224" t="s">
        <v>221</v>
      </c>
      <c r="BY266" s="224" t="s">
        <v>221</v>
      </c>
      <c r="BZ266" s="224" t="s">
        <v>221</v>
      </c>
      <c r="CA266" s="224" t="s">
        <v>221</v>
      </c>
      <c r="CB266" s="224" t="s">
        <v>221</v>
      </c>
      <c r="CC266" s="224" t="s">
        <v>221</v>
      </c>
      <c r="CD266" s="224" t="s">
        <v>221</v>
      </c>
      <c r="CE266" s="224" t="s">
        <v>221</v>
      </c>
      <c r="CF266" s="224" t="s">
        <v>221</v>
      </c>
      <c r="CG266" s="224" t="s">
        <v>221</v>
      </c>
      <c r="CH266" s="224" t="s">
        <v>221</v>
      </c>
      <c r="CI266" s="224" t="s">
        <v>221</v>
      </c>
      <c r="CJ266" s="224" t="s">
        <v>221</v>
      </c>
      <c r="CK266" s="224" t="s">
        <v>221</v>
      </c>
      <c r="CL266" s="224" t="s">
        <v>221</v>
      </c>
      <c r="CM266" s="224" t="s">
        <v>221</v>
      </c>
      <c r="CN266" s="224" t="s">
        <v>221</v>
      </c>
      <c r="CO266" s="224" t="s">
        <v>221</v>
      </c>
      <c r="CP266" s="224" t="s">
        <v>221</v>
      </c>
      <c r="CQ266" s="224" t="s">
        <v>221</v>
      </c>
      <c r="CR266" s="224" t="s">
        <v>221</v>
      </c>
      <c r="CS266" s="224" t="s">
        <v>221</v>
      </c>
      <c r="CT266" s="224" t="s">
        <v>221</v>
      </c>
      <c r="CU266" s="224" t="s">
        <v>221</v>
      </c>
      <c r="CV266" s="224" t="s">
        <v>221</v>
      </c>
      <c r="CW266" s="224" t="s">
        <v>221</v>
      </c>
      <c r="CX266" s="224" t="s">
        <v>221</v>
      </c>
      <c r="CY266" s="224" t="s">
        <v>221</v>
      </c>
      <c r="CZ266" s="224" t="s">
        <v>221</v>
      </c>
      <c r="DA266" s="224" t="s">
        <v>221</v>
      </c>
      <c r="DB266" s="224" t="s">
        <v>221</v>
      </c>
      <c r="DC266" s="224" t="s">
        <v>221</v>
      </c>
      <c r="DD266" s="224" t="s">
        <v>221</v>
      </c>
      <c r="DE266" s="224" t="s">
        <v>221</v>
      </c>
      <c r="DF266" s="224" t="s">
        <v>221</v>
      </c>
      <c r="DG266" s="224" t="s">
        <v>221</v>
      </c>
      <c r="DH266" s="224" t="s">
        <v>221</v>
      </c>
    </row>
    <row r="267" spans="1:112" collapsed="1" x14ac:dyDescent="0.2">
      <c r="A267" s="101"/>
      <c r="B267" s="101"/>
      <c r="C267" s="123"/>
      <c r="D267" s="123"/>
      <c r="E267" s="123"/>
      <c r="F267" s="123"/>
      <c r="G267" s="122"/>
      <c r="H267" s="123"/>
      <c r="I267" s="123"/>
      <c r="J267" s="123"/>
      <c r="K267" s="123"/>
      <c r="L267" s="122"/>
      <c r="M267" s="123"/>
      <c r="N267" s="123"/>
      <c r="O267" s="123"/>
      <c r="P267" s="123"/>
      <c r="Q267" s="122"/>
      <c r="R267" s="123"/>
      <c r="S267" s="123"/>
      <c r="T267" s="123"/>
      <c r="U267" s="123"/>
      <c r="V267" s="122"/>
      <c r="W267" s="123"/>
      <c r="X267" s="123"/>
      <c r="Y267" s="123"/>
      <c r="Z267" s="123"/>
      <c r="AA267" s="122"/>
      <c r="AB267" s="123"/>
      <c r="AC267" s="123"/>
      <c r="AD267" s="123"/>
      <c r="AE267" s="123"/>
      <c r="AF267" s="122"/>
      <c r="AG267" s="401"/>
      <c r="AH267" s="401"/>
      <c r="AI267" s="401"/>
      <c r="AJ267" s="401"/>
      <c r="AK267" s="402"/>
      <c r="AL267" s="401"/>
      <c r="AM267" s="401"/>
      <c r="AN267" s="401"/>
      <c r="AO267" s="401"/>
      <c r="AP267" s="402"/>
      <c r="AQ267" s="401"/>
      <c r="AR267" s="401"/>
      <c r="AS267" s="401"/>
      <c r="AT267" s="401"/>
      <c r="AU267" s="402"/>
      <c r="AV267" s="401"/>
      <c r="AW267" s="401"/>
      <c r="AX267" s="401"/>
      <c r="AY267" s="401"/>
      <c r="AZ267" s="122"/>
      <c r="BA267" s="123"/>
      <c r="BB267" s="123"/>
      <c r="BC267" s="123"/>
      <c r="BD267" s="123"/>
      <c r="BE267" s="122"/>
      <c r="BF267" s="123"/>
      <c r="BG267" s="123"/>
      <c r="BH267" s="123"/>
      <c r="BI267" s="123"/>
      <c r="BJ267" s="122"/>
      <c r="BK267" s="123"/>
      <c r="BL267" s="123"/>
      <c r="BM267" s="123"/>
      <c r="BN267" s="123"/>
      <c r="BO267" s="122"/>
      <c r="BP267" s="123"/>
      <c r="BQ267" s="123"/>
      <c r="BR267" s="123"/>
      <c r="BS267" s="123"/>
      <c r="BT267" s="122"/>
      <c r="BU267" s="123"/>
      <c r="BV267" s="123"/>
      <c r="BW267" s="123"/>
      <c r="BX267" s="123"/>
      <c r="BY267" s="122"/>
      <c r="BZ267" s="123"/>
      <c r="CA267" s="123"/>
      <c r="CB267" s="123"/>
      <c r="CC267" s="123"/>
      <c r="CD267" s="122"/>
      <c r="CE267" s="123"/>
      <c r="CF267" s="123"/>
      <c r="CG267" s="123"/>
      <c r="CH267" s="123"/>
      <c r="CI267" s="122"/>
      <c r="CJ267" s="123"/>
      <c r="CK267" s="123"/>
      <c r="CL267" s="123"/>
      <c r="CM267" s="123"/>
      <c r="CN267" s="122"/>
      <c r="CO267" s="123"/>
      <c r="CP267" s="123"/>
      <c r="CQ267" s="123"/>
      <c r="CR267" s="123"/>
      <c r="CS267" s="122"/>
      <c r="CT267" s="123"/>
      <c r="CU267" s="123"/>
      <c r="CV267" s="123"/>
      <c r="CW267" s="123"/>
      <c r="CX267" s="122"/>
      <c r="CY267" s="123"/>
      <c r="CZ267" s="123"/>
      <c r="DA267" s="123"/>
      <c r="DB267" s="123"/>
      <c r="DC267" s="122"/>
      <c r="DD267" s="123"/>
      <c r="DE267" s="123"/>
      <c r="DF267" s="123"/>
      <c r="DG267" s="123"/>
      <c r="DH267" s="122"/>
    </row>
    <row r="268" spans="1:112" hidden="1" x14ac:dyDescent="0.2">
      <c r="A268" s="368" t="s">
        <v>99</v>
      </c>
      <c r="B268" s="101"/>
      <c r="C268" s="101"/>
      <c r="D268" s="101"/>
      <c r="E268" s="101"/>
      <c r="F268" s="101"/>
      <c r="G268" s="100"/>
      <c r="H268" s="101"/>
      <c r="I268" s="101"/>
      <c r="J268" s="101"/>
      <c r="K268" s="101"/>
      <c r="L268" s="100"/>
      <c r="M268" s="101"/>
      <c r="N268" s="101"/>
      <c r="O268" s="101"/>
      <c r="P268" s="101"/>
      <c r="Q268" s="100"/>
      <c r="R268" s="101"/>
      <c r="S268" s="101"/>
      <c r="T268" s="101"/>
      <c r="U268" s="101"/>
      <c r="V268" s="100"/>
      <c r="W268" s="101"/>
      <c r="X268" s="101"/>
      <c r="Y268" s="124"/>
      <c r="Z268" s="101"/>
      <c r="AA268" s="124"/>
      <c r="AB268" s="101"/>
      <c r="AC268" s="101"/>
      <c r="AD268" s="101"/>
      <c r="AE268" s="101"/>
      <c r="AF268" s="125"/>
      <c r="AG268" s="166"/>
      <c r="AH268" s="166"/>
      <c r="AI268" s="166"/>
      <c r="AJ268" s="166"/>
      <c r="AK268" s="166"/>
      <c r="AL268" s="166"/>
      <c r="AM268" s="166"/>
      <c r="AN268" s="166"/>
      <c r="AO268" s="166"/>
      <c r="AP268" s="166"/>
      <c r="AQ268" s="166"/>
      <c r="AR268" s="166"/>
      <c r="AS268" s="166"/>
      <c r="AT268" s="166"/>
      <c r="AU268" s="166"/>
      <c r="AV268" s="166"/>
      <c r="AW268" s="166"/>
      <c r="AX268" s="166"/>
      <c r="AY268" s="166"/>
      <c r="AZ268" s="101"/>
      <c r="BA268" s="101"/>
      <c r="BB268" s="101"/>
      <c r="BC268" s="101"/>
      <c r="BD268" s="101"/>
      <c r="BE268" s="101"/>
      <c r="BF268" s="101"/>
      <c r="BG268" s="101"/>
      <c r="BH268" s="101"/>
      <c r="BI268" s="101"/>
      <c r="BJ268" s="101"/>
      <c r="BK268" s="101"/>
      <c r="BL268" s="101"/>
      <c r="BM268" s="101"/>
      <c r="BN268" s="101"/>
      <c r="BO268" s="101"/>
      <c r="BP268" s="101"/>
      <c r="BQ268" s="101"/>
      <c r="BR268" s="101"/>
      <c r="BS268" s="101"/>
      <c r="BT268" s="101"/>
      <c r="BU268" s="101"/>
      <c r="BV268" s="101"/>
      <c r="BW268" s="101"/>
      <c r="BX268" s="101"/>
      <c r="BY268" s="101"/>
      <c r="BZ268" s="101"/>
      <c r="CA268" s="101"/>
      <c r="CB268" s="101"/>
      <c r="CC268" s="101"/>
      <c r="CD268" s="101"/>
      <c r="CE268" s="101"/>
      <c r="CF268" s="101"/>
      <c r="CG268" s="101"/>
      <c r="CH268" s="101"/>
      <c r="CI268" s="101"/>
      <c r="CJ268" s="101"/>
      <c r="CK268" s="101"/>
      <c r="CL268" s="101"/>
      <c r="CM268" s="101"/>
      <c r="CN268" s="101"/>
      <c r="CO268" s="101"/>
      <c r="CP268" s="101"/>
      <c r="CQ268" s="101"/>
      <c r="CR268" s="101"/>
      <c r="CS268" s="101"/>
      <c r="CT268" s="101"/>
      <c r="CU268" s="101"/>
      <c r="CV268" s="101"/>
      <c r="CW268" s="101"/>
      <c r="CX268" s="101"/>
      <c r="CY268" s="101"/>
      <c r="CZ268" s="101"/>
      <c r="DA268" s="101"/>
      <c r="DB268" s="101"/>
      <c r="DC268" s="101"/>
      <c r="DD268" s="101"/>
      <c r="DE268" s="101"/>
      <c r="DF268" s="101"/>
      <c r="DG268" s="101"/>
      <c r="DH268" s="101"/>
    </row>
    <row r="269" spans="1:112" hidden="1" x14ac:dyDescent="0.2">
      <c r="A269" s="101" t="s">
        <v>100</v>
      </c>
      <c r="B269" s="101"/>
      <c r="C269" s="101"/>
      <c r="D269" s="101"/>
      <c r="E269" s="101"/>
      <c r="F269" s="101"/>
      <c r="G269" s="545"/>
      <c r="H269" s="101"/>
      <c r="I269" s="101"/>
      <c r="J269" s="101"/>
      <c r="K269" s="101"/>
      <c r="L269" s="545"/>
      <c r="M269" s="101"/>
      <c r="N269" s="101"/>
      <c r="O269" s="101"/>
      <c r="P269" s="101"/>
      <c r="Q269" s="545"/>
      <c r="R269" s="101"/>
      <c r="S269" s="101"/>
      <c r="T269" s="101"/>
      <c r="U269" s="101"/>
      <c r="V269" s="545"/>
      <c r="W269" s="101"/>
      <c r="X269" s="101"/>
      <c r="Y269" s="124"/>
      <c r="Z269" s="101"/>
      <c r="AA269" s="518">
        <v>3692</v>
      </c>
      <c r="AB269" s="101"/>
      <c r="AC269" s="101"/>
      <c r="AD269" s="101"/>
      <c r="AE269" s="101"/>
      <c r="AF269" s="518">
        <v>3878</v>
      </c>
      <c r="AG269" s="166"/>
      <c r="AH269" s="166"/>
      <c r="AI269" s="166"/>
      <c r="AJ269" s="166"/>
      <c r="AK269" s="422">
        <v>3977</v>
      </c>
      <c r="AL269" s="166"/>
      <c r="AM269" s="166"/>
      <c r="AN269" s="166"/>
      <c r="AO269" s="166"/>
      <c r="AP269" s="422">
        <v>4239</v>
      </c>
      <c r="AQ269" s="166"/>
      <c r="AR269" s="166"/>
      <c r="AS269" s="166"/>
      <c r="AT269" s="166"/>
      <c r="AU269" s="422">
        <v>4422</v>
      </c>
      <c r="AV269" s="166"/>
      <c r="AW269" s="166"/>
      <c r="AX269" s="166"/>
      <c r="AY269" s="166"/>
      <c r="AZ269" s="422">
        <v>4415</v>
      </c>
      <c r="BA269" s="101"/>
      <c r="BB269" s="101"/>
      <c r="BC269" s="101"/>
      <c r="BD269" s="101"/>
      <c r="BE269" s="101"/>
      <c r="BF269" s="101"/>
      <c r="BG269" s="101"/>
      <c r="BH269" s="101"/>
      <c r="BI269" s="101"/>
      <c r="BJ269" s="101"/>
      <c r="BK269" s="101"/>
      <c r="BL269" s="101"/>
      <c r="BM269" s="101"/>
      <c r="BN269" s="101"/>
      <c r="BO269" s="101"/>
      <c r="BP269" s="101"/>
      <c r="BQ269" s="101"/>
      <c r="BR269" s="101"/>
      <c r="BS269" s="101"/>
      <c r="BT269" s="101"/>
      <c r="BU269" s="101"/>
      <c r="BV269" s="101"/>
      <c r="BW269" s="101"/>
      <c r="BX269" s="101"/>
      <c r="BY269" s="101"/>
      <c r="BZ269" s="101"/>
      <c r="CA269" s="101"/>
      <c r="CB269" s="101"/>
      <c r="CC269" s="101"/>
      <c r="CD269" s="101"/>
      <c r="CE269" s="101"/>
      <c r="CF269" s="101"/>
      <c r="CG269" s="101"/>
      <c r="CH269" s="101"/>
      <c r="CI269" s="101"/>
      <c r="CJ269" s="101"/>
      <c r="CK269" s="101"/>
      <c r="CL269" s="101"/>
      <c r="CM269" s="101"/>
      <c r="CN269" s="101"/>
      <c r="CO269" s="101"/>
      <c r="CP269" s="101"/>
      <c r="CQ269" s="101"/>
      <c r="CR269" s="101"/>
      <c r="CS269" s="101"/>
      <c r="CT269" s="101"/>
      <c r="CU269" s="101"/>
      <c r="CV269" s="101"/>
      <c r="CW269" s="101"/>
      <c r="CX269" s="101"/>
      <c r="CY269" s="101"/>
      <c r="CZ269" s="101"/>
      <c r="DA269" s="101"/>
      <c r="DB269" s="101"/>
      <c r="DC269" s="101"/>
      <c r="DD269" s="101"/>
      <c r="DE269" s="101"/>
      <c r="DF269" s="101"/>
      <c r="DG269" s="101"/>
      <c r="DH269" s="101"/>
    </row>
    <row r="270" spans="1:112" hidden="1" x14ac:dyDescent="0.2">
      <c r="A270" s="101" t="s">
        <v>101</v>
      </c>
      <c r="B270" s="101"/>
      <c r="C270" s="101"/>
      <c r="D270" s="101"/>
      <c r="E270" s="101"/>
      <c r="F270" s="101"/>
      <c r="G270" s="183"/>
      <c r="H270" s="101"/>
      <c r="I270" s="101"/>
      <c r="J270" s="101"/>
      <c r="K270" s="101"/>
      <c r="L270" s="183"/>
      <c r="M270" s="101"/>
      <c r="N270" s="101"/>
      <c r="O270" s="101"/>
      <c r="P270" s="101"/>
      <c r="Q270" s="183"/>
      <c r="R270" s="101"/>
      <c r="S270" s="101"/>
      <c r="T270" s="101"/>
      <c r="U270" s="101"/>
      <c r="V270" s="183"/>
      <c r="W270" s="101"/>
      <c r="X270" s="101"/>
      <c r="Y270" s="124"/>
      <c r="Z270" s="101"/>
      <c r="AA270" s="184">
        <v>696</v>
      </c>
      <c r="AB270" s="101"/>
      <c r="AC270" s="101"/>
      <c r="AD270" s="101"/>
      <c r="AE270" s="101"/>
      <c r="AF270" s="184">
        <f>AF23-AF269</f>
        <v>766</v>
      </c>
      <c r="AG270" s="166"/>
      <c r="AH270" s="166"/>
      <c r="AI270" s="166"/>
      <c r="AJ270" s="166"/>
      <c r="AK270" s="423">
        <f>AK23-AK269</f>
        <v>870</v>
      </c>
      <c r="AL270" s="166"/>
      <c r="AM270" s="166"/>
      <c r="AN270" s="166"/>
      <c r="AO270" s="166"/>
      <c r="AP270" s="423">
        <f>AP23-AP269</f>
        <v>1034</v>
      </c>
      <c r="AQ270" s="166"/>
      <c r="AR270" s="166"/>
      <c r="AS270" s="166"/>
      <c r="AT270" s="166"/>
      <c r="AU270" s="423">
        <v>1028</v>
      </c>
      <c r="AV270" s="166"/>
      <c r="AW270" s="166"/>
      <c r="AX270" s="166"/>
      <c r="AY270" s="166"/>
      <c r="AZ270" s="423">
        <v>1199</v>
      </c>
      <c r="BA270" s="101"/>
      <c r="BB270" s="101"/>
      <c r="BC270" s="101"/>
      <c r="BD270" s="101"/>
      <c r="BE270" s="101"/>
      <c r="BF270" s="101"/>
      <c r="BG270" s="101"/>
      <c r="BH270" s="101"/>
      <c r="BI270" s="101"/>
      <c r="BJ270" s="101"/>
      <c r="BK270" s="101"/>
      <c r="BL270" s="101"/>
      <c r="BM270" s="101"/>
      <c r="BN270" s="101"/>
      <c r="BO270" s="101"/>
      <c r="BP270" s="101"/>
      <c r="BQ270" s="101"/>
      <c r="BR270" s="101"/>
      <c r="BS270" s="101"/>
      <c r="BT270" s="101"/>
      <c r="BU270" s="101"/>
      <c r="BV270" s="101"/>
      <c r="BW270" s="101"/>
      <c r="BX270" s="101"/>
      <c r="BY270" s="101"/>
      <c r="BZ270" s="101"/>
      <c r="CA270" s="101"/>
      <c r="CB270" s="101"/>
      <c r="CC270" s="101"/>
      <c r="CD270" s="101"/>
      <c r="CE270" s="101"/>
      <c r="CF270" s="101"/>
      <c r="CG270" s="101"/>
      <c r="CH270" s="101"/>
      <c r="CI270" s="101"/>
      <c r="CJ270" s="101"/>
      <c r="CK270" s="101"/>
      <c r="CL270" s="101"/>
      <c r="CM270" s="101"/>
      <c r="CN270" s="101"/>
      <c r="CO270" s="101"/>
      <c r="CP270" s="101"/>
      <c r="CQ270" s="101"/>
      <c r="CR270" s="101"/>
      <c r="CS270" s="101"/>
      <c r="CT270" s="101"/>
      <c r="CU270" s="101"/>
      <c r="CV270" s="101"/>
      <c r="CW270" s="101"/>
      <c r="CX270" s="101"/>
      <c r="CY270" s="101"/>
      <c r="CZ270" s="101"/>
      <c r="DA270" s="101"/>
      <c r="DB270" s="101"/>
      <c r="DC270" s="101"/>
      <c r="DD270" s="101"/>
      <c r="DE270" s="101"/>
      <c r="DF270" s="101"/>
      <c r="DG270" s="101"/>
      <c r="DH270" s="101"/>
    </row>
    <row r="271" spans="1:112" hidden="1" x14ac:dyDescent="0.2">
      <c r="A271" s="101"/>
      <c r="B271" s="101"/>
      <c r="C271" s="101"/>
      <c r="D271" s="101"/>
      <c r="E271" s="101"/>
      <c r="F271" s="101"/>
      <c r="G271" s="183"/>
      <c r="H271" s="101"/>
      <c r="I271" s="101"/>
      <c r="J271" s="101"/>
      <c r="K271" s="101"/>
      <c r="L271" s="183"/>
      <c r="M271" s="101"/>
      <c r="N271" s="101"/>
      <c r="O271" s="101"/>
      <c r="P271" s="101"/>
      <c r="Q271" s="183"/>
      <c r="R271" s="101"/>
      <c r="S271" s="101"/>
      <c r="T271" s="101"/>
      <c r="U271" s="101"/>
      <c r="V271" s="183"/>
      <c r="W271" s="101"/>
      <c r="X271" s="101"/>
      <c r="Y271" s="124"/>
      <c r="Z271" s="101"/>
      <c r="AA271" s="184"/>
      <c r="AB271" s="101"/>
      <c r="AC271" s="101"/>
      <c r="AD271" s="101"/>
      <c r="AE271" s="101"/>
      <c r="AF271" s="184"/>
      <c r="AG271" s="166"/>
      <c r="AH271" s="166"/>
      <c r="AI271" s="166"/>
      <c r="AJ271" s="166"/>
      <c r="AK271" s="184"/>
      <c r="AL271" s="166"/>
      <c r="AM271" s="166"/>
      <c r="AN271" s="166"/>
      <c r="AO271" s="166"/>
      <c r="AP271" s="184"/>
      <c r="AQ271" s="166"/>
      <c r="AR271" s="166"/>
      <c r="AS271" s="166"/>
      <c r="AT271" s="166"/>
      <c r="AU271" s="184"/>
      <c r="AV271" s="166"/>
      <c r="AW271" s="166"/>
      <c r="AX271" s="166"/>
      <c r="AY271" s="166"/>
      <c r="AZ271" s="184"/>
      <c r="BA271" s="101"/>
      <c r="BB271" s="101"/>
      <c r="BC271" s="101"/>
      <c r="BD271" s="101"/>
      <c r="BE271" s="101"/>
      <c r="BF271" s="101"/>
      <c r="BG271" s="101"/>
      <c r="BH271" s="101"/>
      <c r="BI271" s="101"/>
      <c r="BJ271" s="101"/>
      <c r="BK271" s="101"/>
      <c r="BL271" s="101"/>
      <c r="BM271" s="101"/>
      <c r="BN271" s="101"/>
      <c r="BO271" s="101"/>
      <c r="BP271" s="101"/>
      <c r="BQ271" s="101"/>
      <c r="BR271" s="101"/>
      <c r="BS271" s="101"/>
      <c r="BT271" s="101"/>
      <c r="BU271" s="101"/>
      <c r="BV271" s="101"/>
      <c r="BW271" s="101"/>
      <c r="BX271" s="101"/>
      <c r="BY271" s="101"/>
      <c r="BZ271" s="101"/>
      <c r="CA271" s="101"/>
      <c r="CB271" s="101"/>
      <c r="CC271" s="101"/>
      <c r="CD271" s="101"/>
      <c r="CE271" s="101"/>
      <c r="CF271" s="101"/>
      <c r="CG271" s="101"/>
      <c r="CH271" s="101"/>
      <c r="CI271" s="101"/>
      <c r="CJ271" s="101"/>
      <c r="CK271" s="101"/>
      <c r="CL271" s="101"/>
      <c r="CM271" s="101"/>
      <c r="CN271" s="101"/>
      <c r="CO271" s="101"/>
      <c r="CP271" s="101"/>
      <c r="CQ271" s="101"/>
      <c r="CR271" s="101"/>
      <c r="CS271" s="101"/>
      <c r="CT271" s="101"/>
      <c r="CU271" s="101"/>
      <c r="CV271" s="101"/>
      <c r="CW271" s="101"/>
      <c r="CX271" s="101"/>
      <c r="CY271" s="101"/>
      <c r="CZ271" s="101"/>
      <c r="DA271" s="101"/>
      <c r="DB271" s="101"/>
      <c r="DC271" s="101"/>
      <c r="DD271" s="101"/>
      <c r="DE271" s="101"/>
      <c r="DF271" s="101"/>
      <c r="DG271" s="101"/>
      <c r="DH271" s="101"/>
    </row>
    <row r="272" spans="1:112" hidden="1" x14ac:dyDescent="0.2">
      <c r="A272" s="368" t="s">
        <v>102</v>
      </c>
      <c r="B272" s="101"/>
      <c r="C272" s="101"/>
      <c r="D272" s="101"/>
      <c r="E272" s="101"/>
      <c r="F272" s="101"/>
      <c r="G272" s="183"/>
      <c r="H272" s="101"/>
      <c r="I272" s="101"/>
      <c r="J272" s="101"/>
      <c r="K272" s="101"/>
      <c r="L272" s="183"/>
      <c r="M272" s="101"/>
      <c r="N272" s="101"/>
      <c r="O272" s="101"/>
      <c r="P272" s="101"/>
      <c r="Q272" s="183"/>
      <c r="R272" s="101"/>
      <c r="S272" s="101"/>
      <c r="T272" s="101"/>
      <c r="U272" s="101"/>
      <c r="V272" s="183"/>
      <c r="W272" s="101"/>
      <c r="X272" s="101"/>
      <c r="Y272" s="124"/>
      <c r="Z272" s="101"/>
      <c r="AA272" s="184"/>
      <c r="AB272" s="101"/>
      <c r="AC272" s="101"/>
      <c r="AD272" s="101"/>
      <c r="AE272" s="101"/>
      <c r="AF272" s="184"/>
      <c r="AG272" s="166"/>
      <c r="AH272" s="166"/>
      <c r="AI272" s="166"/>
      <c r="AJ272" s="166"/>
      <c r="AK272" s="184"/>
      <c r="AL272" s="166"/>
      <c r="AM272" s="166"/>
      <c r="AN272" s="166"/>
      <c r="AO272" s="166"/>
      <c r="AP272" s="184"/>
      <c r="AQ272" s="166"/>
      <c r="AR272" s="166"/>
      <c r="AS272" s="166"/>
      <c r="AT272" s="166"/>
      <c r="AU272" s="184"/>
      <c r="AV272" s="166"/>
      <c r="AW272" s="166"/>
      <c r="AX272" s="166"/>
      <c r="AY272" s="166"/>
      <c r="AZ272" s="184"/>
      <c r="BA272" s="101"/>
      <c r="BB272" s="101"/>
      <c r="BC272" s="101"/>
      <c r="BD272" s="101"/>
      <c r="BE272" s="101"/>
      <c r="BF272" s="101"/>
      <c r="BG272" s="101"/>
      <c r="BH272" s="101"/>
      <c r="BI272" s="101"/>
      <c r="BJ272" s="101"/>
      <c r="BK272" s="101"/>
      <c r="BL272" s="101"/>
      <c r="BM272" s="101"/>
      <c r="BN272" s="101"/>
      <c r="BO272" s="101"/>
      <c r="BP272" s="101"/>
      <c r="BQ272" s="101"/>
      <c r="BR272" s="101"/>
      <c r="BS272" s="101"/>
      <c r="BT272" s="101"/>
      <c r="BU272" s="101"/>
      <c r="BV272" s="101"/>
      <c r="BW272" s="101"/>
      <c r="BX272" s="101"/>
      <c r="BY272" s="101"/>
      <c r="BZ272" s="101"/>
      <c r="CA272" s="101"/>
      <c r="CB272" s="101"/>
      <c r="CC272" s="101"/>
      <c r="CD272" s="101"/>
      <c r="CE272" s="101"/>
      <c r="CF272" s="101"/>
      <c r="CG272" s="101"/>
      <c r="CH272" s="101"/>
      <c r="CI272" s="101"/>
      <c r="CJ272" s="101"/>
      <c r="CK272" s="101"/>
      <c r="CL272" s="101"/>
      <c r="CM272" s="101"/>
      <c r="CN272" s="101"/>
      <c r="CO272" s="101"/>
      <c r="CP272" s="101"/>
      <c r="CQ272" s="101"/>
      <c r="CR272" s="101"/>
      <c r="CS272" s="101"/>
      <c r="CT272" s="101"/>
      <c r="CU272" s="101"/>
      <c r="CV272" s="101"/>
      <c r="CW272" s="101"/>
      <c r="CX272" s="101"/>
      <c r="CY272" s="101"/>
      <c r="CZ272" s="101"/>
      <c r="DA272" s="101"/>
      <c r="DB272" s="101"/>
      <c r="DC272" s="101"/>
      <c r="DD272" s="101"/>
      <c r="DE272" s="101"/>
      <c r="DF272" s="101"/>
      <c r="DG272" s="101"/>
      <c r="DH272" s="101"/>
    </row>
    <row r="273" spans="1:112" hidden="1" x14ac:dyDescent="0.2">
      <c r="A273" s="101" t="s">
        <v>100</v>
      </c>
      <c r="B273" s="101"/>
      <c r="C273" s="101"/>
      <c r="D273" s="101"/>
      <c r="E273" s="101"/>
      <c r="F273" s="101"/>
      <c r="G273" s="183"/>
      <c r="H273" s="101"/>
      <c r="I273" s="101"/>
      <c r="J273" s="101"/>
      <c r="K273" s="101"/>
      <c r="L273" s="183"/>
      <c r="M273" s="101"/>
      <c r="N273" s="101"/>
      <c r="O273" s="101"/>
      <c r="P273" s="101"/>
      <c r="Q273" s="183"/>
      <c r="R273" s="101"/>
      <c r="S273" s="101"/>
      <c r="T273" s="101"/>
      <c r="U273" s="101"/>
      <c r="V273" s="183"/>
      <c r="W273" s="101"/>
      <c r="X273" s="101"/>
      <c r="Y273" s="124"/>
      <c r="Z273" s="101"/>
      <c r="AA273" s="424">
        <f>AA269/AA$23</f>
        <v>0.84138559708295346</v>
      </c>
      <c r="AB273" s="101"/>
      <c r="AC273" s="101"/>
      <c r="AD273" s="101"/>
      <c r="AE273" s="101"/>
      <c r="AF273" s="424">
        <f>AF269/AF$23</f>
        <v>0.83505598621877697</v>
      </c>
      <c r="AG273" s="166"/>
      <c r="AH273" s="166"/>
      <c r="AI273" s="166"/>
      <c r="AJ273" s="166"/>
      <c r="AK273" s="424">
        <f>AK269/AK$23</f>
        <v>0.82050753043119451</v>
      </c>
      <c r="AL273" s="166"/>
      <c r="AM273" s="166"/>
      <c r="AN273" s="166"/>
      <c r="AO273" s="166"/>
      <c r="AP273" s="424">
        <f>AP269/AP$23</f>
        <v>0.80390669448131991</v>
      </c>
      <c r="AQ273" s="166"/>
      <c r="AR273" s="166"/>
      <c r="AS273" s="166"/>
      <c r="AT273" s="166"/>
      <c r="AU273" s="424">
        <f>AU269/AU$23</f>
        <v>0.81137614678899084</v>
      </c>
      <c r="AV273" s="166"/>
      <c r="AW273" s="166"/>
      <c r="AX273" s="166"/>
      <c r="AY273" s="166"/>
      <c r="AZ273" s="424">
        <f>AZ269/SUM(AZ269:AZ270)</f>
        <v>0.78642679016743855</v>
      </c>
      <c r="BA273" s="101"/>
      <c r="BB273" s="101"/>
      <c r="BC273" s="101"/>
      <c r="BD273" s="101"/>
      <c r="BE273" s="101"/>
      <c r="BF273" s="101"/>
      <c r="BG273" s="101"/>
      <c r="BH273" s="101"/>
      <c r="BI273" s="101"/>
      <c r="BJ273" s="101"/>
      <c r="BK273" s="101"/>
      <c r="BL273" s="101"/>
      <c r="BM273" s="101"/>
      <c r="BN273" s="101"/>
      <c r="BO273" s="101"/>
      <c r="BP273" s="101"/>
      <c r="BQ273" s="101"/>
      <c r="BR273" s="101"/>
      <c r="BS273" s="101"/>
      <c r="BT273" s="101"/>
      <c r="BU273" s="101"/>
      <c r="BV273" s="101"/>
      <c r="BW273" s="101"/>
      <c r="BX273" s="101"/>
      <c r="BY273" s="101"/>
      <c r="BZ273" s="101"/>
      <c r="CA273" s="101"/>
      <c r="CB273" s="101"/>
      <c r="CC273" s="101"/>
      <c r="CD273" s="101"/>
      <c r="CE273" s="101"/>
      <c r="CF273" s="101"/>
      <c r="CG273" s="101"/>
      <c r="CH273" s="101"/>
      <c r="CI273" s="101"/>
      <c r="CJ273" s="101"/>
      <c r="CK273" s="101"/>
      <c r="CL273" s="101"/>
      <c r="CM273" s="101"/>
      <c r="CN273" s="101"/>
      <c r="CO273" s="101"/>
      <c r="CP273" s="101"/>
      <c r="CQ273" s="101"/>
      <c r="CR273" s="101"/>
      <c r="CS273" s="101"/>
      <c r="CT273" s="101"/>
      <c r="CU273" s="101"/>
      <c r="CV273" s="101"/>
      <c r="CW273" s="101"/>
      <c r="CX273" s="101"/>
      <c r="CY273" s="101"/>
      <c r="CZ273" s="101"/>
      <c r="DA273" s="101"/>
      <c r="DB273" s="101"/>
      <c r="DC273" s="101"/>
      <c r="DD273" s="101"/>
      <c r="DE273" s="101"/>
      <c r="DF273" s="101"/>
      <c r="DG273" s="101"/>
      <c r="DH273" s="101"/>
    </row>
    <row r="274" spans="1:112" hidden="1" x14ac:dyDescent="0.2">
      <c r="A274" s="101" t="s">
        <v>101</v>
      </c>
      <c r="B274" s="101"/>
      <c r="C274" s="101"/>
      <c r="D274" s="101"/>
      <c r="E274" s="101"/>
      <c r="F274" s="101"/>
      <c r="G274" s="183"/>
      <c r="H274" s="101"/>
      <c r="I274" s="101"/>
      <c r="J274" s="101"/>
      <c r="K274" s="101"/>
      <c r="L274" s="183"/>
      <c r="M274" s="101"/>
      <c r="N274" s="101"/>
      <c r="O274" s="101"/>
      <c r="P274" s="101"/>
      <c r="Q274" s="183"/>
      <c r="R274" s="101"/>
      <c r="S274" s="101"/>
      <c r="T274" s="101"/>
      <c r="U274" s="101"/>
      <c r="V274" s="183"/>
      <c r="W274" s="101"/>
      <c r="X274" s="101"/>
      <c r="Y274" s="124"/>
      <c r="Z274" s="101"/>
      <c r="AA274" s="424">
        <f>AA270/AA$23</f>
        <v>0.15861440291704648</v>
      </c>
      <c r="AB274" s="101"/>
      <c r="AC274" s="101"/>
      <c r="AD274" s="101"/>
      <c r="AE274" s="101"/>
      <c r="AF274" s="424">
        <f>AF270/AF$23</f>
        <v>0.16494401378122309</v>
      </c>
      <c r="AG274" s="166"/>
      <c r="AH274" s="166"/>
      <c r="AI274" s="166"/>
      <c r="AJ274" s="166"/>
      <c r="AK274" s="424">
        <f>AK270/AK$23</f>
        <v>0.17949246956880544</v>
      </c>
      <c r="AL274" s="166"/>
      <c r="AM274" s="166"/>
      <c r="AN274" s="166"/>
      <c r="AO274" s="166"/>
      <c r="AP274" s="424">
        <f>AP270/AP$23</f>
        <v>0.19609330551868007</v>
      </c>
      <c r="AQ274" s="166"/>
      <c r="AR274" s="166"/>
      <c r="AS274" s="166"/>
      <c r="AT274" s="166"/>
      <c r="AU274" s="424">
        <f>AU270/AU$23</f>
        <v>0.18862385321100916</v>
      </c>
      <c r="AV274" s="166"/>
      <c r="AW274" s="166"/>
      <c r="AX274" s="166"/>
      <c r="AY274" s="166"/>
      <c r="AZ274" s="424">
        <f>1-AZ273</f>
        <v>0.21357320983256145</v>
      </c>
      <c r="BA274" s="101"/>
      <c r="BB274" s="101"/>
      <c r="BC274" s="101"/>
      <c r="BD274" s="101"/>
      <c r="BE274" s="101"/>
      <c r="BF274" s="101"/>
      <c r="BG274" s="101"/>
      <c r="BH274" s="101"/>
      <c r="BI274" s="101"/>
      <c r="BJ274" s="101"/>
      <c r="BK274" s="101"/>
      <c r="BL274" s="101"/>
      <c r="BM274" s="101"/>
      <c r="BN274" s="101"/>
      <c r="BO274" s="101"/>
      <c r="BP274" s="101"/>
      <c r="BQ274" s="101"/>
      <c r="BR274" s="101"/>
      <c r="BS274" s="101"/>
      <c r="BT274" s="101"/>
      <c r="BU274" s="101"/>
      <c r="BV274" s="101"/>
      <c r="BW274" s="101"/>
      <c r="BX274" s="101"/>
      <c r="BY274" s="101"/>
      <c r="BZ274" s="101"/>
      <c r="CA274" s="101"/>
      <c r="CB274" s="101"/>
      <c r="CC274" s="101"/>
      <c r="CD274" s="101"/>
      <c r="CE274" s="101"/>
      <c r="CF274" s="101"/>
      <c r="CG274" s="101"/>
      <c r="CH274" s="101"/>
      <c r="CI274" s="101"/>
      <c r="CJ274" s="101"/>
      <c r="CK274" s="101"/>
      <c r="CL274" s="101"/>
      <c r="CM274" s="101"/>
      <c r="CN274" s="101"/>
      <c r="CO274" s="101"/>
      <c r="CP274" s="101"/>
      <c r="CQ274" s="101"/>
      <c r="CR274" s="101"/>
      <c r="CS274" s="101"/>
      <c r="CT274" s="101"/>
      <c r="CU274" s="101"/>
      <c r="CV274" s="101"/>
      <c r="CW274" s="101"/>
      <c r="CX274" s="101"/>
      <c r="CY274" s="101"/>
      <c r="CZ274" s="101"/>
      <c r="DA274" s="101"/>
      <c r="DB274" s="101"/>
      <c r="DC274" s="101"/>
      <c r="DD274" s="101"/>
      <c r="DE274" s="101"/>
      <c r="DF274" s="101"/>
      <c r="DG274" s="101"/>
      <c r="DH274" s="101"/>
    </row>
    <row r="275" spans="1:112" hidden="1" x14ac:dyDescent="0.2">
      <c r="A275" s="101"/>
      <c r="B275" s="101"/>
      <c r="C275" s="101"/>
      <c r="D275" s="101"/>
      <c r="E275" s="101"/>
      <c r="F275" s="101"/>
      <c r="G275" s="183"/>
      <c r="H275" s="101"/>
      <c r="I275" s="101"/>
      <c r="J275" s="101"/>
      <c r="K275" s="101"/>
      <c r="L275" s="183"/>
      <c r="M275" s="101"/>
      <c r="N275" s="101"/>
      <c r="O275" s="101"/>
      <c r="P275" s="101"/>
      <c r="Q275" s="183"/>
      <c r="R275" s="101"/>
      <c r="S275" s="101"/>
      <c r="T275" s="101"/>
      <c r="U275" s="101"/>
      <c r="V275" s="183"/>
      <c r="W275" s="101"/>
      <c r="X275" s="101"/>
      <c r="Y275" s="124"/>
      <c r="Z275" s="101"/>
      <c r="AA275" s="183"/>
      <c r="AB275" s="101"/>
      <c r="AC275" s="101"/>
      <c r="AD275" s="101"/>
      <c r="AE275" s="101"/>
      <c r="AF275" s="184"/>
      <c r="AG275" s="166"/>
      <c r="AH275" s="166"/>
      <c r="AI275" s="166"/>
      <c r="AJ275" s="166"/>
      <c r="AK275" s="184"/>
      <c r="AL275" s="166"/>
      <c r="AM275" s="166"/>
      <c r="AN275" s="166"/>
      <c r="AO275" s="166"/>
      <c r="AP275" s="184"/>
      <c r="AQ275" s="166"/>
      <c r="AR275" s="166"/>
      <c r="AS275" s="166"/>
      <c r="AT275" s="166"/>
      <c r="AU275" s="184"/>
      <c r="AV275" s="166"/>
      <c r="AW275" s="166"/>
      <c r="AX275" s="166"/>
      <c r="AY275" s="166"/>
      <c r="AZ275" s="184"/>
      <c r="BA275" s="101"/>
      <c r="BB275" s="101"/>
      <c r="BC275" s="101"/>
      <c r="BD275" s="101"/>
      <c r="BE275" s="101"/>
      <c r="BF275" s="101"/>
      <c r="BG275" s="101"/>
      <c r="BH275" s="101"/>
      <c r="BI275" s="101"/>
      <c r="BJ275" s="101"/>
      <c r="BK275" s="101"/>
      <c r="BL275" s="101"/>
      <c r="BM275" s="101"/>
      <c r="BN275" s="101"/>
      <c r="BO275" s="101"/>
      <c r="BP275" s="101"/>
      <c r="BQ275" s="101"/>
      <c r="BR275" s="101"/>
      <c r="BS275" s="101"/>
      <c r="BT275" s="101"/>
      <c r="BU275" s="101"/>
      <c r="BV275" s="101"/>
      <c r="BW275" s="101"/>
      <c r="BX275" s="101"/>
      <c r="BY275" s="101"/>
      <c r="BZ275" s="101"/>
      <c r="CA275" s="101"/>
      <c r="CB275" s="101"/>
      <c r="CC275" s="101"/>
      <c r="CD275" s="101"/>
      <c r="CE275" s="101"/>
      <c r="CF275" s="101"/>
      <c r="CG275" s="101"/>
      <c r="CH275" s="101"/>
      <c r="CI275" s="101"/>
      <c r="CJ275" s="101"/>
      <c r="CK275" s="101"/>
      <c r="CL275" s="101"/>
      <c r="CM275" s="101"/>
      <c r="CN275" s="101"/>
      <c r="CO275" s="101"/>
      <c r="CP275" s="101"/>
      <c r="CQ275" s="101"/>
      <c r="CR275" s="101"/>
      <c r="CS275" s="101"/>
      <c r="CT275" s="101"/>
      <c r="CU275" s="101"/>
      <c r="CV275" s="101"/>
      <c r="CW275" s="101"/>
      <c r="CX275" s="101"/>
      <c r="CY275" s="101"/>
      <c r="CZ275" s="101"/>
      <c r="DA275" s="101"/>
      <c r="DB275" s="101"/>
      <c r="DC275" s="101"/>
      <c r="DD275" s="101"/>
      <c r="DE275" s="101"/>
      <c r="DF275" s="101"/>
      <c r="DG275" s="101"/>
      <c r="DH275" s="101"/>
    </row>
    <row r="276" spans="1:112" hidden="1" x14ac:dyDescent="0.2">
      <c r="A276" s="368" t="s">
        <v>103</v>
      </c>
      <c r="B276" s="101"/>
      <c r="C276" s="101"/>
      <c r="D276" s="101"/>
      <c r="E276" s="101"/>
      <c r="F276" s="101"/>
      <c r="G276" s="183"/>
      <c r="H276" s="101"/>
      <c r="I276" s="101"/>
      <c r="J276" s="101"/>
      <c r="K276" s="101"/>
      <c r="L276" s="183"/>
      <c r="M276" s="101"/>
      <c r="N276" s="101"/>
      <c r="O276" s="101"/>
      <c r="P276" s="101"/>
      <c r="Q276" s="183"/>
      <c r="R276" s="101"/>
      <c r="S276" s="101"/>
      <c r="T276" s="101"/>
      <c r="U276" s="101"/>
      <c r="V276" s="183"/>
      <c r="W276" s="101"/>
      <c r="X276" s="101"/>
      <c r="Y276" s="124"/>
      <c r="Z276" s="101"/>
      <c r="AA276" s="183"/>
      <c r="AB276" s="101"/>
      <c r="AC276" s="101"/>
      <c r="AD276" s="101"/>
      <c r="AE276" s="101"/>
      <c r="AF276" s="184"/>
      <c r="AG276" s="166"/>
      <c r="AH276" s="166"/>
      <c r="AI276" s="885"/>
      <c r="AJ276" s="886"/>
      <c r="AK276" s="184"/>
      <c r="AL276" s="166"/>
      <c r="AM276" s="166"/>
      <c r="AN276" s="166"/>
      <c r="AO276" s="166"/>
      <c r="AP276" s="184"/>
      <c r="AQ276" s="166"/>
      <c r="AR276" s="166"/>
      <c r="AS276" s="166"/>
      <c r="AT276" s="166"/>
      <c r="AU276" s="184"/>
      <c r="AV276" s="166"/>
      <c r="AW276" s="166"/>
      <c r="AX276" s="166"/>
      <c r="AY276" s="166"/>
      <c r="AZ276" s="184"/>
      <c r="BA276" s="101"/>
      <c r="BB276" s="101"/>
      <c r="BC276" s="101"/>
      <c r="BD276" s="101"/>
      <c r="BE276" s="101"/>
      <c r="BF276" s="101"/>
      <c r="BG276" s="101"/>
      <c r="BH276" s="101"/>
      <c r="BI276" s="101"/>
      <c r="BJ276" s="101"/>
      <c r="BK276" s="101"/>
      <c r="BL276" s="101"/>
      <c r="BM276" s="101"/>
      <c r="BN276" s="101"/>
      <c r="BO276" s="101"/>
      <c r="BP276" s="101"/>
      <c r="BQ276" s="101"/>
      <c r="BR276" s="101"/>
      <c r="BS276" s="101"/>
      <c r="BT276" s="101"/>
      <c r="BU276" s="101"/>
      <c r="BV276" s="101"/>
      <c r="BW276" s="101"/>
      <c r="BX276" s="101"/>
      <c r="BY276" s="101"/>
      <c r="BZ276" s="101"/>
      <c r="CA276" s="101"/>
      <c r="CB276" s="101"/>
      <c r="CC276" s="101"/>
      <c r="CD276" s="101"/>
      <c r="CE276" s="101"/>
      <c r="CF276" s="101"/>
      <c r="CG276" s="101"/>
      <c r="CH276" s="101"/>
      <c r="CI276" s="101"/>
      <c r="CJ276" s="101"/>
      <c r="CK276" s="101"/>
      <c r="CL276" s="101"/>
      <c r="CM276" s="101"/>
      <c r="CN276" s="101"/>
      <c r="CO276" s="101"/>
      <c r="CP276" s="101"/>
      <c r="CQ276" s="101"/>
      <c r="CR276" s="101"/>
      <c r="CS276" s="101"/>
      <c r="CT276" s="101"/>
      <c r="CU276" s="101"/>
      <c r="CV276" s="101"/>
      <c r="CW276" s="101"/>
      <c r="CX276" s="101"/>
      <c r="CY276" s="101"/>
      <c r="CZ276" s="101"/>
      <c r="DA276" s="101"/>
      <c r="DB276" s="101"/>
      <c r="DC276" s="101"/>
      <c r="DD276" s="101"/>
      <c r="DE276" s="101"/>
      <c r="DF276" s="101"/>
      <c r="DG276" s="101"/>
      <c r="DH276" s="101"/>
    </row>
    <row r="277" spans="1:112" hidden="1" x14ac:dyDescent="0.2">
      <c r="A277" s="101" t="s">
        <v>100</v>
      </c>
      <c r="B277" s="101"/>
      <c r="C277" s="101"/>
      <c r="D277" s="101"/>
      <c r="E277" s="101"/>
      <c r="F277" s="101"/>
      <c r="G277" s="183"/>
      <c r="H277" s="101"/>
      <c r="I277" s="101"/>
      <c r="J277" s="101"/>
      <c r="K277" s="101"/>
      <c r="L277" s="183"/>
      <c r="M277" s="101"/>
      <c r="N277" s="101"/>
      <c r="O277" s="101"/>
      <c r="P277" s="101"/>
      <c r="Q277" s="183"/>
      <c r="R277" s="101"/>
      <c r="S277" s="101"/>
      <c r="T277" s="101"/>
      <c r="U277" s="101"/>
      <c r="V277" s="183"/>
      <c r="W277" s="101"/>
      <c r="X277" s="101"/>
      <c r="Y277" s="124"/>
      <c r="Z277" s="101"/>
      <c r="AA277" s="183"/>
      <c r="AB277" s="101"/>
      <c r="AC277" s="101"/>
      <c r="AD277" s="101"/>
      <c r="AE277" s="101"/>
      <c r="AF277" s="184">
        <v>516</v>
      </c>
      <c r="AG277" s="166"/>
      <c r="AH277" s="166"/>
      <c r="AI277" s="166"/>
      <c r="AJ277" s="166"/>
      <c r="AK277" s="423">
        <v>603</v>
      </c>
      <c r="AL277" s="166"/>
      <c r="AM277" s="166"/>
      <c r="AN277" s="166"/>
      <c r="AO277" s="166"/>
      <c r="AP277" s="423">
        <v>538</v>
      </c>
      <c r="AQ277" s="166"/>
      <c r="AR277" s="166"/>
      <c r="AS277" s="166"/>
      <c r="AT277" s="101"/>
      <c r="AU277" s="423">
        <v>669</v>
      </c>
      <c r="AV277" s="166"/>
      <c r="AW277" s="166"/>
      <c r="AX277" s="166"/>
      <c r="AY277" s="166"/>
      <c r="AZ277" s="423">
        <v>773</v>
      </c>
      <c r="BA277" s="101"/>
      <c r="BB277" s="101"/>
      <c r="BC277" s="101"/>
      <c r="BD277" s="101"/>
      <c r="BE277" s="101"/>
      <c r="BF277" s="101"/>
      <c r="BG277" s="101"/>
      <c r="BH277" s="101"/>
      <c r="BI277" s="101"/>
      <c r="BJ277" s="101"/>
      <c r="BK277" s="101"/>
      <c r="BL277" s="101"/>
      <c r="BM277" s="101"/>
      <c r="BN277" s="101"/>
      <c r="BO277" s="101"/>
      <c r="BP277" s="101"/>
      <c r="BQ277" s="101"/>
      <c r="BR277" s="101"/>
      <c r="BS277" s="101"/>
      <c r="BT277" s="101"/>
      <c r="BU277" s="101"/>
      <c r="BV277" s="101"/>
      <c r="BW277" s="101"/>
      <c r="BX277" s="101"/>
      <c r="BY277" s="101"/>
      <c r="BZ277" s="101"/>
      <c r="CA277" s="101"/>
      <c r="CB277" s="101"/>
      <c r="CC277" s="101"/>
      <c r="CD277" s="101"/>
      <c r="CE277" s="101"/>
      <c r="CF277" s="101"/>
      <c r="CG277" s="101"/>
      <c r="CH277" s="101"/>
      <c r="CI277" s="101"/>
      <c r="CJ277" s="101"/>
      <c r="CK277" s="101"/>
      <c r="CL277" s="101"/>
      <c r="CM277" s="101"/>
      <c r="CN277" s="101"/>
      <c r="CO277" s="101"/>
      <c r="CP277" s="101"/>
      <c r="CQ277" s="101"/>
      <c r="CR277" s="101"/>
      <c r="CS277" s="101"/>
      <c r="CT277" s="101"/>
      <c r="CU277" s="101"/>
      <c r="CV277" s="101"/>
      <c r="CW277" s="101"/>
      <c r="CX277" s="101"/>
      <c r="CY277" s="101"/>
      <c r="CZ277" s="101"/>
      <c r="DA277" s="101"/>
      <c r="DB277" s="101"/>
      <c r="DC277" s="101"/>
      <c r="DD277" s="101"/>
      <c r="DE277" s="101"/>
      <c r="DF277" s="101"/>
      <c r="DG277" s="101"/>
      <c r="DH277" s="101"/>
    </row>
    <row r="278" spans="1:112" hidden="1" x14ac:dyDescent="0.2">
      <c r="A278" s="101" t="s">
        <v>101</v>
      </c>
      <c r="B278" s="101"/>
      <c r="C278" s="101"/>
      <c r="D278" s="101"/>
      <c r="E278" s="101"/>
      <c r="F278" s="101"/>
      <c r="G278" s="183"/>
      <c r="H278" s="101"/>
      <c r="I278" s="101"/>
      <c r="J278" s="101"/>
      <c r="K278" s="101"/>
      <c r="L278" s="183"/>
      <c r="M278" s="101"/>
      <c r="N278" s="101"/>
      <c r="O278" s="101"/>
      <c r="P278" s="101"/>
      <c r="Q278" s="183"/>
      <c r="R278" s="101"/>
      <c r="S278" s="101"/>
      <c r="T278" s="101"/>
      <c r="U278" s="101"/>
      <c r="V278" s="183"/>
      <c r="W278" s="101"/>
      <c r="X278" s="101"/>
      <c r="Y278" s="124"/>
      <c r="Z278" s="101"/>
      <c r="AA278" s="183"/>
      <c r="AB278" s="101"/>
      <c r="AC278" s="101"/>
      <c r="AD278" s="101"/>
      <c r="AE278" s="101"/>
      <c r="AF278" s="184">
        <v>137</v>
      </c>
      <c r="AG278" s="166"/>
      <c r="AH278" s="166"/>
      <c r="AI278" s="166"/>
      <c r="AJ278" s="166"/>
      <c r="AK278" s="423">
        <v>140</v>
      </c>
      <c r="AL278" s="166"/>
      <c r="AM278" s="166"/>
      <c r="AN278" s="166"/>
      <c r="AO278" s="166"/>
      <c r="AP278" s="423">
        <v>155</v>
      </c>
      <c r="AQ278" s="166"/>
      <c r="AR278" s="166"/>
      <c r="AS278" s="166"/>
      <c r="AT278" s="166"/>
      <c r="AU278" s="423">
        <v>142</v>
      </c>
      <c r="AV278" s="166"/>
      <c r="AW278" s="166"/>
      <c r="AX278" s="166"/>
      <c r="AY278" s="166"/>
      <c r="AZ278" s="423">
        <v>152</v>
      </c>
      <c r="BA278" s="101"/>
      <c r="BB278" s="101"/>
      <c r="BC278" s="101"/>
      <c r="BD278" s="101"/>
      <c r="BE278" s="101"/>
      <c r="BF278" s="101"/>
      <c r="BG278" s="101"/>
      <c r="BH278" s="101"/>
      <c r="BI278" s="101"/>
      <c r="BJ278" s="101"/>
      <c r="BK278" s="101"/>
      <c r="BL278" s="101"/>
      <c r="BM278" s="101"/>
      <c r="BN278" s="101"/>
      <c r="BO278" s="101"/>
      <c r="BP278" s="101"/>
      <c r="BQ278" s="101"/>
      <c r="BR278" s="101"/>
      <c r="BS278" s="101"/>
      <c r="BT278" s="101"/>
      <c r="BU278" s="101"/>
      <c r="BV278" s="101"/>
      <c r="BW278" s="101"/>
      <c r="BX278" s="101"/>
      <c r="BY278" s="101"/>
      <c r="BZ278" s="101"/>
      <c r="CA278" s="101"/>
      <c r="CB278" s="101"/>
      <c r="CC278" s="101"/>
      <c r="CD278" s="101"/>
      <c r="CE278" s="101"/>
      <c r="CF278" s="101"/>
      <c r="CG278" s="101"/>
      <c r="CH278" s="101"/>
      <c r="CI278" s="101"/>
      <c r="CJ278" s="101"/>
      <c r="CK278" s="101"/>
      <c r="CL278" s="101"/>
      <c r="CM278" s="101"/>
      <c r="CN278" s="101"/>
      <c r="CO278" s="101"/>
      <c r="CP278" s="101"/>
      <c r="CQ278" s="101"/>
      <c r="CR278" s="101"/>
      <c r="CS278" s="101"/>
      <c r="CT278" s="101"/>
      <c r="CU278" s="101"/>
      <c r="CV278" s="101"/>
      <c r="CW278" s="101"/>
      <c r="CX278" s="101"/>
      <c r="CY278" s="101"/>
      <c r="CZ278" s="101"/>
      <c r="DA278" s="101"/>
      <c r="DB278" s="101"/>
      <c r="DC278" s="101"/>
      <c r="DD278" s="101"/>
      <c r="DE278" s="101"/>
      <c r="DF278" s="101"/>
      <c r="DG278" s="101"/>
      <c r="DH278" s="101"/>
    </row>
    <row r="279" spans="1:112" hidden="1" x14ac:dyDescent="0.2">
      <c r="A279" s="101"/>
      <c r="B279" s="101"/>
      <c r="C279" s="101"/>
      <c r="D279" s="101"/>
      <c r="E279" s="101"/>
      <c r="F279" s="101"/>
      <c r="G279" s="183"/>
      <c r="H279" s="101"/>
      <c r="I279" s="101"/>
      <c r="J279" s="101"/>
      <c r="K279" s="101"/>
      <c r="L279" s="183"/>
      <c r="M279" s="101"/>
      <c r="N279" s="101"/>
      <c r="O279" s="101"/>
      <c r="P279" s="101"/>
      <c r="Q279" s="183"/>
      <c r="R279" s="101"/>
      <c r="S279" s="101"/>
      <c r="T279" s="101"/>
      <c r="U279" s="101"/>
      <c r="V279" s="183"/>
      <c r="W279" s="101"/>
      <c r="X279" s="101"/>
      <c r="Y279" s="124"/>
      <c r="Z279" s="101"/>
      <c r="AA279" s="183"/>
      <c r="AB279" s="101"/>
      <c r="AC279" s="101"/>
      <c r="AD279" s="101"/>
      <c r="AE279" s="101"/>
      <c r="AF279" s="184"/>
      <c r="AG279" s="166"/>
      <c r="AH279" s="166"/>
      <c r="AI279" s="166"/>
      <c r="AJ279" s="166"/>
      <c r="AK279" s="184"/>
      <c r="AL279" s="166"/>
      <c r="AM279" s="166"/>
      <c r="AN279" s="166"/>
      <c r="AO279" s="166"/>
      <c r="AP279" s="184"/>
      <c r="AQ279" s="166"/>
      <c r="AR279" s="166"/>
      <c r="AS279" s="166"/>
      <c r="AT279" s="166"/>
      <c r="AU279" s="184"/>
      <c r="AV279" s="166"/>
      <c r="AW279" s="166"/>
      <c r="AX279" s="166"/>
      <c r="AY279" s="166"/>
      <c r="AZ279" s="184"/>
      <c r="BA279" s="101"/>
      <c r="BB279" s="101"/>
      <c r="BC279" s="101"/>
      <c r="BD279" s="101"/>
      <c r="BE279" s="101"/>
      <c r="BF279" s="101"/>
      <c r="BG279" s="101"/>
      <c r="BH279" s="101"/>
      <c r="BI279" s="101"/>
      <c r="BJ279" s="101"/>
      <c r="BK279" s="101"/>
      <c r="BL279" s="101"/>
      <c r="BM279" s="101"/>
      <c r="BN279" s="101"/>
      <c r="BO279" s="101"/>
      <c r="BP279" s="101"/>
      <c r="BQ279" s="101"/>
      <c r="BR279" s="101"/>
      <c r="BS279" s="101"/>
      <c r="BT279" s="101"/>
      <c r="BU279" s="101"/>
      <c r="BV279" s="101"/>
      <c r="BW279" s="101"/>
      <c r="BX279" s="101"/>
      <c r="BY279" s="101"/>
      <c r="BZ279" s="101"/>
      <c r="CA279" s="101"/>
      <c r="CB279" s="101"/>
      <c r="CC279" s="101"/>
      <c r="CD279" s="101"/>
      <c r="CE279" s="101"/>
      <c r="CF279" s="101"/>
      <c r="CG279" s="101"/>
      <c r="CH279" s="101"/>
      <c r="CI279" s="101"/>
      <c r="CJ279" s="101"/>
      <c r="CK279" s="101"/>
      <c r="CL279" s="101"/>
      <c r="CM279" s="101"/>
      <c r="CN279" s="101"/>
      <c r="CO279" s="101"/>
      <c r="CP279" s="101"/>
      <c r="CQ279" s="101"/>
      <c r="CR279" s="101"/>
      <c r="CS279" s="101"/>
      <c r="CT279" s="101"/>
      <c r="CU279" s="101"/>
      <c r="CV279" s="101"/>
      <c r="CW279" s="101"/>
      <c r="CX279" s="101"/>
      <c r="CY279" s="101"/>
      <c r="CZ279" s="101"/>
      <c r="DA279" s="101"/>
      <c r="DB279" s="101"/>
      <c r="DC279" s="101"/>
      <c r="DD279" s="101"/>
      <c r="DE279" s="101"/>
      <c r="DF279" s="101"/>
      <c r="DG279" s="101"/>
      <c r="DH279" s="101"/>
    </row>
    <row r="280" spans="1:112" hidden="1" x14ac:dyDescent="0.2">
      <c r="A280" s="368" t="s">
        <v>104</v>
      </c>
      <c r="B280" s="101"/>
      <c r="C280" s="101"/>
      <c r="D280" s="101"/>
      <c r="E280" s="101"/>
      <c r="F280" s="101"/>
      <c r="G280" s="183"/>
      <c r="H280" s="101"/>
      <c r="I280" s="101"/>
      <c r="J280" s="101"/>
      <c r="K280" s="101"/>
      <c r="L280" s="183"/>
      <c r="M280" s="101"/>
      <c r="N280" s="101"/>
      <c r="O280" s="101"/>
      <c r="P280" s="101"/>
      <c r="Q280" s="183"/>
      <c r="R280" s="101"/>
      <c r="S280" s="101"/>
      <c r="T280" s="101"/>
      <c r="U280" s="101"/>
      <c r="V280" s="183"/>
      <c r="W280" s="101"/>
      <c r="X280" s="101"/>
      <c r="Y280" s="124"/>
      <c r="Z280" s="101"/>
      <c r="AA280" s="183"/>
      <c r="AB280" s="101"/>
      <c r="AC280" s="101"/>
      <c r="AD280" s="101"/>
      <c r="AE280" s="101"/>
      <c r="AF280" s="184"/>
      <c r="AG280" s="166"/>
      <c r="AH280" s="166"/>
      <c r="AI280" s="166"/>
      <c r="AJ280" s="166"/>
      <c r="AK280" s="184"/>
      <c r="AL280" s="166"/>
      <c r="AM280" s="166"/>
      <c r="AN280" s="166"/>
      <c r="AO280" s="166"/>
      <c r="AP280" s="184"/>
      <c r="AQ280" s="166"/>
      <c r="AR280" s="166"/>
      <c r="AS280" s="166"/>
      <c r="AT280" s="166"/>
      <c r="AU280" s="184"/>
      <c r="AV280" s="166"/>
      <c r="AW280" s="166"/>
      <c r="AX280" s="166"/>
      <c r="AY280" s="166"/>
      <c r="AZ280" s="184"/>
      <c r="BA280" s="101"/>
      <c r="BB280" s="101"/>
      <c r="BC280" s="101"/>
      <c r="BD280" s="101"/>
      <c r="BE280" s="101"/>
      <c r="BF280" s="101"/>
      <c r="BG280" s="101"/>
      <c r="BH280" s="101"/>
      <c r="BI280" s="101"/>
      <c r="BJ280" s="101"/>
      <c r="BK280" s="101"/>
      <c r="BL280" s="101"/>
      <c r="BM280" s="101"/>
      <c r="BN280" s="101"/>
      <c r="BO280" s="101"/>
      <c r="BP280" s="101"/>
      <c r="BQ280" s="101"/>
      <c r="BR280" s="101"/>
      <c r="BS280" s="101"/>
      <c r="BT280" s="101"/>
      <c r="BU280" s="101"/>
      <c r="BV280" s="101"/>
      <c r="BW280" s="101"/>
      <c r="BX280" s="101"/>
      <c r="BY280" s="101"/>
      <c r="BZ280" s="101"/>
      <c r="CA280" s="101"/>
      <c r="CB280" s="101"/>
      <c r="CC280" s="101"/>
      <c r="CD280" s="101"/>
      <c r="CE280" s="101"/>
      <c r="CF280" s="101"/>
      <c r="CG280" s="101"/>
      <c r="CH280" s="101"/>
      <c r="CI280" s="101"/>
      <c r="CJ280" s="101"/>
      <c r="CK280" s="101"/>
      <c r="CL280" s="101"/>
      <c r="CM280" s="101"/>
      <c r="CN280" s="101"/>
      <c r="CO280" s="101"/>
      <c r="CP280" s="101"/>
      <c r="CQ280" s="101"/>
      <c r="CR280" s="101"/>
      <c r="CS280" s="101"/>
      <c r="CT280" s="101"/>
      <c r="CU280" s="101"/>
      <c r="CV280" s="101"/>
      <c r="CW280" s="101"/>
      <c r="CX280" s="101"/>
      <c r="CY280" s="101"/>
      <c r="CZ280" s="101"/>
      <c r="DA280" s="101"/>
      <c r="DB280" s="101"/>
      <c r="DC280" s="101"/>
      <c r="DD280" s="101"/>
      <c r="DE280" s="101"/>
      <c r="DF280" s="101"/>
      <c r="DG280" s="101"/>
      <c r="DH280" s="101"/>
    </row>
    <row r="281" spans="1:112" hidden="1" x14ac:dyDescent="0.2">
      <c r="A281" s="101" t="s">
        <v>100</v>
      </c>
      <c r="B281" s="101"/>
      <c r="C281" s="101"/>
      <c r="D281" s="101"/>
      <c r="E281" s="101"/>
      <c r="F281" s="101"/>
      <c r="G281" s="183"/>
      <c r="H281" s="101"/>
      <c r="I281" s="101"/>
      <c r="J281" s="101"/>
      <c r="K281" s="101"/>
      <c r="L281" s="183"/>
      <c r="M281" s="101"/>
      <c r="N281" s="101"/>
      <c r="O281" s="101"/>
      <c r="P281" s="101"/>
      <c r="Q281" s="183"/>
      <c r="R281" s="101"/>
      <c r="S281" s="101"/>
      <c r="T281" s="101"/>
      <c r="U281" s="101"/>
      <c r="V281" s="183"/>
      <c r="W281" s="101"/>
      <c r="X281" s="101"/>
      <c r="Y281" s="124"/>
      <c r="Z281" s="101"/>
      <c r="AA281" s="183"/>
      <c r="AB281" s="101"/>
      <c r="AC281" s="101"/>
      <c r="AD281" s="101"/>
      <c r="AE281" s="101"/>
      <c r="AF281" s="424">
        <f>AF277/AF$184</f>
        <v>0.79019908116385906</v>
      </c>
      <c r="AG281" s="166"/>
      <c r="AH281" s="166"/>
      <c r="AI281" s="166"/>
      <c r="AJ281" s="166"/>
      <c r="AK281" s="424">
        <f>AK277/AK$184</f>
        <v>0.81157469717362041</v>
      </c>
      <c r="AL281" s="166"/>
      <c r="AM281" s="166"/>
      <c r="AN281" s="166"/>
      <c r="AO281" s="166"/>
      <c r="AP281" s="424">
        <f>AP277/AP$184</f>
        <v>0.77633477633477632</v>
      </c>
      <c r="AQ281" s="166"/>
      <c r="AR281" s="166"/>
      <c r="AS281" s="166"/>
      <c r="AT281" s="166"/>
      <c r="AU281" s="424">
        <f>AU277/AU$184</f>
        <v>0.82490752157829839</v>
      </c>
      <c r="AV281" s="166"/>
      <c r="AW281" s="166"/>
      <c r="AX281" s="166"/>
      <c r="AY281" s="166"/>
      <c r="AZ281" s="424">
        <f>AZ277/SUM(AZ277:AZ278)</f>
        <v>0.83567567567567569</v>
      </c>
      <c r="BA281" s="101"/>
      <c r="BB281" s="101"/>
      <c r="BC281" s="101"/>
      <c r="BD281" s="101"/>
      <c r="BE281" s="101"/>
      <c r="BF281" s="101"/>
      <c r="BG281" s="101"/>
      <c r="BH281" s="101"/>
      <c r="BI281" s="101"/>
      <c r="BJ281" s="101"/>
      <c r="BK281" s="101"/>
      <c r="BL281" s="101"/>
      <c r="BM281" s="101"/>
      <c r="BN281" s="101"/>
      <c r="BO281" s="101"/>
      <c r="BP281" s="101"/>
      <c r="BQ281" s="101"/>
      <c r="BR281" s="101"/>
      <c r="BS281" s="101"/>
      <c r="BT281" s="101"/>
      <c r="BU281" s="101"/>
      <c r="BV281" s="101"/>
      <c r="BW281" s="101"/>
      <c r="BX281" s="101"/>
      <c r="BY281" s="101"/>
      <c r="BZ281" s="101"/>
      <c r="CA281" s="101"/>
      <c r="CB281" s="101"/>
      <c r="CC281" s="101"/>
      <c r="CD281" s="101"/>
      <c r="CE281" s="101"/>
      <c r="CF281" s="101"/>
      <c r="CG281" s="101"/>
      <c r="CH281" s="101"/>
      <c r="CI281" s="101"/>
      <c r="CJ281" s="101"/>
      <c r="CK281" s="101"/>
      <c r="CL281" s="101"/>
      <c r="CM281" s="101"/>
      <c r="CN281" s="101"/>
      <c r="CO281" s="101"/>
      <c r="CP281" s="101"/>
      <c r="CQ281" s="101"/>
      <c r="CR281" s="101"/>
      <c r="CS281" s="101"/>
      <c r="CT281" s="101"/>
      <c r="CU281" s="101"/>
      <c r="CV281" s="101"/>
      <c r="CW281" s="101"/>
      <c r="CX281" s="101"/>
      <c r="CY281" s="101"/>
      <c r="CZ281" s="101"/>
      <c r="DA281" s="101"/>
      <c r="DB281" s="101"/>
      <c r="DC281" s="101"/>
      <c r="DD281" s="101"/>
      <c r="DE281" s="101"/>
      <c r="DF281" s="101"/>
      <c r="DG281" s="101"/>
      <c r="DH281" s="101"/>
    </row>
    <row r="282" spans="1:112" hidden="1" x14ac:dyDescent="0.2">
      <c r="A282" s="101" t="s">
        <v>101</v>
      </c>
      <c r="B282" s="101"/>
      <c r="C282" s="101"/>
      <c r="D282" s="101"/>
      <c r="E282" s="101"/>
      <c r="F282" s="101"/>
      <c r="G282" s="183"/>
      <c r="H282" s="101"/>
      <c r="I282" s="101"/>
      <c r="J282" s="101"/>
      <c r="K282" s="101"/>
      <c r="L282" s="183"/>
      <c r="M282" s="101"/>
      <c r="N282" s="101"/>
      <c r="O282" s="101"/>
      <c r="P282" s="101"/>
      <c r="Q282" s="183"/>
      <c r="R282" s="101"/>
      <c r="S282" s="101"/>
      <c r="T282" s="101"/>
      <c r="U282" s="101"/>
      <c r="V282" s="183"/>
      <c r="W282" s="101"/>
      <c r="X282" s="101"/>
      <c r="Y282" s="124"/>
      <c r="Z282" s="101"/>
      <c r="AA282" s="183"/>
      <c r="AB282" s="101"/>
      <c r="AC282" s="101"/>
      <c r="AD282" s="101"/>
      <c r="AE282" s="101"/>
      <c r="AF282" s="424">
        <f>AF278/AF$184</f>
        <v>0.20980091883614088</v>
      </c>
      <c r="AG282" s="166"/>
      <c r="AH282" s="166"/>
      <c r="AI282" s="166"/>
      <c r="AJ282" s="166"/>
      <c r="AK282" s="424">
        <f>AK278/AK$184</f>
        <v>0.18842530282637954</v>
      </c>
      <c r="AL282" s="166"/>
      <c r="AM282" s="166"/>
      <c r="AN282" s="166"/>
      <c r="AO282" s="166"/>
      <c r="AP282" s="424">
        <f>AP278/AP$184</f>
        <v>0.22366522366522368</v>
      </c>
      <c r="AQ282" s="166"/>
      <c r="AR282" s="166"/>
      <c r="AS282" s="166"/>
      <c r="AT282" s="166"/>
      <c r="AU282" s="424">
        <f>AU278/AU$184</f>
        <v>0.17509247842170161</v>
      </c>
      <c r="AV282" s="166"/>
      <c r="AW282" s="166"/>
      <c r="AX282" s="166"/>
      <c r="AY282" s="166"/>
      <c r="AZ282" s="424">
        <f>1-AZ281</f>
        <v>0.16432432432432431</v>
      </c>
      <c r="BA282" s="101"/>
      <c r="BB282" s="101"/>
      <c r="BC282" s="101"/>
      <c r="BD282" s="101"/>
      <c r="BE282" s="101"/>
      <c r="BF282" s="101"/>
      <c r="BG282" s="101"/>
      <c r="BH282" s="101"/>
      <c r="BI282" s="101"/>
      <c r="BJ282" s="101"/>
      <c r="BK282" s="101"/>
      <c r="BL282" s="101"/>
      <c r="BM282" s="101"/>
      <c r="BN282" s="101"/>
      <c r="BO282" s="101"/>
      <c r="BP282" s="101"/>
      <c r="BQ282" s="101"/>
      <c r="BR282" s="101"/>
      <c r="BS282" s="101"/>
      <c r="BT282" s="101"/>
      <c r="BU282" s="101"/>
      <c r="BV282" s="101"/>
      <c r="BW282" s="101"/>
      <c r="BX282" s="101"/>
      <c r="BY282" s="101"/>
      <c r="BZ282" s="101"/>
      <c r="CA282" s="101"/>
      <c r="CB282" s="101"/>
      <c r="CC282" s="101"/>
      <c r="CD282" s="101"/>
      <c r="CE282" s="101"/>
      <c r="CF282" s="101"/>
      <c r="CG282" s="101"/>
      <c r="CH282" s="101"/>
      <c r="CI282" s="101"/>
      <c r="CJ282" s="101"/>
      <c r="CK282" s="101"/>
      <c r="CL282" s="101"/>
      <c r="CM282" s="101"/>
      <c r="CN282" s="101"/>
      <c r="CO282" s="101"/>
      <c r="CP282" s="101"/>
      <c r="CQ282" s="101"/>
      <c r="CR282" s="101"/>
      <c r="CS282" s="101"/>
      <c r="CT282" s="101"/>
      <c r="CU282" s="101"/>
      <c r="CV282" s="101"/>
      <c r="CW282" s="101"/>
      <c r="CX282" s="101"/>
      <c r="CY282" s="101"/>
      <c r="CZ282" s="101"/>
      <c r="DA282" s="101"/>
      <c r="DB282" s="101"/>
      <c r="DC282" s="101"/>
      <c r="DD282" s="101"/>
      <c r="DE282" s="101"/>
      <c r="DF282" s="101"/>
      <c r="DG282" s="101"/>
      <c r="DH282" s="101"/>
    </row>
    <row r="283" spans="1:112" hidden="1" x14ac:dyDescent="0.2">
      <c r="A283" s="101"/>
      <c r="B283" s="101"/>
      <c r="C283" s="101"/>
      <c r="D283" s="101"/>
      <c r="E283" s="101"/>
      <c r="F283" s="101"/>
      <c r="G283" s="183"/>
      <c r="H283" s="101"/>
      <c r="I283" s="101"/>
      <c r="J283" s="101"/>
      <c r="K283" s="101"/>
      <c r="L283" s="183"/>
      <c r="M283" s="101"/>
      <c r="N283" s="101"/>
      <c r="O283" s="101"/>
      <c r="P283" s="101"/>
      <c r="Q283" s="183"/>
      <c r="R283" s="101"/>
      <c r="S283" s="101"/>
      <c r="T283" s="101"/>
      <c r="U283" s="101"/>
      <c r="V283" s="183"/>
      <c r="W283" s="101"/>
      <c r="X283" s="101"/>
      <c r="Y283" s="124"/>
      <c r="Z283" s="101"/>
      <c r="AA283" s="183"/>
      <c r="AB283" s="101"/>
      <c r="AC283" s="101"/>
      <c r="AD283" s="101"/>
      <c r="AE283" s="101"/>
      <c r="AF283" s="184"/>
      <c r="AG283" s="166"/>
      <c r="AH283" s="166"/>
      <c r="AI283" s="166"/>
      <c r="AJ283" s="166"/>
      <c r="AK283" s="184"/>
      <c r="AL283" s="166"/>
      <c r="AM283" s="166"/>
      <c r="AN283" s="166"/>
      <c r="AO283" s="166"/>
      <c r="AP283" s="184"/>
      <c r="AQ283" s="166"/>
      <c r="AR283" s="166"/>
      <c r="AS283" s="166"/>
      <c r="AT283" s="166"/>
      <c r="AU283" s="184"/>
      <c r="AV283" s="166"/>
      <c r="AW283" s="166"/>
      <c r="AX283" s="166"/>
      <c r="AY283" s="166"/>
      <c r="AZ283" s="184"/>
      <c r="BA283" s="101"/>
      <c r="BB283" s="101"/>
      <c r="BC283" s="101"/>
      <c r="BD283" s="101"/>
      <c r="BE283" s="101"/>
      <c r="BF283" s="101"/>
      <c r="BG283" s="101"/>
      <c r="BH283" s="101"/>
      <c r="BI283" s="101"/>
      <c r="BJ283" s="101"/>
      <c r="BK283" s="101"/>
      <c r="BL283" s="101"/>
      <c r="BM283" s="101"/>
      <c r="BN283" s="101"/>
      <c r="BO283" s="101"/>
      <c r="BP283" s="101"/>
      <c r="BQ283" s="101"/>
      <c r="BR283" s="101"/>
      <c r="BS283" s="101"/>
      <c r="BT283" s="101"/>
      <c r="BU283" s="101"/>
      <c r="BV283" s="101"/>
      <c r="BW283" s="101"/>
      <c r="BX283" s="101"/>
      <c r="BY283" s="101"/>
      <c r="BZ283" s="101"/>
      <c r="CA283" s="101"/>
      <c r="CB283" s="101"/>
      <c r="CC283" s="101"/>
      <c r="CD283" s="101"/>
      <c r="CE283" s="101"/>
      <c r="CF283" s="101"/>
      <c r="CG283" s="101"/>
      <c r="CH283" s="101"/>
      <c r="CI283" s="101"/>
      <c r="CJ283" s="101"/>
      <c r="CK283" s="101"/>
      <c r="CL283" s="101"/>
      <c r="CM283" s="101"/>
      <c r="CN283" s="101"/>
      <c r="CO283" s="101"/>
      <c r="CP283" s="101"/>
      <c r="CQ283" s="101"/>
      <c r="CR283" s="101"/>
      <c r="CS283" s="101"/>
      <c r="CT283" s="101"/>
      <c r="CU283" s="101"/>
      <c r="CV283" s="101"/>
      <c r="CW283" s="101"/>
      <c r="CX283" s="101"/>
      <c r="CY283" s="101"/>
      <c r="CZ283" s="101"/>
      <c r="DA283" s="101"/>
      <c r="DB283" s="101"/>
      <c r="DC283" s="101"/>
      <c r="DD283" s="101"/>
      <c r="DE283" s="101"/>
      <c r="DF283" s="101"/>
      <c r="DG283" s="101"/>
      <c r="DH283" s="101"/>
    </row>
    <row r="284" spans="1:112" hidden="1" x14ac:dyDescent="0.2">
      <c r="A284" s="107" t="s">
        <v>282</v>
      </c>
      <c r="B284" s="101"/>
      <c r="C284" s="101"/>
      <c r="D284" s="101"/>
      <c r="E284" s="101"/>
      <c r="F284" s="101"/>
      <c r="G284" s="183"/>
      <c r="H284" s="101"/>
      <c r="I284" s="101"/>
      <c r="J284" s="101"/>
      <c r="K284" s="101"/>
      <c r="L284" s="183"/>
      <c r="M284" s="101"/>
      <c r="N284" s="101"/>
      <c r="O284" s="101"/>
      <c r="P284" s="101"/>
      <c r="Q284" s="183"/>
      <c r="R284" s="101"/>
      <c r="S284" s="101"/>
      <c r="T284" s="101"/>
      <c r="U284" s="101"/>
      <c r="V284" s="183"/>
      <c r="W284" s="101"/>
      <c r="X284" s="101"/>
      <c r="Y284" s="124"/>
      <c r="Z284" s="101"/>
      <c r="AA284" s="183"/>
      <c r="AB284" s="101"/>
      <c r="AC284" s="101"/>
      <c r="AD284" s="101"/>
      <c r="AE284" s="101"/>
      <c r="AF284" s="184"/>
      <c r="AG284" s="166"/>
      <c r="AH284" s="166"/>
      <c r="AI284" s="166"/>
      <c r="AJ284" s="166"/>
      <c r="AK284" s="188">
        <f>AK285/AK9</f>
        <v>4.1675263049308853E-2</v>
      </c>
      <c r="AL284" s="309"/>
      <c r="AM284" s="309"/>
      <c r="AN284" s="309"/>
      <c r="AO284" s="309"/>
      <c r="AP284" s="188">
        <f t="shared" ref="AP284:AU284" si="329">AP285/AP9</f>
        <v>4.7221695429546746E-2</v>
      </c>
      <c r="AQ284" s="47">
        <f t="shared" si="329"/>
        <v>4.3352601156069363E-2</v>
      </c>
      <c r="AR284" s="47">
        <f t="shared" si="329"/>
        <v>3.8651315789473686E-2</v>
      </c>
      <c r="AS284" s="47">
        <f t="shared" si="329"/>
        <v>3.6296296296296299E-2</v>
      </c>
      <c r="AT284" s="47">
        <f t="shared" si="329"/>
        <v>0.04</v>
      </c>
      <c r="AU284" s="188">
        <f t="shared" si="329"/>
        <v>3.9449541284403672E-2</v>
      </c>
      <c r="AV284" s="166"/>
      <c r="AW284" s="166"/>
      <c r="AX284" s="166"/>
      <c r="AY284" s="166"/>
      <c r="AZ284" s="188"/>
      <c r="BA284" s="101"/>
      <c r="BB284" s="101"/>
      <c r="BC284" s="101"/>
      <c r="BD284" s="101"/>
      <c r="BE284" s="101"/>
      <c r="BF284" s="101"/>
      <c r="BG284" s="101"/>
      <c r="BH284" s="101"/>
      <c r="BI284" s="101"/>
      <c r="BJ284" s="101"/>
      <c r="BK284" s="101"/>
      <c r="BL284" s="101"/>
      <c r="BM284" s="101"/>
      <c r="BN284" s="101"/>
      <c r="BO284" s="101"/>
      <c r="BP284" s="101"/>
      <c r="BQ284" s="101"/>
      <c r="BR284" s="101"/>
      <c r="BS284" s="101"/>
      <c r="BT284" s="101"/>
      <c r="BU284" s="101"/>
      <c r="BV284" s="101"/>
      <c r="BW284" s="101"/>
      <c r="BX284" s="101"/>
      <c r="BY284" s="101"/>
      <c r="BZ284" s="101"/>
      <c r="CA284" s="101"/>
      <c r="CB284" s="101"/>
      <c r="CC284" s="101"/>
      <c r="CD284" s="101"/>
      <c r="CE284" s="101"/>
      <c r="CF284" s="101"/>
      <c r="CG284" s="101"/>
      <c r="CH284" s="101"/>
      <c r="CI284" s="101"/>
      <c r="CJ284" s="101"/>
      <c r="CK284" s="101"/>
      <c r="CL284" s="101"/>
      <c r="CM284" s="101"/>
      <c r="CN284" s="101"/>
      <c r="CO284" s="101"/>
      <c r="CP284" s="101"/>
      <c r="CQ284" s="101"/>
      <c r="CR284" s="101"/>
      <c r="CS284" s="101"/>
      <c r="CT284" s="101"/>
      <c r="CU284" s="101"/>
      <c r="CV284" s="101"/>
      <c r="CW284" s="101"/>
      <c r="CX284" s="101"/>
      <c r="CY284" s="101"/>
      <c r="CZ284" s="101"/>
      <c r="DA284" s="101"/>
      <c r="DB284" s="101"/>
      <c r="DC284" s="101"/>
      <c r="DD284" s="101"/>
      <c r="DE284" s="101"/>
      <c r="DF284" s="101"/>
      <c r="DG284" s="101"/>
      <c r="DH284" s="101"/>
    </row>
    <row r="285" spans="1:112" hidden="1" x14ac:dyDescent="0.2">
      <c r="A285" s="107" t="s">
        <v>283</v>
      </c>
      <c r="B285" s="101"/>
      <c r="C285" s="101"/>
      <c r="D285" s="101"/>
      <c r="E285" s="101"/>
      <c r="F285" s="101"/>
      <c r="G285" s="343"/>
      <c r="H285" s="101"/>
      <c r="I285" s="101"/>
      <c r="J285" s="101"/>
      <c r="K285" s="101"/>
      <c r="L285" s="343"/>
      <c r="M285" s="101"/>
      <c r="N285" s="101"/>
      <c r="O285" s="101"/>
      <c r="P285" s="101"/>
      <c r="Q285" s="343"/>
      <c r="R285" s="101"/>
      <c r="S285" s="101"/>
      <c r="T285" s="101"/>
      <c r="U285" s="101"/>
      <c r="V285" s="343"/>
      <c r="W285" s="101"/>
      <c r="X285" s="101"/>
      <c r="Y285" s="124"/>
      <c r="Z285" s="101"/>
      <c r="AA285" s="343"/>
      <c r="AB285" s="101"/>
      <c r="AC285" s="101"/>
      <c r="AD285" s="101"/>
      <c r="AE285" s="101"/>
      <c r="AF285" s="187"/>
      <c r="AG285" s="166"/>
      <c r="AH285" s="166"/>
      <c r="AI285" s="166"/>
      <c r="AJ285" s="166"/>
      <c r="AK285" s="425">
        <f>AK19-SUM(AK5:AK7)</f>
        <v>202</v>
      </c>
      <c r="AL285" s="310"/>
      <c r="AM285" s="310"/>
      <c r="AN285" s="310"/>
      <c r="AO285" s="310"/>
      <c r="AP285" s="425">
        <f t="shared" ref="AP285:AU285" si="330">AP19-SUM(AP5:AP7)</f>
        <v>249</v>
      </c>
      <c r="AQ285" s="37">
        <f t="shared" si="330"/>
        <v>60</v>
      </c>
      <c r="AR285" s="37">
        <f t="shared" si="330"/>
        <v>47</v>
      </c>
      <c r="AS285" s="37">
        <f t="shared" si="330"/>
        <v>49</v>
      </c>
      <c r="AT285" s="37">
        <f t="shared" si="330"/>
        <v>60</v>
      </c>
      <c r="AU285" s="425">
        <f t="shared" si="330"/>
        <v>215</v>
      </c>
      <c r="AV285" s="166"/>
      <c r="AW285" s="166"/>
      <c r="AX285" s="166"/>
      <c r="AY285" s="166"/>
      <c r="AZ285" s="425"/>
      <c r="BA285" s="101"/>
      <c r="BB285" s="101"/>
      <c r="BC285" s="101"/>
      <c r="BD285" s="101"/>
      <c r="BE285" s="101"/>
      <c r="BF285" s="101"/>
      <c r="BG285" s="101"/>
      <c r="BH285" s="101"/>
      <c r="BI285" s="101"/>
      <c r="BJ285" s="101"/>
      <c r="BK285" s="101"/>
      <c r="BL285" s="101"/>
      <c r="BM285" s="101"/>
      <c r="BN285" s="101"/>
      <c r="BO285" s="101"/>
      <c r="BP285" s="101"/>
      <c r="BQ285" s="101"/>
      <c r="BR285" s="101"/>
      <c r="BS285" s="101"/>
      <c r="BT285" s="101"/>
      <c r="BU285" s="101"/>
      <c r="BV285" s="101"/>
      <c r="BW285" s="101"/>
      <c r="BX285" s="101"/>
      <c r="BY285" s="101"/>
      <c r="BZ285" s="101"/>
      <c r="CA285" s="101"/>
      <c r="CB285" s="101"/>
      <c r="CC285" s="101"/>
      <c r="CD285" s="101"/>
      <c r="CE285" s="101"/>
      <c r="CF285" s="101"/>
      <c r="CG285" s="101"/>
      <c r="CH285" s="101"/>
      <c r="CI285" s="101"/>
      <c r="CJ285" s="101"/>
      <c r="CK285" s="101"/>
      <c r="CL285" s="101"/>
      <c r="CM285" s="101"/>
      <c r="CN285" s="101"/>
      <c r="CO285" s="101"/>
      <c r="CP285" s="101"/>
      <c r="CQ285" s="101"/>
      <c r="CR285" s="101"/>
      <c r="CS285" s="101"/>
      <c r="CT285" s="101"/>
      <c r="CU285" s="101"/>
      <c r="CV285" s="101"/>
      <c r="CW285" s="101"/>
      <c r="CX285" s="101"/>
      <c r="CY285" s="101"/>
      <c r="CZ285" s="101"/>
      <c r="DA285" s="101"/>
      <c r="DB285" s="101"/>
      <c r="DC285" s="101"/>
      <c r="DD285" s="101"/>
      <c r="DE285" s="101"/>
      <c r="DF285" s="101"/>
      <c r="DG285" s="101"/>
      <c r="DH285" s="101"/>
    </row>
    <row r="288" spans="1:112" hidden="1" x14ac:dyDescent="0.2">
      <c r="A288" s="681" t="str">
        <f>+A214</f>
        <v>Cleaning</v>
      </c>
      <c r="BO288" s="682">
        <f>+BO214+BJ214+BE214</f>
        <v>89.570630116397595</v>
      </c>
      <c r="BT288" s="682">
        <f t="shared" ref="BT288:BY292" si="331">+BT214+BO214+BJ214</f>
        <v>211.02170731571613</v>
      </c>
      <c r="BU288" s="682">
        <f t="shared" si="331"/>
        <v>178.1611980807443</v>
      </c>
      <c r="BV288" s="682">
        <f t="shared" si="331"/>
        <v>285.62790978898357</v>
      </c>
      <c r="BW288" s="682">
        <f t="shared" si="331"/>
        <v>2.9356089363985234</v>
      </c>
      <c r="BX288" s="682">
        <f t="shared" si="331"/>
        <v>295.64960047351263</v>
      </c>
      <c r="BY288" s="682">
        <f t="shared" si="331"/>
        <v>187.91993281075031</v>
      </c>
      <c r="BZ288" s="682">
        <f>+BZ214+BU214+BP214</f>
        <v>455.6150462094605</v>
      </c>
      <c r="CA288" s="682">
        <f>+CA214+BV214+BQ214</f>
        <v>338.52490668039638</v>
      </c>
      <c r="CB288" s="682">
        <f>+CB214+BW214+BR214</f>
        <v>443.03917389038912</v>
      </c>
      <c r="CC288" s="682">
        <f>+CC214+BX214+BS214</f>
        <v>35.262189166854483</v>
      </c>
      <c r="CD288" s="682">
        <f>+CD214+BY214+BT214</f>
        <v>317.01365992626768</v>
      </c>
      <c r="CE288" s="682">
        <f t="shared" ref="CE288:CI293" si="332">+CE214+BZ214+BU214</f>
        <v>336.29674806283367</v>
      </c>
      <c r="CF288" s="682">
        <f t="shared" si="332"/>
        <v>-120.47895443417832</v>
      </c>
      <c r="CG288" s="682">
        <f t="shared" si="332"/>
        <v>527.78916059284779</v>
      </c>
      <c r="CH288" s="682">
        <f t="shared" si="332"/>
        <v>43.657147112484694</v>
      </c>
      <c r="CI288" s="682">
        <f t="shared" si="332"/>
        <v>202.47770247770217</v>
      </c>
      <c r="CJ288" s="682">
        <f t="shared" ref="CJ288:CJ293" si="333">+CJ214+CE214+BZ214</f>
        <v>438.62520458265169</v>
      </c>
      <c r="CK288" s="682">
        <f t="shared" ref="CK288:CK293" si="334">+CK214+CF214+CA214</f>
        <v>169.82330413680637</v>
      </c>
      <c r="CL288" s="682">
        <f t="shared" ref="CL288:CL293" si="335">+CL214+CG214+CB214</f>
        <v>383.49217476806558</v>
      </c>
      <c r="CM288" s="682">
        <f t="shared" ref="CM288:CM293" si="336">+CM214+CH214+CC214</f>
        <v>65.011220147147256</v>
      </c>
      <c r="CN288" s="682">
        <f t="shared" ref="CN288:CN293" si="337">+CN214+CI214+CD214</f>
        <v>272.69462993147187</v>
      </c>
    </row>
    <row r="289" spans="1:97" hidden="1" x14ac:dyDescent="0.2">
      <c r="A289" s="681" t="str">
        <f>+A215</f>
        <v>Household</v>
      </c>
      <c r="BO289" s="682">
        <f>+BO215+BJ215+BE215</f>
        <v>240.80620602182466</v>
      </c>
      <c r="BT289" s="682">
        <f t="shared" si="331"/>
        <v>181.91202306843763</v>
      </c>
      <c r="BU289" s="682">
        <f t="shared" si="331"/>
        <v>178.98962863834063</v>
      </c>
      <c r="BV289" s="682">
        <f t="shared" si="331"/>
        <v>356.69900091999301</v>
      </c>
      <c r="BW289" s="682">
        <f t="shared" si="331"/>
        <v>415.11801645158386</v>
      </c>
      <c r="BX289" s="682">
        <f t="shared" si="331"/>
        <v>337.11677256184072</v>
      </c>
      <c r="BY289" s="682">
        <f t="shared" si="331"/>
        <v>312.25804391727399</v>
      </c>
      <c r="BZ289" s="682">
        <f t="shared" ref="BZ289:CB291" si="338">+BZ215+BU215+BP215</f>
        <v>586.68311572598611</v>
      </c>
      <c r="CA289" s="682">
        <f t="shared" si="338"/>
        <v>218.03921568627459</v>
      </c>
      <c r="CB289" s="682">
        <f t="shared" si="338"/>
        <v>579.50650953227796</v>
      </c>
      <c r="CC289" s="682">
        <f t="shared" ref="CC289:CD291" si="339">+CC215+BX215+BS215</f>
        <v>14.512361525474418</v>
      </c>
      <c r="CD289" s="682">
        <f t="shared" si="339"/>
        <v>313.96100579691557</v>
      </c>
      <c r="CE289" s="682">
        <f t="shared" si="332"/>
        <v>237.22162768180203</v>
      </c>
      <c r="CF289" s="682">
        <f t="shared" si="332"/>
        <v>521.6880803282229</v>
      </c>
      <c r="CG289" s="682">
        <f t="shared" si="332"/>
        <v>405.36902426829749</v>
      </c>
      <c r="CH289" s="682">
        <f t="shared" si="332"/>
        <v>-81.329682067131657</v>
      </c>
      <c r="CI289" s="682">
        <f t="shared" si="332"/>
        <v>229.11669300929279</v>
      </c>
      <c r="CJ289" s="682">
        <f t="shared" si="333"/>
        <v>328.79818594104302</v>
      </c>
      <c r="CK289" s="682">
        <f t="shared" si="334"/>
        <v>-57.589902044573023</v>
      </c>
      <c r="CL289" s="682">
        <f t="shared" si="335"/>
        <v>-190.57083937842739</v>
      </c>
      <c r="CM289" s="682">
        <f t="shared" si="336"/>
        <v>-412.81156070199722</v>
      </c>
      <c r="CN289" s="682">
        <f t="shared" si="337"/>
        <v>-113.63603649083547</v>
      </c>
    </row>
    <row r="290" spans="1:97" hidden="1" x14ac:dyDescent="0.2">
      <c r="A290" s="681" t="str">
        <f>+A216</f>
        <v>Lifestyle</v>
      </c>
      <c r="BO290" s="682">
        <f>+BO216+BJ216+BE216</f>
        <v>-719.00041861021396</v>
      </c>
      <c r="BT290" s="682">
        <f t="shared" si="331"/>
        <v>-247.12331249433728</v>
      </c>
      <c r="BU290" s="682">
        <f t="shared" si="331"/>
        <v>-77.310320028766711</v>
      </c>
      <c r="BV290" s="682">
        <f t="shared" si="331"/>
        <v>-183.20525671010114</v>
      </c>
      <c r="BW290" s="682">
        <f t="shared" si="331"/>
        <v>-231.71627136587938</v>
      </c>
      <c r="BX290" s="682">
        <f t="shared" si="331"/>
        <v>-439.42683456361294</v>
      </c>
      <c r="BY290" s="682">
        <f t="shared" si="331"/>
        <v>-235.91331269349871</v>
      </c>
      <c r="BZ290" s="682">
        <f t="shared" si="338"/>
        <v>-138.19513819513796</v>
      </c>
      <c r="CA290" s="682">
        <f t="shared" si="338"/>
        <v>-85.060601475952524</v>
      </c>
      <c r="CB290" s="682">
        <f t="shared" si="338"/>
        <v>-142.05367186244547</v>
      </c>
      <c r="CC290" s="682">
        <f t="shared" si="339"/>
        <v>-625.63832240635202</v>
      </c>
      <c r="CD290" s="682">
        <f t="shared" si="339"/>
        <v>-252.59049048069471</v>
      </c>
      <c r="CE290" s="682">
        <f t="shared" si="332"/>
        <v>195.92598351733798</v>
      </c>
      <c r="CF290" s="682">
        <f t="shared" si="332"/>
        <v>50.146056475170447</v>
      </c>
      <c r="CG290" s="682">
        <f t="shared" si="332"/>
        <v>-753.83348770196562</v>
      </c>
      <c r="CH290" s="682">
        <f t="shared" si="332"/>
        <v>-734.84559664506264</v>
      </c>
      <c r="CI290" s="682">
        <f t="shared" si="332"/>
        <v>-316.41025641025669</v>
      </c>
      <c r="CJ290" s="682">
        <f t="shared" si="333"/>
        <v>9.0334236675704247</v>
      </c>
      <c r="CK290" s="682">
        <f t="shared" si="334"/>
        <v>-392.85280912510598</v>
      </c>
      <c r="CL290" s="682">
        <f t="shared" si="335"/>
        <v>-798.63996788116037</v>
      </c>
      <c r="CM290" s="682">
        <f t="shared" si="336"/>
        <v>-216.52378034752786</v>
      </c>
      <c r="CN290" s="682">
        <f t="shared" si="337"/>
        <v>-355.26315789473676</v>
      </c>
    </row>
    <row r="291" spans="1:97" hidden="1" x14ac:dyDescent="0.2">
      <c r="A291" s="681" t="str">
        <f>+A217</f>
        <v xml:space="preserve">International </v>
      </c>
      <c r="BO291" s="682">
        <f>+BO217+BJ217+BE217</f>
        <v>-541.46254929519807</v>
      </c>
      <c r="BT291" s="682">
        <f t="shared" si="331"/>
        <v>-387.63882535325826</v>
      </c>
      <c r="BU291" s="682">
        <f t="shared" si="331"/>
        <v>-411.63910819802391</v>
      </c>
      <c r="BV291" s="682">
        <f t="shared" si="331"/>
        <v>-253.29002364517902</v>
      </c>
      <c r="BW291" s="682">
        <f t="shared" si="331"/>
        <v>-67.950025497195298</v>
      </c>
      <c r="BX291" s="682">
        <f t="shared" si="331"/>
        <v>-354.42031865313055</v>
      </c>
      <c r="BY291" s="682">
        <f t="shared" si="331"/>
        <v>-265.72281562448927</v>
      </c>
      <c r="BZ291" s="682">
        <f t="shared" si="338"/>
        <v>350.80798916545041</v>
      </c>
      <c r="CA291" s="682">
        <f t="shared" si="338"/>
        <v>22.70119243626209</v>
      </c>
      <c r="CB291" s="682">
        <f t="shared" si="338"/>
        <v>-206.1184939091917</v>
      </c>
      <c r="CC291" s="682">
        <f t="shared" si="339"/>
        <v>-705.76964019586967</v>
      </c>
      <c r="CD291" s="682">
        <f t="shared" si="339"/>
        <v>-126.19138202785693</v>
      </c>
      <c r="CE291" s="682">
        <f t="shared" si="332"/>
        <v>-55.68965015849011</v>
      </c>
      <c r="CF291" s="682">
        <f t="shared" si="332"/>
        <v>-56.075783972125436</v>
      </c>
      <c r="CG291" s="682">
        <f t="shared" si="332"/>
        <v>-64.760508308895481</v>
      </c>
      <c r="CH291" s="682">
        <f t="shared" si="332"/>
        <v>-212.46707638279193</v>
      </c>
      <c r="CI291" s="682">
        <f t="shared" si="332"/>
        <v>-103.78375440471766</v>
      </c>
      <c r="CJ291" s="682">
        <f t="shared" si="333"/>
        <v>-43.393298465428927</v>
      </c>
      <c r="CK291" s="682">
        <f t="shared" si="334"/>
        <v>10.569127444946799</v>
      </c>
      <c r="CL291" s="682">
        <f t="shared" si="335"/>
        <v>-55.057821059038361</v>
      </c>
      <c r="CM291" s="682">
        <f t="shared" ca="1" si="336"/>
        <v>-209.4986867793275</v>
      </c>
      <c r="CN291" s="682">
        <f t="shared" si="337"/>
        <v>-84.790731143031536</v>
      </c>
    </row>
    <row r="292" spans="1:97" hidden="1" x14ac:dyDescent="0.2">
      <c r="A292" s="681" t="str">
        <f>+A218</f>
        <v>Corporate</v>
      </c>
      <c r="BU292" s="682" t="e">
        <f t="shared" si="331"/>
        <v>#VALUE!</v>
      </c>
      <c r="BV292" s="682" t="e">
        <f t="shared" si="331"/>
        <v>#VALUE!</v>
      </c>
      <c r="BW292" s="682" t="e">
        <f t="shared" si="331"/>
        <v>#VALUE!</v>
      </c>
      <c r="BX292" s="682" t="e">
        <f t="shared" si="331"/>
        <v>#VALUE!</v>
      </c>
      <c r="BZ292" s="682" t="e">
        <f t="shared" ref="BZ292:CD293" si="340">+BZ218+BU218+BP218</f>
        <v>#VALUE!</v>
      </c>
      <c r="CA292" s="682" t="e">
        <f t="shared" si="340"/>
        <v>#VALUE!</v>
      </c>
      <c r="CB292" s="682" t="e">
        <f t="shared" si="340"/>
        <v>#VALUE!</v>
      </c>
      <c r="CC292" s="682" t="e">
        <f t="shared" si="340"/>
        <v>#VALUE!</v>
      </c>
      <c r="CD292" s="682"/>
      <c r="CE292" s="682"/>
      <c r="CF292" s="682"/>
      <c r="CG292" s="682"/>
      <c r="CH292" s="682"/>
      <c r="CI292" s="682"/>
      <c r="CJ292" s="682"/>
      <c r="CK292" s="682"/>
      <c r="CL292" s="682"/>
      <c r="CM292" s="682"/>
      <c r="CN292" s="682"/>
    </row>
    <row r="293" spans="1:97" hidden="1" x14ac:dyDescent="0.2">
      <c r="BZ293" s="682">
        <f>+BZ219+BU219+BP219</f>
        <v>449.35531395511401</v>
      </c>
      <c r="CA293" s="682">
        <f>+CA219+BV219+BQ219</f>
        <v>291.16925019288755</v>
      </c>
      <c r="CB293" s="682">
        <f>+CB219+BW219+BR219</f>
        <v>232.40913616200621</v>
      </c>
      <c r="CC293" s="682">
        <f>+CC219+BX219+BS219</f>
        <v>-163.84938590820934</v>
      </c>
      <c r="CD293" s="682">
        <f t="shared" si="340"/>
        <v>189.31717294348283</v>
      </c>
      <c r="CE293" s="682">
        <f t="shared" si="332"/>
        <v>258.41237308102529</v>
      </c>
      <c r="CF293" s="682">
        <f t="shared" si="332"/>
        <v>207.78141734201614</v>
      </c>
      <c r="CG293" s="682">
        <f t="shared" si="332"/>
        <v>17.843140947926827</v>
      </c>
      <c r="CH293" s="682">
        <f t="shared" si="332"/>
        <v>34.288370304665108</v>
      </c>
      <c r="CI293" s="682">
        <f t="shared" si="332"/>
        <v>126.25731278602808</v>
      </c>
      <c r="CJ293" s="682">
        <f t="shared" si="333"/>
        <v>247.57396449704149</v>
      </c>
      <c r="CK293" s="682">
        <f t="shared" si="334"/>
        <v>138.42332976288009</v>
      </c>
      <c r="CL293" s="682">
        <f t="shared" ca="1" si="335"/>
        <v>38.744528279215643</v>
      </c>
      <c r="CM293" s="682">
        <f t="shared" ca="1" si="336"/>
        <v>-120.45593379952697</v>
      </c>
      <c r="CN293" s="682">
        <f t="shared" ca="1" si="337"/>
        <v>70.455405513688845</v>
      </c>
    </row>
    <row r="294" spans="1:97" hidden="1" x14ac:dyDescent="0.2"/>
    <row r="295" spans="1:97" hidden="1" x14ac:dyDescent="0.2">
      <c r="A295" s="846" t="s">
        <v>414</v>
      </c>
    </row>
    <row r="296" spans="1:97" hidden="1" x14ac:dyDescent="0.2">
      <c r="A296" s="754" t="s">
        <v>84</v>
      </c>
      <c r="BW296" s="848">
        <f>+BX296</f>
        <v>28.75</v>
      </c>
      <c r="BX296" s="848">
        <f>+BZ296</f>
        <v>28.75</v>
      </c>
      <c r="BY296" s="848"/>
      <c r="BZ296" s="848">
        <f>+CA296</f>
        <v>28.75</v>
      </c>
      <c r="CA296" s="848">
        <f>115/4</f>
        <v>28.75</v>
      </c>
      <c r="CB296" s="848">
        <f>+BW296*(1+CB297)</f>
        <v>29.756249999999998</v>
      </c>
      <c r="CC296" s="848">
        <f>+BX296*(1+CC297)</f>
        <v>29.756249999999998</v>
      </c>
      <c r="CD296" s="848">
        <f>+SUM(BZ296:CC296)</f>
        <v>117.01249999999999</v>
      </c>
      <c r="CE296" s="848">
        <f>+BZ296*(1+CE297)</f>
        <v>31.625000000000004</v>
      </c>
      <c r="CF296" s="848">
        <f>+CA296*(1+CF297)</f>
        <v>31.625000000000004</v>
      </c>
      <c r="CG296" s="848">
        <f>+CB296*(1+CG297)</f>
        <v>32.731875000000002</v>
      </c>
      <c r="CH296" s="848">
        <f>+CC296*(1+CH297)</f>
        <v>32.731875000000002</v>
      </c>
      <c r="CI296" s="848">
        <f>+SUM(CE296:CH296)</f>
        <v>128.71375</v>
      </c>
    </row>
    <row r="297" spans="1:97" hidden="1" x14ac:dyDescent="0.2">
      <c r="A297" s="754" t="s">
        <v>398</v>
      </c>
      <c r="CB297" s="778">
        <v>3.5000000000000003E-2</v>
      </c>
      <c r="CC297" s="778">
        <v>3.5000000000000003E-2</v>
      </c>
      <c r="CD297" s="779"/>
      <c r="CE297" s="778">
        <v>0.1</v>
      </c>
      <c r="CF297" s="778">
        <v>0.1</v>
      </c>
      <c r="CG297" s="778">
        <v>0.1</v>
      </c>
      <c r="CH297" s="778">
        <v>0.1</v>
      </c>
      <c r="CI297" s="635">
        <f>CI296/CD296-1</f>
        <v>0.10000000000000009</v>
      </c>
    </row>
    <row r="298" spans="1:97" hidden="1" x14ac:dyDescent="0.2">
      <c r="A298" s="754" t="s">
        <v>399</v>
      </c>
      <c r="CC298" s="777">
        <f>2/3*CC296</f>
        <v>19.837499999999999</v>
      </c>
      <c r="CE298">
        <v>27.8</v>
      </c>
      <c r="CF298">
        <f>+CF296</f>
        <v>31.625000000000004</v>
      </c>
      <c r="CG298">
        <f>+CG296</f>
        <v>32.731875000000002</v>
      </c>
      <c r="CH298" s="777">
        <f>1/2.5*CH296</f>
        <v>13.092750000000002</v>
      </c>
      <c r="CI298">
        <f>+SUM(CE298:CH298)</f>
        <v>105.24962500000001</v>
      </c>
    </row>
    <row r="299" spans="1:97" hidden="1" x14ac:dyDescent="0.2">
      <c r="CE299" s="635">
        <f>+CE298/BZ6</f>
        <v>6.7639902676399022E-2</v>
      </c>
      <c r="CF299" s="635">
        <f>+CF298/CA6</f>
        <v>8.4333333333333343E-2</v>
      </c>
      <c r="CG299" s="635">
        <f>+CG298/CB6</f>
        <v>7.0089668094218419E-2</v>
      </c>
      <c r="CH299" s="635">
        <f>+CH298/CC6</f>
        <v>2.1498768472906406E-2</v>
      </c>
      <c r="CI299" s="635">
        <f>+CI298/CD6</f>
        <v>5.6525040279269606E-2</v>
      </c>
    </row>
    <row r="300" spans="1:97" hidden="1" x14ac:dyDescent="0.2">
      <c r="A300" s="846" t="s">
        <v>415</v>
      </c>
      <c r="CE300">
        <f>0.02*BZ9</f>
        <v>27.8</v>
      </c>
    </row>
    <row r="301" spans="1:97" hidden="1" x14ac:dyDescent="0.2">
      <c r="A301" s="754" t="s">
        <v>84</v>
      </c>
      <c r="CG301" s="848">
        <f>200/4</f>
        <v>50</v>
      </c>
      <c r="CH301" s="848">
        <f>200/4</f>
        <v>50</v>
      </c>
      <c r="CI301" s="848"/>
      <c r="CJ301" s="848">
        <f>200/4</f>
        <v>50</v>
      </c>
      <c r="CK301" s="848">
        <f>200/4</f>
        <v>50</v>
      </c>
      <c r="CL301" s="848">
        <f>+CG301*(1+CL302)</f>
        <v>54.500000000000007</v>
      </c>
      <c r="CM301" s="848">
        <f>+CH301*(1+CM302)</f>
        <v>54.500000000000007</v>
      </c>
      <c r="CN301" s="848">
        <f>+SUM(CJ301:CM301)</f>
        <v>209</v>
      </c>
      <c r="CO301" s="848">
        <f>+CJ301*(1+CO302)</f>
        <v>54.500000000000007</v>
      </c>
      <c r="CP301" s="848">
        <f>+CK301*(1+CP302)</f>
        <v>54.500000000000007</v>
      </c>
      <c r="CQ301" s="848">
        <f>+CL301*(1+CQ302)</f>
        <v>59.405000000000015</v>
      </c>
      <c r="CR301" s="848">
        <f>+CM301*(1+CR302)</f>
        <v>59.405000000000015</v>
      </c>
      <c r="CS301" s="848">
        <f>+SUM(CO301:CR301)</f>
        <v>227.81000000000006</v>
      </c>
    </row>
    <row r="302" spans="1:97" hidden="1" x14ac:dyDescent="0.2">
      <c r="A302" s="754" t="s">
        <v>398</v>
      </c>
      <c r="CL302" s="778">
        <v>0.09</v>
      </c>
      <c r="CM302" s="778">
        <v>0.09</v>
      </c>
      <c r="CO302" s="778">
        <v>0.09</v>
      </c>
      <c r="CP302" s="778">
        <v>0.09</v>
      </c>
      <c r="CQ302" s="778">
        <v>0.09</v>
      </c>
      <c r="CR302" s="778">
        <v>0.09</v>
      </c>
    </row>
    <row r="303" spans="1:97" hidden="1" x14ac:dyDescent="0.2">
      <c r="A303" s="754" t="s">
        <v>399</v>
      </c>
      <c r="CL303">
        <v>0</v>
      </c>
      <c r="CM303" s="847">
        <f>+CM301*2/3</f>
        <v>36.333333333333336</v>
      </c>
      <c r="CO303" s="847">
        <f>+CO301</f>
        <v>54.500000000000007</v>
      </c>
      <c r="CP303" s="847">
        <f>+CP301</f>
        <v>54.500000000000007</v>
      </c>
      <c r="CQ303" s="847">
        <f>+CQ301</f>
        <v>59.405000000000015</v>
      </c>
      <c r="CR303" s="847">
        <f>+CR301*1/3</f>
        <v>19.801666666666673</v>
      </c>
    </row>
    <row r="304" spans="1:97" hidden="1" x14ac:dyDescent="0.2">
      <c r="A304" s="754" t="s">
        <v>416</v>
      </c>
      <c r="CL304" s="635">
        <f>+CL303*0.9/CG6</f>
        <v>0</v>
      </c>
      <c r="CM304" s="635">
        <f>+CM303*0.9/CH6</f>
        <v>5.1740506329113929E-2</v>
      </c>
      <c r="CO304" s="635">
        <f>+CO303*0.9/CJ6</f>
        <v>0.11122448979591838</v>
      </c>
      <c r="CP304" s="635">
        <f>+CP303*0.9/CK6</f>
        <v>0.11963414634146342</v>
      </c>
      <c r="CQ304" s="635">
        <f>+CQ303*0.9/CL6</f>
        <v>0.11000925925925929</v>
      </c>
      <c r="CR304" s="635">
        <f>+CR303*0.9/CM6</f>
        <v>2.6351081604589623E-2</v>
      </c>
    </row>
    <row r="305" spans="1:96" hidden="1" x14ac:dyDescent="0.2">
      <c r="A305" s="754" t="s">
        <v>417</v>
      </c>
      <c r="CL305" s="635">
        <f>+CL303*0.1/CG8</f>
        <v>0</v>
      </c>
      <c r="CM305" s="635">
        <f>+CM303*0.1/CH8</f>
        <v>1.4248366013071898E-2</v>
      </c>
      <c r="CO305" s="635">
        <f>+CO303*0.1/CJ8</f>
        <v>2.1456692913385832E-2</v>
      </c>
      <c r="CP305" s="635">
        <f>+CP303*0.1/CK8</f>
        <v>2.0488721804511282E-2</v>
      </c>
      <c r="CQ305" s="635">
        <f>+CQ303*0.1/CL8</f>
        <v>2.2027043904384182E-2</v>
      </c>
      <c r="CR305" s="635">
        <f ca="1">+CR303*0.1/CM8</f>
        <v>7.1595801945895472E-3</v>
      </c>
    </row>
    <row r="306" spans="1:96" hidden="1" x14ac:dyDescent="0.2"/>
  </sheetData>
  <mergeCells count="2">
    <mergeCell ref="AI276:AJ276"/>
    <mergeCell ref="H1:Q1"/>
  </mergeCells>
  <phoneticPr fontId="4" type="noConversion"/>
  <conditionalFormatting sqref="AG209:AT212 AG213:AR213 AL206:AU207 AL208:AT208 AG206:AK208 AV205:AY212 AU208:AU213 AZ205:AZ213 AP174:AP175 AK172:AK175 AL182:AO182 AL184:AO184 AQ184:AT184 AP182:AP184 AQ182:AT182 AU182:AU184 AG175:AJ175 AU174:AU175 AG205:AU205 BT213 BY213 CD213 CI213 CN213 CS213 AK182:AK184 AG182:AJ182 AG184:AJ184 AS175:AT175 AL175:AO175 BE205:BE213 BA205:BD212 BJ205:BJ213 BF205:BI212 CX213 DC213 DH205:DH213 AV238:DH238 BO205:BO213 BK205:BN212 AV184:CB184 AV182:CB182 AV175:CB177 CD175:DH177 CD182:DH182 CD184:DH184 CE212 BP205:CD212 CF205:DG212">
    <cfRule type="cellIs" dxfId="2" priority="3" stopIfTrue="1" operator="equal">
      <formula>0</formula>
    </cfRule>
  </conditionalFormatting>
  <conditionalFormatting sqref="CC184 CC182 CC175:CC177">
    <cfRule type="cellIs" dxfId="1" priority="2" stopIfTrue="1" operator="equal">
      <formula>0</formula>
    </cfRule>
  </conditionalFormatting>
  <conditionalFormatting sqref="CE205:CE211">
    <cfRule type="cellIs" dxfId="0" priority="1" stopIfTrue="1" operator="equal">
      <formula>0</formula>
    </cfRule>
  </conditionalFormatting>
  <pageMargins left="0.28000000000000003" right="0.17" top="0.59" bottom="0.24" header="0.5" footer="0.24"/>
  <pageSetup scale="82" orientation="landscape" r:id="rId1"/>
  <headerFooter alignWithMargins="0"/>
  <rowBreaks count="2" manualBreakCount="2">
    <brk id="58" min="36" max="71" man="1"/>
    <brk id="167" min="36" max="71" man="1"/>
  </rowBreaks>
  <ignoredErrors>
    <ignoredError sqref="AS147 AZ9 BI188:BI191 BD158 BP165:CB165 CM5:CM8 CR5:CR8 CW5:CW8 AU39 AZ165 AY188:AY191 AU47 AZ42:AZ44 AZ11:AZ27 BD189:BD191 AY158 AZ33:AZ34 DB5:DH28 BD160 BD165 BE165:BE166 BD163 AZ50:AZ52 AZ47:AZ48 AZ55 BF165:BM165 CE165:CX165 CJ164" formula="1"/>
    <ignoredError sqref="L20:L22 AU182 AK285 AP285:AU285" formulaRange="1"/>
    <ignoredError sqref="AZ59:AZ61 AZ64:AZ65 AZ5:AZ8 AZ56" formula="1" formulaRange="1"/>
    <ignoredError sqref="AA152 AA3" numberStoredAsText="1"/>
  </ignoredErrors>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43"/>
  <sheetViews>
    <sheetView workbookViewId="0">
      <selection activeCell="B42" sqref="B42"/>
    </sheetView>
  </sheetViews>
  <sheetFormatPr defaultRowHeight="12.75" x14ac:dyDescent="0.2"/>
  <cols>
    <col min="1" max="1" width="34.5" style="830" bestFit="1" customWidth="1"/>
    <col min="2" max="2" width="23.1640625" style="868" customWidth="1"/>
    <col min="3" max="3" width="14" style="830" bestFit="1" customWidth="1"/>
    <col min="4" max="256" width="9.33203125" style="830"/>
    <col min="257" max="257" width="34.5" style="830" bestFit="1" customWidth="1"/>
    <col min="258" max="258" width="23.1640625" style="830" customWidth="1"/>
    <col min="259" max="259" width="14" style="830" bestFit="1" customWidth="1"/>
    <col min="260" max="512" width="9.33203125" style="830"/>
    <col min="513" max="513" width="34.5" style="830" bestFit="1" customWidth="1"/>
    <col min="514" max="514" width="23.1640625" style="830" customWidth="1"/>
    <col min="515" max="515" width="14" style="830" bestFit="1" customWidth="1"/>
    <col min="516" max="768" width="9.33203125" style="830"/>
    <col min="769" max="769" width="34.5" style="830" bestFit="1" customWidth="1"/>
    <col min="770" max="770" width="23.1640625" style="830" customWidth="1"/>
    <col min="771" max="771" width="14" style="830" bestFit="1" customWidth="1"/>
    <col min="772" max="1024" width="9.33203125" style="830"/>
    <col min="1025" max="1025" width="34.5" style="830" bestFit="1" customWidth="1"/>
    <col min="1026" max="1026" width="23.1640625" style="830" customWidth="1"/>
    <col min="1027" max="1027" width="14" style="830" bestFit="1" customWidth="1"/>
    <col min="1028" max="1280" width="9.33203125" style="830"/>
    <col min="1281" max="1281" width="34.5" style="830" bestFit="1" customWidth="1"/>
    <col min="1282" max="1282" width="23.1640625" style="830" customWidth="1"/>
    <col min="1283" max="1283" width="14" style="830" bestFit="1" customWidth="1"/>
    <col min="1284" max="1536" width="9.33203125" style="830"/>
    <col min="1537" max="1537" width="34.5" style="830" bestFit="1" customWidth="1"/>
    <col min="1538" max="1538" width="23.1640625" style="830" customWidth="1"/>
    <col min="1539" max="1539" width="14" style="830" bestFit="1" customWidth="1"/>
    <col min="1540" max="1792" width="9.33203125" style="830"/>
    <col min="1793" max="1793" width="34.5" style="830" bestFit="1" customWidth="1"/>
    <col min="1794" max="1794" width="23.1640625" style="830" customWidth="1"/>
    <col min="1795" max="1795" width="14" style="830" bestFit="1" customWidth="1"/>
    <col min="1796" max="2048" width="9.33203125" style="830"/>
    <col min="2049" max="2049" width="34.5" style="830" bestFit="1" customWidth="1"/>
    <col min="2050" max="2050" width="23.1640625" style="830" customWidth="1"/>
    <col min="2051" max="2051" width="14" style="830" bestFit="1" customWidth="1"/>
    <col min="2052" max="2304" width="9.33203125" style="830"/>
    <col min="2305" max="2305" width="34.5" style="830" bestFit="1" customWidth="1"/>
    <col min="2306" max="2306" width="23.1640625" style="830" customWidth="1"/>
    <col min="2307" max="2307" width="14" style="830" bestFit="1" customWidth="1"/>
    <col min="2308" max="2560" width="9.33203125" style="830"/>
    <col min="2561" max="2561" width="34.5" style="830" bestFit="1" customWidth="1"/>
    <col min="2562" max="2562" width="23.1640625" style="830" customWidth="1"/>
    <col min="2563" max="2563" width="14" style="830" bestFit="1" customWidth="1"/>
    <col min="2564" max="2816" width="9.33203125" style="830"/>
    <col min="2817" max="2817" width="34.5" style="830" bestFit="1" customWidth="1"/>
    <col min="2818" max="2818" width="23.1640625" style="830" customWidth="1"/>
    <col min="2819" max="2819" width="14" style="830" bestFit="1" customWidth="1"/>
    <col min="2820" max="3072" width="9.33203125" style="830"/>
    <col min="3073" max="3073" width="34.5" style="830" bestFit="1" customWidth="1"/>
    <col min="3074" max="3074" width="23.1640625" style="830" customWidth="1"/>
    <col min="3075" max="3075" width="14" style="830" bestFit="1" customWidth="1"/>
    <col min="3076" max="3328" width="9.33203125" style="830"/>
    <col min="3329" max="3329" width="34.5" style="830" bestFit="1" customWidth="1"/>
    <col min="3330" max="3330" width="23.1640625" style="830" customWidth="1"/>
    <col min="3331" max="3331" width="14" style="830" bestFit="1" customWidth="1"/>
    <col min="3332" max="3584" width="9.33203125" style="830"/>
    <col min="3585" max="3585" width="34.5" style="830" bestFit="1" customWidth="1"/>
    <col min="3586" max="3586" width="23.1640625" style="830" customWidth="1"/>
    <col min="3587" max="3587" width="14" style="830" bestFit="1" customWidth="1"/>
    <col min="3588" max="3840" width="9.33203125" style="830"/>
    <col min="3841" max="3841" width="34.5" style="830" bestFit="1" customWidth="1"/>
    <col min="3842" max="3842" width="23.1640625" style="830" customWidth="1"/>
    <col min="3843" max="3843" width="14" style="830" bestFit="1" customWidth="1"/>
    <col min="3844" max="4096" width="9.33203125" style="830"/>
    <col min="4097" max="4097" width="34.5" style="830" bestFit="1" customWidth="1"/>
    <col min="4098" max="4098" width="23.1640625" style="830" customWidth="1"/>
    <col min="4099" max="4099" width="14" style="830" bestFit="1" customWidth="1"/>
    <col min="4100" max="4352" width="9.33203125" style="830"/>
    <col min="4353" max="4353" width="34.5" style="830" bestFit="1" customWidth="1"/>
    <col min="4354" max="4354" width="23.1640625" style="830" customWidth="1"/>
    <col min="4355" max="4355" width="14" style="830" bestFit="1" customWidth="1"/>
    <col min="4356" max="4608" width="9.33203125" style="830"/>
    <col min="4609" max="4609" width="34.5" style="830" bestFit="1" customWidth="1"/>
    <col min="4610" max="4610" width="23.1640625" style="830" customWidth="1"/>
    <col min="4611" max="4611" width="14" style="830" bestFit="1" customWidth="1"/>
    <col min="4612" max="4864" width="9.33203125" style="830"/>
    <col min="4865" max="4865" width="34.5" style="830" bestFit="1" customWidth="1"/>
    <col min="4866" max="4866" width="23.1640625" style="830" customWidth="1"/>
    <col min="4867" max="4867" width="14" style="830" bestFit="1" customWidth="1"/>
    <col min="4868" max="5120" width="9.33203125" style="830"/>
    <col min="5121" max="5121" width="34.5" style="830" bestFit="1" customWidth="1"/>
    <col min="5122" max="5122" width="23.1640625" style="830" customWidth="1"/>
    <col min="5123" max="5123" width="14" style="830" bestFit="1" customWidth="1"/>
    <col min="5124" max="5376" width="9.33203125" style="830"/>
    <col min="5377" max="5377" width="34.5" style="830" bestFit="1" customWidth="1"/>
    <col min="5378" max="5378" width="23.1640625" style="830" customWidth="1"/>
    <col min="5379" max="5379" width="14" style="830" bestFit="1" customWidth="1"/>
    <col min="5380" max="5632" width="9.33203125" style="830"/>
    <col min="5633" max="5633" width="34.5" style="830" bestFit="1" customWidth="1"/>
    <col min="5634" max="5634" width="23.1640625" style="830" customWidth="1"/>
    <col min="5635" max="5635" width="14" style="830" bestFit="1" customWidth="1"/>
    <col min="5636" max="5888" width="9.33203125" style="830"/>
    <col min="5889" max="5889" width="34.5" style="830" bestFit="1" customWidth="1"/>
    <col min="5890" max="5890" width="23.1640625" style="830" customWidth="1"/>
    <col min="5891" max="5891" width="14" style="830" bestFit="1" customWidth="1"/>
    <col min="5892" max="6144" width="9.33203125" style="830"/>
    <col min="6145" max="6145" width="34.5" style="830" bestFit="1" customWidth="1"/>
    <col min="6146" max="6146" width="23.1640625" style="830" customWidth="1"/>
    <col min="6147" max="6147" width="14" style="830" bestFit="1" customWidth="1"/>
    <col min="6148" max="6400" width="9.33203125" style="830"/>
    <col min="6401" max="6401" width="34.5" style="830" bestFit="1" customWidth="1"/>
    <col min="6402" max="6402" width="23.1640625" style="830" customWidth="1"/>
    <col min="6403" max="6403" width="14" style="830" bestFit="1" customWidth="1"/>
    <col min="6404" max="6656" width="9.33203125" style="830"/>
    <col min="6657" max="6657" width="34.5" style="830" bestFit="1" customWidth="1"/>
    <col min="6658" max="6658" width="23.1640625" style="830" customWidth="1"/>
    <col min="6659" max="6659" width="14" style="830" bestFit="1" customWidth="1"/>
    <col min="6660" max="6912" width="9.33203125" style="830"/>
    <col min="6913" max="6913" width="34.5" style="830" bestFit="1" customWidth="1"/>
    <col min="6914" max="6914" width="23.1640625" style="830" customWidth="1"/>
    <col min="6915" max="6915" width="14" style="830" bestFit="1" customWidth="1"/>
    <col min="6916" max="7168" width="9.33203125" style="830"/>
    <col min="7169" max="7169" width="34.5" style="830" bestFit="1" customWidth="1"/>
    <col min="7170" max="7170" width="23.1640625" style="830" customWidth="1"/>
    <col min="7171" max="7171" width="14" style="830" bestFit="1" customWidth="1"/>
    <col min="7172" max="7424" width="9.33203125" style="830"/>
    <col min="7425" max="7425" width="34.5" style="830" bestFit="1" customWidth="1"/>
    <col min="7426" max="7426" width="23.1640625" style="830" customWidth="1"/>
    <col min="7427" max="7427" width="14" style="830" bestFit="1" customWidth="1"/>
    <col min="7428" max="7680" width="9.33203125" style="830"/>
    <col min="7681" max="7681" width="34.5" style="830" bestFit="1" customWidth="1"/>
    <col min="7682" max="7682" width="23.1640625" style="830" customWidth="1"/>
    <col min="7683" max="7683" width="14" style="830" bestFit="1" customWidth="1"/>
    <col min="7684" max="7936" width="9.33203125" style="830"/>
    <col min="7937" max="7937" width="34.5" style="830" bestFit="1" customWidth="1"/>
    <col min="7938" max="7938" width="23.1640625" style="830" customWidth="1"/>
    <col min="7939" max="7939" width="14" style="830" bestFit="1" customWidth="1"/>
    <col min="7940" max="8192" width="9.33203125" style="830"/>
    <col min="8193" max="8193" width="34.5" style="830" bestFit="1" customWidth="1"/>
    <col min="8194" max="8194" width="23.1640625" style="830" customWidth="1"/>
    <col min="8195" max="8195" width="14" style="830" bestFit="1" customWidth="1"/>
    <col min="8196" max="8448" width="9.33203125" style="830"/>
    <col min="8449" max="8449" width="34.5" style="830" bestFit="1" customWidth="1"/>
    <col min="8450" max="8450" width="23.1640625" style="830" customWidth="1"/>
    <col min="8451" max="8451" width="14" style="830" bestFit="1" customWidth="1"/>
    <col min="8452" max="8704" width="9.33203125" style="830"/>
    <col min="8705" max="8705" width="34.5" style="830" bestFit="1" customWidth="1"/>
    <col min="8706" max="8706" width="23.1640625" style="830" customWidth="1"/>
    <col min="8707" max="8707" width="14" style="830" bestFit="1" customWidth="1"/>
    <col min="8708" max="8960" width="9.33203125" style="830"/>
    <col min="8961" max="8961" width="34.5" style="830" bestFit="1" customWidth="1"/>
    <col min="8962" max="8962" width="23.1640625" style="830" customWidth="1"/>
    <col min="8963" max="8963" width="14" style="830" bestFit="1" customWidth="1"/>
    <col min="8964" max="9216" width="9.33203125" style="830"/>
    <col min="9217" max="9217" width="34.5" style="830" bestFit="1" customWidth="1"/>
    <col min="9218" max="9218" width="23.1640625" style="830" customWidth="1"/>
    <col min="9219" max="9219" width="14" style="830" bestFit="1" customWidth="1"/>
    <col min="9220" max="9472" width="9.33203125" style="830"/>
    <col min="9473" max="9473" width="34.5" style="830" bestFit="1" customWidth="1"/>
    <col min="9474" max="9474" width="23.1640625" style="830" customWidth="1"/>
    <col min="9475" max="9475" width="14" style="830" bestFit="1" customWidth="1"/>
    <col min="9476" max="9728" width="9.33203125" style="830"/>
    <col min="9729" max="9729" width="34.5" style="830" bestFit="1" customWidth="1"/>
    <col min="9730" max="9730" width="23.1640625" style="830" customWidth="1"/>
    <col min="9731" max="9731" width="14" style="830" bestFit="1" customWidth="1"/>
    <col min="9732" max="9984" width="9.33203125" style="830"/>
    <col min="9985" max="9985" width="34.5" style="830" bestFit="1" customWidth="1"/>
    <col min="9986" max="9986" width="23.1640625" style="830" customWidth="1"/>
    <col min="9987" max="9987" width="14" style="830" bestFit="1" customWidth="1"/>
    <col min="9988" max="10240" width="9.33203125" style="830"/>
    <col min="10241" max="10241" width="34.5" style="830" bestFit="1" customWidth="1"/>
    <col min="10242" max="10242" width="23.1640625" style="830" customWidth="1"/>
    <col min="10243" max="10243" width="14" style="830" bestFit="1" customWidth="1"/>
    <col min="10244" max="10496" width="9.33203125" style="830"/>
    <col min="10497" max="10497" width="34.5" style="830" bestFit="1" customWidth="1"/>
    <col min="10498" max="10498" width="23.1640625" style="830" customWidth="1"/>
    <col min="10499" max="10499" width="14" style="830" bestFit="1" customWidth="1"/>
    <col min="10500" max="10752" width="9.33203125" style="830"/>
    <col min="10753" max="10753" width="34.5" style="830" bestFit="1" customWidth="1"/>
    <col min="10754" max="10754" width="23.1640625" style="830" customWidth="1"/>
    <col min="10755" max="10755" width="14" style="830" bestFit="1" customWidth="1"/>
    <col min="10756" max="11008" width="9.33203125" style="830"/>
    <col min="11009" max="11009" width="34.5" style="830" bestFit="1" customWidth="1"/>
    <col min="11010" max="11010" width="23.1640625" style="830" customWidth="1"/>
    <col min="11011" max="11011" width="14" style="830" bestFit="1" customWidth="1"/>
    <col min="11012" max="11264" width="9.33203125" style="830"/>
    <col min="11265" max="11265" width="34.5" style="830" bestFit="1" customWidth="1"/>
    <col min="11266" max="11266" width="23.1640625" style="830" customWidth="1"/>
    <col min="11267" max="11267" width="14" style="830" bestFit="1" customWidth="1"/>
    <col min="11268" max="11520" width="9.33203125" style="830"/>
    <col min="11521" max="11521" width="34.5" style="830" bestFit="1" customWidth="1"/>
    <col min="11522" max="11522" width="23.1640625" style="830" customWidth="1"/>
    <col min="11523" max="11523" width="14" style="830" bestFit="1" customWidth="1"/>
    <col min="11524" max="11776" width="9.33203125" style="830"/>
    <col min="11777" max="11777" width="34.5" style="830" bestFit="1" customWidth="1"/>
    <col min="11778" max="11778" width="23.1640625" style="830" customWidth="1"/>
    <col min="11779" max="11779" width="14" style="830" bestFit="1" customWidth="1"/>
    <col min="11780" max="12032" width="9.33203125" style="830"/>
    <col min="12033" max="12033" width="34.5" style="830" bestFit="1" customWidth="1"/>
    <col min="12034" max="12034" width="23.1640625" style="830" customWidth="1"/>
    <col min="12035" max="12035" width="14" style="830" bestFit="1" customWidth="1"/>
    <col min="12036" max="12288" width="9.33203125" style="830"/>
    <col min="12289" max="12289" width="34.5" style="830" bestFit="1" customWidth="1"/>
    <col min="12290" max="12290" width="23.1640625" style="830" customWidth="1"/>
    <col min="12291" max="12291" width="14" style="830" bestFit="1" customWidth="1"/>
    <col min="12292" max="12544" width="9.33203125" style="830"/>
    <col min="12545" max="12545" width="34.5" style="830" bestFit="1" customWidth="1"/>
    <col min="12546" max="12546" width="23.1640625" style="830" customWidth="1"/>
    <col min="12547" max="12547" width="14" style="830" bestFit="1" customWidth="1"/>
    <col min="12548" max="12800" width="9.33203125" style="830"/>
    <col min="12801" max="12801" width="34.5" style="830" bestFit="1" customWidth="1"/>
    <col min="12802" max="12802" width="23.1640625" style="830" customWidth="1"/>
    <col min="12803" max="12803" width="14" style="830" bestFit="1" customWidth="1"/>
    <col min="12804" max="13056" width="9.33203125" style="830"/>
    <col min="13057" max="13057" width="34.5" style="830" bestFit="1" customWidth="1"/>
    <col min="13058" max="13058" width="23.1640625" style="830" customWidth="1"/>
    <col min="13059" max="13059" width="14" style="830" bestFit="1" customWidth="1"/>
    <col min="13060" max="13312" width="9.33203125" style="830"/>
    <col min="13313" max="13313" width="34.5" style="830" bestFit="1" customWidth="1"/>
    <col min="13314" max="13314" width="23.1640625" style="830" customWidth="1"/>
    <col min="13315" max="13315" width="14" style="830" bestFit="1" customWidth="1"/>
    <col min="13316" max="13568" width="9.33203125" style="830"/>
    <col min="13569" max="13569" width="34.5" style="830" bestFit="1" customWidth="1"/>
    <col min="13570" max="13570" width="23.1640625" style="830" customWidth="1"/>
    <col min="13571" max="13571" width="14" style="830" bestFit="1" customWidth="1"/>
    <col min="13572" max="13824" width="9.33203125" style="830"/>
    <col min="13825" max="13825" width="34.5" style="830" bestFit="1" customWidth="1"/>
    <col min="13826" max="13826" width="23.1640625" style="830" customWidth="1"/>
    <col min="13827" max="13827" width="14" style="830" bestFit="1" customWidth="1"/>
    <col min="13828" max="14080" width="9.33203125" style="830"/>
    <col min="14081" max="14081" width="34.5" style="830" bestFit="1" customWidth="1"/>
    <col min="14082" max="14082" width="23.1640625" style="830" customWidth="1"/>
    <col min="14083" max="14083" width="14" style="830" bestFit="1" customWidth="1"/>
    <col min="14084" max="14336" width="9.33203125" style="830"/>
    <col min="14337" max="14337" width="34.5" style="830" bestFit="1" customWidth="1"/>
    <col min="14338" max="14338" width="23.1640625" style="830" customWidth="1"/>
    <col min="14339" max="14339" width="14" style="830" bestFit="1" customWidth="1"/>
    <col min="14340" max="14592" width="9.33203125" style="830"/>
    <col min="14593" max="14593" width="34.5" style="830" bestFit="1" customWidth="1"/>
    <col min="14594" max="14594" width="23.1640625" style="830" customWidth="1"/>
    <col min="14595" max="14595" width="14" style="830" bestFit="1" customWidth="1"/>
    <col min="14596" max="14848" width="9.33203125" style="830"/>
    <col min="14849" max="14849" width="34.5" style="830" bestFit="1" customWidth="1"/>
    <col min="14850" max="14850" width="23.1640625" style="830" customWidth="1"/>
    <col min="14851" max="14851" width="14" style="830" bestFit="1" customWidth="1"/>
    <col min="14852" max="15104" width="9.33203125" style="830"/>
    <col min="15105" max="15105" width="34.5" style="830" bestFit="1" customWidth="1"/>
    <col min="15106" max="15106" width="23.1640625" style="830" customWidth="1"/>
    <col min="15107" max="15107" width="14" style="830" bestFit="1" customWidth="1"/>
    <col min="15108" max="15360" width="9.33203125" style="830"/>
    <col min="15361" max="15361" width="34.5" style="830" bestFit="1" customWidth="1"/>
    <col min="15362" max="15362" width="23.1640625" style="830" customWidth="1"/>
    <col min="15363" max="15363" width="14" style="830" bestFit="1" customWidth="1"/>
    <col min="15364" max="15616" width="9.33203125" style="830"/>
    <col min="15617" max="15617" width="34.5" style="830" bestFit="1" customWidth="1"/>
    <col min="15618" max="15618" width="23.1640625" style="830" customWidth="1"/>
    <col min="15619" max="15619" width="14" style="830" bestFit="1" customWidth="1"/>
    <col min="15620" max="15872" width="9.33203125" style="830"/>
    <col min="15873" max="15873" width="34.5" style="830" bestFit="1" customWidth="1"/>
    <col min="15874" max="15874" width="23.1640625" style="830" customWidth="1"/>
    <col min="15875" max="15875" width="14" style="830" bestFit="1" customWidth="1"/>
    <col min="15876" max="16128" width="9.33203125" style="830"/>
    <col min="16129" max="16129" width="34.5" style="830" bestFit="1" customWidth="1"/>
    <col min="16130" max="16130" width="23.1640625" style="830" customWidth="1"/>
    <col min="16131" max="16131" width="14" style="830" bestFit="1" customWidth="1"/>
    <col min="16132" max="16384" width="9.33203125" style="830"/>
  </cols>
  <sheetData>
    <row r="1" spans="1:2" x14ac:dyDescent="0.2">
      <c r="A1" s="830" t="s">
        <v>724</v>
      </c>
      <c r="B1" s="867">
        <v>6.1</v>
      </c>
    </row>
    <row r="2" spans="1:2" x14ac:dyDescent="0.2">
      <c r="A2" s="830" t="s">
        <v>725</v>
      </c>
      <c r="B2" s="871">
        <v>43209.542534722219</v>
      </c>
    </row>
    <row r="3" spans="1:2" x14ac:dyDescent="0.2">
      <c r="A3" s="830" t="s">
        <v>726</v>
      </c>
      <c r="B3" s="868" t="s">
        <v>421</v>
      </c>
    </row>
    <row r="4" spans="1:2" x14ac:dyDescent="0.2">
      <c r="A4" s="830" t="s">
        <v>727</v>
      </c>
      <c r="B4" s="868" t="s">
        <v>728</v>
      </c>
    </row>
    <row r="5" spans="1:2" x14ac:dyDescent="0.2">
      <c r="A5" s="830" t="s">
        <v>729</v>
      </c>
      <c r="B5" s="868" t="s">
        <v>730</v>
      </c>
    </row>
    <row r="6" spans="1:2" x14ac:dyDescent="0.2">
      <c r="A6" s="830" t="s">
        <v>731</v>
      </c>
    </row>
    <row r="7" spans="1:2" x14ac:dyDescent="0.2">
      <c r="A7" s="830" t="s">
        <v>732</v>
      </c>
      <c r="B7" s="868" t="s">
        <v>294</v>
      </c>
    </row>
    <row r="8" spans="1:2" x14ac:dyDescent="0.2">
      <c r="A8" s="830" t="s">
        <v>733</v>
      </c>
      <c r="B8" s="868" t="s">
        <v>734</v>
      </c>
    </row>
    <row r="9" spans="1:2" x14ac:dyDescent="0.2">
      <c r="A9" s="830" t="s">
        <v>735</v>
      </c>
      <c r="B9" s="868" t="s">
        <v>772</v>
      </c>
    </row>
    <row r="10" spans="1:2" x14ac:dyDescent="0.2">
      <c r="A10" s="830" t="s">
        <v>736</v>
      </c>
    </row>
    <row r="11" spans="1:2" x14ac:dyDescent="0.2">
      <c r="A11" s="830" t="s">
        <v>737</v>
      </c>
    </row>
    <row r="12" spans="1:2" x14ac:dyDescent="0.2">
      <c r="A12" s="830" t="s">
        <v>738</v>
      </c>
    </row>
    <row r="13" spans="1:2" x14ac:dyDescent="0.2">
      <c r="A13" s="830" t="s">
        <v>739</v>
      </c>
    </row>
    <row r="14" spans="1:2" x14ac:dyDescent="0.2">
      <c r="A14" s="830" t="s">
        <v>740</v>
      </c>
    </row>
    <row r="15" spans="1:2" x14ac:dyDescent="0.2">
      <c r="A15" s="830" t="s">
        <v>741</v>
      </c>
    </row>
    <row r="16" spans="1:2" x14ac:dyDescent="0.2">
      <c r="A16" s="830" t="s">
        <v>742</v>
      </c>
    </row>
    <row r="17" spans="1:4" x14ac:dyDescent="0.2">
      <c r="A17" s="830" t="s">
        <v>743</v>
      </c>
      <c r="B17" s="868" t="s">
        <v>773</v>
      </c>
    </row>
    <row r="18" spans="1:4" x14ac:dyDescent="0.2">
      <c r="A18" s="830" t="s">
        <v>744</v>
      </c>
      <c r="B18" s="868" t="s">
        <v>422</v>
      </c>
    </row>
    <row r="19" spans="1:4" x14ac:dyDescent="0.2">
      <c r="A19" s="830" t="s">
        <v>745</v>
      </c>
      <c r="B19" s="868" t="s">
        <v>293</v>
      </c>
    </row>
    <row r="20" spans="1:4" x14ac:dyDescent="0.2">
      <c r="A20" s="830" t="s">
        <v>746</v>
      </c>
      <c r="B20" s="869">
        <v>189054109</v>
      </c>
    </row>
    <row r="21" spans="1:4" x14ac:dyDescent="0.2">
      <c r="A21" s="830" t="s">
        <v>747</v>
      </c>
      <c r="B21" s="868" t="s">
        <v>293</v>
      </c>
    </row>
    <row r="22" spans="1:4" x14ac:dyDescent="0.2">
      <c r="A22" s="830" t="s">
        <v>748</v>
      </c>
      <c r="B22" s="869">
        <v>2204026</v>
      </c>
    </row>
    <row r="23" spans="1:4" x14ac:dyDescent="0.2">
      <c r="A23" s="830" t="s">
        <v>303</v>
      </c>
      <c r="B23" s="867">
        <v>119.82</v>
      </c>
    </row>
    <row r="24" spans="1:4" x14ac:dyDescent="0.2">
      <c r="A24" s="830" t="s">
        <v>96</v>
      </c>
      <c r="B24" s="868" t="s">
        <v>292</v>
      </c>
      <c r="D24" s="830" t="s">
        <v>289</v>
      </c>
    </row>
    <row r="25" spans="1:4" x14ac:dyDescent="0.2">
      <c r="A25" s="830" t="s">
        <v>749</v>
      </c>
      <c r="B25" s="868" t="s">
        <v>776</v>
      </c>
    </row>
    <row r="26" spans="1:4" x14ac:dyDescent="0.2">
      <c r="A26" s="830" t="s">
        <v>750</v>
      </c>
      <c r="B26" s="868">
        <v>0</v>
      </c>
    </row>
    <row r="27" spans="1:4" x14ac:dyDescent="0.2">
      <c r="A27" s="830" t="s">
        <v>751</v>
      </c>
      <c r="B27" s="868" t="s">
        <v>752</v>
      </c>
    </row>
    <row r="28" spans="1:4" x14ac:dyDescent="0.2">
      <c r="A28" s="830" t="s">
        <v>753</v>
      </c>
      <c r="B28" s="868" t="s">
        <v>754</v>
      </c>
    </row>
    <row r="29" spans="1:4" x14ac:dyDescent="0.2">
      <c r="A29" s="830" t="s">
        <v>755</v>
      </c>
    </row>
    <row r="30" spans="1:4" x14ac:dyDescent="0.2">
      <c r="A30" s="830" t="s">
        <v>756</v>
      </c>
    </row>
    <row r="31" spans="1:4" x14ac:dyDescent="0.2">
      <c r="A31" s="830" t="s">
        <v>757</v>
      </c>
    </row>
    <row r="32" spans="1:4" x14ac:dyDescent="0.2">
      <c r="A32" s="830" t="s">
        <v>758</v>
      </c>
      <c r="B32" s="867"/>
    </row>
    <row r="33" spans="1:2" x14ac:dyDescent="0.2">
      <c r="A33" s="830" t="s">
        <v>759</v>
      </c>
      <c r="B33" s="867"/>
    </row>
    <row r="34" spans="1:2" x14ac:dyDescent="0.2">
      <c r="A34" s="830" t="s">
        <v>760</v>
      </c>
      <c r="B34" s="867"/>
    </row>
    <row r="35" spans="1:2" x14ac:dyDescent="0.2">
      <c r="A35" s="830" t="s">
        <v>761</v>
      </c>
      <c r="B35" s="868">
        <v>1000000</v>
      </c>
    </row>
    <row r="36" spans="1:2" x14ac:dyDescent="0.2">
      <c r="A36" s="830" t="s">
        <v>762</v>
      </c>
      <c r="B36" s="868" t="s">
        <v>774</v>
      </c>
    </row>
    <row r="37" spans="1:2" x14ac:dyDescent="0.2">
      <c r="A37" s="830" t="s">
        <v>763</v>
      </c>
      <c r="B37" s="868" t="s">
        <v>764</v>
      </c>
    </row>
    <row r="38" spans="1:2" x14ac:dyDescent="0.2">
      <c r="A38" s="830" t="s">
        <v>765</v>
      </c>
      <c r="B38" s="868" t="s">
        <v>766</v>
      </c>
    </row>
    <row r="39" spans="1:2" x14ac:dyDescent="0.2">
      <c r="A39" s="830" t="s">
        <v>767</v>
      </c>
      <c r="B39" s="868" t="s">
        <v>775</v>
      </c>
    </row>
    <row r="40" spans="1:2" x14ac:dyDescent="0.2">
      <c r="A40" s="830" t="s">
        <v>768</v>
      </c>
      <c r="B40" s="868">
        <v>1500004836</v>
      </c>
    </row>
    <row r="41" spans="1:2" x14ac:dyDescent="0.2">
      <c r="A41" s="830" t="s">
        <v>769</v>
      </c>
      <c r="B41" s="868">
        <v>1</v>
      </c>
    </row>
    <row r="42" spans="1:2" x14ac:dyDescent="0.2">
      <c r="A42" s="870" t="s">
        <v>770</v>
      </c>
    </row>
    <row r="43" spans="1:2" x14ac:dyDescent="0.2">
      <c r="A43" s="830" t="s">
        <v>771</v>
      </c>
    </row>
  </sheetData>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13"/>
  <sheetViews>
    <sheetView workbookViewId="0">
      <selection activeCell="E11" sqref="E11"/>
    </sheetView>
  </sheetViews>
  <sheetFormatPr defaultRowHeight="12.75" x14ac:dyDescent="0.2"/>
  <cols>
    <col min="1" max="1" width="33.33203125" style="830" bestFit="1" customWidth="1"/>
    <col min="2" max="256" width="9.33203125" style="830"/>
    <col min="257" max="257" width="33.33203125" style="830" bestFit="1" customWidth="1"/>
    <col min="258" max="512" width="9.33203125" style="830"/>
    <col min="513" max="513" width="33.33203125" style="830" bestFit="1" customWidth="1"/>
    <col min="514" max="768" width="9.33203125" style="830"/>
    <col min="769" max="769" width="33.33203125" style="830" bestFit="1" customWidth="1"/>
    <col min="770" max="1024" width="9.33203125" style="830"/>
    <col min="1025" max="1025" width="33.33203125" style="830" bestFit="1" customWidth="1"/>
    <col min="1026" max="1280" width="9.33203125" style="830"/>
    <col min="1281" max="1281" width="33.33203125" style="830" bestFit="1" customWidth="1"/>
    <col min="1282" max="1536" width="9.33203125" style="830"/>
    <col min="1537" max="1537" width="33.33203125" style="830" bestFit="1" customWidth="1"/>
    <col min="1538" max="1792" width="9.33203125" style="830"/>
    <col min="1793" max="1793" width="33.33203125" style="830" bestFit="1" customWidth="1"/>
    <col min="1794" max="2048" width="9.33203125" style="830"/>
    <col min="2049" max="2049" width="33.33203125" style="830" bestFit="1" customWidth="1"/>
    <col min="2050" max="2304" width="9.33203125" style="830"/>
    <col min="2305" max="2305" width="33.33203125" style="830" bestFit="1" customWidth="1"/>
    <col min="2306" max="2560" width="9.33203125" style="830"/>
    <col min="2561" max="2561" width="33.33203125" style="830" bestFit="1" customWidth="1"/>
    <col min="2562" max="2816" width="9.33203125" style="830"/>
    <col min="2817" max="2817" width="33.33203125" style="830" bestFit="1" customWidth="1"/>
    <col min="2818" max="3072" width="9.33203125" style="830"/>
    <col min="3073" max="3073" width="33.33203125" style="830" bestFit="1" customWidth="1"/>
    <col min="3074" max="3328" width="9.33203125" style="830"/>
    <col min="3329" max="3329" width="33.33203125" style="830" bestFit="1" customWidth="1"/>
    <col min="3330" max="3584" width="9.33203125" style="830"/>
    <col min="3585" max="3585" width="33.33203125" style="830" bestFit="1" customWidth="1"/>
    <col min="3586" max="3840" width="9.33203125" style="830"/>
    <col min="3841" max="3841" width="33.33203125" style="830" bestFit="1" customWidth="1"/>
    <col min="3842" max="4096" width="9.33203125" style="830"/>
    <col min="4097" max="4097" width="33.33203125" style="830" bestFit="1" customWidth="1"/>
    <col min="4098" max="4352" width="9.33203125" style="830"/>
    <col min="4353" max="4353" width="33.33203125" style="830" bestFit="1" customWidth="1"/>
    <col min="4354" max="4608" width="9.33203125" style="830"/>
    <col min="4609" max="4609" width="33.33203125" style="830" bestFit="1" customWidth="1"/>
    <col min="4610" max="4864" width="9.33203125" style="830"/>
    <col min="4865" max="4865" width="33.33203125" style="830" bestFit="1" customWidth="1"/>
    <col min="4866" max="5120" width="9.33203125" style="830"/>
    <col min="5121" max="5121" width="33.33203125" style="830" bestFit="1" customWidth="1"/>
    <col min="5122" max="5376" width="9.33203125" style="830"/>
    <col min="5377" max="5377" width="33.33203125" style="830" bestFit="1" customWidth="1"/>
    <col min="5378" max="5632" width="9.33203125" style="830"/>
    <col min="5633" max="5633" width="33.33203125" style="830" bestFit="1" customWidth="1"/>
    <col min="5634" max="5888" width="9.33203125" style="830"/>
    <col min="5889" max="5889" width="33.33203125" style="830" bestFit="1" customWidth="1"/>
    <col min="5890" max="6144" width="9.33203125" style="830"/>
    <col min="6145" max="6145" width="33.33203125" style="830" bestFit="1" customWidth="1"/>
    <col min="6146" max="6400" width="9.33203125" style="830"/>
    <col min="6401" max="6401" width="33.33203125" style="830" bestFit="1" customWidth="1"/>
    <col min="6402" max="6656" width="9.33203125" style="830"/>
    <col min="6657" max="6657" width="33.33203125" style="830" bestFit="1" customWidth="1"/>
    <col min="6658" max="6912" width="9.33203125" style="830"/>
    <col min="6913" max="6913" width="33.33203125" style="830" bestFit="1" customWidth="1"/>
    <col min="6914" max="7168" width="9.33203125" style="830"/>
    <col min="7169" max="7169" width="33.33203125" style="830" bestFit="1" customWidth="1"/>
    <col min="7170" max="7424" width="9.33203125" style="830"/>
    <col min="7425" max="7425" width="33.33203125" style="830" bestFit="1" customWidth="1"/>
    <col min="7426" max="7680" width="9.33203125" style="830"/>
    <col min="7681" max="7681" width="33.33203125" style="830" bestFit="1" customWidth="1"/>
    <col min="7682" max="7936" width="9.33203125" style="830"/>
    <col min="7937" max="7937" width="33.33203125" style="830" bestFit="1" customWidth="1"/>
    <col min="7938" max="8192" width="9.33203125" style="830"/>
    <col min="8193" max="8193" width="33.33203125" style="830" bestFit="1" customWidth="1"/>
    <col min="8194" max="8448" width="9.33203125" style="830"/>
    <col min="8449" max="8449" width="33.33203125" style="830" bestFit="1" customWidth="1"/>
    <col min="8450" max="8704" width="9.33203125" style="830"/>
    <col min="8705" max="8705" width="33.33203125" style="830" bestFit="1" customWidth="1"/>
    <col min="8706" max="8960" width="9.33203125" style="830"/>
    <col min="8961" max="8961" width="33.33203125" style="830" bestFit="1" customWidth="1"/>
    <col min="8962" max="9216" width="9.33203125" style="830"/>
    <col min="9217" max="9217" width="33.33203125" style="830" bestFit="1" customWidth="1"/>
    <col min="9218" max="9472" width="9.33203125" style="830"/>
    <col min="9473" max="9473" width="33.33203125" style="830" bestFit="1" customWidth="1"/>
    <col min="9474" max="9728" width="9.33203125" style="830"/>
    <col min="9729" max="9729" width="33.33203125" style="830" bestFit="1" customWidth="1"/>
    <col min="9730" max="9984" width="9.33203125" style="830"/>
    <col min="9985" max="9985" width="33.33203125" style="830" bestFit="1" customWidth="1"/>
    <col min="9986" max="10240" width="9.33203125" style="830"/>
    <col min="10241" max="10241" width="33.33203125" style="830" bestFit="1" customWidth="1"/>
    <col min="10242" max="10496" width="9.33203125" style="830"/>
    <col min="10497" max="10497" width="33.33203125" style="830" bestFit="1" customWidth="1"/>
    <col min="10498" max="10752" width="9.33203125" style="830"/>
    <col min="10753" max="10753" width="33.33203125" style="830" bestFit="1" customWidth="1"/>
    <col min="10754" max="11008" width="9.33203125" style="830"/>
    <col min="11009" max="11009" width="33.33203125" style="830" bestFit="1" customWidth="1"/>
    <col min="11010" max="11264" width="9.33203125" style="830"/>
    <col min="11265" max="11265" width="33.33203125" style="830" bestFit="1" customWidth="1"/>
    <col min="11266" max="11520" width="9.33203125" style="830"/>
    <col min="11521" max="11521" width="33.33203125" style="830" bestFit="1" customWidth="1"/>
    <col min="11522" max="11776" width="9.33203125" style="830"/>
    <col min="11777" max="11777" width="33.33203125" style="830" bestFit="1" customWidth="1"/>
    <col min="11778" max="12032" width="9.33203125" style="830"/>
    <col min="12033" max="12033" width="33.33203125" style="830" bestFit="1" customWidth="1"/>
    <col min="12034" max="12288" width="9.33203125" style="830"/>
    <col min="12289" max="12289" width="33.33203125" style="830" bestFit="1" customWidth="1"/>
    <col min="12290" max="12544" width="9.33203125" style="830"/>
    <col min="12545" max="12545" width="33.33203125" style="830" bestFit="1" customWidth="1"/>
    <col min="12546" max="12800" width="9.33203125" style="830"/>
    <col min="12801" max="12801" width="33.33203125" style="830" bestFit="1" customWidth="1"/>
    <col min="12802" max="13056" width="9.33203125" style="830"/>
    <col min="13057" max="13057" width="33.33203125" style="830" bestFit="1" customWidth="1"/>
    <col min="13058" max="13312" width="9.33203125" style="830"/>
    <col min="13313" max="13313" width="33.33203125" style="830" bestFit="1" customWidth="1"/>
    <col min="13314" max="13568" width="9.33203125" style="830"/>
    <col min="13569" max="13569" width="33.33203125" style="830" bestFit="1" customWidth="1"/>
    <col min="13570" max="13824" width="9.33203125" style="830"/>
    <col min="13825" max="13825" width="33.33203125" style="830" bestFit="1" customWidth="1"/>
    <col min="13826" max="14080" width="9.33203125" style="830"/>
    <col min="14081" max="14081" width="33.33203125" style="830" bestFit="1" customWidth="1"/>
    <col min="14082" max="14336" width="9.33203125" style="830"/>
    <col min="14337" max="14337" width="33.33203125" style="830" bestFit="1" customWidth="1"/>
    <col min="14338" max="14592" width="9.33203125" style="830"/>
    <col min="14593" max="14593" width="33.33203125" style="830" bestFit="1" customWidth="1"/>
    <col min="14594" max="14848" width="9.33203125" style="830"/>
    <col min="14849" max="14849" width="33.33203125" style="830" bestFit="1" customWidth="1"/>
    <col min="14850" max="15104" width="9.33203125" style="830"/>
    <col min="15105" max="15105" width="33.33203125" style="830" bestFit="1" customWidth="1"/>
    <col min="15106" max="15360" width="9.33203125" style="830"/>
    <col min="15361" max="15361" width="33.33203125" style="830" bestFit="1" customWidth="1"/>
    <col min="15362" max="15616" width="9.33203125" style="830"/>
    <col min="15617" max="15617" width="33.33203125" style="830" bestFit="1" customWidth="1"/>
    <col min="15618" max="15872" width="9.33203125" style="830"/>
    <col min="15873" max="15873" width="33.33203125" style="830" bestFit="1" customWidth="1"/>
    <col min="15874" max="16128" width="9.33203125" style="830"/>
    <col min="16129" max="16129" width="33.33203125" style="830" bestFit="1" customWidth="1"/>
    <col min="16130" max="16384" width="9.33203125" style="830"/>
  </cols>
  <sheetData>
    <row r="1" spans="1:1" x14ac:dyDescent="0.2">
      <c r="A1" s="872" t="s">
        <v>777</v>
      </c>
    </row>
    <row r="2" spans="1:1" x14ac:dyDescent="0.2">
      <c r="A2" s="872" t="s">
        <v>782</v>
      </c>
    </row>
    <row r="3" spans="1:1" x14ac:dyDescent="0.2">
      <c r="A3" s="872" t="s">
        <v>783</v>
      </c>
    </row>
    <row r="4" spans="1:1" x14ac:dyDescent="0.2">
      <c r="A4" s="872" t="s">
        <v>784</v>
      </c>
    </row>
    <row r="5" spans="1:1" x14ac:dyDescent="0.2">
      <c r="A5" s="872" t="s">
        <v>785</v>
      </c>
    </row>
    <row r="6" spans="1:1" x14ac:dyDescent="0.2">
      <c r="A6" s="872" t="s">
        <v>778</v>
      </c>
    </row>
    <row r="7" spans="1:1" x14ac:dyDescent="0.2">
      <c r="A7" s="872" t="s">
        <v>786</v>
      </c>
    </row>
    <row r="8" spans="1:1" x14ac:dyDescent="0.2">
      <c r="A8" s="872" t="s">
        <v>787</v>
      </c>
    </row>
    <row r="9" spans="1:1" x14ac:dyDescent="0.2">
      <c r="A9" s="872" t="s">
        <v>788</v>
      </c>
    </row>
    <row r="10" spans="1:1" x14ac:dyDescent="0.2">
      <c r="A10" s="872" t="s">
        <v>779</v>
      </c>
    </row>
    <row r="11" spans="1:1" x14ac:dyDescent="0.2">
      <c r="A11" s="872" t="s">
        <v>789</v>
      </c>
    </row>
    <row r="12" spans="1:1" x14ac:dyDescent="0.2">
      <c r="A12" s="872" t="s">
        <v>780</v>
      </c>
    </row>
    <row r="13" spans="1:1" x14ac:dyDescent="0.2">
      <c r="A13" s="872" t="s">
        <v>781</v>
      </c>
    </row>
  </sheetData>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B1" t="s">
        <v>359</v>
      </c>
    </row>
  </sheetData>
  <phoneticPr fontId="2" type="noConversion"/>
  <pageMargins left="0.75" right="0.75" top="1" bottom="1" header="0.5" footer="0.5"/>
  <pageSetup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N2"/>
  <sheetViews>
    <sheetView workbookViewId="0"/>
  </sheetViews>
  <sheetFormatPr defaultRowHeight="12.75" x14ac:dyDescent="0.2"/>
  <sheetData>
    <row r="1" spans="1:14" x14ac:dyDescent="0.2">
      <c r="A1" t="s">
        <v>406</v>
      </c>
    </row>
    <row r="2" spans="1:14" x14ac:dyDescent="0.2">
      <c r="A2" s="333" t="s">
        <v>307</v>
      </c>
      <c r="B2" s="333" t="s">
        <v>292</v>
      </c>
      <c r="C2" s="333" t="s">
        <v>305</v>
      </c>
      <c r="D2" s="333" t="s">
        <v>350</v>
      </c>
      <c r="E2" s="333" t="s">
        <v>306</v>
      </c>
      <c r="F2" s="333" t="s">
        <v>419</v>
      </c>
      <c r="G2" s="333"/>
      <c r="H2" s="333"/>
      <c r="I2" s="333"/>
      <c r="J2" s="333"/>
      <c r="K2" s="333"/>
      <c r="L2" s="333"/>
      <c r="M2" s="333"/>
      <c r="N2" s="333"/>
    </row>
  </sheetData>
  <phoneticPr fontId="2" type="noConversion"/>
  <pageMargins left="0.75" right="0.75" top="1" bottom="1" header="0.5" footer="0.5"/>
  <pageSetup orientation="portrait" r:id="rId1"/>
  <headerFooter alignWithMargins="0"/>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mtd:Metadata xmlns:lkmtd="thomsonreuters.linking.metadatachange">
  <MetadataChanged>0</MetadataChanged>
</lkmtd:Metadata>
</file>

<file path=customXml/item2.xml><?xml version="1.0" encoding="utf-8"?>
<lk:Links xmlns:lk="thomsonreuters.linking.metadata">
  <Link>
    <GUID>a4657a4a-51d1-4327-b71f-942ab3ce0a80</GUID>
    <SOURCETYPE>Chart</SOURCETYPE>
    <SOURCE_OBJECTNAME>MWA_Risk_Reward</SOURCE_OBJECTNAME>
    <SOURCE_SHEETCODE>MWRSSData</SOURCE_SHEETCODE>
    <SOURCE_SHEETNAME>MWA RR</SOURCE_SHEETNAME>
    <OBJECTTYPE>Native</OBJECTTYPE>
    <SOURCEAPPLICATION>EXCEL_SOURCE</SOURCEAPPLICATION>
    <UPDATEDAT>5/3/2015 2:44:26 PM</UPDATEDAT>
    <SOURCE_ISOUTOFDATE>False</SOURCE_ISOUTOFDATE>
    <SOURCE_WORKBOOKNAME>CLX_Model.xls</SOURCE_WORKBOOKNAME>
    <SOURCE_WORKBOOKPATH>\\MSAD\ROOT\NA\NY\LIB\ER\CONSUMER\STAPLES\CLX\MODEL</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/MSResearch/Content/ExternalAssets/2015-05/Images/cjz9ztdkeEOONtOwKsQjOw--.png</TARGET_BINARYFULLNAME>
    <TARGET_STORYFULLNAME>/MSResearch/Content/ExternalAssets/2015-05/Sections/20150501_052818_MWA_Risk_Reward.xml</TARGET_STORYFULLNAME>
    <TARGET_UUID>fc172cd2-f048-11e4-aeba-9bba02fefb2a</TARGET_UUID>
    <LINKSTATUS>Unknown</LINKSTATUS>
  </Link>
</lk:Links>
</file>

<file path=customXml/itemProps1.xml><?xml version="1.0" encoding="utf-8"?>
<ds:datastoreItem xmlns:ds="http://schemas.openxmlformats.org/officeDocument/2006/customXml" ds:itemID="{30F76791-14A0-4B41-B1B0-3025EBF5D65E}">
  <ds:schemaRefs>
    <ds:schemaRef ds:uri="thomsonreuters.linking.metadatachange"/>
  </ds:schemaRefs>
</ds:datastoreItem>
</file>

<file path=customXml/itemProps2.xml><?xml version="1.0" encoding="utf-8"?>
<ds:datastoreItem xmlns:ds="http://schemas.openxmlformats.org/officeDocument/2006/customXml" ds:itemID="{A24285CE-D22F-459E-A021-65451DC8B2C2}">
  <ds:schemaRefs>
    <ds:schemaRef ds:uri="thomsonreuters.linking.meta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86</vt:i4>
      </vt:variant>
    </vt:vector>
  </HeadingPairs>
  <TitlesOfParts>
    <vt:vector size="93" baseType="lpstr">
      <vt:lpstr>ImportantDisclosures</vt:lpstr>
      <vt:lpstr>CircularReferenceAlert</vt:lpstr>
      <vt:lpstr>Cover</vt:lpstr>
      <vt:lpstr>Financials</vt:lpstr>
      <vt:lpstr>SegmentData</vt:lpstr>
      <vt:lpstr>IndexInformation</vt:lpstr>
      <vt:lpstr>ModPubIndex</vt:lpstr>
      <vt:lpstr>AdditionalInstructions</vt:lpstr>
      <vt:lpstr>ImportantDisclosures!Address</vt:lpstr>
      <vt:lpstr>ModPubIndex!ANA</vt:lpstr>
      <vt:lpstr>ImportantDisclosures!Authors</vt:lpstr>
      <vt:lpstr>IndexInformation!Authors</vt:lpstr>
      <vt:lpstr>ModPubIndex!BRO</vt:lpstr>
      <vt:lpstr>CircularReferenceAlert!Buttons</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Linking_Range_2</vt:lpstr>
      <vt:lpstr>Linking_Range_22</vt:lpstr>
      <vt:lpstr>Linking_Range_3</vt:lpstr>
      <vt:lpstr>Linking_Range_4</vt:lpstr>
      <vt:lpstr>Linking_Range_7</vt:lpstr>
      <vt:lpstr>Linking_Range_8</vt:lpstr>
      <vt:lpstr>Linking_Range_9</vt:lpstr>
      <vt:lpstr>Linking_Text_1</vt:lpstr>
      <vt:lpstr>Linking_Text_7</vt:lpstr>
      <vt:lpstr>IndexInformation!MacroVersion</vt:lpstr>
      <vt:lpstr>CircularReferenceAlert!MaxChange</vt:lpstr>
      <vt:lpstr>CircularReferenceAlert!MaxIterations</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Performance</vt:lpstr>
      <vt:lpstr>Cover!Print_Area</vt:lpstr>
      <vt:lpstr>Financials!Print_Area</vt:lpstr>
      <vt:lpstr>SegmentData!Print_Area</vt:lpstr>
      <vt:lpstr>SegmentData!Print_Titles</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2010-02-22T14:31:23Z</dcterms:created>
  <dc:creator>grunke</dc:creator>
  <cp:lastModifiedBy>Jenson, Andrea (Research)</cp:lastModifiedBy>
  <cp:lastPrinted>2016-08-03T11:20:12Z</cp:lastPrinted>
  <dcterms:modified xsi:type="dcterms:W3CDTF">2018-04-19T17:03:39Z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LinkingAutoNameNumberLinking_Range_" pid="2">
    <vt:lpwstr>24</vt:lpwstr>
  </property>
  <property fmtid="{D5CDD505-2E9C-101B-9397-08002B2CF9AE}" name="LinkingAutoNameNumberLinking_Text_" pid="3">
    <vt:lpwstr>7</vt:lpwstr>
  </property>
  <property fmtid="{D5CDD505-2E9C-101B-9397-08002B2CF9AE}" name="ERModPubTicket" pid="4">
    <vt:lpwstr>NA</vt:lpwstr>
  </property>
  <property fmtid="{D5CDD505-2E9C-101B-9397-08002B2CF9AE}" name="ERCompanyUploadState" pid="5">
    <vt:lpwstr>P</vt:lpwstr>
  </property>
  <property fmtid="{D5CDD505-2E9C-101B-9397-08002B2CF9AE}" name="ModelId" pid="6">
    <vt:lpwstr>762895</vt:lpwstr>
  </property>
  <property fmtid="{D5CDD505-2E9C-101B-9397-08002B2CF9AE}" name="ERModPubCompanyName" pid="7">
    <vt:lpwstr>Clorox Co</vt:lpwstr>
  </property>
  <property fmtid="{D5CDD505-2E9C-101B-9397-08002B2CF9AE}" name="ERModPubMaxIterations" pid="8">
    <vt:i4>100</vt:i4>
  </property>
  <property fmtid="{D5CDD505-2E9C-101B-9397-08002B2CF9AE}" name="ERModPubMaxChange" pid="9">
    <vt:r8>0.001</vt:r8>
  </property>
  <property fmtid="{D5CDD505-2E9C-101B-9397-08002B2CF9AE}" name="MSDH34TAG" pid="10">
    <vt:lpwstr>.TEZUF76X5TAHATHESADREYAK-00-INB160+*94600-06=4af51638/-43f3/-11e8/-9695/-5e5c95fbb3b1,MD=20180419130718/-0400,ZZ=000Z-3bac.</vt:lpwstr>
  </property>
</Properties>
</file>